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ario" sheetId="1" r:id="rId5"/>
    <sheet state="visible" name="JAN" sheetId="2" r:id="rId6"/>
    <sheet state="visible" name="FEV" sheetId="3" r:id="rId7"/>
    <sheet state="visible" name="MAR" sheetId="4" r:id="rId8"/>
    <sheet state="visible" name="ABR" sheetId="5" r:id="rId9"/>
    <sheet state="visible" name="MAI" sheetId="6" r:id="rId10"/>
    <sheet state="visible" name="JUN" sheetId="7" r:id="rId11"/>
    <sheet state="visible" name="JUL" sheetId="8" r:id="rId12"/>
    <sheet state="visible" name="AGO" sheetId="9" r:id="rId13"/>
    <sheet state="visible" name="SET" sheetId="10" r:id="rId14"/>
    <sheet state="visible" name="OUT" sheetId="11" r:id="rId15"/>
    <sheet state="visible" name="NOV" sheetId="12" r:id="rId16"/>
    <sheet state="visible" name="DEZ" sheetId="13" r:id="rId17"/>
    <sheet state="visible" name="Configs" sheetId="14" r:id="rId18"/>
    <sheet state="visible" name="Analise Compra" sheetId="15" r:id="rId19"/>
    <sheet state="visible" name="Diário de Bordo" sheetId="16" r:id="rId20"/>
    <sheet state="visible" name="Radar de Alertas" sheetId="17" r:id="rId21"/>
    <sheet state="visible" name="Drop Zone" sheetId="18" r:id="rId22"/>
    <sheet state="visible" name="Execute Trading" sheetId="19" r:id="rId23"/>
    <sheet state="visible" name="Damage Control" sheetId="20" r:id="rId24"/>
    <sheet state="visible" name="Indicador Tecnico" sheetId="21" r:id="rId25"/>
    <sheet state="visible" name="Online Sell" sheetId="22" r:id="rId26"/>
    <sheet state="visible" name="Aux" sheetId="23" r:id="rId27"/>
    <sheet state="visible" name="Montijo" sheetId="24" r:id="rId28"/>
    <sheet state="visible" name="Planos de Operacao" sheetId="25" r:id="rId29"/>
    <sheet state="visible" name="Analise Compra 16092026" sheetId="26" r:id="rId30"/>
    <sheet state="visible" name="Acesso ensino sup" sheetId="27" r:id="rId31"/>
    <sheet state="visible" name="Copy of Analise Compra" sheetId="28" r:id="rId32"/>
    <sheet state="visible" name="JAN_BAK" sheetId="29" r:id="rId33"/>
    <sheet state="visible" name="FEV_BAK" sheetId="30" r:id="rId34"/>
    <sheet state="visible" name="MAR_BAK" sheetId="31" r:id="rId35"/>
    <sheet state="visible" name="ABR_BAK" sheetId="32" r:id="rId36"/>
    <sheet state="visible" name="MAI_BAK" sheetId="33" r:id="rId37"/>
    <sheet state="visible" name="JUN_BAK" sheetId="34" r:id="rId38"/>
    <sheet state="visible" name="JUL_BAK" sheetId="35" r:id="rId39"/>
    <sheet state="visible" name="AGO_BAK" sheetId="36" r:id="rId40"/>
  </sheets>
  <definedNames>
    <definedName hidden="1" localSheetId="14" name="_xlnm._FilterDatabase">'Analise Compra'!$E$2:$AH$974</definedName>
    <definedName hidden="1" localSheetId="25" name="_xlnm._FilterDatabase">'Analise Compra 16092026'!$E$2:$AH$1015</definedName>
  </definedNames>
  <calcPr/>
</workbook>
</file>

<file path=xl/sharedStrings.xml><?xml version="1.0" encoding="utf-8"?>
<sst xmlns="http://schemas.openxmlformats.org/spreadsheetml/2006/main" count="15525" uniqueCount="5926">
  <si>
    <t>Valor Conta</t>
  </si>
  <si>
    <t>EUR</t>
  </si>
  <si>
    <t>USD</t>
  </si>
  <si>
    <t>USD em EU</t>
  </si>
  <si>
    <t>Total</t>
  </si>
  <si>
    <t>MAR</t>
  </si>
  <si>
    <t>JAN</t>
  </si>
  <si>
    <t>FEV</t>
  </si>
  <si>
    <t>Posicao</t>
  </si>
  <si>
    <t>Data</t>
  </si>
  <si>
    <t>USD to EU</t>
  </si>
  <si>
    <t>Preço Abertura</t>
  </si>
  <si>
    <t>Lucro EU</t>
  </si>
  <si>
    <t>Lucro USD</t>
  </si>
  <si>
    <t>Total EUR</t>
  </si>
  <si>
    <t>Goal</t>
  </si>
  <si>
    <t>Day 1</t>
  </si>
  <si>
    <t>Mês</t>
  </si>
  <si>
    <t>-</t>
  </si>
  <si>
    <t>Total EURO</t>
  </si>
  <si>
    <t>Day 2</t>
  </si>
  <si>
    <t>Total USD</t>
  </si>
  <si>
    <t>Total USD to EUR</t>
  </si>
  <si>
    <t>Dividendos EU</t>
  </si>
  <si>
    <t>Dividendos US</t>
  </si>
  <si>
    <t>TOTAL</t>
  </si>
  <si>
    <t>janeiro</t>
  </si>
  <si>
    <t>Day 3</t>
  </si>
  <si>
    <t>Goal Day</t>
  </si>
  <si>
    <t>Day 4</t>
  </si>
  <si>
    <t>Day 5</t>
  </si>
  <si>
    <t>Day 6</t>
  </si>
  <si>
    <t>Day 7</t>
  </si>
  <si>
    <t>Day 8</t>
  </si>
  <si>
    <t>Day 9</t>
  </si>
  <si>
    <t>fevereiro</t>
  </si>
  <si>
    <t>Day 10</t>
  </si>
  <si>
    <t>Day 11</t>
  </si>
  <si>
    <t>Day 12</t>
  </si>
  <si>
    <t>Day 13</t>
  </si>
  <si>
    <t>Day 14</t>
  </si>
  <si>
    <t>Day 15</t>
  </si>
  <si>
    <t>Day 16</t>
  </si>
  <si>
    <t>março</t>
  </si>
  <si>
    <t>Day 17</t>
  </si>
  <si>
    <t>Day 18</t>
  </si>
  <si>
    <t>Day 19</t>
  </si>
  <si>
    <t>Day 20</t>
  </si>
  <si>
    <t>Day 21</t>
  </si>
  <si>
    <t>Day 22</t>
  </si>
  <si>
    <t>abril</t>
  </si>
  <si>
    <t>Day 23</t>
  </si>
  <si>
    <t>Day 24</t>
  </si>
  <si>
    <t>Day 25</t>
  </si>
  <si>
    <t>Day 26</t>
  </si>
  <si>
    <t>Day 27</t>
  </si>
  <si>
    <t>Day 28</t>
  </si>
  <si>
    <t>Day 29</t>
  </si>
  <si>
    <t>Day 30</t>
  </si>
  <si>
    <t>Day 31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</si>
  <si>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</si>
  <si>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</si>
  <si>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</si>
  <si>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</si>
  <si>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</si>
  <si>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</si>
  <si>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</si>
  <si>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</si>
  <si>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NET</t>
  </si>
  <si>
    <t>TAX</t>
  </si>
  <si>
    <t>total</t>
  </si>
  <si>
    <t>ABR</t>
  </si>
  <si>
    <t>MAI</t>
  </si>
  <si>
    <t>JUN</t>
  </si>
  <si>
    <t>JUL</t>
  </si>
  <si>
    <t>AGO</t>
  </si>
  <si>
    <t>SET</t>
  </si>
  <si>
    <t>Euros</t>
  </si>
  <si>
    <t>OUT</t>
  </si>
  <si>
    <t>NOV</t>
  </si>
  <si>
    <t>DEZ</t>
  </si>
  <si>
    <t>Configs</t>
  </si>
  <si>
    <t>processarLoteItems</t>
  </si>
  <si>
    <t>A função processarLoteItems é um motor de execução em lotes resiliente, desenhado para processar chamadas de API (como o envio de ordens de trading) diretamente a partir do Google Sheets, garantindo que os limites de tempo do Google e os limites de taxa da API não são excedidos.</t>
  </si>
  <si>
    <t>processarTudo</t>
  </si>
  <si>
    <t>processarLoteItems_Short</t>
  </si>
  <si>
    <t>enviarRelatorioIA</t>
  </si>
  <si>
    <t>riscoMaximoDolares</t>
  </si>
  <si>
    <t>racioTakeProfit</t>
  </si>
  <si>
    <t>Colocar o valor temporáriamente. Por defeito assume os valores standard 1.5 e 2.0.</t>
  </si>
  <si>
    <t>multiplicadorTrailing</t>
  </si>
  <si>
    <t>1.5 (Stop Apertado / Conservador): É o valor por defeito. É excelente para mercados muito voláteis, ou quando a ação já subiu muito e tu queres trancar o máximo de lucro possível ao primeiro sinal de fraqueza. A desvantagem? Podes ser "expulso" da posição num dia de queda normal, antes da ação voltar a subir.
2.0 (O Padrão de Ouro / Moderado): É o valor clássico do famoso indicador Chandelier Exit. Dá espaço suficiente para a ação sofrer o seu "ruído" normal do dia-a-dia (quedas normais numa tendência de alta) sem te fechar a posição prematuramente. É o ideal para deixar os lucros correrem.
2.5 a 3.0 (Stop Largo / Seguidor de Tendência): Usado apenas se quiseres segurar a ação durante meses (como a VISA, que é uma ação muito estável a longo prazo). Dá imenso espaço para a ação corrigir, mas significa que devolves uma parte maior do lucro ao mercado se a tendência reverter.</t>
  </si>
  <si>
    <t>analiseTecnica</t>
  </si>
  <si>
    <t>listaAtivosPermitidos</t>
  </si>
  <si>
    <t>NOW,AMZN, WMT, PG, PEP,TSLA,BRK.B, VISA, MA,LLY, UNH,AAPL, MSFT, GOOGL, NVDA, AVGO, ASML,ADBE, CRM, SAP, ORCL, AMD, INTC, DELL, PANW, PLTR, NET, CSCO, MRVL, MCHP, QLYS, IBM, TYL, VRSK,NKE, BABA, PDD, SHOP, EBAY, EL, BOSS, UBER, DASH, OR, HEIA, NFLX,BMW, MBG, VOW3, P911, BYDDY, SIE, LMT, RHM, GRMN, SWK, TKA,PFE, ABT, NOVN, MRNA, HUM,UPST,ANF,ASTS,QLYS,NET,NFLX,ADP,BBAI,META</t>
  </si>
  <si>
    <t>Short List para processamento</t>
  </si>
  <si>
    <t>listaAllStocks</t>
  </si>
  <si>
    <t>ANF, ACN, ADS, ADBE, ADYEN, AHL, A, BABA, ALV, GOOGL, AMZ, AMZN, AMD, AS, AMPL, APCA, AAPL, APP, ANET, ASML, ASTS, TEAM, BAYN, BRK.B, BBAI, BMW, BABA, BOSS, AVGO, BYDDY, AI, CAP, CELH, CNA, CSCO, CLSK, NET, CNXC, COND, TG, DBX, BROS, EBAY, LLY, ENVX, EL, GALP, GRMN, HEIA, HEN3, HSBA, HSBC, IDR, IFX, INL, INTC, IONQ, LMT, OR, MRVL, M4I, MA, MBG, META, MSFT, MRNA, MNDY, NFC, NFLX, NKE, NKE, NOVN, NOVN, VONV, D, NVDA, ORC, ORCL, PTX, PLTR, PANW, 2PP, PDD, PEP, PHIA, P911, PRG, PG, PG, QLYS, QUBT, QSR, L, RHM, RGTI, HOOD, RKLB, RGLD, FOO, CRM, SAP, LAE, SNOW, SHAK, SIE, SWK, SG, LE, SOON, SOUN, STR, SMCI, TALK, TEM, TSLA, TL0, TKA, TTD, UT8, UNH, U, UPST, VISA, VOW3, WMT, WMT, DELL, SHELL, SHOP, PFE, RDDT, RBLX, FITB, RCAT, MCHP, ARES, BMI, UBER, FIG, HUM, TZOO, VRSK, TYL, DDOG, ABT, IBM, DASH</t>
  </si>
  <si>
    <t>All Stocks</t>
  </si>
  <si>
    <t>listaLightStocks</t>
  </si>
  <si>
    <t>NOW,AMZN, WMT, PG, PEP,TSLA,BRK.B, VISA, MA,LLY, UNH,AAPL, MSFT, GOOGL, NVDA, AVGO, ASML,ADBE, CRM, SAP, ORCL, AMD, INTC, DELL, PANW, PLTR, NET, CSCO, MRVL, MCHP, QLYS, IBM, TYL, VRSK,NKE, BABA, PDD, SHOP, EBAY, EL, BOSS, UBER, DASH, OR, HEIA, NFLX,BMW, MBG, VOW3, P911, BYDDY, SIE, LMT, RHM, GRMN, SWK, TKA,PFE, ABT, NOVN, MRNA, HUM</t>
  </si>
  <si>
    <t>Light Stocks</t>
  </si>
  <si>
    <t>Estados usados no Diario de Bordo</t>
  </si>
  <si>
    <t>PENDENTE</t>
  </si>
  <si>
    <t>A ordem Buy Limit está colocada na corretora. O setup é válido e aguarda que o preço recue até à Drop Zone.</t>
  </si>
  <si>
    <t>ATIVA</t>
  </si>
  <si>
    <t>A ordem Limit foi acionada. O capital está no mercado e o Hard Stop de proteção está obrigatoriamente colocado na corretora.</t>
  </si>
  <si>
    <t>WIN</t>
  </si>
  <si>
    <t>A ação seguiu a tendência e atingiu o teu alvo quantitativo.</t>
  </si>
  <si>
    <t>LOSS</t>
  </si>
  <si>
    <t>O mercado invalidou a tese. O Hard Stop cortou o risco ao nível predefinido (~$50).</t>
  </si>
  <si>
    <t>FUGIU</t>
  </si>
  <si>
    <t>O ativo arrancou sem acionar a ordem. A janela de oportunidade fechou e a ordem foi cancelada para proteger a margem e evitar "facas a cair".</t>
  </si>
  <si>
    <t>INVALIDADO</t>
  </si>
  <si>
    <t>A ordem limite estava pendente, mas os filtros técnicos que a justificavam (como o RVOL a cair abaixo de 1.0 ou o ADX a perder força) deterioraram-se antes de o preço chegar à Drop Zone.</t>
  </si>
  <si>
    <t>BREAKEVEN</t>
  </si>
  <si>
    <t>Stock</t>
  </si>
  <si>
    <t>Diario de Bordo</t>
  </si>
  <si>
    <t>Description</t>
  </si>
  <si>
    <t>Market Price</t>
  </si>
  <si>
    <t>L</t>
  </si>
  <si>
    <t>H</t>
  </si>
  <si>
    <t>Result</t>
  </si>
  <si>
    <t>Momentum</t>
  </si>
  <si>
    <t>RSI</t>
  </si>
  <si>
    <t>ADX</t>
  </si>
  <si>
    <t>ATR</t>
  </si>
  <si>
    <t>Pivot</t>
  </si>
  <si>
    <t>Price</t>
  </si>
  <si>
    <t>Time</t>
  </si>
  <si>
    <t>true</t>
  </si>
  <si>
    <t>STOCK,#ERRO_LIMITE_CHAVES,Todas as chaves esgotaram,,,,,,,,,,,,</t>
  </si>
  <si>
    <t>Máximo 15h30</t>
  </si>
  <si>
    <t>Nova Entrada</t>
  </si>
  <si>
    <t>Novo Stop Loss</t>
  </si>
  <si>
    <t>Novo Take Profit</t>
  </si>
  <si>
    <t>Status Intraday</t>
  </si>
  <si>
    <t>Resumo Intraday</t>
  </si>
  <si>
    <t>STATUS</t>
  </si>
  <si>
    <t>PRECO ENTRADA</t>
  </si>
  <si>
    <t>STOP INICIAL</t>
  </si>
  <si>
    <t>PRECO SAIDA</t>
  </si>
  <si>
    <t>QUANTIDADE</t>
  </si>
  <si>
    <t>R MULTIPLO</t>
  </si>
  <si>
    <t>LUCRO/PREJUIZO</t>
  </si>
  <si>
    <t>ERRO: Cannot read properties of undefined (reading '0')</t>
  </si>
  <si>
    <t>23/09/2026 03:46:09</t>
  </si>
  <si>
    <t>RGLD</t>
  </si>
  <si>
    <t>Royal Gold</t>
  </si>
  <si>
    <t>0</t>
  </si>
  <si>
    <t>RGLD,Preço: 258.29,Dist MM20: 0.28%,Momentum: 4.20,RSI: 58.52,ADX: 23.00,ATR: 6.63,RVOL: 1.49,Estado: Alerta Iminente,Entrada: 256.96,Stop: 249.00,Take-Profit: 266.51,Break-Even: 261.74,Qtd: 3.14,Trailing: 249.00,Data: 23/09/2026 07:02:20</t>
  </si>
  <si>
    <t>Ticker</t>
  </si>
  <si>
    <t>Ticker Price</t>
  </si>
  <si>
    <t>distMM20</t>
  </si>
  <si>
    <t>Momentum 2</t>
  </si>
  <si>
    <t>RSI 2</t>
  </si>
  <si>
    <t>22/09/2026 03:46:09</t>
  </si>
  <si>
    <t>MED</t>
  </si>
  <si>
    <t>Medifast</t>
  </si>
  <si>
    <t>ADX 2</t>
  </si>
  <si>
    <t>MED,Preço: 12.26,Dist MM20: 0.86%,Momentum: 0.12,RSI: 57.22,ADX: 26.24,ATR: 0.37,RVOL: 1.33,Estado: Forca Consolidada,Entrada: 12.19,Stop: 11.75,Take-Profit: 12.72,Break-Even: 12.46,Qtd: 56.31,Trailing: 11.75,Data: 22/09/2026 03:46:08</t>
  </si>
  <si>
    <t>Forca Consolidada</t>
  </si>
  <si>
    <t>MED (INTRADAY),Máximo 15h30: 12.47,Estado: Forca Consolidada,Entrada: 12.10,Stop: 11.73,Take-Profit: 12.65,Data: 22/09/2026 15:31:06</t>
  </si>
  <si>
    <t>ATR 2</t>
  </si>
  <si>
    <t>22/09/2026 03:43:54</t>
  </si>
  <si>
    <t>VOL</t>
  </si>
  <si>
    <t>U</t>
  </si>
  <si>
    <t>Unity Software Inc</t>
  </si>
  <si>
    <t>Column 1</t>
  </si>
  <si>
    <t>1,47</t>
  </si>
  <si>
    <t>R1 Up</t>
  </si>
  <si>
    <t>Drop Zone</t>
  </si>
  <si>
    <t>U,Preço: 43.21,Dist MM20: 0.93%,Momentum: 1.11,RSI: 55.92,ADX: 28.80,ATR: 1.69,RVOL: 1.14,Estado: Forca Consolidada,Entrada: 42.87,Stop: 40.84,Take-Profit: 45.30,Break-Even: 44.08,Qtd: 12.33,Trailing: 40.84,Data: 22/09/2026 03:43:53</t>
  </si>
  <si>
    <t>U (INTRADAY),Máximo 15h30: 43.87,Estado: Forca Consolidada,Entrada: 42.18,Stop: 40.49,Take-Profit: 44.72,Data: 22/09/2026 15:31:07</t>
  </si>
  <si>
    <t>Column 2</t>
  </si>
  <si>
    <t>LTC</t>
  </si>
  <si>
    <t>LTC Properties</t>
  </si>
  <si>
    <t>LTC,Preço: 42.88,Dist MM20: 2.49%,Momentum: 2.56,RSI: 59.70,ADX: 28.43,ATR: 0.98,RVOL: 1.08,Estado: Forca Consolidada,Entrada: 42.68,Stop: 41.50,Take-Profit: 44.09,Break-Even: 43.39,Qtd: 21.26,Trailing: 41.50,Data: 22/09/2026 03:31:35</t>
  </si>
  <si>
    <t>Column 3</t>
  </si>
  <si>
    <t>Ignorado - S/ Quebra de Fecho</t>
  </si>
  <si>
    <t>LTC,Máximo 15h30: 42.67,Estado: Ignorado - S/ Quebra de Fecho,Data: 22/09/2026 15:31:07</t>
  </si>
  <si>
    <t>Column 4</t>
  </si>
  <si>
    <t>22/09/2026 02:20:47</t>
  </si>
  <si>
    <t>CSCO</t>
  </si>
  <si>
    <t>Cisco Systems</t>
  </si>
  <si>
    <t>CSCO,Preço: 111.46,Dist MM20: 1.30%,Momentum: 0.97,RSI: 50.92,ADX: 25.23,ATR: 2.26,RVOL: 1.39,Estado: Forca Consolidada,Entrada: 111.01,Stop: 108.30,Take-Profit: 114.26,Break-Even: 112.64,Qtd: 9.22,Trailing: 108.30,Data: 22/09/2026 02:20:46</t>
  </si>
  <si>
    <t>Column 5</t>
  </si>
  <si>
    <t>CSCO,Máximo 15h30: 110.43,Estado: Ignorado - S/ Quebra de Fecho,Data: 22/09/2026 15:31:07</t>
  </si>
  <si>
    <t>21/09/2026 08:05:47</t>
  </si>
  <si>
    <t>EMR</t>
  </si>
  <si>
    <t>Emerson Electric</t>
  </si>
  <si>
    <t>EMR,Preço: 149.92,Dist MM20: -1.19%,Momentum: -5.26,RSI: 47.65,ADX: 23.32,ATR: 3.33,RVOL: 1.75,Estado: Forca Consolidada,Entrada: 149.25,Stop: 145.25,Take-Profit: 155.24,Break-Even: 152.25,Qtd: 12.51,Trailing: 145.25,Data: 21/09/2026 08:05:47</t>
  </si>
  <si>
    <t>EMR (INTRADAY),Máximo 15h30: 151.47,Estado: Forca Consolidada,Entrada: 148.14,Stop: 144.81,Take-Profit: 153.13,Data: 21/09/2026 15:30:10</t>
  </si>
  <si>
    <t>AAPL</t>
  </si>
  <si>
    <t>21/09/2026 04:06:09</t>
  </si>
  <si>
    <t>PLTR</t>
  </si>
  <si>
    <t>Palantir US</t>
  </si>
  <si>
    <t>S1 Up</t>
  </si>
  <si>
    <t>PLTR,Preço: 177.64,Dist MM20: 0.99%,Momentum: -8.65,RSI: 57.04,ADX: 20.97,ATR: 6.71,RVOL: 1.36,Estado: Forca Consolidada,Entrada: 176.30,Stop: 168.25,Take-Profit: 188.38,Break-Even: 182.34,Qtd: 6.21,Trailing: 168.25,Data: 21/09/2026 04:06:08</t>
  </si>
  <si>
    <t>Apple US</t>
  </si>
  <si>
    <t>PLTR (INTRADAY),Máximo 15h30: 182.20,Estado: Forca Consolidada,Entrada: 175.49,Stop: 168.78,Take-Profit: 185.55,Data: 21/09/2026 15:30:10</t>
  </si>
  <si>
    <t>Item</t>
  </si>
  <si>
    <t>21/09/2026 04:05:30</t>
  </si>
  <si>
    <t>PFE</t>
  </si>
  <si>
    <t>Pfizer</t>
  </si>
  <si>
    <t>Estado</t>
  </si>
  <si>
    <t>PFE,Preço: 27.66,Dist MM20: -1.42%,Momentum: -0.30,RSI: 52.16,ADX: 32.71,ATR: 0.47,RVOL: 2.22,Estado: Forca Consolidada,Entrada: 27.57,Stop: 27.01,Take-Profit: 28.42,Break-Even: 28.00,Qtd: 88.65,Trailing: 27.01,Data: 21/09/2026 04:05:30</t>
  </si>
  <si>
    <t>PFE (INTRADAY),Máximo 15h30: 27.79,Estado: Forca Consolidada,Entrada: 27.32,Stop: 26.85,Take-Profit: 28.02,Data: 21/09/2026 15:30:11</t>
  </si>
  <si>
    <t>Volume</t>
  </si>
  <si>
    <t>Entrada</t>
  </si>
  <si>
    <t>21/09/2026 02:20:55</t>
  </si>
  <si>
    <t>BABA</t>
  </si>
  <si>
    <t>Alibaba US</t>
  </si>
  <si>
    <t>R3 Down</t>
  </si>
  <si>
    <t>Stop</t>
  </si>
  <si>
    <t>BABA,Preço: 113.24,Dist MM20: 0.05%,Momentum: -5.66,RSI: 48.00,ADX: 22.29,ATR: 2.06,RVOL: 1.18,Estado: Forca Consolidada,Entrada: 112.83,Stop: 110.36,Take-Profit: 116.54,Break-Even: 114.69,Qtd: 20.23,Trailing: 110.36,Data: 21/09/2026 02:20:54</t>
  </si>
  <si>
    <t>BABA (INTRADAY),Máximo 15h30: 115.25,Estado: Forca Consolidada,Entrada: 113.19,Stop: 111.13,Take-Profit: 116.28,Data: 21/09/2026 15:30:12</t>
  </si>
  <si>
    <t>Take profit</t>
  </si>
  <si>
    <t>21/09/2026 02:20:34</t>
  </si>
  <si>
    <t>AVGO</t>
  </si>
  <si>
    <t>Qtd</t>
  </si>
  <si>
    <t>Broadcom</t>
  </si>
  <si>
    <t>Dist</t>
  </si>
  <si>
    <t>AVGO,Preço: 357.61,Dist MM20: -0.48%,Momentum: -11.18,RSI: 45.54,ADX: 25.90,ATR: 8.49,RVOL: 1.64,Estado: Forca Consolidada,Entrada: 355.91,Stop: 345.72,Take-Profit: 371.19,Break-Even: 363.55,Qtd: 4.91,Trailing: 345.72,Data: 21/09/2026 02:20:34</t>
  </si>
  <si>
    <t>AVGO (INTRADAY),Máximo 15h30: 359.92,Estado: Forca Consolidada,Entrada: 351.43,Stop: 342.94,Take-Profit: 364.17,Data: 21/09/2026 15:30:13</t>
  </si>
  <si>
    <t>Comboio</t>
  </si>
  <si>
    <t>18/09/2026 03:04:55</t>
  </si>
  <si>
    <t>OR</t>
  </si>
  <si>
    <t>Loreal</t>
  </si>
  <si>
    <t>OR,Preço: 36.99,Dist MM20: 0.50%,Momentum: -1.65,RSI: 57.99,ADX: 21.50,ATR: 1.16,RVOL: 0.94,Estado: Forca Consolidada,Entrada: 36.76,Stop: 35.37,Take-Profit: 38.85,Break-Even: 37.80,Qtd: 35.92,Trailing: 35.37,Data: 18/09/2026 03:04:53</t>
  </si>
  <si>
    <t>23/09/2026 07:02:20</t>
  </si>
  <si>
    <t>OR,Máximo 15h30: 36.95,Estado: Ignorado - S/ Quebra de Fecho,Data: 18/09/2026 15:30:48</t>
  </si>
  <si>
    <t>18/09/2026 02:51:06</t>
  </si>
  <si>
    <t>PFE,Preço: 27.64,Dist MM20: -1.51%,Momentum: -0.38,RSI: 51.85,ADX: 34.67,ATR: 0.47,RVOL: 0.91,Estado: Forca Consolidada,Entrada: 27.55,Stop: 26.99,Take-Profit: 28.40,Break-Even: 27.98,Qtd: 88.65,Trailing: 26.99,Data: 18/09/2026 02:51:05</t>
  </si>
  <si>
    <t>PFE (INTRADAY),Máximo 15h30: 27.66,Estado: Forca Consolidada,Entrada: 27.19,Stop: 26.72,Take-Profit: 27.89,Data: 18/09/2026 15:30:48</t>
  </si>
  <si>
    <t>Alerta Iminente</t>
  </si>
  <si>
    <t>RVOL: 1.49</t>
  </si>
  <si>
    <t>18/09/2026 02:44:42</t>
  </si>
  <si>
    <t>CVX</t>
  </si>
  <si>
    <t>Chevron</t>
  </si>
  <si>
    <t>CVX,Preço: 211.57,Dist MM20: 1.52%,Momentum: 11.80,RSI: 58.53,ADX: 32.52,ATR: 3.88,RVOL: 0.94,Estado: Forca Consolidada,Entrada: 210.79,Stop: 206.13,Take-Profit: 217.77,Break-Even: 214.28,Qtd: 10.74,Trailing: 206.13,Data: 18/09/2026 02:44:39</t>
  </si>
  <si>
    <t>Entrada: 256.96</t>
  </si>
  <si>
    <t>CVX (INTRADAY),Máximo 15h30: 211.90,Estado: Forca Consolidada,Entrada: 208.02,Stop: 204.14,Take-Profit: 213.84,Data: 18/09/2026 15:30:48</t>
  </si>
  <si>
    <t>Stop: 249.00</t>
  </si>
  <si>
    <t>Take-Profit: 266.51</t>
  </si>
  <si>
    <t>P Down</t>
  </si>
  <si>
    <t>18/09/2026 02:43:39</t>
  </si>
  <si>
    <t>COP</t>
  </si>
  <si>
    <t>ConocoPhillips</t>
  </si>
  <si>
    <t>Qtd: 3.14</t>
  </si>
  <si>
    <t>COP,Preço: 133.19,Dist MM20: -1.01%,Momentum: 3.67,RSI: 52.56,ADX: 25.26,ATR: 3.19,RVOL: 1.12,Estado: Forca Consolidada,Entrada: 132.55,Stop: 128.72,Take-Profit: 138.29,Break-Even: 135.42,Qtd: 13.06,Trailing: 128.72,Data: 18/09/2026 02:43:39</t>
  </si>
  <si>
    <t>Dist MM20: 0.28%</t>
  </si>
  <si>
    <t>COP (INTRADAY),Máximo 15h30: 133.20,Estado: Forca Consolidada,Entrada: 130.01,Stop: 126.82,Take-Profit: 134.79,Data: 18/09/2026 15:30:49</t>
  </si>
  <si>
    <t>18/09/2026 02:42:29</t>
  </si>
  <si>
    <t>MSFT</t>
  </si>
  <si>
    <t>Microsoft</t>
  </si>
  <si>
    <t>23/09/2026 06:50:13</t>
  </si>
  <si>
    <t>MSFT,Preço: 497.75,Dist MM20: 0.18%,Momentum: -7.31,RSI: 55.58,ADX: 32.72,ATR: 9.09,RVOL: 0.89,Estado: Forca Consolidada,Entrada: 495.93,Stop: 485.02,Take-Profit: 512.29,Break-Even: 504.11,Qtd: 4.58,Trailing: 485.02,Data: 18/09/2026 02:42:28</t>
  </si>
  <si>
    <t>MSFT (INTRADAY),Máximo 15h30: 498.65,Estado: Forca Consolidada,Entrada: 489.56,Stop: 480.47,Take-Profit: 503.19,Data: 18/09/2026 15:30:49</t>
  </si>
  <si>
    <t>AMPL</t>
  </si>
  <si>
    <t>AAPL,Preço: 339.75,Dist MM20: 4.35%,Momentum: 14.62,RSI: 66.88,ADX: 18.67,ATR: 6.97,RVOL: 0.94,Estado: Aguardar Recuo,Entrada: 336.96,Stop: 329.99,Take-Profit: 345.32,Break-Even: 341.14,Qtd: 3.59,Trailing: 329.99,Data: 23/09/2026 02:04:29</t>
  </si>
  <si>
    <t>18/09/2026 02:42:22</t>
  </si>
  <si>
    <t>MAIN</t>
  </si>
  <si>
    <t>Main Street Capital</t>
  </si>
  <si>
    <t>MAIN,Preço: 57.03,Dist MM20: -0.94%,Momentum: -1.56,RSI: 50.29,ADX: 25.39,ATR: 0.88,RVOL: 0.90,Estado: Forca Consolidada,Entrada: 56.85,Stop: 55.79,Take-Profit: 58.43,Break-Even: 57.64,Qtd: 47.35,Trailing: 55.79,Data: 18/09/2026 02:42:21</t>
  </si>
  <si>
    <t>RVOL: 0.98</t>
  </si>
  <si>
    <t>MAIN (INTRADAY),Máximo 15h30: 57.10,Estado: Forca Consolidada,Entrada: 56.22,Stop: 55.34,Take-Profit: 57.54,Data: 18/09/2026 15:30:49</t>
  </si>
  <si>
    <t>Entrada: 13.01</t>
  </si>
  <si>
    <t>Stop: 12.23</t>
  </si>
  <si>
    <t>18/09/2026 02:33:40</t>
  </si>
  <si>
    <t>TSLA</t>
  </si>
  <si>
    <t>Tesla</t>
  </si>
  <si>
    <t>Take-Profit: 13.95</t>
  </si>
  <si>
    <t>TSLA,Preço: 366.20,Dist MM20: 2.11%,Momentum: 11.39,RSI: 54.81,ADX: 21.03,ATR: 12.13,RVOL: 0.98,Estado: Forca Consolidada,Entrada: 363.77,Stop: 349.21,Take-Profit: 385.60,Break-Even: 374.69,Qtd: 3.44,Trailing: 349.21,Data: 18/09/2026 02:33:39</t>
  </si>
  <si>
    <t>Preço: 333.43</t>
  </si>
  <si>
    <t>Qtd: 32.05</t>
  </si>
  <si>
    <t>TSLA (INTRADAY),Máximo 15h30: 370.90,Estado: Forca Consolidada,Entrada: 358.77,Stop: 346.64,Take-Profit: 376.96,Data: 18/09/2026 15:30:54</t>
  </si>
  <si>
    <t>Dist MM20: -1.38%</t>
  </si>
  <si>
    <t>Dist MM20: 2.80%</t>
  </si>
  <si>
    <t>18/09/2026 02:25:35</t>
  </si>
  <si>
    <t>AMPL,Preço: 13.14,Dist MM20: -1.38%,Momentum: -0.69,RSI: 53.59,ADX: 24.56,ATR: 0.65,RVOL: 0.98,Estado: Alerta Iminente,Entrada: 13.01,Stop: 12.23,Take-Profit: 13.95,Break-Even: 13.48,Qtd: 32.05,Trailing: 12.23,Data: 23/09/2026 06:50:13</t>
  </si>
  <si>
    <t>Momentum: 18.11</t>
  </si>
  <si>
    <t>ACTIVA</t>
  </si>
  <si>
    <t>CSCO,Preço: 110.24,Dist MM20: 0.21%,Momentum: -1.91,RSI: 47.72,ADX: 25.01,ATR: 2.20,RVOL: 1.15,Estado: Forca Consolidada,Entrada: 109.80,Stop: 107.16,Take-Profit: 113.76,Break-Even: 111.78,Qtd: 18.94,Trailing: 109.27,Data: 18/09/2026 02:25:34</t>
  </si>
  <si>
    <t>23/09/2026 06:41:48</t>
  </si>
  <si>
    <t>RSI: 61.66</t>
  </si>
  <si>
    <t>CSCO (INTRADAY),Máximo 15h30: 110.81,Estado: Forca Consolidada,Entrada: 108.61,Stop: 106.41,Take-Profit: 111.91,Data: 18/09/2026 15:30:54</t>
  </si>
  <si>
    <t>ADX: 29.46</t>
  </si>
  <si>
    <t>18/09/2026 02:25:04</t>
  </si>
  <si>
    <t>BMNR</t>
  </si>
  <si>
    <t>BitMine Immersion</t>
  </si>
  <si>
    <t>ATR: 7.30</t>
  </si>
  <si>
    <t>RVOL: 1.07</t>
  </si>
  <si>
    <t>BMNR,Preço: 23.89,Dist MM20: -1.51%,Momentum: -1.74,RSI: 54.26,ADX: 41.62,ATR: 1.58,RVOL: 0.88,Estado: Forca Consolidada,Entrada: 23.57,Stop: 21.67,Take-Profit: 26.41,Break-Even: 24.99,Qtd: 26.37,Trailing: 21.37,Data: 18/09/2026 02:25:03</t>
  </si>
  <si>
    <t>BMNR (INTRADAY),Máximo 15h30: 25.81,Estado: Forca Consolidada,Entrada: 24.23,Stop: 22.65,Take-Profit: 26.60,Data: 18/09/2026 15:30:55</t>
  </si>
  <si>
    <t>RVOL: 1.11</t>
  </si>
  <si>
    <t>Entrada: 42.23</t>
  </si>
  <si>
    <t>Stop: 41.10</t>
  </si>
  <si>
    <t>Data: 31/07/2026 02:06:15</t>
  </si>
  <si>
    <t>17/09/2026 05:36:16</t>
  </si>
  <si>
    <t>SMCI</t>
  </si>
  <si>
    <t>Super Micro Computer</t>
  </si>
  <si>
    <t>Take-Profit: 43.58</t>
  </si>
  <si>
    <t>Qtd: 22.16</t>
  </si>
  <si>
    <t>SMCI,Preço: 36.85,Dist MM20: -1.89%,Momentum: -0.54,RSI: 51.10,ADX: 22.77,ATR: 2.01,RVOL: 0.85,Estado: Forca Consolidada,Entrada: 36.45,Stop: 34.04,Take-Profit: 40.07,Break-Even: 38.26,Qtd: 20.73,Trailing: 34.04,Data: 17/09/2026 05:36:15</t>
  </si>
  <si>
    <t>Dist MM20: 1.14%</t>
  </si>
  <si>
    <t>SMCI (INTRADAY),Máximo 15h30: 39.77,Estado: Forca Consolidada,Entrada: 37.76,Stop: 35.75,Take-Profit: 40.78,Data: 17/09/2026 15:31:00</t>
  </si>
  <si>
    <t>AAPL,Preço: 333.43,Dist MM20: 2.80%,Momentum: 18.11,RSI: 61.66,ADX: 29.46,ATR: 7.30,RVOL: 1.11,Estado: Observar,Entrada: N/A,Stop: N/A,Take-Profit: N/A,Break-Even: N/A,Qtd: N/A,Data: 31/07/2026 02:06:15</t>
  </si>
  <si>
    <t>LTC,Preço: 42.42,Dist MM20: 1.14%,Momentum: 1.02,RSI: 55.51,ADX: 27.82,ATR: 0.94,RVOL: 1.07,Estado: Alerta Iminente,Entrada: 42.23,Stop: 41.10,Take-Profit: 43.58,Break-Even: 42.91,Qtd: 22.16,Trailing: 41.50,Data: 23/09/2026 06:41:48</t>
  </si>
  <si>
    <t>16/09/2026 03:09:51</t>
  </si>
  <si>
    <t>Cisco</t>
  </si>
  <si>
    <t>23/09/2026 02:22:01</t>
  </si>
  <si>
    <t>CSCO,Preço: 107.74,Dist MM20: -2.08%,Momentum: -4.62,RSI: 41.09,ADX: 25.12,ATR: 2.12,RVOL: 1.12,Estado: Observar,Entrada: N/A,Stop: N/A,Take-Profit: N/A,Break-Even: N/A,Qtd: N/A,Trailing: 103.50,Data: 17/09/2026 02:22:35</t>
  </si>
  <si>
    <t>EL</t>
  </si>
  <si>
    <t>CSCO (INTRADAY),Máximo 15h30: 111.44,Estado: Forca Consolidada,Entrada: 109.32,Stop: 107.20,Take-Profit: 112.50,Data: 17/09/2026 15:31:01</t>
  </si>
  <si>
    <t>RVOL: 0.91</t>
  </si>
  <si>
    <t>Entrada: 99.71</t>
  </si>
  <si>
    <t>Stop: 96.24</t>
  </si>
  <si>
    <t>Take-Profit: 103.87</t>
  </si>
  <si>
    <t>BMNR,Preço: 23.60,Dist MM20: -1.04%,Momentum: -1.22,RSI: 53.46,ADX: 44.08,ATR: 1.59,RVOL: 1.08,Estado: Alerta Iminente,Entrada: 23.28,Stop: 21.37,Take-Profit: 26.14,Break-Even: 24.71,Qtd: 26.21,Trailing: 21.37,Data: 16/09/2026 02:52:36</t>
  </si>
  <si>
    <t>Qtd: 7.21</t>
  </si>
  <si>
    <t>BMNR,Máximo 15h30: 23.59,Estado: Ignorado - S/ Quebra de Fecho,Data: 16/09/2026 15:30:15</t>
  </si>
  <si>
    <t>Dist MM20: 0.51%</t>
  </si>
  <si>
    <t>EL,Preço: 100.29,Dist MM20: 0.51%,Momentum: 0.29,RSI: 57.88,ADX: 24.95,ATR: 2.89,RVOL: 0.91,Estado: Alerta Iminente,Entrada: 99.71,Stop: 96.24,Take-Profit: 103.87,Break-Even: 101.79,Qtd: 7.21,Trailing: 96.24,Data: 23/09/2026 02:22:00</t>
  </si>
  <si>
    <t>ADP</t>
  </si>
  <si>
    <t>Automatic Data Processing</t>
  </si>
  <si>
    <t>ADP,Preço: 276.53,Dist MM20: -0.52%,Momentum: -6.25,RSI: 53.85,ADX: 26.79,ATR: 4.62,RVOL: 1.06,Estado: Alerta Iminente,Entrada: 275.61,Stop: 270.07,Take-Profit: 283.93,Break-Even: 279.77,Qtd: 9.02,Trailing: 270.07,Data: 16/09/2026 02:05:27</t>
  </si>
  <si>
    <t>Time Now</t>
  </si>
  <si>
    <t>23/09/2026 02:07:10</t>
  </si>
  <si>
    <t>ADP (INTRADAY),Máximo 15h30: 277.30,Estado: Forca Consolidada,Entrada: 272.68,Stop: 268.06,Take-Profit: 279.61,Data: 16/09/2026 15:30:15</t>
  </si>
  <si>
    <t>QLYS</t>
  </si>
  <si>
    <t>Quakys</t>
  </si>
  <si>
    <t>RVOL: 1.47</t>
  </si>
  <si>
    <t>QLYS,Preço: 185.37,Dist MM20: 4.84%,Momentum: 9.43,RSI: 57.97,ADX: 23.00,ATR: 9.96,RVOL: 1.77,Estado: Aguardar Recuo,Entrada: 181.39,Stop: 171.43,Take-Profit: 201.31,Break-Even: 191.35,Qtd: 5.02,Trailing: 171.43,Data: 16/09/2026 03:11:58</t>
  </si>
  <si>
    <t>ABNB</t>
  </si>
  <si>
    <t>Entrada: 115.86</t>
  </si>
  <si>
    <t>QLYS (INTRADAY),Máximo 15h30: 175.16,Estado: Forca Consolidada,Entrada: 165.94,Stop: 156.72,Take-Profit: 179.77,Data: 15/09/2026 15:30:36</t>
  </si>
  <si>
    <t>Stop: 113.17</t>
  </si>
  <si>
    <t>Take-Profit: 119.09</t>
  </si>
  <si>
    <t>Airbnb</t>
  </si>
  <si>
    <t>Qtd: 9.30</t>
  </si>
  <si>
    <t>15/09/2026 03:09:52</t>
  </si>
  <si>
    <t>ADSK</t>
  </si>
  <si>
    <t>Autodesk</t>
  </si>
  <si>
    <t>Dist MM20: 3.03%</t>
  </si>
  <si>
    <t>ADSK,Preço: 228.93,Dist MM20: -4.84%,Momentum: -25.49,RSI: 46.86,ADX: 24.86,ATR: 9.29,RVOL: 1.27,Estado: Aguardar Recuo,Entrada: 225.21,Stop: 215.92,Take-Profit: 243.79,Break-Even: 234.50,Qtd: 5.38,Trailing: 215.92,Data: 15/09/2026 06:04:38</t>
  </si>
  <si>
    <t>BABA,Preço: 116.31,Dist MM20: 3.03%,Momentum: 3.46,RSI: 53.69,ADX: 20.42,ATR: 2.24,RVOL: 1.47,Estado: Alerta Iminente,Entrada: 115.86,Stop: 113.17,Take-Profit: 119.09,Break-Even: 117.47,Qtd: 9.30,Trailing: 113.17,Data: 23/09/2026 02:07:09</t>
  </si>
  <si>
    <t>ADSK (INTRADAY),Máximo 15h30: 229.30,Estado: Forca Consolidada,Entrada: 220.01,Stop: 210.72,Take-Profit: 233.95,Data: 15/09/2026 15:30:37</t>
  </si>
  <si>
    <t>22/09/2026 03:45:41</t>
  </si>
  <si>
    <t>11/09/2026 03:09:53</t>
  </si>
  <si>
    <t>UBER</t>
  </si>
  <si>
    <t>Uber</t>
  </si>
  <si>
    <t>UBER,Preço: 72.56,Dist MM20: -4.94%,Momentum: -5.99,RSI: 43.39,ADX: 15.29,ATR: 2.42,RVOL: 2.16,Estado: Aguardar Recuo,Entrada: 71.59,Stop: 69.17,Take-Profit: 76.43,Break-Even: 74.01,Qtd: 20.66,Trailing: 69.17,Data: 11/09/2026 02:38:40</t>
  </si>
  <si>
    <t>PSX</t>
  </si>
  <si>
    <t>Entrada: 260.11</t>
  </si>
  <si>
    <t>04/09/2026 03:09:53</t>
  </si>
  <si>
    <t>Stop: 250.27</t>
  </si>
  <si>
    <t>ADP,Preço: 283.53,Dist MM20: 1.97%,Momentum: 10.57,RSI: 61.89,ADX: 38.04,ATR: 4.93,RVOL: 1.15,Estado: Forca Consolidada,Entrada: 282.54,Stop: 276.62,Take-Profit: 291.41,Break-Even: 286.98,Qtd: 8.45,Trailing: 276.62,Data: 04/09/2026 03:09:49</t>
  </si>
  <si>
    <t>Take-Profit: 271.92</t>
  </si>
  <si>
    <t>Qtd: 3.81</t>
  </si>
  <si>
    <t>ADP,Máximo 15h30: 280.67,Estado: Ignorado - S/ Quebra de Fecho,Data: 04/09/2026 15:31:08</t>
  </si>
  <si>
    <t>Dist MM20: 2.59%</t>
  </si>
  <si>
    <t>PSX,Preço: 261.75,Dist MM20: 2.59%,Momentum: 15.17,RSI: 61.66,ADX: 43.21,ATR: 8.20,RVOL: 1.07,Estado: Alerta Iminente,Entrada: 260.11,Stop: 250.27,Take-Profit: 271.92,Break-Even: 266.01,Qtd: 3.81,Trailing: 250.27,Data: 22/09/2026 03:45:41</t>
  </si>
  <si>
    <t>03/09/2026 02:54:09</t>
  </si>
  <si>
    <t>ABT</t>
  </si>
  <si>
    <t>Abbot Laboratories</t>
  </si>
  <si>
    <t>22/09/2026 03:27:44</t>
  </si>
  <si>
    <t>DBX</t>
  </si>
  <si>
    <t>ABT,Preço: 110.47,Dist MM20: -1.21%,Momentum: -0.80,RSI: 53.05,ADX: 30.59,ATR: 2.32,RVOL: 1.10,Estado: Forca Consolidada,Entrada: 110.01,Stop: 107.23,Take-Profit: 114.19,Break-Even: 112.10,Qtd: 17.96,Trailing: 107.23,Data: 03/09/2026 02:54:08</t>
  </si>
  <si>
    <t>ABT (INTRADAY),Máximo 15h30: 111.99,Estado: Forca Consolidada,Entrada: 109.67,Stop: 107.35,Take-Profit: 113.15,Data: 03/09/2026 15:30:27</t>
  </si>
  <si>
    <t>RVOL: 0.94</t>
  </si>
  <si>
    <t>Entrada: 35.79</t>
  </si>
  <si>
    <t>03/09/2026 02:52:23</t>
  </si>
  <si>
    <t>Stop: 34.48</t>
  </si>
  <si>
    <t>PFE,Preço: 29.02,Dist MM20: 5.22%,Momentum: 2.22,RSI: 71.44,ADX: 48.99,ATR: 0.54,RVOL: 1.06,Estado: Forca Consolidada,Entrada: 28.91,Stop: 28.26,Take-Profit: 29.88,Break-Even: 29.39,Qtd: 77.16,Trailing: 28.26,Data: 03/09/2026 02:52:22</t>
  </si>
  <si>
    <t>PFE (INTRADAY),Máximo 15h30: 29.21,Estado: Forca Consolidada,Entrada: 28.67,Stop: 28.13,Take-Profit: 29.48,Data: 03/09/2026 15:30:27</t>
  </si>
  <si>
    <t>Take-Profit: 37.36</t>
  </si>
  <si>
    <t>Qtd: 19.11</t>
  </si>
  <si>
    <t>Dist MM20: 1.11%</t>
  </si>
  <si>
    <t>ABNB,Preço: 161.81,Dist MM20: -8.01%,Momentum: -20.73,RSI: 35.83,ADX: 23.28,ATR: 4.55,RVOL: 1.11,Estado: Observar,Entrada: N/A,Stop: N/A,Take-Profit: N/A,Break-Even: N/A,Qtd: N/A,Trailing: 152.71,Data: 23/09/2026 06:43:09</t>
  </si>
  <si>
    <t>DBX,Preço: 36.01,Dist MM20: 1.11%,Momentum: 0.82,RSI: 54.79,ADX: 26.79,ATR: 1.09,RVOL: 0.94,Estado: Alerta Iminente,Entrada: 35.79,Stop: 34.48,Take-Profit: 37.36,Break-Even: 36.58,Qtd: 19.11,Trailing: 34.48,Data: 22/09/2026 03:27:43</t>
  </si>
  <si>
    <t>02/09/2026 06:16:47</t>
  </si>
  <si>
    <t>22/09/2026 03:26:01</t>
  </si>
  <si>
    <t>PFE,Preço: 28.55,Dist MM20: 4.12%,Momentum: 2.24,RSI: 68.11,ADX: 47.81,ATR: 0.55,RVOL: 1.09,Estado: Forca Consolidada,Entrada: 28.44,Stop: 27.78,Take-Profit: 29.43,Break-Even: 28.94,Qtd: 75.76,Trailing: 27.78,Data: 02/09/2026 06:16:46</t>
  </si>
  <si>
    <t>Preço: 152.08</t>
  </si>
  <si>
    <t>PFE (INTRADAY),Máximo 15h30: 29.09,Estado: Forca Consolidada,Entrada: 28.54,Stop: 27.99,Take-Profit: 29.36,Data: 02/09/2026 15:30:51</t>
  </si>
  <si>
    <t>RVOL: 0.93</t>
  </si>
  <si>
    <t>Dist MM20: 3.75%</t>
  </si>
  <si>
    <t>Entrada: 151.05</t>
  </si>
  <si>
    <t>02/09/2026 05:58:45</t>
  </si>
  <si>
    <t>Momentum: 3.46</t>
  </si>
  <si>
    <t>Stop: 147.03</t>
  </si>
  <si>
    <t>CVX,Preço: 211.05,Dist MM20: 5.65%,Momentum: 14.45,RSI: 70.80,ADX: 26.70,ATR: 3.38,RVOL: 1.08,Estado: Forca Consolidada,Entrada: 210.37,Stop: 206.31,Take-Profit: 216.45,Break-Even: 213.41,Qtd: 12.33,Trailing: 206.31,Data: 02/09/2026 05:58:44</t>
  </si>
  <si>
    <t>RSI: 60.76</t>
  </si>
  <si>
    <t>CVX (INTRADAY),Máximo 15h30: 212.72,Estado: Forca Consolidada,Entrada: 209.34,Stop: 205.96,Take-Profit: 214.41,Data: 02/09/2026 15:30:52</t>
  </si>
  <si>
    <t>Take-Profit: 155.87</t>
  </si>
  <si>
    <t>ADX: 16.86</t>
  </si>
  <si>
    <t>Qtd: 6.22</t>
  </si>
  <si>
    <t>01/09/2026 05:10:37</t>
  </si>
  <si>
    <t>ATR: 3.81</t>
  </si>
  <si>
    <t>Dist MM20: 0.18%</t>
  </si>
  <si>
    <t>BMNR,Preço: 25.32,Dist MM20: 22.21%,Momentum: 7.23,RSI: 71.03,ADX: 41.44,ATR: 1.39,RVOL: 1.03,Estado: Forca Consolidada,Entrada: 25.04,Stop: 23.37,Take-Profit: 27.54,Break-Even: 26.29,Qtd: 29.98,Trailing: 23.16,Data: 01/09/2026 05:10:36</t>
  </si>
  <si>
    <t>EMR,Preço: 151.72,Dist MM20: 0.18%,Momentum: -0.72,RSI: 50.74,ADX: 22.62,ATR: 3.35,RVOL: 0.93,Estado: Alerta Iminente,Entrada: 151.05,Stop: 147.03,Take-Profit: 155.87,Break-Even: 153.46,Qtd: 6.22,Trailing: 147.03,Data: 22/09/2026 03:26:00</t>
  </si>
  <si>
    <t>RVOL: 0.90</t>
  </si>
  <si>
    <t>BMNR,Máximo 15h30: 24.58,Estado: Ignorado - S/ Quebra de Fecho,Data: 01/09/2026 15:30:27</t>
  </si>
  <si>
    <t>Data: 31/07/2026 04:52:48</t>
  </si>
  <si>
    <t>22/09/2026 03:21:57</t>
  </si>
  <si>
    <t>01/09/2026 03:52:05</t>
  </si>
  <si>
    <t>ABNB,Preço: 152.08,Dist MM20: 3.75%,Momentum: 3.46,RSI: 60.76,ADX: 16.86,ATR: 3.81,RVOL: 0.90,Estado: Observar,Entrada: N/A,Stop: N/A,Take-Profit: N/A,Break-Even: N/A,Qtd: N/A,Data: 31/07/2026 04:52:48</t>
  </si>
  <si>
    <t>PFE,Preço: 28.46,Dist MM20: 4.39%,Momentum: 1.84,RSI: 67.44,ADX: 46.55,ATR: 0.52,RVOL: 1.19,Estado: Forca Consolidada,Entrada: 28.36,Stop: 27.74,Take-Profit: 29.30,Break-Even: 28.83,Qtd: 80.13,Trailing: 27.74,Data: 01/09/2026 03:52:04</t>
  </si>
  <si>
    <t>RVOL: 0.95</t>
  </si>
  <si>
    <t>PFE (INTRADAY),Máximo 15h30: 29.09,Estado: Forca Consolidada,Entrada: 28.57,Stop: 28.05,Take-Profit: 29.35,Data: 01/09/2026 15:30:27</t>
  </si>
  <si>
    <t>Entrada: 13.31</t>
  </si>
  <si>
    <t>Stop: 12.59</t>
  </si>
  <si>
    <t>Take-Profit: 14.17</t>
  </si>
  <si>
    <t>01/09/2026 03:34:28</t>
  </si>
  <si>
    <t>CRM</t>
  </si>
  <si>
    <t>Salesforce US</t>
  </si>
  <si>
    <t>Qtd: 34.72</t>
  </si>
  <si>
    <t>CRM,Preço: 257.54,Dist MM20: 24.32%,Momentum: 60.07,RSI: 81.12,ADX: 30.57,ATR: 9.09,RVOL: 1.34,Estado: Forca Consolidada,Entrada: 255.72,Stop: 244.81,Take-Profit: 272.08,Break-Even: 263.90,Qtd: 4.58,Trailing: 240.36,Data: 01/09/2026 03:34:28</t>
  </si>
  <si>
    <t>Dist MM20: 0.80%</t>
  </si>
  <si>
    <t>CRM (INTRADAY),Máximo 15h30: 260.89,Estado: Forca Consolidada,Entrada: 251.80,Stop: 242.71,Take-Profit: 265.44,Data: 01/09/2026 15:30:27</t>
  </si>
  <si>
    <t>AMPL,Preço: 13.43,Dist MM20: 0.80%,Momentum: -0.67,RSI: 56.97,ADX: 25.78,ATR: 0.60,RVOL: 0.95,Estado: Alerta Iminente,Entrada: 13.31,Stop: 12.59,Take-Profit: 14.17,Break-Even: 13.74,Qtd: 34.72,Trailing: 12.59,Data: 22/09/2026 03:21:56</t>
  </si>
  <si>
    <t>01/09/2026 02:19:17</t>
  </si>
  <si>
    <t>ADBE</t>
  </si>
  <si>
    <t>Adobe Inc US</t>
  </si>
  <si>
    <t>22/09/2026 02:39:14</t>
  </si>
  <si>
    <t>ADBE,Preço: 292.79,Dist MM20: 8.31%,Momentum: 29.08,RSI: 69.32,ADX: 25.96,ATR: 9.40,RVOL: 1.19,Estado: Forca Consolidada,Entrada: 290.91,Stop: 279.63,Take-Profit: 307.83,Break-Even: 299.37,Qtd: 4.43,Trailing: 279.63,Data: 01/09/2026 02:19:17</t>
  </si>
  <si>
    <t>ADBE (INTRADAY),Máximo 15h30: 294.30,Estado: Forca Consolidada,Entrada: 284.90,Stop: 275.50,Take-Profit: 299.00,Data: 01/09/2026 15:30:28</t>
  </si>
  <si>
    <t>RVOL: 0.85</t>
  </si>
  <si>
    <t>Entrada: 27.66</t>
  </si>
  <si>
    <t>Stop: 27.16</t>
  </si>
  <si>
    <t>31/08/2026 02:38:20</t>
  </si>
  <si>
    <t>TYL</t>
  </si>
  <si>
    <t>Tyler Tec</t>
  </si>
  <si>
    <t>Take-Profit: 28.26</t>
  </si>
  <si>
    <t>Qtd: 49.60</t>
  </si>
  <si>
    <t>TYL,Preço: 377.94,Dist MM20: 13.40%,Momentum: 59.31,RSI: 72.72,ADX: 28.91,ATR: 12.37,RVOL: 1.46,Estado: Forca Consolidada,Entrada: 375.47,Stop: 360.63,Take-Profit: 397.74,Break-Even: 386.61,Qtd: 3.37,Trailing: 360.63,Data: 31/08/2026 02:38:19</t>
  </si>
  <si>
    <t>Dist MM20: -1.07%</t>
  </si>
  <si>
    <t>TYL (INTRADAY),Máximo 15h30: 380.12,Estado: Forca Consolidada,Entrada: 367.75,Stop: 355.38,Take-Profit: 386.30,Data: 31/08/2026 15:30:35</t>
  </si>
  <si>
    <t>PFE,Preço: 27.74,Dist MM20: -1.07%,Momentum: -0.72,RSI: 53.42,ADX: 31.39,ATR: 0.42,RVOL: 0.85,Estado: Alerta Iminente,Entrada: 27.66,Stop: 27.16,Take-Profit: 28.26,Break-Even: 27.96,Qtd: 49.60,Trailing: 27.01,Data: 22/09/2026 02:39:14</t>
  </si>
  <si>
    <t>31/08/2026 02:24:40</t>
  </si>
  <si>
    <t>22/09/2026 02:07:09</t>
  </si>
  <si>
    <t>CRM,Preço: 256.00,Dist MM20: 25.75%,Momentum: 58.49,RSI: 80.79,ADX: 28.23,ATR: 8.80,RVOL: 2.25,Estado: Forca Consolidada,Entrada: 254.24,Stop: 243.68,Take-Profit: 270.08,Break-Even: 262.16,Qtd: 4.73,Trailing: 240.36,Data: 31/08/2026 02:24:40</t>
  </si>
  <si>
    <t>CRM (INTRADAY),Máximo 15h30: 260.37,Estado: Forca Consolidada,Entrada: 251.57,Stop: 242.77,Take-Profit: 264.77,Data: 31/08/2026 15:30:35</t>
  </si>
  <si>
    <t>31/08/2026 02:20:55</t>
  </si>
  <si>
    <t>MSFT,Preço: 513.53,Dist MM20: 4.09%,Momentum: 7.47,RSI: 73.07,ADX: 36.73,ATR: 9.31,RVOL: 1.02,Estado: Forca Consolidada,Entrada: 511.67,Stop: 500.50,Take-Profit: 528.43,Break-Even: 520.05,Qtd: 4.48,Trailing: 500.50,Data: 31/08/2026 02:20:54</t>
  </si>
  <si>
    <t>Entrada: 115.34</t>
  </si>
  <si>
    <t>MSFT,Máximo 15h30: 511.68,Estado: Ignorado - S/ Quebra de Fecho,Data: 31/08/2026 15:30:36</t>
  </si>
  <si>
    <t>Stop: 112.88</t>
  </si>
  <si>
    <t>Take-Profit: 118.29</t>
  </si>
  <si>
    <t>Qtd: 10.16</t>
  </si>
  <si>
    <t>Dist MM20: 2.43%</t>
  </si>
  <si>
    <t>BABA,Preço: 115.75,Dist MM20: 2.43%,Momentum: 1.73,RSI: 52.69,ADX: 20.82,ATR: 2.05,RVOL: 0.91,Estado: Alerta Iminente,Entrada: 115.34,Stop: 112.88,Take-Profit: 118.29,Break-Even: 116.81,Qtd: 10.16,Trailing: 112.88,Data: 22/09/2026 02:07:09</t>
  </si>
  <si>
    <t>21/09/2026 08:35:12</t>
  </si>
  <si>
    <t>TEAM</t>
  </si>
  <si>
    <t>31/08/2026 02:04:25</t>
  </si>
  <si>
    <t>ANF</t>
  </si>
  <si>
    <t>Abercrombie &amp; Fitch</t>
  </si>
  <si>
    <t>ANF,Preço: 148.42,Dist MM20: 28.59%,Momentum: 29.89,RSI: 77.72,ADX: 32.37,ATR: 6.57,RVOL: 1.09,Estado: Forca Consolidada,Entrada: 147.11,Stop: 139.23,Take-Profit: 158.94,Break-Even: 153.03,Qtd: 6.34,Trailing: 139.23,Data: 31/08/2026 02:04:24</t>
  </si>
  <si>
    <t>RVOL: 2.38</t>
  </si>
  <si>
    <t>ANF (INTRADAY),Máximo 15h30: 148.74,Estado: Forca Consolidada,Entrada: 142.17,Stop: 135.60,Take-Profit: 152.02,Data: 31/08/2026 15:30:36</t>
  </si>
  <si>
    <t>Entrada: 190.41</t>
  </si>
  <si>
    <t>Stop: 180.76</t>
  </si>
  <si>
    <t>ABT,Preço: 103.69,Dist MM20: -2.92%,Momentum: -5.24,RSI: 42.27,ADX: 25.38,ATR: 2.31,RVOL: 0.96,Estado: Observar,Entrada: N/A,Stop: N/A,Take-Profit: N/A,Break-Even: N/A,Qtd: N/A,Trailing: 99.07,Data: 23/09/2026 02:04:47</t>
  </si>
  <si>
    <t>Take-Profit: 204.88</t>
  </si>
  <si>
    <t>28/08/2026 02:45:35</t>
  </si>
  <si>
    <t>BLK</t>
  </si>
  <si>
    <t>RVOL: 1.27</t>
  </si>
  <si>
    <t>Entrada: 1163.84</t>
  </si>
  <si>
    <t>Qtd: 5.18</t>
  </si>
  <si>
    <t>Stop: 1141.44</t>
  </si>
  <si>
    <t>Take-Profit: 1197.45</t>
  </si>
  <si>
    <t>Qtd: 2.23</t>
  </si>
  <si>
    <t>Dist MM20: 1.56%</t>
  </si>
  <si>
    <t>BLK,Preço: 1167.57,Dist MM20: 1.56%,Momentum: 31.18,RSI: 61.00,ADX: 31.27,ATR: 18.67,RVOL: 1.27,Estado: Alerta Iminente,Entrada: 1163.84,Stop: 1141.44,Take-Profit: 1197.45,Break-Even: 1180.64,Qtd: 2.23,Trailing: 1141.44,Data: 28/08/2026 02:45:35</t>
  </si>
  <si>
    <t>Dist MM20: 4.45%</t>
  </si>
  <si>
    <t>BLK (INTRADAY),Máximo 15h30: 1182.50,Estado: Forca Consolidada,Entrada: 1163.83,Stop: 1145.16,Take-Profit: 1191.84,Data: 28/08/2026 15:30:19</t>
  </si>
  <si>
    <t>TEAM,Preço: 192.02,Dist MM20: 4.45%,Momentum: 1.61,RSI: 65.74,ADX: 42.95,ATR: 8.04,RVOL: 2.38,Estado: Alerta Iminente,Entrada: 190.41,Stop: 180.76,Take-Profit: 204.88,Break-Even: 197.64,Qtd: 5.18,Trailing: 180.76,Data: 21/09/2026 08:35:12</t>
  </si>
  <si>
    <t>Preço: 105.61</t>
  </si>
  <si>
    <t>Dist MM20: 7.15%</t>
  </si>
  <si>
    <t>21/09/2026 08:24:42</t>
  </si>
  <si>
    <t>28/08/2026 02:44:49</t>
  </si>
  <si>
    <t>AutoDesk</t>
  </si>
  <si>
    <t>Momentum: 11.68</t>
  </si>
  <si>
    <t>SPCX</t>
  </si>
  <si>
    <t>ADSK,Preço: 270.58,Dist MM20: 8.67%,Momentum: 21.50,RSI: 69.89,ADX: 25.41,ATR: 8.87,RVOL: 2.12,Estado: Forca Consolidada,Entrada: 268.81,Stop: 258.17,Take-Profit: 284.78,Break-Even: 276.79,Qtd: 4.70,Trailing: 258.17,Data: 28/08/2026 02:44:49</t>
  </si>
  <si>
    <t>RSI: 66.64</t>
  </si>
  <si>
    <t>ADSK,Máximo 15h30: 267.00,Estado: Ignorado - S/ Quebra de Fecho,Data: 28/08/2026 15:30:23</t>
  </si>
  <si>
    <t>RVOL: 3.78</t>
  </si>
  <si>
    <t>ADX: 31.05</t>
  </si>
  <si>
    <t>Entrada: 151.38</t>
  </si>
  <si>
    <t>ATR: 2.71</t>
  </si>
  <si>
    <t>Stop: 143.42</t>
  </si>
  <si>
    <t>28/08/2026 02:38:55</t>
  </si>
  <si>
    <t>RVOL: 0.50</t>
  </si>
  <si>
    <t>Take-Profit: 163.31</t>
  </si>
  <si>
    <t>Qtd: 6.28</t>
  </si>
  <si>
    <t>Data: 31/07/2026 02:37:35</t>
  </si>
  <si>
    <t>Dist MM20: 5.07%</t>
  </si>
  <si>
    <t>TYL,Preço: 369.88,Dist MM20: 12.13%,Momentum: 57.43,RSI: 70.40,ADX: 27.49,ATR: 12.59,RVOL: 1.67,Estado: Forca Consolidada,Entrada: 367.36,Stop: 352.25,Take-Profit: 390.02,Break-Even: 378.69,Qtd: 3.31,Trailing: 352.25,Data: 28/08/2026 02:38:55</t>
  </si>
  <si>
    <t>SPCX,Preço: 152.71,Dist MM20: 5.07%,Momentum: 11.21,RSI: 58.21,ADX: 25.93,ATR: 6.63,RVOL: 3.78,Estado: Alerta Iminente,Entrada: 151.38,Stop: 143.42,Take-Profit: 163.31,Break-Even: 157.34,Qtd: 6.28,Trailing: 143.42,Data: 21/09/2026 08:24:41</t>
  </si>
  <si>
    <t>TYL (INTRADAY),Máximo 15h30: 375.68,Estado: Forca Consolidada,Entrada: 363.09,Stop: 350.50,Take-Profit: 381.97,Data: 28/08/2026 15:30:27</t>
  </si>
  <si>
    <t>ABT,Preço: 105.61,Dist MM20: 7.15%,Momentum: 11.68,RSI: 66.64,ADX: 31.05,ATR: 2.71,RVOL: 0.50,Estado: Observar,Entrada: N/A,Stop: N/A,Take-Profit: N/A,Break-Even: N/A,Qtd: N/A,Data: 31/07/2026 02:37:35</t>
  </si>
  <si>
    <t>21/09/2026 08:07:00</t>
  </si>
  <si>
    <t>28/08/2026 02:36:46</t>
  </si>
  <si>
    <t>J</t>
  </si>
  <si>
    <t>Atlassian</t>
  </si>
  <si>
    <t>TEAM,Preço: 185.62,Dist MM20: 23.29%,Momentum: 36.55,RSI: 77.75,ADX: 49.70,ATR: 8.71,RVOL: 1.12,Estado: Forca Consolidada,Entrada: 183.88,Stop: 173.43,Take-Profit: 199.56,Break-Even: 191.72,Qtd: 4.78,Trailing: 173.43,Data: 28/08/2026 02:36:45</t>
  </si>
  <si>
    <t>TEAM (INTRADAY),Máximo 15h30: 193.40,Estado: Forca Consolidada,Entrada: 184.69,Stop: 175.98,Take-Profit: 197.75,Data: 28/08/2026 15:30:28</t>
  </si>
  <si>
    <t>RVOL: 2.60</t>
  </si>
  <si>
    <t>Entrada: 142.81</t>
  </si>
  <si>
    <t>28/08/2026 02:34:18</t>
  </si>
  <si>
    <t>SAP</t>
  </si>
  <si>
    <t>Stop: 139.25</t>
  </si>
  <si>
    <t>SAP,Preço: 221.17,Dist MM20: 6.60%,Momentum: 15.01,RSI: 71.12,ADX: 41.88,ATR: 4.85,RVOL: 1.29,Estado: Forca Consolidada,Entrada: 220.20,Stop: 214.38,Take-Profit: 228.93,Break-Even: 224.56,Qtd: 8.59,Trailing: 214.38,Data: 28/08/2026 02:34:18</t>
  </si>
  <si>
    <t>Take-Profit: 148.16</t>
  </si>
  <si>
    <t>SAP (INTRADAY),Máximo 15h30: 222.32,Estado: Forca Consolidada,Entrada: 217.47,Stop: 212.62,Take-Profit: 224.75,Data: 28/08/2026 15:30:28</t>
  </si>
  <si>
    <t>Qtd: 14.03</t>
  </si>
  <si>
    <t>ACN</t>
  </si>
  <si>
    <t>Dist MM20: -2.16%</t>
  </si>
  <si>
    <t>28/08/2026 02:33:06</t>
  </si>
  <si>
    <t>J,Preço: 143.40,Dist MM20: -2.16%,Momentum: -8.58,RSI: 48.15,ADX: 26.64,ATR: 2.97,RVOL: 2.60,Estado: Alerta Iminente,Entrada: 142.81,Stop: 139.25,Take-Profit: 148.16,Break-Even: 145.49,Qtd: 14.03,Trailing: 139.25,Data: 21/09/2026 08:07:00</t>
  </si>
  <si>
    <t>BMNR,Preço: 25.63,Dist MM20: 28.17%,Momentum: 6.81,RSI: 79.80,ADX: 39.67,ATR: 1.24,RVOL: 1.47,Estado: Forca Consolidada,Entrada: 25.38,Stop: 23.89,Take-Profit: 27.61,Break-Even: 26.49,Qtd: 33.60,Trailing: 23.16,Data: 28/08/2026 02:33:06</t>
  </si>
  <si>
    <t>Accenture</t>
  </si>
  <si>
    <t>BMNR (INTRADAY),Máximo 15h30: 25.68,Estado: Forca Consolidada,Entrada: 24.44,Stop: 23.20,Take-Profit: 26.30,Data: 28/08/2026 15:30:29</t>
  </si>
  <si>
    <t>28/08/2026 02:32:55</t>
  </si>
  <si>
    <t>21/09/2026 07:53:22</t>
  </si>
  <si>
    <t>CRM,Preço: 252.05,Dist MM20: 26.04%,Momentum: 59.31,RSI: 79.97,ADX: 25.72,ATR: 8.35,RVOL: 3.94,Estado: Forca Consolidada,Entrada: 250.38,Stop: 240.36,Take-Profit: 265.41,Break-Even: 257.89,Qtd: 4.99,Trailing: 240.36,Data: 28/08/2026 02:32:54</t>
  </si>
  <si>
    <t>CRM (INTRADAY),Máximo 15h30: 261.50,Estado: Forca Consolidada,Entrada: 253.15,Stop: 244.80,Take-Profit: 265.68,Data: 28/08/2026 15:30:29</t>
  </si>
  <si>
    <t>28/08/2026 02:25:01</t>
  </si>
  <si>
    <t>RVOL: 2.18</t>
  </si>
  <si>
    <t>Qualys US</t>
  </si>
  <si>
    <t>QLYS,Preço: 188.59,Dist MM20: 4.94%,Momentum: 5.11,RSI: 64.18,ADX: 36.32,ATR: 7.85,RVOL: 1.29,Estado: Forca Consolidada,Entrada: 187.02,Stop: 177.60,Take-Profit: 201.15,Break-Even: 194.09,Qtd: 5.31,Trailing: 177.60,Data: 28/08/2026 02:25:00</t>
  </si>
  <si>
    <t>Entrada: 36.26</t>
  </si>
  <si>
    <t>QLYS,Máximo 15h30: 187.50,Estado: Ignorado - S/ Quebra de Fecho,Data: 28/08/2026 15:30:30</t>
  </si>
  <si>
    <t>Stop: 34.95</t>
  </si>
  <si>
    <t>Take-Profit: 38.22</t>
  </si>
  <si>
    <t>Qtd: 38.23</t>
  </si>
  <si>
    <t>28/08/2026 02:10:03</t>
  </si>
  <si>
    <t>Essilor</t>
  </si>
  <si>
    <t>Dist MM20: 2.65%</t>
  </si>
  <si>
    <t>R2 Down</t>
  </si>
  <si>
    <t>EL,Preço: 106.21,Dist MM20: 15.61%,Momentum: 17.86,RSI: 77.58,ADX: 29.37,ATR: 2.88,RVOL: 1.25,Estado: Forca Consolidada,Entrada: 105.63,Stop: 102.17,Take-Profit: 110.81,Break-Even: 108.22,Qtd: 14.47,Trailing: 102.17,Data: 28/08/2026 02:10:02</t>
  </si>
  <si>
    <t>DBX,Preço: 36.48,Dist MM20: 2.65%,Momentum: 0.78,RSI: 57.84,ADX: 27.54,ATR: 1.09,RVOL: 2.18,Estado: Alerta Iminente,Entrada: 36.26,Stop: 34.95,Take-Profit: 38.22,Break-Even: 37.24,Qtd: 38.23,Trailing: 34.95,Data: 21/09/2026 07:53:19</t>
  </si>
  <si>
    <t>EL (INTRADAY),Máximo 15h30: 107.43,Estado: Forca Consolidada,Entrada: 104.55,Stop: 101.67,Take-Profit: 108.87,Data: 28/08/2026 15:30:32</t>
  </si>
  <si>
    <t>21/09/2026 07:34:39</t>
  </si>
  <si>
    <t>ACN,Preço: 183.72,Dist MM20: -1.40%,Momentum: -4.37,RSI: 51.15,ADX: 18.44,ATR: 6.24,RVOL: 0.80,Estado: Observar,Entrada: N/A,Stop: N/A,Take-Profit: N/A,Break-Even: N/A,Qtd: N/A,Trailing: 171.24,Data: 23/09/2026 06:44:26</t>
  </si>
  <si>
    <t>27/08/2026 02:49:17</t>
  </si>
  <si>
    <t>DASH</t>
  </si>
  <si>
    <t>DoorDash</t>
  </si>
  <si>
    <t>DASH,Preço: 236.93,Dist MM20: 10.31%,Momentum: 23.67,RSI: 77.05,ADX: 37.58,ATR: 8.11,RVOL: 1.09,Estado: Forca Consolidada,Entrada: 235.31,Stop: 225.58,Take-Profit: 249.91,Break-Even: 242.61,Qtd: 5.14,Trailing: 225.58,Data: 27/08/2026 02:49:17</t>
  </si>
  <si>
    <t>Preço: 163.29</t>
  </si>
  <si>
    <t>DASH,Máximo 15h30: 235.94,Estado: Ignorado - S/ Quebra de Fecho,Data: 27/08/2026 15:30:26</t>
  </si>
  <si>
    <t>Dist MM20: 12.89%</t>
  </si>
  <si>
    <t>RVOL: 1.17</t>
  </si>
  <si>
    <t>Momentum: 28.06</t>
  </si>
  <si>
    <t>27/08/2026 02:04:18</t>
  </si>
  <si>
    <t>Entrada: 13.08</t>
  </si>
  <si>
    <t>RSI: 60.57</t>
  </si>
  <si>
    <t>ANF,Preço: 147.75,Dist MM20: 33.46%,Momentum: 37.27,RSI: 79.06,ADX: 27.73,ATR: 6.21,RVOL: 9.23,Estado: Forca Consolidada,Entrada: 146.51,Stop: 139.06,Take-Profit: 157.69,Break-Even: 152.10,Qtd: 6.71,Trailing: 139.06,Data: 27/08/2026 02:04:17</t>
  </si>
  <si>
    <t>ADX: 21.73</t>
  </si>
  <si>
    <t>Stop: 12.36</t>
  </si>
  <si>
    <t>ANF (INTRADAY),Máximo 15h30: 150.50,Estado: Forca Consolidada,Entrada: 144.29,Stop: 138.08,Take-Profit: 153.60,Data: 27/08/2026 15:30:27</t>
  </si>
  <si>
    <t>ATR: 6.90</t>
  </si>
  <si>
    <t>Take-Profit: 14.16</t>
  </si>
  <si>
    <t>26/08/2026 02:04:27</t>
  </si>
  <si>
    <t>Qtd: 69.44</t>
  </si>
  <si>
    <t>RVOL: 2.05</t>
  </si>
  <si>
    <t>RVOL: 1.02</t>
  </si>
  <si>
    <t>Entrada: 107.96</t>
  </si>
  <si>
    <t>Stop: 102.30</t>
  </si>
  <si>
    <t>Take-Profit: 116.46</t>
  </si>
  <si>
    <t>Dist MM20: -0.88%</t>
  </si>
  <si>
    <t>Qtd: 8.83</t>
  </si>
  <si>
    <t>Dist MM20: 0.42%</t>
  </si>
  <si>
    <t>Data: 31/07/2026 03:50:33</t>
  </si>
  <si>
    <t>ANF,Preço: 108.90,Dist MM20: 0.42%,Momentum: -0.55,RSI: 55.69,ADX: 25.14,ATR: 4.72,RVOL: 2.05,Estado: Alerta Iminente,Entrada: 107.96,Stop: 102.30,Take-Profit: 116.46,Break-Even: 112.21,Qtd: 8.83,Trailing: 102.30,Data: 26/08/2026 02:04:27</t>
  </si>
  <si>
    <t>AMPL,Preço: 13.20,Dist MM20: -0.88%,Momentum: -1.10,RSI: 54.88,ADX: 26.49,ATR: 0.60,RVOL: 1.17,Estado: Alerta Iminente,Entrada: 13.08,Stop: 12.36,Take-Profit: 14.16,Break-Even: 13.62,Qtd: 69.44,Trailing: 12.36,Data: 21/09/2026 07:34:38</t>
  </si>
  <si>
    <t>26/08/2026 06:23:08</t>
  </si>
  <si>
    <t>ARES</t>
  </si>
  <si>
    <t>Ares Management</t>
  </si>
  <si>
    <t>ACN,Preço: 163.29,Dist MM20: 12.89%,Momentum: 28.06,RSI: 60.57,ADX: 21.73,ATR: 6.90,RVOL: 1.02,Estado: Observar,Entrada: N/A,Stop: N/A,Take-Profit: N/A,Break-Even: N/A,Qtd: N/A,Data: 31/07/2026 03:50:33</t>
  </si>
  <si>
    <t>ARES,Preço: 142.76,Dist MM20: 2.75%,Momentum: 2.99,RSI: 59.11,ADX: 32.02,ATR: 4.67,RVOL: 1.19,Estado: Forca Consolidada,Entrada: 141.83,Stop: 136.23,Take-Profit: 150.24,Break-Even: 146.04,Qtd: 8.92,Trailing: 136.23,Data: 26/08/2026 06:23:07</t>
  </si>
  <si>
    <t>21/09/2026 07:24:49</t>
  </si>
  <si>
    <t>26/08/2026 06:21:58</t>
  </si>
  <si>
    <t>TEM</t>
  </si>
  <si>
    <t>Tempus AI US</t>
  </si>
  <si>
    <t>R2 Up</t>
  </si>
  <si>
    <t>TEM,Preço: 68.73,Dist MM20: 27.76%,Momentum: 22.03,RSI: 66.09,ADX: 30.66,ATR: 4.45,RVOL: 1.21,Estado: Forca Consolidada,Entrada: 67.84,Stop: 62.50,Take-Profit: 75.85,Break-Even: 71.84,Qtd: 9.36,Trailing: 62.50,Data: 26/08/2026 06:21:58</t>
  </si>
  <si>
    <t>Entrada: 38.67</t>
  </si>
  <si>
    <t>26/08/2026 06:12:07</t>
  </si>
  <si>
    <t>Stop: 36.16</t>
  </si>
  <si>
    <t>BMNR,Preço: 24.82,Dist MM20: 29.24%,Momentum: 6.39,RSI: 78.06,ADX: 34.42,ATR: 1.18,RVOL: 1.65,Estado: Forca Consolidada,Entrada: 24.58,Stop: 23.16,Take-Profit: 26.70,Break-Even: 25.64,Qtd: 35.31,Trailing: 23.16,Data: 26/08/2026 06:12:07</t>
  </si>
  <si>
    <t>Take-Profit: 42.43</t>
  </si>
  <si>
    <t>Qtd: 19.94</t>
  </si>
  <si>
    <t>26/08/2026 02:21:32</t>
  </si>
  <si>
    <t>MRNA</t>
  </si>
  <si>
    <t>Moderna</t>
  </si>
  <si>
    <t>Dist MM20: 3.20%</t>
  </si>
  <si>
    <t>MRNA,Preço: 158.83,Dist MM20: 93.97%,Momentum: 102.58,RSI: 72.50,ADX: 37.21,ATR: 13.03,RVOL: 1.78,Estado: Forca Consolidada,Entrada: 156.22,Stop: 140.58,Take-Profit: 179.67,Break-Even: 167.94,Qtd: 3.20,Trailing: 140.58,Data: 26/08/2026 02:21:31</t>
  </si>
  <si>
    <t>SMCI,Preço: 39.09,Dist MM20: 3.20%,Momentum: 2.01,RSI: 55.42,ADX: 23.53,ATR: 2.09,RVOL: 1.27,Estado: Alerta Iminente,Entrada: 38.67,Stop: 36.16,Take-Profit: 42.43,Break-Even: 40.55,Qtd: 19.94,Trailing: 36.16,Data: 21/09/2026 07:24:49</t>
  </si>
  <si>
    <t>26/08/2026 02:20:04</t>
  </si>
  <si>
    <t>21/09/2026 07:20:54</t>
  </si>
  <si>
    <t>OR,Preço: 38.92,Dist MM20: 17.19%,Momentum: 6.68,RSI: 77.42,ADX: 31.46,ATR: 1.08,RVOL: 1.08,Estado: Forca Consolidada,Entrada: 38.70,Stop: 37.40,Take-Profit: 40.64,Break-Even: 39.67,Qtd: 38.58,Trailing: 37.40,Data: 26/08/2026 02:20:04</t>
  </si>
  <si>
    <t>25/08/2026 04:53:29</t>
  </si>
  <si>
    <t>BMNR,Preço: 24.14,Dist MM20: 28.12%,Momentum: 6.04,RSI: 76.59,ADX: 31.68,ATR: 1.10,RVOL: 1.86,Estado: Forca Consolidada,Entrada: 23.92,Stop: 22.60,Take-Profit: 25.90,Break-Even: 24.91,Qtd: 113.64,Trailing: 22.60,Data: 25/08/2026 04:53:28</t>
  </si>
  <si>
    <t>RVOL: 2.45</t>
  </si>
  <si>
    <t>BMNR (INTRADAY),Máximo 15h30: 25.35,Estado: Forca Consolidada,Entrada: 24.25,Stop: 23.15,Take-Profit: 25.90,Data: 25/08/2026 15:30:28</t>
  </si>
  <si>
    <t>Entrada: 42.38</t>
  </si>
  <si>
    <t>Stop: 41.28</t>
  </si>
  <si>
    <t>25/08/2026 02:20:52</t>
  </si>
  <si>
    <t>MA</t>
  </si>
  <si>
    <t>MasterCard US</t>
  </si>
  <si>
    <t>Take-Profit: 44.04</t>
  </si>
  <si>
    <t>W</t>
  </si>
  <si>
    <t>Qtd: 45.29</t>
  </si>
  <si>
    <t>MA,Preço: 599.86,Dist MM20: 5.12%,Momentum: 28.76,RSI: 73.33,ADX: 34.88,ATR: 9.94,RVOL: 1.00,Estado: Forca Consolidada,Entrada: 597.87,Stop: 585.94,Take-Profit: 615.76,Break-Even: 606.82,Qtd: 12.58,Trailing: 585.94,Data: 25/08/2026 02:20:51</t>
  </si>
  <si>
    <t>MA (INTRADAY),Máximo 15h30: 601.18,Estado: Forca Consolidada,Entrada: 591.24,Stop: 581.30,Take-Profit: 606.15,Data: 25/08/2026 15:30:29</t>
  </si>
  <si>
    <t>Dist MM20: 2.04%</t>
  </si>
  <si>
    <t>LTC,Preço: 42.56,Dist MM20: 2.04%,Momentum: 1.94,RSI: 57.64,ADX: 29.10,ATR: 0.92,RVOL: 2.45,Estado: Alerta Iminente,Entrada: 42.38,Stop: 41.28,Take-Profit: 44.04,Break-Even: 43.21,Qtd: 45.29,Trailing: 41.28,Data: 21/09/2026 07:20:53</t>
  </si>
  <si>
    <t>ADBE,Preço: 238.25,Dist MM20: -10.35%,Momentum: -47.83,RSI: 37.39,ADX: 21.84,ATR: 8.84,RVOL: 1.28,Estado: Observar,Entrada: N/A,Stop: N/A,Take-Profit: N/A,Break-Even: N/A,Qtd: N/A,Trailing: 220.57,Data: 23/09/2026 02:05:04</t>
  </si>
  <si>
    <t>25/08/2026 02:20:14</t>
  </si>
  <si>
    <t>21/09/2026 07:19:38</t>
  </si>
  <si>
    <t>OR,Preço: 37.49,Dist MM20: 14.52%,Momentum: 6.73,RSI: 74.05,ADX: 29.53,ATR: 0.99,RVOL: 2.25,Estado: Forca Consolidada,Entrada: 37.29,Stop: 36.10,Take-Profit: 39.07,Break-Even: 38.18,Qtd: 126.26,Trailing: 36.10,Data: 25/08/2026 02:20:13</t>
  </si>
  <si>
    <t>Preço: 247.90</t>
  </si>
  <si>
    <t>ALTG</t>
  </si>
  <si>
    <t>OR (INTRADAY),Máximo 15h30: 38.34,Estado: Forca Consolidada,Entrada: 37.35,Stop: 36.36,Take-Profit: 38.84,Data: 25/08/2026 15:30:29</t>
  </si>
  <si>
    <t>Dist MM20: 8.00%</t>
  </si>
  <si>
    <t>RVOL: 1.42</t>
  </si>
  <si>
    <t>Momentum: 24.26</t>
  </si>
  <si>
    <t>Entrada: 6.02</t>
  </si>
  <si>
    <t>25/08/2026 02:04:29</t>
  </si>
  <si>
    <t>RSI: 58.84</t>
  </si>
  <si>
    <t>ANF,Preço: 112.36,Dist MM20: 3.89%,Momentum: 2.16,RSI: 61.35,ADX: 26.07,ATR: 4.69,RVOL: 1.28,Estado: Forca Consolidada,Entrada: 111.42,Stop: 105.79,Take-Profit: 119.86,Break-Even: 115.64,Qtd: 26.65,Trailing: 105.79,Data: 25/08/2026 02:04:28</t>
  </si>
  <si>
    <t>Stop: 5.64</t>
  </si>
  <si>
    <t>ADX: 17.19</t>
  </si>
  <si>
    <t>ANF (INTRADAY),Máximo 15h30: 112.89,Estado: Forca Consolidada,Entrada: 108.20,Stop: 103.51,Take-Profit: 115.23,Data: 25/08/2026 15:30:30</t>
  </si>
  <si>
    <t>Take-Profit: 6.60</t>
  </si>
  <si>
    <t>ATR: 10.79</t>
  </si>
  <si>
    <t>Qtd: 130.21</t>
  </si>
  <si>
    <t>RVOL: 1.18</t>
  </si>
  <si>
    <t>24/08/2026 02:49:19</t>
  </si>
  <si>
    <t>Dist MM20: 1.23%</t>
  </si>
  <si>
    <t>Data: 31/07/2026 02:04:27</t>
  </si>
  <si>
    <t>ALTG,Preço: 6.08,Dist MM20: 1.23%,Momentum: 0.19,RSI: 47.76,ADX: 21.08,ATR: 0.32,RVOL: 1.42,Estado: Alerta Iminente,Entrada: 6.02,Stop: 5.64,Take-Profit: 6.60,Break-Even: 6.31,Qtd: 130.21,Trailing: 5.64,Data: 21/09/2026 07:19:37</t>
  </si>
  <si>
    <t>ABT,Preço: 116.64,Dist MM20: 6.76%,Momentum: 9.52,RSI: 77.80,ADX: 36.26,ATR: 2.17,RVOL: 1.16,Estado: Forca Consolidada,Entrada: 116.21,Stop: 113.61,Take-Profit: 120.12,Break-Even: 118.16,Qtd: 57.60,Trailing: 113.61,Data: 24/08/2026 02:49:18</t>
  </si>
  <si>
    <t>21/09/2026 07:18:08</t>
  </si>
  <si>
    <t>ABT (INTRADAY),Máximo 15h30: 117.34,Estado: Forca Consolidada,Entrada: 115.17,Stop: 113.00,Take-Profit: 118.42,Data: 24/08/2026 15:30:42</t>
  </si>
  <si>
    <t>ADBE,Preço: 247.90,Dist MM20: 8.00%,Momentum: 24.26,RSI: 58.84,ADX: 17.19,ATR: 10.79,RVOL: 1.18,Estado: Observar,Entrada: N/A,Stop: N/A,Take-Profit: N/A,Break-Even: N/A,Qtd: N/A,Data: 31/07/2026 02:04:27</t>
  </si>
  <si>
    <t>RVOL: 4.83</t>
  </si>
  <si>
    <t>24/08/2026 02:46:52</t>
  </si>
  <si>
    <t>Entrada: 208.71</t>
  </si>
  <si>
    <t>ADP,Preço: 280.81,Dist MM20: 3.73%,Momentum: 11.03,RSI: 65.52,ADX: 37.85,ATR: 5.90,RVOL: 1.05,Estado: Forca Consolidada,Entrada: 279.63,Stop: 272.55,Take-Profit: 290.25,Break-Even: 284.94,Qtd: 21.19,Trailing: 272.55,Data: 24/08/2026 02:46:51</t>
  </si>
  <si>
    <t>Stop: 203.89</t>
  </si>
  <si>
    <t>ADP (INTRADAY),Máximo 15h30: 285.59,Estado: Forca Consolidada,Entrada: 279.69,Stop: 273.79,Take-Profit: 288.54,Data: 24/08/2026 15:31:06</t>
  </si>
  <si>
    <t>Take-Profit: 215.95</t>
  </si>
  <si>
    <t>Qtd: 10.36</t>
  </si>
  <si>
    <t>24/08/2026 02:43:31</t>
  </si>
  <si>
    <t>Dist MM20: 0.44%</t>
  </si>
  <si>
    <t>BMNR,Preço: 22.83,Dist MM20: 23.20%,Momentum: 5.41,RSI: 73.40,ADX: 28.94,ATR: 1.04,RVOL: 1.66,Estado: Forca Consolidada,Entrada: 22.62,Stop: 21.37,Take-Profit: 24.49,Break-Even: 23.55,Qtd: 120.19,Trailing: 21.37,Data: 24/08/2026 02:43:31</t>
  </si>
  <si>
    <t>CVX,Preço: 209.51,Dist MM20: 0.44%,Momentum: 7.65,RSI: 54.92,ADX: 31.51,ATR: 4.02,RVOL: 4.83,Estado: Alerta Iminente,Entrada: 208.71,Stop: 203.89,Take-Profit: 215.95,Break-Even: 212.33,Qtd: 10.36,Trailing: 203.89,Data: 21/09/2026 07:18:07</t>
  </si>
  <si>
    <t>BMNR (INTRADAY),Máximo 15h30: 24.19,Estado: Forca Consolidada,Entrada: 23.15,Stop: 22.11,Take-Profit: 24.71,Data: 24/08/2026 15:31:07</t>
  </si>
  <si>
    <t>21/09/2026 07:06:03</t>
  </si>
  <si>
    <t>24/08/2026 02:38:01</t>
  </si>
  <si>
    <t>AI</t>
  </si>
  <si>
    <t>RVOL: 1.72</t>
  </si>
  <si>
    <t>TEM,Preço: 72.69,Dist MM20: 41.58%,Momentum: 26.64,RSI: 75.09,ADX: 27.36,ATR: 3.83,RVOL: 2.31,Estado: Forca Consolidada,Entrada: 71.92,Stop: 67.32,Take-Profit: 78.81,Break-Even: 75.37,Qtd: 32.64,Trailing: 67.32,Data: 24/08/2026 02:37:59</t>
  </si>
  <si>
    <t>TEM,Máximo 15h30: 72.02,Estado: Ignorado - S/ Quebra de Fecho,Data: 24/08/2026 15:31:08</t>
  </si>
  <si>
    <t>Entrada: 10.38</t>
  </si>
  <si>
    <t>Stop: 9.78</t>
  </si>
  <si>
    <t>24/08/2026 02:21:52</t>
  </si>
  <si>
    <t>Take-Profit: 11.28</t>
  </si>
  <si>
    <t>SB</t>
  </si>
  <si>
    <t>Qtd: 83.33</t>
  </si>
  <si>
    <t>MRNA,Preço: 145.13,Dist MM20: 99.99%,Momentum: 89.99,RSI: 71.60,ADX: 29.65,ATR: 10.94,RVOL: 3.63,Estado: Forca Consolidada,Entrada: 142.94,Stop: 129.81,Take-Profit: 162.63,Break-Even: 152.78,Qtd: 11.43,Trailing: 129.81,Data: 24/08/2026 02:21:49</t>
  </si>
  <si>
    <t>Dist MM20: 0.06%</t>
  </si>
  <si>
    <t>MRNA (INTRADAY),Máximo 15h30: 145.49,Estado: Forca Consolidada,Entrada: 134.55,Stop: 123.61,Take-Profit: 150.96,Data: 24/08/2026 15:31:08</t>
  </si>
  <si>
    <t>AI,Preço: 10.48,Dist MM20: 0.06%,Momentum: -0.05,RSI: 51.72,ADX: 23.08,ATR: 0.50,RVOL: 1.72,Estado: Alerta Iminente,Entrada: 10.38,Stop: 9.78,Take-Profit: 11.28,Break-Even: 10.83,Qtd: 83.33,Trailing: 9.78,Data: 21/09/2026 07:06:03</t>
  </si>
  <si>
    <t>24/08/2026 02:19:49</t>
  </si>
  <si>
    <t>21/09/2026 06:56:31</t>
  </si>
  <si>
    <t>OR,Preço: 36.09,Dist MM20: 11.59%,Momentum: 5.66,RSI: 69.98,ADX: 27.84,ATR: 0.93,RVOL: 1.46,Estado: Forca Consolidada,Entrada: 35.90,Stop: 34.78,Take-Profit: 37.57,Break-Even: 36.73,Qtd: 134.41,Trailing: 34.78,Data: 24/08/2026 02:19:46</t>
  </si>
  <si>
    <t>OR (INTRADAY),Máximo 15h30: 36.85,Estado: Forca Consolidada,Entrada: 35.92,Stop: 34.99,Take-Profit: 37.32,Data: 24/08/2026 15:31:09</t>
  </si>
  <si>
    <t>RVOL: 2.65</t>
  </si>
  <si>
    <t>24/08/2026 02:04:18</t>
  </si>
  <si>
    <t>Entrada: 131.19</t>
  </si>
  <si>
    <t>Stop: 127.34</t>
  </si>
  <si>
    <t>ANF,Preço: 109.01,Dist MM20: 1.40%,Momentum: 0.19,RSI: 57.46,ADX: 26.30,ATR: 4.72,RVOL: 1.00,Estado: Forca Consolidada,Entrada: 108.07,Stop: 102.41,Take-Profit: 116.57,Break-Even: 112.32,Qtd: 26.48,Trailing: 102.41,Data: 24/08/2026 02:04:17</t>
  </si>
  <si>
    <t>Take-Profit: 136.97</t>
  </si>
  <si>
    <t>ANF (INTRADAY),Máximo 15h30: 113.42,Estado: Forca Consolidada,Entrada: 108.70,Stop: 103.98,Take-Profit: 115.78,Data: 24/08/2026 15:31:32</t>
  </si>
  <si>
    <t>ADP,Preço: 269.64,Dist MM20: -2.42%,Momentum: -13.85,RSI: 46.09,ADX: 19.79,ATR: 4.78,RVOL: 0.86,Estado: Observar,Entrada: N/A,Stop: N/A,Take-Profit: N/A,Break-Even: N/A,Qtd: N/A,Trailing: 260.08,Data: 23/09/2026 02:05:22</t>
  </si>
  <si>
    <t>Qtd: 12.98</t>
  </si>
  <si>
    <t>Dist MM20: -1.91%</t>
  </si>
  <si>
    <t>21/08/2026 11:39:59</t>
  </si>
  <si>
    <t>COP,Preço: 131.83,Dist MM20: -1.91%,Momentum: 1.48,RSI: 50.03,ADX: 23.87,ATR: 3.21,RVOL: 2.65,Estado: Alerta Iminente,Entrada: 131.19,Stop: 127.34,Take-Profit: 136.97,Break-Even: 134.08,Qtd: 12.98,Trailing: 128.72,Data: 21/09/2026 06:56:30</t>
  </si>
  <si>
    <t>CVX,Preço: 205.77,Dist MM20: 5.39%,Momentum: 8.94,RSI: 69.81,ADX: 27.36,ATR: 3.71,RVOL: 1.01,Estado: Forca Consolidada,Entrada: 205.03,Stop: 200.58,Take-Profit: 211.71,Break-Even: 208.37,Qtd: 33.69,Trailing: 200.58,Data: 21/08/2026 11:39:59</t>
  </si>
  <si>
    <t>CVX (INTRADAY),Máximo 15h30: 207.82,Estado: Forca Consolidada,Entrada: 204.11,Stop: 200.40,Take-Profit: 209.68,Data: 21/08/2026 15:30:07</t>
  </si>
  <si>
    <t>Preço: 270.62</t>
  </si>
  <si>
    <t>21/09/2026 04:19:42</t>
  </si>
  <si>
    <t>Dist MM20: 6.50%</t>
  </si>
  <si>
    <t>21/08/2026 10:39:01</t>
  </si>
  <si>
    <t>Momentum: 23.15</t>
  </si>
  <si>
    <t>RVOL: 1.28</t>
  </si>
  <si>
    <t>TEM,Preço: 66.65,Dist MM20: 33.72%,Momentum: 22.78,RSI: 70.71,ADX: 25.09,ATR: 3.62,RVOL: 3.15,Estado: Forca Consolidada,Entrada: 65.93,Stop: 61.59,Take-Profit: 72.45,Break-Even: 69.19,Qtd: 34.53,Trailing: 61.59,Data: 21/08/2026 10:39:00</t>
  </si>
  <si>
    <t>TEM (INTRADAY),Máximo 15h30: 68.90,Estado: Forca Consolidada,Entrada: 65.28,Stop: 61.66,Take-Profit: 70.71,Data: 21/08/2026 15:30:07</t>
  </si>
  <si>
    <t>Entrada: 361.89</t>
  </si>
  <si>
    <t>RSI: 67.16</t>
  </si>
  <si>
    <t>ADX: 36.53</t>
  </si>
  <si>
    <t>21/08/2026 05:55:02</t>
  </si>
  <si>
    <t>Stop: 347.63</t>
  </si>
  <si>
    <t>BMNR,Preço: 21.57,Dist MM20: 18.66%,Momentum: 4.29,RSI: 69.72,ADX: 26.49,ATR: 0.99,RVOL: 1.91,Estado: Forca Consolidada,Entrada: 21.37,Stop: 20.18,Take-Profit: 23.15,Break-Even: 22.26,Qtd: 126.26,Trailing: 20.18,Data: 21/08/2026 05:55:02</t>
  </si>
  <si>
    <t>ATR: 8.27</t>
  </si>
  <si>
    <t>Take-Profit: 383.27</t>
  </si>
  <si>
    <t>BMNR (INTRADAY),Máximo 15h30: 22.81,Estado: Forca Consolidada,Entrada: 21.82,Stop: 20.83,Take-Profit: 23.30,Data: 21/08/2026 15:30:08</t>
  </si>
  <si>
    <t>RVOL: 1.03</t>
  </si>
  <si>
    <t>21/08/2026 02:39:05</t>
  </si>
  <si>
    <t>Trailing: 259.05</t>
  </si>
  <si>
    <t>DASH,Preço: 222.36,Dist MM20: 7.97%,Momentum: 26.20,RSI: 69.23,ADX: 31.71,ATR: 7.81,RVOL: 1.30,Estado: Forca Consolidada,Entrada: 220.80,Stop: 211.43,Take-Profit: 234.86,Break-Even: 227.83,Qtd: 16.01,Trailing: 211.43,Data: 21/08/2026 02:39:04</t>
  </si>
  <si>
    <t>DASH (INTRADAY),Máximo 15h30: 223.63,Estado: Forca Consolidada,Entrada: 215.81,Stop: 208.00,Take-Profit: 227.53,Data: 21/08/2026 15:30:08</t>
  </si>
  <si>
    <t>21/08/2026 02:19:51</t>
  </si>
  <si>
    <t>OR,Preço: 35.29,Dist MM20: 10.30%,Momentum: 5.53,RSI: 67.26,ADX: 26.63,ATR: 0.93,RVOL: 1.13,Estado: Forca Consolidada,Entrada: 35.10,Stop: 33.98,Take-Profit: 36.77,Break-Even: 35.94,Qtd: 134.41,Trailing: 33.98,Data: 21/08/2026 02:19:51</t>
  </si>
  <si>
    <t>ADP,Preço: 270.62,Dist MM20: 6.50%,Momentum: 23.15,RSI: 67.16,ADX: 36.53,ATR: 8.27,RVOL: 1.03,Estado: Forca Consolidada,Entrada: 268.97,Stop: 259.05,Take-Profit: 283.86,Break-Even: 276.42,Qtd: 5.04,Trailing: 259.05,Data: 05/08/2026 10:33:05</t>
  </si>
  <si>
    <t>OR (INTRADAY),Máximo 15h30: 36.29,Estado: Forca Consolidada,Entrada: 35.36,Stop: 34.43,Take-Profit: 36.76,Data: 21/08/2026 15:30:09</t>
  </si>
  <si>
    <t>21/08/2026 02:05:05</t>
  </si>
  <si>
    <t>BABA,Preço: 130.53,Dist MM20: 5.28%,Momentum: 8.28,RSI: 63.55,ADX: 27.79,ATR: 3.11,RVOL: 2.68,Estado: Forca Consolidada,Entrada: 129.91,Stop: 126.18,Take-Profit: 135.51,Break-Even: 132.71,Qtd: 40.19,Trailing: 126.18,Data: 21/08/2026 02:05:05</t>
  </si>
  <si>
    <t>BABA,Máximo 15h30: 125.61,Estado: Ignorado - S/ Quebra de Fecho,Data: 21/08/2026 15:30:13</t>
  </si>
  <si>
    <t>Qtd: 3.51</t>
  </si>
  <si>
    <t>20/08/2026 02:37:53</t>
  </si>
  <si>
    <t>Dist MM20: 1.30%</t>
  </si>
  <si>
    <t>PFE,Preço: 28.24,Dist MM20: 8.68%,Momentum: 3.33,RSI: 75.38,ADX: 33.92,ATR: 0.56,RVOL: 1.46,Estado: Forca Consolidada,Entrada: 28.13,Stop: 27.46,Take-Profit: 29.14,Break-Even: 28.63,Qtd: 148.81,Trailing: 27.46,Data: 20/08/2026 02:37:53</t>
  </si>
  <si>
    <t>TSLA,Preço: 364.27,Dist MM20: 1.30%,Momentum: 15.52,RSI: 53.77,ADX: 20.84,ATR: 11.88,RVOL: 1.28,Estado: Alerta Iminente,Entrada: 361.89,Stop: 347.63,Take-Profit: 383.27,Break-Even: 372.58,Qtd: 3.51,Trailing: 347.63,Data: 21/09/2026 04:19:42</t>
  </si>
  <si>
    <t>PFE,Máximo 15h30: 28.09,Estado: Ignorado - S/ Quebra de Fecho,Data: 20/08/2026 15:30:36</t>
  </si>
  <si>
    <t>21/09/2026 04:06:47</t>
  </si>
  <si>
    <t>20/08/2026 02:19:50</t>
  </si>
  <si>
    <t>OR,Preço: 34.90,Dist MM20: 10.15%,Momentum: 4.21,RSI: 65.85,ADX: 25.57,ATR: 0.90,RVOL: 1.56,Estado: Forca Consolidada,Entrada: 34.72,Stop: 33.64,Take-Profit: 36.34,Break-Even: 35.53,Qtd: 92.59,Trailing: 33.64,Data: 20/08/2026 02:19:49</t>
  </si>
  <si>
    <t>OR (INTRADAY),Máximo 15h30: 35.48,Estado: Forca Consolidada,Entrada: 34.58,Stop: 33.68,Take-Profit: 35.93,Data: 20/08/2026 15:30:36</t>
  </si>
  <si>
    <t>RVOL: 0.88</t>
  </si>
  <si>
    <t>20/08/2026 02:05:01</t>
  </si>
  <si>
    <t>Entrada: 208.50</t>
  </si>
  <si>
    <t>Stop: 202.81</t>
  </si>
  <si>
    <t>BABA,Preço: 128.90,Dist MM20: 4.66%,Momentum: 12.58,RSI: 61.58,ADX: 29.23,ATR: 2.73,RVOL: 1.22,Estado: Forca Consolidada,Entrada: 128.35,Stop: 125.07,Take-Profit: 133.26,Break-Even: 130.81,Qtd: 30.53,Trailing: 125.07,Data: 20/08/2026 02:05:00</t>
  </si>
  <si>
    <t>BABA,Máximo 15h30: 126.92,Estado: Ignorado - S/ Quebra de Fecho,Data: 20/08/2026 15:30:36</t>
  </si>
  <si>
    <t>Take-Profit: 217.03</t>
  </si>
  <si>
    <t>Qtd: 8.79</t>
  </si>
  <si>
    <t>Dist MM20: -2.28%</t>
  </si>
  <si>
    <t>19/08/2026 02:49:24</t>
  </si>
  <si>
    <t>SAP,Preço: 209.45,Dist MM20: -2.28%,Momentum: -12.09,RSI: 50.80,ADX: 27.85,ATR: 4.74,RVOL: 0.88,Estado: Alerta Iminente,Entrada: 208.50,Stop: 202.81,Take-Profit: 217.03,Break-Even: 212.76,Qtd: 8.79,Trailing: 202.81,Data: 21/09/2026 04:06:46</t>
  </si>
  <si>
    <t>ADP,Preço: 269.31,Dist MM20: 1.38%,Momentum: -4.06,RSI: 57.62,ADX: 37.39,ATR: 6.38,RVOL: 1.10,Estado: Forca Consolidada,Entrada: 268.03,Stop: 260.37,Take-Profit: 279.51,Break-Even: 273.77,Qtd: 13.06,Trailing: 260.37,Data: 19/08/2026 02:49:23</t>
  </si>
  <si>
    <t>ADP (INTRADAY),Máximo 15h30: 277.95,Estado: Forca Consolidada,Entrada: 271.57,Stop: 265.19,Take-Profit: 281.14,Data: 19/08/2026 15:30:08</t>
  </si>
  <si>
    <t>21/09/2026 03:49:36</t>
  </si>
  <si>
    <t>19/08/2026 02:39:47</t>
  </si>
  <si>
    <t>RVOL: 1.50</t>
  </si>
  <si>
    <t>DASH,Preço: 216.35,Dist MM20: 7.53%,Momentum: 22.82,RSI: 65.45,ADX: 29.89,ATR: 7.79,RVOL: 1.29,Estado: Forca Consolidada,Entrada: 214.79,Stop: 205.44,Take-Profit: 228.81,Break-Even: 221.80,Qtd: 10.70,Trailing: 205.44,Data: 19/08/2026 02:39:47</t>
  </si>
  <si>
    <t>Entrada: 36.52</t>
  </si>
  <si>
    <t>DASH (INTRADAY),Máximo 15h30: 220.70,Estado: Forca Consolidada,Entrada: 212.91,Stop: 205.12,Take-Profit: 224.59,Data: 19/08/2026 15:30:09</t>
  </si>
  <si>
    <t>Stop: 35.22</t>
  </si>
  <si>
    <t>Take-Profit: 38.46</t>
  </si>
  <si>
    <t>19/08/2026 02:21:08</t>
  </si>
  <si>
    <t>Qtd: 38.58</t>
  </si>
  <si>
    <t>Dist MM20: -0.37%</t>
  </si>
  <si>
    <t>MA,Preço: 574.31,Dist MM20: 2.20%,Momentum: 10.99,RSI: 62.70,ADX: 32.25,ATR: 10.21,RVOL: 1.29,Estado: Forca Consolidada,Entrada: 572.27,Stop: 560.02,Take-Profit: 590.65,Break-Even: 581.46,Qtd: 8.16,Trailing: 560.02,Data: 19/08/2026 02:21:07</t>
  </si>
  <si>
    <t>ANF,96.04,4.47%,3.72,59.91,19.38,3.92,0.51,AguardarRecuo,94.47,90.55,102.31,98.39,12.76,23/07/202611:19:37
ACN,140.09,3.15%,8.96,45.87,19.21,6.06,0.38,Observar,N/A,N/A,N/A,N/A,N/A,23/07/202611:19:54
ADS,179.05,-1.14%,-3.40,53.18,25.32,4.02,14.45,ForcaConsolidada,178.25,173.43,185.49,181.87,10.36,23/07/202611:20:11
ADBE,218.36,-0.07%,7.38,46.18,15.16,8.55,0.73,Observar,N/A,N/A,N/A,N/A,N/A,23/07/202609:49:16
ADYEN,820.90,-2.24%,-34.10,43.17,13.07,28.57,0.85,AguardarRecuo,809.47,780.90,866.61,838.04,1.75,23/07/202611:20:28
AHLA,#ERRO_LIMITE_CHAVES,Todasaschavesesgotaram,,,,,,,,,,,,
BABA,116.56,9.27%,18.57,57.05,29.49,2.74,0.49,Observar,N/A,N/A,N/A,N/A,N/A,23/07/202609:49:32
ALV,119.01,-0.06%,5.67,47.88,13.04,2.64,0.75,AguardarRecuo,117.95,115.31,123.23,120.59,18.94,23/07/202611:21:04
GOOGL,#ERRO_LIMITE_CHAVES,Todasaschavesesgotaram,,,,,,,,,,,,
AMZ,#ERRO_LIMITE_CHAVES,Todasaschavesesgotaram,,,,,,,,,,,,
AMZN,244.85,0.51%,3.15,48.40,20.39,6.05,0.60,Observar,N/A,N/A,N/A,N/A,N/A,23/07/202609:50:07
AMD,552.33,3.71%,11.45,56.09,16.32,30.92,0.87,AguardarRecuo,539.96,509.04,601.80,570.88,1.62,23/07/202609:50:24
AS,34.38,-0.76%,0.27,46.70,12.73,1.24,0.91,Observar,N/A,N/A,N/A,N/A,N/A,23/07/202611:21:41
AMPL,8.74,-0.19%,0.19,52.37,33.03,0.60,0.92,Observar,N/A,N/A,N/A,N/A,N/A,23/07/202611:21:59
APC,20.71,6.43%,2.50,59.92,24.10,0.72,0.91,Observar,N/A,N/A,N/A,N/A,N/A,23/07/202611:22:16
AAPL,325.89,5.10%,31.51,62.54,27.09,7.82,0.59,Observar,N/A,N/A,N/A,N/A,N/A,23/07/202610:19:17
APP,412.48,-13.93%,-152.13,34.61,20.31,28.27,1.42,Observar,N/A,N/A,N/A,N/A,N/A,23/07/202611:22:33
ANET,174.87,1.98%,8.25,53.95,15.28,10.00,0.31,AguardarRecuo,170.87,160.87,190.87,180.87,5.00,23/07/202611:22:51
ASML,1801.86,0.05%,-41.18,51.96,11.83,63.68,0.47,AguardarRecuo,1776.39,1712.71,1903.75,1840.07,0.79,23/07/202610:19:35
ASTS,61.95,-13.18%,-24.15,39.77,22.00,5.48,0.57,Observar,N/A,N/A,N/A,N/A,N/A,23/07/202611:23:08
TEAM,85.40,-1.45%,2.23,46.46,16.58,5.65,0.81,Observar,N/A,N/A,N/A,N/A,N/A,23/07/202611:23:26
BAYN,#ERRO_LIMITE_CHAVES,Todasaschavesesgotaram,,,,,,,,,,,,
BRK.B,489.39,-1.24%,-10.35,46.58,16.10,6.59,0.70,Observar,N/A,N/A,N/A,N/A,N/A,23/07/202609:51:13
BBAI,2.88,-12.05%,-0.76,30.43,29.26,0.18,0.74,Observar,N/A,N/A,N/A,N/A,N/A,23/07/202611:24:03
BMW,#ERRO_LIMITE_CHAVES,Todasaschavesesgotaram,,,,,,,,,,,,
BA,208.65,-4.52%,-9.93,40.15,13.90,5.74,1.08,AguardarRecuo,206.35,200.61,217.83,212.09,8.71,23/07/202611:24:19
BOSS,#ERRO_LIMITE_CHAVES,Todasaschavesesgotaram,,,,,,,,,,,,
AVGO,396.81,4.22%,27.47,53.57,15.79,13.88,0.65,AguardarRecuo,391.26,377.38,419.02,405.14,3.60,23/07/202609:52:03
BYDDY,11.15,6.36%,1.37,55.39,22.87,0.14,0.08,Observar,N/A,N/A,N/A,N/A,N/A,23/07/202609:52:19
AI,8.19,-8.50%,-1.24,31.61,19.76,0.48,0.97,Observar,N/A,N/A,N/A,N/A,N/A,23/07/202611:24:36
CAP,19.50,0.00%,0.00,59.04,19.41,0.00,0.05,Observar,N/A,N/A,N/A,N/A,N/A,23/07/202611:24:54
CELH,28.47,-5.45%,-3.40,41.98,14.39,1.34,1.53,AguardarRecuo,27.93,26.59,30.61,29.27,37.31,23/07/202611:34:36
CNA,51.85,2.51%,2.21,62.64,35.92,1.09,0.63,Observar,N/A,N/A,N/A,N/A,N/A,23/07/202611:34:53
CSCO,112.21,-2.48%,-4.80,45.42,20.76,3.64,0.51,AguardarRecuo,110.75,107.11,118.03,114.39,13.74,23/07/202610:14:30
CLSK,15.32,9.58%,1.71,55.34,16.75,1.20,0.70,Observar,N/A,N/A,N/A,N/A,N/A,23/07/202611:35:10
NET,268.98,3.71%,22.67,58.35,22.68,13.42,0.73,Observar,N/A,N/A,N/A,N/A,N/A,23/07/202610:20:35
CNXC,23.89,0.91%,-0.52,48.30,14.58,1.60,0.43,AguardarRecuo,23.25,21.65,26.45,24.85,31.25,23/07/202611:35:28
DTG,16.71,-1.07%,-0.33,37.99,18.32,0.12,0.31,Observar,N/A,N/A,N/A,N/A,N/A,23/07/202611:14:16
DBX,28.69,-0.09%,0.28,50.66,16.45,0.89,1.01,Observar,N/A,N/A,N/A,N/A,N/A,23/07/202611:35:45
BROS,64.95,-3.95%,-8.36,48.61,20.19,3.09,0.52,Observar,N/A,N/A,N/A,N/A,N/A,23/07/202611:36:01
EBAY,110.95,-1.54%,-0.33,47.41,13.85,2.85,1.20,Observar,N/A,N/A,N/A,N/A,N/A,23/07/202609:53:08
LLY,1163.01,-1.73%,-28.73,50.96,20.18,34.23,0.54,Observar,N/A,N/A,N/A,N/A,N/A,23/07/202609:53:25
ENVX,4.68,-11.92%,-1.17,36.30,27.10,0.37,0.51,Observar,N/A,N/A,N/A,N/A,N/A,23/07/202611:36:18
EL,82.63,0.55%,0.16,49.33,8.56,2.55,0.53,AguardarRecuo,81.61,79.06,86.71,84.16,19.61,23/07/202610:20:53
GALP,#ERRO_LIMITE_CHAVES,Todasaschavesesgotaram,,,,,,,,,,,,
GRMN,240.51,-0.43%,2.87,49.10,14.34,5.75,0.48,AguardarRecuo,238.21,232.46,249.71,243.96,8.70,23/07/202610:21:09
HEIA,#ERRO_LIMITE_CHAVES,Todasaschavesesgotaram,,,,,,,,,,,,
HEN3,#ERRO_LIMITE_CHAVES,Todasaschavesesgotaram,,,,,,,,,,,,
HSBA,#ERRO_LIMITE_CHAVES,Todasaschavesesgotaram,,,,,,,,,,,,
HSBC,103.11,5.38%,7.30,67.19,17.92,1.43,1.34,AguardarRecuo,102.54,101.11,105.40,103.97,34.97,23/07/202611:37:34
IDR,29.81,-3.89%,-2.94,42.42,12.73,1.68,0.55,AguardarRecuo,29.14,27.46,32.50,30.82,29.76,23/07/202611:37:52
IFX,#ERRO_LIMITE_CHAVES,Todasaschavesesgotaram,,,,,,,,,,,,
INL,#ERRO_LIMITE_CHAVES,Todasaschavesesgotaram,,,,,,,,,,,,
INTC,102.62,-10.29%,-24.40,43.45,20.70,6.54,0.73,Observar,N/A,N/A,N/A,N/A,N/A,23/07/202609:54:30
IONQ,#ERRO_LIMITE_CHAVES,Todasaschavesesgotaram,,,,,,,,,,,,
LMT,514.36,-0.41%,-7.46,47.53,12.50,12.22,0.76,AguardarRecuo,509.47,497.25,533.91,521.69,4.09,23/07/202610:04:16
OR,29.49,-1.75%,-1.91,41.36,21.80,0.97,0.55,AguardarRecuo,29.10,28.13,31.04,30.07,51.55,23/07/202610:04:32
MRVL,210.99,-11.08%,-61.06,43.51,24.97,14.86,0.56,AguardarRecuo,205.05,190.19,234.77,219.91,3.36,23/07/202610:04:51
M4I,#ERRO_LIMITE_CHAVES,Todasaschavesesgotaram,,,,,,,,,,,,
MA,531.98,1.08%,9.54,55.25,28.57,11.45,0.64,Observar,N/A,N/A,N/A,N/A,N/A,23/07/202610:05:07
MBG,#ERRO_LIMITE_CHAVES,Todasaschavesesgotaram,,,,,,,,,,,,
META,627.17,1.82%,14.26,51.52,15.24,24.24,0.54,Observar,N/A,N/A,N/A,N/A,N/A,23/07/202611:39:25
MSFT,390.34,1.48%,6.06,49.17,12.74,9.77,0.64,Observar,N/A,N/A,N/A,N/A,N/A,23/07/202610:05:44
MRNA,58.07,-14.89%,-14.43,41.51,25.80,4.45,0.46,Observar,N/A,N/A,N/A,N/A,N/A,23/07/202610:06:00
MNDY,73.91,-5.09%,-2.35,43.29,14.01,4.57,2.14,AguardarRecuo,72.08,67.51,81.22,76.65,10.94,23/07/202611:39:42
NFC,#ERRO_LIMITE_CHAVES,Todasaschavesesgotaram,,,,,,,,,,,,
NFLX,68.53,-6.08%,-5.66,32.29,35.08,2.26,0.86,Observar,N/A,N/A,N/A,N/A,N/A,23/07/202610:03:32
NKE,42.21,-1.39%,-0.85,44.21,11.57,1.38,0.70,Observar,N/A,N/A,N/A,N/A,N/A,23/07/202610:06:16
NKE,42.21,-1.39%,-0.85,44.21,11.57,1.38,0.70,Observar,N/A,N/A,N/A,N/A,N/A,23/07/202610:06:33
NOVN,#ERRO_LIMITE_CHAVES,Todasaschavesesgotaram,,,,,,,,,,,,
NOV,20.33,7.55%,2.23,63.09,15.96,0.49,0.92,AguardarRecuo,20.13,19.64,21.11,20.62,102.04,23/07/202611:49:35
NVO,48.19,-1.92%,-0.58,50.44,24.79,1.10,0.83,Observar,N/A,N/A,N/A,N/A,N/A,23/07/202611:49:52
NVD,4.54,-10.54%,-0.80,42.12,12.98,0.35,1.52,Observar,N/A,N/A,N/A,N/A,N/A,23/07/202611:50:08
NVDA,212.06,4.83%,14.48,56.18,13.39,7.21,0.95,AguardarRecuo,209.18,201.97,223.60,216.39,6.93,23/07/202610:07:09
ORC,6.69,-2.27%,-0.23,44.33,19.19,0.14,0.67,Observar,N/A,N/A,N/A,N/A,N/A,23/07/202611:50:42
ORCL,125.84,-8.92%,-16.66,32.42,38.99,6.28,0.53,Observar,N/A,N/A,N/A,N/A,N/A,23/07/202610:07:25
PTX,#ERRO_LIMITE_CHAVES,Todasaschavesesgotaram,,,,,,,,,,,,
PLTR,124.57,-1.62%,-1.16,43.71,12.62,6.31,0.91,Observar,N/A,N/A,N/A,N/A,N/A,23/07/202610:07:42
PANW,335.28,-0.08%,-16.76,55.54,43.81,18.76,0.81,Observar,N/A,N/A,N/A,N/A,N/A,23/07/202610:07:59
2PP,#ERRO_LIMITE_CHAVES,Todasaschavesesgotaram,,,,,,,,,,,,
PDD,83.59,1.64%,1.07,49.00,16.67,1.97,0.56,Observar,N/A,N/A,N/A,N/A,N/A,23/07/202610:08:15
PEP,135.65,-2.43%,-5.51,41.36,16.53,3.16,0.65,AguardarRecuo,134.39,131.23,140.71,137.55,15.82,23/07/202610:08:32
PHIA,#ERRO_LIMITE_CHAVES,Todasaschavesesgotaram,,,,,,,,,,,,
P911,#ERRO_LIMITE_CHAVES,Todasaschavesesgotaram,,,,,,,,,,,,
PRG,45.00,0.31%,-0.17,58.41,38.85,1.78,0.40,Observar,N/A,N/A,N/A,N/A,N/A,23/07/202611:53:21
PG,149.13,0.15%,1.70,51.48,10.91,2.93,0.59,AguardarRecuo,147.96,145.03,153.82,150.89,17.06,23/07/202610:09:07
PG,149.13,0.15%,1.70,51.48,10.91,2.93,0.59,AguardarRecuo,147.96,145.03,153.82,150.89,17.06,23/07/202610:09:24
QLYS,140.23,-4.15%,-3.21,50.35,42.45,8.87,0.81,Observar,N/A,N/A,N/A,N/A,N/A,23/07/202610:09:41
QUBT,7.91,-9.36%,-1.52,40.17,14.97,0.54,0.74,Observar,N/A,N/A,N/A,N/A,N/A,23/07/202611:54:33
QS,5.87,-12.45%,-1.74,35.27,16.48,0.41,1.08,Observar,N/A,N/A,N/A,N/A,N/A,23/07/202611:54:49
RL,387.14,-0.96%,-10.88,50.57,18.38,12.26,0.76,AguardarRecuo,382.24,369.98,406.76,394.50,4.08,23/07/202612:04:36
RHM,#ERRO_LIMITE_CHAVES,Todasaschavesesgotaram,,,,,,,,,,,,
RGTI,15.23,-9.43%,-3.45,38.99,28.99,1.01,1.35,Observar,N/A,N/A,N/A,N/A,N/A,23/07/202612:04:54
HOOD,104.48,-2.30%,-4.17,51.00,22.55,6.14,0.46,Observar,N/A,N/A,N/A,N/A,N/A,23/07/202612:05:10
RKLB,69.75,-15.23%,-30.32,34.89,30.58,5.69,0.88,ForcaConsolidada,68.61,61.78,78.85,73.73,7.32,23/07/202612:05:27
RGLD,201.26,1.94%,2.47,50.24,21.67,5.52,0.91,AguardarRecuo,199.05,193.53,210.09,204.57,9.06,23/07/202612:05:44
FOO,#ERRO_LIMITE_CHAVES,Todasaschavesesgotaram,,,,,,,,,,,,
CRM,#ERRO_LIMITE_CHAVES,Todasaschavesesgotaram,,,,,,,,,,,,
SAP,148.75,-5.15%,-10.40,37.41,15.99,4.39,1.54,Observar,N/A,N/A,N/A,N/A,N/A,23/07/202610:23:13
LAES,2.60,-9.00%,-0.50,38.64,17.68,0.17,0.91,AguardarRecuo,2.53,2.36,2.87,2.70,294.12,23/07/202612:06:40
NOW,95.46,-7.60%,-10.34,39.49,13.57,5.29,1.63,Observar,N/A,N/A,N/A,N/A,N/A,23/07/202610:15:32
SHAK,55.94,-1.69%,-0.85,43.26,15.89,2.52,0.79,Observar,N/A,N/A,N/A,N/A,N/A,23/07/202612:07:14
SIE,#ERRO_LIMITE_CHAVES,Todasaschavesesgotaram,,,,,,,,,,,,
SWKS,63.16,1.13%,-2.77,48.06,19.83,2.64,0.61,AguardarRecuo,62.10,59.46,67.38,64.74,18.94,23/07/202612:07:31
GLE,0.43,0.61%,-0.03,50.11,36.67,0.03,2.03,ForcaConsolidada,0.42,0.38,0.47,0.44,1388.89,23/07/202612:07:48
SOON,#ERRO_LIMITE_CHAVES,Todasaschavesesgotaram,,,,,,,,,,,,
SOUN,6.46,-0.89%,-0.22,43.85,10.17,0.37,1.20,Observar,N/A,N/A,N/A,N/A,N/A,23/07/202612:08:25
STR,#ERRO_LIMITE_CHAVES,Todasaschavesesgotaram,,,,,,,,,,,,
SMCI,30.56,9.88%,2.91,53.91,24.38,1.64,3.48,AguardarRecuo,29.90,28.26,33.18,31.54,30.49,23/07/202612:09:01
TALK,5.21,-0.05%,0.01,49.62,37.47,0.02,0.81,Observar,N/A,N/A,N/A,N/A,N/A,23/07/202612:09:17
TEM,46.96,-16.23%,-14.64,38.16,26.91,3.68,0.71,Observar,N/A,N/A,N/A,N/A,N/A,23/07/202612:09:35
TSLA,374.01,-5.22%,-51.29,41.70,13.68,15.81,0.71,Observar,N/A,N/A,N/A,N/A,N/A,23/07/202610:23:52
TL0,#ERRO_LIMITE_CHAVES,Todasaschavesesgotaram,,,,,,,,,,,,
TKA,#ERRO_LIMITE_CHAVES,Todasaschavesesgotaram,,,,,,,,,,,,
TTD,#ERRO_LIMITE_CHAVES,Todasaschavesesgotaram,,,,,,,,,,,,
UT8,#ERRO_LIMITE_CHAVES,Todasaschavesesgotaram,,,,,,,,,,,,
UNH,431.31,1.77%,4.77,58.60,38.90,12.07,0.53,Observar,N/A,N/A,N/A,N/A,N/A,23/07/202610:24:31
U,29.27,-0.90%,-0.92,49.83,21.21,1.58,1.01,Observar,N/A,N/A,N/A,N/A,N/A,23/07/202612:20:51
UPST,28.64,-11.51%,-7.10,37.15,12.35,1.72,0.66,Observar,N/A,N/A,N/A,N/A,N/A,23/07/202610:14:47
VISA,#ERRO_LIMITE_CHAVES,Todasaschavesesgotaram,,,,,,,,,,,,
V,353.42,0.78%,2.34,56.16,32.81,7.76,0.53,Observar,N/A,N/A,N/A,N/A,N/A,23/07/202612:21:25
VOW3,72.96,0.07%,-0.34,39.95,23.52,1.66,0.65,AguardarRecuo,72.30,70.64,75.62,73.96,30.12,23/07/202610:25:10
WMT,109.33,-3.36%,0.51,36.33,21.34,2.36,1.03,Observar,N/A,N/A,N/A,N/A,N/A,23/07/202610:38:18
DELL,441.80,5.60%,16.55,57.61,21.63,30.77,0.96,AguardarRecuo,429.49,398.72,491.03,460.26,1.62,23/07/202610:38:35
SHELL,#ERRO_LIMITE_CHAVES,Todasaschavesesgotaram,,,,,,,,,,,,
SHOP,118.42,-1.63%,-3.21,49.00,19.18,5.57,0.95,Observar,N/A,N/A,N/A,N/A,N/A,23/07/202610:38:52
PFE,24.82,1.90%,0.94,50.38,21.21,0.44,0.71,Observar,N/A,N/A,N/A,N/A,N/A,23/07/202610:39:09
RDDT,170.38,-8.49%,-27.38,42.63,19.63,11.54,2.13,Observar,N/A,N/A,N/A,N/A,N/A,23/07/202612:23:05
RBLX,49.64,-7.41%,-8.31,44.78,21.61,2.62,0.71,Observar,N/A,N/A,N/A,N/A,N/A,23/07/202612:23:22
FITB,57.67,0.92%,0.18,59.12,24.34,1.27,0.60,AguardarRecuo,57.16,55.89,59.70,58.43,39.37,23/07/202612:23:40
RCAT,7.83,-13.44%,-2.72,38.02,18.09,0.66,1.32,Observar,N/A,N/A,N/A,N/A,N/A,23/07/202612:23:57
MCHP,85.02,-1.79%,-3.67,46.35,21.22,3.55,0.52,AguardarRecuo,83.60,80.05,90.70,87.15,14.08,23/07/202610:39:26
ARES,119.57,1.02%,5.94,46.73,13.01,3.90,0.47,Observar,N/A,N/A,N/A,N/A,N/A,23/07/202612:24:32
BMI,126.67,-11.80%,-19.56,36.41,17.06,6.12,2.73,Observar,N/A,N/A,N/A,N/A,N/A,23/07/202612:24:49
UBER,70.33,-4.04%,-2.33,42.70,10.17,2.07,0.64,Observar,N/A,N/A,N/A,N/A,N/A,23/07/202610:39:43
FIG,21.46,0.72%,1.98,49.27,16.43,1.86,0.47,Observar,N/A,N/A,N/A,N/A,N/A,23/07/202610:14:54
HUM,397.60,0.73%,-11.82,58.48,59.33,14.66,0.51,Observar,N/A,N/A,N/A,N/A,N/A,23/07/202610:39:59
TZOO,10.23,-7.98%,-1.88,41.07,19.71,0.47,0.63,Observar,N/A,N/A,N/A,N/A,N/A,23/07/202612:35:28
VRSK,192.28,1.74%,8.56,54.55,29.10,5.73,0.73,Observar,N/A,N/A,N/A,N/A,N/A,23/07/202610:49:16
TYL,284.32,-6.73%,-17.35,39.37,13.51,11.92,1.06,Observar,N/A,N/A,N/A,N/A,N/A,23/07/202610:49:33
DDOG,245.77,-3.57%,-18.71,48.28,24.47,13.65,0.85,Observar,N/A,N/A,N/A,N/A,N/A,23/07/202610:14:56
ABT,100.57,6.11%,8.39,63.89,23.88,2.56,0.75,AguardarRecuo,99.55,96.99,104.67,102.11,19.53,23/07/202610:15:02
IBM,205.77,-20.83%,-80.48,29.81,31.05,10.48,1.04,Observar,N/A,N/A,N/A,N/A,N/A,23/07/202610:14:58
DASH,177.73,-4.92%,-11.14,46.27,24.55,7.67,0.91,Observar,N/A,N/A,N/A,N/A,N/A,23/07/202610:15:00
BMW,#ERRO_LIMITE_CHAVES,Todasaschavesesgotaram,,,,,,,,,,,,</t>
  </si>
  <si>
    <t>OR,Preço: 36.74,Dist MM20: -0.37%,Momentum: -0.66,RSI: 56.41,ADX: 20.99,ATR: 1.08,RVOL: 1.50,Estado: Alerta Iminente,Entrada: 36.52,Stop: 35.22,Take-Profit: 38.46,Break-Even: 37.49,Qtd: 38.58,Trailing: 35.22,Data: 21/09/2026 03:49:36</t>
  </si>
  <si>
    <t>MA (INTRADAY),Máximo 15h30: 582.86,Estado: Forca Consolidada,Entrada: 572.65,Stop: 562.44,Take-Profit: 587.97,Data: 19/08/2026 15:30:09</t>
  </si>
  <si>
    <t>ANF,92.06,0.79%,2.05,53.70,19.57,3.88,0.41,Observar,N/A,N/A,N/A,N/A,N/A
ACN,140.86,4.22%,16.42,46.57,20.14,6.29,0.35,Observar,N/A,N/A,N/A,N/A,N/A
ADS,178.40,-1.37%,-1.60,51.95,27.05,4.05,12.57,Observar,N/A,N/A,N/A,N/A,N/A
ADBE,227.16,4.45%,22.14,52.45,16.23,8.18,0.83,Observar,N/A,N/A,N/A,N/A,N/A
ADYEN,820.60,-2.41%,-28.70,43.08,13.37,28.59,1.12,Observar,N/A,N/A,N/A,N/A,N/A
BABA,117.97,11.32%,21.99,59.61,30.11,2.90,0.58,Observar,N/A,N/A,N/A,N/A,N/A
GOOGL,347.15,-2.20%,-10.22,43.10,11.62,9.57,0.68,Observar,N/A,N/A,N/A,N/A,N/A
AMZN,247.55,1.84%,9.21,51.31,21.63,6.31,0.45,Observar,N/A,N/A,N/A,N/A,N/A
AMD,544.43,2.54%,-36.48,54.83,16.90,30.26,0.96,AguardarRecuo,532.33,499.04,598.91,565.62,1.50
AMPL,9.59,10.83%,1.94,67.70,34.73,0.60,0.62,Observar,N/A,N/A,N/A,N/A,N/A
APC,21.21,9.51%,2.36,66.35,22.52,0.71,0.33,AguardarRecuo,20.93,20.14,22.50,21.71,63.69
AAPL,327.74,6.24%,38.38,64.54,27.08,7.94,0.62,ForcaConsolidada,326.15,311.86,347.59,336.87,3.50
APP,428.69,-11.05%,-86.54,37.36,19.47,30.77,0.90,AguardarRecuo,416.38,382.53,484.07,450.23,1.48
ANET,174.58,2.19%,4.70,53.75,16.29,10.35,0.75,AguardarRecuo,170.44,159.06,193.21,181.82,4.39
ASML,1801.51,0.10%,-187.93,51.94,12.61,67.99,0.76,AguardarRecuo,1774.31,1699.53,1923.88,1849.10,0.67
ASTS,63.34,-11.91%,-25.52,40.72,21.59,5.88,1.09,AguardarRecuo,60.99,54.52,73.93,67.46,7.73
TEAM,90.60,4.80%,12.81,52.06,17.24,5.55,0.87,Observar,N/A,N/A,N/A,N/A,N/A
BRK.B,489.65,-1.22%,-10.74,46.87,16.50,6.60,0.97,Observar,N/A,N/A,N/A,N/A,N/A
BBAI,2.94,-11.42%,-0.73,31.79,28.98,0.18,0.56,ForcaConsolidada,2.90,2.58,3.38,3.14,156.25
BA,204.80,-6.45%,-11.67,35.17,12.68,5.75,1.84,Observar,N/A,N/A,N/A,N/A,N/A
BYDDY,11.34,8.98%,2.07,59.39,24.02,0.16,0.11,Observar,N/A,N/A,N/A,N/A,N/A
AI,8.59,-4.83%,-0.50,36.70,18.85,0.47,0.78,Observar,N/A,N/A,N/A,N/A,N/A
CAP,19.50,0.00%,0.00,59.04,19.41,0.00,0.05,Observar,N/A,N/A,N/A,N/A,N/A
CELH,28.02,-6.89%,-1.26,39.20,14.30,1.47,1.51,Observar,N/A,N/A,N/A,N/A,N/A
CNA,52.62,4.54%,4.01,68.24,36.73,1.09,0.46,Observar,N/A,N/A,N/A,N/A,N/A
CSCO,112.18,-2.89%,-5.28,45.36,21.05,3.65,0.62,AguardarRecuo,110.72,106.71,118.75,114.73,12.45
CLSK,15.38,9.24%,0.83,55.67,16.61,1.19,1.22,AguardarRecuo,14.90,13.60,17.51,16.21,38.31
NET,272.31,5.89%,27.03,60.93,23.37,13.47,1.01,Observar,N/A,N/A,N/A,N/A,N/A
CNXC,23.79,0.39%,1.38,47.90,15.63,1.70,0.44,Observar,N/A,N/A,N/A,N/A,N/A
CON,31.78,3.04%,2.03,68.47,46.79,0.76,0.59,ForcaConsolidada,31.63,30.26,33.68,32.66,36.50
DTG,16.77,-0.80%,-0.25,41.36,17.61,0.13,0.32,Observar,N/A,N/A,N/A,N/A,N/A
DBX,29.42,2.84%,1.95,57.16,16.74,0.90,1.02,Observar,N/A,N/A,N/A,N/A,N/A
BROS,66.13,-2.39%,-5.68,51.44,21.46,3.07,0.58,Observar,N/A,N/A,N/A,N/A,N/A
EBAY,113.04,0.41%,1.29,52.58,14.62,2.84,1.20,Observar,N/A,N/A,N/A,N/A,N/A
LLY,1175.41,-0.45%,-24.02,53.52,21.45,35.75,0.48,AguardarRecuo,1161.11,1121.79,1239.76,1200.43,1.27
ENVX,4.83,-10.58%,-1.25,37.94,26.70,0.38,0.68,ForcaConsolidada,4.75,4.07,5.78,5.27,72.99
EL,82.37,0.17%,3.42,48.56,8.94,2.72,0.48,Observar,N/A,N/A,N/A,N/A,N/A
GRMN,236.65,-1.95%,-0.89,44.61,15.14,5.98,1.01,Observar,N/A,N/A,N/A,N/A,N/A
HSBC,101.12,3.74%,6.03,63.09,16.80,1.50,0.80,AguardarRecuo,100.52,98.87,103.82,102.17,30.30
IDR,29.69,-4.72%,-3.06,41.94,13.32,1.69,0.51,AguardarRecuo,29.01,27.16,32.72,30.87,26.95
IONQ,35.51,-21.20%,-17.75,29.14,35.91,2.88,0.80,ForcaConsolidada,34.93,29.75,42.70,38.81,9.65
LMT,507.09,-1.72%,-2.37,42.84,13.08,12.28,0.90,Observar,N/A,N/A,N/A,N/A,N/A
OR,29.22,-3.09%,-2.41,39.44,22.96,1.03,1.15,AguardarRecuo,28.81,27.67,31.08,29.95,44.05
MA,538.30,2.71%,24.70,59.16,28.93,12.06,0.67,Observar,N/A,N/A,N/A,N/A,N/A
MSFT,397.75,3.63%,24.73,53.40,13.68,9.76,0.54,Observar,N/A,N/A,N/A,N/A,N/A
MRNA,59.66,-12.74%,-10.37,43.52,27.16,4.66,0.52,ForcaConsolidada,58.73,50.34,71.31,65.02,5.96
NFLX,68.67,-6.16%,-2.73,32.54,35.01,2.25,1.08,ForcaConsolidada,68.22,64.17,74.29,71.25,12.35
NKE,42.96,0.34%,1.91,47.61,11.52,1.51,0.35,Observar,N/A,N/A,N/A,N/A,N/A
NOV,20.19,7.26%,1.64,61.74,16.05,0.50,0.60,AguardarRecuo,19.99,19.44,21.09,20.54,90.91
NVO,49.38,0.58%,1.44,56.99,26.25,1.05,0.55,Observar,N/A,N/A,N/A,N/A,N/A
NVDA,207.29,2.78%,7.20,52.24,13.52,6.99,0.79,AguardarRecuo,204.49,196.80,219.86,212.18,6.51
ORC,6.77,-1.16%,-0.20,47.88,18.48,0.13,0.76,AguardarRecuo,6.72,6.57,7.01,6.87,344.83
PLTR,132.66,5.09%,15.99,52.83,12.78,6.32,0.52,Observar,N/A,N/A,N/A,N/A,N/A
PANW,342.15,2.65%,1.13,58.84,45.60,18.87,0.92,Observar,N/A,N/A,N/A,N/A,N/A
PEP,135.00,-3.12%,-0.40,39.86,17.26,3.38,0.83,Observar,N/A,N/A,N/A,N/A,N/A
PG,148.10,-0.60%,1.46,49.40,10.86,2.95,0.74,Observar,N/A,N/A,N/A,N/A,N/A
PG,148.10,-0.60%,1.46,49.40,10.86,2.95,0.74,Observar,N/A,N/A,N/A,N/A,N/A
QUBT,8.22,-7.18%,-1.48,42.56,14.80,0.55,0.71,AguardarRecuo,8.00,7.40,9.21,8.61,82.64
QS,6.05,-10.80%,-1.51,37.33,16.18,0.41,0.71,AguardarRecuo,5.89,5.43,6.80,6.34,109.89
RL,382.93,-2.29%,-18.48,48.37,18.67,12.36,0.62,AguardarRecuo,377.99,364.39,405.19,391.59,3.68
RGTI,15.28,-10.74%,-4.04,39.18,28.59,1.05,0.72,ForcaConsolidada,15.07,13.18,17.91,16.49,26.46
HOOD,106.36,-0.49%,6.08,52.85,23.91,6.61,0.76,AguardarRecuo,103.72,96.44,118.27,111.00,6.87
CRM,170.06,3.72%,13.40,52.44,9.61,6.04,0.60,Observar,N/A,N/A,N/A,N/A,N/A
NOW,102.06,-1.24%,2.78,46.97,12.41,5.19,0.91,Observar,N/A,N/A,N/A,N/A,N/A
SHAK,56.44,-0.66%,0.42,44.43,16.69,2.57,0.90,Observar,N/A,N/A,N/A,N/A,N/A
GLE,0.40,-6.33%,-0.03,45.11,36.76,0.03,0.13,ForcaConsolidada,0.39,0.34,0.46,0.43,1000.00
SMCI,25.50,-8.76%,-3.83,40.13,25.30,1.45,0.67,ForcaConsolidada,25.21,22.60,29.13,27.17,19.16
TALK,5.22,0.15%,0.02,53.88,36.59,0.02,0.30,ForcaConsolidada,5.22,5.18,5.28,5.25,1250.00</t>
  </si>
  <si>
    <t>21/09/2026 03:35:14</t>
  </si>
  <si>
    <t>NOW</t>
  </si>
  <si>
    <t>19/08/2026 02:05:16</t>
  </si>
  <si>
    <t>ADSK,Preço: 219.62,Dist MM20: -5.20%,Momentum: -28.07,RSI: 42.82,ADX: 20.86,ATR: 8.05,RVOL: 0.69,Estado: Observar,Entrada: N/A,Stop: N/A,Take-Profit: N/A,Break-Even: N/A,Qtd: N/A,Trailing: 203.52,Data: 23/09/2026 06:44:26</t>
  </si>
  <si>
    <t>Preço: 234.97</t>
  </si>
  <si>
    <t>BABA,Preço: 128.15,Dist MM20: 4.58%,Momentum: 13.12,RSI: 60.66,ADX: 29.12,ATR: 2.83,RVOL: 1.25,Estado: Forca Consolidada,Entrada: 127.58,Stop: 124.18,Take-Profit: 132.67,Break-Even: 130.13,Qtd: 29.45,Trailing: 124.18,Data: 19/08/2026 02:05:14</t>
  </si>
  <si>
    <t>Dist MM20: 9.19%</t>
  </si>
  <si>
    <t>RVOL: 1.23</t>
  </si>
  <si>
    <t>BABA (INTRADAY),Máximo 15h30: 128.76,Estado: Forca Consolidada,Entrada: 125.93,Stop: 123.10,Take-Profit: 130.17,Data: 19/08/2026 15:30:10</t>
  </si>
  <si>
    <t>Entrada: 134.39</t>
  </si>
  <si>
    <t>Momentum: 26.52</t>
  </si>
  <si>
    <t>Stop: 127.93</t>
  </si>
  <si>
    <t>RSI: 61.81</t>
  </si>
  <si>
    <t>Take-Profit: 144.07</t>
  </si>
  <si>
    <t>Qtd: 7.74</t>
  </si>
  <si>
    <t>Dist MM20: -0.90%</t>
  </si>
  <si>
    <t>ATR: 8.60</t>
  </si>
  <si>
    <t>NOW,Preço: 135.47,Dist MM20: -0.90%,Momentum: -9.24,RSI: 52.91,ADX: 23.96,ATR: 5.38,RVOL: 1.23,Estado: Alerta Iminente,Entrada: 134.39,Stop: 127.93,Take-Profit: 144.07,Break-Even: 139.23,Qtd: 7.74,Trailing: 127.93,Data: 21/09/2026 03:35:13</t>
  </si>
  <si>
    <t>RVOL: 1.06</t>
  </si>
  <si>
    <t>14/08/2026 02:08:51</t>
  </si>
  <si>
    <t>21/09/2026 03:19:34</t>
  </si>
  <si>
    <t>Data: 31/07/2026 04:53:43</t>
  </si>
  <si>
    <t>Cloudflare US</t>
  </si>
  <si>
    <t>ADSK,Preço: 234.97,Dist MM20: 9.19%,Momentum: 26.52,RSI: 61.81,ADX: 17.19,ATR: 8.60,RVOL: 1.06,Estado: Observar,Entrada: N/A,Stop: N/A,Take-Profit: N/A,Break-Even: N/A,Qtd: N/A,Data: 31/07/2026 04:53:43</t>
  </si>
  <si>
    <t>RVOL: 1.88</t>
  </si>
  <si>
    <t>NET,Preço: 330.83,Dist MM20: 16.08%,Momentum: 68.68,RSI: 73.30,ADX: 30.83,ATR: 18.00,RVOL: 1.12,Estado: Forca Consolidada,Entrada: 327.23,Stop: 305.63,Take-Profit: 359.63,Break-Even: 343.43,Qtd: 4.63,Trailing: 305.63,Data: 14/08/2026 02:08:50</t>
  </si>
  <si>
    <t>Entrada: 492.04</t>
  </si>
  <si>
    <t>NET (INTRADAY),Máximo 15h30: 331.83,Estado: Forca Consolidada,Entrada: 313.83,Stop: 295.83,Take-Profit: 340.83,Data: 14/08/2026 15:30:26</t>
  </si>
  <si>
    <t>Stop: 481.58</t>
  </si>
  <si>
    <t>Take-Profit: 507.74</t>
  </si>
  <si>
    <t>Qtd: 4.78</t>
  </si>
  <si>
    <t>Dist MM20: -0.75%</t>
  </si>
  <si>
    <t>13/08/2026 02:23:01</t>
  </si>
  <si>
    <t>ORCL</t>
  </si>
  <si>
    <t>Oracle US</t>
  </si>
  <si>
    <t>MSFT,Preço: 493.78,Dist MM20: -0.75%,Momentum: -19.75,RSI: 53.14,ADX: 31.98,ATR: 8.72,RVOL: 1.88,Estado: Alerta Iminente,Entrada: 492.04,Stop: 481.58,Take-Profit: 507.74,Break-Even: 499.89,Qtd: 4.78,Trailing: 481.58,Data: 21/09/2026 03:19:34</t>
  </si>
  <si>
    <t>ORCL,Preço: 153.28,Dist MM20: 15.80%,Momentum: 33.24,RSI: 59.56,ADX: 25.93,ATR: 6.98,RVOL: 1.26,Estado: Forca Consolidada,Entrada: 151.88,Stop: 143.50,Take-Profit: 164.44,Break-Even: 158.16,Qtd: 11.94,Trailing: 143.50,Data: 13/08/2026 02:23:00</t>
  </si>
  <si>
    <t>21/09/2026 03:06:39</t>
  </si>
  <si>
    <t>ORCL (INTRADAY),Máximo 15h30: 159.25,Estado: Forca Consolidada,Entrada: 152.27,Stop: 145.29,Take-Profit: 162.74,Data: 13/08/2026 15:30:50</t>
  </si>
  <si>
    <t>RVOL: 0.92</t>
  </si>
  <si>
    <t>Entrada: 152.05</t>
  </si>
  <si>
    <t>12/08/2026 08:53:27</t>
  </si>
  <si>
    <t>Stop: 140.09</t>
  </si>
  <si>
    <t>ADYEN</t>
  </si>
  <si>
    <t>Take-Profit: 170.00</t>
  </si>
  <si>
    <t>MAIN,Preço: 59.03,Dist MM20: 6.56%,Momentum: 5.39,RSI: 69.98,ADX: 26.04,ATR: 1.30,RVOL: 1.29,Estado: Forca Consolidada,Entrada: 58.77,Stop: 57.21,Take-Profit: 61.11,Break-Even: 59.94,Qtd: 64.10,Trailing: 57.21,Data: 12/08/2026 08:53:22</t>
  </si>
  <si>
    <t>Adyen</t>
  </si>
  <si>
    <t>MAIN (INTRADAY),Máximo 15h30: 59.35,Estado: Forca Consolidada,Entrada: 58.05,Stop: 56.75,Take-Profit: 60.00,Data: 12/08/2026 15:30:14</t>
  </si>
  <si>
    <t>Qtd: 4.18</t>
  </si>
  <si>
    <t>Dist MM20: 5.59%</t>
  </si>
  <si>
    <t>MRNA,Preço: 154.04,Dist MM20: 5.59%,Momentum: 16.05,RSI: 63.26,ADX: 54.06,ATR: 9.97,RVOL: 0.92,Estado: Alerta Iminente,Entrada: 152.05,Stop: 140.09,Take-Profit: 170.00,Break-Even: 161.03,Qtd: 4.18,Trailing: 140.09,Data: 21/09/2026 03:06:37</t>
  </si>
  <si>
    <t>21/09/2026 02:51:43</t>
  </si>
  <si>
    <t>12/08/2026 08:53:11</t>
  </si>
  <si>
    <t>HUM</t>
  </si>
  <si>
    <t>ABNB,Preço: 184.98,Dist MM20: 20.94%,Momentum: 44.93,RSI: 81.64,ADX: 27.38,ATR: 5.40,RVOL: 1.64,Estado: Forca Consolidada,Entrada: 183.90,Stop: 177.42,Take-Profit: 193.62,Break-Even: 188.76,Qtd: 15.43,Trailing: 177.42,Data: 12/08/2026 08:53:10</t>
  </si>
  <si>
    <t>RVOL: 1.74</t>
  </si>
  <si>
    <t>ABNB,Máximo 15h30: 184.11,Estado: Ignorado - S/ Quebra de Fecho,Data: 12/08/2026 15:30:14</t>
  </si>
  <si>
    <t>Entrada: 383.69</t>
  </si>
  <si>
    <t>Stop: 368.49</t>
  </si>
  <si>
    <t>Take-Profit: 406.50</t>
  </si>
  <si>
    <t>12/08/2026 07:36:04</t>
  </si>
  <si>
    <t>Qtd: 3.29</t>
  </si>
  <si>
    <t>Amplitude</t>
  </si>
  <si>
    <t>Dist MM20: -2.03%</t>
  </si>
  <si>
    <t>AMPL,Preço: 12.69,Dist MM20: 31.29%,Momentum: 3.95,RSI: 80.68,ADX: 29.90,ATR: 0.65,RVOL: 1.11,Estado: Forca Consolidada,Entrada: 12.56,Stop: 11.78,Take-Profit: 13.73,Break-Even: 13.14,Qtd: 128.21,Trailing: 11.78,Data: 12/08/2026 07:36:03</t>
  </si>
  <si>
    <t>HUM,Preço: 386.22,Dist MM20: -2.03%,Momentum: 0.68,RSI: 46.14,ADX: 21.22,ATR: 12.67,RVOL: 1.74,Estado: Alerta Iminente,Entrada: 383.69,Stop: 368.49,Take-Profit: 406.50,Break-Even: 395.10,Qtd: 3.29,Trailing: 368.49,Data: 21/09/2026 02:51:41</t>
  </si>
  <si>
    <t>21/09/2026 02:34:17</t>
  </si>
  <si>
    <t>AMPL,Máximo 15h30: 12.68,Estado: Ignorado - S/ Quebra de Fecho,Data: 12/08/2026 15:30:15</t>
  </si>
  <si>
    <t>RVOL: 2.71</t>
  </si>
  <si>
    <t>12/08/2026 02:39:41</t>
  </si>
  <si>
    <t>Entrada: 109.07</t>
  </si>
  <si>
    <t>ADYEN,Preço: 903.00,Dist MM20: -7.75%,Momentum: -135.60,RSI: 38.93,ADX: 29.54,ATR: 25.59,RVOL: 1.06,Estado: Observar,Entrada: N/A,Stop: N/A,Take-Profit: N/A,Break-Even: N/A,Qtd: N/A,Trailing: 851.82,Data: 23/09/2026 06:44:29</t>
  </si>
  <si>
    <t>DASH,Preço: 212.00,Dist MM20: 9.09%,Momentum: 34.27,RSI: 65.36,ADX: 25.90,ATR: 8.03,RVOL: 1.02,Estado: Forca Consolidada,Entrada: 210.39,Stop: 200.75,Take-Profit: 224.84,Break-Even: 217.62,Qtd: 10.38,Trailing: 200.75,Data: 12/08/2026 02:39:39</t>
  </si>
  <si>
    <t>Stop: 106.43</t>
  </si>
  <si>
    <t>Take-Profit: 113.03</t>
  </si>
  <si>
    <t>DASH (INTRADAY),Máximo 15h30: 215.00,Estado: Forca Consolidada,Entrada: 206.97,Stop: 198.94,Take-Profit: 219.01,Data: 12/08/2026 15:30:15</t>
  </si>
  <si>
    <t>Qtd: 18.94</t>
  </si>
  <si>
    <t>Preço: 885.20</t>
  </si>
  <si>
    <t>Dist MM20: 4.85%</t>
  </si>
  <si>
    <t>Dist MM20: -0.45%</t>
  </si>
  <si>
    <t>Momentum: 38.60</t>
  </si>
  <si>
    <t>11/08/2026 07:42:02</t>
  </si>
  <si>
    <t>CSCO,Preço: 109.51,Dist MM20: -0.45%,Momentum: -0.42,RSI: 46.09,ADX: 25.35,ATR: 2.20,RVOL: 2.71,Estado: Alerta Iminente,Entrada: 109.07,Stop: 106.43,Take-Profit: 113.03,Break-Even: 111.05,Qtd: 18.94,Trailing: 106.43,Data: 21/09/2026 02:34:17</t>
  </si>
  <si>
    <t>RSI: 57.69</t>
  </si>
  <si>
    <t>ADX: 14.69</t>
  </si>
  <si>
    <t>21/09/2026 02:22:09</t>
  </si>
  <si>
    <t>ATR: 31.76</t>
  </si>
  <si>
    <t>Data: 31/07/2026 03:51:07</t>
  </si>
  <si>
    <t>U,Preço: 43.10,Dist MM20: 30.79%,Momentum: 13.23,RSI: 81.43,ADX: 30.28,ATR: 2.16,RVOL: 1.31,Estado: Forca Consolidada,Entrada: 42.67,Stop: 40.08,Take-Profit: 46.56,Break-Even: 44.62,Qtd: 38.58,Trailing: 40.08,Data: 11/08/2026 07:42:01</t>
  </si>
  <si>
    <t>RVOL: 1.31</t>
  </si>
  <si>
    <t>U (INTRADAY),Máximo 15h30: 43.23,Estado: Forca Consolidada,Entrada: 41.08,Stop: 38.92,Take-Profit: 44.32,Data: 11/08/2026 15:30:33</t>
  </si>
  <si>
    <t>Entrada: 236.35</t>
  </si>
  <si>
    <t>ADYEN,Preço: 885.20,Dist MM20: 4.85%,Momentum: 38.60,RSI: 57.69,ADX: 14.69,ATR: 31.76,RVOL: 0.85,Estado: Aguardar Recuo,Entrada: 872.50,Stop: 840.74,Take-Profit: 936.02,Break-Even: 904.26,Qtd: 1.57,Data: 31/07/2026 03:51:07</t>
  </si>
  <si>
    <t>Stop: 226.92</t>
  </si>
  <si>
    <t>Take-Profit: 250.50</t>
  </si>
  <si>
    <t>Qtd: 5.30</t>
  </si>
  <si>
    <t>11/08/2026 07:38:54</t>
  </si>
  <si>
    <t>Dist MM20: -2.18%</t>
  </si>
  <si>
    <t>CRM,Preço: 237.92,Dist MM20: -2.18%,Momentum: -18.08,RSI: 53.23,ADX: 32.93,ATR: 7.86,RVOL: 1.31,Estado: Alerta Iminente,Entrada: 236.35,Stop: 226.92,Take-Profit: 250.50,Break-Even: 243.43,Qtd: 5.30,Trailing: 226.92,Data: 21/09/2026 02:22:09</t>
  </si>
  <si>
    <t>QLYS,Preço: 185.80,Dist MM20: 20.09%,Momentum: 42.02,RSI: 75.24,ADX: 34.61,ATR: 9.30,RVOL: 1.08,Estado: Forca Consolidada,Entrada: 183.94,Stop: 172.78,Take-Profit: 200.68,Break-Even: 192.31,Qtd: 8.96,Trailing: 172.78,Data: 11/08/2026 07:38:53</t>
  </si>
  <si>
    <t>QLYS (INTRADAY),Máximo 15h30: 187.41,Estado: Forca Consolidada,Entrada: 178.11,Stop: 168.81,Take-Profit: 192.06,Data: 11/08/2026 15:30:34</t>
  </si>
  <si>
    <t>21/09/2026 02:05:09</t>
  </si>
  <si>
    <t>AEP</t>
  </si>
  <si>
    <t>04/08/2026 2:22:46</t>
  </si>
  <si>
    <t>ORCL_US_EQ</t>
  </si>
  <si>
    <t>American Electric Power</t>
  </si>
  <si>
    <t>RVOL: 2.95</t>
  </si>
  <si>
    <t>11/08/2026 06:52:34</t>
  </si>
  <si>
    <t>Entrada: 270.31</t>
  </si>
  <si>
    <t>ORCL,Preço: 141.85,Dist MM20: 10.14%,Momentum: 13.91,RSI: 53.25,ADX: 38.03,ATR: 6.68,RVOL: 1.25,Estado: Forca Consolidada,Entrada: 140.51,Stop: 132.49,Take-Profit: 152.53,Break-Even: 146.52,Qtd: 6.24,Trailing: 132.49,Data: 04/08/2026 02:22:43</t>
  </si>
  <si>
    <t>Stop: 264.85</t>
  </si>
  <si>
    <t>NET,Preço: 310.59,Dist MM20: 11.37%,Momentum: 38.28,RSI: 68.54,ADX: 26.99,ATR: 16.56,RVOL: 1.82,Estado: Forca Consolidada,Entrada: 307.28,Stop: 287.41,Take-Profit: 337.09,Break-Even: 322.18,Qtd: 5.03,Trailing: 287.41,Data: 11/08/2026 06:52:33</t>
  </si>
  <si>
    <t>Take-Profit: 278.50</t>
  </si>
  <si>
    <t>NET,Máximo 15h30: 310.13,Estado: Ignorado - S/ Quebra de Fecho,Data: 11/08/2026 15:30:35</t>
  </si>
  <si>
    <t>Qtd: 9.16</t>
  </si>
  <si>
    <t>ADP,Preço: 271.22,Dist MM20: -2.28%,Momentum: -16.26,RSI: 47.92,ADX: 22.37,ATR: 4.55,RVOL: 2.95,Estado: Alerta Iminente,Entrada: 270.31,Stop: 264.85,Take-Profit: 278.50,Break-Even: 274.40,Qtd: 9.16,Trailing: 264.85,Data: 21/09/2026 02:05:09</t>
  </si>
  <si>
    <t>11/08/2026 06:39:49</t>
  </si>
  <si>
    <t>BRK.B</t>
  </si>
  <si>
    <t>Berkshire Hathaway</t>
  </si>
  <si>
    <t>18/09/2026 02:45:12</t>
  </si>
  <si>
    <t>BRK.B,Preço: 529.42,Dist MM20: 5.00%,Momentum: 39.77,RSI: 74.54,ADX: 29.40,ATR: 7.87,RVOL: 1.15,Estado: Forca Consolidada,Entrada: 527.85,Stop: 518.41,Take-Profit: 542.02,Break-Even: 534.93,Qtd: 10.59,Trailing: 518.41,Data: 11/08/2026 06:39:48</t>
  </si>
  <si>
    <t>Erro API</t>
  </si>
  <si>
    <t>Erro Mercado - Ticker não encontrado</t>
  </si>
  <si>
    <t>BRK.B,Estado: Erro Mercado - Ticker não encontrado,Data: 11/08/2026 15:30:35</t>
  </si>
  <si>
    <t>AEP,Preço: 120.27,Dist MM20: -1.89%,Momentum: -2.69,RSI: 35.97,ADX: 21.24,ATR: 1.89,RVOL: 1.31,Estado: Observar,Entrada: N/A,Stop: N/A,Take-Profit: N/A,Break-Even: N/A,Qtd: N/A,Trailing: 116.49,Data: 23/09/2026 06:44:27</t>
  </si>
  <si>
    <t>11/08/2026 06:39:31</t>
  </si>
  <si>
    <t>Preço: 127.78</t>
  </si>
  <si>
    <t>Entrada: 43.33</t>
  </si>
  <si>
    <t>TEAM,Preço: 151.87,Dist MM20: 48.62%,Momentum: 61.27,RSI: 79.24,ADX: 30.43,ATR: 6.73,RVOL: 1.65,Estado: Forca Consolidada,Entrada: 150.52,Stop: 142.44,Take-Profit: 162.63,Break-Even: 156.57,Qtd: 12.38,Trailing: 142.44,Data: 11/08/2026 06:39:31</t>
  </si>
  <si>
    <t>Dist MM20: -4.44%</t>
  </si>
  <si>
    <t>Stop: 42.29</t>
  </si>
  <si>
    <t>TEAM (INTRADAY),Máximo 15h30: 154.78,Estado: Forca Consolidada,Entrada: 148.05,Stop: 141.32,Take-Profit: 158.15,Data: 11/08/2026 15:30:35</t>
  </si>
  <si>
    <t>Momentum: -7.65</t>
  </si>
  <si>
    <t>Take-Profit: 44.90</t>
  </si>
  <si>
    <t>RSI: 37.84</t>
  </si>
  <si>
    <t>ADX: 12.60</t>
  </si>
  <si>
    <t>Qtd: 47.89</t>
  </si>
  <si>
    <t>ATR: 2.66</t>
  </si>
  <si>
    <t>11/08/2026 06:37:49</t>
  </si>
  <si>
    <t>Dist MM20: 4.52%</t>
  </si>
  <si>
    <t>RVOL: 1.35</t>
  </si>
  <si>
    <t>AMPL,Preço: 12.19,Dist MM20: 28.11%,Momentum: 2.60,RSI: 78.72,ADX: 27.58,ATR: 0.68,RVOL: 1.34,Estado: Forca Consolidada,Entrada: 12.05,Stop: 11.23,Take-Profit: 13.27,Break-Even: 12.66,Qtd: 122.55,Trailing: 11.23,Data: 11/08/2026 06:37:48</t>
  </si>
  <si>
    <t>Data: 31/07/2026 04:53:26</t>
  </si>
  <si>
    <t>LTC,Preço: 43.50,Dist MM20: 4.52%,Momentum: 2.81,RSI: 66.99,ADX: 28.99,ATR: 0.87,RVOL: 1.07,Estado: Alerta Iminente,Entrada: 43.33,Stop: 42.29,Take-Profit: 44.90,Break-Even: 44.11,Qtd: 47.89,Trailing: 42.29,Data: 18/09/2026 02:45:11</t>
  </si>
  <si>
    <t>AMPL (INTRADAY),Máximo 15h30: 12.65,Estado: Forca Consolidada,Entrada: 11.97,Stop: 11.29,Take-Profit: 12.99,Data: 11/08/2026 15:30:36</t>
  </si>
  <si>
    <t>AEP,Preço: 127.78,Dist MM20: -4.44%,Momentum: -7.65,RSI: 37.84,ADX: 12.60,ATR: 2.66,RVOL: 1.35,Estado: Observar,Entrada: N/A,Stop: N/A,Take-Profit: N/A,Break-Even: N/A,Qtd: N/A,Data: 31/07/2026 04:53:26</t>
  </si>
  <si>
    <t>18/09/2026 02:36:47</t>
  </si>
  <si>
    <t>11/08/2026 06:34:38</t>
  </si>
  <si>
    <t>APP</t>
  </si>
  <si>
    <t>ANF,Preço: 118.53,Dist MM20: 17.08%,Momentum: 26.47,RSI: 75.42,ADX: 32.88,ATR: 4.41,RVOL: 1.20,Estado: Forca Consolidada,Entrada: 117.65,Stop: 112.36,Take-Profit: 125.59,Break-Even: 121.62,Qtd: 18.90,Trailing: 112.36,Data: 11/08/2026 06:34:38</t>
  </si>
  <si>
    <t>ANF (INTRADAY),Máximo 15h30: 119.74,Estado: Forca Consolidada,Entrada: 115.33,Stop: 110.92,Take-Profit: 121.94,Data: 11/08/2026 15:30:37</t>
  </si>
  <si>
    <t>Entrada: 318.60</t>
  </si>
  <si>
    <t>Stop: 300.62</t>
  </si>
  <si>
    <t>Take-Profit: 345.56</t>
  </si>
  <si>
    <t>10/08/2026 06:39:59</t>
  </si>
  <si>
    <t>NUE</t>
  </si>
  <si>
    <t>Nucor</t>
  </si>
  <si>
    <t>Qtd: 2.78</t>
  </si>
  <si>
    <t>NUE,Preço: 272.63,Dist MM20: 8.98%,Momentum: 41.89,RSI: 69.02,ADX: 29.02,ATR: 8.19,RVOL: 0.74,Estado: Forca Consolidada,Entrada: 270.99,Stop: 261.16,Take-Profit: 285.73,Break-Even: 278.36,Qtd: 5.09,Trailing: 261.16,Data: 10/08/2026 06:39:59</t>
  </si>
  <si>
    <t>AGNC</t>
  </si>
  <si>
    <t>Dist MM20: 1.96%</t>
  </si>
  <si>
    <t>NUE (INTRADAY),Máximo 15h30: 276.45,Estado: Forca Consolidada,Entrada: 268.26,Stop: 260.07,Take-Profit: 280.55,Data: 10/08/2026 15:30:06</t>
  </si>
  <si>
    <t>APP,Preço: 321.60,Dist MM20: 1.96%,Momentum: 8.97,RSI: 45.15,ADX: 20.51,ATR: 14.98,RVOL: 0.98,Estado: Alerta Iminente,Entrada: 318.60,Stop: 300.62,Take-Profit: 345.56,Break-Even: 332.08,Qtd: 2.78,Trailing: 300.62,Data: 18/09/2026 02:36:46</t>
  </si>
  <si>
    <t>AGNC Investments</t>
  </si>
  <si>
    <t>10/08/2026 06:38:33</t>
  </si>
  <si>
    <t>LTC,Preço: 39.85,Dist MM20: -2.28%,Momentum: -2.07,RSI: 49.34,ADX: 27.56,ATR: 0.95,RVOL: 0.63,Estado: Forca Consolidada,Entrada: 39.66,Stop: 38.52,Take-Profit: 41.37,Break-Even: 40.52,Qtd: 43.86,Trailing: 38.52,Data: 10/08/2026 06:38:32</t>
  </si>
  <si>
    <t>18/09/2026 02:25:56</t>
  </si>
  <si>
    <t>LTC (INTRADAY),Máximo 15h30: 39.89,Estado: Forca Consolidada,Entrada: 38.94,Stop: 37.99,Take-Profit: 40.36,Data: 10/08/2026 15:30:07</t>
  </si>
  <si>
    <t>RVOL: 1.00</t>
  </si>
  <si>
    <t>10/08/2026 06:25:12</t>
  </si>
  <si>
    <t>BlackRock</t>
  </si>
  <si>
    <t>Entrada: 176.13</t>
  </si>
  <si>
    <t>BLK,Preço: 1136.39,Dist MM20: 5.05%,Momentum: 82.28,RSI: 65.61,ADX: 25.55,ATR: 24.94,RVOL: 0.73,Estado: Forca Consolidada,Entrada: 1131.40,Stop: 1101.47,Take-Profit: 1176.29,Break-Even: 1153.85,Qtd: 1.67,Trailing: 1101.47,Data: 10/08/2026 06:25:11</t>
  </si>
  <si>
    <t>BLK (INTRADAY),Máximo 15h30: 1139.98,Estado: Forca Consolidada,Entrada: 1115.04,Stop: 1090.10,Take-Profit: 1152.45,Data: 10/08/2026 15:30:07</t>
  </si>
  <si>
    <t>Stop: 164.41</t>
  </si>
  <si>
    <t>Take-Profit: 193.72</t>
  </si>
  <si>
    <t>10/08/2026 06:23:33</t>
  </si>
  <si>
    <t>NVVE</t>
  </si>
  <si>
    <t>Nuvve</t>
  </si>
  <si>
    <t>Qtd: 4.26</t>
  </si>
  <si>
    <t>NVVE,Preço: 1.10,Dist MM20: -79.43%,Momentum: -6.97,RSI: 40.38,ADX: 35.97,ATR: 1.12,RVOL: 0.03,Estado: Forca Consolidada,Entrada: 0.88,Stop: -0.46,Take-Profit: 2.90,Break-Even: 1.89,Qtd: 37.20,Trailing: -0.46,Data: 10/08/2026 06:23:32</t>
  </si>
  <si>
    <t>NVVE (INTRADAY),Máximo 15h30: 1.12,Estado: Forca Consolidada,Entrada: 0.00,Stop: -1.12,Take-Profit: 1.68,Data: 10/08/2026 15:30:07</t>
  </si>
  <si>
    <t>QLYS,Preço: 178.08,Dist MM20: 1.11%,Momentum: -10.51,RSI: 53.12,ADX: 21.12,ATR: 9.77,RVOL: 1.00,Estado: Alerta Iminente,Entrada: 176.13,Stop: 164.41,Take-Profit: 193.72,Break-Even: 184.93,Qtd: 4.26,Trailing: 171.43,Data: 18/09/2026 02:25:55</t>
  </si>
  <si>
    <t>10/08/2026 05:53:15</t>
  </si>
  <si>
    <t>18/09/2026 02:21:59</t>
  </si>
  <si>
    <t>MED,Preço: 12.62,Dist MM20: 19.23%,Momentum: 2.24,RSI: 65.20,ADX: 31.75,ATR: 0.59,RVOL: 0.63,Estado: Forca Consolidada,Entrada: 12.50,Stop: 11.79,Take-Profit: 13.56,Break-Even: 13.03,Qtd: 70.62,Trailing: 11.79,Data: 10/08/2026 05:53:13</t>
  </si>
  <si>
    <t>AGNC,Preço: 10.09,Dist MM20: -3.04%,Momentum: -0.51,RSI: 37.10,ADX: 26.49,ATR: 0.20,RVOL: 0.84,Estado: Observar,Entrada: N/A,Stop: N/A,Take-Profit: N/A,Break-Even: N/A,Qtd: N/A,Trailing: 9.69,Data: 23/09/2026 06:44:27</t>
  </si>
  <si>
    <t>MED (INTRADAY),Máximo 15h30: 12.78,Estado: Forca Consolidada,Entrada: 12.19,Stop: 11.60,Take-Profit: 13.07,Data: 10/08/2026 15:30:12</t>
  </si>
  <si>
    <t>10/08/2026 05:23:51</t>
  </si>
  <si>
    <t>TZOO</t>
  </si>
  <si>
    <t>Travelzoo</t>
  </si>
  <si>
    <t>Entrada: 241.18</t>
  </si>
  <si>
    <t>B</t>
  </si>
  <si>
    <t>Stop: 231.17</t>
  </si>
  <si>
    <t>Preço: 10.64</t>
  </si>
  <si>
    <t>TZOO,Preço: 7.33,Dist MM20: -19.76%,Momentum: -3.66,RSI: 28.28,ADX: 39.25,ATR: 0.47,RVOL: 0.41,Estado: Forca Consolidada,Entrada: 7.24,Stop: 6.68,Take-Profit: 8.09,Break-Even: 7.67,Qtd: 88.65,Trailing: 6.68,Data: 10/08/2026 05:23:50</t>
  </si>
  <si>
    <t>Take-Profit: 256.19</t>
  </si>
  <si>
    <t>Dist MM20: -2.53%</t>
  </si>
  <si>
    <t>TZOO (INTRADAY),Máximo 15h30: 7.60,Estado: Forca Consolidada,Entrada: 7.13,Stop: 6.66,Take-Profit: 7.83,Data: 10/08/2026 15:30:12</t>
  </si>
  <si>
    <t>Momentum: -0.68</t>
  </si>
  <si>
    <t>Qtd: 5.00</t>
  </si>
  <si>
    <t>10/08/2026 05:23:32</t>
  </si>
  <si>
    <t>RSI: 45.08</t>
  </si>
  <si>
    <t>Humana</t>
  </si>
  <si>
    <t>Dist MM20: 0.52%</t>
  </si>
  <si>
    <t>ADX: 16.75</t>
  </si>
  <si>
    <t>CRM,Preço: 242.85,Dist MM20: 0.52%,Momentum: -9.20,RSI: 56.62,ADX: 34.75,ATR: 8.34,RVOL: 0.93,Estado: Alerta Iminente,Entrada: 241.18,Stop: 231.17,Take-Profit: 256.19,Break-Even: 248.69,Qtd: 5.00,Trailing: 231.17,Data: 18/09/2026 02:21:58</t>
  </si>
  <si>
    <t>HUM,Preço: 385.00,Dist MM20: -0.12%,Momentum: -13.20,RSI: 53.77,ADX: 32.30,ATR: 15.72,RVOL: 0.90,Estado: Forca Consolidada,Entrada: 381.86,Stop: 363.00,Take-Profit: 410.16,Break-Even: 396.01,Qtd: 2.65,Trailing: 363.00,Data: 10/08/2026 05:23:31</t>
  </si>
  <si>
    <t>ATR: 0.23</t>
  </si>
  <si>
    <t>HUM (INTRADAY),Máximo 15h30: 393.48,Estado: Forca Consolidada,Entrada: 377.75,Stop: 362.03,Take-Profit: 401.33,Data: 10/08/2026 15:30:13</t>
  </si>
  <si>
    <t>18/09/2026 02:05:15</t>
  </si>
  <si>
    <t>10/08/2026 05:08:09</t>
  </si>
  <si>
    <t>RBLX</t>
  </si>
  <si>
    <t>RBLX,Preço: 37.79,Dist MM20: -19.49%,Momentum: -15.46,RSI: 33.65,ADX: 27.15,ATR: 2.61,RVOL: 1.36,Estado: Forca Consolidada,Entrada: 37.27,Stop: 34.14,Take-Profit: 41.97,Break-Even: 39.62,Qtd: 15.96,Trailing: 34.14,Data: 10/08/2026 05:08:09</t>
  </si>
  <si>
    <t>Trailing: 10.18</t>
  </si>
  <si>
    <t>RBLX (INTRADAY),Máximo 15h30: 39.68,Estado: Forca Consolidada,Entrada: 37.07,Stop: 34.46,Take-Profit: 40.98,Data: 10/08/2026 15:30:13</t>
  </si>
  <si>
    <t>10/08/2026 04:09:30</t>
  </si>
  <si>
    <t>Entrada: 271.34</t>
  </si>
  <si>
    <t>AGNC,Preço: 10.64,Dist MM20: -2.53%,Momentum: -0.68,RSI: 45.08,ADX: 16.75,ATR: 0.23,RVOL: 1.27,Estado: Observar,Entrada: N/A,Stop: N/A,Take-Profit: N/A,Break-Even: N/A,Qtd: N/A,Trailing: 10.18,Data: 05/08/2026 10:28:13</t>
  </si>
  <si>
    <t>U,Preço: 43.00,Dist MM20: 33.00%,Momentum: 13.19,RSI: 81.32,ADX: 27.76,ATR: 2.12,RVOL: 1.73,Estado: Forca Consolidada,Entrada: 42.58,Stop: 40.04,Take-Profit: 46.40,Break-Even: 44.49,Qtd: 19.65,Trailing: 40.04,Data: 10/08/2026 04:09:29</t>
  </si>
  <si>
    <t>Stop: 265.92</t>
  </si>
  <si>
    <t>U (INTRADAY),Máximo 15h30: 43.55,Estado: Forca Consolidada,Entrada: 41.43,Stop: 39.31,Take-Profit: 44.61,Data: 10/08/2026 15:30:17</t>
  </si>
  <si>
    <t>Take-Profit: 279.48</t>
  </si>
  <si>
    <t>10/08/2026 03:54:35</t>
  </si>
  <si>
    <t>Qtd: 9.22</t>
  </si>
  <si>
    <t>TSLA,Preço: 328.58,Dist MM20: -4.30%,Momentum: -40.99,RSI: 41.41,ADX: 30.56,ATR: 12.28,RVOL: 1.00,Estado: Forca Consolidada,Entrada: 326.12,Stop: 311.38,Take-Profit: 348.22,Break-Even: 337.17,Qtd: 3.39,Trailing: 311.38,Data: 10/08/2026 03:54:34</t>
  </si>
  <si>
    <t>Dist MM20: -2.05%</t>
  </si>
  <si>
    <t>TSLA (INTRADAY),Máximo 15h30: 332.05,Estado: Forca Consolidada,Entrada: 319.77,Stop: 307.49,Take-Profit: 338.19,Data: 10/08/2026 15:30:18</t>
  </si>
  <si>
    <t>ADP,Preço: 272.24,Dist MM20: -2.05%,Momentum: -12.44,RSI: 49.08,ADX: 23.99,ATR: 4.52,RVOL: 0.88,Estado: Alerta Iminente,Entrada: 271.34,Stop: 265.92,Take-Profit: 279.48,Break-Even: 275.41,Qtd: 9.22,Trailing: 265.92,Data: 18/09/2026 02:05:15</t>
  </si>
  <si>
    <t>10/08/2026 03:54:01</t>
  </si>
  <si>
    <t>TALK</t>
  </si>
  <si>
    <t>Talkspace</t>
  </si>
  <si>
    <t>17/09/2026 05:05:13</t>
  </si>
  <si>
    <t>P Up</t>
  </si>
  <si>
    <t>TALK,Preço: 5.22,Dist MM20: 0.15%,Momentum: 0.01,RSI: 52.59,ADX: 39.09,ATR: 0.02,RVOL: 4.38,Estado: Forca Consolidada,Entrada: 5.22,Stop: 5.20,Take-Profit: 5.26,Break-Even: 5.24,Qtd: 2083.33,Trailing: 5.20,Data: 10/08/2026 03:54:00</t>
  </si>
  <si>
    <t>TALK (INTRADAY),Máximo 15h30: 5.23,Estado: Forca Consolidada,Entrada: 5.21,Stop: 5.19,Take-Profit: 5.24,Data: 10/08/2026 15:30:18</t>
  </si>
  <si>
    <t>10/08/2026 03:39:04</t>
  </si>
  <si>
    <t>SHAK</t>
  </si>
  <si>
    <t>Shake Shack</t>
  </si>
  <si>
    <t>Entrada: 11.88</t>
  </si>
  <si>
    <t>SHAK,Preço: 71.13,Dist MM20: 14.52%,Momentum: 14.16,RSI: 67.42,ADX: 28.32,ATR: 2.88,RVOL: 0.66,Estado: Forca Consolidada,Entrada: 70.55,Stop: 67.09,Take-Profit: 75.73,Break-Even: 73.14,Qtd: 14.47,Trailing: 67.09,Data: 10/08/2026 03:39:03</t>
  </si>
  <si>
    <t>SHAK,Máximo 15h30: 71.01,Estado: Ignorado - S/ Quebra de Fecho,Data: 10/08/2026 15:30:18</t>
  </si>
  <si>
    <t>Stop: 11.40</t>
  </si>
  <si>
    <t>10/08/2026 03:38:10</t>
  </si>
  <si>
    <t>C3.ai</t>
  </si>
  <si>
    <t>Take-Profit: 12.60</t>
  </si>
  <si>
    <t>SAP,Preço: 206.16,Dist MM20: 19.58%,Momentum: 47.81,RSI: 75.10,ADX: 28.34,ATR: 5.65,RVOL: 0.81,Estado: Forca Consolidada,Entrada: 205.03,Stop: 198.25,Take-Profit: 215.20,Break-Even: 210.12,Qtd: 7.37,Trailing: 198.25,Data: 10/08/2026 03:38:10</t>
  </si>
  <si>
    <t>Qtd: 104.17</t>
  </si>
  <si>
    <t>SAP (INTRADAY),Máximo 15h30: 207.51,Estado: Forca Consolidada,Entrada: 201.86,Stop: 196.21,Take-Profit: 210.33,Data: 10/08/2026 15:30:19</t>
  </si>
  <si>
    <t>Dist MM20: -1.27%</t>
  </si>
  <si>
    <t>MED,Preço: 11.96,Dist MM20: -1.27%,Momentum: -0.26,RSI: 51.23,ADX: 28.88,ATR: 0.40,RVOL: 0.98,Estado: Alerta Iminente,Entrada: 11.88,Stop: 11.40,Take-Profit: 12.60,Break-Even: 12.24,Qtd: 104.17,Trailing: 11.40,Data: 17/09/2026 05:05:12</t>
  </si>
  <si>
    <t>10/08/2026 03:24:51</t>
  </si>
  <si>
    <t>RKLB</t>
  </si>
  <si>
    <t>Rocket Lab Corp</t>
  </si>
  <si>
    <t>17/09/2026 04:50:17</t>
  </si>
  <si>
    <t>RKLB,Preço: 82.83,Dist MM20: 18.12%,Momentum: 17.09,RSI: 56.24,ADX: 28.02,ATR: 5.24,RVOL: 1.27,Estado: Forca Consolidada,Entrada: 81.78,Stop: 75.49,Take-Profit: 91.21,Break-Even: 86.50,Qtd: 7.95,Trailing: 75.49,Data: 10/08/2026 03:24:49</t>
  </si>
  <si>
    <t>RKLB (INTRADAY),Máximo 15h30: 86.82,Estado: Forca Consolidada,Entrada: 81.58,Stop: 76.34,Take-Profit: 89.44,Data: 10/08/2026 15:30:21</t>
  </si>
  <si>
    <t>10/08/2026 03:23:07</t>
  </si>
  <si>
    <t>RVOL: 1.12</t>
  </si>
  <si>
    <t>Entrada: 42.91</t>
  </si>
  <si>
    <t>Stop: 41.87</t>
  </si>
  <si>
    <t>QLYS,Preço: 183.48,Dist MM20: 19.92%,Momentum: 27.11,RSI: 74.41,ADX: 33.00,ATR: 9.54,RVOL: 0.90,Estado: Forca Consolidada,Entrada: 181.57,Stop: 170.12,Take-Profit: 198.74,Break-Even: 190.16,Qtd: 4.37,Trailing: 170.12,Data: 10/08/2026 03:23:06</t>
  </si>
  <si>
    <t>Take-Profit: 44.48</t>
  </si>
  <si>
    <t>QLYS (INTRADAY),Máximo 15h30: 192.73,Estado: Forca Consolidada,Entrada: 183.19,Stop: 173.65,Take-Profit: 197.50,Data: 10/08/2026 15:30:21</t>
  </si>
  <si>
    <t>Dist MM20: 3.91%</t>
  </si>
  <si>
    <t>10/08/2026 03:08:45</t>
  </si>
  <si>
    <t>PANW</t>
  </si>
  <si>
    <t>LTC,Preço: 43.08,Dist MM20: 3.91%,Momentum: 2.55,RSI: 64.61,ADX: 27.71,ATR: 0.87,RVOL: 1.12,Estado: Alerta Iminente,Entrada: 42.91,Stop: 41.87,Take-Profit: 44.48,Break-Even: 43.69,Qtd: 47.89,Trailing: 41.87,Data: 17/09/2026 04:50:17</t>
  </si>
  <si>
    <t>Palo Alto Networks</t>
  </si>
  <si>
    <t>PANW,Preço: 363.86,Dist MM20: 6.50%,Momentum: 15.20,RSI: 64.25,ADX: 29.98,ATR: 14.33,RVOL: 0.78,Estado: Forca Consolidada,Entrada: 360.99,Stop: 343.79,Take-Profit: 386.78,Break-Even: 373.88,Qtd: 2.91,Trailing: 343.79,Data: 10/08/2026 03:08:44</t>
  </si>
  <si>
    <t>PANW (INTRADAY),Máximo 15h30: 382.37,Estado: Forca Consolidada,Entrada: 368.04,Stop: 353.71,Take-Profit: 389.54,Data: 10/08/2026 15:30:22</t>
  </si>
  <si>
    <t>17/09/2026 04:20:11</t>
  </si>
  <si>
    <t>10/08/2026 03:07:47</t>
  </si>
  <si>
    <t>Entrada: 210.76</t>
  </si>
  <si>
    <t>Stop: 206.07</t>
  </si>
  <si>
    <t>ORCL,Preço: 147.02,Dist MM20: 13.56%,Momentum: 25.64,RSI: 56.56,ADX: 29.79,ATR: 6.59,RVOL: 0.61,Estado: Forca Consolidada,Entrada: 145.70,Stop: 137.79,Take-Profit: 157.56,Break-Even: 151.63,Qtd: 6.32,Trailing: 137.79,Data: 10/08/2026 03:07:46</t>
  </si>
  <si>
    <t>Take-Profit: 217.80</t>
  </si>
  <si>
    <t>ORCL (INTRADAY),Máximo 15h30: 150.80,Estado: Forca Consolidada,Entrada: 144.21,Stop: 137.62,Take-Profit: 154.09,Data: 10/08/2026 15:30:22</t>
  </si>
  <si>
    <t>Qtd: 10.66</t>
  </si>
  <si>
    <t>Dist MM20: 1.64%</t>
  </si>
  <si>
    <t>10/08/2026 03:07:27</t>
  </si>
  <si>
    <t>ORC</t>
  </si>
  <si>
    <t>Orchild Island Company</t>
  </si>
  <si>
    <t>CVX,Preço: 211.54,Dist MM20: 1.64%,Momentum: 11.33,RSI: 58.49,ADX: 32.94,ATR: 3.91,RVOL: 1.02,Estado: Alerta Iminente,Entrada: 210.76,Stop: 206.07,Take-Profit: 217.80,Break-Even: 214.28,Qtd: 10.66,Trailing: 206.07,Data: 17/09/2026 04:20:10</t>
  </si>
  <si>
    <t>ORC,Preço: 6.56,Dist MM20: -1.07%,Momentum: -0.15,RSI: 46.43,ADX: 31.63,ATR: 0.13,RVOL: 0.84,Estado: Forca Consolidada,Entrada: 6.53,Stop: 6.37,Take-Profit: 6.76,Break-Even: 6.64,Qtd: 320.51,Trailing: 6.37,Data: 10/08/2026 03:07:26</t>
  </si>
  <si>
    <t>ORC,Máximo 15h30: 6.54,Estado: Ignorado - S/ Quebra de Fecho,Data: 10/08/2026 15:30:27</t>
  </si>
  <si>
    <t>17/09/2026 03:54:03</t>
  </si>
  <si>
    <t>10/08/2026 02:52:51</t>
  </si>
  <si>
    <t>MSFT,Preço: 499.99,Dist MM20: 17.97%,Momentum: 97.70,RSI: 78.13,ADX: 28.82,ATR: 13.03,RVOL: 0.72,Estado: Forca Consolidada,Entrada: 497.38,Stop: 481.74,Take-Profit: 520.83,Break-Even: 509.11,Qtd: 3.20,Trailing: 481.74,Data: 10/08/2026 02:52:50</t>
  </si>
  <si>
    <t>MSFT (INTRADAY),Máximo 15h30: 512.91,Estado: Forca Consolidada,Entrada: 499.88,Stop: 486.85,Take-Profit: 519.42,Data: 10/08/2026 15:30:27</t>
  </si>
  <si>
    <t>AI,Preço: 10.85,Dist MM20: 2.96%,Momentum: 0.51,RSI: 56.45,ADX: 24.07,ATR: 0.50,RVOL: 0.72,Estado: Observar,Entrada: N/A,Stop: N/A,Take-Profit: N/A,Break-Even: N/A,Qtd: N/A,Trailing: 9.85,Data: 23/09/2026 06:49:38</t>
  </si>
  <si>
    <t>10/08/2026 02:38:45</t>
  </si>
  <si>
    <t>IONQ</t>
  </si>
  <si>
    <t>IonQ</t>
  </si>
  <si>
    <t>IONQ,Preço: 44.43,Dist MM20: 20.81%,Momentum: 10.19,RSI: 56.85,ADX: 28.72,ATR: 2.56,RVOL: 1.56,Estado: Forca Consolidada,Entrada: 43.92,Stop: 40.85,Take-Profit: 48.53,Break-Even: 46.23,Qtd: 16.28,Trailing: 40.85,Data: 10/08/2026 02:38:44</t>
  </si>
  <si>
    <t>IONQ,Máximo 15h30: 44.20,Estado: Ignorado - S/ Quebra de Fecho,Data: 10/08/2026 15:30:27</t>
  </si>
  <si>
    <t>Preço: 9.07</t>
  </si>
  <si>
    <t>Entrada: 149.60</t>
  </si>
  <si>
    <t>Dist MM20: 2.72%</t>
  </si>
  <si>
    <t>10/08/2026 02:36:09</t>
  </si>
  <si>
    <t>GRMN</t>
  </si>
  <si>
    <t>Garmin</t>
  </si>
  <si>
    <t>Stop: 141.81</t>
  </si>
  <si>
    <t>Momentum: 0.12</t>
  </si>
  <si>
    <t>GRMN,Preço: 310.89,Dist MM20: 16.39%,Momentum: 66.10,RSI: 77.89,ADX: 39.47,ATR: 10.56,RVOL: 0.80,Estado: Forca Consolidada,Entrada: 308.78,Stop: 296.11,Take-Profit: 327.79,Break-Even: 318.28,Qtd: 3.95,Trailing: 296.11,Data: 10/08/2026 02:36:09</t>
  </si>
  <si>
    <t>Take-Profit: 161.28</t>
  </si>
  <si>
    <t>RSI: 51.28</t>
  </si>
  <si>
    <t>GRMN (INTRADAY),Máximo 15h30: 312.34,Estado: Forca Consolidada,Entrada: 301.78,Stop: 291.22,Take-Profit: 317.62,Data: 10/08/2026 15:30:27</t>
  </si>
  <si>
    <t>Qtd: 6.42</t>
  </si>
  <si>
    <t>ADX: 16.64</t>
  </si>
  <si>
    <t>Dist MM20: 5.05%</t>
  </si>
  <si>
    <t>10/08/2026 02:35:08</t>
  </si>
  <si>
    <t>ENVX</t>
  </si>
  <si>
    <t>ATR: 0.45</t>
  </si>
  <si>
    <t>Enovix</t>
  </si>
  <si>
    <t>SPCX,Preço: 150.90,Dist MM20: 5.05%,Momentum: 11.27,RSI: 57.65,ADX: 24.30,ATR: 6.49,RVOL: 1.35,Estado: Alerta Iminente,Entrada: 149.60,Stop: 141.81,Take-Profit: 161.28,Break-Even: 155.44,Qtd: 6.42,Trailing: 141.81,Data: 17/09/2026 03:54:02</t>
  </si>
  <si>
    <t>RVOL: 0.72</t>
  </si>
  <si>
    <t>ENVX,Preço: 4.70,Dist MM20: 5.71%,Momentum: 0.13,RSI: 48.95,ADX: 32.84,ATR: 0.31,RVOL: 0.82,Estado: Forca Consolidada,Entrada: 4.64,Stop: 4.27,Take-Profit: 5.20,Break-Even: 4.92,Qtd: 134.41,Trailing: 4.27,Data: 10/08/2026 02:35:07</t>
  </si>
  <si>
    <t>ENVX (INTRADAY),Máximo 15h30: 4.86,Estado: Forca Consolidada,Entrada: 4.55,Stop: 4.24,Take-Profit: 5.02,Data: 10/08/2026 15:30:28</t>
  </si>
  <si>
    <t>Data: 31/07/2026 03:53:52</t>
  </si>
  <si>
    <t>17/09/2026 03:51:57</t>
  </si>
  <si>
    <t>10/08/2026 02:23:38</t>
  </si>
  <si>
    <t>AI,Preço: 9.07,Dist MM20: 2.72%,Momentum: 0.12,RSI: 51.28,ADX: 16.64,ATR: 0.45,RVOL: 0.72,Estado: Aguardar Recuo,Entrada: 8.89,Stop: 8.44,Take-Profit: 9.79,Break-Even: 9.34,Qtd: 111.11,Data: 31/07/2026 03:53:52</t>
  </si>
  <si>
    <t>NET,Preço: 300.27,Dist MM20: 8.46%,Momentum: 27.85,RSI: 65.10,ADX: 25.93,ATR: 15.57,RVOL: 2.48,Estado: Forca Consolidada,Entrada: 297.16,Stop: 278.48,Take-Profit: 325.19,Break-Even: 311.18,Qtd: 2.68,Trailing: 278.48,Data: 10/08/2026 02:23:36</t>
  </si>
  <si>
    <t>NET (INTRADAY),Máximo 15h30: 304.14,Estado: Forca Consolidada,Entrada: 288.57,Stop: 273.00,Take-Profit: 311.93,Data: 10/08/2026 15:30:28</t>
  </si>
  <si>
    <t>10/08/2026 02:10:14</t>
  </si>
  <si>
    <t>TEAM,Preço: 149.07,Dist MM20: 49.97%,Momentum: 52.64,RSI: 78.56,ADX: 27.44,ATR: 6.60,RVOL: 3.96,Estado: Forca Consolidada,Entrada: 147.75,Stop: 139.83,Take-Profit: 159.63,Break-Even: 153.69,Qtd: 6.31,Trailing: 139.83,Data: 10/08/2026 02:10:13</t>
  </si>
  <si>
    <t>TEAM (INTRADAY),Máximo 15h30: 153.99,Estado: Forca Consolidada,Entrada: 147.39,Stop: 140.79,Take-Profit: 157.29,Data: 10/08/2026 15:30:33</t>
  </si>
  <si>
    <t>10/08/2026 02:08:57</t>
  </si>
  <si>
    <t>Applovin</t>
  </si>
  <si>
    <t>APP,Preço: 346.80,Dist MM20: -15.58%,Momentum: -77.80,RSI: 32.20,ADX: 25.39,ATR: 18.68,RVOL: 1.06,Estado: Forca Consolidada,Entrada: 343.06,Stop: 320.64,Take-Profit: 376.68,Break-Even: 359.87,Qtd: 2.23,Trailing: 320.64,Data: 10/08/2026 02:08:56</t>
  </si>
  <si>
    <t>APP (INTRADAY),Máximo 15h30: 350.26,Estado: Forca Consolidada,Entrada: 331.58,Stop: 312.90,Take-Profit: 359.60,Data: 10/08/2026 15:30:33</t>
  </si>
  <si>
    <t>Entrada: 263.22</t>
  </si>
  <si>
    <t>10/08/2026 02:08:17</t>
  </si>
  <si>
    <t>Stop: 254.75</t>
  </si>
  <si>
    <t>AMPL,Preço: 11.26,Dist MM20: 20.12%,Momentum: 1.43,RSI: 74.22,ADX: 25.47,ATR: 0.64,RVOL: 1.35,Estado: Forca Consolidada,Entrada: 11.13,Stop: 10.36,Take-Profit: 12.28,Break-Even: 11.71,Qtd: 65.10,Trailing: 10.36,Data: 10/08/2026 02:08:15</t>
  </si>
  <si>
    <t>Take-Profit: 275.93</t>
  </si>
  <si>
    <t>AMPL (INTRADAY),Máximo 15h30: 11.86,Estado: Forca Consolidada,Entrada: 11.21,Stop: 10.57,Take-Profit: 12.18,Data: 10/08/2026 15:30:33</t>
  </si>
  <si>
    <t>Alta Equipment</t>
  </si>
  <si>
    <t>Qtd: 5.90</t>
  </si>
  <si>
    <t>10/08/2026 02:07:19</t>
  </si>
  <si>
    <t>AMZN</t>
  </si>
  <si>
    <t>Amazon US</t>
  </si>
  <si>
    <t>Dist MM20: 5.45%</t>
  </si>
  <si>
    <t>PSX,Preço: 264.63,Dist MM20: 5.45%,Momentum: 22.40,RSI: 74.64,ADX: 44.67,ATR: 7.06,RVOL: 0.98,Estado: Alerta Iminente,Entrada: 263.22,Stop: 254.75,Take-Profit: 275.93,Break-Even: 269.58,Qtd: 5.90,Trailing: 254.75,Data: 17/09/2026 03:51:57</t>
  </si>
  <si>
    <t>AMZN,Preço: 274.48,Dist MM20: 9.10%,Momentum: 24.49,RSI: 64.21,ADX: 26.54,ATR: 6.56,RVOL: 0.68,Estado: Forca Consolidada,Entrada: 273.17,Stop: 265.30,Take-Profit: 284.98,Break-Even: 279.08,Qtd: 6.35,Trailing: 265.30,Data: 10/08/2026 02:07:19</t>
  </si>
  <si>
    <t>AMZN (INTRADAY),Máximo 15h30: 277.94,Estado: Forca Consolidada,Entrada: 271.38,Stop: 264.82,Take-Profit: 281.22,Data: 10/08/2026 15:30:34</t>
  </si>
  <si>
    <t>10/08/2026 02:06:23</t>
  </si>
  <si>
    <t>17/09/2026 03:47:53</t>
  </si>
  <si>
    <t>BABA,Preço: 128.41,Dist MM20: 7.92%,Momentum: 8.07,RSI: 67.85,ADX: 29.91,ATR: 2.72,RVOL: 0.60,Estado: Forca Consolidada,Entrada: 127.87,Stop: 124.61,Take-Profit: 132.77,Break-Even: 130.32,Qtd: 15.32,Trailing: 124.61,Data: 10/08/2026 02:06:23</t>
  </si>
  <si>
    <t>XOM</t>
  </si>
  <si>
    <t>BABA (INTRADAY),Máximo 15h30: 130.06,Estado: Forca Consolidada,Entrada: 127.34,Stop: 124.62,Take-Profit: 131.42,Data: 10/08/2026 15:30:36</t>
  </si>
  <si>
    <t>10/08/2026 02:04:49</t>
  </si>
  <si>
    <t>ANF,Preço: 112.62,Dist MM20: 12.74%,Momentum: 18.18,RSI: 70.94,ADX: 30.66,ATR: 4.25,RVOL: 0.71,Estado: Forca Consolidada,Entrada: 111.77,Stop: 106.67,Take-Profit: 119.42,Break-Even: 115.59,Qtd: 9.80,Trailing: 106.67,Data: 10/08/2026 02:04:49</t>
  </si>
  <si>
    <t>ANF (INTRADAY),Máximo 15h30: 117.47,Estado: Forca Consolidada,Entrada: 113.22,Stop: 108.97,Take-Profit: 119.60,Data: 10/08/2026 15:30:36</t>
  </si>
  <si>
    <t>Entrada: 162.65</t>
  </si>
  <si>
    <t>07/08/2026 06:24:02</t>
  </si>
  <si>
    <t>Stop: 158.65</t>
  </si>
  <si>
    <t>ADP,Preço: 273.51,Dist MM20: 6.36%,Momentum: 18.24,RSI: 68.52,ADX: 37.88,ATR: 8.09,RVOL: 0.95,Estado: Forca Consolidada,Entrada: 271.89,Stop: 262.18,Take-Profit: 286.45,Break-Even: 279.17,Qtd: 5.15,Trailing: 262.18,Data: 07/08/2026 06:24:02</t>
  </si>
  <si>
    <t>Take-Profit: 168.64</t>
  </si>
  <si>
    <t>ADP (INTRADAY),Máximo 15h30: 275.23,Estado: Forca Consolidada,Entrada: 267.14,Stop: 259.05,Take-Profit: 279.27,Data: 07/08/2026 15:30:04</t>
  </si>
  <si>
    <t>Qtd: 12.51</t>
  </si>
  <si>
    <t>07/08/2026 04:54:22</t>
  </si>
  <si>
    <t>TZOO,Preço: 7.14,Dist MM20: -23.35%,Momentum: -3.80,RSI: 24.90,ADX: 38.30,ATR: 0.48,RVOL: 0.88,Estado: Forca Consolidada,Entrada: 7.04,Stop: 6.46,Take-Profit: 7.90,Break-Even: 7.47,Qtd: 86.81,Trailing: 6.46,Data: 07/08/2026 04:54:21</t>
  </si>
  <si>
    <t>TZOO (INTRADAY),Máximo 15h30: 7.40,Estado: Forca Consolidada,Entrada: 6.92,Stop: 6.44,Take-Profit: 7.64,Data: 07/08/2026 15:30:05</t>
  </si>
  <si>
    <t>XOM,Preço: 163.32,Dist MM20: 0.28%,Momentum: 5.13,RSI: 53.23,ADX: 20.76,ATR: 3.33,RVOL: 0.98,Estado: Alerta Iminente,Entrada: 162.65,Stop: 158.65,Take-Profit: 168.64,Break-Even: 165.64,Qtd: 12.51,Trailing: 158.65,Data: 17/09/2026 03:47:53</t>
  </si>
  <si>
    <t>ALTG,Preço: 6.28,Dist MM20: 5.04%,Momentum: 0.56,RSI: 52.49,ADX: 18.57,ATR: 0.32,RVOL: 1.19,Estado: Aguardar Recuo,Entrada: 6.15,Stop: 5.83,Take-Profit: 6.53,Break-Even: 6.34,Qtd: 78.12,Trailing: 5.83,Data: 23/09/2026 06:49:55</t>
  </si>
  <si>
    <t>07/08/2026 04:27:59</t>
  </si>
  <si>
    <t>HUM,Preço: 367.24,Dist MM20: -4.82%,Momentum: -32.76,RSI: 44.67,ADX: 33.77,ATR: 14.88,RVOL: 0.63,Estado: Forca Consolidada,Entrada: 364.26,Stop: 346.40,Take-Profit: 391.04,Break-Even: 377.65,Qtd: 2.80,Trailing: 346.40,Data: 07/08/2026 04:27:59</t>
  </si>
  <si>
    <t>HUM (INTRADAY),Máximo 15h30: 382.37,Estado: Forca Consolidada,Entrada: 367.49,Stop: 352.61,Take-Profit: 389.81,Data: 07/08/2026 15:30:06</t>
  </si>
  <si>
    <t>17/09/2026 03:47:46</t>
  </si>
  <si>
    <t>07/08/2026 04:27:49</t>
  </si>
  <si>
    <t>Preço: 6.07</t>
  </si>
  <si>
    <t>ABT,Preço: 107.96,Dist MM20: 6.53%,Momentum: 7.28,RSI: 67.91,ADX: 30.51,ATR: 2.46,RVOL: 0.54,Estado: Forca Consolidada,Entrada: 107.47,Stop: 104.52,Take-Profit: 111.90,Break-Even: 109.69,Qtd: 16.94,Trailing: 104.52,Data: 07/08/2026 04:27:49</t>
  </si>
  <si>
    <t>Dist MM20: -4.54%</t>
  </si>
  <si>
    <t>ABT (INTRADAY),Máximo 15h30: 107.97,Estado: Forca Consolidada,Entrada: 105.51,Stop: 103.05,Take-Profit: 109.20,Data: 07/08/2026 15:30:06</t>
  </si>
  <si>
    <t>Momentum: -0.55</t>
  </si>
  <si>
    <t>RVOL: 1.38</t>
  </si>
  <si>
    <t>07/08/2026 04:27:37</t>
  </si>
  <si>
    <t>RSI: 42.11</t>
  </si>
  <si>
    <t>LTC,Preço: 39.45,Dist MM20: -3.14%,Momentum: -2.30,RSI: 46.18,ADX: 29.27,ATR: 0.93,RVOL: 0.83,Estado: Forca Consolidada,Entrada: 39.26,Stop: 38.14,Take-Profit: 40.93,Break-Even: 40.09,Qtd: 44.80,Trailing: 38.14,Data: 07/08/2026 04:27:37</t>
  </si>
  <si>
    <t>Entrada: 131.91</t>
  </si>
  <si>
    <t>LTC (INTRADAY),Máximo 15h30: 39.77,Estado: Forca Consolidada,Entrada: 38.84,Stop: 37.91,Take-Profit: 40.23,Data: 07/08/2026 15:30:06</t>
  </si>
  <si>
    <t>ADX: 9.80</t>
  </si>
  <si>
    <t>ATR: 0.39</t>
  </si>
  <si>
    <t>Stop: 128.11</t>
  </si>
  <si>
    <t>07/08/2026 04:09:44</t>
  </si>
  <si>
    <t>V</t>
  </si>
  <si>
    <t>Visa US</t>
  </si>
  <si>
    <t>RVOL: 0.57</t>
  </si>
  <si>
    <t>Take-Profit: 137.62</t>
  </si>
  <si>
    <t>V,Preço: 370.47,Dist MM20: 2.58%,Momentum: 11.91,RSI: 65.78,ADX: 28.60,ATR: 7.15,RVOL: 0.50,Estado: Forca Consolidada,Entrada: 369.04,Stop: 360.46,Take-Profit: 381.91,Break-Even: 375.48,Qtd: 5.83,Trailing: 360.46,Data: 07/08/2026 04:09:43</t>
  </si>
  <si>
    <t>Data: 31/07/2026 04:50:03</t>
  </si>
  <si>
    <t>V,Máximo 15h30: 369.81,Estado: Ignorado - S/ Quebra de Fecho,Data: 07/08/2026 15:30:11</t>
  </si>
  <si>
    <t>Qtd: 13.14</t>
  </si>
  <si>
    <t>Dist MM20: -1.39%</t>
  </si>
  <si>
    <t>07/08/2026 04:09:04</t>
  </si>
  <si>
    <t>ALTG,Preço: 6.07,Dist MM20: -4.54%,Momentum: -0.55,RSI: 42.11,ADX: 9.80,ATR: 0.39,RVOL: 0.57,Estado: Aguardar Recuo,Entrada: 5.91,Stop: 5.52,Take-Profit: 6.69,Break-Even: 6.30,Qtd: 128.21,Data: 31/07/2026 04:50:03</t>
  </si>
  <si>
    <t>COP,Preço: 132.54,Dist MM20: -1.39%,Momentum: 1.93,RSI: 51.47,ADX: 26.76,ATR: 3.17,RVOL: 1.38,Estado: Alerta Iminente,Entrada: 131.91,Stop: 128.11,Take-Profit: 137.62,Break-Even: 134.76,Qtd: 13.14,Trailing: 128.11,Data: 17/09/2026 03:47:46</t>
  </si>
  <si>
    <t>U,Preço: 40.81,Dist MM20: 28.63%,Momentum: 11.82,RSI: 78.73,ADX: 25.05,ATR: 2.07,RVOL: 3.92,Estado: Forca Consolidada,Entrada: 40.40,Stop: 37.92,Take-Profit: 44.13,Break-Even: 42.27,Qtd: 20.13,Trailing: 37.92,Data: 07/08/2026 04:09:03</t>
  </si>
  <si>
    <t>U (INTRADAY),Máximo 15h30: 44.36,Estado: Forca Consolidada,Entrada: 42.29,Stop: 40.22,Take-Profit: 45.39,Data: 07/08/2026 15:30:11</t>
  </si>
  <si>
    <t>17/09/2026 02:55:07</t>
  </si>
  <si>
    <t>07/08/2026 03:38:17</t>
  </si>
  <si>
    <t>SAP,Preço: 199.46,Dist MM20: 17.34%,Momentum: 40.42,RSI: 72.26,ADX: 26.41,ATR: 5.73,RVOL: 0.81,Estado: Forca Consolidada,Entrada: 198.31,Stop: 191.43,Take-Profit: 208.62,Break-Even: 203.47,Qtd: 7.27,Trailing: 191.43,Data: 07/08/2026 03:38:15</t>
  </si>
  <si>
    <t>SAP (INTRADAY),Máximo 15h30: 207.53,Estado: Forca Consolidada,Entrada: 201.80,Stop: 196.07,Take-Profit: 210.40,Data: 07/08/2026 15:30:11</t>
  </si>
  <si>
    <t>07/08/2026 03:25:01</t>
  </si>
  <si>
    <t>RKLB,Preço: 75.67,Dist MM20: 8.04%,Momentum: 8.05,RSI: 49.30,ADX: 29.71,ATR: 5.11,RVOL: 1.04,Estado: Forca Consolidada,Entrada: 74.65,Stop: 68.52,Take-Profit: 83.85,Break-Even: 79.25,Qtd: 8.15,Trailing: 68.52,Data: 07/08/2026 03:25:00</t>
  </si>
  <si>
    <t>RKLB (INTRADAY),Máximo 15h30: 81.55,Estado: Forca Consolidada,Entrada: 76.44,Stop: 71.33,Take-Profit: 84.11,Data: 07/08/2026 15:30:12</t>
  </si>
  <si>
    <t>Entrada: 181.06</t>
  </si>
  <si>
    <t>Stop: 169.04</t>
  </si>
  <si>
    <t>07/08/2026 02:52:05</t>
  </si>
  <si>
    <t>Take-Profit: 199.10</t>
  </si>
  <si>
    <t>MSFT,Preço: 499.86,Dist MM20: 19.56%,Momentum: 106.04,RSI: 78.11,ADX: 26.36,ATR: 13.54,RVOL: 0.83,Estado: Forca Consolidada,Entrada: 497.15,Stop: 480.90,Take-Profit: 521.52,Break-Even: 509.33,Qtd: 3.08,Trailing: 480.90,Data: 07/08/2026 02:52:04</t>
  </si>
  <si>
    <t>MSFT (INTRADAY),Máximo 15h30: 505.18,Estado: Forca Consolidada,Entrada: 491.64,Stop: 478.10,Take-Profit: 511.95,Data: 07/08/2026 15:30:12</t>
  </si>
  <si>
    <t>Qtd: 4.16</t>
  </si>
  <si>
    <t>AMD</t>
  </si>
  <si>
    <t>Dist MM20: 3.68%</t>
  </si>
  <si>
    <t>AMD US</t>
  </si>
  <si>
    <t>QLYS,Preço: 183.06,Dist MM20: 3.68%,Momentum: 6.39,RSI: 56.42,ADX: 22.07,ATR: 10.02,RVOL: 1.18,Estado: Alerta Iminente,Entrada: 181.06,Stop: 169.04,Take-Profit: 199.10,Break-Even: 190.08,Qtd: 4.16,Trailing: 171.43,Data: 17/09/2026 02:55:06</t>
  </si>
  <si>
    <t>07/08/2026 02:39:58</t>
  </si>
  <si>
    <t>MA,Preço: 575.95,Dist MM20: 4.37%,Momentum: 32.35,RSI: 69.38,ADX: 35.40,ATR: 10.52,RVOL: 0.66,Estado: Forca Consolidada,Entrada: 573.85,Stop: 561.23,Take-Profit: 592.79,Break-Even: 583.32,Qtd: 3.96,Trailing: 561.23,Data: 07/08/2026 02:39:57</t>
  </si>
  <si>
    <t>17/09/2026 02:35:41</t>
  </si>
  <si>
    <t>MA,Máximo 15h30: 572.99,Estado: Ignorado - S/ Quebra de Fecho,Data: 07/08/2026 15:30:15</t>
  </si>
  <si>
    <t>07/08/2026 02:21:58</t>
  </si>
  <si>
    <t>CNA</t>
  </si>
  <si>
    <t>Centrica</t>
  </si>
  <si>
    <t>CNA,Preço: 52.62,Dist MM20: -0.05%,Momentum: 0.35,RSI: 54.79,ADX: 31.98,ATR: 1.30,RVOL: 0.61,Estado: Forca Consolidada,Entrada: 52.36,Stop: 50.80,Take-Profit: 54.70,Break-Even: 53.53,Qtd: 32.05,Trailing: 50.80,Data: 07/08/2026 02:21:57</t>
  </si>
  <si>
    <t>CNA,Máximo 15h30: 52.30,Estado: Ignorado - S/ Quebra de Fecho,Data: 07/08/2026 15:30:15</t>
  </si>
  <si>
    <t>Entrada: 566.21</t>
  </si>
  <si>
    <t>07/08/2026 02:19:39</t>
  </si>
  <si>
    <t>Stop: 556.99</t>
  </si>
  <si>
    <t>Take-Profit: 580.03</t>
  </si>
  <si>
    <t>BRK.B,Preço: 524.61,Dist MM20: 4.67%,Momentum: 33.70,RSI: 74.55,ADX: 25.86,ATR: 7.01,RVOL: 1.05,Estado: Forca Consolidada,Entrada: 523.21,Stop: 514.80,Take-Profit: 535.83,Break-Even: 529.52,Qtd: 5.94,Trailing: 514.80,Data: 07/08/2026 02:19:38</t>
  </si>
  <si>
    <t>BRK.B,Estado: Erro Mercado - Ticker não encontrado,Data: 07/08/2026 15:30:15</t>
  </si>
  <si>
    <t>Qtd: 5.43</t>
  </si>
  <si>
    <t>07/08/2026 02:05:40</t>
  </si>
  <si>
    <t>ADS</t>
  </si>
  <si>
    <t>Adidas</t>
  </si>
  <si>
    <t>Dist MM20: -2.32%</t>
  </si>
  <si>
    <t>S1 Down</t>
  </si>
  <si>
    <t>ADS,Preço: 163.90,Dist MM20: -5.80%,Momentum: -16.20,RSI: 41.34,ADX: 28.85,ATR: 6.57,RVOL: 1.87,Estado: Forca Consolidada,Entrada: 162.59,Stop: 154.71,Take-Profit: 174.42,Break-Even: 168.50,Qtd: 6.34,Trailing: 154.71,Data: 07/08/2026 02:05:39</t>
  </si>
  <si>
    <t>MA,Preço: 567.75,Dist MM20: -2.32%,Momentum: -30.72,RSI: 46.00,ADX: 21.86,ATR: 7.68,RVOL: 0.94,Estado: Alerta Iminente,Entrada: 566.21,Stop: 556.99,Take-Profit: 580.03,Break-Even: 573.12,Qtd: 5.43,Trailing: 556.99,Data: 17/09/2026 02:35:40</t>
  </si>
  <si>
    <t>ADS,Estado: Erro Mercado - Ticker não encontrado,Data: 07/08/2026 15:30:15</t>
  </si>
  <si>
    <t>17/09/2026 02:05:25</t>
  </si>
  <si>
    <t>AMD,Preço: 623.77,Dist MM20: 23.22%,Momentum: 164.16,RSI: 73.88,ADX: 19.74,ATR: 19.97,RVOL: 1.33,Estado: Aguardar Recuo,Entrada: 615.78,Stop: 595.81,Take-Profit: 639.74,Break-Even: 627.76,Qtd: 1.25,Trailing: 595.81,Data: 23/09/2026 02:05:39</t>
  </si>
  <si>
    <t>07/08/2026 02:05:03</t>
  </si>
  <si>
    <t>ANF,Preço: 110.48,Dist MM20: 11.69%,Momentum: 15.24,RSI: 69.04,ADX: 28.94,ATR: 4.19,RVOL: 0.83,Estado: Forca Consolidada,Entrada: 109.64,Stop: 104.61,Take-Profit: 117.18,Break-Even: 113.41,Qtd: 9.94,Trailing: 104.61,Data: 07/08/2026 02:05:01</t>
  </si>
  <si>
    <t>ANF (INTRADAY),Máximo 15h30: 112.29,Estado: Forca Consolidada,Entrada: 108.10,Stop: 103.91,Take-Profit: 114.39,Data: 07/08/2026 15:30:16</t>
  </si>
  <si>
    <t>Entrada: 272.23</t>
  </si>
  <si>
    <t>06/08/2026 06:24:40</t>
  </si>
  <si>
    <t>Preço: 485.39</t>
  </si>
  <si>
    <t>NUE,Preço: 274.74,Dist MM20: 11.95%,Momentum: 39.07,RSI: 71.76,ADX: 27.49,ATR: 8.40,RVOL: 1.45,Estado: Forca Consolidada,Entrada: 273.06,Stop: 262.98,Take-Profit: 288.18,Break-Even: 280.62,Qtd: 4.96,Trailing: 262.98,Data: 06/08/2026 06:24:40</t>
  </si>
  <si>
    <t>Stop: 266.47</t>
  </si>
  <si>
    <t>NUE,Máximo 15h30: 274.16,Estado: Ignorado - S/ Quebra de Fecho,Data: 06/08/2026 15:30:17</t>
  </si>
  <si>
    <t>Dist MM20: -6.14%</t>
  </si>
  <si>
    <t>Take-Profit: 280.87</t>
  </si>
  <si>
    <t>Momentum: -72.50</t>
  </si>
  <si>
    <t>06/08/2026 06:23:14</t>
  </si>
  <si>
    <t>LTC,Preço: 38.72,Dist MM20: -4.90%,Momentum: -2.95,RSI: 39.81,ADX: 30.55,ATR: 0.95,RVOL: 0.74,Estado: Forca Consolidada,Entrada: 38.53,Stop: 37.39,Take-Profit: 40.24,Break-Even: 39.39,Qtd: 43.86,Trailing: 37.39,Data: 06/08/2026 06:23:14</t>
  </si>
  <si>
    <t>Qtd: 8.68</t>
  </si>
  <si>
    <t>RSI: 46.51</t>
  </si>
  <si>
    <t>LTC (INTRADAY),Máximo 15h30: 39.39,Estado: Forca Consolidada,Entrada: 38.44,Stop: 37.49,Take-Profit: 39.86,Data: 06/08/2026 15:30:18</t>
  </si>
  <si>
    <t>Dist MM20: -1.79%</t>
  </si>
  <si>
    <t>ADX: 15.51</t>
  </si>
  <si>
    <t>06/08/2026 05:09:08</t>
  </si>
  <si>
    <t>IBM</t>
  </si>
  <si>
    <t>ADP,Preço: 273.19,Dist MM20: -1.79%,Momentum: -8.20,RSI: 50.12,ADX: 25.50,ATR: 4.80,RVOL: 1.23,Estado: Alerta Iminente,Entrada: 272.23,Stop: 266.47,Take-Profit: 280.87,Break-Even: 276.55,Qtd: 8.68,Trailing: 263.59,Data: 17/09/2026 02:05:23</t>
  </si>
  <si>
    <t>ATR: 33.75</t>
  </si>
  <si>
    <t>IBM,Preço: 235.92,Dist MM20: 2.66%,Momentum: 16.87,RSI: 48.82,ADX: 25.25,ATR: 7.48,RVOL: 0.40,Estado: Forca Consolidada,Entrada: 234.42,Stop: 225.44,Take-Profit: 247.88,Break-Even: 241.15,Qtd: 5.57,Trailing: 225.44,Data: 06/08/2026 05:09:07</t>
  </si>
  <si>
    <t>IBM,Máximo 15h30: 233.58,Estado: Ignorado - S/ Quebra de Fecho,Data: 06/08/2026 15:30:19</t>
  </si>
  <si>
    <t>RVOL: 1.26</t>
  </si>
  <si>
    <t>06/08/2026 05:08:48</t>
  </si>
  <si>
    <t>Data: 31/07/2026 02:05:58</t>
  </si>
  <si>
    <t>16/09/2026 03:39:57</t>
  </si>
  <si>
    <t>ABT,Preço: 105.71,Dist MM20: 5.01%,Momentum: 6.88,RSI: 64.20,ADX: 30.65,ATR: 2.48,RVOL: 0.72,Estado: Forca Consolidada,Entrada: 105.21,Stop: 102.23,Take-Profit: 109.67,Break-Even: 107.44,Qtd: 16.80,Trailing: 102.23,Data: 06/08/2026 05:08:47</t>
  </si>
  <si>
    <t>ABT (INTRADAY),Máximo 15h30: 107.99,Estado: Forca Consolidada,Entrada: 105.51,Stop: 103.03,Take-Profit: 109.23,Data: 06/08/2026 15:30:19</t>
  </si>
  <si>
    <t>06/08/2026 04:54:35</t>
  </si>
  <si>
    <t>AMD,Preço: 485.39,Dist MM20: -6.14%,Momentum: -72.50,RSI: 46.51,ADX: 15.51,ATR: 33.75,RVOL: 1.26,Estado: Aguardar Recuo,Entrada: 471.89,Stop: 438.14,Take-Profit: 539.39,Break-Even: 505.64,Qtd: 1.48,Data: 31/07/2026 02:05:58</t>
  </si>
  <si>
    <t>RVOL: 1.15</t>
  </si>
  <si>
    <t>HUM,Preço: 363.82,Dist MM20: -6.08%,Momentum: -22.66,RSI: 42.65,ADX: 35.64,ATR: 14.96,RVOL: 0.73,Estado: Forca Consolidada,Entrada: 360.83,Stop: 342.88,Take-Profit: 387.76,Break-Even: 374.29,Qtd: 2.79,Trailing: 342.88,Data: 06/08/2026 04:54:35</t>
  </si>
  <si>
    <t>HUM (INTRADAY),Máximo 15h30: 369.99,Estado: Forca Consolidada,Entrada: 355.03,Stop: 340.07,Take-Profit: 377.47,Data: 06/08/2026 15:30:19</t>
  </si>
  <si>
    <t>Entrada: 27.46</t>
  </si>
  <si>
    <t>06/08/2026 03:55:01</t>
  </si>
  <si>
    <t>Stop: 26.90</t>
  </si>
  <si>
    <t>UNH</t>
  </si>
  <si>
    <t>United Health</t>
  </si>
  <si>
    <t>UNH,Preço: 412.75,Dist MM20: -2.31%,Momentum: -10.63,RSI: 46.69,ADX: 25.46,ATR: 11.79,RVOL: 0.68,Estado: Forca Consolidada,Entrada: 410.39,Stop: 396.24,Take-Profit: 431.61,Break-Even: 421.00,Qtd: 3.53,Trailing: 396.24,Data: 06/08/2026 03:55:00</t>
  </si>
  <si>
    <t>Take-Profit: 28.31</t>
  </si>
  <si>
    <t>UNH (INTRADAY),Máximo 15h30: 416.97,Estado: Forca Consolidada,Entrada: 405.18,Stop: 393.39,Take-Profit: 422.87,Data: 06/08/2026 15:30:20</t>
  </si>
  <si>
    <t>Qtd: 88.65</t>
  </si>
  <si>
    <t>06/08/2026 03:40:05</t>
  </si>
  <si>
    <t>Dist MM20: -1.90%</t>
  </si>
  <si>
    <t>PFE,Preço: 27.55,Dist MM20: -1.90%,Momentum: -1.02,RSI: 50.47,ADX: 38.16,ATR: 0.47,RVOL: 1.15,Estado: Alerta Iminente,Entrada: 27.46,Stop: 26.90,Take-Profit: 28.31,Break-Even: 27.88,Qtd: 88.65,Trailing: 26.90,Data: 16/09/2026 03:39:57</t>
  </si>
  <si>
    <t>TALK,Preço: 5.22,Dist MM20: 0.13%,Momentum: 0.00,RSI: 52.66,ADX: 41.40,ATR: 0.02,RVOL: 0.75,Estado: Forca Consolidada,Entrada: 5.22,Stop: 5.20,Take-Profit: 5.26,Break-Even: 5.24,Qtd: 2083.33,Trailing: 5.20,Data: 06/08/2026 03:40:05</t>
  </si>
  <si>
    <t>TALK (INTRADAY),Máximo 15h30: 5.23,Estado: Forca Consolidada,Entrada: 5.21,Stop: 5.19,Take-Profit: 5.24,Data: 06/08/2026 15:30:21</t>
  </si>
  <si>
    <t>16/09/2026 02:52:36</t>
  </si>
  <si>
    <t>06/08/2026 03:23:32</t>
  </si>
  <si>
    <t>RKLB,Preço: 74.82,Dist MM20: 6.31%,Momentum: 7.47,RSI: 48.40,ADX: 31.90,ATR: 4.98,RVOL: 0.89,Estado: Forca Consolidada,Entrada: 73.82,Stop: 67.84,Take-Profit: 82.78,Break-Even: 78.30,Qtd: 8.37,Trailing: 67.84,Data: 06/08/2026 03:23:31</t>
  </si>
  <si>
    <t>RKLB (INTRADAY),Máximo 15h30: 80.02,Estado: Forca Consolidada,Entrada: 75.04,Stop: 70.06,Take-Profit: 82.51,Data: 06/08/2026 15:30:24</t>
  </si>
  <si>
    <t>06/08/2026 03:08:45</t>
  </si>
  <si>
    <t>RVOL: 1.08</t>
  </si>
  <si>
    <t>QLYS,Preço: 183.25,Dist MM20: 21.88%,Momentum: 25.69,RSI: 75.23,ADX: 30.11,ATR: 9.27,RVOL: 2.06,Estado: Forca Consolidada,Entrada: 181.40,Stop: 170.28,Take-Profit: 198.09,Break-Even: 189.75,Qtd: 4.49,Trailing: 170.28,Data: 06/08/2026 03:08:44</t>
  </si>
  <si>
    <t>Entrada: 23.28</t>
  </si>
  <si>
    <t>QLYS (INTRADAY),Máximo 15h30: 183.39,Estado: Forca Consolidada,Entrada: 174.12,Stop: 164.85,Take-Profit: 188.02,Data: 06/08/2026 15:30:24</t>
  </si>
  <si>
    <t>Stop: 21.37</t>
  </si>
  <si>
    <t>Take-Profit: 26.14</t>
  </si>
  <si>
    <t>06/08/2026 02:53:34</t>
  </si>
  <si>
    <t>ORC,Preço: 6.42,Dist MM20: -3.65%,Momentum: -0.57,RSI: 37.62,ADX: 30.95,ATR: 0.14,RVOL: 0.89,Estado: Forca Consolidada,Entrada: 6.39,Stop: 6.22,Take-Profit: 6.64,Break-Even: 6.51,Qtd: 297.62,Trailing: 6.22,Data: 06/08/2026 02:53:34</t>
  </si>
  <si>
    <t>Qtd: 26.21</t>
  </si>
  <si>
    <t>ORC (INTRADAY),Máximo 15h30: 6.48,Estado: Forca Consolidada,Entrada: 6.34,Stop: 6.20,Take-Profit: 6.55,Data: 06/08/2026 15:30:25</t>
  </si>
  <si>
    <t>Dist MM20: -1.04%</t>
  </si>
  <si>
    <t>06/08/2026 02:08:13</t>
  </si>
  <si>
    <t>AAPL,Preço: 311.00,Dist MM20: -3.93%,Momentum: -22.26,RSI: 45.84,ADX: 26.15,ATR: 7.57,RVOL: 0.79,Estado: Forca Consolidada,Entrada: 309.49,Stop: 300.41,Take-Profit: 323.12,Break-Even: 316.31,Qtd: 5.50,Trailing: 300.41,Data: 06/08/2026 02:08:13</t>
  </si>
  <si>
    <t>AAPL (INTRADAY),Máximo 15h30: 316.29,Estado: Forca Consolidada,Entrada: 308.72,Stop: 301.15,Take-Profit: 320.07,Data: 06/08/2026 15:30:26</t>
  </si>
  <si>
    <t>16/09/2026 02:24:44</t>
  </si>
  <si>
    <t>06/08/2026 02:05:20</t>
  </si>
  <si>
    <t>ADS,Preço: 162.00,Dist MM20: -7.36%,Momentum: -20.00,RSI: 38.99,ADX: 28.37,ATR: 6.59,RVOL: 2.85,Estado: Forca Consolidada,Entrada: 160.68,Stop: 152.77,Take-Profit: 172.54,Break-Even: 166.61,Qtd: 6.32,Trailing: 152.77,Data: 06/08/2026 02:05:19</t>
  </si>
  <si>
    <t>ADS,Estado: Erro Mercado - Ticker não encontrado,Data: 06/08/2026 15:30:28</t>
  </si>
  <si>
    <t>05/08/2026 10:33:05</t>
  </si>
  <si>
    <t>ADP (INTRADAY),Máximo 15h30: 274.49,Estado: Forca Consolidada,Entrada: 266.22,Stop: 257.95,Take-Profit: 278.63,Data: 05/08/2026 15:30:52</t>
  </si>
  <si>
    <t>Entrada: 393.91</t>
  </si>
  <si>
    <t>Stop: 377.67</t>
  </si>
  <si>
    <t>Take-Profit: 418.26</t>
  </si>
  <si>
    <t>05/08/2026 05:24:51</t>
  </si>
  <si>
    <t>DPZ</t>
  </si>
  <si>
    <t>Domino s Pizza</t>
  </si>
  <si>
    <t>Qtd: 3.08</t>
  </si>
  <si>
    <t>DPZ,Preço: 367.63,Dist MM20: 11.37%,Momentum: 56.76,RSI: 69.55,ADX: 35.60,ATR: 14.61,RVOL: 0.94,Estado: Forca Consolidada,Entrada: 364.71,Stop: 347.18,Take-Profit: 391.01,Break-Even: 377.86,Qtd: 2.85,Trailing: 347.18,Data: 05/08/2026 05:24:50</t>
  </si>
  <si>
    <t>DPZ (INTRADAY),Máximo 15h30: 369.51,Estado: Forca Consolidada,Entrada: 354.90,Stop: 340.29,Take-Profit: 376.81,Data: 05/08/2026 15:30:53</t>
  </si>
  <si>
    <t>HUM,Preço: 396.62,Dist MM20: 0.80%,Momentum: 6.91,RSI: 52.54,ADX: 25.94,ATR: 13.53,RVOL: 0.90,Estado: Alerta Iminente,Entrada: 393.91,Stop: 377.67,Take-Profit: 418.26,Break-Even: 406.09,Qtd: 3.08,Trailing: 377.67,Data: 16/09/2026 02:24:44</t>
  </si>
  <si>
    <t>16/09/2026 02:05:28</t>
  </si>
  <si>
    <t>Entrada: 275.61</t>
  </si>
  <si>
    <t>Stop: 270.07</t>
  </si>
  <si>
    <t>Take-Profit: 283.93</t>
  </si>
  <si>
    <t>Preço: 8.61</t>
  </si>
  <si>
    <t>Qtd: 9.02</t>
  </si>
  <si>
    <t>Dist MM20: -5.09%</t>
  </si>
  <si>
    <t>Dist MM20: -0.52%</t>
  </si>
  <si>
    <t>Momentum: -0.57</t>
  </si>
  <si>
    <t>RSI: 50.66</t>
  </si>
  <si>
    <t>15/09/2026 06:20:11</t>
  </si>
  <si>
    <t>ADX: 23.53</t>
  </si>
  <si>
    <t>ATR: 0.62</t>
  </si>
  <si>
    <t>05/08/2026 05:09:59</t>
  </si>
  <si>
    <t>RVOL: 0.80</t>
  </si>
  <si>
    <t>RVOL: 1.20</t>
  </si>
  <si>
    <t>Data: 31/07/2026 03:51:57</t>
  </si>
  <si>
    <t>Entrada: 211.44</t>
  </si>
  <si>
    <t>MED,Preço: 13.08,Dist MM20: 26.53%,Momentum: 2.45,RSI: 73.04,ADX: 28.26,ATR: 0.48,RVOL: 4.48,Estado: Forca Consolidada,Entrada: 12.98,Stop: 12.40,Take-Profit: 13.84,Break-Even: 13.41,Qtd: 86.81,Trailing: 12.40,Data: 05/08/2026 05:09:58</t>
  </si>
  <si>
    <t>Stop: 207.04</t>
  </si>
  <si>
    <t>MED (INTRADAY),Máximo 15h30: 13.32,Estado: Forca Consolidada,Entrada: 12.84,Stop: 12.36,Take-Profit: 13.56,Data: 05/08/2026 15:30:55</t>
  </si>
  <si>
    <t>Take-Profit: 218.05</t>
  </si>
  <si>
    <t>Qtd: 11.35</t>
  </si>
  <si>
    <t>AMPL,Preço: 8.61,Dist MM20: -5.09%,Momentum: -0.57,RSI: 50.66,ADX: 23.53,ATR: 0.62,RVOL: 0.80,Estado: Observar,Entrada: N/A,Stop: N/A,Take-Profit: N/A,Break-Even: N/A,Qtd: N/A,Data: 31/07/2026 03:51:57</t>
  </si>
  <si>
    <t>Dist MM20: 2.46%</t>
  </si>
  <si>
    <t>CVX,Preço: 212.17,Dist MM20: 2.46%,Momentum: 9.08,RSI: 64.44,ADX: 31.98,ATR: 3.67,RVOL: 1.20,Estado: Alerta Iminente,Entrada: 211.44,Stop: 207.04,Take-Profit: 218.05,Break-Even: 214.75,Qtd: 11.35,Trailing: 207.04,Data: 15/09/2026 06:20:11</t>
  </si>
  <si>
    <t>15/09/2026 06:06:14</t>
  </si>
  <si>
    <t>05/08/2026 04:55:01</t>
  </si>
  <si>
    <t>Entrada: 13.53</t>
  </si>
  <si>
    <t>IBM,Preço: 235.15,Dist MM20: 0.87%,Momentum: 23.95,RSI: 48.37,ADX: 26.83,ATR: 8.19,RVOL: 0.43,Estado: Forca Consolidada,Entrada: 233.51,Stop: 223.68,Take-Profit: 248.25,Break-Even: 240.88,Qtd: 5.09,Trailing: 223.68,Data: 05/08/2026 04:55:01</t>
  </si>
  <si>
    <t>IBM (INTRADAY),Máximo 15h30: 236.70,Estado: Forca Consolidada,Entrada: 228.51,Stop: 220.32,Take-Profit: 240.79,Data: 05/08/2026 15:30:56</t>
  </si>
  <si>
    <t>Stop: 12.80</t>
  </si>
  <si>
    <t>Take-Profit: 14.63</t>
  </si>
  <si>
    <t>Qtd: 68.31</t>
  </si>
  <si>
    <t>05/08/2026 04:40:06</t>
  </si>
  <si>
    <t>Dist MM20: 3.62%</t>
  </si>
  <si>
    <t>AMPL,Preço: 13.65,Dist MM20: 3.62%,Momentum: 0.50,RSI: 62.06,ADX: 29.20,ATR: 0.61,RVOL: 0.95,Estado: Alerta Iminente,Entrada: 13.53,Stop: 12.80,Take-Profit: 14.63,Break-Even: 14.08,Qtd: 68.31,Trailing: 12.80,Data: 15/09/2026 06:06:14</t>
  </si>
  <si>
    <t>TZOO,Preço: 7.50,Dist MM20: -22.64%,Momentum: -3.58,RSI: 26.61,ADX: 35.28,ATR: 0.48,RVOL: 0.58,Estado: Forca Consolidada,Entrada: 7.40,Stop: 6.82,Take-Profit: 8.26,Break-Even: 7.83,Qtd: 86.81,Trailing: 6.82,Data: 05/08/2026 04:40:04</t>
  </si>
  <si>
    <t>15/09/2026 02:37:47</t>
  </si>
  <si>
    <t>TZOO,Máximo 15h30: 7.50,Estado: Ignorado - S/ Quebra de Fecho,Data: 05/08/2026 15:30:57</t>
  </si>
  <si>
    <t>05/08/2026 04:38:18</t>
  </si>
  <si>
    <t>MCHP</t>
  </si>
  <si>
    <t>RVOL: 1.09</t>
  </si>
  <si>
    <t>Microchip Tec</t>
  </si>
  <si>
    <t>R1 Down</t>
  </si>
  <si>
    <t>Entrada: 503.49</t>
  </si>
  <si>
    <t>MCHP,Preço: 80.67,Dist MM20: -0.52%,Momentum: -5.59,RSI: 47.85,ADX: 26.76,ATR: 3.46,RVOL: 1.48,Estado: Forca Consolidada,Entrada: 79.98,Stop: 75.83,Take-Profit: 86.21,Break-Even: 83.09,Qtd: 12.04,Trailing: 75.83,Data: 05/08/2026 04:38:16</t>
  </si>
  <si>
    <t>MCHP,Máximo 15h30: 80.39,Estado: Ignorado - S/ Quebra de Fecho,Data: 05/08/2026 15:30:57</t>
  </si>
  <si>
    <t>Stop: 491.96</t>
  </si>
  <si>
    <t>Take-Profit: 520.79</t>
  </si>
  <si>
    <t>Qtd: 4.34</t>
  </si>
  <si>
    <t>Dist MM20: 2.12%</t>
  </si>
  <si>
    <t>MSFT,Preço: 505.41,Dist MM20: 2.12%,Momentum: 18.10,RSI: 61.39,ADX: 34.27,ATR: 9.61,RVOL: 1.09,Estado: Alerta Iminente,Entrada: 503.49,Stop: 491.96,Take-Profit: 520.79,Break-Even: 512.14,Qtd: 4.34,Trailing: 491.96,Data: 15/09/2026 02:37:46</t>
  </si>
  <si>
    <t>05/08/2026 03:53:25</t>
  </si>
  <si>
    <t>15/09/2026 02:05:19</t>
  </si>
  <si>
    <t>TSLA,Preço: 327.35,Dist MM20: -7.86%,Momentum: -67.11,RSI: 39.21,ADX: 30.90,ATR: 12.91,RVOL: 0.82,Estado: Forca Consolidada,Entrada: 324.77,Stop: 309.28,Take-Profit: 348.01,Break-Even: 336.39,Qtd: 3.23,Trailing: 309.28,Data: 05/08/2026 03:53:24</t>
  </si>
  <si>
    <t>TSLA,Máximo 15h30: 327.14,Estado: Ignorado - S/ Quebra de Fecho,Data: 05/08/2026 15:30:58</t>
  </si>
  <si>
    <t>RVOL: 1.10</t>
  </si>
  <si>
    <t>05/08/2026 03:23:48</t>
  </si>
  <si>
    <t>Entrada: 275.72</t>
  </si>
  <si>
    <t>Stop: 270.26</t>
  </si>
  <si>
    <t>Take-Profit: 283.91</t>
  </si>
  <si>
    <t>RKLB,Preço: 74.48,Dist MM20: 5.19%,Momentum: -1.72,RSI: 48.06,ADX: 33.68,ATR: 5.24,RVOL: 0.96,Estado: Forca Consolidada,Entrada: 73.43,Stop: 67.14,Take-Profit: 82.86,Break-Even: 78.15,Qtd: 7.95,Trailing: 67.14,Data: 05/08/2026 03:23:46</t>
  </si>
  <si>
    <t>RKLB (INTRADAY),Máximo 15h30: 77.30,Estado: Forca Consolidada,Entrada: 72.06,Stop: 66.82,Take-Profit: 79.92,Data: 05/08/2026 15:30:59</t>
  </si>
  <si>
    <t>Dist MM20: -0.30%</t>
  </si>
  <si>
    <t>ADP,Preço: 276.63,Dist MM20: -0.30%,Momentum: -6.38,RSI: 53.96,ADX: 27.87,ATR: 4.55,RVOL: 1.10,Estado: Alerta Iminente,Entrada: 275.72,Stop: 270.26,Take-Profit: 283.91,Break-Even: 279.82,Qtd: 9.16,Trailing: 270.26,Data: 15/09/2026 02:05:18</t>
  </si>
  <si>
    <t>05/08/2026 03:23:09</t>
  </si>
  <si>
    <t>RGTI</t>
  </si>
  <si>
    <t>14/09/2026 02:35:44</t>
  </si>
  <si>
    <t>Riggeti Computing</t>
  </si>
  <si>
    <t>RGTI,Preço: 17.45,Dist MM20: 14.13%,Momentum: 2.20,RSI: 55.11,ADX: 26.16,ATR: 1.04,RVOL: 1.12,Estado: Forca Consolidada,Entrada: 17.24,Stop: 15.99,Take-Profit: 19.11,Break-Even: 18.17,Qtd: 40.06,Trailing: 15.99,Data: 05/08/2026 03:23:08</t>
  </si>
  <si>
    <t>RGTI (INTRADAY),Máximo 15h30: 17.46,Estado: Forca Consolidada,Entrada: 16.42,Stop: 15.38,Take-Profit: 17.98,Data: 05/08/2026 15:31:00</t>
  </si>
  <si>
    <t>Entrada: 35.78</t>
  </si>
  <si>
    <t>Stop: 34.28</t>
  </si>
  <si>
    <t>05/08/2026 03:20:04</t>
  </si>
  <si>
    <t>Take-Profit: 38.03</t>
  </si>
  <si>
    <t>Qtd: 33.33</t>
  </si>
  <si>
    <t>AMZN,Preço: 254.98,Dist MM20: -0.31%,Momentum: 0.06,RSI: 49.22,ADX: 11.57,ATR: 4.42,RVOL: 1.22,Estado: Observar,Entrada: N/A,Stop: N/A,Take-Profit: N/A,Break-Even: N/A,Qtd: N/A,Trailing: 246.14,Data: 23/09/2026 02:05:59</t>
  </si>
  <si>
    <t>GRMN,Preço: 307.36,Dist MM20: 19.18%,Momentum: 65.60,RSI: 80.48,ADX: 31.14,ATR: 10.51,RVOL: 0.86,Estado: Forca Consolidada,Entrada: 305.26,Stop: 292.65,Take-Profit: 324.18,Break-Even: 314.72,Qtd: 3.96,Trailing: 292.65,Data: 05/08/2026 03:20:03</t>
  </si>
  <si>
    <t>Dist MM20: -0.80%</t>
  </si>
  <si>
    <t>GRMN (INTRADAY),Máximo 15h30: 309.21,Estado: Forca Consolidada,Entrada: 298.70,Stop: 288.19,Take-Profit: 314.46,Data: 05/08/2026 15:31:01</t>
  </si>
  <si>
    <t>OR,Preço: 36.03,Dist MM20: -0.80%,Momentum: -0.06,RSI: 53.15,ADX: 26.93,ATR: 1.25,RVOL: 1.10,Estado: Alerta Iminente,Entrada: 35.78,Stop: 34.28,Take-Profit: 38.03,Break-Even: 36.91,Qtd: 33.33,Trailing: 34.28,Data: 14/09/2026 02:35:43</t>
  </si>
  <si>
    <t>05/08/2026 03:09:04</t>
  </si>
  <si>
    <t>14/09/2026 02:08:47</t>
  </si>
  <si>
    <t>Preço: 235.50</t>
  </si>
  <si>
    <t>QLYS,Preço: 161.06,Dist MM20: 8.19%,Momentum: 1.74,RSI: 66.08,ADX: 27.69,ATR: 8.16,RVOL: 1.36,Estado: Forca Consolidada,Entrada: 159.43,Stop: 149.64,Take-Profit: 174.12,Break-Even: 166.78,Qtd: 5.11,Trailing: 149.64,Data: 05/08/2026 03:09:04</t>
  </si>
  <si>
    <t>QLYS (INTRADAY),Máximo 15h30: 201.54,Estado: Forca Consolidada,Entrada: 193.38,Stop: 185.22,Take-Profit: 205.62,Data: 05/08/2026 15:31:01</t>
  </si>
  <si>
    <t>Dist MM20: -2.85%</t>
  </si>
  <si>
    <t>Momentum: -9.84</t>
  </si>
  <si>
    <t>05/08/2026 02:54:49</t>
  </si>
  <si>
    <t>PANW,Preço: 366.34,Dist MM20: 8.84%,Momentum: 12.32,RSI: 66.60,ADX: 29.13,ATR: 15.51,RVOL: 1.26,Estado: Forca Consolidada,Entrada: 363.24,Stop: 344.63,Take-Profit: 391.16,Break-Even: 377.20,Qtd: 2.69,Trailing: 344.63,Data: 05/08/2026 02:54:48</t>
  </si>
  <si>
    <t>Entrada: 111.74</t>
  </si>
  <si>
    <t>RSI: 44.41</t>
  </si>
  <si>
    <t>PANW (INTRADAY),Máximo 15h30: 376.98,Estado: Forca Consolidada,Entrada: 361.47,Stop: 345.96,Take-Profit: 384.74,Data: 05/08/2026 15:31:02</t>
  </si>
  <si>
    <t>Stop: 109.39</t>
  </si>
  <si>
    <t>ADX: 18.82</t>
  </si>
  <si>
    <t>Take-Profit: 115.27</t>
  </si>
  <si>
    <t>ATR: 5.91</t>
  </si>
  <si>
    <t>Qtd: 21.26</t>
  </si>
  <si>
    <t>RVOL: 1.95</t>
  </si>
  <si>
    <t>Dist MM20: 1.53%</t>
  </si>
  <si>
    <t>05/08/2026 02:52:09</t>
  </si>
  <si>
    <t>NFLX</t>
  </si>
  <si>
    <t>Netflix US</t>
  </si>
  <si>
    <t>CSCO,Preço: 112.13,Dist MM20: 1.53%,Momentum: 1.09,RSI: 50.94,ADX: 26.31,ATR: 1.96,RVOL: 0.92,Estado: Alerta Iminente,Entrada: 111.74,Stop: 109.39,Take-Profit: 115.27,Break-Even: 113.50,Qtd: 21.26,Trailing: 109.39,Data: 14/09/2026 02:08:46</t>
  </si>
  <si>
    <t>Data: 31/07/2026 02:05:42</t>
  </si>
  <si>
    <t>NFLX,Preço: 73.57,Dist MM20: 2.13%,Momentum: -0.11,RSI: 50.56,ADX: 25.30,ATR: 2.17,RVOL: 0.87,Estado: Forca Consolidada,Entrada: 73.14,Stop: 70.54,Take-Profit: 77.05,Break-Even: 75.09,Qtd: 19.20,Trailing: 70.54,Data: 05/08/2026 02:52:08</t>
  </si>
  <si>
    <t>11/09/2026 07:37:47</t>
  </si>
  <si>
    <t>NFLX (INTRADAY),Máximo 15h30: 75.30,Estado: Forca Consolidada,Entrada: 73.13,Stop: 70.96,Take-Profit: 76.38,Data: 05/08/2026 15:31:04</t>
  </si>
  <si>
    <t>AMZN,Preço: 235.50,Dist MM20: -2.85%,Momentum: -9.84,RSI: 44.41,ADX: 18.82,ATR: 5.91,RVOL: 1.95,Estado: Aguardar Recuo,Entrada: 233.14,Stop: 227.23,Take-Profit: 244.96,Break-Even: 239.05,Qtd: 8.46,Data: 31/07/2026 02:05:42</t>
  </si>
  <si>
    <t>RVOL: 1.25</t>
  </si>
  <si>
    <t>Entrada: 212.08</t>
  </si>
  <si>
    <t>05/08/2026 02:38:51</t>
  </si>
  <si>
    <t>Stop: 207.98</t>
  </si>
  <si>
    <t>Take-Profit: 218.24</t>
  </si>
  <si>
    <t>MA,Preço: 571.10,Dist MM20: 4.46%,Momentum: 35.89,RSI: 67.71,ADX: 34.42,ATR: 10.79,RVOL: 1.06,Estado: Forca Consolidada,Entrada: 568.94,Stop: 555.99,Take-Profit: 588.36,Break-Even: 578.65,Qtd: 3.86,Trailing: 555.99,Data: 05/08/2026 02:38:50</t>
  </si>
  <si>
    <t>Qtd: 12.18</t>
  </si>
  <si>
    <t>MA (INTRADAY),Máximo 15h30: 578.26,Estado: Forca Consolidada,Entrada: 567.47,Stop: 556.68,Take-Profit: 583.66,Data: 05/08/2026 15:31:05</t>
  </si>
  <si>
    <t>Dist MM20: 3.46%</t>
  </si>
  <si>
    <t>CVX,Preço: 212.76,Dist MM20: 3.46%,Momentum: 6.99,RSI: 67.49,ADX: 30.22,ATR: 3.42,RVOL: 1.25,Estado: Alerta Iminente,Entrada: 212.08,Stop: 207.98,Take-Profit: 218.24,Break-Even: 215.16,Qtd: 12.18,Trailing: 207.98,Data: 11/09/2026 07:37:47</t>
  </si>
  <si>
    <t>10/09/2026 06:19:38</t>
  </si>
  <si>
    <t>ANET</t>
  </si>
  <si>
    <t>Entrada: 34.41</t>
  </si>
  <si>
    <t>Stop: 33.33</t>
  </si>
  <si>
    <t>Arista Networks</t>
  </si>
  <si>
    <t>Take-Profit: 36.03</t>
  </si>
  <si>
    <t>Qtd: 46.30</t>
  </si>
  <si>
    <t>Dist MM20: -0.12%</t>
  </si>
  <si>
    <t>05/08/2026 02:38:13</t>
  </si>
  <si>
    <t>MRVL</t>
  </si>
  <si>
    <t>Marvell Tec Inv</t>
  </si>
  <si>
    <t>DBX,Preço: 34.59,Dist MM20: -0.12%,Momentum: 0.60,RSI: 53.42,ADX: 25.07,ATR: 0.90,RVOL: 1.15,Estado: Alerta Iminente,Entrada: 34.41,Stop: 33.33,Take-Profit: 36.03,Break-Even: 35.22,Qtd: 46.30,Trailing: 33.33,Data: 10/09/2026 06:19:37</t>
  </si>
  <si>
    <t>MRVL,Preço: 218.59,Dist MM20: 7.63%,Momentum: 12.33,RSI: 52.19,ADX: 25.13,ATR: 13.60,RVOL: 1.36,Estado: Forca Consolidada,Entrada: 215.87,Stop: 199.55,Take-Profit: 240.35,Break-Even: 228.11,Qtd: 3.06,Trailing: 199.55,Data: 05/08/2026 02:38:13</t>
  </si>
  <si>
    <t>MRVL (INTRADAY),Máximo 15h30: 222.38,Estado: Forca Consolidada,Entrada: 208.78,Stop: 195.18,Take-Profit: 229.18,Data: 05/08/2026 15:31:06</t>
  </si>
  <si>
    <t>10/09/2026 06:08:33</t>
  </si>
  <si>
    <t>Entrada: 213.16</t>
  </si>
  <si>
    <t>05/08/2026 02:37:21</t>
  </si>
  <si>
    <t>Stop: 209.28</t>
  </si>
  <si>
    <t>Take-Profit: 218.97</t>
  </si>
  <si>
    <t>Qtd: 12.90</t>
  </si>
  <si>
    <t>IONQ,Preço: 41.72,Dist MM20: 12.12%,Momentum: 4.21,RSI: 52.11,ADX: 34.59,ATR: 2.43,RVOL: 1.05,Estado: Forca Consolidada,Entrada: 41.23,Stop: 38.31,Take-Profit: 45.60,Break-Even: 43.41,Qtd: 17.15,Trailing: 38.31,Data: 05/08/2026 02:37:20</t>
  </si>
  <si>
    <t>Dist MM20: 4.38%</t>
  </si>
  <si>
    <t>IONQ (INTRADAY),Máximo 15h30: 41.90,Estado: Forca Consolidada,Entrada: 39.47,Stop: 37.04,Take-Profit: 43.12,Data: 05/08/2026 15:31:09</t>
  </si>
  <si>
    <t>CVX,Preço: 213.81,Dist MM20: 4.38%,Momentum: 8.05,RSI: 69.95,ADX: 29.40,ATR: 3.23,RVOL: 1.10,Estado: Alerta Iminente,Entrada: 213.16,Stop: 209.28,Take-Profit: 218.97,Break-Even: 216.06,Qtd: 12.90,Trailing: 209.28,Data: 10/09/2026 06:08:32</t>
  </si>
  <si>
    <t>09/09/2026 08:55:09</t>
  </si>
  <si>
    <t>05/08/2026 02:24:15</t>
  </si>
  <si>
    <t>Entrada: 174.59</t>
  </si>
  <si>
    <t>ENVX,Preço: 4.40,Dist MM20: -3.72%,Momentum: -0.71,RSI: 43.07,ADX: 34.69,ATR: 0.32,RVOL: 0.69,Estado: Forca Consolidada,Entrada: 4.34,Stop: 3.96,Take-Profit: 4.92,Break-Even: 4.63,Qtd: 130.21,Trailing: 3.96,Data: 05/08/2026 02:24:14</t>
  </si>
  <si>
    <t>Stop: 163.63</t>
  </si>
  <si>
    <t>ENVX,Máximo 15h30: 4.40,Estado: Ignorado - S/ Quebra de Fecho,Data: 05/08/2026 15:31:10</t>
  </si>
  <si>
    <t>Take-Profit: 191.02</t>
  </si>
  <si>
    <t>Qtd: 4.56</t>
  </si>
  <si>
    <t>Dist MM20: 1.09%</t>
  </si>
  <si>
    <t>TEAM,Preço: 176.42,Dist MM20: 1.09%,Momentum: 13.42,RSI: 59.33,ADX: 50.13,ATR: 9.13,RVOL: 0.92,Estado: Alerta Iminente,Entrada: 174.59,Stop: 163.63,Take-Profit: 191.02,Break-Even: 182.81,Qtd: 4.56,Trailing: 163.63,Data: 09/09/2026 08:55:08</t>
  </si>
  <si>
    <t>05/08/2026 02:10:09</t>
  </si>
  <si>
    <t>BBAI</t>
  </si>
  <si>
    <t>BigBear Ai</t>
  </si>
  <si>
    <t>09/09/2026 07:36:44</t>
  </si>
  <si>
    <t>ANET,Preço: 205.19,Dist MM20: 4.95%,Momentum: 15.93,RSI: 59.62,ADX: 16.51,ATR: 6.36,RVOL: 0.89,Estado: Observar,Entrada: N/A,Stop: N/A,Take-Profit: N/A,Break-Even: N/A,Qtd: N/A,Trailing: 192.47,Data: 23/09/2026 06:44:43</t>
  </si>
  <si>
    <t>BBAI,Preço: 3.15,Dist MM20: 6.69%,Momentum: 0.01,RSI: 50.99,ADX: 28.72,ATR: 0.19,RVOL: 1.61,Estado: Forca Consolidada,Entrada: 3.11,Stop: 2.88,Take-Profit: 3.45,Break-Even: 3.28,Qtd: 219.30,Trailing: 2.88,Data: 05/08/2026 02:10:08</t>
  </si>
  <si>
    <t>BBAI,Máximo 15h30: 3.15,Estado: Ignorado - S/ Quebra de Fecho,Data: 05/08/2026 15:31:11</t>
  </si>
  <si>
    <t>Entrada: 209.15</t>
  </si>
  <si>
    <t>Stop: 205.24</t>
  </si>
  <si>
    <t>Preço: 171.02</t>
  </si>
  <si>
    <t>Take-Profit: 215.02</t>
  </si>
  <si>
    <t>05/08/2026 02:08:07</t>
  </si>
  <si>
    <t>Dist MM20: -1.26%</t>
  </si>
  <si>
    <t>Qtd: 12.78</t>
  </si>
  <si>
    <t>Dist MM20: 2.85%</t>
  </si>
  <si>
    <t>AAPL,Preço: 309.38,Dist MM20: -4.47%,Momentum: -18.12,RSI: 44.68,ADX: 26.99,ATR: 7.71,RVOL: 1.21,Estado: Forca Consolidada,Entrada: 307.84,Stop: 298.59,Take-Profit: 321.72,Break-Even: 314.78,Qtd: 5.40,Trailing: 298.59,Data: 05/08/2026 02:08:06</t>
  </si>
  <si>
    <t>Momentum: -15.94</t>
  </si>
  <si>
    <t>AAPL,Máximo 15h30: 309.38,Estado: Ignorado - S/ Quebra de Fecho,Data: 05/08/2026 15:31:11</t>
  </si>
  <si>
    <t>CVX,Preço: 209.80,Dist MM20: 2.85%,Momentum: 4.06,RSI: 65.50,ADX: 28.85,ATR: 3.26,RVOL: 1.03,Estado: Alerta Iminente,Entrada: 209.15,Stop: 205.24,Take-Profit: 215.02,Break-Even: 212.09,Qtd: 12.78,Trailing: 205.24,Data: 09/09/2026 07:36:44</t>
  </si>
  <si>
    <t>RSI: 50.85</t>
  </si>
  <si>
    <t>09/09/2026 02:51:15</t>
  </si>
  <si>
    <t>ADX: 13.89</t>
  </si>
  <si>
    <t>ATR: 9.32</t>
  </si>
  <si>
    <t>05/08/2026 02:04:49</t>
  </si>
  <si>
    <t>RVOL: 0.81</t>
  </si>
  <si>
    <t>Data: 31/07/2026 03:52:29</t>
  </si>
  <si>
    <t>ANF,Preço: 110.20,Dist MM20: 13.93%,Momentum: 13.01,RSI: 69.52,ADX: 25.30,ATR: 4.18,RVOL: 0.95,Estado: Forca Consolidada,Entrada: 109.36,Stop: 104.34,Take-Profit: 116.88,Break-Even: 113.12,Qtd: 9.97,Trailing: 104.34,Data: 05/08/2026 02:04:48</t>
  </si>
  <si>
    <t>ANF (INTRADAY),Máximo 15h30: 113.35,Estado: Forca Consolidada,Entrada: 109.17,Stop: 104.99,Take-Profit: 115.44,Data: 05/08/2026 15:31:12</t>
  </si>
  <si>
    <t>Entrada: 210.58</t>
  </si>
  <si>
    <t>ANET,Preço: 171.02,Dist MM20: -1.26%,Momentum: -15.94,RSI: 50.85,ADX: 13.89,ATR: 9.32,RVOL: 0.81,Estado: Aguardar Recuo,Entrada: 167.29,Stop: 157.97,Take-Profit: 185.93,Break-Even: 176.61,Qtd: 5.36,Data: 31/07/2026 03:52:29</t>
  </si>
  <si>
    <t>Stop: 205.14</t>
  </si>
  <si>
    <t>Take-Profit: 218.73</t>
  </si>
  <si>
    <t>05/08/2026 01:15:52</t>
  </si>
  <si>
    <t>Qtd: 9.20</t>
  </si>
  <si>
    <t>Dist MM20: -1.10%</t>
  </si>
  <si>
    <t>ORCL,Preço: 145.74,Dist MM20: 12.98%,Momentum: 13.25,RSI: 55.84,ADX: 36.01,ATR: 6.87,RVOL: 0.94,Estado: Forca Consolidada,Entrada: 144.37,Stop: 136.13,Take-Profit: 156.74,Break-Even: 150.56,Qtd: 6.07,Trailing: 136.13,Data: 05/08/2026 01:15:51</t>
  </si>
  <si>
    <t>SAP,Preço: 211.49,Dist MM20: -1.10%,Momentum: 1.02,RSI: 55.35,ADX: 35.60,ATR: 4.53,RVOL: 1.08,Estado: Alerta Iminente,Entrada: 210.58,Stop: 205.14,Take-Profit: 218.73,Break-Even: 214.66,Qtd: 9.20,Trailing: 205.14,Data: 09/09/2026 02:51:14</t>
  </si>
  <si>
    <t>ORCL (INTRADAY),Máximo 15h30: 146.39,Estado: Forca Consolidada,Entrada: 139.52,Stop: 132.65,Take-Profit: 149.82,Data: 05/08/2026 15:31:13</t>
  </si>
  <si>
    <t>09/09/2026 02:36:35</t>
  </si>
  <si>
    <t>05/08/2026 01:09:20</t>
  </si>
  <si>
    <t>Entrada: 27.68</t>
  </si>
  <si>
    <t>BABA,Preço: 128.99,Dist MM20: 10.80%,Momentum: 11.30,RSI: 70.94,ADX: 27.72,ATR: 2.83,RVOL: 0.77,Estado: Forca Consolidada,Entrada: 128.42,Stop: 125.02,Take-Profit: 133.51,Break-Even: 130.96,Qtd: 14.72,Trailing: 125.02,Data: 05/08/2026 01:09:19</t>
  </si>
  <si>
    <t>Stop: 27.02</t>
  </si>
  <si>
    <t>Take-Profit: 28.67</t>
  </si>
  <si>
    <t>BABA (INTRADAY),Máximo 15h30: 130.99,Estado: Forca Consolidada,Entrada: 128.16,Stop: 125.33,Take-Profit: 132.41,Data: 05/08/2026 15:31:13</t>
  </si>
  <si>
    <t>Qtd: 75.76</t>
  </si>
  <si>
    <t>Dist MM20: -0.15%</t>
  </si>
  <si>
    <t>PFE,Preço: 27.79,Dist MM20: -0.15%,Momentum: 0.54,RSI: 53.87,ADX: 47.55,ATR: 0.55,RVOL: 0.94,Estado: Alerta Iminente,Entrada: 27.68,Stop: 27.02,Take-Profit: 28.67,Break-Even: 28.18,Qtd: 75.76,Trailing: 27.02,Data: 09/09/2026 02:36:34</t>
  </si>
  <si>
    <t>08/09/2026 07:53:55</t>
  </si>
  <si>
    <t>05/08/2026 01:08:16</t>
  </si>
  <si>
    <t>PRG</t>
  </si>
  <si>
    <t>Prog</t>
  </si>
  <si>
    <t>PRG,Preço: 45.86,Dist MM20: 2.54%,Momentum: -0.65,RSI: 59.08,ADX: 25.81,ATR: 1.89,RVOL: 1.04,Estado: Forca Consolidada,Entrada: 45.48,Stop: 43.21,Take-Profit: 48.88,Break-Even: 47.18,Qtd: 22.05,Trailing: 43.21,Data: 05/08/2026 01:08:16</t>
  </si>
  <si>
    <t>PRG (INTRADAY),Máximo 15h30: 46.50,Estado: Forca Consolidada,Entrada: 44.61,Stop: 42.72,Take-Profit: 47.45,Data: 05/08/2026 15:31:14</t>
  </si>
  <si>
    <t>Entrada: 12.90</t>
  </si>
  <si>
    <t>Stop: 12.20</t>
  </si>
  <si>
    <t>Take-Profit: 13.94</t>
  </si>
  <si>
    <t>05/08/2026 01:05:52</t>
  </si>
  <si>
    <t>Qtd: 71.84</t>
  </si>
  <si>
    <t>Dist MM20: -1.15%</t>
  </si>
  <si>
    <t>AMPL,Preço: 13.02,Dist MM20: -1.15%,Momentum: 0.41,RSI: 56.99,ADX: 39.33,ATR: 0.58,RVOL: 0.90,Estado: Alerta Iminente,Entrada: 12.90,Stop: 12.20,Take-Profit: 13.94,Break-Even: 13.42,Qtd: 71.84,Trailing: 12.20,Data: 08/09/2026 07:53:53</t>
  </si>
  <si>
    <t>V,Preço: 369.59,Dist MM20: 2.95%,Momentum: 14.45,RSI: 65.73,ADX: 29.90,ATR: 7.45,RVOL: 1.01,Estado: Forca Consolidada,Entrada: 368.10,Stop: 359.16,Take-Profit: 381.51,Break-Even: 374.81,Qtd: 5.59,Trailing: 359.16,Data: 05/08/2026 01:05:52</t>
  </si>
  <si>
    <t>V (INTRADAY),Máximo 15h30: 372.40,Estado: Forca Consolidada,Entrada: 364.95,Stop: 357.50,Take-Profit: 376.13,Data: 05/08/2026 15:31:15</t>
  </si>
  <si>
    <t>08/09/2026 02:51:09</t>
  </si>
  <si>
    <t>RVOL: 0.96</t>
  </si>
  <si>
    <t>Entrada: 214.21</t>
  </si>
  <si>
    <t>Stop: 208.82</t>
  </si>
  <si>
    <t>04/08/2026 06:54:27</t>
  </si>
  <si>
    <t>Take-Profit: 222.29</t>
  </si>
  <si>
    <t>DPZ,Preço: 364.41,Dist MM20: 11.31%,Momentum: 54.56,RSI: 68.53,ADX: 33.79,ATR: 14.55,RVOL: 0.87,Estado: Forca Consolidada,Entrada: 361.50,Stop: 344.04,Take-Profit: 387.69,Break-Even: 374.60,Qtd: 2.86,Trailing: 344.04,Data: 04/08/2026 06:54:26</t>
  </si>
  <si>
    <t>Qtd: 9.28</t>
  </si>
  <si>
    <t>DPZ (INTRADAY),Máximo 15h30: 372.16,Estado: Forca Consolidada,Entrada: 357.61,Stop: 343.06,Take-Profit: 379.44,Data: 04/08/2026 18:08:59</t>
  </si>
  <si>
    <t>Dist MM20: 0.66%</t>
  </si>
  <si>
    <t>SAP,Preço: 215.11,Dist MM20: 0.66%,Momentum: 7.27,RSI: 59.45,ADX: 37.26,ATR: 4.49,RVOL: 0.96,Estado: Alerta Iminente,Entrada: 214.21,Stop: 208.82,Take-Profit: 222.29,Break-Even: 218.25,Qtd: 9.28,Trailing: 208.82,Data: 08/09/2026 02:51:08</t>
  </si>
  <si>
    <t>ANF,Preço: 136.21,Dist MM20: -3.37%,Momentum: -4.47,RSI: 53.84,ADX: 27.75,ATR: 5.70,RVOL: 0.51,Estado: Observar,Entrada: N/A,Stop: N/A,Take-Profit: N/A,Break-Even: N/A,Qtd: N/A,Trailing: 124.81,Data: 23/09/2026 02:06:17</t>
  </si>
  <si>
    <t>08/09/2026 02:05:24</t>
  </si>
  <si>
    <t>04/08/2026 06:24:23</t>
  </si>
  <si>
    <t>Preço: 99.54</t>
  </si>
  <si>
    <t>TZOO,Preço: 7.38,Dist MM20: -25.38%,Momentum: -3.41,RSI: 24.63,ADX: 33.86,ATR: 0.49,RVOL: 0.80,Estado: Forca Consolidada,Entrada: 7.28,Stop: 6.69,Take-Profit: 8.16,Break-Even: 7.72,Qtd: 85.03,Trailing: 6.69,Data: 04/08/2026 06:24:22</t>
  </si>
  <si>
    <t>Entrada: 276.63</t>
  </si>
  <si>
    <t>Stop: 270.71</t>
  </si>
  <si>
    <t>TZOO (INTRADAY),Máximo 15h30: 7.59,Estado: Forca Consolidada,Entrada: 7.10,Stop: 6.61,Take-Profit: 7.83,Data: 04/08/2026 18:07:39</t>
  </si>
  <si>
    <t>Dist MM20: 5.10%</t>
  </si>
  <si>
    <t>Take-Profit: 285.50</t>
  </si>
  <si>
    <t>Momentum: 7.95</t>
  </si>
  <si>
    <t>Qtd: 8.45</t>
  </si>
  <si>
    <t>Dist MM20: -0.27%</t>
  </si>
  <si>
    <t>RSI: 58.98</t>
  </si>
  <si>
    <t>ADP,Preço: 277.62,Dist MM20: -0.27%,Momentum: 11.56,RSI: 53.87,ADX: 36.47,ATR: 4.93,RVOL: 1.08,Estado: Alerta Iminente,Entrada: 276.63,Stop: 270.71,Take-Profit: 285.50,Break-Even: 281.06,Qtd: 8.45,Trailing: 270.71,Data: 08/09/2026 02:05:24</t>
  </si>
  <si>
    <t>04/08/2026 05:54:23</t>
  </si>
  <si>
    <t>ADX: 21.80</t>
  </si>
  <si>
    <t>ATR: 4.01</t>
  </si>
  <si>
    <t>TEM,Preço: 46.05,Dist MM20: -8.78%,Momentum: -12.62,RSI: 43.29,ADX: 26.21,ATR: 3.06,RVOL: 1.07,Estado: Forca Consolidada,Entrada: 45.44,Stop: 41.77,Take-Profit: 50.95,Break-Even: 48.20,Qtd: 13.62,Trailing: 41.77,Data: 04/08/2026 05:54:22</t>
  </si>
  <si>
    <t>RVOL: 0.70</t>
  </si>
  <si>
    <t>TEM (INTRADAY),Máximo 15h30: 47.47,Estado: Forca Consolidada,Entrada: 44.41,Stop: 41.35,Take-Profit: 49.00,Data: 04/08/2026 18:07:39</t>
  </si>
  <si>
    <t>07/09/2026 09:22:55</t>
  </si>
  <si>
    <t>Data: 01/08/2026 07:08:40</t>
  </si>
  <si>
    <t>ANF,Preço: 99.54,Dist MM20: 5.10%,Momentum: 7.95,RSI: 58.98,ADX: 21.80,ATR: 4.01,RVOL: 0.70,Estado: Observar,Entrada: N/A,Stop: N/A,Take-Profit: N/A,Break-Even: N/A,Qtd: N/A,Data: 01/08/2026 07:08:40</t>
  </si>
  <si>
    <t>04/08/2026 05:24:30</t>
  </si>
  <si>
    <t>AMPL,Preço: 13.02,Dist MM20: -1.15%,Momentum: 0.41,RSI: 56.99,ADX: 39.33,ATR: 0.58,RVOL: 0.90,Estado: Alerta Iminente,Entrada: 12.90,Stop: 12.20,Take-Profit: 13.94,Break-Even: 13.42,Qtd: 71.84,Trailing: 12.20,Data: 07/09/2026 09:22:54</t>
  </si>
  <si>
    <t>RKLB,Preço: 70.43,Dist MM20: -1.16%,Momentum: -8.38,RSI: 43.93,ADX: 35.26,ATR: 5.45,RVOL: 0.88,Estado: Forca Consolidada,Entrada: 69.34,Stop: 62.80,Take-Profit: 79.15,Break-Even: 74.25,Qtd: 7.65,Trailing: 62.80,Data: 04/08/2026 05:24:28</t>
  </si>
  <si>
    <t>07/09/2026 02:50:53</t>
  </si>
  <si>
    <t>RKLB (INTRADAY),Máximo 15h30: 75.59,Estado: Forca Consolidada,Entrada: 70.14,Stop: 64.69,Take-Profit: 78.31,Data: 04/08/2026 18:07:40</t>
  </si>
  <si>
    <t>SAP,Preço: 215.11,Dist MM20: 0.66%,Momentum: 7.27,RSI: 59.45,ADX: 37.26,ATR: 4.49,RVOL: 0.96,Estado: Alerta Iminente,Entrada: 214.21,Stop: 208.82,Take-Profit: 222.29,Break-Even: 218.25,Qtd: 9.28,Trailing: 208.82,Data: 07/09/2026 02:50:53</t>
  </si>
  <si>
    <t>07/09/2026 02:05:31</t>
  </si>
  <si>
    <t>04/08/2026 05:23:49</t>
  </si>
  <si>
    <t>RGTI,Preço: 16.02,Dist MM20: 5.08%,Momentum: -0.09,RSI: 49.22,ADX: 27.75,ATR: 1.05,RVOL: 1.03,Estado: Forca Consolidada,Entrada: 15.81,Stop: 14.55,Take-Profit: 17.70,Break-Even: 16.75,Qtd: 39.68,Trailing: 14.55,Data: 04/08/2026 05:23:48</t>
  </si>
  <si>
    <t>RGTI (INTRADAY),Máximo 15h30: 17.50,Estado: Forca Consolidada,Entrada: 16.45,Stop: 15.40,Take-Profit: 18.02,Data: 04/08/2026 18:07:40</t>
  </si>
  <si>
    <t>04/08/2026 05:23:10</t>
  </si>
  <si>
    <t>QS</t>
  </si>
  <si>
    <t>QuantumScape</t>
  </si>
  <si>
    <t>ADP,Preço: 277.62,Dist MM20: -0.27%,Momentum: 11.56,RSI: 53.87,ADX: 36.47,ATR: 4.93,RVOL: 1.08,Estado: Alerta Iminente,Entrada: 276.63,Stop: 270.71,Take-Profit: 285.50,Break-Even: 281.06,Qtd: 8.45,Trailing: 270.71,Data: 07/09/2026 02:05:30</t>
  </si>
  <si>
    <t>R5 Up</t>
  </si>
  <si>
    <t>04/09/2026 08:24:33</t>
  </si>
  <si>
    <t>QS,Preço: 5.34,Dist MM20: -8.50%,Momentum: -1.08,RSI: 37.96,ADX: 25.09,ATR: 0.37,RVOL: 0.48,Estado: Forca Consolidada,Entrada: 5.27,Stop: 4.83,Take-Profit: 5.94,Break-Even: 5.61,Qtd: 112.61,Trailing: 4.83,Data: 04/08/2026 05:23:08</t>
  </si>
  <si>
    <t>QS (INTRADAY),Máximo 15h30: 5.69,Estado: Forca Consolidada,Entrada: 5.32,Stop: 4.95,Take-Profit: 5.88,Data: 04/08/2026 18:07:41</t>
  </si>
  <si>
    <t>Entrada: 12.45</t>
  </si>
  <si>
    <t>Stop: 11.92</t>
  </si>
  <si>
    <t>04/08/2026 05:08:19</t>
  </si>
  <si>
    <t>Take-Profit: 13.24</t>
  </si>
  <si>
    <t>APP,Preço: 328.73,Dist MM20: 3.34%,Momentum: 16.99,RSI: 49.59,ADX: 17.45,ATR: 16.11,RVOL: 0.70,Estado: Observar,Entrada: N/A,Stop: N/A,Take-Profit: N/A,Break-Even: N/A,Qtd: N/A,Trailing: 296.51,Data: 23/09/2026 06:44:38</t>
  </si>
  <si>
    <t>Qtd: 94.70</t>
  </si>
  <si>
    <t>IONQ,Preço: 38.85,Dist MM20: 3.90%,Momentum: -0.44,RSI: 46.53,ADX: 37.12,ATR: 2.48,RVOL: 1.18,Estado: Forca Consolidada,Entrada: 38.35,Stop: 35.37,Take-Profit: 42.81,Break-Even: 40.58,Qtd: 16.80,Trailing: 35.37,Data: 04/08/2026 05:08:18</t>
  </si>
  <si>
    <t>Dist MM20: 4.98%</t>
  </si>
  <si>
    <t>IONQ (INTRADAY),Máximo 15h30: 41.81,Estado: Forca Consolidada,Entrada: 39.33,Stop: 36.85,Take-Profit: 43.05,Data: 04/08/2026 18:07:45</t>
  </si>
  <si>
    <t>MED,Preço: 12.54,Dist MM20: 4.98%,Momentum: 1.10,RSI: 63.33,ADX: 31.92,ATR: 0.44,RVOL: 0.90,Estado: Alerta Iminente,Entrada: 12.45,Stop: 11.92,Take-Profit: 13.24,Break-Even: 12.84,Qtd: 94.70,Trailing: 11.92,Data: 04/09/2026 08:24:32</t>
  </si>
  <si>
    <t>Preço: 403.87</t>
  </si>
  <si>
    <t>04/09/2026 07:40:08</t>
  </si>
  <si>
    <t>Dist MM20: -10.68%</t>
  </si>
  <si>
    <t>Momentum: -103.11</t>
  </si>
  <si>
    <t>04/08/2026 05:05:42</t>
  </si>
  <si>
    <t>RSI: 37.52</t>
  </si>
  <si>
    <t>RVOL: 1.58</t>
  </si>
  <si>
    <t>ENVX,Preço: 4.22,Dist MM20: -8.25%,Momentum: -0.84,RSI: 39.98,ADX: 35.20,ATR: 0.34,RVOL: 0.77,Estado: Forca Consolidada,Entrada: 4.15,Stop: 3.74,Take-Profit: 4.76,Break-Even: 4.46,Qtd: 122.55,Trailing: 3.74,Data: 04/08/2026 05:05:42</t>
  </si>
  <si>
    <t>Entrada: 140.73</t>
  </si>
  <si>
    <t>ENVX (INTRADAY),Máximo 15h30: 4.42,Estado: Forca Consolidada,Entrada: 4.08,Stop: 3.74,Take-Profit: 4.59,Data: 04/08/2026 18:07:46</t>
  </si>
  <si>
    <t>ADX: 24.20</t>
  </si>
  <si>
    <t>Stop: 135.99</t>
  </si>
  <si>
    <t>Take-Profit: 147.84</t>
  </si>
  <si>
    <t>ATR: 22.62</t>
  </si>
  <si>
    <t>Qtd: 10.55</t>
  </si>
  <si>
    <t>Dist MM20: -0.03%</t>
  </si>
  <si>
    <t>04/08/2026 4:54:24</t>
  </si>
  <si>
    <t>Data: 31/07/2026 03:52:13</t>
  </si>
  <si>
    <t>ARES,Preço: 141.52,Dist MM20: -0.03%,Momentum: -2.50,RSI: 55.49,ADX: 26.82,ATR: 3.95,RVOL: 1.58,Estado: Alerta Iminente,Entrada: 140.73,Stop: 135.99,Take-Profit: 147.84,Break-Even: 144.28,Qtd: 10.55,Trailing: 135.99,Data: 04/09/2026 07:40:08</t>
  </si>
  <si>
    <t>CNA,Preço: 53.59,Dist MM20: 2.16%,Momentum: 2.68,RSI: 60.24,ADX: 34.05,ATR: 1.33,RVOL: 0.93,Estado: Forca Consolidada,Entrada: 53.32,Stop: 51.72,Take-Profit: 55.71,Break-Even: 54.52,Qtd: 31.33,Trailing: 51.72,Data: 04/08/2026 04:54:22</t>
  </si>
  <si>
    <t>CNA,Máximo 15h30: 53.40,Estado: Ignorado - S/ Quebra de Fecho,Data: 04/08/2026 18:07:46</t>
  </si>
  <si>
    <t>04/09/2026 06:24:10</t>
  </si>
  <si>
    <t>APP,Preço: 403.87,Dist MM20: -10.68%,Momentum: -103.11,RSI: 37.52,ADX: 24.20,ATR: 22.62,RVOL: 1.31,Estado: Aguardar Recuo,Entrada: 394.82,Stop: 372.20,Take-Profit: 440.06,Break-Even: 417.44,Qtd: 2.21,Data: 31/07/2026 03:52:13</t>
  </si>
  <si>
    <t>04/08/2026 4:52:56</t>
  </si>
  <si>
    <t>Entrada: 57.90</t>
  </si>
  <si>
    <t>BBAI,Preço: 2.86,Dist MM20: -3.59%,Momentum: -0.24,RSI: 40.06,ADX: 30.48,ATR: 0.18,RVOL: 0.91,Estado: Forca Consolidada,Entrada: 2.82,Stop: 2.60,Take-Profit: 3.14,Break-Even: 2.98,Qtd: 231.48,Trailing: 2.60,Data: 04/08/2026 04:52:55</t>
  </si>
  <si>
    <t>Stop: 56.87</t>
  </si>
  <si>
    <t>BBAI (INTRADAY),Máximo 15h30: 3.14,Estado: Forca Consolidada,Entrada: 2.96,Stop: 2.78,Take-Profit: 3.23,Data: 04/08/2026 18:07:46</t>
  </si>
  <si>
    <t>Take-Profit: 59.45</t>
  </si>
  <si>
    <t>Qtd: 48.45</t>
  </si>
  <si>
    <t>Dist MM20: -0.71%</t>
  </si>
  <si>
    <t>MAIN,Preço: 58.07,Dist MM20: -0.71%,Momentum: -0.73,RSI: 55.21,ADX: 29.88,ATR: 0.86,RVOL: 1.06,Estado: Alerta Iminente,Entrada: 57.90,Stop: 56.87,Take-Profit: 59.45,Break-Even: 58.67,Qtd: 48.45,Trailing: 56.87,Data: 04/09/2026 06:24:10</t>
  </si>
  <si>
    <t>04/08/2026 4:51:44</t>
  </si>
  <si>
    <t>APP,Preço: 406.16,Dist MM20: -7.42%,Momentum: -42.82,RSI: 39.44,ADX: 25.02,ATR: 18.37,RVOL: 0.74,Estado: Forca Consolidada,Entrada: 402.49,Stop: 380.45,Take-Profit: 435.56,Break-Even: 419.02,Qtd: 2.27,Trailing: 380.45,Data: 04/08/2026 04:51:42</t>
  </si>
  <si>
    <t>04/09/2026 02:51:47</t>
  </si>
  <si>
    <t>APP (INTRADAY),Máximo 15h30: 426.90,Estado: Forca Consolidada,Entrada: 408.53,Stop: 390.16,Take-Profit: 436.08,Data: 04/08/2026 18:07:49</t>
  </si>
  <si>
    <t>04/08/2026 4:50:13</t>
  </si>
  <si>
    <t>RVOL: 0.99</t>
  </si>
  <si>
    <t>ADS,Preço: 165.20,Dist MM20: -6.69%,Momentum: -14.40,RSI: 40.70,ADX: 26.70,ATR: 6.66,RVOL: 4.26,Estado: Forca Consolidada,Entrada: 163.87,Stop: 155.88,Take-Profit: 175.86,Break-Even: 169.87,Qtd: 6.26,Trailing: 155.88,Data: 04/08/2026 04:50:12</t>
  </si>
  <si>
    <t>Entrada: 216.17</t>
  </si>
  <si>
    <t>ADS,Estado: Erro Mercado - Ticker não encontrado,Data: 04/08/2026 18:07:49</t>
  </si>
  <si>
    <t>Stop: 211.00</t>
  </si>
  <si>
    <t>Take-Profit: 223.93</t>
  </si>
  <si>
    <t>Qtd: 9.67</t>
  </si>
  <si>
    <t>Dist MM20: 1.77%</t>
  </si>
  <si>
    <t>04/08/2026 4:37:25</t>
  </si>
  <si>
    <t>SAP,Preço: 217.03,Dist MM20: 1.77%,Momentum: 9.06,RSI: 61.70,ADX: 38.05,ATR: 4.31,RVOL: 0.99,Estado: Alerta Iminente,Entrada: 216.17,Stop: 211.00,Take-Profit: 223.93,Break-Even: 220.05,Qtd: 9.67,Trailing: 211.00,Data: 04/09/2026 02:51:46</t>
  </si>
  <si>
    <t>PRG,Preço: 45.79,Dist MM20: 2.63%,Momentum: 0.58,RSI: 58.85,ADX: 26.55,ATR: 1.93,RVOL: 0.95,Estado: Forca Consolidada,Entrada: 45.40,Stop: 43.08,Take-Profit: 48.87,Break-Even: 47.13,Qtd: 21.59,Trailing: 43.08,Data: 04/08/2026 04:37:24</t>
  </si>
  <si>
    <t>PRG (INTRADAY),Máximo 15h30: 46.46,Estado: Forca Consolidada,Entrada: 44.53,Stop: 42.60,Take-Profit: 47.43,Data: 04/08/2026 18:07:49</t>
  </si>
  <si>
    <t>04/09/2026 02:36:01</t>
  </si>
  <si>
    <t>04/08/2026 2:39:28</t>
  </si>
  <si>
    <t>Entrada: 181.04</t>
  </si>
  <si>
    <t>IBM,Preço: 226.31,Dist MM20: -4.38%,Momentum: 9.24,RSI: 43.07,ADX: 28.18,ATR: 8.25,RVOL: 0.40,Estado: Forca Consolidada,Entrada: 224.66,Stop: 214.76,Take-Profit: 239.51,Break-Even: 232.08,Qtd: 5.05,Trailing: 214.76,Data: 04/08/2026 02:39:27</t>
  </si>
  <si>
    <t>IBM (INTRADAY),Máximo 15h30: 231.92,Estado: Forca Consolidada,Entrada: 223.67,Stop: 215.42,Take-Profit: 236.04,Data: 04/08/2026 18:07:50</t>
  </si>
  <si>
    <t>Stop: 172.12</t>
  </si>
  <si>
    <t>Take-Profit: 194.41</t>
  </si>
  <si>
    <t>Qtd: 5.61</t>
  </si>
  <si>
    <t>04/08/2026 2:39:10</t>
  </si>
  <si>
    <t>Dist MM20: 3.24%</t>
  </si>
  <si>
    <t>ABT,Preço: 107.12,Dist MM20: 7.49%,Momentum: 18.16,RSI: 68.89,ADX: 31.31,ATR: 2.86,RVOL: 0.39,Estado: Forca Consolidada,Entrada: 106.55,Stop: 103.12,Take-Profit: 111.70,Break-Even: 109.13,Qtd: 14.57,Trailing: 103.12,Data: 04/08/2026 02:39:08</t>
  </si>
  <si>
    <t>PLTR,Preço: 182.53,Dist MM20: 3.24%,Momentum: 8.49,RSI: 60.54,ADX: 32.55,ATR: 7.43,RVOL: 1.07,Estado: Alerta Iminente,Entrada: 181.04,Stop: 172.12,Take-Profit: 194.41,Break-Even: 187.72,Qtd: 5.61,Trailing: 172.12,Data: 04/09/2026 02:36:00</t>
  </si>
  <si>
    <t>ABT,Máximo 15h30: 106.09,Estado: Ignorado - S/ Quebra de Fecho,Data: 04/08/2026 18:07:50</t>
  </si>
  <si>
    <t>ARES,Preço: 124.72,Dist MM20: -7.35%,Momentum: -14.37,RSI: 36.30,ADX: 26.83,ATR: 4.38,RVOL: 1.06,Estado: Observar,Entrada: N/A,Stop: N/A,Take-Profit: N/A,Break-Even: N/A,Qtd: N/A,Trailing: 115.96,Data: 23/09/2026 06:51:14</t>
  </si>
  <si>
    <t>04/09/2026 02:21:11</t>
  </si>
  <si>
    <t>04/08/2026 2:38:15</t>
  </si>
  <si>
    <t>Preço: 124.12</t>
  </si>
  <si>
    <t>Entrada: 508.17</t>
  </si>
  <si>
    <t>HUM,Preço: 374.50,Dist MM20: -4.12%,Momentum: -32.27,RSI: 47.13,ADX: 39.97,ATR: 17.30,RVOL: 0.91,Estado: Forca Consolidada,Entrada: 371.04,Stop: 350.28,Take-Profit: 402.18,Break-Even: 386.61,Qtd: 2.41,Trailing: 350.28,Data: 04/08/2026 02:38:15</t>
  </si>
  <si>
    <t>Stop: 496.48</t>
  </si>
  <si>
    <t>Dist MM20: 1.27%</t>
  </si>
  <si>
    <t>HUM,Máximo 15h30: 374.36,Estado: Ignorado - S/ Quebra de Fecho,Data: 04/08/2026 18:07:50</t>
  </si>
  <si>
    <t>Take-Profit: 525.70</t>
  </si>
  <si>
    <t>Qtd: 4.28</t>
  </si>
  <si>
    <t>Momentum: 2.31</t>
  </si>
  <si>
    <t>Dist MM20: 2.90%</t>
  </si>
  <si>
    <t>MSFT,Preço: 510.12,Dist MM20: 2.90%,Momentum: 14.72,RSI: 66.11,ADX: 37.72,ATR: 9.74,RVOL: 1.02,Estado: Alerta Iminente,Entrada: 508.17,Stop: 496.48,Take-Profit: 525.70,Break-Even: 516.94,Qtd: 4.28,Trailing: 496.48,Data: 04/09/2026 02:21:10</t>
  </si>
  <si>
    <t>04/08/2026 2:37:40</t>
  </si>
  <si>
    <t>RSI: 52.22</t>
  </si>
  <si>
    <t>MCHP,Preço: 75.22,Dist MM20: -7.44%,Momentum: -11.89,RSI: 38.83,ADX: 27.63,ATR: 3.54,RVOL: 0.74,Estado: Forca Consolidada,Entrada: 74.51,Stop: 70.26,Take-Profit: 80.88,Break-Even: 77.69,Qtd: 11.77,Trailing: 70.26,Data: 04/08/2026 02:37:40</t>
  </si>
  <si>
    <t>03/09/2026 07:06:52</t>
  </si>
  <si>
    <t>MCHP (INTRADAY),Máximo 15h30: 80.30,Estado: Forca Consolidada,Entrada: 76.76,Stop: 73.22,Take-Profit: 82.07,Data: 04/08/2026 18:07:50</t>
  </si>
  <si>
    <t>ADX: 13.78</t>
  </si>
  <si>
    <t>ATR: 4.32</t>
  </si>
  <si>
    <t>04/08/2026 2:35:50</t>
  </si>
  <si>
    <t>UNH,Preço: 415.36,Dist MM20: -2.09%,Momentum: -9.83,RSI: 47.60,ADX: 27.93,ATR: 13.44,RVOL: 0.45,Estado: Forca Consolidada,Entrada: 412.67,Stop: 396.54,Take-Profit: 436.86,Break-Even: 424.76,Qtd: 3.10,Trailing: 396.54,Data: 04/08/2026 02:35:49</t>
  </si>
  <si>
    <t>Entrada: 13.18</t>
  </si>
  <si>
    <t>UNH (INTRADAY),Máximo 15h30: 416.00,Estado: Forca Consolidada,Entrada: 402.56,Stop: 389.12,Take-Profit: 422.72,Data: 04/08/2026 18:07:55</t>
  </si>
  <si>
    <t>RVOL: 1.30</t>
  </si>
  <si>
    <t>Stop: 12.51</t>
  </si>
  <si>
    <t>Take-Profit: 14.19</t>
  </si>
  <si>
    <t>04/08/2026 2:35:31</t>
  </si>
  <si>
    <t>Data: 31/07/2026 04:37:29</t>
  </si>
  <si>
    <t>Qtd: 74.40</t>
  </si>
  <si>
    <t>TSLA,Preço: 322.08,Dist MM20: -10.30%,Momentum: -74.10,RSI: 36.83,ADX: 30.84,ATR: 13.42,RVOL: 0.93,Estado: Forca Consolidada,Entrada: 319.40,Stop: 303.30,Take-Profit: 343.56,Break-Even: 331.48,Qtd: 3.10,Trailing: 303.30,Data: 04/08/2026 02:35:29</t>
  </si>
  <si>
    <t>Dist MM20: 2.67%</t>
  </si>
  <si>
    <t>TSLA (INTRADAY),Máximo 15h30: 326.90,Estado: Forca Consolidada,Entrada: 313.48,Stop: 300.06,Take-Profit: 333.61,Data: 04/08/2026 18:07:55</t>
  </si>
  <si>
    <t>AMPL,Preço: 13.29,Dist MM20: 2.67%,Momentum: -0.01,RSI: 61.66,ADX: 42.66,ATR: 0.56,RVOL: 0.91,Estado: Alerta Iminente,Entrada: 13.18,Stop: 12.51,Take-Profit: 14.19,Break-Even: 13.68,Qtd: 74.40,Trailing: 12.51,Data: 03/09/2026 07:06:51</t>
  </si>
  <si>
    <t>04/08/2026 2:34:18</t>
  </si>
  <si>
    <t>03/09/2026 06:04:38</t>
  </si>
  <si>
    <t>ARES,Preço: 124.12,Dist MM20: 1.27%,Momentum: 2.31,RSI: 52.22,ADX: 13.78,ATR: 4.32,RVOL: 1.30,Estado: Observar,Entrada: N/A,Stop: N/A,Take-Profit: N/A,Break-Even: N/A,Qtd: N/A,Data: 31/07/2026 04:37:29</t>
  </si>
  <si>
    <t>QLYS,Preço: 154.89,Dist MM20: 4.17%,Momentum: -9.23,RSI: 62.51,ADX: 27.14,ATR: 8.25,RVOL: 1.29,Estado: Forca Consolidada,Entrada: 153.24,Stop: 143.34,Take-Profit: 168.09,Break-Even: 160.67,Qtd: 5.05,Trailing: 143.34,Data: 04/08/2026 02:34:17</t>
  </si>
  <si>
    <t>QLYS (INTRADAY),Máximo 15h30: 160.79,Estado: Forca Consolidada,Entrada: 152.54,Stop: 144.29,Take-Profit: 164.91,Data: 04/08/2026 18:07:55</t>
  </si>
  <si>
    <t>04/08/2026 2:23:30</t>
  </si>
  <si>
    <t>Entrada: 278.01</t>
  </si>
  <si>
    <t>PANW,Preço: 347.13,Dist MM20: 3.58%,Momentum: -5.76,RSI: 60.60,ADX: 28.51,ATR: 14.88,RVOL: 1.03,Estado: Forca Consolidada,Entrada: 344.15,Stop: 326.29,Take-Profit: 370.93,Break-Even: 357.54,Qtd: 2.80,Trailing: 326.29,Data: 04/08/2026 02:23:28</t>
  </si>
  <si>
    <t>Stop: 267.33</t>
  </si>
  <si>
    <t>PANW (INTRADAY),Máximo 15h30: 365.08,Estado: Forca Consolidada,Entrada: 350.20,Stop: 335.32,Take-Profit: 372.52,Data: 04/08/2026 18:07:56</t>
  </si>
  <si>
    <t>Take-Profit: 294.03</t>
  </si>
  <si>
    <t>Qtd: 4.68</t>
  </si>
  <si>
    <t>Dist MM20: 2.57%</t>
  </si>
  <si>
    <t>ADBE,Preço: 279.79,Dist MM20: 2.57%,Momentum: 9.30,RSI: 58.43,ADX: 26.27,ATR: 8.90,RVOL: 0.90,Estado: Alerta Iminente,Entrada: 278.01,Stop: 267.33,Take-Profit: 294.03,Break-Even: 286.02,Qtd: 4.68,Trailing: 267.33,Data: 03/09/2026 06:04:38</t>
  </si>
  <si>
    <t>ORCL (INTRADAY),Máximo 15h30: 148.44,Estado: Forca Consolidada,Entrada: 141.76,Stop: 135.08,Take-Profit: 151.78,Data: 04/08/2026 18:08:00</t>
  </si>
  <si>
    <t>03/09/2026 06:00:57</t>
  </si>
  <si>
    <t>04/08/2026 2:21:39</t>
  </si>
  <si>
    <t>NFLX,Preço: 73.33,Dist MM20: 1.61%,Momentum: -0.20,RSI: 49.82,ADX: 26.74,ATR: 2.21,RVOL: 0.67,Estado: Forca Consolidada,Entrada: 72.89,Stop: 70.24,Take-Profit: 76.87,Break-Even: 74.88,Qtd: 18.85,Trailing: 70.24,Data: 04/08/2026 02:21:37</t>
  </si>
  <si>
    <t>Entrada: 110.01</t>
  </si>
  <si>
    <t>NFLX (INTRADAY),Máximo 15h30: 73.75,Estado: Forca Consolidada,Entrada: 71.54,Stop: 69.33,Take-Profit: 74.85,Data: 04/08/2026 18:08:00</t>
  </si>
  <si>
    <t>Stop: 107.23</t>
  </si>
  <si>
    <t>Take-Profit: 114.19</t>
  </si>
  <si>
    <t>AS</t>
  </si>
  <si>
    <t>Qtd: 17.96</t>
  </si>
  <si>
    <t>04/08/2026 2:20:19</t>
  </si>
  <si>
    <t>Dist MM20: -1.21%</t>
  </si>
  <si>
    <t>MRVL,Preço: 193.77,Dist MM20: -4.87%,Momentum: -28.67,RSI: 43.94,ADX: 26.86,ATR: 14.13,RVOL: 0.84,Estado: Forca Consolidada,Entrada: 190.95,Stop: 173.99,Take-Profit: 216.38,Break-Even: 203.66,Qtd: 2.95,Trailing: 173.99,Data: 04/08/2026 02:20:17</t>
  </si>
  <si>
    <t>ABT,Preço: 110.47,Dist MM20: -1.21%,Momentum: -0.80,RSI: 53.05,ADX: 30.59,ATR: 2.32,RVOL: 1.10,Estado: Alerta Iminente,Entrada: 110.01,Stop: 107.23,Take-Profit: 114.19,Break-Even: 112.10,Qtd: 17.96,Trailing: 107.23,Data: 03/09/2026 06:00:56</t>
  </si>
  <si>
    <t>Amer Sports</t>
  </si>
  <si>
    <t>MRVL (INTRADAY),Máximo 15h30: 221.88,Estado: Forca Consolidada,Entrada: 207.75,Stop: 193.62,Take-Profit: 228.94,Data: 04/08/2026 18:08:01</t>
  </si>
  <si>
    <t>03/09/2026 02:35:52</t>
  </si>
  <si>
    <t>04/08/2026 2:09:55</t>
  </si>
  <si>
    <t>Entrada: 169.24</t>
  </si>
  <si>
    <t>Stop: 159.68</t>
  </si>
  <si>
    <t>GRMN,Preço: 304.76,Dist MM20: 19.53%,Momentum: 63.37,RSI: 79.85,ADX: 27.94,ATR: 10.22,RVOL: 0.65,Estado: Forca Consolidada,Entrada: 302.72,Stop: 290.46,Take-Profit: 321.12,Break-Even: 311.92,Qtd: 4.08,Trailing: 290.46,Data: 04/08/2026 02:09:54</t>
  </si>
  <si>
    <t>Take-Profit: 183.59</t>
  </si>
  <si>
    <t>GRMN (INTRADAY),Máximo 15h30: 306.50,Estado: Forca Consolidada,Entrada: 296.28,Stop: 286.06,Take-Profit: 311.61,Data: 04/08/2026 18:08:01</t>
  </si>
  <si>
    <t>Qtd: 5.23</t>
  </si>
  <si>
    <t>Dist MM20: -6.94%</t>
  </si>
  <si>
    <t>QLYS,Preço: 170.83,Dist MM20: -6.94%,Momentum: -25.05,RSI: 47.49,ADX: 33.16,ATR: 7.97,RVOL: 1.47,Estado: Alerta Iminente,Entrada: 169.24,Stop: 159.68,Take-Profit: 183.59,Break-Even: 176.42,Qtd: 5.23,Trailing: 159.68,Data: 03/09/2026 02:35:52</t>
  </si>
  <si>
    <t>04/08/2026 2:05:21</t>
  </si>
  <si>
    <t>03/09/2026 02:22:38</t>
  </si>
  <si>
    <t>BABA,Preço: 127.30,Dist MM20: 10.81%,Momentum: 14.98,RSI: 69.41,ADX: 26.54,ATR: 2.84,RVOL: 1.11,Estado: Forca Consolidada,Entrada: 126.73,Stop: 123.32,Take-Profit: 131.84,Break-Even: 129.28,Qtd: 14.67,Trailing: 123.32,Data: 04/08/2026 02:05:20</t>
  </si>
  <si>
    <t>BABA (INTRADAY),Máximo 15h30: 129.45,Estado: Forca Consolidada,Entrada: 126.61,Stop: 123.77,Take-Profit: 130.87,Data: 04/08/2026 18:08:05</t>
  </si>
  <si>
    <t>Entrada: 168.08</t>
  </si>
  <si>
    <t>Stop: 159.81</t>
  </si>
  <si>
    <t>Take-Profit: 180.48</t>
  </si>
  <si>
    <t>Qtd: 6.05</t>
  </si>
  <si>
    <t>Dist MM20: -3.43%</t>
  </si>
  <si>
    <t>PLTR,Preço: 169.46,Dist MM20: -3.43%,Momentum: -9.55,RSI: 52.20,ADX: 33.87,ATR: 6.89,RVOL: 1.11,Estado: Alerta Iminente,Entrada: 168.08,Stop: 159.81,Take-Profit: 180.48,Break-Even: 174.28,Qtd: 6.05,Trailing: 159.81,Data: 03/09/2026 02:22:38</t>
  </si>
  <si>
    <t>03/08/2026 5:39:43</t>
  </si>
  <si>
    <t>02/09/2026 09:54:49</t>
  </si>
  <si>
    <t>TZOO,Preço: 7.23,Dist MM20: -28.48%,Momentum: -3.86,RSI: 22.20,ADX: 31.82,ATR: 0.50,RVOL: 1.36,Estado: Forca Consolidada,Entrada: 7.13,Stop: 6.53,Take-Profit: 8.03,Break-Even: 7.58,Qtd: 83.33,Trailing: 6.23,Data: 03/08/2026 05:39:42</t>
  </si>
  <si>
    <t>TZOO (INTRADAY),Máximo 15h30: 7.30,Estado: Forca Consolidada,Entrada: 6.80,Stop: 6.30,Take-Profit: 7.55,Data: 03/08/2026 15:30:52</t>
  </si>
  <si>
    <t>Entrada: 1124.20</t>
  </si>
  <si>
    <t>AS,Preço: 27.65,Dist MM20: -3.35%,Momentum: -1.81,RSI: 39.27,ADX: 38.28,ATR: 0.95,RVOL: 1.01,Estado: Observar,Entrada: N/A,Stop: N/A,Take-Profit: N/A,Break-Even: N/A,Qtd: N/A,Trailing: 25.75,Data: 23/09/2026 06:51:14</t>
  </si>
  <si>
    <t>Stop: 1100.81</t>
  </si>
  <si>
    <t>Take-Profit: 1159.28</t>
  </si>
  <si>
    <t>Qtd: 2.14</t>
  </si>
  <si>
    <t>Dist MM20: -2.29%</t>
  </si>
  <si>
    <t>BLK,Preço: 1128.10,Dist MM20: -2.29%,Momentum: -32.81,RSI: 47.96,ADX: 27.35,ATR: 19.49,RVOL: 1.00,Estado: Alerta Iminente,Entrada: 1124.20,Stop: 1100.81,Take-Profit: 1159.28,Break-Even: 1141.74,Qtd: 2.14,Trailing: 1100.81,Data: 02/09/2026 09:54:48</t>
  </si>
  <si>
    <t>Preço: 36.10</t>
  </si>
  <si>
    <t>02/09/2026 08:53:44</t>
  </si>
  <si>
    <t>Dist MM20: 3.32%</t>
  </si>
  <si>
    <t>03/08/2026 5:09:42</t>
  </si>
  <si>
    <t>KO</t>
  </si>
  <si>
    <t>Momentum: 1.30</t>
  </si>
  <si>
    <t>TALK,Preço: 5.22,Dist MM20: 0.05%,Momentum: -0.01,RSI: 53.45,ADX: 42.97,ATR: 0.02,RVOL: 1.11,Estado: Forca Consolidada,Entrada: 5.22,Stop: 5.20,Take-Profit: 5.26,Break-Even: 5.24,Qtd: 2083.33,Trailing: 5.18,Data: 03/08/2026 05:09:41</t>
  </si>
  <si>
    <t>Entrada: 87.74</t>
  </si>
  <si>
    <t>RSI: 56.80</t>
  </si>
  <si>
    <t>TALK,Máximo 15h30: 5.22,Estado: Ignorado - S/ Quebra de Fecho,Data: 03/08/2026 15:30:56</t>
  </si>
  <si>
    <t>Stop: 86.19</t>
  </si>
  <si>
    <t>ADX: 12.34</t>
  </si>
  <si>
    <t>Take-Profit: 90.06</t>
  </si>
  <si>
    <t>ATR: 1.28</t>
  </si>
  <si>
    <t>Qtd: 32.30</t>
  </si>
  <si>
    <t>03/08/2026 4:54:38</t>
  </si>
  <si>
    <t>GLE</t>
  </si>
  <si>
    <t>Societe Generale</t>
  </si>
  <si>
    <t>Dist MM20: -0.72%</t>
  </si>
  <si>
    <t>GLE,Preço: 0.34,Dist MM20: -15.18%,Momentum: -0.09,RSI: 39.16,ADX: 26.94,ATR: 0.04,RVOL: 0.78,Estado: Forca Consolidada,Entrada: 0.33,Stop: 0.28,Take-Profit: 0.40,Break-Even: 0.36,Qtd: 1041.67,Trailing: 0.26,Data: 03/08/2026 04:54:37</t>
  </si>
  <si>
    <t>KO,Preço: 88.00,Dist MM20: -0.72%,Momentum: 1.29,RSI: 50.26,ADX: 25.68,ATR: 1.29,RVOL: 1.00,Estado: Alerta Iminente,Entrada: 87.74,Stop: 86.19,Take-Profit: 90.06,Break-Even: 88.90,Qtd: 32.30,Trailing: 86.19,Data: 02/09/2026 08:53:44</t>
  </si>
  <si>
    <t>Data: 31/07/2026 03:51:40</t>
  </si>
  <si>
    <t>GLE (INTRADAY),Máximo 15h30: 0.35,Estado: Forca Consolidada,Entrada: 0.31,Stop: 0.27,Take-Profit: 0.37,Data: 03/08/2026 15:30:59</t>
  </si>
  <si>
    <t>02/09/2026 07:08:14</t>
  </si>
  <si>
    <t>03/08/2026 4:51:45</t>
  </si>
  <si>
    <t>AS,Preço: 36.10,Dist MM20: 3.32%,Momentum: 1.30,RSI: 56.80,ADX: 12.34,ATR: 1.28,RVOL: 0.93,Estado: Aguardar Recuo,Entrada: 35.59,Stop: 34.31,Take-Profit: 38.15,Break-Even: 36.87,Qtd: 39.06,Data: 31/07/2026 03:51:40</t>
  </si>
  <si>
    <t>IONQ,Preço: 36.44,Dist MM20: -3.83%,Momentum: -2.44,RSI: 41.19,ADX: 39.15,ATR: 2.27,RVOL: 0.95,Estado: Forca Consolidada,Entrada: 35.99,Stop: 33.27,Take-Profit: 40.08,Break-Even: 38.03,Qtd: 18.36,Trailing: 31.90,Data: 03/08/2026 04:51:44</t>
  </si>
  <si>
    <t>IONQ (INTRADAY),Máximo 15h30: 39.35,Estado: Forca Consolidada,Entrada: 37.08,Stop: 34.81,Take-Profit: 40.48,Data: 03/08/2026 15:31:03</t>
  </si>
  <si>
    <t>Entrada: 252.66</t>
  </si>
  <si>
    <t>Stop: 244.06</t>
  </si>
  <si>
    <t>03/08/2026 4:39:18</t>
  </si>
  <si>
    <t>Take-Profit: 265.57</t>
  </si>
  <si>
    <t>Qtd: 5.81</t>
  </si>
  <si>
    <t>RKLB,Preço: 64.95,Dist MM20: -10.27%,Momentum: -11.78,RSI: 37.73,ADX: 35.84,ATR: 5.14,RVOL: 0.71,Estado: Forca Consolidada,Entrada: 63.92,Stop: 57.75,Take-Profit: 73.17,Break-Even: 68.55,Qtd: 8.11,Trailing: 54.67,Data: 03/08/2026 04:39:17</t>
  </si>
  <si>
    <t>RKLB (INTRADAY),Máximo 15h30: 67.85,Estado: Forca Consolidada,Entrada: 62.71,Stop: 57.57,Take-Profit: 70.42,Data: 03/08/2026 15:31:07</t>
  </si>
  <si>
    <t>Dist MM20: 3.88%</t>
  </si>
  <si>
    <t>RGLD,Preço: 254.09,Dist MM20: 3.88%,Momentum: 21.22,RSI: 61.57,ADX: 39.08,ATR: 7.17,RVOL: 0.90,Estado: Alerta Iminente,Entrada: 252.66,Stop: 244.06,Take-Profit: 265.57,Break-Even: 259.12,Qtd: 5.81,Trailing: 244.06,Data: 02/09/2026 07:08:13</t>
  </si>
  <si>
    <t>03/08/2026 4:38:41</t>
  </si>
  <si>
    <t>02/09/2026 06:24:14</t>
  </si>
  <si>
    <t>RGTI,Preço: 14.95,Dist MM20: -2.56%,Momentum: -0.41,RSI: 44.13,ADX: 29.11,ATR: 0.99,RVOL: 0.75,Estado: Forca Consolidada,Entrada: 14.75,Stop: 13.56,Take-Profit: 16.53,Break-Even: 15.64,Qtd: 42.09,Trailing: 12.97,Data: 03/08/2026 04:38:40</t>
  </si>
  <si>
    <t>RGTI (INTRADAY),Máximo 15h30: 15.85,Estado: Forca Consolidada,Entrada: 14.86,Stop: 13.87,Take-Profit: 16.34,Data: 03/08/2026 15:31:11</t>
  </si>
  <si>
    <t>03/08/2026 4:37:29</t>
  </si>
  <si>
    <t>Entrada: 34.05</t>
  </si>
  <si>
    <t>PRG,Preço: 44.02,Dist MM20: -1.06%,Momentum: -0.61,RSI: 52.82,ADX: 27.50,ATR: 1.92,RVOL: 1.80,Estado: Forca Consolidada,Entrada: 43.64,Stop: 41.34,Take-Profit: 47.10,Break-Even: 45.37,Qtd: 21.70,Trailing: 40.18,Data: 03/08/2026 04:37:28</t>
  </si>
  <si>
    <t>PRG (INTRADAY),Máximo 15h30: 46.19,Estado: Forca Consolidada,Entrada: 44.27,Stop: 42.35,Take-Profit: 47.15,Data: 03/08/2026 15:31:14</t>
  </si>
  <si>
    <t>Stop: 32.78</t>
  </si>
  <si>
    <t>Take-Profit: 35.96</t>
  </si>
  <si>
    <t>03/08/2026 4:23:04</t>
  </si>
  <si>
    <t>Qtd: 39.31</t>
  </si>
  <si>
    <t>ASTS</t>
  </si>
  <si>
    <t>Dist MM20: -1.01%</t>
  </si>
  <si>
    <t>IONQ,Preço: 36.44,Dist MM20: -3.83%,Momentum: -2.44,RSI: 41.19,ADX: 39.15,ATR: 2.27,RVOL: 0.95,Estado: Forca Consolidada,Entrada: 35.99,Stop: 33.27,Take-Profit: 40.08,Break-Even: 38.03,Qtd: 18.36,Trailing: 31.90,Data: 03/08/2026 04:23:03</t>
  </si>
  <si>
    <t>DBX,Preço: 34.26,Dist MM20: -1.01%,Momentum: 0.63,RSI: 53.63,ADX: 30.56,ATR: 1.06,RVOL: 0.93,Estado: Alerta Iminente,Entrada: 34.05,Stop: 32.78,Take-Profit: 35.96,Break-Even: 35.00,Qtd: 39.31,Trailing: 32.78,Data: 02/09/2026 06:24:13</t>
  </si>
  <si>
    <t>IONQ (INTRADAY),Máximo 15h30: 39.35,Estado: Forca Consolidada,Entrada: 37.08,Stop: 34.81,Take-Profit: 40.48,Data: 03/08/2026 15:31:18</t>
  </si>
  <si>
    <t>02/09/2026 05:58:55</t>
  </si>
  <si>
    <t>03/08/2026 4:07:19</t>
  </si>
  <si>
    <t>Ast SpaceMobile</t>
  </si>
  <si>
    <t>ASTS,Preço: 58.98,Dist MM20: -7.55%,Momentum: -8.60,RSI: 41.74,ADX: 26.86,ATR: 4.94,RVOL: 0.64,Estado: Forca Consolidada,Entrada: 57.99,Stop: 52.06,Take-Profit: 66.88,Break-Even: 62.44,Qtd: 8.43,Trailing: 49.10,Data: 03/08/2026 04:07:18</t>
  </si>
  <si>
    <t>ASTS (INTRADAY),Máximo 15h30: 62.37,Estado: Forca Consolidada,Entrada: 57.43,Stop: 52.49,Take-Profit: 64.84,Data: 03/08/2026 15:31:22</t>
  </si>
  <si>
    <t>Entrada: 23.08</t>
  </si>
  <si>
    <t>Stop: 21.33</t>
  </si>
  <si>
    <t>Take-Profit: 25.71</t>
  </si>
  <si>
    <t>Qtd: 28.54</t>
  </si>
  <si>
    <t>Dist MM20: 11.38%</t>
  </si>
  <si>
    <t>03/08/2026 4:05:13</t>
  </si>
  <si>
    <t>BMNR,Preço: 23.37,Dist MM20: 11.38%,Momentum: 5.48,RSI: 60.42,ADX: 41.51,ATR: 1.46,RVOL: 0.99,Estado: Alerta Iminente,Entrada: 23.08,Stop: 21.33,Take-Profit: 25.71,Break-Even: 24.39,Qtd: 28.54,Trailing: 21.33,Data: 02/09/2026 05:58:54</t>
  </si>
  <si>
    <t>02/09/2026 04:19:26</t>
  </si>
  <si>
    <t>ADS,Preço: 159.25,Dist MM20: -10.55%,Momentum: -23.35,RSI: 33.05,ADX: 25.76,ATR: 6.47,RVOL: 1.12,Estado: Forca Consolidada,Entrada: 157.96,Stop: 150.20,Take-Profit: 169.61,Break-Even: 163.79,Qtd: 6.44,Trailing: 146.31,Data: 03/08/2026 04:05:11</t>
  </si>
  <si>
    <t>Erro GF</t>
  </si>
  <si>
    <t>Erro GF - Verificar Manualmente</t>
  </si>
  <si>
    <t>ADS,Estado: Erro GF - Verificar Manualmente,Data: 03/08/2026 15:31:26</t>
  </si>
  <si>
    <t>03/08/2026 2:37:06</t>
  </si>
  <si>
    <t>Entrada: 108.48</t>
  </si>
  <si>
    <t>Stop: 105.80</t>
  </si>
  <si>
    <t>Take-Profit: 112.49</t>
  </si>
  <si>
    <t>IBM,Preço: 223.65,Dist MM20: -6.94%,Momentum: -66.58,RSI: 41.39,ADX: 28.98,ATR: 9.18,RVOL: 0.63,Estado: Forca Consolidada,Entrada: 221.81,Stop: 210.79,Take-Profit: 238.33,Break-Even: 230.07,Qtd: 4.54,Trailing: 205.29,Data: 03/08/2026 02:37:05</t>
  </si>
  <si>
    <t>Qtd: 18.68</t>
  </si>
  <si>
    <t>IBM (INTRADAY),Máximo 15h30: 228.33,Estado: Forca Consolidada,Entrada: 219.15,Stop: 209.97,Take-Profit: 232.92,Data: 03/08/2026 15:31:30</t>
  </si>
  <si>
    <t>Dist MM20: -2.38%</t>
  </si>
  <si>
    <t>ABT,Preço: 108.93,Dist MM20: -2.38%,Momentum: -1.98,RSI: 48.96,ADX: 31.63,ATR: 2.23,RVOL: 0.92,Estado: Alerta Iminente,Entrada: 108.48,Stop: 105.80,Take-Profit: 112.49,Break-Even: 110.48,Qtd: 18.68,Trailing: 105.80,Data: 02/09/2026 04:19:24</t>
  </si>
  <si>
    <t>02/09/2026 04:05:52</t>
  </si>
  <si>
    <t>03/08/2026 2:36:48</t>
  </si>
  <si>
    <t>ASTS,Preço: 63.69,Dist MM20: 4.73%,Momentum: 7.89,RSI: 51.86,ADX: 10.72,ATR: 3.74,RVOL: 1.06,Estado: Aguardar Recuo,Entrada: 62.19,Stop: 58.45,Take-Profit: 66.68,Break-Even: 64.44,Qtd: 6.68,Trailing: 58.45,Data: 23/09/2026 02:06:34</t>
  </si>
  <si>
    <t>Entrada: 373.93</t>
  </si>
  <si>
    <t>ABT,Preço: 105.70,Dist MM20: 6.68%,Momentum: 13.59,RSI: 66.77,ADX: 30.87,ATR: 2.78,RVOL: 0.75,Estado: Forca Consolidada,Entrada: 105.14,Stop: 101.80,Take-Profit: 110.14,Break-Even: 107.64,Qtd: 14.99,Trailing: 100.14,Data: 03/08/2026 02:36:47</t>
  </si>
  <si>
    <t>Stop: 358.94</t>
  </si>
  <si>
    <t>ABT (INTRADAY),Máximo 15h30: 109.33,Estado: Forca Consolidada,Entrada: 106.55,Stop: 103.77,Take-Profit: 110.72,Data: 03/08/2026 15:31:34</t>
  </si>
  <si>
    <t>Take-Profit: 396.41</t>
  </si>
  <si>
    <t>Qtd: 3.34</t>
  </si>
  <si>
    <t>Preço: 58.98</t>
  </si>
  <si>
    <t>Dist MM20: 10.79%</t>
  </si>
  <si>
    <t>Dist MM20: -7.55%</t>
  </si>
  <si>
    <t>TYL,Preço: 376.43,Dist MM20: 10.79%,Momentum: 58.79,RSI: 69.96,ADX: 31.45,ATR: 12.49,RVOL: 0.96,Estado: Alerta Iminente,Entrada: 373.93,Stop: 358.94,Take-Profit: 396.41,Break-Even: 385.17,Qtd: 3.34,Trailing: 358.94,Data: 02/09/2026 04:05:52</t>
  </si>
  <si>
    <t>03/08/2026 2:24:19</t>
  </si>
  <si>
    <t>Momentum: -8.60</t>
  </si>
  <si>
    <t>TSLA,Preço: 311.21,Dist MM20: -14.49%,Momentum: -83.55,RSI: 31.70,ADX: 30.32,ATR: 12.94,RVOL: 0.89,Estado: Forca Consolidada,Entrada: 308.62,Stop: 293.09,Take-Profit: 331.91,Break-Even: 320.26,Qtd: 3.22,Trailing: 285.33,Data: 03/08/2026 02:24:19</t>
  </si>
  <si>
    <t>02/09/2026 03:51:15</t>
  </si>
  <si>
    <t>TSLA (INTRADAY),Máximo 15h30: 319.37,Estado: Forca Consolidada,Entrada: 306.43,Stop: 293.49,Take-Profit: 325.84,Data: 03/08/2026 15:31:37</t>
  </si>
  <si>
    <t>RSI: 41.74</t>
  </si>
  <si>
    <t>SHOP</t>
  </si>
  <si>
    <t>ADX: 26.86</t>
  </si>
  <si>
    <t>RVOL: 0.97</t>
  </si>
  <si>
    <t>ATR: 4.94</t>
  </si>
  <si>
    <t>Entrada: 138.80</t>
  </si>
  <si>
    <t>RVOL: 0.64</t>
  </si>
  <si>
    <t>Stop: 132.68</t>
  </si>
  <si>
    <t>Take-Profit: 147.98</t>
  </si>
  <si>
    <t>03/08/2026 2:23:10</t>
  </si>
  <si>
    <t>Data: 01/08/2026 07:38:36</t>
  </si>
  <si>
    <t>Qtd: 8.17</t>
  </si>
  <si>
    <t>QLYS,Preço: 144.75,Dist MM20: -2.76%,Momentum: -6.79,RSI: 55.33,ADX: 27.24,ATR: 8.72,RVOL: 0.88,Estado: Forca Consolidada,Entrada: 143.01,Stop: 132.55,Take-Profit: 158.71,Break-Even: 150.86,Qtd: 4.78,Trailing: 127.31,Data: 03/08/2026 02:23:09</t>
  </si>
  <si>
    <t>Dist MM20: -6.82%</t>
  </si>
  <si>
    <t>SHOP,Preço: 139.82,Dist MM20: -6.82%,Momentum: -10.59,RSI: 46.87,ADX: 27.44,ATR: 5.10,RVOL: 0.97,Estado: Alerta Iminente,Entrada: 138.80,Stop: 132.68,Take-Profit: 147.98,Break-Even: 143.39,Qtd: 8.17,Trailing: 132.68,Data: 02/09/2026 03:51:15</t>
  </si>
  <si>
    <t>ASTS,Preço: 58.98,Dist MM20: -7.55%,Momentum: -8.60,RSI: 41.74,ADX: 26.86,ATR: 4.94,RVOL: 0.64,Estado: Forca Consolidada,Entrada: 57.99,Stop: 52.06,Take-Profit: 66.88,Break-Even: 62.44,Qtd: 8.43,Data: 01/08/2026 07:38:36</t>
  </si>
  <si>
    <t>QLYS (INTRADAY),Máximo 15h30: 152.68,Estado: Forca Consolidada,Entrada: 143.96,Stop: 135.24,Take-Profit: 157.04,Data: 03/08/2026 15:31:41</t>
  </si>
  <si>
    <t>02/09/2026 03:34:46</t>
  </si>
  <si>
    <t>03/08/2026 2:21:41</t>
  </si>
  <si>
    <t>Entrada: 141.69</t>
  </si>
  <si>
    <t>PANW,Preço: 331.83,Dist MM20: -1.13%,Momentum: 1.53,RSI: 54.57,ADX: 28.90,ATR: 15.29,RVOL: 0.76,Estado: Forca Consolidada,Entrada: 328.77,Stop: 310.42,Take-Profit: 356.29,Break-Even: 342.53,Qtd: 2.73,Trailing: 301.25,Data: 03/08/2026 02:21:40</t>
  </si>
  <si>
    <t>PANW (INTRADAY),Máximo 15h30: 339.68,Estado: Forca Consolidada,Entrada: 324.39,Stop: 309.10,Take-Profit: 347.32,Data: 03/08/2026 15:31:45</t>
  </si>
  <si>
    <t>Stop: 134.42</t>
  </si>
  <si>
    <t>Take-Profit: 152.60</t>
  </si>
  <si>
    <t>Qtd: 6.88</t>
  </si>
  <si>
    <t>Dist MM20: 11.29%</t>
  </si>
  <si>
    <t>03/08/2026 2:21:05</t>
  </si>
  <si>
    <t>NOW,Preço: 142.90,Dist MM20: 11.29%,Momentum: 17.96,RSI: 67.34,ADX: 25.23,ATR: 6.06,RVOL: 0.91,Estado: Alerta Iminente,Entrada: 141.69,Stop: 134.42,Take-Profit: 152.60,Break-Even: 147.14,Qtd: 6.88,Trailing: 134.42,Data: 02/09/2026 03:34:46</t>
  </si>
  <si>
    <t>02/09/2026 03:19:32</t>
  </si>
  <si>
    <t>ORCL,Preço: 129.87,Dist MM20: 0.77%,Momentum: -1.67,RSI: 43.80,ADX: 40.96,ATR: 6.13,RVOL: 0.89,Estado: Forca Consolidada,Entrada: 128.64,Stop: 121.28,Take-Profit: 139.67,Break-Even: 134.15,Qtd: 6.80,Trailing: 117.61,Data: 03/08/2026 02:21:04</t>
  </si>
  <si>
    <t>ORCL (INTRADAY),Máximo 15h30: 139.06,Estado: Forca Consolidada,Entrada: 132.93,Stop: 126.80,Take-Profit: 142.13,Data: 03/08/2026 15:31:49</t>
  </si>
  <si>
    <t>Entrada: 211.08</t>
  </si>
  <si>
    <t>03/08/2026 2:10:09</t>
  </si>
  <si>
    <t>Stop: 205.33</t>
  </si>
  <si>
    <t>MRVL,Preço: 187.56,Dist MM20: -9.16%,Momentum: -29.97,RSI: 41.59,ADX: 27.09,ATR: 13.88,RVOL: 1.08,Estado: Forca Consolidada,Entrada: 184.78,Stop: 168.12,Take-Profit: 209.76,Break-Even: 197.27,Qtd: 3.00,Trailing: 159.80,Data: 03/08/2026 02:10:07</t>
  </si>
  <si>
    <t>MRVL (INTRADAY),Máximo 15h30: 188.35,Estado: Forca Consolidada,Entrada: 174.47,Stop: 160.59,Take-Profit: 195.29,Data: 03/08/2026 15:31:53</t>
  </si>
  <si>
    <t>Take-Profit: 219.70</t>
  </si>
  <si>
    <t>Qtd: 8.70</t>
  </si>
  <si>
    <t>03/08/2026 2:04:56</t>
  </si>
  <si>
    <t>Dist MM20: 0.13%</t>
  </si>
  <si>
    <t>SAP,Preço: 212.04,Dist MM20: 0.13%,Momentum: 7.89,RSI: 58.45,ADX: 40.87,ATR: 4.79,RVOL: 1.02,Estado: Alerta Iminente,Entrada: 211.08,Stop: 205.33,Take-Profit: 219.70,Break-Even: 215.39,Qtd: 8.70,Trailing: 205.33,Data: 02/09/2026 03:19:31</t>
  </si>
  <si>
    <t>BABA,Preço: 122.25,Dist MM20: 7.80%,Momentum: 9.90,RSI: 64.21,ADX: 25.19,ATR: 2.75,RVOL: 1.40,Estado: Forca Consolidada,Entrada: 121.70,Stop: 118.40,Take-Profit: 126.65,Break-Even: 124.18,Qtd: 15.15,Trailing: 116.75,Data: 03/08/2026 02:04:56</t>
  </si>
  <si>
    <t>BABA (INTRADAY),Máximo 15h30: 129.50,Estado: Forca Consolidada,Entrada: 126.75,Stop: 124.00,Take-Profit: 130.88,Data: 03/08/2026 15:31:57</t>
  </si>
  <si>
    <t>02/09/2026 03:04:26</t>
  </si>
  <si>
    <t>31/07/2026 04:49:44</t>
  </si>
  <si>
    <t>MED,Preço: 9.91,Dist MM20: -4.25%,Momentum: -0.81,RSI: 40.71,ADX: 27.36,ATR: 0.41,RVOL: 0.64,Estado: Forca Consolidada,Entrada: 9.83,Stop: 9.34,Take-Profit: 10.57,Break-Even: 10.20,Qtd: 101.63,Data: 31/07/2026 04:49:42</t>
  </si>
  <si>
    <t>MED,Máximo 15h30: 9.86,Estado: Ignorado - S/ Quebra de Fecho,Data: 31/07/2026 15:30:49</t>
  </si>
  <si>
    <t>Entrada: 256.24</t>
  </si>
  <si>
    <t>31/07/2026 04:35:13</t>
  </si>
  <si>
    <t>Stop: 245.04</t>
  </si>
  <si>
    <t>TEM,Preço: 44.29,Dist MM20: -14.88%,Momentum: -13.94,RSI: 38.65,ADX: 28.17,ATR: 2.95,RVOL: 1.39,Estado: Forca Consolidada,Entrada: 43.70,Stop: 40.16,Take-Profit: 49.01,Break-Even: 46.36,Qtd: 14.12,Data: 31/07/2026 04:35:12</t>
  </si>
  <si>
    <t>Take-Profit: 273.03</t>
  </si>
  <si>
    <t>TEM (INTRADAY),Máximo 15h30: 46.30,Estado: Forca Consolidada,Entrada: 43.35,Stop: 40.40,Take-Profit: 47.77,Data: 31/07/2026 15:30:53</t>
  </si>
  <si>
    <t>Qtd: 4.47</t>
  </si>
  <si>
    <t>Dist MM20: 22.61%</t>
  </si>
  <si>
    <t>31/07/2026 04:22:13</t>
  </si>
  <si>
    <t>CRM,Preço: 258.11,Dist MM20: 22.61%,Momentum: 64.79,RSI: 81.25,ADX: 32.72,ATR: 9.33,RVOL: 0.92,Estado: Alerta Iminente,Entrada: 256.24,Stop: 245.04,Take-Profit: 273.03,Break-Even: 264.63,Qtd: 4.47,Trailing: 240.36,Data: 02/09/2026 03:04:26</t>
  </si>
  <si>
    <t>RKLB,Preço: 64.68,Dist MM20: -12.78%,Momentum: -16.36,RSI: 37.41,ADX: 35.77,ATR: 5.08,RVOL: 0.91,Estado: Forca Consolidada,Entrada: 63.66,Stop: 57.56,Take-Profit: 72.80,Break-Even: 68.23,Qtd: 8.20,Data: 31/07/2026 04:22:12</t>
  </si>
  <si>
    <t>02/09/2026 02:53:26</t>
  </si>
  <si>
    <t>RKLB (INTRADAY),Máximo 15h30: 67.84,Estado: Forca Consolidada,Entrada: 62.76,Stop: 57.68,Take-Profit: 70.38,Data: 31/07/2026 15:30:58</t>
  </si>
  <si>
    <t>RVOL: 1.22</t>
  </si>
  <si>
    <t>Entrada: 175.49</t>
  </si>
  <si>
    <t>Stop: 166.35</t>
  </si>
  <si>
    <t>Take-Profit: 189.21</t>
  </si>
  <si>
    <t>Qtd: 5.47</t>
  </si>
  <si>
    <t>Dist MM20: -3.90%</t>
  </si>
  <si>
    <t>31/07/2026 04:21:39</t>
  </si>
  <si>
    <t>AVGO,Preço: 364.54,Dist MM20: 1.45%,Momentum: -5.14,RSI: 49.76,ADX: 23.98,ATR: 8.62,RVOL: 0.75,Estado: Observar,Entrada: N/A,Stop: N/A,Take-Profit: N/A,Break-Even: N/A,Qtd: N/A,Trailing: 347.30,Data: 23/09/2026 02:06:51</t>
  </si>
  <si>
    <t>QLYS,Preço: 177.01,Dist MM20: -3.90%,Momentum: -10.14,RSI: 52.56,ADX: 35.44,ATR: 7.62,RVOL: 1.22,Estado: Alerta Iminente,Entrada: 175.49,Stop: 166.35,Take-Profit: 189.21,Break-Even: 182.35,Qtd: 5.47,Trailing: 166.35,Data: 02/09/2026 02:53:26</t>
  </si>
  <si>
    <t>RGTI,Preço: 14.86,Dist MM20: -4.08%,Momentum: -1.68,RSI: 43.68,ADX: 29.90,ATR: 1.01,RVOL: 1.06,Estado: Forca Consolidada,Entrada: 14.66,Stop: 13.45,Take-Profit: 16.48,Break-Even: 15.57,Qtd: 41.25,Data: 31/07/2026 04:21:39</t>
  </si>
  <si>
    <t>RGTI (INTRADAY),Máximo 15h30: 15.63,Estado: Forca Consolidada,Entrada: 14.62,Stop: 13.61,Take-Profit: 16.14,Data: 31/07/2026 15:31:03</t>
  </si>
  <si>
    <t>02/09/2026 02:35:42</t>
  </si>
  <si>
    <t>31/07/2026 04:20:32</t>
  </si>
  <si>
    <t>Preço: 387.84</t>
  </si>
  <si>
    <t>RVOL: 1.16</t>
  </si>
  <si>
    <t>PRG,Preço: 42.96,Dist MM20: -3.45%,Momentum: -1.28,RSI: 48.63,ADX: 29.42,ATR: 1.83,RVOL: 1.78,Estado: Forca Consolidada,Entrada: 42.59,Stop: 40.39,Take-Profit: 45.88,Break-Even: 44.23,Qtd: 22.77,Data: 31/07/2026 04:20:31</t>
  </si>
  <si>
    <t>Dist MM20: 1.19%</t>
  </si>
  <si>
    <t>Entrada: 579.28</t>
  </si>
  <si>
    <t>PRG (INTRADAY),Máximo 15h30: 43.37,Estado: Forca Consolidada,Entrada: 41.54,Stop: 39.71,Take-Profit: 44.28,Data: 31/07/2026 15:31:07</t>
  </si>
  <si>
    <t>Stop: 568.35</t>
  </si>
  <si>
    <t>Momentum: -12.13</t>
  </si>
  <si>
    <t>Take-Profit: 595.68</t>
  </si>
  <si>
    <t>RSI: 50.89</t>
  </si>
  <si>
    <t>Qtd: 4.57</t>
  </si>
  <si>
    <t>Dist MM20: 0.62%</t>
  </si>
  <si>
    <t>ADX: 15.44</t>
  </si>
  <si>
    <t>MA,Preço: 581.10,Dist MM20: 0.62%,Momentum: 21.37,RSI: 55.67,ADX: 36.40,ATR: 9.11,RVOL: 1.16,Estado: Alerta Iminente,Entrada: 579.28,Stop: 568.35,Take-Profit: 595.68,Break-Even: 587.48,Qtd: 4.57,Trailing: 568.35,Data: 02/09/2026 02:35:41</t>
  </si>
  <si>
    <t>31/07/2026 04:19:36</t>
  </si>
  <si>
    <t>ATR: 13.50</t>
  </si>
  <si>
    <t>02/09/2026 02:04:45</t>
  </si>
  <si>
    <t>ORC,Preço: 6.63,Dist MM20: -1.65%,Momentum: -0.18,RSI: 45.13,ADX: 26.72,ATR: 0.14,RVOL: 1.25,Estado: Forca Consolidada,Entrada: 6.60,Stop: 6.43,Take-Profit: 6.85,Break-Even: 6.72,Qtd: 297.62,Data: 31/07/2026 04:19:36</t>
  </si>
  <si>
    <t>RVOL: 1.05</t>
  </si>
  <si>
    <t>ORC,Máximo 15h30: 6.53,Estado: Ignorado - S/ Quebra de Fecho,Data: 31/07/2026 15:31:12</t>
  </si>
  <si>
    <t>Data: 31/07/2026 02:07:04</t>
  </si>
  <si>
    <t>Entrada: 284.19</t>
  </si>
  <si>
    <t>31/07/2026 04:08:23</t>
  </si>
  <si>
    <t>Stop: 272.83</t>
  </si>
  <si>
    <t>AVGO,Preço: 387.84,Dist MM20: 1.19%,Momentum: -12.13,RSI: 50.89,ADX: 15.44,ATR: 13.50,RVOL: 1.05,Estado: Aguardar Recuo,Entrada: 382.44,Stop: 368.94,Take-Profit: 409.44,Break-Even: 395.94,Qtd: 3.70,Data: 31/07/2026 02:07:04</t>
  </si>
  <si>
    <t>IONQ,Preço: 35.77,Dist MM20: -7.15%,Momentum: -7.09,RSI: 39.63,ADX: 40.29,ATR: 2.38,RVOL: 0.95,Estado: Forca Consolidada,Entrada: 35.29,Stop: 32.43,Take-Profit: 39.57,Break-Even: 37.43,Qtd: 17.51,Data: 31/07/2026 04:08:22</t>
  </si>
  <si>
    <t>Take-Profit: 301.24</t>
  </si>
  <si>
    <t>IONQ (INTRADAY),Máximo 15h30: 37.65,Estado: Forca Consolidada,Entrada: 35.27,Stop: 32.89,Take-Profit: 38.84,Data: 31/07/2026 15:31:17</t>
  </si>
  <si>
    <t>Qtd: 4.40</t>
  </si>
  <si>
    <t>Dist MM20: 5.27%</t>
  </si>
  <si>
    <t>ADBE,Preço: 286.08,Dist MM20: 5.27%,Momentum: 27.33,RSI: 63.44,ADX: 26.54,ATR: 9.47,RVOL: 1.02,Estado: Alerta Iminente,Entrada: 284.19,Stop: 272.83,Take-Profit: 301.24,Break-Even: 292.72,Qtd: 4.40,Trailing: 279.63,Data: 02/09/2026 02:04:44</t>
  </si>
  <si>
    <t>31/07/2026 04:05:44</t>
  </si>
  <si>
    <t>ENVX,Preço: 4.18,Dist MM20: -11.68%,Momentum: -1.02,RSI: 38.66,ADX: 34.51,ATR: 0.33,RVOL: 1.27,Estado: Forca Consolidada,Entrada: 4.11,Stop: 3.71,Take-Profit: 4.70,Break-Even: 4.41,Qtd: 126.26,Data: 31/07/2026 04:05:43</t>
  </si>
  <si>
    <t>01/09/2026 05:20:10</t>
  </si>
  <si>
    <t>ENVX (INTRADAY),Máximo 15h30: 4.30,Estado: Forca Consolidada,Entrada: 3.97,Stop: 3.64,Take-Profit: 4.46,Data: 31/07/2026 15:31:21</t>
  </si>
  <si>
    <t>31/07/2026 03:53:19</t>
  </si>
  <si>
    <t>Entrada: 192.38</t>
  </si>
  <si>
    <t>BBAI,Preço: 2.83,Dist MM20: -6.89%,Momentum: -0.44,RSI: 37.96,ADX: 32.30,ATR: 0.17,RVOL: 1.16,Estado: Forca Consolidada,Entrada: 2.80,Stop: 2.60,Take-Profit: 3.11,Break-Even: 2.96,Qtd: 245.10,Data: 31/07/2026 03:53:19</t>
  </si>
  <si>
    <t>Stop: 181.64</t>
  </si>
  <si>
    <t>BBAI (INTRADAY),Máximo 15h30: 3.00,Estado: Forca Consolidada,Entrada: 2.83,Stop: 2.66,Take-Profit: 3.08,Data: 31/07/2026 15:31:26</t>
  </si>
  <si>
    <t>AZN</t>
  </si>
  <si>
    <t>Take-Profit: 208.49</t>
  </si>
  <si>
    <t>Qtd: 4.66</t>
  </si>
  <si>
    <t>31/07/2026 03:52:46</t>
  </si>
  <si>
    <t>Dist MM20: 21.70%</t>
  </si>
  <si>
    <t>Astra Zeneca</t>
  </si>
  <si>
    <t>TEAM,Preço: 194.17,Dist MM20: 21.70%,Momentum: 40.09,RSI: 80.10,ADX: 51.17,ATR: 8.95,RVOL: 0.90,Estado: Alerta Iminente,Entrada: 192.38,Stop: 181.64,Take-Profit: 208.49,Break-Even: 200.44,Qtd: 4.66,Trailing: 181.64,Data: 01/09/2026 05:20:09</t>
  </si>
  <si>
    <t>ASTS,Preço: 58.44,Dist MM20: -10.23%,Momentum: -14.88,RSI: 41.12,ADX: 26.98,ATR: 5.00,RVOL: 0.78,Estado: Forca Consolidada,Entrada: 57.44,Stop: 51.44,Take-Profit: 66.44,Break-Even: 61.94,Qtd: 8.33,Data: 31/07/2026 03:52:46</t>
  </si>
  <si>
    <t>ASTS (INTRADAY),Máximo 15h30: 61.20,Estado: Forca Consolidada,Entrada: 56.20,Stop: 51.20,Take-Profit: 63.70,Data: 31/07/2026 15:31:30</t>
  </si>
  <si>
    <t>01/09/2026 05:10:38</t>
  </si>
  <si>
    <t>31/07/2026 02:36:42</t>
  </si>
  <si>
    <t>HUM,Preço: 366.66,Dist MM20: -6.74%,Momentum: -25.56,RSI: 42.16,ADX: 45.61,ATR: 17.22,RVOL: 1.11,Estado: Forca Consolidada,Entrada: 363.22,Stop: 342.56,Take-Profit: 394.22,Break-Even: 378.72,Qtd: 2.42,Data: 31/07/2026 02:36:41</t>
  </si>
  <si>
    <t>Entrada: 58.76</t>
  </si>
  <si>
    <t>HUM (INTRADAY),Máximo 15h30: 372.15,Estado: Forca Consolidada,Entrada: 354.93,Stop: 337.71,Take-Profit: 380.76,Data: 31/07/2026 15:31:36</t>
  </si>
  <si>
    <t>Stop: 57.80</t>
  </si>
  <si>
    <t>Take-Profit: 60.20</t>
  </si>
  <si>
    <t>Qtd: 52.08</t>
  </si>
  <si>
    <t>31/07/2026 02:36:05</t>
  </si>
  <si>
    <t>Dist MM20: 1.08%</t>
  </si>
  <si>
    <t>MCHP,Preço: 75.01,Dist MM20: -8.97%,Momentum: -13.58,RSI: 37.87,ADX: 26.32,ATR: 3.45,RVOL: 1.21,Estado: Forca Consolidada,Entrada: 74.32,Stop: 70.18,Take-Profit: 80.53,Break-Even: 77.42,Qtd: 12.08,Data: 31/07/2026 02:36:04</t>
  </si>
  <si>
    <t>MAIN,Preço: 58.92,Dist MM20: 1.08%,Momentum: -0.11,RSI: 62.93,ADX: 33.14,ATR: 0.80,RVOL: 0.97,Estado: Alerta Iminente,Entrada: 58.76,Stop: 57.80,Take-Profit: 60.20,Break-Even: 59.48,Qtd: 52.08,Trailing: 57.32,Data: 01/09/2026 05:10:37</t>
  </si>
  <si>
    <t>MCHP (INTRADAY),Máximo 15h30: 77.67,Estado: Forca Consolidada,Entrada: 74.22,Stop: 70.77,Take-Profit: 79.39,Data: 31/07/2026 15:31:40</t>
  </si>
  <si>
    <t>01/09/2026 04:04:27</t>
  </si>
  <si>
    <t>31/07/2026 02:24:41</t>
  </si>
  <si>
    <t>RVOL: 1.37</t>
  </si>
  <si>
    <t>UNH,Preço: 421.47,Dist MM20: -0.80%,Momentum: -3.15,RSI: 51.33,ADX: 31.29,ATR: 13.55,RVOL: 0.51,Estado: Forca Consolidada,Entrada: 418.76,Stop: 402.50,Take-Profit: 443.15,Break-Even: 430.95,Qtd: 3.08,Data: 31/07/2026 02:24:39</t>
  </si>
  <si>
    <t>Entrada: 109.93</t>
  </si>
  <si>
    <t>UNH (INTRADAY),Máximo 15h30: 422.81,Estado: Forca Consolidada,Entrada: 409.26,Stop: 395.71,Take-Profit: 429.58,Data: 31/07/2026 15:31:44</t>
  </si>
  <si>
    <t>Stop: 107.37</t>
  </si>
  <si>
    <t>Take-Profit: 113.76</t>
  </si>
  <si>
    <t>Qtd: 19.56</t>
  </si>
  <si>
    <t>31/07/2026 02:24:21</t>
  </si>
  <si>
    <t>AZN,Preço: 168.37,Dist MM20: 2.95%,Momentum: 5.90,RSI: 58.50,ADX: 12.80,ATR: 2.94,RVOL: 0.74,Estado: Aguardar Recuo,Entrada: 167.19,Stop: 164.25,Take-Profit: 170.72,Break-Even: 168.95,Qtd: 8.50,Trailing: 164.25,Data: 23/09/2026 06:51:11</t>
  </si>
  <si>
    <t>Dist MM20: -0.95%</t>
  </si>
  <si>
    <t>TSLA,Preço: 308.85,Dist MM20: -16.08%,Momentum: -98.91,RSI: 30.56,ADX: 28.84,ATR: 12.99,RVOL: 0.85,Estado: Forca Consolidada,Entrada: 306.25,Stop: 290.66,Take-Profit: 329.63,Break-Even: 317.94,Qtd: 3.21,Data: 31/07/2026 02:24:20</t>
  </si>
  <si>
    <t>ABT,Preço: 110.36,Dist MM20: -0.95%,Momentum: 0.64,RSI: 52.93,ADX: 32.78,ATR: 2.13,RVOL: 1.37,Estado: Alerta Iminente,Entrada: 109.93,Stop: 107.37,Take-Profit: 113.76,Break-Even: 111.84,Qtd: 19.56,Trailing: 107.37,Data: 01/09/2026 04:04:27</t>
  </si>
  <si>
    <t>TSLA (INTRADAY),Máximo 15h30: 315.50,Estado: Forca Consolidada,Entrada: 302.51,Stop: 289.52,Take-Profit: 322.00,Data: 31/07/2026 15:31:49</t>
  </si>
  <si>
    <t>01/09/2026 03:53:38</t>
  </si>
  <si>
    <t>Preço: 162.89</t>
  </si>
  <si>
    <t>31/07/2026 02:23:06</t>
  </si>
  <si>
    <t>Dist MM20: -0.20%</t>
  </si>
  <si>
    <t>RVOL: 5.10</t>
  </si>
  <si>
    <t>QLYS,Preço: 141.71,Dist MM20: -4.91%,Momentum: -10.98,RSI: 52.81,ADX: 28.62,ATR: 8.69,RVOL: 1.37,Estado: Forca Consolidada,Entrada: 139.97,Stop: 129.54,Take-Profit: 155.61,Break-Even: 147.79,Qtd: 4.79,Data: 31/07/2026 02:23:05</t>
  </si>
  <si>
    <t>Entrada: 369.75</t>
  </si>
  <si>
    <t>Momentum: -3.38</t>
  </si>
  <si>
    <t>QLYS (INTRADAY),Máximo 15h30: 142.31,Estado: Forca Consolidada,Entrada: 133.62,Stop: 124.93,Take-Profit: 146.66,Data: 31/07/2026 15:31:53</t>
  </si>
  <si>
    <t>Stop: 354.91</t>
  </si>
  <si>
    <t>RSI: 49.54</t>
  </si>
  <si>
    <t>Take-Profit: 392.02</t>
  </si>
  <si>
    <t>Qtd: 3.37</t>
  </si>
  <si>
    <t>ADX: 13.54</t>
  </si>
  <si>
    <t>31/07/2026 02:21:39</t>
  </si>
  <si>
    <t>Dist MM20: 10.57%</t>
  </si>
  <si>
    <t>PANW,Preço: 325.68,Dist MM20: -3.20%,Momentum: -0.23,RSI: 51.82,ADX: 30.25,ATR: 15.31,RVOL: 0.99,Estado: Forca Consolidada,Entrada: 322.62,Stop: 304.25,Take-Profit: 350.18,Break-Even: 336.40,Qtd: 2.72,Data: 31/07/2026 02:21:39</t>
  </si>
  <si>
    <t>ATR: 2.93</t>
  </si>
  <si>
    <t>TYL,Preço: 372.22,Dist MM20: 10.57%,Momentum: 49.29,RSI: 68.61,ADX: 30.34,ATR: 12.37,RVOL: 5.10,Estado: Alerta Iminente,Entrada: 369.75,Stop: 354.91,Take-Profit: 392.02,Break-Even: 380.88,Qtd: 3.37,Trailing: 354.91,Data: 01/09/2026 03:53:38</t>
  </si>
  <si>
    <t>PANW (INTRADAY),Máximo 15h30: 333.00,Estado: Forca Consolidada,Entrada: 317.69,Stop: 302.38,Take-Profit: 340.65,Data: 31/07/2026 15:31:58</t>
  </si>
  <si>
    <t>RVOL: 1.19</t>
  </si>
  <si>
    <t>01/09/2026 03:34:47</t>
  </si>
  <si>
    <t>Trailing: 158.79</t>
  </si>
  <si>
    <t>31/07/2026 02:21:04</t>
  </si>
  <si>
    <t>17/09/2026 03:54:54</t>
  </si>
  <si>
    <t>ORCL,Preço: 127.56,Dist MM20: -1.42%,Momentum: -13.08,RSI: 41.69,ADX: 42.34,ATR: 6.25,RVOL: 0.95,Estado: Forca Consolidada,Entrada: 126.31,Stop: 118.81,Take-Profit: 137.56,Break-Even: 131.94,Qtd: 6.67,Data: 31/07/2026 02:21:04</t>
  </si>
  <si>
    <t>AZN,Preço: 162.89,Dist MM20: -0.20%,Momentum: -3.38,RSI: 49.54,ADX: 13.54,ATR: 2.93,RVOL: 1.19,Estado: Aguardar Recuo,Entrada: 161.72,Stop: 158.79,Take-Profit: 167.58,Break-Even: 164.65,Qtd: 17.06,Trailing: 158.79,Data: 17/09/2026 03:51:59</t>
  </si>
  <si>
    <t>Entrada: 219.96</t>
  </si>
  <si>
    <t>ORCL (INTRADAY),Máximo 15h30: 132.40,Estado: Forca Consolidada,Entrada: 126.15,Stop: 119.90,Take-Profit: 135.53,Data: 31/07/2026 15:32:03</t>
  </si>
  <si>
    <t>Stop: 214.37</t>
  </si>
  <si>
    <t>Take-Profit: 228.35</t>
  </si>
  <si>
    <t>Qtd: 8.94</t>
  </si>
  <si>
    <t>Dist MM20: 4.72%</t>
  </si>
  <si>
    <t>31/07/2026 02:19:19</t>
  </si>
  <si>
    <t>SAP,Preço: 220.89,Dist MM20: 4.72%,Momentum: 11.21,RSI: 70.34,ADX: 42.23,ATR: 4.66,RVOL: 1.20,Estado: Alerta Iminente,Entrada: 219.96,Stop: 214.37,Take-Profit: 228.35,Break-Even: 224.16,Qtd: 8.94,Trailing: 214.38,Data: 01/09/2026 03:34:47</t>
  </si>
  <si>
    <t>MA,Preço: 577.35,Dist MM20: 6.69%,Momentum: 50.61,RSI: 72.28,ADX: 31.59,ATR: 10.69,RVOL: 1.40,Estado: Forca Consolidada,Entrada: 575.21,Stop: 562.38,Take-Profit: 594.45,Break-Even: 584.83,Qtd: 3.90,Data: 31/07/2026 02:19:18</t>
  </si>
  <si>
    <t>MA,Máximo 15h30: 575.42,Estado: Ignorado - S/ Quebra de Fecho,Data: 31/07/2026 15:32:07</t>
  </si>
  <si>
    <t>01/09/2026 03:22:55</t>
  </si>
  <si>
    <t>31/07/2026 02:10:09</t>
  </si>
  <si>
    <t>MRVL,Preço: 183.30,Dist MM20: -12.44%,Momentum: -52.51,RSI: 40.00,ADX: 27.75,ATR: 13.83,RVOL: 1.15,Estado: Forca Consolidada,Entrada: 180.53,Stop: 163.93,Take-Profit: 205.42,Break-Even: 192.97,Qtd: 3.01,Data: 31/07/2026 02:10:09</t>
  </si>
  <si>
    <t>Entrada: 184.70</t>
  </si>
  <si>
    <t>MRVL (INTRADAY),Máximo 15h30: 201.35,Estado: Forca Consolidada,Entrada: 187.52,Stop: 173.69,Take-Profit: 208.26,Data: 31/07/2026 15:32:11</t>
  </si>
  <si>
    <t>Stop: 176.05</t>
  </si>
  <si>
    <t>BA</t>
  </si>
  <si>
    <t>Take-Profit: 197.68</t>
  </si>
  <si>
    <t>Qtd: 5.78</t>
  </si>
  <si>
    <t>Boeing</t>
  </si>
  <si>
    <t>30/07/2026 03:49:35</t>
  </si>
  <si>
    <t>Dist MM20: 1.50%</t>
  </si>
  <si>
    <t>QLYS,Preço: 186.14,Dist MM20: 1.50%,Momentum: -2.17,RSI: 61.56,ADX: 36.54,ATR: 7.21,RVOL: 0.94,Estado: Alerta Iminente,Entrada: 184.70,Stop: 176.05,Take-Profit: 197.68,Break-Even: 191.19,Qtd: 5.78,Trailing: 177.60,Data: 01/09/2026 03:22:55</t>
  </si>
  <si>
    <t>DPZ,Preço: 360.00,Dist MM20: 12.41%,Momentum: 59.12,RSI: 71.59,ADX: 29.68,ATR: 13.80,RVOL: 1.20,Estado: Forca Consolidada,Entrada: 357.24,Stop: 340.68,Take-Profit: 382.08,Break-Even: 369.66,Qtd: 3.02,Data: 30/07/2026 03:49:35</t>
  </si>
  <si>
    <t>DPZ,Máximo 15h30: 355.14,Estado: Ignorado - S/ Quebra de Fecho,Data: 30/07/2026 15:30:24</t>
  </si>
  <si>
    <t>01/09/2026 03:04:47</t>
  </si>
  <si>
    <t>30/07/2026 03:20:00</t>
  </si>
  <si>
    <t>RVOL: 1.01</t>
  </si>
  <si>
    <t>Entrada: 505.43</t>
  </si>
  <si>
    <t>TALK,Preço: 5.22,Dist MM20: 0.08%,Momentum: 0.00,RSI: 53.76,ADX: 43.50,ATR: 0.02,RVOL: 0.46,Estado: Forca Consolidada,Entrada: 5.22,Stop: 5.20,Take-Profit: 5.26,Break-Even: 5.24,Qtd: 2083.33,Data: 30/07/2026 03:19:59</t>
  </si>
  <si>
    <t>Stop: 494.26</t>
  </si>
  <si>
    <t>TALK (INTRADAY),Máximo 15h30: 5.23,Estado: Forca Consolidada,Entrada: 5.21,Stop: 5.19,Take-Profit: 5.24,Data: 30/07/2026 15:30:28</t>
  </si>
  <si>
    <t>Take-Profit: 522.19</t>
  </si>
  <si>
    <t>Qtd: 4.48</t>
  </si>
  <si>
    <t>Dist MM20: 2.62%</t>
  </si>
  <si>
    <t>30/07/2026 03:18:27</t>
  </si>
  <si>
    <t>MSFT,Preço: 507.29,Dist MM20: 2.62%,Momentum: 3.48,RSI: 68.27,ADX: 37.91,ATR: 9.31,RVOL: 1.01,Estado: Alerta Iminente,Entrada: 505.43,Stop: 494.26,Take-Profit: 522.19,Break-Even: 513.81,Qtd: 4.48,Trailing: 500.50,Data: 01/09/2026 03:04:47</t>
  </si>
  <si>
    <t>V,Preço: 368.73,Dist MM20: 3.36%,Momentum: 20.53,RSI: 66.47,ADX: 31.55,ATR: 7.46,RVOL: 1.40,Estado: Forca Consolidada,Entrada: 367.24,Stop: 358.29,Take-Profit: 380.67,Break-Even: 373.96,Qtd: 5.59,Data: 30/07/2026 03:18:27</t>
  </si>
  <si>
    <t>V,Máximo 15h30: 367.00,Estado: Ignorado - S/ Quebra de Fecho,Data: 30/07/2026 15:30:32</t>
  </si>
  <si>
    <t>01/09/2026 02:50:32</t>
  </si>
  <si>
    <t>30/07/2026 03:15:53</t>
  </si>
  <si>
    <t>Entrada: 587.55</t>
  </si>
  <si>
    <t>ABT,Preço: 108.00,Dist MM20: 10.32%,Momentum: 13.60,RSI: 73.98,ADX: 30.54,ATR: 2.65,RVOL: 0.93,Estado: Forca Consolidada,Entrada: 107.47,Stop: 104.29,Take-Profit: 112.24,Break-Even: 109.85,Qtd: 15.72,Data: 30/07/2026 03:15:52</t>
  </si>
  <si>
    <t>Stop: 576.98</t>
  </si>
  <si>
    <t>ABT,Máximo 15h30: 106.81,Estado: Ignorado - S/ Quebra de Fecho,Data: 30/07/2026 15:30:35</t>
  </si>
  <si>
    <t>Take-Profit: 603.41</t>
  </si>
  <si>
    <t>Qtd: 4.73</t>
  </si>
  <si>
    <t>Dist MM20: 2.13%</t>
  </si>
  <si>
    <t>30/07/2026 03:14:14</t>
  </si>
  <si>
    <t>VRSK</t>
  </si>
  <si>
    <t>BA,Preço: 197.72,Dist MM20: -4.40%,Momentum: -7.94,RSI: 35.11,ADX: 28.13,ATR: 5.42,RVOL: 1.31,Estado: Observar,Entrada: N/A,Stop: N/A,Take-Profit: N/A,Break-Even: N/A,Qtd: N/A,Trailing: 186.88,Data: 23/09/2026 06:51:13</t>
  </si>
  <si>
    <t>MA,Preço: 589.31,Dist MM20: 2.13%,Momentum: 27.87,RSI: 62.12,ADX: 37.62,ATR: 8.81,RVOL: 1.11,Estado: Alerta Iminente,Entrada: 587.55,Stop: 576.98,Take-Profit: 603.41,Break-Even: 595.48,Qtd: 4.73,Trailing: 585.94,Data: 01/09/2026 02:50:32</t>
  </si>
  <si>
    <t>Verisk Analytics</t>
  </si>
  <si>
    <t>S4 Up</t>
  </si>
  <si>
    <t>VRSK,Preço: 213.15,Dist MM20: 9.07%,Momentum: 26.14,RSI: 70.35,ADX: 32.67,ATR: 6.99,RVOL: 1.66,Estado: Forca Consolidada,Entrada: 211.75,Stop: 203.36,Take-Profit: 224.33,Break-Even: 218.04,Qtd: 5.96,Data: 30/07/2026 03:14:12</t>
  </si>
  <si>
    <t>01/09/2026 02:34:26</t>
  </si>
  <si>
    <t>VRSK,Máximo 15h30: 209.48,Estado: Ignorado - S/ Quebra de Fecho,Data: 30/07/2026 15:30:39</t>
  </si>
  <si>
    <t>RVOL: 1.53</t>
  </si>
  <si>
    <t>Entrada: 282.81</t>
  </si>
  <si>
    <t>30/07/2026 02:50:03</t>
  </si>
  <si>
    <t>Preço: 220.90</t>
  </si>
  <si>
    <t>Stop: 275.03</t>
  </si>
  <si>
    <t>NFLX,Preço: 73.63,Dist MM20: 1.35%,Momentum: -1.84,RSI: 50.25,ADX: 30.45,ATR: 2.24,RVOL: 0.87,Estado: Forca Consolidada,Entrada: 73.18,Stop: 70.49,Take-Profit: 77.21,Break-Even: 75.19,Qtd: 18.60,Data: 30/07/2026 02:50:02</t>
  </si>
  <si>
    <t>Dist MM20: 1.52%</t>
  </si>
  <si>
    <t>Take-Profit: 294.47</t>
  </si>
  <si>
    <t>NFLX,Máximo 15h30: 71.78,Estado: Ignorado - S/ Quebra de Fecho,Data: 30/07/2026 15:30:42</t>
  </si>
  <si>
    <t>Qtd: 6.43</t>
  </si>
  <si>
    <t>Momentum: -1.38</t>
  </si>
  <si>
    <t>Dist MM20: -5.20%</t>
  </si>
  <si>
    <t>GRMN,Preço: 284.11,Dist MM20: -5.20%,Momentum: -25.54,RSI: 46.71,ADX: 29.30,ATR: 6.48,RVOL: 1.53,Estado: Alerta Iminente,Entrada: 282.81,Stop: 275.03,Take-Profit: 294.47,Break-Even: 288.64,Qtd: 6.43,Trailing: 275.03,Data: 01/09/2026 02:34:25</t>
  </si>
  <si>
    <t>30/07/2026 02:20:45</t>
  </si>
  <si>
    <t>RSI: 53.88</t>
  </si>
  <si>
    <t>AMPL,Preço: 8.89,Dist MM20: -1.97%,Momentum: -0.49,RSI: 54.63,ADX: 25.17,ATR: 0.63,RVOL: 0.98,Estado: Forca Consolidada,Entrada: 8.76,Stop: 8.00,Take-Profit: 9.89,Break-Even: 9.32,Qtd: 66.14,Data: 30/07/2026 02:20:44</t>
  </si>
  <si>
    <t>01/09/2026 02:24:14</t>
  </si>
  <si>
    <t>AMPL,Máximo 15h30: 8.83,Estado: Ignorado - S/ Quebra de Fecho,Data: 30/07/2026 15:30:47</t>
  </si>
  <si>
    <t>ADX: 14.24</t>
  </si>
  <si>
    <t>ATR: 6.58</t>
  </si>
  <si>
    <t>30/07/2026 02:18:38</t>
  </si>
  <si>
    <t>Entrada: 101.68</t>
  </si>
  <si>
    <t>RVOL: 0.73</t>
  </si>
  <si>
    <t>Stop: 97.96</t>
  </si>
  <si>
    <t>Take-Profit: 107.26</t>
  </si>
  <si>
    <t>Data: 31/07/2026 03:53:36</t>
  </si>
  <si>
    <t>Qtd: 13.44</t>
  </si>
  <si>
    <t>Dist MM20: 9.15%</t>
  </si>
  <si>
    <t>EL,Preço: 102.30,Dist MM20: 9.15%,Momentum: 14.52,RSI: 67.05,ADX: 32.61,ATR: 3.10,RVOL: 0.99,Estado: Alerta Iminente,Entrada: 101.68,Stop: 97.96,Take-Profit: 107.26,Break-Even: 104.47,Qtd: 13.44,Trailing: 97.96,Data: 01/09/2026 02:24:13</t>
  </si>
  <si>
    <t>BA,Preço: 220.90,Dist MM20: 1.52%,Momentum: -1.38,RSI: 53.88,ADX: 14.24,ATR: 6.58,RVOL: 0.73,Estado: Aguardar Recuo,Entrada: 218.27,Stop: 211.69,Take-Profit: 231.43,Break-Even: 224.85,Qtd: 7.60,Data: 31/07/2026 03:53:36</t>
  </si>
  <si>
    <t>29/07/2026 22:14:47</t>
  </si>
  <si>
    <t>01/09/2026 02:04:36</t>
  </si>
  <si>
    <t>MA,Preço: 563.38,Dist MM20: 4.64%,Momentum: 40.18,RSI: 67.94,ADX: 29.91,ATR: 10.28,RVOL: 0.94,Estado: Forca Consolidada,Entrada: 561.32,Stop: 548.98,Take-Profit: 579.82,Break-Even: 570.57,Qtd: 4.05,Data: 29/07/2026 22:14:46</t>
  </si>
  <si>
    <t>Entrada: 141.73</t>
  </si>
  <si>
    <t>Stop: 133.65</t>
  </si>
  <si>
    <t>Take-Profit: 153.84</t>
  </si>
  <si>
    <t>Qtd: 6.19</t>
  </si>
  <si>
    <t>Dist MM20: 22.15%</t>
  </si>
  <si>
    <t>ANF,Preço: 143.08,Dist MM20: 22.15%,Momentum: 25.11,RSI: 71.67,ADX: 33.89,ATR: 6.73,RVOL: 1.09,Estado: Alerta Iminente,Entrada: 141.73,Stop: 133.65,Take-Profit: 153.84,Break-Even: 147.78,Qtd: 6.19,Trailing: 133.65,Data: 01/09/2026 02:04:36</t>
  </si>
  <si>
    <t>31/08/2026 08:29:02</t>
  </si>
  <si>
    <t>RVOL: 1.32</t>
  </si>
  <si>
    <t>Entrada: 23.54</t>
  </si>
  <si>
    <t>Stop: 21.96</t>
  </si>
  <si>
    <t>Take-Profit: 25.92</t>
  </si>
  <si>
    <t>Qtd: 31.57</t>
  </si>
  <si>
    <t>Dist MM20: 17.11%</t>
  </si>
  <si>
    <t>BMNR,Preço: 23.80,Dist MM20: 17.11%,Momentum: 5.70,RSI: 66.81,ADX: 40.62,ATR: 1.32,RVOL: 1.32,Estado: Alerta Iminente,Entrada: 23.54,Stop: 21.96,Take-Profit: 25.92,Break-Even: 24.73,Qtd: 31.57,Trailing: 23.16,Data: 31/08/2026 08:29:02</t>
  </si>
  <si>
    <t>29/07/2026 18:14:16</t>
  </si>
  <si>
    <t>31/08/2026 08:28:29</t>
  </si>
  <si>
    <t>V,Preço: 372.72,Dist MM20: 4.42%,Momentum: 24.52,RSI: 68.67,ADX: 31.94,ATR: 7.30,RVOL: 0.19,Estado: Forca Consolidada,Entrada: 371.26,Stop: 362.50,Take-Profit: 384.40,Break-Even: 377.83,Qtd: 5.71,Data: 29/07/2026 18:14:15</t>
  </si>
  <si>
    <t>29/07/2026 06:53:23</t>
  </si>
  <si>
    <t>DPZ,Preço: 350.47,Dist MM20: 10.53%,Momentum: 48.12,RSI: 68.39,ADX: 27.69,ATR: 13.07,RVOL: 1.08,Estado: Forca Consolidada,Entrada: 347.86,Stop: 332.18,Take-Profit: 371.39,Break-Even: 359.63,Qtd: 3.19,Data: 29/07/2026 06:53:22</t>
  </si>
  <si>
    <t>DPZ (INTRADAY),Máximo 15h30: 361.24,Estado: Forca Consolidada,Entrada: 348.17,Stop: 335.10,Take-Profit: 367.78,Data: 29/07/2026 15:30:46</t>
  </si>
  <si>
    <t>BMNR,Preço: 23.80,Dist MM20: 17.11%,Momentum: 5.70,RSI: 66.81,ADX: 40.62,ATR: 1.32,RVOL: 1.32,Estado: Alerta Iminente,Entrada: 23.54,Stop: 21.96,Take-Profit: 25.92,Break-Even: 24.73,Qtd: 31.57,Trailing: 23.16,Data: 31/08/2026 08:28:29</t>
  </si>
  <si>
    <t>31/08/2026 08:28:23</t>
  </si>
  <si>
    <t>29/07/2026 06:53:04</t>
  </si>
  <si>
    <t>O</t>
  </si>
  <si>
    <t>Realty Income</t>
  </si>
  <si>
    <t>O,Preço: 65.73,Dist MM20: 2.39%,Momentum: 2.50,RSI: 62.56,ADX: 29.15,ATR: 1.02,RVOL: 0.71,Estado: Forca Consolidada,Entrada: 65.53,Stop: 64.31,Take-Profit: 67.37,Break-Even: 66.45,Qtd: 40.85,Data: 29/07/2026 06:53:03</t>
  </si>
  <si>
    <t>O (INTRADAY),Máximo 15h30: 66.27,Estado: Forca Consolidada,Entrada: 65.25,Stop: 64.23,Take-Profit: 66.78,Data: 29/07/2026 15:30:50</t>
  </si>
  <si>
    <t>Entrada: 63.12</t>
  </si>
  <si>
    <t>Stop: 57.60</t>
  </si>
  <si>
    <t>Take-Profit: 71.40</t>
  </si>
  <si>
    <t>29/07/2026 06:52:13</t>
  </si>
  <si>
    <t>VZ</t>
  </si>
  <si>
    <t>Verizon Communications</t>
  </si>
  <si>
    <t>Qtd: 9.06</t>
  </si>
  <si>
    <t>VZ,Preço: 48.19,Dist MM20: 10.64%,Momentum: 5.74,RSI: 69.19,ADX: 26.94,ATR: 1.10,RVOL: 0.75,Estado: Forca Consolidada,Entrada: 47.97,Stop: 46.65,Take-Profit: 49.95,Break-Even: 48.96,Qtd: 37.88,Data: 29/07/2026 06:52:12</t>
  </si>
  <si>
    <t>Dist MM20: 11.43%</t>
  </si>
  <si>
    <t>VZ (INTRADAY),Máximo 15h30: 48.54,Estado: Forca Consolidada,Entrada: 47.44,Stop: 46.34,Take-Profit: 49.09,Data: 29/07/2026 15:30:54</t>
  </si>
  <si>
    <t>TEM,Preço: 64.04,Dist MM20: 11.43%,Momentum: 8.98,RSI: 57.30,ADX: 32.82,ATR: 4.60,RVOL: 1.18,Estado: Alerta Iminente,Entrada: 63.12,Stop: 57.60,Take-Profit: 71.40,Break-Even: 67.26,Qtd: 9.06,Trailing: 62.50,Data: 31/08/2026 08:28:23</t>
  </si>
  <si>
    <t>31/08/2026 02:38:38</t>
  </si>
  <si>
    <t>29/07/2026 06:39:02</t>
  </si>
  <si>
    <t>Preço: 116.32</t>
  </si>
  <si>
    <t>Entrada: 112.04</t>
  </si>
  <si>
    <t>V,Preço: 366.59,Dist MM20: 3.13%,Momentum: 19.06,RSI: 65.16,ADX: 32.03,ATR: 6.43,RVOL: 1.39,Estado: Forca Consolidada,Entrada: 365.30,Stop: 357.58,Take-Profit: 376.87,Break-Even: 371.09,Qtd: 6.48,Data: 29/07/2026 06:39:02</t>
  </si>
  <si>
    <t>Stop: 109.47</t>
  </si>
  <si>
    <t>V (INTRADAY),Máximo 15h30: 370.11,Estado: Forca Consolidada,Entrada: 363.68,Stop: 357.25,Take-Profit: 373.32,Data: 29/07/2026 15:30:58</t>
  </si>
  <si>
    <t>Dist MM20: 3.76%</t>
  </si>
  <si>
    <t>Take-Profit: 115.89</t>
  </si>
  <si>
    <t>Momentum: 3.99</t>
  </si>
  <si>
    <t>Qtd: 19.47</t>
  </si>
  <si>
    <t>RSI: 56.06</t>
  </si>
  <si>
    <t>ABT,Preço: 112.47,Dist MM20: 1.09%,Momentum: 3.85,RSI: 59.56,ADX: 34.86,ATR: 2.14,RVOL: 0.99,Estado: Alerta Iminente,Entrada: 112.04,Stop: 109.47,Take-Profit: 115.89,Break-Even: 113.97,Qtd: 19.47,Trailing: 109.47,Data: 31/08/2026 02:38:38</t>
  </si>
  <si>
    <t>ADX: 24.66</t>
  </si>
  <si>
    <t>29/07/2026 06:24:26</t>
  </si>
  <si>
    <t>31/08/2026 02:24:58</t>
  </si>
  <si>
    <t>Oracle EU</t>
  </si>
  <si>
    <t>ATR: 2.68</t>
  </si>
  <si>
    <t>ORC,Preço: 6.57,Dist MM20: -3.05%,Momentum: -0.17,RSI: 41.36,ADX: 25.74,ATR: 0.15,RVOL: 1.13,Estado: Forca Consolidada,Entrada: 6.54,Stop: 6.36,Take-Profit: 6.81,Break-Even: 6.67,Qtd: 277.78,Data: 29/07/2026 06:24:26</t>
  </si>
  <si>
    <t>ORC (INTRADAY),Máximo 15h30: 6.69,Estado: Forca Consolidada,Entrada: 6.54,Stop: 6.39,Take-Profit: 6.76,Data: 29/07/2026 15:31:02</t>
  </si>
  <si>
    <t>RVOL: 0.65</t>
  </si>
  <si>
    <t>Data: 31/07/2026 02:04:58</t>
  </si>
  <si>
    <t>Entrada: 220.60</t>
  </si>
  <si>
    <t>Stop: 214.97</t>
  </si>
  <si>
    <t>Take-Profit: 229.04</t>
  </si>
  <si>
    <t>Qtd: 8.88</t>
  </si>
  <si>
    <t>BABA,Preço: 116.32,Dist MM20: 3.76%,Momentum: 3.99,RSI: 56.06,ADX: 24.66,ATR: 2.68,RVOL: 0.65,Estado: Aguardar Recuo,Entrada: 115.25,Stop: 112.57,Take-Profit: 120.61,Break-Even: 117.93,Qtd: 18.66,Data: 31/07/2026 02:04:58</t>
  </si>
  <si>
    <t>Dist MM20: 5.81%</t>
  </si>
  <si>
    <t>29/07/2026 06:12:06</t>
  </si>
  <si>
    <t>SAP,Preço: 221.54,Dist MM20: 5.81%,Momentum: 12.99,RSI: 71.33,ADX: 42.05,ATR: 4.69,RVOL: 0.92,Estado: Alerta Iminente,Entrada: 220.60,Stop: 214.97,Take-Profit: 229.04,Break-Even: 224.82,Qtd: 8.88,Trailing: 214.38,Data: 31/08/2026 02:24:58</t>
  </si>
  <si>
    <t>PRG,Preço: 45.08,Dist MM20: 0.63%,Momentum: 1.82,RSI: 57.60,ADX: 33.05,ATR: 1.61,RVOL: 0.88,Estado: Forca Consolidada,Entrada: 44.76,Stop: 42.83,Take-Profit: 47.66,Break-Even: 46.21,Qtd: 25.88,Data: 29/07/2026 06:12:05</t>
  </si>
  <si>
    <t>PRG,Máximo 15h30: 44.03,Estado: Ignorado - S/ Quebra de Fecho,Data: 29/07/2026 15:31:06</t>
  </si>
  <si>
    <t>31/08/2026 02:19:44</t>
  </si>
  <si>
    <t>29/07/2026 06:10:13</t>
  </si>
  <si>
    <t>CNA,Preço: 55.31,Dist MM20: 6.80%,Momentum: 3.87,RSI: 74.26,ADX: 36.29,ATR: 1.13,RVOL: 0.78,Estado: Forca Consolidada,Entrada: 55.08,Stop: 53.72,Take-Profit: 57.11,Break-Even: 56.09,Qtd: 36.87,Data: 29/07/2026 06:10:11</t>
  </si>
  <si>
    <t>CNA (INTRADAY),Máximo 15h30: 55.39,Estado: Forca Consolidada,Entrada: 54.26,Stop: 53.13,Take-Profit: 55.95,Data: 29/07/2026 15:31:10</t>
  </si>
  <si>
    <t>Entrada: 37.17</t>
  </si>
  <si>
    <t>Stop: 35.80</t>
  </si>
  <si>
    <t>Take-Profit: 39.22</t>
  </si>
  <si>
    <t>Qtd: 36.55</t>
  </si>
  <si>
    <t>29/07/2026 06:06:49</t>
  </si>
  <si>
    <t>Dist MM20: 8.60%</t>
  </si>
  <si>
    <t>AMPL,Preço: 8.74,Dist MM20: -2.96%,Momentum: -0.07,RSI: 52.79,ADX: 26.49,ATR: 0.65,RVOL: 0.73,Estado: Forca Consolidada,Entrada: 8.61,Stop: 7.83,Take-Profit: 9.78,Break-Even: 9.20,Qtd: 64.10,Data: 29/07/2026 06:06:47</t>
  </si>
  <si>
    <t>AMPL (INTRADAY),Máximo 15h30: 9.13,Estado: Forca Consolidada,Entrada: 8.48,Stop: 7.83,Take-Profit: 9.46,Data: 29/07/2026 15:31:14</t>
  </si>
  <si>
    <t>OR,Preço: 37.40,Dist MM20: 8.60%,Momentum: 3.66,RSI: 65.78,ADX: 35.24,ATR: 1.14,RVOL: 0.92,Estado: Alerta Iminente,Entrada: 37.17,Stop: 35.80,Take-Profit: 39.22,Break-Even: 38.20,Qtd: 36.55,Trailing: 35.80,Data: 31/08/2026 02:19:43</t>
  </si>
  <si>
    <t>31/08/2026 02:09:50</t>
  </si>
  <si>
    <t>29/07/2026 02:37:22</t>
  </si>
  <si>
    <t>IBM,Preço: 227.55,Dist MM20: -8.83%,Momentum: -74.50,RSI: 42.59,ADX: 31.22,ATR: 10.08,RVOL: 0.94,Estado: Forca Consolidada,Entrada: 225.53,Stop: 213.43,Take-Profit: 243.67,Break-Even: 234.60,Qtd: 4.13,Data: 29/07/2026 02:37:21</t>
  </si>
  <si>
    <t>IBM (INTRADAY),Máximo 15h30: 229.75,Estado: Forca Consolidada,Entrada: 219.67,Stop: 209.59,Take-Profit: 234.79,Data: 29/07/2026 15:31:18</t>
  </si>
  <si>
    <t>Entrada: 283.90</t>
  </si>
  <si>
    <t>Stop: 276.17</t>
  </si>
  <si>
    <t>29/07/2026 02:37:00</t>
  </si>
  <si>
    <t>Take-Profit: 295.49</t>
  </si>
  <si>
    <t>Qtd: 6.47</t>
  </si>
  <si>
    <t>ABT,Preço: 107.27,Dist MM20: 10.55%,Momentum: 12.09,RSI: 73.14,ADX: 28.74,ATR: 2.51,RVOL: 0.79,Estado: Forca Consolidada,Entrada: 106.77,Stop: 103.76,Take-Profit: 111.29,Break-Even: 109.03,Qtd: 16.60,Data: 29/07/2026 02:36:59</t>
  </si>
  <si>
    <t>Dist MM20: -5.17%</t>
  </si>
  <si>
    <t>ABT (INTRADAY),Máximo 15h30: 109.35,Estado: Forca Consolidada,Entrada: 106.84,Stop: 104.33,Take-Profit: 110.60,Data: 29/07/2026 15:31:22</t>
  </si>
  <si>
    <t>GRMN,Preço: 285.19,Dist MM20: -5.17%,Momentum: -27.97,RSI: 47.75,ADX: 31.33,ATR: 6.44,RVOL: 0.93,Estado: Alerta Iminente,Entrada: 283.90,Stop: 276.17,Take-Profit: 295.49,Break-Even: 289.69,Qtd: 6.47,Trailing: 276.17,Data: 31/08/2026 02:09:50</t>
  </si>
  <si>
    <t>28/08/2026 02:45:38</t>
  </si>
  <si>
    <t>29/07/2026 02:36:25</t>
  </si>
  <si>
    <t>VRSK,Preço: 212.26,Dist MM20: 9.56%,Momentum: 22.59,RSI: 69.83,ADX: 30.67,ATR: 6.18,RVOL: 1.71,Estado: Forca Consolidada,Entrada: 211.02,Stop: 203.60,Take-Profit: 222.14,Break-Even: 216.58,Qtd: 6.74,Data: 29/07/2026 02:36:24</t>
  </si>
  <si>
    <t>Entrada: 88.81</t>
  </si>
  <si>
    <t>Fugiu o Preco</t>
  </si>
  <si>
    <t>VRSK (INTRADAY),Máximo 15h30: 226.08,Estado: Forca Consolidada,Entrada: 219.90,Stop: 213.72,Take-Profit: 229.17,Data: 29/07/2026 15:31:26</t>
  </si>
  <si>
    <t>Stop: 87.29</t>
  </si>
  <si>
    <t>Take-Profit: 91.10</t>
  </si>
  <si>
    <t>Qtd: 32.81</t>
  </si>
  <si>
    <t>Dist MM20: 0.78%</t>
  </si>
  <si>
    <t>29/07/2026 02:36:07</t>
  </si>
  <si>
    <t>KO,Preço: 89.06,Dist MM20: 0.78%,Momentum: 2.01,RSI: 55.98,ADX: 28.74,ATR: 1.27,RVOL: 0.94,Estado: Alerta Iminente,Entrada: 88.81,Stop: 87.29,Take-Profit: 91.10,Break-Even: 89.95,Qtd: 32.81,Trailing: 87.29,Data: 28/08/2026 02:45:38</t>
  </si>
  <si>
    <t>HUM,Preço: 388.71,Dist MM20: -2.06%,Momentum: -7.58,RSI: 52.69,ADX: 51.86,ATR: 14.51,RVOL: 1.67,Estado: Forca Consolidada,Entrada: 385.81,Stop: 368.40,Take-Profit: 411.93,Break-Even: 398.87,Qtd: 2.87,Data: 29/07/2026 02:36:06</t>
  </si>
  <si>
    <t>HUM (INTRADAY),Máximo 15h30: 395.30,Estado: Forca Consolidada,Entrada: 380.79,Stop: 366.28,Take-Profit: 402.56,Data: 29/07/2026 15:31:29</t>
  </si>
  <si>
    <t>BBAI,Preço: 2.89,Dist MM20: -1.38%,Momentum: -0.06,RSI: 46.44,ADX: 13.82,ATR: 0.12,RVOL: 0.73,Estado: Observar,Entrada: N/A,Stop: N/A,Take-Profit: N/A,Break-Even: N/A,Qtd: N/A,Trailing: 2.65,Data: 23/09/2026 02:19:30</t>
  </si>
  <si>
    <t>Preço: 2.83</t>
  </si>
  <si>
    <t>Dist MM20: -6.89%</t>
  </si>
  <si>
    <t>29/07/2026 02:24:22</t>
  </si>
  <si>
    <t>Momentum: -0.44</t>
  </si>
  <si>
    <t>UNH,Preço: 428.79,Dist MM20: 0.92%,Momentum: 3.19,RSI: 56.09,ADX: 33.98,ATR: 13.02,RVOL: 1.03,Estado: Forca Consolidada,Entrada: 426.19,Stop: 410.57,Take-Profit: 449.63,Break-Even: 437.91,Qtd: 3.20,Data: 29/07/2026 02:24:21</t>
  </si>
  <si>
    <t>UNH (INTRADAY),Máximo 15h30: 431.68,Estado: Forca Consolidada,Entrada: 418.66,Stop: 405.64,Take-Profit: 438.19,Data: 29/07/2026 15:31:34</t>
  </si>
  <si>
    <t>RSI: 37.96</t>
  </si>
  <si>
    <t>28/08/2026 02:45:11</t>
  </si>
  <si>
    <t>ADX: 32.30</t>
  </si>
  <si>
    <t>29/07/2026 02:22:59</t>
  </si>
  <si>
    <t>ATR: 0.17</t>
  </si>
  <si>
    <t>QLYS,Preço: 135.75,Dist MM20: -9.03%,Momentum: -17.79,RSI: 47.31,ADX: 32.36,ATR: 8.93,RVOL: 0.79,Estado: Forca Consolidada,Entrada: 133.96,Stop: 123.24,Take-Profit: 150.03,Break-Even: 142.00,Qtd: 4.67,Data: 29/07/2026 02:22:58</t>
  </si>
  <si>
    <t>Entrada: 199.07</t>
  </si>
  <si>
    <t>Data: 31/07/2026 03:53:19</t>
  </si>
  <si>
    <t>QLYS (INTRADAY),Máximo 15h30: 138.55,Estado: Forca Consolidada,Entrada: 129.62,Stop: 120.69,Take-Profit: 143.02,Data: 29/07/2026 15:31:37</t>
  </si>
  <si>
    <t>Stop: 194.87</t>
  </si>
  <si>
    <t>Take-Profit: 205.37</t>
  </si>
  <si>
    <t>Qtd: 11.90</t>
  </si>
  <si>
    <t>Dist MM20: 0.98%</t>
  </si>
  <si>
    <t>29/07/2026 02:21:34</t>
  </si>
  <si>
    <t>CVX,Preço: 199.77,Dist MM20: 0.98%,Momentum: 13.21,RSI: 56.80,ADX: 25.88,ATR: 3.50,RVOL: 1.00,Estado: Alerta Iminente,Entrada: 199.07,Stop: 194.87,Take-Profit: 205.37,Break-Even: 202.22,Qtd: 11.90,Trailing: 194.87,Data: 28/08/2026 02:45:10</t>
  </si>
  <si>
    <t>PANW,Preço: 319.00,Dist MM20: -5.93%,Momentum: -1.59,RSI: 48.37,ADX: 34.70,ATR: 16.12,RVOL: 0.92,Estado: Forca Consolidada,Entrada: 315.78,Stop: 296.44,Take-Profit: 344.80,Break-Even: 330.29,Qtd: 2.58,Data: 29/07/2026 02:21:33</t>
  </si>
  <si>
    <t>PANW (INTRADAY),Máximo 15h30: 322.11,Estado: Forca Consolidada,Entrada: 305.99,Stop: 289.87,Take-Profit: 330.17,Data: 29/07/2026 15:31:41</t>
  </si>
  <si>
    <t>28/08/2026 02:42:42</t>
  </si>
  <si>
    <t>Entrada: 267.70</t>
  </si>
  <si>
    <t>Stop: 260.15</t>
  </si>
  <si>
    <t>Take-Profit: 279.02</t>
  </si>
  <si>
    <t>29/07/2026 02:21:00</t>
  </si>
  <si>
    <t>Qtd: 6.62</t>
  </si>
  <si>
    <t>ORCL,Preço: 119.96,Dist MM20: -8.84%,Momentum: -20.53,RSI: 32.74,ADX: 42.15,ATR: 6.40,RVOL: 0.63,Estado: Forca Consolidada,Entrada: 118.68,Stop: 111.00,Take-Profit: 130.20,Break-Even: 124.44,Qtd: 6.51,Data: 29/07/2026 02:20:59</t>
  </si>
  <si>
    <t>ORCL (INTRADAY),Máximo 15h30: 120.45,Estado: Forca Consolidada,Entrada: 114.05,Stop: 107.65,Take-Profit: 123.65,Data: 29/07/2026 15:31:45</t>
  </si>
  <si>
    <t>Dist MM20: 13.97%</t>
  </si>
  <si>
    <t>RGLD,Preço: 268.96,Dist MM20: 13.97%,Momentum: 39.04,RSI: 77.37,ADX: 39.22,ATR: 6.29,RVOL: 0.92,Estado: Alerta Iminente,Entrada: 267.70,Stop: 260.15,Take-Profit: 279.02,Break-Even: 273.36,Qtd: 6.62,Trailing: 260.15,Data: 28/08/2026 02:42:42</t>
  </si>
  <si>
    <t>28/08/2026 02:33:05</t>
  </si>
  <si>
    <t>29/07/2026 02:20:07</t>
  </si>
  <si>
    <t>NFLX,Preço: 72.39,Dist MM20: -0.21%,Momentum: -3.20,RSI: 46.40,ADX: 32.12,ATR: 2.21,RVOL: 0.94,Estado: Forca Consolidada,Entrada: 71.95,Stop: 69.30,Take-Profit: 75.93,Break-Even: 73.94,Qtd: 18.85,Data: 29/07/2026 02:20:06</t>
  </si>
  <si>
    <t>NFLX (INTRADAY),Máximo 15h30: 72.67,Estado: Forca Consolidada,Entrada: 70.46,Stop: 68.25,Take-Profit: 73.78,Data: 29/07/2026 15:31:50</t>
  </si>
  <si>
    <t>Entrada: 111.16</t>
  </si>
  <si>
    <t>Stop: 108.58</t>
  </si>
  <si>
    <t>Take-Profit: 115.03</t>
  </si>
  <si>
    <t>Qtd: 19.38</t>
  </si>
  <si>
    <t>Dist MM20: 0.61%</t>
  </si>
  <si>
    <t>29/07/2026 02:19:16</t>
  </si>
  <si>
    <t>ABT,Preço: 111.59,Dist MM20: 0.61%,Momentum: 3.78,RSI: 57.50,ADX: 36.33,ATR: 2.15,RVOL: 0.92,Estado: Alerta Iminente,Entrada: 111.16,Stop: 108.58,Take-Profit: 115.03,Break-Even: 113.09,Qtd: 19.38,Trailing: 108.58,Data: 28/08/2026 02:33:04</t>
  </si>
  <si>
    <t>MA,Preço: 562.75,Dist MM20: 5.01%,Momentum: 42.89,RSI: 67.72,ADX: 28.65,ATR: 9.78,RVOL: 1.03,Estado: Forca Consolidada,Entrada: 560.79,Stop: 549.05,Take-Profit: 578.39,Break-Even: 569.59,Qtd: 4.26,Data: 29/07/2026 02:19:15</t>
  </si>
  <si>
    <t>MA (INTRADAY),Máximo 15h30: 566.63,Estado: Forca Consolidada,Entrada: 556.85,Stop: 547.07,Take-Profit: 571.52,Data: 29/07/2026 15:31:53</t>
  </si>
  <si>
    <t>28/08/2026 02:32:59</t>
  </si>
  <si>
    <t>BLK,Preço: 1066.66,Dist MM20: -3.35%,Momentum: -61.44,RSI: 42.84,ADX: 28.72,ATR: 22.88,RVOL: 0.85,Estado: Observar,Entrada: N/A,Stop: N/A,Take-Profit: N/A,Break-Even: N/A,Qtd: N/A,Trailing: 1020.90,Data: 23/09/2026 06:51:08</t>
  </si>
  <si>
    <t>29/07/2026 02:05:53</t>
  </si>
  <si>
    <t>AAPL,Preço: 340.08,Dist MM20: 6.29%,Momentum: 26.69,RSI: 68.90,ADX: 28.72,ATR: 7.35,RVOL: 1.02,Estado: Forca Consolidada,Entrada: 338.61,Stop: 329.79,Take-Profit: 351.84,Break-Even: 345.23,Qtd: 5.67,Data: 29/07/2026 02:05:52</t>
  </si>
  <si>
    <t>AAPL (INTRADAY),Máximo 15h30: 343.67,Estado: Forca Consolidada,Entrada: 336.32,Stop: 328.97,Take-Profit: 347.34,Data: 29/07/2026 15:31:57</t>
  </si>
  <si>
    <t>Preço: 1131.13</t>
  </si>
  <si>
    <t>Entrada: 69.80</t>
  </si>
  <si>
    <t>29/07/2026 02:04:43</t>
  </si>
  <si>
    <t>Dist MM20: 6.29%</t>
  </si>
  <si>
    <t>Stop: 64.47</t>
  </si>
  <si>
    <t>BABA,Preço: 115.19,Dist MM20: 4.50%,Momentum: 6.21,RSI: 54.25,ADX: 25.53,ATR: 2.66,RVOL: 0.52,Estado: Forca Consolidada,Entrada: 114.66,Stop: 111.47,Take-Profit: 119.45,Break-Even: 117.06,Qtd: 15.66,Data: 29/07/2026 02:04:42</t>
  </si>
  <si>
    <t>Momentum: 37.73</t>
  </si>
  <si>
    <t>BABA (INTRADAY),Máximo 15h30: 115.52,Estado: Forca Consolidada,Entrada: 112.86,Stop: 110.20,Take-Profit: 116.85,Data: 29/07/2026 15:32:01</t>
  </si>
  <si>
    <t>Take-Profit: 77.79</t>
  </si>
  <si>
    <t>RSI: 65.33</t>
  </si>
  <si>
    <t>Qtd: 9.38</t>
  </si>
  <si>
    <t>ADX: 22.82</t>
  </si>
  <si>
    <t>28/07/2026 08:52:19</t>
  </si>
  <si>
    <t>Dist MM20: 25.20%</t>
  </si>
  <si>
    <t>ATR: 28.08</t>
  </si>
  <si>
    <t>DPZ,Preço: 343.53,Dist MM20: 9.32%,Momentum: 30.39,RSI: 65.78,ADX: 25.74,ATR: 12.93,RVOL: 1.05,Estado: Forca Consolidada,Entrada: 340.94,Stop: 325.42,Take-Profit: 364.21,Break-Even: 352.57,Qtd: 3.22,Data: 28/07/2026 08:52:18</t>
  </si>
  <si>
    <t>DPZ (INTRADAY),Máximo 15h30: 359.70,Estado: Forca Consolidada,Entrada: 346.77,Stop: 333.84,Take-Profit: 366.16,Data: 28/07/2026 15:30:46</t>
  </si>
  <si>
    <t>TEM,Preço: 70.69,Dist MM20: 25.20%,Momentum: 18.64,RSI: 67.58,ADX: 32.99,ATR: 4.44,RVOL: 0.90,Estado: Alerta Iminente,Entrada: 69.80,Stop: 64.47,Take-Profit: 77.79,Break-Even: 73.80,Qtd: 9.38,Trailing: 62.50,Data: 28/08/2026 02:32:58</t>
  </si>
  <si>
    <t>RVOL: 0.77</t>
  </si>
  <si>
    <t>Trailing: 1091.82</t>
  </si>
  <si>
    <t>28/08/2026 02:21:24</t>
  </si>
  <si>
    <t>28/07/2026 08:51:08</t>
  </si>
  <si>
    <t>VZ,Preço: 47.32,Dist MM20: 9.16%,Momentum: 4.73,RSI: 66.16,ADX: 25.84,ATR: 1.09,RVOL: 0.75,Estado: Forca Consolidada,Entrada: 47.10,Stop: 45.79,Take-Profit: 49.06,Break-Even: 48.08,Qtd: 38.23,Data: 28/07/2026 08:51:07</t>
  </si>
  <si>
    <t>VZ (INTRADAY),Máximo 15h30: 49.01,Estado: Forca Consolidada,Entrada: 47.92,Stop: 46.83,Take-Profit: 49.55,Data: 28/07/2026 15:30:50</t>
  </si>
  <si>
    <t>BLK,Preço: 1131.13,Dist MM20: 6.29%,Momentum: 37.73,RSI: 65.33,ADX: 22.82,ATR: 28.08,RVOL: 0.77,Estado: Aguardar Recuo,Entrada: 1119.90,Stop: 1091.82,Take-Profit: 1176.06,Break-Even: 1147.98,Qtd: 1.78,Trailing: 1091.82,Data: 05/08/2026 10:31:05</t>
  </si>
  <si>
    <t>28/07/2026 08:50:32</t>
  </si>
  <si>
    <t>MED,Preço: 9.91,Dist MM20: -5.63%,Momentum: -0.98,RSI: 38.25,ADX: 26.87,ATR: 0.39,RVOL: 0.67,Estado: Forca Consolidada,Entrada: 9.83,Stop: 9.36,Take-Profit: 10.53,Break-Even: 10.18,Qtd: 106.84,Data: 28/07/2026 08:50:30</t>
  </si>
  <si>
    <t>MED (INTRADAY),Máximo 15h30: 10.00,Estado: Forca Consolidada,Entrada: 9.61,Stop: 9.22,Take-Profit: 10.20,Data: 28/07/2026 15:30:56</t>
  </si>
  <si>
    <t>Entrada: 503.22</t>
  </si>
  <si>
    <t>Stop: 492.18</t>
  </si>
  <si>
    <t>28/07/2026 08:36:56</t>
  </si>
  <si>
    <t>Take-Profit: 519.78</t>
  </si>
  <si>
    <t>V,Preço: 362.53,Dist MM20: 2.35%,Momentum: 10.33,RSI: 62.57,ADX: 31.10,ATR: 6.25,RVOL: 0.55,Estado: Forca Consolidada,Entrada: 361.28,Stop: 353.78,Take-Profit: 372.53,Break-Even: 366.90,Qtd: 6.67,Data: 28/07/2026 08:36:55</t>
  </si>
  <si>
    <t>Qtd: 4.53</t>
  </si>
  <si>
    <t>V (INTRADAY),Máximo 15h30: 366.96,Estado: Forca Consolidada,Entrada: 360.71,Stop: 354.46,Take-Profit: 370.08,Data: 28/07/2026 15:31:02</t>
  </si>
  <si>
    <t>Dist MM20: 2.88%</t>
  </si>
  <si>
    <t>MSFT,Preço: 505.06,Dist MM20: 2.88%,Momentum: 5.07,RSI: 70.45,ADX: 35.45,ATR: 9.20,RVOL: 0.95,Estado: Alerta Iminente,Entrada: 503.22,Stop: 492.18,Take-Profit: 519.78,Break-Even: 511.50,Qtd: 4.53,Trailing: 492.18,Data: 28/08/2026 02:21:23</t>
  </si>
  <si>
    <t>BMI</t>
  </si>
  <si>
    <t>28/07/2026 08:35:46</t>
  </si>
  <si>
    <t>28/08/2026 02:20:48</t>
  </si>
  <si>
    <t>Badger Meter Inc</t>
  </si>
  <si>
    <t>TEM,Preço: 42.91,Dist MM20: -21.25%,Momentum: -17.18,RSI: 33.38,ADX: 27.24,ATR: 3.47,RVOL: 1.03,Estado: Forca Consolidada,Entrada: 42.22,Stop: 38.06,Take-Profit: 48.47,Break-Even: 45.34,Qtd: 12.01,Data: 28/07/2026 08:35:45</t>
  </si>
  <si>
    <t>TEM,Máximo 15h30: 42.64,Estado: Ignorado - S/ Quebra de Fecho,Data: 28/07/2026 15:31:07</t>
  </si>
  <si>
    <t>Entrada: 589.94</t>
  </si>
  <si>
    <t>Stop: 579.19</t>
  </si>
  <si>
    <t>28/07/2026 08:35:28</t>
  </si>
  <si>
    <t>Take-Profit: 606.07</t>
  </si>
  <si>
    <t>TALK,Preço: 5.22,Dist MM20: 0.11%,Momentum: 0.01,RSI: 54.14,ADX: 40.33,ATR: 0.02,RVOL: 0.36,Estado: Forca Consolidada,Entrada: 5.22,Stop: 5.20,Take-Profit: 5.26,Break-Even: 5.24,Qtd: 2083.33,Data: 28/07/2026 08:35:27</t>
  </si>
  <si>
    <t>Qtd: 4.65</t>
  </si>
  <si>
    <t>TALK (INTRADAY),Máximo 15h30: 5.23,Estado: Forca Consolidada,Entrada: 5.21,Stop: 5.19,Take-Profit: 5.24,Data: 28/07/2026 15:31:12</t>
  </si>
  <si>
    <t>Dist MM20: 2.91%</t>
  </si>
  <si>
    <t>MA,Preço: 591.73,Dist MM20: 2.91%,Momentum: 28.78,RSI: 65.79,ADX: 37.52,ATR: 8.96,RVOL: 1.06,Estado: Alerta Iminente,Entrada: 589.94,Stop: 579.19,Take-Profit: 606.07,Break-Even: 598.01,Qtd: 4.65,Trailing: 585.94,Data: 28/08/2026 02:20:47</t>
  </si>
  <si>
    <t>28/07/2026 08:23:00</t>
  </si>
  <si>
    <t>28/08/2026 02:04:27</t>
  </si>
  <si>
    <t>RKLB,Preço: 66.94,Dist MM20: -16.10%,Momentum: -16.47,RSI: 35.14,ADX: 32.69,ATR: 4.84,RVOL: 0.73,Estado: Forca Consolidada,Entrada: 65.97,Stop: 60.16,Take-Profit: 74.68,Break-Even: 70.33,Qtd: 8.61,Data: 28/07/2026 08:22:59</t>
  </si>
  <si>
    <t>RKLB,Máximo 15h30: 64.95,Estado: Ignorado - S/ Quebra de Fecho,Data: 28/07/2026 15:31:18</t>
  </si>
  <si>
    <t>RVOL: 2.20</t>
  </si>
  <si>
    <t>28/07/2026 08:22:23</t>
  </si>
  <si>
    <t>Entrada: 144.43</t>
  </si>
  <si>
    <t>6,72</t>
  </si>
  <si>
    <t>RGTI,Preço: 15.64,Dist MM20: -3.66%,Momentum: -0.91,RSI: 43.99,ADX: 29.74,ATR: 0.91,RVOL: 1.34,Estado: Forca Consolidada,Entrada: 15.46,Stop: 14.37,Take-Profit: 17.10,Break-Even: 16.28,Qtd: 45.79,Data: 28/07/2026 08:22:22</t>
  </si>
  <si>
    <t>Stop: 136.50</t>
  </si>
  <si>
    <t>RGTI,Máximo 15h30: 15.11,Estado: Ignorado - S/ Quebra de Fecho,Data: 28/07/2026 15:31:22</t>
  </si>
  <si>
    <t>Take-Profit: 156.33</t>
  </si>
  <si>
    <t>Qtd: 6.30</t>
  </si>
  <si>
    <t>28/07/2026 08:08:26</t>
  </si>
  <si>
    <t>Dist MM20: 29.01%</t>
  </si>
  <si>
    <t>ANF,Preço: 145.75,Dist MM20: 29.01%,Momentum: 33.13,RSI: 76.81,ADX: 30.14,ATR: 6.61,RVOL: 2.20,Estado: Alerta Iminente,Entrada: 144.43,Stop: 136.50,Take-Profit: 156.33,Break-Even: 150.38,Qtd: 6.30,Trailing: 136.50,Data: 28/08/2026 02:04:26</t>
  </si>
  <si>
    <t>IONQ,Preço: 35.92,Dist MM20: -13.18%,Momentum: -9.44,RSI: 35.17,ADX: 40.12,ATR: 2.30,RVOL: 1.54,Estado: Forca Consolidada,Entrada: 35.46,Stop: 32.70,Take-Profit: 39.60,Break-Even: 37.53,Qtd: 18.12,Data: 28/07/2026 08:08:24</t>
  </si>
  <si>
    <t>IONQ,Máximo 15h30: 34.65,Estado: Ignorado - S/ Quebra de Fecho,Data: 28/07/2026 15:31:26</t>
  </si>
  <si>
    <t>BMI,Preço: 132.26,Dist MM20: 0.67%,Momentum: -0.01,RSI: 51.87,ADX: 15.63,ATR: 3.94,RVOL: 0.93,Estado: Aguardar Recuo,Entrada: 130.68,Stop: 126.74,Take-Profit: 135.41,Break-Even: 133.05,Qtd: 6.35,Trailing: 126.74,Data: 23/09/2026 06:51:07</t>
  </si>
  <si>
    <t>27/08/2026 07:07:12</t>
  </si>
  <si>
    <t>28/07/2026 08:05:37</t>
  </si>
  <si>
    <t>Preço: 130.39</t>
  </si>
  <si>
    <t>Dist MM20: -6.85%</t>
  </si>
  <si>
    <t>ENVX,Preço: 4.23,Dist MM20: -16.11%,Momentum: -0.75,RSI: 34.66,ADX: 30.81,ATR: 0.32,RVOL: 1.02,Estado: Forca Consolidada,Entrada: 4.17,Stop: 3.79,Take-Profit: 4.75,Break-Even: 4.46,Qtd: 130.21,Data: 28/07/2026 08:05:35</t>
  </si>
  <si>
    <t>Momentum: -13.79</t>
  </si>
  <si>
    <t>ENVX,Máximo 15h30: 4.10,Estado: Ignorado - S/ Quebra de Fecho,Data: 28/07/2026 15:31:30</t>
  </si>
  <si>
    <t>RSI: 43.47</t>
  </si>
  <si>
    <t>ADX: 18.04</t>
  </si>
  <si>
    <t>ATR: 6.87</t>
  </si>
  <si>
    <t>28/07/2026 07:54:28</t>
  </si>
  <si>
    <t>Entrada: 24.67</t>
  </si>
  <si>
    <t>CNA,Preço: 54.18,Dist MM20: 5.26%,Momentum: 2.38,RSI: 71.02,ADX: 35.37,ATR: 1.09,RVOL: 0.71,Estado: Forca Consolidada,Entrada: 53.96,Stop: 52.65,Take-Profit: 55.92,Break-Even: 54.94,Qtd: 38.23,Data: 28/07/2026 07:54:27</t>
  </si>
  <si>
    <t>Data: 31/07/2026 04:37:46</t>
  </si>
  <si>
    <t>CNA (INTRADAY),Máximo 15h30: 55.71,Estado: Forca Consolidada,Entrada: 54.62,Stop: 53.53,Take-Profit: 56.25,Data: 28/07/2026 15:31:34</t>
  </si>
  <si>
    <t>Stop: 23.23</t>
  </si>
  <si>
    <t>BMI,Preço: 130.39,Dist MM20: -6.85%,Momentum: -13.79,RSI: 43.47,ADX: 18.04,ATR: 6.87,RVOL: 0.80,Estado: Observar,Entrada: N/A,Stop: N/A,Take-Profit: N/A,Break-Even: N/A,Qtd: N/A,Data: 31/07/2026 04:37:46</t>
  </si>
  <si>
    <t>Take-Profit: 26.83</t>
  </si>
  <si>
    <t>28/07/2026 07:52:59</t>
  </si>
  <si>
    <t>Dist MM20: 26.96%</t>
  </si>
  <si>
    <t>BMNR,Preço: 24.91,Dist MM20: 26.96%,Momentum: 6.61,RSI: 78.26,ADX: 36.96,ATR: 1.20,RVOL: 0.95,Estado: Alerta Iminente,Entrada: 24.67,Stop: 23.23,Take-Profit: 26.83,Break-Even: 25.75,Qtd: 34.72,Trailing: 23.16,Data: 27/08/2026 07:07:12</t>
  </si>
  <si>
    <t>BBAI,Preço: 2.83,Dist MM20: -10.89%,Momentum: -0.60,RSI: 31.61,ADX: 30.51,ATR: 0.16,RVOL: 1.06,Estado: Forca Consolidada,Entrada: 2.80,Stop: 2.61,Take-Profit: 3.09,Break-Even: 2.94,Qtd: 260.42,Data: 28/07/2026 07:52:58</t>
  </si>
  <si>
    <t>BBAI,Máximo 15h30: 2.80,Estado: Ignorado - S/ Quebra de Fecho,Data: 28/07/2026 15:31:38</t>
  </si>
  <si>
    <t>27/08/2026 02:39:37</t>
  </si>
  <si>
    <t>28/07/2026 07:51:29</t>
  </si>
  <si>
    <t>AMPL,Preço: 8.67,Dist MM20: -3.11%,Momentum: -0.49,RSI: 51.94,ADX: 28.38,ATR: 0.64,RVOL: 0.60,Estado: Forca Consolidada,Entrada: 8.54,Stop: 7.77,Take-Profit: 9.69,Break-Even: 9.11,Qtd: 65.10,Data: 28/07/2026 07:51:28</t>
  </si>
  <si>
    <t>Entrada: 113.67</t>
  </si>
  <si>
    <t>AMPL (INTRADAY),Máximo 15h30: 8.77,Estado: Forca Consolidada,Entrada: 8.13,Stop: 7.49,Take-Profit: 9.09,Data: 28/07/2026 15:31:42</t>
  </si>
  <si>
    <t>Stop: 111.11</t>
  </si>
  <si>
    <t>Take-Profit: 117.50</t>
  </si>
  <si>
    <t>28/07/2026 02:37:57</t>
  </si>
  <si>
    <t>IBM,Preço: 216.28,Dist MM20: -14.21%,Momentum: -89.85,RSI: 36.18,ADX: 32.17,ATR: 9.68,RVOL: 0.54,Estado: Forca Consolidada,Entrada: 214.34,Stop: 202.72,Take-Profit: 231.76,Break-Even: 223.05,Qtd: 4.30,Data: 28/07/2026 02:37:56</t>
  </si>
  <si>
    <t>IBM (INTRADAY),Máximo 15h30: 222.80,Estado: Forca Consolidada,Entrada: 213.12,Stop: 203.44,Take-Profit: 227.64,Data: 28/07/2026 15:31:46</t>
  </si>
  <si>
    <t>Dist MM20: 3.15%</t>
  </si>
  <si>
    <t>ABT,Preço: 114.10,Dist MM20: 3.15%,Momentum: 6.14,RSI: 66.47,ADX: 37.82,ATR: 2.13,RVOL: 0.90,Estado: Alerta Iminente,Entrada: 113.67,Stop: 111.11,Take-Profit: 117.50,Break-Even: 115.59,Qtd: 19.56,Trailing: 113.61,Data: 27/08/2026 02:39:34</t>
  </si>
  <si>
    <t>28/07/2026 02:37:38</t>
  </si>
  <si>
    <t>27/08/2026 02:34:22</t>
  </si>
  <si>
    <t>ABT,Preço: 104.49,Dist MM20: 8.50%,Momentum: 8.65,RSI: 69.68,ADX: 26.94,ATR: 2.41,RVOL: 0.72,Estado: Forca Consolidada,Entrada: 104.01,Stop: 101.12,Take-Profit: 108.35,Break-Even: 106.18,Qtd: 17.29,Data: 28/07/2026 02:37:37</t>
  </si>
  <si>
    <t>ABT (INTRADAY),Máximo 15h30: 109.25,Estado: Forca Consolidada,Entrada: 106.84,Stop: 104.43,Take-Profit: 110.45,Data: 28/07/2026 15:31:50</t>
  </si>
  <si>
    <t>28/07/2026 02:37:00</t>
  </si>
  <si>
    <t>Entrada: 210.74</t>
  </si>
  <si>
    <t>VRSK,Preço: 206.66,Dist MM20: 7.59%,Momentum: 14.41,RSI: 66.37,ADX: 29.25,ATR: 6.05,RVOL: 0.98,Estado: Forca Consolidada,Entrada: 205.45,Stop: 198.19,Take-Profit: 216.34,Break-Even: 210.89,Qtd: 6.89,Data: 28/07/2026 02:36:58</t>
  </si>
  <si>
    <t>Stop: 205.11</t>
  </si>
  <si>
    <t>VRSK (INTRADAY),Máximo 15h30: 214.47,Estado: Forca Consolidada,Entrada: 208.42,Stop: 202.37,Take-Profit: 217.49,Data: 28/07/2026 15:31:55</t>
  </si>
  <si>
    <t>Take-Profit: 219.18</t>
  </si>
  <si>
    <t>28/07/2026 02:21:27</t>
  </si>
  <si>
    <t>SAP,Preço: 211.68,Dist MM20: 3.03%,Momentum: 12.22,RSI: 64.84,ADX: 41.74,ATR: 4.69,RVOL: 1.08,Estado: Alerta Iminente,Entrada: 210.74,Stop: 205.11,Take-Profit: 219.18,Break-Even: 214.96,Qtd: 8.88,Trailing: 205.11,Data: 27/08/2026 02:34:21</t>
  </si>
  <si>
    <t>ORCL,Preço: 119.90,Dist MM20: -9.84%,Momentum: -21.70,RSI: 32.68,ADX: 41.24,ATR: 6.14,RVOL: 0.92,Estado: Forca Consolidada,Entrada: 118.67,Stop: 111.30,Take-Profit: 129.72,Break-Even: 124.19,Qtd: 6.79,Data: 28/07/2026 02:21:25</t>
  </si>
  <si>
    <t>ORCL,Máximo 15h30: 118.18,Estado: Ignorado - S/ Quebra de Fecho,Data: 28/07/2026 15:31:59</t>
  </si>
  <si>
    <t>27/08/2026 02:20:17</t>
  </si>
  <si>
    <t>BMNR,Preço: 28.76,Dist MM20: 15.13%,Momentum: 5.39,RSI: 67.30,ADX: 42.47,ATR: 1.50,RVOL: 0.88,Estado: Observar,Entrada: N/A,Stop: N/A,Take-Profit: N/A,Break-Even: N/A,Qtd: N/A,Trailing: 25.76,Data: 23/09/2026 06:50:55</t>
  </si>
  <si>
    <t>28/07/2026 02:20:23</t>
  </si>
  <si>
    <t>Preço: 18.08</t>
  </si>
  <si>
    <t>NFLX,Preço: 70.40,Dist MM20: -3.04%,Momentum: -5.78,RSI: 39.43,ADX: 33.92,ATR: 2.15,RVOL: 0.79,Estado: Forca Consolidada,Entrada: 69.97,Stop: 67.39,Take-Profit: 73.84,Break-Even: 71.91,Qtd: 19.38,Data: 28/07/2026 02:20:21</t>
  </si>
  <si>
    <t>Dist MM20: 5.18%</t>
  </si>
  <si>
    <t>Entrada: 596.60</t>
  </si>
  <si>
    <t>NFLX (INTRADAY),Máximo 15h30: 73.76,Estado: Forca Consolidada,Entrada: 71.61,Stop: 69.46,Take-Profit: 74.83,Data: 28/07/2026 15:32:03</t>
  </si>
  <si>
    <t>Momentum: 0.85</t>
  </si>
  <si>
    <t>Stop: 585.36</t>
  </si>
  <si>
    <t>RSI: 55.65</t>
  </si>
  <si>
    <t>Take-Profit: 613.47</t>
  </si>
  <si>
    <t>ADX: 22.05</t>
  </si>
  <si>
    <t>28/07/2026 02:19:23</t>
  </si>
  <si>
    <t>Qtd: 4.45</t>
  </si>
  <si>
    <t>ATR: 1.18</t>
  </si>
  <si>
    <t>MA,Preço: 551.71,Dist MM20: 3.46%,Momentum: 20.09,RSI: 63.84,ADX: 27.57,ATR: 10.30,RVOL: 0.76,Estado: Forca Consolidada,Entrada: 549.65,Stop: 537.29,Take-Profit: 568.19,Break-Even: 558.92,Qtd: 4.05,Data: 28/07/2026 02:19:20</t>
  </si>
  <si>
    <t>Dist MM20: 4.22%</t>
  </si>
  <si>
    <t>MA (INTRADAY),Máximo 15h30: 564.61,Estado: Forca Consolidada,Entrada: 554.31,Stop: 544.01,Take-Profit: 569.76,Data: 28/07/2026 15:32:07</t>
  </si>
  <si>
    <t>MA,Preço: 598.47,Dist MM20: 4.22%,Momentum: 22.52,RSI: 72.03,ADX: 37.44,ATR: 9.37,RVOL: 1.00,Estado: Alerta Iminente,Entrada: 596.60,Stop: 585.36,Take-Profit: 613.47,Break-Even: 605.04,Qtd: 4.45,Trailing: 585.94,Data: 27/08/2026 02:20:16</t>
  </si>
  <si>
    <t>Trailing: 15.72</t>
  </si>
  <si>
    <t>26/08/2026 06:05:12</t>
  </si>
  <si>
    <t>28/07/2026 02:05:51</t>
  </si>
  <si>
    <t>BMNR,Preço: 18.08,Dist MM20: 5.18%,Momentum: 0.85,RSI: 55.65,ADX: 22.05,ATR: 1.18,RVOL: 0.65,Estado: Observar,Entrada: N/A,Stop: N/A,Take-Profit: N/A,Break-Even: N/A,Qtd: N/A,Trailing: 15.72,Data: 10/08/2026 22:31:47</t>
  </si>
  <si>
    <t>AAPL,Preço: 336.91,Dist MM20: 6.27%,Momentum: 26.25,RSI: 67.29,ADX: 27.70,ATR: 7.39,RVOL: 0.90,Estado: Forca Consolidada,Entrada: 335.43,Stop: 326.56,Take-Profit: 348.73,Break-Even: 342.08,Qtd: 5.64,Data: 28/07/2026 02:05:50</t>
  </si>
  <si>
    <t>AAPL (INTRADAY),Máximo 15h30: 342.89,Estado: Forca Consolidada,Entrada: 335.50,Stop: 328.11,Take-Profit: 346.58,Data: 28/07/2026 15:32:11</t>
  </si>
  <si>
    <t>Entrada: 58.32</t>
  </si>
  <si>
    <t>28/07/2026 02:04:41</t>
  </si>
  <si>
    <t>Stop: 57.01</t>
  </si>
  <si>
    <t>Take-Profit: 60.28</t>
  </si>
  <si>
    <t>BABA,Preço: 115.00,Dist MM20: 5.26%,Momentum: 16.86,RSI: 53.96,ADX: 26.20,ATR: 2.79,RVOL: 0.57,Estado: Forca Consolidada,Entrada: 114.44,Stop: 111.09,Take-Profit: 119.46,Break-Even: 116.95,Qtd: 14.93,Data: 28/07/2026 02:04:40</t>
  </si>
  <si>
    <t>BABA (INTRADAY),Máximo 15h30: 115.93,Estado: Forca Consolidada,Entrada: 113.14,Stop: 110.35,Take-Profit: 117.33,Data: 28/07/2026 15:32:16</t>
  </si>
  <si>
    <t>BOLT</t>
  </si>
  <si>
    <t>Dist MM20: 1.78%</t>
  </si>
  <si>
    <t>Bolt Biotherapeutics</t>
  </si>
  <si>
    <t>MAIN,Preço: 58.54,Dist MM20: 1.78%,Momentum: 2.43,RSI: 61.12,ADX: 32.54,ATR: 1.09,RVOL: 1.02,Estado: Alerta Iminente,Entrada: 58.32,Stop: 57.01,Take-Profit: 60.28,Break-Even: 59.30,Qtd: 38.23,Trailing: 57.01,Data: 26/08/2026 06:05:12</t>
  </si>
  <si>
    <t>26/08/2026 02:39:43</t>
  </si>
  <si>
    <t>Entrada: 281.70</t>
  </si>
  <si>
    <t>Stop: 275.22</t>
  </si>
  <si>
    <t>Take-Profit: 291.42</t>
  </si>
  <si>
    <t>Qtd: 7.72</t>
  </si>
  <si>
    <t>Dist MM20: 3.57%</t>
  </si>
  <si>
    <t>ADP,Preço: 282.78,Dist MM20: 3.57%,Momentum: 12.69,RSI: 66.64,ADX: 38.50,ATR: 5.40,RVOL: 0.92,Estado: Alerta Iminente,Entrada: 281.70,Stop: 275.22,Take-Profit: 291.42,Break-Even: 286.56,Qtd: 7.72,Trailing: 275.22,Data: 26/08/2026 02:39:43</t>
  </si>
  <si>
    <t>BOLT,Preço: 3.71,Dist MM20: -2.79%,Momentum: -0.36,RSI: 48.68,ADX: 17.32,ATR: 0.38,RVOL: 0.47,Estado: Aguardar Recuo,Entrada: 3.56,Stop: 3.18,Take-Profit: 4.02,Break-Even: 3.79,Qtd: 65.79,Trailing: 3.18,Data: 23/09/2026 06:50:57</t>
  </si>
  <si>
    <t>26/08/2026 02:39:26</t>
  </si>
  <si>
    <t>Preço: 3.89</t>
  </si>
  <si>
    <t>Dist MM20: -3.38%</t>
  </si>
  <si>
    <t>Entrada: 231.82</t>
  </si>
  <si>
    <t>Momentum: 0.11</t>
  </si>
  <si>
    <t>RSI: 43.93</t>
  </si>
  <si>
    <t>Stop: 221.72</t>
  </si>
  <si>
    <t>Take-Profit: 246.98</t>
  </si>
  <si>
    <t>ADX: 18.48</t>
  </si>
  <si>
    <t>Qtd: 4.95</t>
  </si>
  <si>
    <t>ATR: 0.24</t>
  </si>
  <si>
    <t>Dist MM20: 9.83%</t>
  </si>
  <si>
    <t>Data: 31/07/2026 04:39:45</t>
  </si>
  <si>
    <t>DASH,Preço: 233.50,Dist MM20: 9.83%,Momentum: 26.23,RSI: 75.44,ADX: 35.80,ATR: 8.42,RVOL: 0.90,Estado: Alerta Iminente,Entrada: 231.82,Stop: 221.72,Take-Profit: 246.98,Break-Even: 239.40,Qtd: 4.95,Trailing: 221.72,Data: 26/08/2026 02:39:26</t>
  </si>
  <si>
    <t>BOLT,Preço: 3.89,Dist MM20: -3.38%,Momentum: 0.11,RSI: 43.93,ADX: 18.48,ATR: 0.24,RVOL: 0.77,Estado: Aguardar Recuo,Entrada: 3.79,Stop: 3.55,Take-Profit: 4.27,Break-Even: 4.03,Qtd: 208.33,Data: 31/07/2026 04:39:45</t>
  </si>
  <si>
    <t>26/08/2026 02:38:52</t>
  </si>
  <si>
    <t>Entrada: 115.71</t>
  </si>
  <si>
    <t>Stop: 113.18</t>
  </si>
  <si>
    <t>Take-Profit: 119.51</t>
  </si>
  <si>
    <t>Qtd: 19.75</t>
  </si>
  <si>
    <t>Dist MM20: 5.28%</t>
  </si>
  <si>
    <t>ABT,Preço: 116.13,Dist MM20: 5.28%,Momentum: 10.42,RSI: 75.29,ADX: 37.92,ATR: 2.11,RVOL: 0.94,Estado: Alerta Iminente,Entrada: 115.71,Stop: 113.18,Take-Profit: 119.51,Break-Even: 117.61,Qtd: 19.75,Trailing: 113.61,Data: 26/08/2026 02:38:51</t>
  </si>
  <si>
    <t>26/08/2026 02:20:39</t>
  </si>
  <si>
    <t>Entrada: 597.44</t>
  </si>
  <si>
    <t>Stop: 585.85</t>
  </si>
  <si>
    <t>Take-Profit: 614.83</t>
  </si>
  <si>
    <t>Qtd: 4.31</t>
  </si>
  <si>
    <t>Dist MM20: 4.69%</t>
  </si>
  <si>
    <t>MA,Preço: 599.37,Dist MM20: 4.69%,Momentum: 28.89,RSI: 72.88,ADX: 36.26,ATR: 9.66,RVOL: 1.08,Estado: Alerta Iminente,Entrada: 597.44,Stop: 585.85,Take-Profit: 614.83,Break-Even: 606.13,Qtd: 4.31,Trailing: 585.94,Data: 26/08/2026 02:20:39</t>
  </si>
  <si>
    <t>BRK.B,Preço: 503.49,Dist MM20: -0.79%,Momentum: 1.16,RSI: 45.55,ADX: 13.44,ATR: 6.23,RVOL: 1.00,Estado: Aguardar Recuo,Entrada: 501.00,Stop: 494.77,Take-Profit: 508.48,Break-Even: 504.74,Qtd: 4.01,Trailing: 494.77,Data: 23/09/2026 02:19:48</t>
  </si>
  <si>
    <t>Preço: 509.68</t>
  </si>
  <si>
    <t>Dist MM20: 2.48%</t>
  </si>
  <si>
    <t>Momentum: 15.97</t>
  </si>
  <si>
    <t>RSI: 64.62</t>
  </si>
  <si>
    <t>ADX: 20.33</t>
  </si>
  <si>
    <t>ATR: 6.83</t>
  </si>
  <si>
    <t>RVOL: 0.74</t>
  </si>
  <si>
    <t>Data: 31/07/2026 02:06:48</t>
  </si>
  <si>
    <t>BRK.B,Preço: 509.68,Dist MM20: 2.48%,Momentum: 15.97,RSI: 64.62,ADX: 20.33,ATR: 6.83,RVOL: 0.74,Estado: Aguardar Recuo,Entrada: 506.95,Stop: 500.12,Take-Profit: 520.61,Break-Even: 513.78,Qtd: 7.32,Data: 31/07/2026 02:06:48</t>
  </si>
  <si>
    <t>25/08/2026 04:56:09</t>
  </si>
  <si>
    <t>RVOL: 1.65</t>
  </si>
  <si>
    <t>Entrada: 65.35</t>
  </si>
  <si>
    <t>Stop: 60.44</t>
  </si>
  <si>
    <t>Take-Profit: 72.71</t>
  </si>
  <si>
    <t>BROS</t>
  </si>
  <si>
    <t>Qtd: 30.56</t>
  </si>
  <si>
    <t>Dist MM20: 26.03%</t>
  </si>
  <si>
    <t>Dutch Bros</t>
  </si>
  <si>
    <t>TEM,Preço: 66.17,Dist MM20: 26.03%,Momentum: 19.12,RSI: 63.97,ADX: 29.47,ATR: 4.09,RVOL: 1.65,Estado: Alerta Iminente,Entrada: 65.35,Stop: 60.44,Take-Profit: 72.71,Break-Even: 69.03,Qtd: 30.56,Trailing: 60.44,Data: 25/08/2026 04:56:08</t>
  </si>
  <si>
    <t>25/08/2026 02:49:17</t>
  </si>
  <si>
    <t>Entrada: 281.87</t>
  </si>
  <si>
    <t>Stop: 275.04</t>
  </si>
  <si>
    <t>Take-Profit: 292.11</t>
  </si>
  <si>
    <t>Qtd: 21.97</t>
  </si>
  <si>
    <t>R4 Up</t>
  </si>
  <si>
    <t>Dist MM20: 4.01%</t>
  </si>
  <si>
    <t>ADP,Preço: 283.01,Dist MM20: 4.01%,Momentum: 12.39,RSI: 66.95,ADX: 38.37,ATR: 5.69,RVOL: 0.97,Estado: Alerta Iminente,Entrada: 281.87,Stop: 275.04,Take-Profit: 292.11,Break-Even: 286.99,Qtd: 21.97,Trailing: 275.04,Data: 25/08/2026 02:49:17</t>
  </si>
  <si>
    <t>25/08/2026 02:35:37</t>
  </si>
  <si>
    <t>BROS,Preço: 38.76,Dist MM20: -14.13%,Momentum: -7.55,RSI: 21.95,ADX: 42.85,ATR: 1.70,RVOL: 1.37,Estado: Observar,Entrada: N/A,Stop: N/A,Take-Profit: N/A,Break-Even: N/A,Qtd: N/A,Trailing: 35.36,Data: 23/09/2026 06:51:27</t>
  </si>
  <si>
    <t>Preço: 65.43</t>
  </si>
  <si>
    <t>Entrada: 396.93</t>
  </si>
  <si>
    <t>Stop: 385.94</t>
  </si>
  <si>
    <t>Take-Profit: 413.42</t>
  </si>
  <si>
    <t>Momentum: -2.13</t>
  </si>
  <si>
    <t>Qtd: 13.65</t>
  </si>
  <si>
    <t>RSI: 50.57</t>
  </si>
  <si>
    <t>Dist MM20: -1.55%</t>
  </si>
  <si>
    <t>ADX: 14.55</t>
  </si>
  <si>
    <t>UNH,Preço: 398.76,Dist MM20: -1.55%,Momentum: -8.79,RSI: 45.54,ADX: 28.46,ATR: 9.16,RVOL: 1.07,Estado: Alerta Iminente,Entrada: 396.93,Stop: 385.94,Take-Profit: 413.42,Break-Even: 405.18,Qtd: 13.65,Trailing: 385.94,Data: 25/08/2026 02:35:35</t>
  </si>
  <si>
    <t>ATR: 2.63</t>
  </si>
  <si>
    <t>25/08/2026 02:21:47</t>
  </si>
  <si>
    <t>Data: 31/07/2026 04:05:25</t>
  </si>
  <si>
    <t>RVOL: 1.24</t>
  </si>
  <si>
    <t>BROS,Preço: 65.43,Dist MM20: -0.75%,Momentum: -2.13,RSI: 50.57,ADX: 14.55,ATR: 2.63,RVOL: 0.64,Estado: Aguardar Recuo,Entrada: 64.38,Stop: 61.75,Take-Profit: 69.64,Break-Even: 67.01,Qtd: 19.01,Data: 31/07/2026 04:05:25</t>
  </si>
  <si>
    <t>Entrada: 136.52</t>
  </si>
  <si>
    <t>Stop: 122.28</t>
  </si>
  <si>
    <t>Take-Profit: 157.89</t>
  </si>
  <si>
    <t>Qtd: 10.53</t>
  </si>
  <si>
    <t>Dist MM20: 81.01%</t>
  </si>
  <si>
    <t>MRNA,Preço: 138.89,Dist MM20: 81.01%,Momentum: 81.90,RSI: 68.82,ADX: 33.49,ATR: 11.87,RVOL: 1.24,Estado: Alerta Iminente,Entrada: 136.52,Stop: 122.28,Take-Profit: 157.89,Break-Even: 147.20,Qtd: 10.53,Trailing: 122.28,Data: 25/08/2026 02:21:47</t>
  </si>
  <si>
    <t>25/08/2026 02:19:55</t>
  </si>
  <si>
    <t>LMT</t>
  </si>
  <si>
    <t>BYDDY</t>
  </si>
  <si>
    <t>Entrada: 561.35</t>
  </si>
  <si>
    <t>BYD ADR</t>
  </si>
  <si>
    <t>Stop: 544.60</t>
  </si>
  <si>
    <t>Take-Profit: 586.48</t>
  </si>
  <si>
    <t>Qtd: 8.95</t>
  </si>
  <si>
    <t>Dist MM20: -3.85%</t>
  </si>
  <si>
    <t>LMT,Preço: 564.14,Dist MM20: -3.85%,Momentum: -25.19,RSI: 46.21,ADX: 26.53,ATR: 13.96,RVOL: 0.92,Estado: Alerta Iminente,Entrada: 561.35,Stop: 544.60,Take-Profit: 586.48,Break-Even: 573.91,Qtd: 8.95,Trailing: 544.60,Data: 25/08/2026 02:19:55</t>
  </si>
  <si>
    <t>25/08/2026 02:19:19</t>
  </si>
  <si>
    <t>RVOL: 1.73</t>
  </si>
  <si>
    <t>BYDDY,Preço: 10.36,Dist MM20: -3.26%,Momentum: -0.68,RSI: 40.64,ADX: 23.71,ATR: 0.12,RVOL: 0.27,Estado: Observar,Entrada: N/A,Stop: N/A,Take-Profit: N/A,Break-Even: N/A,Qtd: N/A,Trailing: 10.12,Data: 23/09/2026 02:20:07</t>
  </si>
  <si>
    <t>Entrada: 289.85</t>
  </si>
  <si>
    <t>Stop: 281.46</t>
  </si>
  <si>
    <t>Preço: 11.96</t>
  </si>
  <si>
    <t>Take-Profit: 302.43</t>
  </si>
  <si>
    <t>Dist MM20: 8.04%</t>
  </si>
  <si>
    <t>Momentum: 1.15</t>
  </si>
  <si>
    <t>Qtd: 17.88</t>
  </si>
  <si>
    <t>RSI: 67.35</t>
  </si>
  <si>
    <t>ADX: 20.62</t>
  </si>
  <si>
    <t>Dist MM20: -2.95%</t>
  </si>
  <si>
    <t>ATR: 0.15</t>
  </si>
  <si>
    <t>Data: 31/07/2026 02:07:22</t>
  </si>
  <si>
    <t>GRMN,Preço: 291.25,Dist MM20: -2.95%,Momentum: -16.11,RSI: 53.75,ADX: 39.48,ATR: 6.99,RVOL: 1.73,Estado: Alerta Iminente,Entrada: 289.85,Stop: 281.46,Take-Profit: 302.43,Break-Even: 296.14,Qtd: 17.88,Trailing: 281.46,Data: 25/08/2026 02:19:19</t>
  </si>
  <si>
    <t>BYDDY,Preço: 11.96,Dist MM20: 8.04%,Momentum: 1.15,RSI: 67.35,ADX: 20.62,ATR: 0.15,RVOL: 0.57,Estado: Aguardar Recuo,Entrada: 11.90,Stop: 11.75,Take-Profit: 12.20,Break-Even: 12.05,Qtd: 333.33,Data: 31/07/2026 02:07:22</t>
  </si>
  <si>
    <t>24/08/2026 02:43:14</t>
  </si>
  <si>
    <t>Entrada: 204.55</t>
  </si>
  <si>
    <t>Stop: 200.21</t>
  </si>
  <si>
    <t>Take-Profit: 211.07</t>
  </si>
  <si>
    <t>Qtd: 34.53</t>
  </si>
  <si>
    <t>CAP</t>
  </si>
  <si>
    <t>Capgemini</t>
  </si>
  <si>
    <t>CVX,Preço: 205.27,Dist MM20: 4.85%,Momentum: 12.09,RSI: 68.66,ADX: 28.59,ATR: 3.62,RVOL: 0.91,Estado: Alerta Iminente,Entrada: 204.55,Stop: 200.21,Take-Profit: 211.07,Break-Even: 207.81,Qtd: 34.53,Trailing: 200.21,Data: 24/08/2026 02:43:14</t>
  </si>
  <si>
    <t>24/08/2026 02:38:31</t>
  </si>
  <si>
    <t>Entrada: 27.95</t>
  </si>
  <si>
    <t>Stop: 27.25</t>
  </si>
  <si>
    <t>Take-Profit: 28.99</t>
  </si>
  <si>
    <t>Qtd: 215.52</t>
  </si>
  <si>
    <t>Dist MM20: 6.73%</t>
  </si>
  <si>
    <t>PFE,Preço: 28.07,Dist MM20: 6.73%,Momentum: 3.04,RSI: 70.21,ADX: 38.16,ATR: 0.58,RVOL: 0.90,Estado: Alerta Iminente,Entrada: 27.95,Stop: 27.25,Take-Profit: 28.99,Break-Even: 28.47,Qtd: 215.52,Trailing: 27.25,Data: 24/08/2026 02:38:30</t>
  </si>
  <si>
    <t>24/08/2026 02:24:29</t>
  </si>
  <si>
    <t>CAP,Preço: 19.50,Dist MM20: 0.00%,Momentum: 0.00,RSI: 59.04,ADX: 19.41,ATR: 0.00,RVOL: 0.05,Estado: Observar,Entrada: N/A,Stop: N/A,Take-Profit: N/A,Break-Even: N/A,Qtd: N/A,Trailing: 19.50,Data: 23/09/2026 06:51:29</t>
  </si>
  <si>
    <t>Entrada: 354.86</t>
  </si>
  <si>
    <t>Preço: 19.50</t>
  </si>
  <si>
    <t>Stop: 336.80</t>
  </si>
  <si>
    <t>Dist MM20: 0.00%</t>
  </si>
  <si>
    <t>Take-Profit: 381.95</t>
  </si>
  <si>
    <t>Momentum: 0.00</t>
  </si>
  <si>
    <t>Qtd: 8.31</t>
  </si>
  <si>
    <t>RSI: 59.04</t>
  </si>
  <si>
    <t>Dist MM20: -0.05%</t>
  </si>
  <si>
    <t>ADX: 19.41</t>
  </si>
  <si>
    <t>PANW,Preço: 357.87,Dist MM20: -0.05%,Momentum: 10.74,RSI: 51.58,ADX: 26.67,ATR: 15.05,RVOL: 0.91,Estado: Alerta Iminente,Entrada: 354.86,Stop: 336.80,Take-Profit: 381.95,Break-Even: 368.40,Qtd: 8.31,Trailing: 336.80,Data: 24/08/2026 02:24:25</t>
  </si>
  <si>
    <t>ATR: 0.00</t>
  </si>
  <si>
    <t>RVOL: 0.05</t>
  </si>
  <si>
    <t>24/08/2026 02:19:25</t>
  </si>
  <si>
    <t>Data: 31/07/2026 03:54:09</t>
  </si>
  <si>
    <t>CAP,Preço: 19.50,Dist MM20: 0.00%,Momentum: 0.00,RSI: 59.04,ADX: 19.41,ATR: 0.00,RVOL: 0.05,Estado: Observar,Entrada: N/A,Stop: N/A,Take-Profit: N/A,Break-Even: N/A,Qtd: N/A,Data: 31/07/2026 03:54:09</t>
  </si>
  <si>
    <t>Entrada: 560.70</t>
  </si>
  <si>
    <t>Stop: 543.50</t>
  </si>
  <si>
    <t>Take-Profit: 586.49</t>
  </si>
  <si>
    <t>Qtd: 8.72</t>
  </si>
  <si>
    <t>Dist MM20: -4.08%</t>
  </si>
  <si>
    <t>LMT,Preço: 563.57,Dist MM20: -4.08%,Momentum: -22.72,RSI: 45.98,ADX: 27.91,ATR: 14.33,RVOL: 0.99,Estado: Alerta Iminente,Entrada: 560.70,Stop: 543.50,Take-Profit: 586.49,Break-Even: 573.60,Qtd: 8.72,Trailing: 543.50,Data: 24/08/2026 02:19:24</t>
  </si>
  <si>
    <t>CAR</t>
  </si>
  <si>
    <t>24/08/2026 02:04:53</t>
  </si>
  <si>
    <t>Avis Budget</t>
  </si>
  <si>
    <t>RVOL: 2.76</t>
  </si>
  <si>
    <t>Entrada: 118.67</t>
  </si>
  <si>
    <t>Stop: 114.67</t>
  </si>
  <si>
    <t>Take-Profit: 124.66</t>
  </si>
  <si>
    <t>Qtd: 37.54</t>
  </si>
  <si>
    <t>Dist MM20: -4.02%</t>
  </si>
  <si>
    <t>BABA,Preço: 119.34,Dist MM20: -4.02%,Momentum: -7.96,RSI: 46.03,ADX: 25.86,ATR: 3.33,RVOL: 2.76,Estado: Alerta Iminente,Entrada: 118.67,Stop: 114.67,Take-Profit: 124.66,Break-Even: 121.66,Qtd: 37.54,Trailing: 114.67,Data: 24/08/2026 02:04:52</t>
  </si>
  <si>
    <t>21/08/2026 11:53:40</t>
  </si>
  <si>
    <t>Entrada: 1135.73</t>
  </si>
  <si>
    <t>Stop: 1111.17</t>
  </si>
  <si>
    <t>Take-Profit: 1172.58</t>
  </si>
  <si>
    <t>Qtd: 6.11</t>
  </si>
  <si>
    <t>Dist MM20: 1.15%</t>
  </si>
  <si>
    <t>BLK,Preço: 1139.82,Dist MM20: 1.15%,Momentum: 49.43,RSI: 56.80,ADX: 31.43,ATR: 20.47,RVOL: 1.15,Estado: Alerta Iminente,Entrada: 1135.73,Stop: 1111.17,Take-Profit: 1172.58,Break-Even: 1154.15,Qtd: 6.11,Trailing: 1111.17,Data: 21/08/2026 11:53:39</t>
  </si>
  <si>
    <t>CAR,Preço: 107.73,Dist MM20: -17.04%,Momentum: -32.97,RSI: 23.48,ADX: 27.30,ATR: 5.43,RVOL: 1.26,Estado: Observar,Entrada: N/A,Stop: N/A,Take-Profit: N/A,Break-Even: N/A,Qtd: N/A,Trailing: 96.87,Data: 23/09/2026 06:51:30</t>
  </si>
  <si>
    <t>21/08/2026 11:38:51</t>
  </si>
  <si>
    <t>Preço: 152.00</t>
  </si>
  <si>
    <t>Momentum: -4.19</t>
  </si>
  <si>
    <t>RSI: 41.14</t>
  </si>
  <si>
    <t>Entrada: 183.81</t>
  </si>
  <si>
    <t>ADX: 9.37</t>
  </si>
  <si>
    <t>Stop: 176.68</t>
  </si>
  <si>
    <t>ATR: 8.17</t>
  </si>
  <si>
    <t>Take-Profit: 194.50</t>
  </si>
  <si>
    <t>RVOL: 1.59</t>
  </si>
  <si>
    <t>Qtd: 21.04</t>
  </si>
  <si>
    <t>Data: 31/07/2026 04:50:59</t>
  </si>
  <si>
    <t>Dist MM20: 11.00%</t>
  </si>
  <si>
    <t>ABNB,Preço: 185.00,Dist MM20: 11.00%,Momentum: 33.48,RSI: 70.36,ADX: 39.00,ATR: 5.94,RVOL: 1.05,Estado: Alerta Iminente,Entrada: 183.81,Stop: 176.68,Take-Profit: 194.50,Break-Even: 189.16,Qtd: 21.04,Trailing: 176.68,Data: 21/08/2026 11:38:50</t>
  </si>
  <si>
    <t>CAR,Preço: 152.00,Dist MM20: -4.44%,Momentum: -4.19,RSI: 41.14,ADX: 9.37,ATR: 8.17,RVOL: 1.59,Estado: Observar,Entrada: N/A,Stop: N/A,Take-Profit: N/A,Break-Even: N/A,Qtd: N/A,Data: 31/07/2026 04:50:59</t>
  </si>
  <si>
    <t>21/08/2026 11:24:24</t>
  </si>
  <si>
    <t>Entrada: 332.38</t>
  </si>
  <si>
    <t>CB</t>
  </si>
  <si>
    <t>Chubb</t>
  </si>
  <si>
    <t>Stop: 320.46</t>
  </si>
  <si>
    <t>Take-Profit: 350.25</t>
  </si>
  <si>
    <t>Qtd: 12.59</t>
  </si>
  <si>
    <t>Dist MM20: -4.37%</t>
  </si>
  <si>
    <t>DPZ,Preço: 334.37,Dist MM20: -4.37%,Momentum: -13.07,RSI: 46.13,ADX: 27.00,ATR: 9.93,RVOL: 1.25,Estado: Alerta Iminente,Entrada: 332.38,Stop: 320.46,Take-Profit: 350.25,Break-Even: 341.31,Qtd: 12.59,Trailing: 320.46,Data: 21/08/2026 11:24:23</t>
  </si>
  <si>
    <t>21/08/2026 10:39:37</t>
  </si>
  <si>
    <t>CB,Preço: 335.77,Dist MM20: -1.30%,Momentum: -2.97,RSI: 41.12,ADX: 10.71,ATR: 4.96,RVOL: 0.89,Estado: Observar,Entrada: N/A,Stop: N/A,Take-Profit: N/A,Break-Even: N/A,Qtd: N/A,Trailing: 325.85,Data: 23/09/2026 06:51:30</t>
  </si>
  <si>
    <t>Entrada: 46.11</t>
  </si>
  <si>
    <t>Stop: 43.51</t>
  </si>
  <si>
    <t>Preço: 348.30</t>
  </si>
  <si>
    <t>Take-Profit: 50.02</t>
  </si>
  <si>
    <t>Dist MM20: -0.91%</t>
  </si>
  <si>
    <t>Momentum: 10.86</t>
  </si>
  <si>
    <t>Qtd: 57.60</t>
  </si>
  <si>
    <t>RSI: 49.81</t>
  </si>
  <si>
    <t>ADX: 15.39</t>
  </si>
  <si>
    <t>Dist MM20: 18.54%</t>
  </si>
  <si>
    <t>ATR: 7.29</t>
  </si>
  <si>
    <t>RVOL: 0.75</t>
  </si>
  <si>
    <t>U,Preço: 46.54,Dist MM20: 18.54%,Momentum: 14.83,RSI: 79.11,ADX: 47.21,ATR: 2.17,RVOL: 0.95,Estado: Alerta Iminente,Entrada: 46.11,Stop: 43.51,Take-Profit: 50.02,Break-Even: 48.06,Qtd: 57.60,Trailing: 43.51,Data: 21/08/2026 10:39:37</t>
  </si>
  <si>
    <t>Trailing: 338.09</t>
  </si>
  <si>
    <t>21/08/2026 10:38:21</t>
  </si>
  <si>
    <t>CB,Preço: 348.30,Dist MM20: -0.91%,Momentum: 10.86,RSI: 49.81,ADX: 15.39,ATR: 7.29,RVOL: 0.75,Estado: Aguardar Recuo,Entrada: 345.38,Stop: 338.09,Take-Profit: 359.96,Break-Even: 352.67,Qtd: 6.86,Trailing: 338.09,Data: 05/08/2026 10:38:08</t>
  </si>
  <si>
    <t>Entrada: 36.05</t>
  </si>
  <si>
    <t>CELH</t>
  </si>
  <si>
    <t>Stop: 33.35</t>
  </si>
  <si>
    <t>Celsius Holdings</t>
  </si>
  <si>
    <t>Take-Profit: 40.10</t>
  </si>
  <si>
    <t>Qtd: 55.56</t>
  </si>
  <si>
    <t>Dist MM20: 12.34%</t>
  </si>
  <si>
    <t>SMCI,Preço: 36.50,Dist MM20: 12.34%,Momentum: 8.10,RSI: 60.14,ADX: 25.14,ATR: 2.25,RVOL: 0.92,Estado: Alerta Iminente,Entrada: 36.05,Stop: 33.35,Take-Profit: 40.10,Break-Even: 38.08,Qtd: 55.56,Trailing: 33.35,Data: 21/08/2026 10:38:21</t>
  </si>
  <si>
    <t>21/08/2026 09:51:37</t>
  </si>
  <si>
    <t>CELH,Preço: 29.39,Dist MM20: -2.28%,Momentum: -1.33,RSI: 49.71,ADX: 15.39,ATR: 1.03,RVOL: 0.96,Estado: Aguardar Recuo,Entrada: 28.97,Stop: 27.94,Take-Profit: 30.21,Break-Even: 29.59,Qtd: 24.27,Trailing: 27.94,Data: 23/09/2026 06:51:33</t>
  </si>
  <si>
    <t>Entrada: 173.35</t>
  </si>
  <si>
    <t>Preço: 29.35</t>
  </si>
  <si>
    <t>Stop: 163.99</t>
  </si>
  <si>
    <t>Dist MM20: -1.42%</t>
  </si>
  <si>
    <t>Take-Profit: 187.39</t>
  </si>
  <si>
    <t>Momentum: -1.25</t>
  </si>
  <si>
    <t>RSI: 49.50</t>
  </si>
  <si>
    <t>Qtd: 16.03</t>
  </si>
  <si>
    <t>ADX: 12.68</t>
  </si>
  <si>
    <t>Dist MM20: 32.88%</t>
  </si>
  <si>
    <t>ATR: 1.23</t>
  </si>
  <si>
    <t>TEAM,Preço: 174.91,Dist MM20: 32.88%,Momentum: 73.90,RSI: 79.78,ADX: 47.76,ATR: 7.80,RVOL: 0.95,Estado: Alerta Iminente,Entrada: 173.35,Stop: 163.99,Take-Profit: 187.39,Break-Even: 180.37,Qtd: 16.03,Trailing: 163.99,Data: 21/08/2026 09:51:36</t>
  </si>
  <si>
    <t>Data: 31/07/2026 03:54:26</t>
  </si>
  <si>
    <t>CELH,Preço: 29.35,Dist MM20: -1.42%,Momentum: -1.25,RSI: 49.50,ADX: 12.68,ATR: 1.23,RVOL: 0.57,Estado: Aguardar Recuo,Entrada: 28.86,Stop: 27.63,Take-Profit: 31.32,Break-Even: 30.09,Qtd: 40.65,Data: 31/07/2026 03:54:26</t>
  </si>
  <si>
    <t>21/08/2026 02:21:15</t>
  </si>
  <si>
    <t>RVOL: 4.99</t>
  </si>
  <si>
    <t>Entrada: 131.44</t>
  </si>
  <si>
    <t>CLSK</t>
  </si>
  <si>
    <t>Stop: 120.18</t>
  </si>
  <si>
    <t>Cleanspark</t>
  </si>
  <si>
    <t>Take-Profit: 148.32</t>
  </si>
  <si>
    <t>Qtd: 13.33</t>
  </si>
  <si>
    <t>Dist MM20: 96.02%</t>
  </si>
  <si>
    <t>MRNA,Preço: 133.32,Dist MM20: 96.02%,Momentum: 78.50,RSI: 69.43,ADX: 25.20,ATR: 9.38,RVOL: 4.99,Estado: Alerta Iminente,Entrada: 131.44,Stop: 120.18,Take-Profit: 148.32,Break-Even: 139.88,Qtd: 13.33,Trailing: 120.18,Data: 21/08/2026 02:21:15</t>
  </si>
  <si>
    <t>21/08/2026 02:19:33</t>
  </si>
  <si>
    <t>Entrada: 568.61</t>
  </si>
  <si>
    <t>Stop: 551.38</t>
  </si>
  <si>
    <t>CLSK,Preço: 15.14,Dist MM20: 17.16%,Momentum: 4.08,RSI: 63.36,ADX: 16.28,ATR: 0.90,RVOL: 0.96,Estado: Aguardar Recuo,Entrada: 14.78,Stop: 13.88,Take-Profit: 15.86,Break-Even: 15.32,Qtd: 27.78,Trailing: 13.88,Data: 23/09/2026 06:51:24</t>
  </si>
  <si>
    <t>Take-Profit: 594.46</t>
  </si>
  <si>
    <t>Preço: 14.54</t>
  </si>
  <si>
    <t>Dist MM20: 6.94%</t>
  </si>
  <si>
    <t>Dist MM20: -2.89%</t>
  </si>
  <si>
    <t>Momentum: 1.69</t>
  </si>
  <si>
    <t>RSI: 51.36</t>
  </si>
  <si>
    <t>LMT,Preço: 571.48,Dist MM20: -2.89%,Momentum: -11.26,RSI: 48.66,ADX: 29.72,ATR: 14.36,RVOL: 1.37,Estado: Alerta Iminente,Entrada: 568.61,Stop: 551.38,Take-Profit: 594.46,Break-Even: 581.54,Qtd: 8.70,Trailing: 551.38,Data: 21/08/2026 02:19:33</t>
  </si>
  <si>
    <t>ADX: 14.41</t>
  </si>
  <si>
    <t>ATR: 1.32</t>
  </si>
  <si>
    <t>20/08/2026 02:49:25</t>
  </si>
  <si>
    <t>Data: 31/07/2026 03:54:59</t>
  </si>
  <si>
    <t>CLSK,Preço: 14.54,Dist MM20: 6.94%,Momentum: 1.69,RSI: 51.36,ADX: 14.41,ATR: 1.32,RVOL: 1.27,Estado: Aguardar Recuo,Entrada: 14.01,Stop: 12.69,Take-Profit: 16.65,Break-Even: 15.33,Qtd: 37.88,Data: 31/07/2026 03:54:59</t>
  </si>
  <si>
    <t>Entrada: 218.70</t>
  </si>
  <si>
    <t>Stop: 209.57</t>
  </si>
  <si>
    <t>Take-Profit: 232.40</t>
  </si>
  <si>
    <t>Qtd: 10.95</t>
  </si>
  <si>
    <t>Dist MM20: 8.31%</t>
  </si>
  <si>
    <t>DASH,Preço: 220.22,Dist MM20: 8.31%,Momentum: 22.69,RSI: 67.92,ADX: 30.75,ATR: 7.61,RVOL: 0.93,Estado: Alerta Iminente,Entrada: 218.70,Stop: 209.57,Take-Profit: 232.40,Break-Even: 225.55,Qtd: 10.95,Trailing: 209.57,Data: 20/08/2026 02:49:24</t>
  </si>
  <si>
    <t>1️⃣ Identificação de Tendências
Quando o momentum está acima de zero e crescente → Confirmação de tendência de alta.
Quando o momentum está abaixo de zero e decrescente → Confirmação de tendência de baixa.
2️⃣ Cruzamento com a Linha Zero
Compra: Quando o momentum sobe acima de zero.
Venda: Quando o momentum cai abaixo de zero.
3️⃣ Divergências
Divergência altista: Se o preço está caindo, mas o momentum está subindo, pode indicar uma reversão para alta.
Divergência baixista: Se o preço está subindo, mas o momentum está caindo, pode indicar uma reversão para baixa.</t>
  </si>
  <si>
    <t>velocidade da variação do preço</t>
  </si>
  <si>
    <t>5. Conclusão
✔ O Momentum é um indicador simples e eficaz para medir a força de uma tendência.
✔ Pode ser usado para identificar pontos de entrada e saída com base em cruzamentos da linha zero.
✔ Funciona melhor quando combinado com outros indicadores, como RSI, MACD e Médias Móveis.</t>
  </si>
  <si>
    <t>20/08/2026 02:23:21</t>
  </si>
  <si>
    <t>SMA</t>
  </si>
  <si>
    <t>1️⃣ Cruzamento de Médias Móveis
Sinal de Compra: Quando uma SMA curta (ex: 20) cruza acima de uma SMA longa (ex: 50).
Sinal de Venda: Quando a SMA curta cruza abaixo da SMA longa.
2️⃣ SMA como Suporte e Resistência
A SMA de 200 períodos frequentemente atua como suporte em tendências de alta e resistência em tendências de baixa.
3️⃣ Filtro de Tendência
Se o preço estiver acima da SMA de 50 ou 200 períodos, indica tendência de alta.
Se estiver abaixo, indica tendência de baixa.</t>
  </si>
  <si>
    <t>Tendências</t>
  </si>
  <si>
    <t>Simple Moving Average</t>
  </si>
  <si>
    <t xml:space="preserve">5. Conclusão
✔ A SMA é uma ferramenta simples e eficaz para identificar tendências e pontos de entrada/saída.
✔ Funciona melhor quando combinada com outros indicadores como RSI, MACD e ADX.
✔ A SMA de 200 períodos é amplamente usada por investidores institucionais para análise de longo prazo.
</t>
  </si>
  <si>
    <t>EMA</t>
  </si>
  <si>
    <t>Representa a média dos últimos 8 dias de preços, com mais peso nos dias mais recentes.
Se o preço está acima da EMA 8, pode indicar força de curto prazo.
Se o preço faz pullback até a EMA 8 e reage, pode ser um bom ponto de entrada.</t>
  </si>
  <si>
    <t>Exponential Moving Average</t>
  </si>
  <si>
    <t>A EMA dá mais peso aos preços mais recentes — diferente da SMA (média simples), que trata todos os preços igualmente.
Isso a torna mais rápida para reagir às mudanças no preço, o que é ótimo para swing trading e trading de curto prazo.</t>
  </si>
  <si>
    <t>Entrada: 356.73</t>
  </si>
  <si>
    <t>Stop: 338.53</t>
  </si>
  <si>
    <t>1️⃣ Sobrecompra e Sobrevenda
Venda quando RSI &gt; 70 → Sinal de que o ativo pode estar sobrecomprado.
Compra quando RSI &lt; 30 → Sinal de que o ativo pode estar sobrevendido.
2️⃣ Cruzamento com o Nível 50
RSI subindo acima de 50 → Confirma tendência de alta.
RSI caindo abaixo de 50 → Confirma tendência de baixa.
3️⃣ Divergências RSI x Preço
Divergência Altista (Bullish Divergence): O preço faz novas mínimas, mas o RSI faz mínimas mais altas → Sinal de reversão para alta.
Divergência Baixista (Bearish Divergence): O preço faz novas máximas, mas o RSI faz máximas mais baixas → Sinal de reversão para queda.</t>
  </si>
  <si>
    <t>Take-Profit: 384.04</t>
  </si>
  <si>
    <t>Activo sobrecomprado ou sobrevendido</t>
  </si>
  <si>
    <t>Relative Strength Index</t>
  </si>
  <si>
    <t xml:space="preserve">5. Considerações Finais
✔ O RSI é um ótimo indicador para encontrar pontos de reversão de tendência.
✔ Ele funciona melhor quando combinado com outros indicadores, como médias móveis e suporte/resistência.
✔ Divergências de RSI podem indicar mudanças na tendência antes do preço se mover.
</t>
  </si>
  <si>
    <t>Qtd: 5.49</t>
  </si>
  <si>
    <t>ADX abaixo de 20 → Tendência fraca ou mercado lateral (sem direção clara).
ADX entre 20 e 40 → Tendência moderada.
ADX acima de 40 → Tendência forte.
ADX acima de 50 → Tendência muito forte (impulso alto do mercado).
Importante: O ADX não indica a direção da tendência, apenas a força dela. Para identificar a direção, observe os valores de +DI e -DI:
Se +DI &gt; -DI, a tendência é de alta.
Se -DI &gt; +DI, a tendência é de baixa.</t>
  </si>
  <si>
    <t>Medir a Força da Tendencia</t>
  </si>
  <si>
    <t>Average Directional Index</t>
  </si>
  <si>
    <t>PANW,Preço: 359.76,Dist MM20: 1.30%,Momentum: 34.08,RSI: 52.44,ADX: 30.58,ATR: 15.17,RVOL: 0.92,Estado: Alerta Iminente,Entrada: 356.73,Stop: 338.53,Take-Profit: 384.04,Break-Even: 370.38,Qtd: 5.49,Trailing: 338.53,Data: 20/08/2026 02:23:20</t>
  </si>
  <si>
    <t>CNA,Preço: 47.47,Dist MM20: -1.78%,Momentum: -1.21,RSI: 37.31,ADX: 28.01,ATR: 0.89,RVOL: 2.12,Estado: Observar,Entrada: N/A,Stop: N/A,Take-Profit: N/A,Break-Even: N/A,Qtd: N/A,Trailing: 45.69,Data: 23/09/2026 06:55:26</t>
  </si>
  <si>
    <t xml:space="preserve">✔ O ADX mede a força da tendência, ajudando traders a identificar quando um movimento forte está em curso.
✔ Funciona melhor quando combinado com outros indicadores, como médias móveis e RSI.
✔ Se o ADX estiver baixo (&lt; 20), o mercado pode estar lateral, sendo melhor evitar operações de tendência.
✔ Se o ADX estiver alto (&gt; 40), a tendência é forte e pode ser aproveitada.
</t>
  </si>
  <si>
    <t>Preço: 53.26</t>
  </si>
  <si>
    <t>1️⃣ Stop-Loss Dinâmico (Regra de 2x ATR)
Para operações de compra: Definir o stop 2x ATR abaixo do preço de entrada.
Para operações de venda: Definir o stop 2x ATR acima do preço de entrada.
2️⃣ Confirmação de Rompimentos
Se um ativo rompe um suporte ou resistência e o ATR está aumentando, isso indica um rompimento forte.
Se o ATR está baixo durante um rompimento, pode ser um falso rompimento.
3️⃣ Filtragem de Sinais
Muitos traders evitam operar quando o ATR está muito baixo, pois o mercado pode estar lateral e com pouca oportunidade.</t>
  </si>
  <si>
    <t>Volatilidade</t>
  </si>
  <si>
    <t>Average True Range</t>
  </si>
  <si>
    <t>20/08/2026 02:09:47</t>
  </si>
  <si>
    <t>Dist MM20: 1.84%</t>
  </si>
  <si>
    <t xml:space="preserve">5. Conclusão
✔ O ATR é um ótimo indicador para medir volatilidade e definir stop-loss mais eficientes.
✔ ATR alto indica que o mercado está mais volátil, enquanto um ATR baixo sugere uma fase de consolidação.
✔ O ATR não prevê direção, apenas mede a amplitude dos movimentos.
✔ Funciona melhor quando combinado com outros indicadores como MACD, ADX e médias móveis.
</t>
  </si>
  <si>
    <t>Momentum: 1.96</t>
  </si>
  <si>
    <t>MACD</t>
  </si>
  <si>
    <t>RSI: 60.21</t>
  </si>
  <si>
    <t>1️⃣ Estratégia de Cruzamento MACD e Linha de Sinal
Comprar quando o MACD cruza acima da Linha de Sinal.
Vender quando o MACD cruza abaixo da Linha de Sinal.
2️⃣ MACD e Cruzamento da Linha Zero
MACD cruza acima de zero → Confirma tendência de alta.
MACD cruza abaixo de zero → Confirma tendência de baixa.
3️⃣ Usar o MACD com Outros Indicadores
Com RSI → O RSI pode confirmar sobrecompra/sobrevenda antes de operar o cruzamento do MACD.
Com Médias Móveis → A SMA de 200 períodos pode servir como filtro para operações.</t>
  </si>
  <si>
    <t>Mudancas de Tendencias</t>
  </si>
  <si>
    <t>Moving Average Convergence Divergence</t>
  </si>
  <si>
    <t>ADX: 35.97</t>
  </si>
  <si>
    <t xml:space="preserve">5. Conclusão
✔ O MACD é um excelente indicador para identificar mudanças de tendência.
✔ É mais confiável quando combinado com outros indicadores como RSI, ADX e médias móveis.
✔ As divergências do MACD com o preço podem antecipar reversões importantes no mercado.
</t>
  </si>
  <si>
    <t>Pivot Points</t>
  </si>
  <si>
    <t>ATR: 1.20</t>
  </si>
  <si>
    <t>RVOL: 0.71</t>
  </si>
  <si>
    <t>1️⃣ Reversão nos Pivot Points → Se o preço atinge um suporte (S1, S2) e começa a subir, pode ser um bom ponto de compra.
2️⃣ Breakout nos Pivot Points → Se o preço rompe uma resistência (R1, R2) com alto volume, pode indicar uma continuação de tendência.
3️⃣ Stop-Loss e Take-Profit → Os Pivot Points são usados para definir alvos de lucro e limites de perda.
🎯 Estratégia para Definir Take Profit (Alvo de Lucro)
Os níveis de resistência (R1, R2, R3) são usados como alvos de lucro para operações de compra (long):
Se você entra comprado acima do Ponto Pivô (PP), pode definir R1 ou R2 como alvo de lucro.
Em tendências fortes, pode mirar R3 como alvo final.
Exemplo de Take Profit:
Entrada: Compra no PP.
Alvo 1 (Take Profit 1) → R1.
Alvo 2 (Take Profit 2) → R2 (se houver forte momentum).
📌 Dica: Se houver um forte rompimento de R1, pode valer a pena segurar até R2 ou R3.</t>
  </si>
  <si>
    <t>Data: 31/07/2026 03:54:42</t>
  </si>
  <si>
    <t>Entrada: 294.16</t>
  </si>
  <si>
    <t>Níveis de suporte e resistência</t>
  </si>
  <si>
    <t>5. Conclusão
✔ Pivot Points são ferramentas simples e eficazes para identificar suportes e resistências.
✔ Amplamente usados por traders intraday e em estratégias de curto prazo.
✔ Podem ser combinados com outros indicadores como RSI, MACD e Médias Móveis para mais confirmação.
✔ Funcionam melhor em mercados voláteis, como Forex, ações e criptomoedas.</t>
  </si>
  <si>
    <t>Bollinger Bands</t>
  </si>
  <si>
    <t>Stop: 285.11</t>
  </si>
  <si>
    <t>CNA,Preço: 53.26,Dist MM20: 1.84%,Momentum: 1.96,RSI: 60.21,ADX: 35.97,ATR: 1.20,RVOL: 0.71,Estado: Observar,Entrada: N/A,Stop: N/A,Take-Profit: N/A,Break-Even: N/A,Qtd: N/A,Data: 31/07/2026 03:54:42</t>
  </si>
  <si>
    <t>OBV Volume</t>
  </si>
  <si>
    <t>O volume precede o preço. Se o volume aumenta, mas o preço ainda não subiu, pode ser um sinal de que a ação está prestes a se mover.
Se o preço sobe, mas o OBV cai → possível reversão de alta à vista (falta de volume comprador).
Se o preço cai, mas o OBV sobe → força oculta de compra, possível reversão de baixa.</t>
  </si>
  <si>
    <t>On Balance Volume</t>
  </si>
  <si>
    <t>Take-Profit: 307.73</t>
  </si>
  <si>
    <t>O OBV acumula ou subtrai volume diariamente com base no movimento do preço:
Se o preço sobe no dia: o volume do dia é somado ao OBV.
Se o preço cai: o volume do dia é subtraído do OBV.
Se o preço não muda: o OBV permanece igual.
Assim, o OBV se torna uma linha cumulativa que reflete o “fluxo de dinheiro” entrando ou saindo do ativo.</t>
  </si>
  <si>
    <t>Qtd: 11.05</t>
  </si>
  <si>
    <t>GRMN,Preço: 295.67,Dist MM20: 1.11%,Momentum: -1.88,RSI: 58.34,ADX: 45.23,ATR: 7.54,RVOL: 1.18,Estado: Alerta Iminente,Entrada: 294.16,Stop: 285.11,Take-Profit: 307.73,Break-Even: 300.95,Qtd: 11.05,Trailing: 285.11,Data: 20/08/2026 02:09:47</t>
  </si>
  <si>
    <t>CNXC</t>
  </si>
  <si>
    <t>Concentrix</t>
  </si>
  <si>
    <t>19/08/2026 02:04:35</t>
  </si>
  <si>
    <t>Entrada: 102.44</t>
  </si>
  <si>
    <t>Stop: 96.79</t>
  </si>
  <si>
    <t>Take-Profit: 110.92</t>
  </si>
  <si>
    <t>R1</t>
  </si>
  <si>
    <t>Qtd: 17.69</t>
  </si>
  <si>
    <t>CNXC,Preço: 30.51,Dist MM20: 4.40%,Momentum: -1.77,RSI: 59.65,ADX: 16.22,ATR: 1.82,RVOL: 1.48,Estado: Aguardar Recuo,Entrada: 29.78,Stop: 27.96,Take-Profit: 31.96,Break-Even: 30.87,Qtd: 13.74,Trailing: 27.96,Data: 23/09/2026 06:55:24</t>
  </si>
  <si>
    <t>Preço: 24.90</t>
  </si>
  <si>
    <t>Dist MM20: -2.07%</t>
  </si>
  <si>
    <t>Dist MM20: 4.77%</t>
  </si>
  <si>
    <t>Momentum: 2.70</t>
  </si>
  <si>
    <t>RSI: 51.97</t>
  </si>
  <si>
    <t>ANF,Preço: 103.38,Dist MM20: -2.07%,Momentum: 0.89,RSI: 49.96,ADX: 31.19,ATR: 4.71,RVOL: 1.24,Estado: Alerta Iminente,Entrada: 102.44,Stop: 96.79,Take-Profit: 110.92,Break-Even: 106.68,Qtd: 17.69,Trailing: 96.79,Data: 19/08/2026 02:04:34</t>
  </si>
  <si>
    <t>ADX: 13.70</t>
  </si>
  <si>
    <t>ATR: 1.69</t>
  </si>
  <si>
    <t>18/08/2026 09:19:38</t>
  </si>
  <si>
    <t>Data: 31/07/2026 04:04:34</t>
  </si>
  <si>
    <t>CNXC,Preço: 24.90,Dist MM20: 4.77%,Momentum: 2.70,RSI: 51.97,ADX: 13.70,ATR: 1.69,RVOL: 0.57,Estado: Observar,Entrada: N/A,Stop: N/A,Take-Profit: N/A,Break-Even: N/A,Qtd: N/A,Data: 31/07/2026 04:04:34</t>
  </si>
  <si>
    <t>Entrada: 124.13</t>
  </si>
  <si>
    <t>Stop: 120.63</t>
  </si>
  <si>
    <t>Take-Profit: 129.39</t>
  </si>
  <si>
    <t>Dist MM20: 2.19%</t>
  </si>
  <si>
    <t>BABA,Preço: 124.71,Dist MM20: 2.19%,Momentum: 9.52,RSI: 56.24,ADX: 29.11,ATR: 2.92,RVOL: 0.97,Estado: Alerta Iminente,Entrada: 124.13,Stop: 120.63,Take-Profit: 129.39,Break-Even: 126.76,Qtd: 28.54,Trailing: 120.63,Data: 18/08/2026 09:19:37</t>
  </si>
  <si>
    <t>18/08/2026 09:08:23</t>
  </si>
  <si>
    <t>COP,Preço: 125.27,Dist MM20: -6.25%,Momentum: -10.92,RSI: 39.81,ADX: 22.98,ATR: 3.26,RVOL: 1.29,Estado: Observar,Entrada: N/A,Stop: N/A,Take-Profit: N/A,Break-Even: N/A,Qtd: N/A,Trailing: 118.75,Data: 23/09/2026 06:55:23</t>
  </si>
  <si>
    <t>Preço: 132.54</t>
  </si>
  <si>
    <t>Momentum: 1.93</t>
  </si>
  <si>
    <t>BABA,Preço: 124.71,Dist MM20: 2.19%,Momentum: 9.52,RSI: 56.24,ADX: 29.11,ATR: 2.92,RVOL: 0.97,Estado: Alerta Iminente,Entrada: 124.13,Stop: 120.63,Take-Profit: 129.39,Break-Even: 126.76,Qtd: 28.54,Trailing: 120.63,Data: 18/08/2026 09:08:22</t>
  </si>
  <si>
    <t>RSI: 51.47</t>
  </si>
  <si>
    <t>ADX: 26.76</t>
  </si>
  <si>
    <t>ATR: 3.17</t>
  </si>
  <si>
    <t>Trailing: 128.11</t>
  </si>
  <si>
    <t>CRM,Preço: 233.28,Dist MM20: -5.09%,Momentum: -24.83,RSI: 50.04,ADX: 29.02,ATR: 7.98,RVOL: 0.70,Estado: Observar,Entrada: N/A,Stop: N/A,Take-Profit: N/A,Break-Even: N/A,Qtd: N/A,Trailing: 217.32,Data: 23/09/2026 02:20:26</t>
  </si>
  <si>
    <t>Preço: 180.71</t>
  </si>
  <si>
    <t>Dist MM20: 6.47%</t>
  </si>
  <si>
    <t>Momentum: 17.39</t>
  </si>
  <si>
    <t>RSI: 57.79</t>
  </si>
  <si>
    <t>ADX: 12.18</t>
  </si>
  <si>
    <t>ATR: 7.56</t>
  </si>
  <si>
    <t>RVOL: 0.79</t>
  </si>
  <si>
    <t>Data: 31/07/2026 02:23:24</t>
  </si>
  <si>
    <t>CRM,Preço: 180.71,Dist MM20: 6.47%,Momentum: 17.39,RSI: 57.79,ADX: 12.18,ATR: 7.56,RVOL: 0.79,Estado: Observar,Entrada: N/A,Stop: N/A,Take-Profit: N/A,Break-Even: N/A,Qtd: N/A,Data: 31/07/2026 02:23:24</t>
  </si>
  <si>
    <t>Produto</t>
  </si>
  <si>
    <t>Link</t>
  </si>
  <si>
    <t>CSCO,Preço: 106.44,Dist MM20: -3.09%,Momentum: -3.30,RSI: 40.79,ADX: 26.41,ATR: 2.56,RVOL: 1.97,Estado: Observar,Entrada: N/A,Stop: N/A,Take-Profit: N/A,Break-Even: N/A,Qtd: N/A,Trailing: 101.32,Data: 23/09/2026 02:20:44</t>
  </si>
  <si>
    <t>Preço de Custo (€)</t>
  </si>
  <si>
    <t>Preço: 113.56</t>
  </si>
  <si>
    <t>Preço de Venda (€)</t>
  </si>
  <si>
    <t>Dist MM20: -0.38%</t>
  </si>
  <si>
    <t>Margem de Lucro (€)</t>
  </si>
  <si>
    <t>Momentum: -7.75</t>
  </si>
  <si>
    <t>Margem de Lucro (%)</t>
  </si>
  <si>
    <t>RSI: 48.13</t>
  </si>
  <si>
    <t>ADX: 15.56</t>
  </si>
  <si>
    <t>ATR: 3.51</t>
  </si>
  <si>
    <t>Data: 31/07/2026 02:07:39</t>
  </si>
  <si>
    <t>CSCO,Preço: 113.56,Dist MM20: -0.38%,Momentum: -7.75,RSI: 48.13,ADX: 15.56,ATR: 3.51,RVOL: 1.00,Estado: Aguardar Recuo,Entrada: 112.16,Stop: 108.65,Take-Profit: 119.18,Break-Even: 115.67,Qtd: 14.25,Data: 31/07/2026 02:07:39</t>
  </si>
  <si>
    <t>Total Vendido</t>
  </si>
  <si>
    <t>Sapatilhas Adidas RIVALRY LOW Azuis</t>
  </si>
  <si>
    <t>CVX,Preço: 202.41,Dist MM20: -2.91%,Momentum: -8.64,RSI: 44.59,ADX: 27.83,ATR: 4.11,RVOL: 0.93,Estado: Observar,Entrada: N/A,Stop: N/A,Take-Profit: N/A,Break-Even: N/A,Qtd: N/A,Trailing: 194.19,Data: 23/09/2026 06:51:43</t>
  </si>
  <si>
    <t>Preço: 190.40</t>
  </si>
  <si>
    <t>Dist MM20: 1.59%</t>
  </si>
  <si>
    <t>Momentum: 8.80</t>
  </si>
  <si>
    <t>RSI: 55.59</t>
  </si>
  <si>
    <t>ADX: 23.43</t>
  </si>
  <si>
    <t>ATR: 3.66</t>
  </si>
  <si>
    <t>Trailing: 183.08</t>
  </si>
  <si>
    <t>CVX,Preço: 190.40,Dist MM20: 1.59%,Momentum: 8.80,RSI: 55.59,ADX: 23.43,ATR: 3.66,RVOL: 1.25,Estado: Observar,Entrada: N/A,Stop: N/A,Take-Profit: N/A,Break-Even: N/A,Qtd: N/A,Trailing: 183.08,Data: 05/08/2026 10:26:06</t>
  </si>
  <si>
    <t>Empregado</t>
  </si>
  <si>
    <t>Contrato</t>
  </si>
  <si>
    <t>Festa 18 anos Miguel Gastos</t>
  </si>
  <si>
    <t>Fidelidade</t>
  </si>
  <si>
    <t>Ordenado</t>
  </si>
  <si>
    <t>Activo</t>
  </si>
  <si>
    <t>Ferias Extra</t>
  </si>
  <si>
    <t>Antonio</t>
  </si>
  <si>
    <t>Cartao Despesas</t>
  </si>
  <si>
    <t>Galito Dourado</t>
  </si>
  <si>
    <t>Vania</t>
  </si>
  <si>
    <t>Premio</t>
  </si>
  <si>
    <t>Mercadona Gomas e Snacks</t>
  </si>
  <si>
    <t>Sapatilhas Adidas RIVALRY LOW Vermelhas</t>
  </si>
  <si>
    <t xml:space="preserve">Bolos Aniversario e Pao </t>
  </si>
  <si>
    <t>DASH,Preço: 192.21,Dist MM20: -9.10%,Momentum: -33.45,RSI: 34.95,ADX: 25.70,ATR: 7.00,RVOL: 1.36,Estado: Observar,Entrada: N/A,Stop: N/A,Take-Profit: N/A,Break-Even: N/A,Qtd: N/A,Trailing: 178.21,Data: 23/09/2026 02:21:03</t>
  </si>
  <si>
    <t>Combustivel Carrinha</t>
  </si>
  <si>
    <t>Chines toucas e baloes</t>
  </si>
  <si>
    <t>Diferenca</t>
  </si>
  <si>
    <t>Preço: 197.53</t>
  </si>
  <si>
    <t>Adidas Munich</t>
  </si>
  <si>
    <t>Reserva Spa</t>
  </si>
  <si>
    <t>Roupoes Spa</t>
  </si>
  <si>
    <t>Jantar Eco Glamping</t>
  </si>
  <si>
    <t>Momentum: 5.71</t>
  </si>
  <si>
    <t>Prendas Relogio</t>
  </si>
  <si>
    <t>Prendas Camisa</t>
  </si>
  <si>
    <t>RSI: 61.21</t>
  </si>
  <si>
    <t>Prenda perfume</t>
  </si>
  <si>
    <t>ADX: 21.68</t>
  </si>
  <si>
    <t>ATR: 7.96</t>
  </si>
  <si>
    <t>RVOL: 0.89</t>
  </si>
  <si>
    <t>Data: 31/07/2026 02:38:10</t>
  </si>
  <si>
    <t>Dolares</t>
  </si>
  <si>
    <t>Credibom</t>
  </si>
  <si>
    <t>DASH,Preço: 197.53,Dist MM20: 5.18%,Momentum: 5.71,RSI: 61.21,ADX: 21.68,ATR: 7.96,RVOL: 0.89,Estado: Aguardar Recuo,Entrada: 194.35,Stop: 186.39,Take-Profit: 210.27,Break-Even: 202.31,Qtd: 6.28,Data: 31/07/2026 02:38:10</t>
  </si>
  <si>
    <t>Miguel</t>
  </si>
  <si>
    <t>Diadora Laranjas</t>
  </si>
  <si>
    <t>Lara</t>
  </si>
  <si>
    <t>16/10</t>
  </si>
  <si>
    <t>Renda</t>
  </si>
  <si>
    <t>MTIC</t>
  </si>
  <si>
    <t>Juros</t>
  </si>
  <si>
    <t>Enviado numa foto</t>
  </si>
  <si>
    <t>20K</t>
  </si>
  <si>
    <t>Dropbox</t>
  </si>
  <si>
    <t>Taxa Variavel</t>
  </si>
  <si>
    <t>Taxa Fixa</t>
  </si>
  <si>
    <t>25K</t>
  </si>
  <si>
    <t>New Balance Pretos Crianca</t>
  </si>
  <si>
    <t>30K</t>
  </si>
  <si>
    <t>05/dez</t>
  </si>
  <si>
    <t>DBX,Preço: 33.90,Dist MM20: -4.69%,Momentum: -0.36,RSI: 43.68,ADX: 25.77,ATR: 1.25,RVOL: 2.31,Estado: Observar,Entrada: N/A,Stop: N/A,Take-Profit: N/A,Break-Even: N/A,Qtd: N/A,Trailing: 31.40,Data: 23/09/2026 06:50:45</t>
  </si>
  <si>
    <t>35K</t>
  </si>
  <si>
    <t>Taxa Fica</t>
  </si>
  <si>
    <t>Preço: 32.11</t>
  </si>
  <si>
    <t>14/dez</t>
  </si>
  <si>
    <t>Dist MM20: 7.28%</t>
  </si>
  <si>
    <t>22/dez</t>
  </si>
  <si>
    <t>Momentum: 2.92</t>
  </si>
  <si>
    <t>29/dez</t>
  </si>
  <si>
    <t>05/fev</t>
  </si>
  <si>
    <t>RSI: 64.46</t>
  </si>
  <si>
    <t>Voile Blanche</t>
  </si>
  <si>
    <t>17/fev</t>
  </si>
  <si>
    <t>Bilhetes Restelo</t>
  </si>
  <si>
    <t>ADX: 17.82</t>
  </si>
  <si>
    <t>21/fev</t>
  </si>
  <si>
    <t>https://www.vinted.pt/items/8967485728-sapatilhas-voile-blanche-elegancia-urbana-e-design-italiano-premium</t>
  </si>
  <si>
    <t>ATR: 1.04</t>
  </si>
  <si>
    <t>29/04/2025</t>
  </si>
  <si>
    <t>Data: 31/07/2026 04:05:08</t>
  </si>
  <si>
    <t>Outubro</t>
  </si>
  <si>
    <t>DBX,Preço: 32.11,Dist MM20: 7.28%,Momentum: 2.92,RSI: 64.46,ADX: 17.82,ATR: 1.04,RVOL: 1.09,Estado: Observar,Entrada: N/A,Stop: N/A,Take-Profit: N/A,Break-Even: N/A,Qtd: N/A,Data: 31/07/2026 04:05:08</t>
  </si>
  <si>
    <t>Francelina</t>
  </si>
  <si>
    <t>25 Out 2025</t>
  </si>
  <si>
    <t>26 Fev 2026</t>
  </si>
  <si>
    <t>DDOG</t>
  </si>
  <si>
    <t>Datadog</t>
  </si>
  <si>
    <t>Adidas Superstar</t>
  </si>
  <si>
    <t>DDOG,Preço: 247.48,Dist MM20: 8.63%,Momentum: 23.64,RSI: 58.10,ADX: 13.62,ATR: 10.27,RVOL: 0.77,Estado: Aguardar Recuo,Entrada: 243.37,Stop: 233.10,Take-Profit: 255.69,Break-Even: 249.53,Qtd: 2.43,Trailing: 233.10,Data: 23/09/2026 06:44:50</t>
  </si>
  <si>
    <t>Preço: 268.56</t>
  </si>
  <si>
    <t>Dist MM20: 3.95%</t>
  </si>
  <si>
    <t>Momentum: 11.02</t>
  </si>
  <si>
    <t>RSI: 61.88</t>
  </si>
  <si>
    <t>Munich</t>
  </si>
  <si>
    <t>ADX: 18.76</t>
  </si>
  <si>
    <t>ATR: 12.71</t>
  </si>
  <si>
    <t>https://www.munichsports.com/munich-barru-8290163-en</t>
  </si>
  <si>
    <t>Data: 31/07/2026 04:38:38</t>
  </si>
  <si>
    <t>DDOG,Preço: 268.56,Dist MM20: 3.95%,Momentum: 11.02,RSI: 61.88,ADX: 18.76,ATR: 12.71,RVOL: 0.99,Estado: Aguardar Recuo,Entrada: 263.48,Stop: 250.77,Take-Profit: 288.90,Break-Even: 276.19,Qtd: 3.93,Data: 31/07/2026 04:38:38</t>
  </si>
  <si>
    <t>DECK</t>
  </si>
  <si>
    <t>Deckers Outdoor</t>
  </si>
  <si>
    <t>PdH Sapatilhas</t>
  </si>
  <si>
    <t>Hispanitas</t>
  </si>
  <si>
    <t>DECK,Preço: 79.83,Dist MM20: -3.60%,Momentum: -4.75,RSI: 37.70,ADX: 42.98,ATR: 2.36,RVOL: 1.03,Estado: Observar,Entrada: N/A,Stop: N/A,Take-Profit: N/A,Break-Even: N/A,Qtd: N/A,Trailing: 75.11,Data: 23/09/2026 06:55:31</t>
  </si>
  <si>
    <t>Preço: 99.69</t>
  </si>
  <si>
    <t>Dist MM20: -3.79%</t>
  </si>
  <si>
    <t>Momentum: -6.30</t>
  </si>
  <si>
    <t>RSI: 43.86</t>
  </si>
  <si>
    <t>ADX: 14.33</t>
  </si>
  <si>
    <t>Gant Castanhos</t>
  </si>
  <si>
    <t>ATR: 3.79</t>
  </si>
  <si>
    <t>RVOL: 0.76</t>
  </si>
  <si>
    <t>Data: 31/07/2026 04:39:28</t>
  </si>
  <si>
    <t>DECK,Preço: 99.69,Dist MM20: -3.79%,Momentum: -6.30,RSI: 43.86,ADX: 14.33,ATR: 3.79,RVOL: 0.76,Estado: Observar,Entrada: N/A,Stop: N/A,Take-Profit: N/A,Break-Even: N/A,Qtd: N/A,Data: 31/07/2026 04:39:28</t>
  </si>
  <si>
    <t>DELL</t>
  </si>
  <si>
    <t>Timberland Vela</t>
  </si>
  <si>
    <t>Hackett Verdes</t>
  </si>
  <si>
    <t>DELL,Preço: 548.92,Dist MM20: 6.36%,Momentum: 123.92,RSI: 56.98,ADX: 21.98,ATR: 32.55,RVOL: 0.91,Estado: Observar,Entrada: N/A,Stop: N/A,Take-Profit: N/A,Break-Even: N/A,Qtd: N/A,Trailing: 483.82,Data: 23/09/2026 02:21:22</t>
  </si>
  <si>
    <t>Preço: 404.81</t>
  </si>
  <si>
    <t>Dist MM20: -2.73%</t>
  </si>
  <si>
    <t>Momentum: -30.16</t>
  </si>
  <si>
    <t>RSI: 49.65</t>
  </si>
  <si>
    <t>ADX: 18.83</t>
  </si>
  <si>
    <t>Montijo</t>
  </si>
  <si>
    <t>ATR: 30.49</t>
  </si>
  <si>
    <t>Tavares</t>
  </si>
  <si>
    <t>Data: 31/07/2026 02:35:00</t>
  </si>
  <si>
    <t>DELL,Preço: 404.81,Dist MM20: -2.73%,Momentum: -30.16,RSI: 49.65,ADX: 18.83,ATR: 30.49,RVOL: 0.75,Estado: Aguardar Recuo,Entrada: 392.61,Stop: 362.12,Take-Profit: 453.59,Break-Even: 423.10,Qtd: 1.64,Data: 31/07/2026 02:35:00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</si>
  <si>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</si>
  <si>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</si>
  <si>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</si>
  <si>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</si>
  <si>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</si>
  <si>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</si>
  <si>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</si>
  <si>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</si>
  <si>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</si>
  <si>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</si>
  <si>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</si>
  <si>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</si>
  <si>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Gas</t>
  </si>
  <si>
    <t>6,74</t>
  </si>
  <si>
    <t>10,24</t>
  </si>
  <si>
    <t>9,27</t>
  </si>
  <si>
    <t>7,23</t>
  </si>
  <si>
    <t>7,37</t>
  </si>
  <si>
    <t>7,28</t>
  </si>
  <si>
    <t>8,17</t>
  </si>
  <si>
    <t>23,42</t>
  </si>
  <si>
    <t>Agua</t>
  </si>
  <si>
    <t>26,24</t>
  </si>
  <si>
    <t>8,23</t>
  </si>
  <si>
    <t>22,96</t>
  </si>
  <si>
    <t>11,58</t>
  </si>
  <si>
    <t>21,04</t>
  </si>
  <si>
    <t>23,38</t>
  </si>
  <si>
    <t>22,2</t>
  </si>
  <si>
    <t>2,39</t>
  </si>
  <si>
    <t>Aquathin</t>
  </si>
  <si>
    <t>48,98</t>
  </si>
  <si>
    <t>34,47</t>
  </si>
  <si>
    <t>48,23</t>
  </si>
  <si>
    <t>34,81</t>
  </si>
  <si>
    <t>44,41</t>
  </si>
  <si>
    <t>39,38</t>
  </si>
  <si>
    <t>46,37</t>
  </si>
  <si>
    <t>41,81</t>
  </si>
  <si>
    <t>Maquina Aquathin</t>
  </si>
  <si>
    <t>Valor</t>
  </si>
  <si>
    <t>Manutencao</t>
  </si>
  <si>
    <t>22,84</t>
  </si>
  <si>
    <t>26,37</t>
  </si>
  <si>
    <t>35,01</t>
  </si>
  <si>
    <t>16,9</t>
  </si>
  <si>
    <t>62,17</t>
  </si>
  <si>
    <t>23,21</t>
  </si>
  <si>
    <t>9,42</t>
  </si>
  <si>
    <t>16,68</t>
  </si>
  <si>
    <t>12,19</t>
  </si>
  <si>
    <t>21,89</t>
  </si>
  <si>
    <t>11,47</t>
  </si>
  <si>
    <t>9,19</t>
  </si>
  <si>
    <t>Caucao</t>
  </si>
  <si>
    <t>21,41</t>
  </si>
  <si>
    <t>9,9</t>
  </si>
  <si>
    <t>18,57</t>
  </si>
  <si>
    <t>11,27</t>
  </si>
  <si>
    <t>16,43</t>
  </si>
  <si>
    <t>16,39</t>
  </si>
  <si>
    <t>18,76</t>
  </si>
  <si>
    <t>25,56</t>
  </si>
  <si>
    <t>18,63</t>
  </si>
  <si>
    <t>21,07</t>
  </si>
  <si>
    <t>60,25</t>
  </si>
  <si>
    <t>52,27</t>
  </si>
  <si>
    <t>69,58</t>
  </si>
  <si>
    <t>44,17</t>
  </si>
  <si>
    <t>94,6</t>
  </si>
  <si>
    <t>55,6</t>
  </si>
  <si>
    <t>44,18</t>
  </si>
  <si>
    <t>67,15</t>
  </si>
  <si>
    <t>32,39</t>
  </si>
  <si>
    <t>41,56</t>
  </si>
  <si>
    <t>46,1</t>
  </si>
  <si>
    <t>46,26</t>
  </si>
  <si>
    <t>Canalizador Sr Luis</t>
  </si>
  <si>
    <t>DPZ,Preço: 297.11,Dist MM20: -8.58%,Momentum: -43.26,RSI: 33.93,ADX: 26.46,ATR: 8.99,RVOL: 0.92,Estado: Observar,Entrada: N/A,Stop: N/A,Take-Profit: N/A,Break-Even: N/A,Qtd: N/A,Trailing: 279.13,Data: 23/09/2026 06:55:34</t>
  </si>
  <si>
    <t>Paulo Carpinteiro</t>
  </si>
  <si>
    <t>17,18</t>
  </si>
  <si>
    <t>Preço: 352.25</t>
  </si>
  <si>
    <t>23,11</t>
  </si>
  <si>
    <t>24,87</t>
  </si>
  <si>
    <t>24,01</t>
  </si>
  <si>
    <t>24,54</t>
  </si>
  <si>
    <t>24,07</t>
  </si>
  <si>
    <t>20,49</t>
  </si>
  <si>
    <t>14,16</t>
  </si>
  <si>
    <t>19,3</t>
  </si>
  <si>
    <t>18,53</t>
  </si>
  <si>
    <t>12,46</t>
  </si>
  <si>
    <t>19,6</t>
  </si>
  <si>
    <t>Torneira cozinha</t>
  </si>
  <si>
    <t>Dist MM20: 9.17%</t>
  </si>
  <si>
    <t>20,94</t>
  </si>
  <si>
    <t>19,37</t>
  </si>
  <si>
    <t>18,85</t>
  </si>
  <si>
    <t>23,52</t>
  </si>
  <si>
    <t>18,87</t>
  </si>
  <si>
    <t>21,7</t>
  </si>
  <si>
    <t>35,22</t>
  </si>
  <si>
    <t>21,19</t>
  </si>
  <si>
    <t>Momentum: 52.79</t>
  </si>
  <si>
    <t>WC Autoclismo</t>
  </si>
  <si>
    <t>14/09/2025</t>
  </si>
  <si>
    <t>RSI: 65.75</t>
  </si>
  <si>
    <t>51,81</t>
  </si>
  <si>
    <t>60,05</t>
  </si>
  <si>
    <t>60,24</t>
  </si>
  <si>
    <t>58,86</t>
  </si>
  <si>
    <t>59,39</t>
  </si>
  <si>
    <t>63,59</t>
  </si>
  <si>
    <t>ADX: 30.93</t>
  </si>
  <si>
    <t>55,36</t>
  </si>
  <si>
    <t>49,03</t>
  </si>
  <si>
    <t>37,7</t>
  </si>
  <si>
    <t>51,22</t>
  </si>
  <si>
    <t>49,65</t>
  </si>
  <si>
    <t>59,12</t>
  </si>
  <si>
    <t>ATR: 14.18</t>
  </si>
  <si>
    <t>RVOL: 0.78</t>
  </si>
  <si>
    <t>Data: 31/07/2026 03:55:07</t>
  </si>
  <si>
    <t>23,12</t>
  </si>
  <si>
    <t>22,81</t>
  </si>
  <si>
    <t>32,5</t>
  </si>
  <si>
    <t>16,34</t>
  </si>
  <si>
    <t>24,32</t>
  </si>
  <si>
    <t>DPZ,Preço: 352.25,Dist MM20: 9.17%,Momentum: 52.79,RSI: 65.75,ADX: 30.93,ATR: 14.18,RVOL: 0.78,Estado: Observar,Entrada: N/A,Stop: N/A,Take-Profit: N/A,Break-Even: N/A,Qtd: N/A,Data: 31/07/2026 03:55:07</t>
  </si>
  <si>
    <t>18,7</t>
  </si>
  <si>
    <t>20,66</t>
  </si>
  <si>
    <t>21,34</t>
  </si>
  <si>
    <t>16,3</t>
  </si>
  <si>
    <t>21,18</t>
  </si>
  <si>
    <t>61,82</t>
  </si>
  <si>
    <t>63,47</t>
  </si>
  <si>
    <t>73,84</t>
  </si>
  <si>
    <t>52,64</t>
  </si>
  <si>
    <t>65,5</t>
  </si>
  <si>
    <t>DTE</t>
  </si>
  <si>
    <t>DTE Energy</t>
  </si>
  <si>
    <t>Internet</t>
  </si>
  <si>
    <t>Eletricidade</t>
  </si>
  <si>
    <t>Alimentacao</t>
  </si>
  <si>
    <t>Passe</t>
  </si>
  <si>
    <t>Viagens</t>
  </si>
  <si>
    <t>DTE,Preço: 125.41,Dist MM20: -6.05%,Momentum: -10.65,RSI: 20.19,ADX: 32.71,ATR: 2.10,RVOL: 1.67,Estado: Observar,Entrada: N/A,Stop: N/A,Take-Profit: N/A,Break-Even: N/A,Qtd: N/A,Trailing: 121.21,Data: 23/09/2026 06:55:33</t>
  </si>
  <si>
    <t>Miguel Despesas</t>
  </si>
  <si>
    <t>Preço: 130.70</t>
  </si>
  <si>
    <t>Dist MM20: -3.45%</t>
  </si>
  <si>
    <t>Momentum: -7.01</t>
  </si>
  <si>
    <t>RSI: 29.04</t>
  </si>
  <si>
    <t>Lidl</t>
  </si>
  <si>
    <t>Renex</t>
  </si>
  <si>
    <t>ADX: 24.23</t>
  </si>
  <si>
    <t>IKEA</t>
  </si>
  <si>
    <t>03/set</t>
  </si>
  <si>
    <t>Farmacia</t>
  </si>
  <si>
    <t>ATR: 2.14</t>
  </si>
  <si>
    <t>01/set</t>
  </si>
  <si>
    <t>CASA Montijo</t>
  </si>
  <si>
    <t>Bilhete Feira</t>
  </si>
  <si>
    <t>Trailing: 126.42</t>
  </si>
  <si>
    <t>Brico Depot</t>
  </si>
  <si>
    <t>02/set</t>
  </si>
  <si>
    <t>17/09/2026 07:54:56</t>
  </si>
  <si>
    <t>16/09</t>
  </si>
  <si>
    <t>30/ago</t>
  </si>
  <si>
    <t>DTE,Preço: 130.70,Dist MM20: -3.45%,Momentum: -7.01,RSI: 29.04,ADX: 24.23,ATR: 2.14,RVOL: 1.73,Estado: Observar,Entrada: N/A,Stop: N/A,Take-Profit: N/A,Break-Even: N/A,Qtd: N/A,Trailing: 126.42,Data: 17/09/2026 07:54:34</t>
  </si>
  <si>
    <t>Caderno Algebra</t>
  </si>
  <si>
    <t>Deslocacao</t>
  </si>
  <si>
    <t>Home</t>
  </si>
  <si>
    <t>EBAY</t>
  </si>
  <si>
    <t>Ebay</t>
  </si>
  <si>
    <t>Bolsa</t>
  </si>
  <si>
    <t>R5 Down</t>
  </si>
  <si>
    <t>EBAY,Preço: 109.28,Dist MM20: 2.51%,Momentum: 4.30,RSI: 53.66,ADX: 11.18,ATR: 3.57,RVOL: 0.85,Estado: Aguardar Recuo,Entrada: 107.85,Stop: 104.28,Take-Profit: 112.13,Break-Even: 109.99,Qtd: 7.00,Trailing: 104.28,Data: 23/09/2026 02:21:42</t>
  </si>
  <si>
    <t>Preço: 113.52</t>
  </si>
  <si>
    <t>Dist MM20: -0.10%</t>
  </si>
  <si>
    <t>Momentum: -3.68</t>
  </si>
  <si>
    <t>RSI: 52.29</t>
  </si>
  <si>
    <t>ADX: 13.10</t>
  </si>
  <si>
    <t>ATR: 3.05</t>
  </si>
  <si>
    <t>Data: 31/07/2026 02:08:12</t>
  </si>
  <si>
    <t>EBAY,Preço: 113.52,Dist MM20: -0.10%,Momentum: -3.68,RSI: 52.29,ADX: 13.10,ATR: 3.05,RVOL: 0.74,Estado: Observar,Entrada: N/A,Stop: N/A,Take-Profit: N/A,Break-Even: N/A,Qtd: N/A,Data: 31/07/2026 02:08:12</t>
  </si>
  <si>
    <t>ECL</t>
  </si>
  <si>
    <t>Ecolab</t>
  </si>
  <si>
    <t>ECL,Preço: 276.22,Dist MM20: -0.71%,Momentum: -4.03,RSI: 49.13,ADX: 12.57,ATR: 4.96,RVOL: 0.94,Estado: Observar,Entrada: N/A,Stop: N/A,Take-Profit: N/A,Break-Even: N/A,Qtd: N/A,Trailing: 266.30,Data: 23/09/2026 06:55:42</t>
  </si>
  <si>
    <t>Preço: 285.47</t>
  </si>
  <si>
    <t>Dist MM20: 4.14%</t>
  </si>
  <si>
    <t>Momentum: 9.76</t>
  </si>
  <si>
    <t>RSI: 62.04</t>
  </si>
  <si>
    <t>ADX: 17.67</t>
  </si>
  <si>
    <t>ATR: 6.27</t>
  </si>
  <si>
    <t>Trailing: 276.69</t>
  </si>
  <si>
    <t>ECL,Preço: 285.47,Dist MM20: 4.14%,Momentum: 9.76,RSI: 62.04,ADX: 17.67,ATR: 6.27,RVOL: 0.77,Estado: Aguardar Recuo,Entrada: 282.96,Stop: 276.69,Take-Profit: 295.50,Break-Even: 289.23,Qtd: 7.97,Trailing: 276.69,Data: 06/08/2026 06:24:23</t>
  </si>
  <si>
    <t>Preço: 84.88</t>
  </si>
  <si>
    <t>Dist MM20: 2.60%</t>
  </si>
  <si>
    <t>Momentum: 2.22</t>
  </si>
  <si>
    <t>RSI: 55.74</t>
  </si>
  <si>
    <t>ADX: 8.71</t>
  </si>
  <si>
    <t>ATR: 2.40</t>
  </si>
  <si>
    <t>Data: 31/07/2026 02:08:45</t>
  </si>
  <si>
    <t>META</t>
  </si>
  <si>
    <t>Plano de Operação
1. Entradas
Entrada principal: próximo ao preço atual (~US$ 700–705), ou se apresentar leve retração até US$ 685–690 com candle de reversão e volume.
Compra adicional (se confirmado breakout): acima de R1 (~US$ 723–725) com volume crescente.
2. Gestão de Risco
Stop-loss inicial: abaixo do nível de suporte S1 (~US$ 687), com stop em US$ 685.
Stop móvel após subida: ajustar manualmente para travar ganhos conforme a ação avançar, por exemplo 5–8% abaixo do preço de pico.
3. Objetivo de Lucro ("Take Profit")
Situação	Ação
Meta atingir US$ 775–812	Realizar 50% da posição
Resto da ação	Manter com trailing stop manual para buscar ganhos até US$ 825+</t>
  </si>
  <si>
    <t>Entrada: 40,60 ~ 41,20</t>
  </si>
  <si>
    <t>↓</t>
  </si>
  <si>
    <t>EL,Preço: 84.88,Dist MM20: 2.60%,Momentum: 2.22,RSI: 55.74,ADX: 8.71,ATR: 2.40,RVOL: 0.96,Estado: Aguardar Recuo,Entrada: 83.92,Stop: 81.52,Take-Profit: 88.72,Break-Even: 86.32,Qtd: 20.83,Data: 31/07/2026 02:08:45</t>
  </si>
  <si>
    <t>Stop Loss: 39,20</t>
  </si>
  <si>
    <t>↑</t>
  </si>
  <si>
    <t>Take Profit 1: 44,00</t>
  </si>
  <si>
    <t>Take Profit 2: 46,50</t>
  </si>
  <si>
    <t>EMR,Preço: 154.19,Dist MM20: 1.92%,Momentum: 6.56,RSI: 54.70,ADX: 21.04,ATR: 3.15,RVOL: 0.82,Estado: Observar,Entrada: N/A,Stop: N/A,Take-Profit: N/A,Break-Even: N/A,Qtd: N/A,Trailing: 147.89,Data: 23/09/2026 06:50:42</t>
  </si>
  <si>
    <t>Preço: 158.84</t>
  </si>
  <si>
    <t>Dist MM20: 10.81%</t>
  </si>
  <si>
    <t>Momentum: 22.59</t>
  </si>
  <si>
    <t>RSI: 69.60</t>
  </si>
  <si>
    <t>ADX: 21.48</t>
  </si>
  <si>
    <t>ATR: 4.69</t>
  </si>
  <si>
    <t>RVOL: 1.86</t>
  </si>
  <si>
    <t>Trailing: 152.27</t>
  </si>
  <si>
    <t>EMR,Preço: 158.84,Dist MM20: 10.81%,Momentum: 22.59,RSI: 69.60,ADX: 21.48,ATR: 4.69,RVOL: 1.86,Estado: Aguardar Recuo,Entrada: 156.96,Stop: 152.27,Take-Profit: 166.34,Break-Even: 161.65,Qtd: 10.66,Trailing: 152.27,Data: 05/08/2026 10:53:25</t>
  </si>
  <si>
    <t>ENVX,Preço: 3.06,Dist MM20: -4.88%,Momentum: -0.29,RSI: 38.20,ADX: 39.66,ATR: 0.15,RVOL: 0.92,Estado: Observar,Entrada: N/A,Stop: N/A,Take-Profit: N/A,Break-Even: N/A,Qtd: N/A,Trailing: 2.76,Data: 23/09/2026 06:55:43</t>
  </si>
  <si>
    <t>Preço: 4.18</t>
  </si>
  <si>
    <t>Dist MM20: -11.68%</t>
  </si>
  <si>
    <t>Momentum: -1.02</t>
  </si>
  <si>
    <t>RSI: 38.66</t>
  </si>
  <si>
    <t>ADX: 34.51</t>
  </si>
  <si>
    <t>ATR: 0.33</t>
  </si>
  <si>
    <t>Data: 31/07/2026 04:05:43</t>
  </si>
  <si>
    <t>EOG</t>
  </si>
  <si>
    <t>EOG Resources</t>
  </si>
  <si>
    <t>EOG,Preço: 139.52,Dist MM20: -4.37%,Momentum: -8.83,RSI: 40.17,ADX: 11.61,ATR: 3.47,RVOL: 0.98,Estado: Observar,Entrada: N/A,Stop: N/A,Take-Profit: N/A,Break-Even: N/A,Qtd: N/A,Trailing: 132.58,Data: 23/09/2026 06:55:47</t>
  </si>
  <si>
    <t>Preço: 144.93</t>
  </si>
  <si>
    <t>Dist MM20: -1.82%</t>
  </si>
  <si>
    <t>Momentum: 0.09</t>
  </si>
  <si>
    <t>RSI: 48.07</t>
  </si>
  <si>
    <t>ADX: 10.57</t>
  </si>
  <si>
    <t>ATR: 3.55</t>
  </si>
  <si>
    <t>RVOL: 1.44</t>
  </si>
  <si>
    <t>Trailing: 137.83</t>
  </si>
  <si>
    <t>EOG,Preço: 144.93,Dist MM20: -1.82%,Momentum: 0.09,RSI: 48.07,ADX: 10.57,ATR: 3.55,RVOL: 1.44,Estado: Observar,Entrada: N/A,Stop: N/A,Take-Profit: N/A,Break-Even: N/A,Qtd: N/A,Trailing: 137.83,Data: 17/09/2026 03:51:45</t>
  </si>
  <si>
    <t>FAST</t>
  </si>
  <si>
    <t>Fastenal</t>
  </si>
  <si>
    <t>AAPL,Preço: 331.34,Dist MM20: 3.78%,Momentum: 21.44,RSI: 61.31,ADX: 14.53,ATR: 7.57,RVOL: 0.74,Estado: Observar,Entrada: N/A,Stop: N/A,Take-Profit: N/A,Break-Even: N/A,Qtd: N/A,Trailing: 316.20,Data: 16/09/2026 02:04:26</t>
  </si>
  <si>
    <t>FAST,Preço: 50.08,Dist MM20: 1.22%,Momentum: 1.33,RSI: 55.11,ADX: 12.57,ATR: 1.01,RVOL: 1.07,Estado: Aguardar Recuo,Entrada: 49.68,Stop: 48.67,Take-Profit: 50.89,Break-Even: 50.28,Qtd: 24.75,Trailing: 48.67,Data: 23/09/2026 06:44:58</t>
  </si>
  <si>
    <t>Preço: 46.66</t>
  </si>
  <si>
    <t>Dist MM20: 0.11%</t>
  </si>
  <si>
    <t>Momentum: 0.17</t>
  </si>
  <si>
    <t>RSI: 50.92</t>
  </si>
  <si>
    <t>ADX: 15.73</t>
  </si>
  <si>
    <t>ATR: 1.46</t>
  </si>
  <si>
    <t>Data: 31/07/2026 04:39:12</t>
  </si>
  <si>
    <t>FAST,Preço: 46.66,Dist MM20: 0.11%,Momentum: 0.17,RSI: 50.92,ADX: 15.73,ATR: 1.46,RVOL: 0.89,Estado: Observar,Entrada: N/A,Stop: N/A,Take-Profit: N/A,Break-Even: N/A,Qtd: N/A,Data: 31/07/2026 04:39:12</t>
  </si>
  <si>
    <t>FIG</t>
  </si>
  <si>
    <t>Figma</t>
  </si>
  <si>
    <t>FIG,Preço: 21.80,Dist MM20: -11.84%,Momentum: -5.39,RSI: 38.58,ADX: 14.12,ATR: 1.25,RVOL: 0.91,Estado: Observar,Entrada: N/A,Stop: N/A,Take-Profit: N/A,Break-Even: N/A,Qtd: N/A,Trailing: 19.30,Data: 23/09/2026 06:55:50</t>
  </si>
  <si>
    <t>Preço: 23.76</t>
  </si>
  <si>
    <t>ABNB,Preço: 168.32,Dist MM20: -7.05%,Momentum: -22.18,RSI: 42.37,ADX: 28.40,ATR: 4.84,RVOL: 0.54,Estado: Observar,Entrada: N/A,Stop: N/A,Take-Profit: N/A,Break-Even: N/A,Qtd: N/A,Trailing: 158.64,Data: 16/09/2026 02:45:53</t>
  </si>
  <si>
    <t>Dist MM20: 5.04%</t>
  </si>
  <si>
    <t>Momentum: 2.64</t>
  </si>
  <si>
    <t>RSI: 56.54</t>
  </si>
  <si>
    <t>ADX: 15.82</t>
  </si>
  <si>
    <t>ATR: 1.72</t>
  </si>
  <si>
    <t>Data: 31/07/2026 04:38:03</t>
  </si>
  <si>
    <t>FIG,Preço: 23.76,Dist MM20: 5.04%,Momentum: 2.64,RSI: 56.54,ADX: 15.82,ATR: 1.72,RVOL: 1.06,Estado: Observar,Entrada: N/A,Stop: N/A,Take-Profit: N/A,Break-Even: N/A,Qtd: N/A,Data: 31/07/2026 04:38:03</t>
  </si>
  <si>
    <t>FITB</t>
  </si>
  <si>
    <t>Fifth Third Bancorp</t>
  </si>
  <si>
    <t>FITB,Preço: 52.76,Dist MM20: -2.47%,Momentum: -0.25,RSI: 38.29,ADX: 21.84,ATR: 1.09,RVOL: 1.54,Estado: Observar,Entrada: N/A,Stop: N/A,Take-Profit: N/A,Break-Even: N/A,Qtd: N/A,Trailing: 50.58,Data: 23/09/2026 06:55:51</t>
  </si>
  <si>
    <t>Preço: 56.59</t>
  </si>
  <si>
    <t>Dist MM20: -1.34%</t>
  </si>
  <si>
    <t>Momentum: -0.48</t>
  </si>
  <si>
    <t>RSI: 50.98</t>
  </si>
  <si>
    <t>ADX: 19.13</t>
  </si>
  <si>
    <t>Data: 31/07/2026 04:36:56</t>
  </si>
  <si>
    <t>FITB,Preço: 56.59,Dist MM20: -1.34%,Momentum: -0.48,RSI: 50.98,ADX: 19.13,ATR: 1.32,RVOL: 1.19,Estado: Aguardar Recuo,Entrada: 56.06,Stop: 54.74,Take-Profit: 58.70,Break-Even: 57.38,Qtd: 37.88,Data: 31/07/2026 04:36:56</t>
  </si>
  <si>
    <t>ABT,Preço: 102.03,Dist MM20: -7.11%,Momentum: -14.10,RSI: 35.41,ADX: 24.61,ATR: 2.64,RVOL: 0.94,Estado: Observar,Entrada: N/A,Stop: N/A,Take-Profit: N/A,Break-Even: N/A,Qtd: N/A,Trailing: 96.75,Data: 16/09/2026 02:04:45</t>
  </si>
  <si>
    <t>FLEX</t>
  </si>
  <si>
    <t>Flex Ltd</t>
  </si>
  <si>
    <t>FLEX,Preço: 114.45,Dist MM20: 3.81%,Momentum: 7.59,RSI: 52.18,ADX: 14.02,ATR: 4.61,RVOL: 0.84,Estado: Aguardar Recuo,Entrada: 112.61,Stop: 108.00,Take-Profit: 118.14,Break-Even: 115.38,Qtd: 5.42,Trailing: 108.00,Data: 23/09/2026 06:45:04</t>
  </si>
  <si>
    <t>Preço: 108.00</t>
  </si>
  <si>
    <t>Dist MM20: -2.44%</t>
  </si>
  <si>
    <t>RSI: 43.88</t>
  </si>
  <si>
    <t>ADX: 16.31</t>
  </si>
  <si>
    <t>ATR: 4.36</t>
  </si>
  <si>
    <t>RVOL: 0.69</t>
  </si>
  <si>
    <t>Trailing: 99.28</t>
  </si>
  <si>
    <t>16/09/2026 03:09:53</t>
  </si>
  <si>
    <t>FLEX,Preço: 108.00,Dist MM20: -2.44%,Momentum: -1.25,RSI: 43.88,ADX: 16.31,ATR: 4.36,RVOL: 0.69,Estado: Observar,Entrada: N/A,Stop: N/A,Take-Profit: N/A,Break-Even: N/A,Qtd: N/A,Trailing: 99.28,Data: 16/09/2026 03:08:54</t>
  </si>
  <si>
    <t>FLR</t>
  </si>
  <si>
    <t>Fluor Company</t>
  </si>
  <si>
    <t>ACN,Preço: 193.40,Dist MM20: 4.40%,Momentum: 6.47,RSI: 61.68,ADX: 20.39,ATR: 5.51,RVOL: 1.20,Estado: Observar,Entrada: N/A,Stop: N/A,Take-Profit: N/A,Break-Even: N/A,Qtd: N/A,Trailing: 182.38,Data: 16/09/2026 02:46:06</t>
  </si>
  <si>
    <t>FLR,Preço: 54.03,Dist MM20: -0.87%,Momentum: -2.22,RSI: 50.40,ADX: 14.64,ATR: 1.81,RVOL: 0.75,Estado: Observar,Entrada: N/A,Stop: N/A,Take-Profit: N/A,Break-Even: N/A,Qtd: N/A,Trailing: 50.41,Data: 23/09/2026 06:55:53</t>
  </si>
  <si>
    <t>Preço: 53.51</t>
  </si>
  <si>
    <t>Dist MM20: -1.13%</t>
  </si>
  <si>
    <t>Momentum: 2.23</t>
  </si>
  <si>
    <t>RSI: 49.33</t>
  </si>
  <si>
    <t>ADX: 19.90</t>
  </si>
  <si>
    <t>ATR: 1.90</t>
  </si>
  <si>
    <t>RVOL: 0.87</t>
  </si>
  <si>
    <t>Trailing: 49.71</t>
  </si>
  <si>
    <t>15/09/2026 10:39:54</t>
  </si>
  <si>
    <t>FLR,Preço: 53.51,Dist MM20: -1.13%,Momentum: 2.23,RSI: 49.33,ADX: 19.90,ATR: 1.90,RVOL: 0.87,Estado: Observar,Entrada: N/A,Stop: N/A,Take-Profit: N/A,Break-Even: N/A,Qtd: N/A,Trailing: 49.71,Data: 15/09/2026 10:36:05</t>
  </si>
  <si>
    <t>GD</t>
  </si>
  <si>
    <t>General Dynamics</t>
  </si>
  <si>
    <t>GD,Preço: 343.39,Dist MM20: -5.26%,Momentum: -26.02,RSI: 26.27,ADX: 44.23,ATR: 6.79,RVOL: 1.10,Estado: Observar,Entrada: N/A,Stop: N/A,Take-Profit: N/A,Break-Even: N/A,Qtd: N/A,Trailing: 329.81,Data: 23/09/2026 06:55:51</t>
  </si>
  <si>
    <t>Preço: 385.76</t>
  </si>
  <si>
    <t>Dist MM20: 2.24%</t>
  </si>
  <si>
    <t>Momentum: 20.13</t>
  </si>
  <si>
    <t>RSI: 62.20</t>
  </si>
  <si>
    <t>ADX: 21.28</t>
  </si>
  <si>
    <t>ATR: 8.62</t>
  </si>
  <si>
    <t>Trailing: 373.69</t>
  </si>
  <si>
    <t>GD,Preço: 385.76,Dist MM20: 2.24%,Momentum: 20.13,RSI: 62.20,ADX: 21.28,ATR: 8.62,RVOL: 0.69,Estado: Aguardar Recuo,Entrada: 382.31,Stop: 373.69,Take-Profit: 399.55,Break-Even: 390.93,Qtd: 5.80,Trailing: 373.69,Data: 05/08/2026 10:31:42</t>
  </si>
  <si>
    <t>GOOGL</t>
  </si>
  <si>
    <t>Alphabet US Class A</t>
  </si>
  <si>
    <t>ADBE,Preço: 257.76,Dist MM20: -5.15%,Momentum: -16.16,RSI: 46.44,ADX: 20.87,ATR: 9.13,RVOL: 0.92,Estado: Observar,Entrada: N/A,Stop: N/A,Take-Profit: N/A,Break-Even: N/A,Qtd: N/A,Trailing: 239.50,Data: 16/09/2026 02:05:06</t>
  </si>
  <si>
    <t>S2 Up</t>
  </si>
  <si>
    <t>GOOGL,Preço: 351.16,Dist MM20: 2.54%,Momentum: 16.14,RSI: 55.26,ADX: 13.88,ATR: 7.29,RVOL: 1.13,Estado: Observar,Entrada: N/A,Stop: N/A,Take-Profit: N/A,Break-Even: N/A,Qtd: N/A,Trailing: 336.58,Data: 23/09/2026 02:34:24</t>
  </si>
  <si>
    <t>Preço: 333.66</t>
  </si>
  <si>
    <t>Dist MM20: -4.19%</t>
  </si>
  <si>
    <t>Momentum: -23.52</t>
  </si>
  <si>
    <t>RSI: 42.10</t>
  </si>
  <si>
    <t>ADX: 14.32</t>
  </si>
  <si>
    <t>ATR: 9.58</t>
  </si>
  <si>
    <t>Data: 31/07/2026 02:05:25</t>
  </si>
  <si>
    <t>GOOGL,Preço: 333.66,Dist MM20: -4.19%,Momentum: -23.52,RSI: 42.10,ADX: 14.32,ATR: 9.58,RVOL: 1.03,Estado: Observar,Entrada: N/A,Stop: N/A,Take-Profit: N/A,Break-Even: N/A,Qtd: N/A,Data: 31/07/2026 02:05:25</t>
  </si>
  <si>
    <t>GRMN,Preço: 284.67,Dist MM20: 1.75%,Momentum: 9.50,RSI: 54.53,ADX: 17.08,ATR: 6.47,RVOL: 1.37,Estado: Aguardar Recuo,Entrada: 282.08,Stop: 275.61,Take-Profit: 289.84,Break-Even: 285.96,Qtd: 3.86,Trailing: 275.61,Data: 23/09/2026 02:34:42</t>
  </si>
  <si>
    <t>Preço: 297.55</t>
  </si>
  <si>
    <t>Dist MM20: 19.36%</t>
  </si>
  <si>
    <t>Momentum: 54.44</t>
  </si>
  <si>
    <t>RSI: 80.66</t>
  </si>
  <si>
    <t>ATR: 9.52</t>
  </si>
  <si>
    <t>Data: 31/07/2026 02:09:02</t>
  </si>
  <si>
    <t>GRMN,Preço: 297.55,Dist MM20: 19.36%,Momentum: 54.44,RSI: 80.66,ADX: 21.28,ATR: 9.52,RVOL: 1.07,Estado: Aguardar Recuo,Entrada: 293.74,Stop: 284.22,Take-Profit: 312.78,Break-Even: 303.26,Qtd: 5.25,Data: 31/07/2026 02:09:02</t>
  </si>
  <si>
    <t>HOOD</t>
  </si>
  <si>
    <t>Robinhood Markets</t>
  </si>
  <si>
    <t>HOOD,Preço: 124.25,Dist MM20: 9.87%,Momentum: 20.74,RSI: 62.94,ADX: 19.11,ATR: 6.42,RVOL: 0.69,Estado: Aguardar Recuo,Entrada: 121.68,Stop: 115.26,Take-Profit: 129.38,Break-Even: 125.53,Qtd: 3.89,Trailing: 115.26,Data: 23/09/2026 06:45:18</t>
  </si>
  <si>
    <t>ADS,Preço: 141.70,Dist MM20: -5.07%,Momentum: -9.45,RSI: 28.77,ADX: 44.72,ATR: 3.36,RVOL: 1.85,Estado: Observar,Entrada: N/A,Stop: N/A,Take-Profit: N/A,Break-Even: N/A,Qtd: N/A,Trailing: 134.98,Data: 16/09/2026 02:46:05</t>
  </si>
  <si>
    <t>Preço: 86.60</t>
  </si>
  <si>
    <t>Preço: 158.25</t>
  </si>
  <si>
    <t>Dist MM20: -17.53%</t>
  </si>
  <si>
    <t>Dist MM20: -11.75%</t>
  </si>
  <si>
    <t>Momentum: -25.37</t>
  </si>
  <si>
    <t>RSI: 36.00</t>
  </si>
  <si>
    <t>Momentum: -23.25</t>
  </si>
  <si>
    <t>ADX: 22.65</t>
  </si>
  <si>
    <t>ATR: 5.52</t>
  </si>
  <si>
    <t>RSI: 31.68</t>
  </si>
  <si>
    <t>ADX: 23.59</t>
  </si>
  <si>
    <t>Data: 31/07/2026 04:21:56</t>
  </si>
  <si>
    <t>ATR: 5.80</t>
  </si>
  <si>
    <t>RVOL: 19.03</t>
  </si>
  <si>
    <t>HOOD,Preço: 86.60,Dist MM20: -17.53%,Momentum: -25.37,RSI: 36.00,ADX: 22.65,ATR: 5.52,RVOL: 1.31,Estado: Observar,Entrada: N/A,Stop: N/A,Take-Profit: N/A,Break-Even: N/A,Qtd: N/A,Data: 31/07/2026 04:21:56</t>
  </si>
  <si>
    <t>Data: 31/07/2026 03:50:50</t>
  </si>
  <si>
    <t>A</t>
  </si>
  <si>
    <t>C</t>
  </si>
  <si>
    <t>ADS,Preço: 158.25,Dist MM20: -11.75%,Momentum: -23.25,RSI: 31.68,ADX: 23.59,ATR: 5.80,RVOL: 19.03,Estado: Observar,Entrada: N/A,Stop: N/A,Take-Profit: N/A,Break-Even: N/A,Qtd: N/A,Data: 31/07/2026 03:50:50</t>
  </si>
  <si>
    <t>D</t>
  </si>
  <si>
    <t>E</t>
  </si>
  <si>
    <t>F</t>
  </si>
  <si>
    <t>G</t>
  </si>
  <si>
    <t>I</t>
  </si>
  <si>
    <t>HPE</t>
  </si>
  <si>
    <t>K</t>
  </si>
  <si>
    <t>M</t>
  </si>
  <si>
    <t>HP</t>
  </si>
  <si>
    <t>ACESSO AO ENSINO SUPERIOR 2025 - 1ª FASE DO CONCURSO NACIONAL DE ACESSO</t>
  </si>
  <si>
    <t>HPE,Preço: 61.03,Dist MM20: 8.83%,Momentum: 10.16,RSI: 59.13,ADX: 15.01,ATR: 3.65,RVOL: 0.61,Estado: Observar,Entrada: N/A,Stop: N/A,Take-Profit: N/A,Break-Even: N/A,Qtd: N/A,Trailing: 53.73,Data: 23/09/2026 06:45:17</t>
  </si>
  <si>
    <t>Classificações dos últimos colocados pelo contingente geral</t>
  </si>
  <si>
    <t>Preço: 51.83</t>
  </si>
  <si>
    <t>Dist MM20: -4.69%</t>
  </si>
  <si>
    <t>Momentum: -7.99</t>
  </si>
  <si>
    <t>RSI: 48.46</t>
  </si>
  <si>
    <t>ADX: 13.58</t>
  </si>
  <si>
    <t>ATR: 2.32</t>
  </si>
  <si>
    <t>Código Instit.</t>
  </si>
  <si>
    <t>Código Curso</t>
  </si>
  <si>
    <t>RVOL: 3.38</t>
  </si>
  <si>
    <t>Nome da Instituição</t>
  </si>
  <si>
    <t>Nome do Curso</t>
  </si>
  <si>
    <t>Grau</t>
  </si>
  <si>
    <t>Trailing: 48.58</t>
  </si>
  <si>
    <t>Vagas Iniciais</t>
  </si>
  <si>
    <t>Colocados</t>
  </si>
  <si>
    <t>Colocados (desemp.)</t>
  </si>
  <si>
    <t>Colocados (sem class. final)</t>
  </si>
  <si>
    <t>Vaga adic. (sem class. final)</t>
  </si>
  <si>
    <t>Nota do últ. colocado (cont. geral)</t>
  </si>
  <si>
    <t>Sobras para
2ª fase</t>
  </si>
  <si>
    <t>HPE,Preço: 51.83,Dist MM20: -4.69%,Momentum: -7.99,RSI: 48.46,ADX: 13.58,ATR: 2.32,RVOL: 3.38,Estado: Aguardar Recuo,Entrada: 50.90,Stop: 48.58,Take-Profit: 55.54,Break-Even: 53.22,Qtd: 21.55,Trailing: 48.58,Data: 03/09/2026 11:10:10</t>
  </si>
  <si>
    <t>ADSK,Preço: 226.50,Dist MM20: -5.55%,Momentum: -24.71,RSI: 45.59,ADX: 23.64,ATR: 9.65,RVOL: 1.35,Estado: Observar,Entrada: N/A,Stop: N/A,Take-Profit: N/A,Break-Even: N/A,Qtd: N/A,Trailing: 215.92,Data: 16/09/2026 02:42:40</t>
  </si>
  <si>
    <t>Universidade dos Açores - Faculdade de Ciências Agrárias e do Ambiente</t>
  </si>
  <si>
    <t>Medicina Veterinária (Preparatórios)</t>
  </si>
  <si>
    <t>PM</t>
  </si>
  <si>
    <t>157,5</t>
  </si>
  <si>
    <t>Ciências Agrárias</t>
  </si>
  <si>
    <t>L1</t>
  </si>
  <si>
    <t>L344</t>
  </si>
  <si>
    <t>Guias de Natureza e Património</t>
  </si>
  <si>
    <t>119,5</t>
  </si>
  <si>
    <t>Universidade dos Açores - Faculdade de Ciências Sociais e Humanas</t>
  </si>
  <si>
    <t>Estudos Europeus</t>
  </si>
  <si>
    <t>129,0</t>
  </si>
  <si>
    <t>História</t>
  </si>
  <si>
    <t>140,3</t>
  </si>
  <si>
    <t>Psicologia</t>
  </si>
  <si>
    <t>151,5</t>
  </si>
  <si>
    <t>Serviço Social</t>
  </si>
  <si>
    <t>112,5</t>
  </si>
  <si>
    <t>Sociologia</t>
  </si>
  <si>
    <t>113,3</t>
  </si>
  <si>
    <t>Comunicação e Relações Públicas</t>
  </si>
  <si>
    <t>119,0</t>
  </si>
  <si>
    <t>Educação Básica</t>
  </si>
  <si>
    <t>141,5</t>
  </si>
  <si>
    <t>L041</t>
  </si>
  <si>
    <t>Estudos Portugueses e Ingleses</t>
  </si>
  <si>
    <t>111,3</t>
  </si>
  <si>
    <t>Universidade dos Açores - Faculdade de Ciências e Tecnologia</t>
  </si>
  <si>
    <t>Ciclo Básico de Medicina</t>
  </si>
  <si>
    <t>HUM,Preço: 372.00,Dist MM20: -5.46%,Momentum: -22.88,RSI: 37.91,ADX: 20.24,ATR: 12.93,RVOL: 0.92,Estado: Observar,Entrada: N/A,Stop: N/A,Take-Profit: N/A,Break-Even: N/A,Qtd: N/A,Trailing: 346.14,Data: 23/09/2026 02:35:00</t>
  </si>
  <si>
    <t>176,2</t>
  </si>
  <si>
    <t>Proteção Civil e Gestão de Riscos</t>
  </si>
  <si>
    <t>Preço: 366.66</t>
  </si>
  <si>
    <t>Dist MM20: -6.74%</t>
  </si>
  <si>
    <t>Ciênc de Engenharia-Eng Mecânica; Eng Eletrotécnica e de Computadores (Pre)</t>
  </si>
  <si>
    <t>PL</t>
  </si>
  <si>
    <t>172,8</t>
  </si>
  <si>
    <t>Momentum: -25.56</t>
  </si>
  <si>
    <t>Biologia</t>
  </si>
  <si>
    <t>RSI: 42.16</t>
  </si>
  <si>
    <t>129,5</t>
  </si>
  <si>
    <t>ADX: 45.61</t>
  </si>
  <si>
    <t>Informática</t>
  </si>
  <si>
    <t>ATR: 17.22</t>
  </si>
  <si>
    <t>144,8</t>
  </si>
  <si>
    <t>A017</t>
  </si>
  <si>
    <t>Ciências do Oceano (ensino em inglês)</t>
  </si>
  <si>
    <t>Data: 31/07/2026 02:36:41</t>
  </si>
  <si>
    <t>138,0</t>
  </si>
  <si>
    <t>ADYEN,Preço: 931.60,Dist MM20: -8.78%,Momentum: -139.80,RSI: 40.30,ADX: 27.52,ATR: 30.41,RVOL: 0.75,Estado: Observar,Entrada: N/A,Stop: N/A,Take-Profit: N/A,Break-Even: N/A,Qtd: N/A,Trailing: 870.78,Data: 16/09/2026 02:47:25</t>
  </si>
  <si>
    <t>Universidade dos Açores - Faculdade de Economia e Gestão</t>
  </si>
  <si>
    <t>Economia</t>
  </si>
  <si>
    <t>145,8</t>
  </si>
  <si>
    <t>Gestão</t>
  </si>
  <si>
    <t>112,3</t>
  </si>
  <si>
    <t>Turismo</t>
  </si>
  <si>
    <t>120,3</t>
  </si>
  <si>
    <t>Universidade do Algarve - Faculdade de Ciências Humanas e Sociais</t>
  </si>
  <si>
    <t>Património Cultural e Arqueologia</t>
  </si>
  <si>
    <t>114,3</t>
  </si>
  <si>
    <t>Línguas, Literaturas e Culturas</t>
  </si>
  <si>
    <t>118,8</t>
  </si>
  <si>
    <t>156,0</t>
  </si>
  <si>
    <t>Artes Visuais</t>
  </si>
  <si>
    <t>125,8</t>
  </si>
  <si>
    <t>Ciências da Educação e da Formação</t>
  </si>
  <si>
    <t>108,0</t>
  </si>
  <si>
    <t>L252</t>
  </si>
  <si>
    <t>Línguas e Comunicação Intercultural</t>
  </si>
  <si>
    <t>115,0</t>
  </si>
  <si>
    <t>Universidade do Algarve - Faculdade de Ciências e Tecnologia</t>
  </si>
  <si>
    <t>Arquitetura Paisagista</t>
  </si>
  <si>
    <t>113,5</t>
  </si>
  <si>
    <t>Agronomia</t>
  </si>
  <si>
    <t>IBM,Preço: 231.38,Dist MM20: -1.96%,Momentum: -0.02,RSI: 45.65,ADX: 11.91,ATR: 6.79,RVOL: 0.86,Estado: Observar,Entrada: N/A,Stop: N/A,Take-Profit: N/A,Break-Even: N/A,Qtd: N/A,Trailing: 217.80,Data: 23/09/2026 02:35:18</t>
  </si>
  <si>
    <t>123,3</t>
  </si>
  <si>
    <t>Preço: 221.74</t>
  </si>
  <si>
    <t>Biologia Marinha</t>
  </si>
  <si>
    <t>Dist MM20: -8.98%</t>
  </si>
  <si>
    <t>116,8</t>
  </si>
  <si>
    <t>Momentum: -65.82</t>
  </si>
  <si>
    <t>Bioquímica</t>
  </si>
  <si>
    <t>122,8</t>
  </si>
  <si>
    <t>RSI: 40.21</t>
  </si>
  <si>
    <t>Biotecnologia</t>
  </si>
  <si>
    <t>ADX: 29.45</t>
  </si>
  <si>
    <t>122,0</t>
  </si>
  <si>
    <t>ATR: 9.20</t>
  </si>
  <si>
    <t>AEP,Preço: 120.61,Dist MM20: -2.35%,Momentum: -2.16,RSI: 33.94,ADX: 16.31,ATR: 1.86,RVOL: 0.97,Estado: Observar,Entrada: N/A,Stop: N/A,Take-Profit: N/A,Break-Even: N/A,Qtd: N/A,Trailing: 116.89,Data: 16/09/2026 03:04:37</t>
  </si>
  <si>
    <t>Engenharia Informática</t>
  </si>
  <si>
    <t>RVOL: 0.41</t>
  </si>
  <si>
    <t>119,3</t>
  </si>
  <si>
    <t>Data: 31/07/2026 02:37:53</t>
  </si>
  <si>
    <t>Matemática Aplicada à Economia e à Gestão</t>
  </si>
  <si>
    <t>130,8</t>
  </si>
  <si>
    <t>IBM,Preço: 221.74,Dist MM20: -8.98%,Momentum: -65.82,RSI: 40.21,ADX: 29.45,ATR: 9.20,RVOL: 0.41,Estado: Observar,Entrada: N/A,Stop: N/A,Take-Profit: N/A,Break-Even: N/A,Qtd: N/A,Data: 31/07/2026 02:37:53</t>
  </si>
  <si>
    <t>Ciências Farmacêuticas</t>
  </si>
  <si>
    <t>MI</t>
  </si>
  <si>
    <t>138,8</t>
  </si>
  <si>
    <t>Bioengenharia</t>
  </si>
  <si>
    <t>120,5</t>
  </si>
  <si>
    <t>L123</t>
  </si>
  <si>
    <t>Gestão Marinha e Costeira</t>
  </si>
  <si>
    <t>116,5</t>
  </si>
  <si>
    <t>Universidade do Algarve - Faculdade de Economia</t>
  </si>
  <si>
    <t>117,8</t>
  </si>
  <si>
    <t>Gestão de Empresas</t>
  </si>
  <si>
    <t>IDR</t>
  </si>
  <si>
    <t>127,0</t>
  </si>
  <si>
    <t>Indra Sistemas</t>
  </si>
  <si>
    <t>117,5</t>
  </si>
  <si>
    <t>Universidade do Algarve - Faculdade de Medicina e Ciências Biomédicas</t>
  </si>
  <si>
    <t>Ciências Biomédicas</t>
  </si>
  <si>
    <t>143,0</t>
  </si>
  <si>
    <t>Universidade de Aveiro</t>
  </si>
  <si>
    <t>Administração Pública</t>
  </si>
  <si>
    <t>140,8</t>
  </si>
  <si>
    <t>114,0</t>
  </si>
  <si>
    <t>Biologia e Geologia</t>
  </si>
  <si>
    <t>129,8</t>
  </si>
  <si>
    <t>Ciências do Mar</t>
  </si>
  <si>
    <t>131,3</t>
  </si>
  <si>
    <t>IDR,Preço: 31.04,Dist MM20: 0.45%,Momentum: 0.04,RSI: 51.56,ADX: 11.60,ATR: 1.28,RVOL: 0.81,Estado: Aguardar Recuo,Entrada: 30.53,Stop: 29.25,Take-Profit: 32.07,Break-Even: 31.30,Qtd: 19.53,Trailing: 29.25,Data: 23/09/2026 06:50:40</t>
  </si>
  <si>
    <t>Design</t>
  </si>
  <si>
    <t>153,5</t>
  </si>
  <si>
    <t>Preço: 29.20</t>
  </si>
  <si>
    <t>158,5</t>
  </si>
  <si>
    <t>Dist MM20: -1.94%</t>
  </si>
  <si>
    <t>Engenharia Civil</t>
  </si>
  <si>
    <t>Momentum: -1.56</t>
  </si>
  <si>
    <t>144,0</t>
  </si>
  <si>
    <t>RSI: 43.96</t>
  </si>
  <si>
    <t>Engenharia de Materiais</t>
  </si>
  <si>
    <t>ADX: 14.04</t>
  </si>
  <si>
    <t>ATR: 1.56</t>
  </si>
  <si>
    <t>Engenharia do Ambiente</t>
  </si>
  <si>
    <t>AGNC,Preço: 9.96,Dist MM20: -6.56%,Momentum: -0.95,RSI: 25.20,ADX: 18.19,ATR: 0.18,RVOL: 1.43,Estado: Observar,Entrada: N/A,Stop: N/A,Take-Profit: N/A,Break-Even: N/A,Qtd: N/A,Trailing: 9.60,Data: 16/09/2026 03:04:54</t>
  </si>
  <si>
    <t>Data: 31/07/2026 04:07:25</t>
  </si>
  <si>
    <t>Engenharia e Gestão Industrial</t>
  </si>
  <si>
    <t>159,0</t>
  </si>
  <si>
    <t>IDR,Preço: 29.20,Dist MM20: -1.94%,Momentum: -1.56,RSI: 43.96,ADX: 14.04,ATR: 1.56,RVOL: 1.47,Estado: Aguardar Recuo,Entrada: 28.58,Stop: 27.02,Take-Profit: 31.70,Break-Even: 30.14,Qtd: 32.05,Data: 31/07/2026 04:07:25</t>
  </si>
  <si>
    <t>Engenharia Física</t>
  </si>
  <si>
    <t>120,8</t>
  </si>
  <si>
    <t>Engenharia Mecânica</t>
  </si>
  <si>
    <t>INTC</t>
  </si>
  <si>
    <t>155,5</t>
  </si>
  <si>
    <t>Intel US</t>
  </si>
  <si>
    <t>Engenharia Química</t>
  </si>
  <si>
    <t>Física</t>
  </si>
  <si>
    <t>147,5</t>
  </si>
  <si>
    <t>Geologia</t>
  </si>
  <si>
    <t>INTC,Preço: 123.86,Dist MM20: 24.75%,Momentum: 34.89,RSI: 72.06,ADX: 19.59,ATR: 4.79,RVOL: 1.04,Estado: Aguardar Recuo,Entrada: 121.94,Stop: 117.15,Take-Profit: 127.69,Break-Even: 124.81,Qtd: 5.22,Trailing: 117.15,Data: 23/09/2026 02:35:37</t>
  </si>
  <si>
    <t>165,3</t>
  </si>
  <si>
    <t>Preço: 91.13</t>
  </si>
  <si>
    <t>Dist MM20: -10.66%</t>
  </si>
  <si>
    <t>Línguas e Estudos Editoriais</t>
  </si>
  <si>
    <t>Momentum: -18.71</t>
  </si>
  <si>
    <t>RSI: 40.51</t>
  </si>
  <si>
    <t>ADX: 24.18</t>
  </si>
  <si>
    <t>ATR: 6.64</t>
  </si>
  <si>
    <t>RVOL: 1.14</t>
  </si>
  <si>
    <t>Línguas e Relações Empresariais</t>
  </si>
  <si>
    <t>Data: 31/07/2026 02:09:19</t>
  </si>
  <si>
    <t>156,3</t>
  </si>
  <si>
    <t>INTC,Preço: 91.13,Dist MM20: -10.66%,Momentum: -18.71,RSI: 40.51,ADX: 24.18,ATR: 6.64,RVOL: 1.14,Estado: Aguardar Recuo,Entrada: 88.47,Stop: 81.83,Take-Profit: 101.75,Break-Even: 95.11,Qtd: 7.53,Data: 31/07/2026 02:09:19</t>
  </si>
  <si>
    <t>152,3</t>
  </si>
  <si>
    <t>Matemática</t>
  </si>
  <si>
    <t>142,0</t>
  </si>
  <si>
    <t>167,0</t>
  </si>
  <si>
    <t>Química</t>
  </si>
  <si>
    <t>140,0</t>
  </si>
  <si>
    <t>Tradução</t>
  </si>
  <si>
    <t>145,0</t>
  </si>
  <si>
    <t>166,3</t>
  </si>
  <si>
    <t>Engenharia Biomédica</t>
  </si>
  <si>
    <t>160,3</t>
  </si>
  <si>
    <t>AI,Preço: 10.79,Dist MM20: 3.64%,Momentum: 1.00,RSI: 57.08,ADX: 22.77,ATR: 0.50,RVOL: 0.81,Estado: Observar,Entrada: N/A,Stop: N/A,Take-Profit: N/A,Break-Even: N/A,Qtd: N/A,Trailing: 9.79,Data: 16/09/2026 02:46:14</t>
  </si>
  <si>
    <t>Medicina</t>
  </si>
  <si>
    <t>182,8</t>
  </si>
  <si>
    <t>149,3</t>
  </si>
  <si>
    <t>IONQ,Preço: 40.74,Dist MM20: 4.29%,Momentum: 2.96,RSI: 52.78,ADX: 11.26,ATR: 2.09,RVOL: 0.81,Estado: Aguardar Recuo,Entrada: 39.90,Stop: 37.81,Take-Profit: 42.41,Break-Even: 41.16,Qtd: 11.96,Trailing: 37.81,Data: 23/09/2026 06:45:21</t>
  </si>
  <si>
    <t>L187</t>
  </si>
  <si>
    <t>Gestão e Planeamento em Turismo</t>
  </si>
  <si>
    <t>Preço: 35.77</t>
  </si>
  <si>
    <t>134,3</t>
  </si>
  <si>
    <t>Dist MM20: -7.15%</t>
  </si>
  <si>
    <t>Momentum: -7.09</t>
  </si>
  <si>
    <t>L202</t>
  </si>
  <si>
    <t>Engenharia de Automação Industrial</t>
  </si>
  <si>
    <t>RSI: 39.63</t>
  </si>
  <si>
    <t>ADX: 40.29</t>
  </si>
  <si>
    <t>121,8</t>
  </si>
  <si>
    <t>ATR: 2.38</t>
  </si>
  <si>
    <t>L209</t>
  </si>
  <si>
    <t>Engenharia Eletrotécnica e de Computadores</t>
  </si>
  <si>
    <t>Data: 31/07/2026 04:08:22</t>
  </si>
  <si>
    <t>L217</t>
  </si>
  <si>
    <t>Engenharia de Computadores e Informática</t>
  </si>
  <si>
    <t>120,0</t>
  </si>
  <si>
    <t>L221</t>
  </si>
  <si>
    <t>Engenharia Aeroespacial</t>
  </si>
  <si>
    <t>183,8</t>
  </si>
  <si>
    <t>L223</t>
  </si>
  <si>
    <t>Engenharia Computacional</t>
  </si>
  <si>
    <t>Jacobs Solutions</t>
  </si>
  <si>
    <t>L254</t>
  </si>
  <si>
    <t>Multimédia e Tecnologias da Comunicação</t>
  </si>
  <si>
    <t>121,3</t>
  </si>
  <si>
    <t>L298</t>
  </si>
  <si>
    <t>Meteorologia, Oceanografia e Clima</t>
  </si>
  <si>
    <t>Universidade da Beira Interior</t>
  </si>
  <si>
    <t>Optometria e Ciências da Visão</t>
  </si>
  <si>
    <t>J,Preço: 143.12,Dist MM20: -1.86%,Momentum: -3.21,RSI: 47.44,ADX: 24.62,ATR: 2.91,RVOL: 0.86,Estado: Observar,Entrada: N/A,Stop: N/A,Take-Profit: N/A,Break-Even: N/A,Qtd: N/A,Trailing: 137.30,Data: 23/09/2026 06:59:28</t>
  </si>
  <si>
    <t>108,5</t>
  </si>
  <si>
    <t>ALTG,Preço: 5.78,Dist MM20: -5.08%,Momentum: -0.41,RSI: 40.33,ADX: 22.13,ATR: 0.34,RVOL: 1.08,Estado: Observar,Entrada: N/A,Stop: N/A,Take-Profit: N/A,Break-Even: N/A,Qtd: N/A,Trailing: 5.10,Data: 16/09/2026 02:46:15</t>
  </si>
  <si>
    <t>Preço: 144.07</t>
  </si>
  <si>
    <t>Ciência Política e Relações Internacionais</t>
  </si>
  <si>
    <t>Momentum: -7.54</t>
  </si>
  <si>
    <t>RSI: 49.78</t>
  </si>
  <si>
    <t>156,8</t>
  </si>
  <si>
    <t>ADX: 31.65</t>
  </si>
  <si>
    <t>Ciências da Comunicação</t>
  </si>
  <si>
    <t>ATR: 2.99</t>
  </si>
  <si>
    <t>129,9</t>
  </si>
  <si>
    <t>Ciências da Cultura</t>
  </si>
  <si>
    <t>Trailing: 138.09</t>
  </si>
  <si>
    <t>J,Preço: 144.07,Dist MM20: -1.90%,Momentum: -7.54,RSI: 49.78,ADX: 31.65,ATR: 2.99,RVOL: 0.85,Estado: Observar,Entrada: N/A,Stop: N/A,Take-Profit: N/A,Break-Even: N/A,Qtd: N/A,Trailing: 138.09,Data: 15/09/2026 10:35:08</t>
  </si>
  <si>
    <t>Cinema</t>
  </si>
  <si>
    <t>KMB</t>
  </si>
  <si>
    <t>Kimberly-Clark</t>
  </si>
  <si>
    <t>ALV</t>
  </si>
  <si>
    <t>Allianz</t>
  </si>
  <si>
    <t>126,5</t>
  </si>
  <si>
    <t>Design de Moda</t>
  </si>
  <si>
    <t>147,3</t>
  </si>
  <si>
    <t>KMB,Preço: 98.91,Dist MM20: -4.20%,Momentum: -8.17,RSI: 34.93,ADX: 25.89,ATR: 1.92,RVOL: 0.86,Estado: Observar,Entrada: N/A,Stop: N/A,Take-Profit: N/A,Break-Even: N/A,Qtd: N/A,Trailing: 95.07,Data: 23/09/2026 06:59:28</t>
  </si>
  <si>
    <t>ALV,Preço: 116.20,Dist MM20: -4.50%,Momentum: -7.77,RSI: 38.87,ADX: 12.06,ATR: 2.40,RVOL: 1.02,Estado: Observar,Entrada: N/A,Stop: N/A,Take-Profit: N/A,Break-Even: N/A,Qtd: N/A,Trailing: 111.40,Data: 16/09/2026 02:50:14</t>
  </si>
  <si>
    <t>Design Industrial</t>
  </si>
  <si>
    <t>Preço: 124.16</t>
  </si>
  <si>
    <t>123,5</t>
  </si>
  <si>
    <t>Preço: 111.57</t>
  </si>
  <si>
    <t>Dist MM20: 3.38%</t>
  </si>
  <si>
    <t>Dist MM20: 1.75%</t>
  </si>
  <si>
    <t>Momentum: 3.90</t>
  </si>
  <si>
    <t>Design Multimédia</t>
  </si>
  <si>
    <t>Momentum: 5.04</t>
  </si>
  <si>
    <t>135,5</t>
  </si>
  <si>
    <t>RSI: 56.77</t>
  </si>
  <si>
    <t>RSI: 56.07</t>
  </si>
  <si>
    <t>ADX: 13.01</t>
  </si>
  <si>
    <t>123,8</t>
  </si>
  <si>
    <t>ADX: 22.23</t>
  </si>
  <si>
    <t>ATR: 2.83</t>
  </si>
  <si>
    <t>RVOL: 0.62</t>
  </si>
  <si>
    <t>124,3</t>
  </si>
  <si>
    <t>Data: 31/07/2026 03:51:23</t>
  </si>
  <si>
    <t>Trailing: 107.61</t>
  </si>
  <si>
    <t>ALV,Preço: 124.16,Dist MM20: 3.38%,Momentum: 3.90,RSI: 56.77,ADX: 13.01,ATR: 3.05,RVOL: 0.62,Estado: Observar,Entrada: N/A,Stop: N/A,Take-Profit: N/A,Break-Even: N/A,Qtd: N/A,Data: 31/07/2026 03:51:23</t>
  </si>
  <si>
    <t>125,0</t>
  </si>
  <si>
    <t>KMB,Preço: 111.57,Dist MM20: 1.75%,Momentum: 5.04,RSI: 56.07,ADX: 22.23,ATR: 2.83,RVOL: 2.18,Estado: Aguardar Recuo,Entrada: 110.44,Stop: 107.61,Take-Profit: 116.10,Break-Even: 113.27,Qtd: 17.67,Trailing: 107.61,Data: 05/08/2026 10:32:13</t>
  </si>
  <si>
    <t>Engenharia Eletromecânica</t>
  </si>
  <si>
    <t>129,3</t>
  </si>
  <si>
    <t>128,8</t>
  </si>
  <si>
    <t>Coca Cola</t>
  </si>
  <si>
    <t>Filosofia</t>
  </si>
  <si>
    <t>125,6</t>
  </si>
  <si>
    <t>145,1</t>
  </si>
  <si>
    <t>Marketing</t>
  </si>
  <si>
    <t>130,0</t>
  </si>
  <si>
    <t>AMD,Preço: 504.20,Dist MM20: 4.85%,Momentum: 25.02,RSI: 54.13,ADX: 11.71,ATR: 16.31,RVOL: 0.95,Estado: Aguardar Recuo,Entrada: 497.68,Stop: 481.37,Take-Profit: 530.30,Break-Even: 513.99,Qtd: 3.07,Trailing: 481.37,Data: 16/09/2026 02:19:18</t>
  </si>
  <si>
    <t>158,8</t>
  </si>
  <si>
    <t>Química Industrial</t>
  </si>
  <si>
    <t>128,5</t>
  </si>
  <si>
    <t>KO,Preço: 88.61,Dist MM20: -0.00%,Momentum: 0.61,RSI: 52.62,ADX: 14.24,ATR: 1.11,RVOL: 1.08,Estado: Aguardar Recuo,Entrada: 88.17,Stop: 87.06,Take-Profit: 89.50,Break-Even: 88.84,Qtd: 22.52,Trailing: 87.06,Data: 23/09/2026 06:59:29</t>
  </si>
  <si>
    <t>Arquitetura</t>
  </si>
  <si>
    <t>Preço: 88.49</t>
  </si>
  <si>
    <t>Dist MM20: 5.56%</t>
  </si>
  <si>
    <t>149,8</t>
  </si>
  <si>
    <t>Momentum: 5.00</t>
  </si>
  <si>
    <t>RSI: 65.94</t>
  </si>
  <si>
    <t>122,3</t>
  </si>
  <si>
    <t>ADX: 18.34</t>
  </si>
  <si>
    <t>ATR: 1.77</t>
  </si>
  <si>
    <t>121,5</t>
  </si>
  <si>
    <t>Data: 31/07/2026 04:52:29</t>
  </si>
  <si>
    <t>Ciências do Desporto</t>
  </si>
  <si>
    <t>KO,Preço: 88.49,Dist MM20: 5.56%,Momentum: 5.00,RSI: 65.94,ADX: 18.34,ATR: 1.77,RVOL: 0.76,Estado: Observar,Entrada: N/A,Stop: N/A,Take-Profit: N/A,Break-Even: N/A,Qtd: N/A,Data: 31/07/2026 04:52:29</t>
  </si>
  <si>
    <t>Engenharia Aeronáutica</t>
  </si>
  <si>
    <t>146,3</t>
  </si>
  <si>
    <t>177,2</t>
  </si>
  <si>
    <t>LAES</t>
  </si>
  <si>
    <t>SEALSQ</t>
  </si>
  <si>
    <t>Matemática e Aplicações</t>
  </si>
  <si>
    <t>132,3</t>
  </si>
  <si>
    <t>Estudos Portugueses e Espanhóis</t>
  </si>
  <si>
    <t>122,5</t>
  </si>
  <si>
    <t>L205</t>
  </si>
  <si>
    <t>Física e Aplicações</t>
  </si>
  <si>
    <t>160,0</t>
  </si>
  <si>
    <t>L227</t>
  </si>
  <si>
    <t>Inteligência Artificial e Ciência de Dados</t>
  </si>
  <si>
    <t>R3 Up</t>
  </si>
  <si>
    <t>L258</t>
  </si>
  <si>
    <t>Tecnologia e Produto de Moda Sustentável</t>
  </si>
  <si>
    <t>LAES,Preço: 2.35,Dist MM20: -1.76%,Momentum: -0.04,RSI: 45.63,ADX: 15.47,ATR: 0.09,RVOL: 0.64,Estado: Observar,Entrada: N/A,Stop: N/A,Take-Profit: N/A,Break-Even: N/A,Qtd: N/A,Trailing: 2.17,Data: 23/09/2026 06:45:25</t>
  </si>
  <si>
    <t>Preço: 2.36</t>
  </si>
  <si>
    <t>Dist MM20: -10.25%</t>
  </si>
  <si>
    <t>L295</t>
  </si>
  <si>
    <t>Engenharia Mecânica Computacional</t>
  </si>
  <si>
    <t>RSI: 35.86</t>
  </si>
  <si>
    <t>ADX: 23.69</t>
  </si>
  <si>
    <t>L303</t>
  </si>
  <si>
    <t>ATR: 0.14</t>
  </si>
  <si>
    <t>Informática Web, Móvel e na Nuvem</t>
  </si>
  <si>
    <t>AMPL,Preço: 13.37,Dist MM20: 1.21%,Momentum: 0.26,RSI: 58.64,ADX: 28.57,ATR: 0.63,RVOL: 0.76,Estado: Observar,Entrada: N/A,Stop: N/A,Take-Profit: N/A,Break-Even: N/A,Qtd: N/A,Trailing: 12.11,Data: 16/09/2026 02:46:25</t>
  </si>
  <si>
    <t>Data: 31/07/2026 04:23:06</t>
  </si>
  <si>
    <t>L331</t>
  </si>
  <si>
    <t>Computação Criativa e Realidade Virtual</t>
  </si>
  <si>
    <t>LAES,Preço: 2.36,Dist MM20: -10.25%,Momentum: -0.44,RSI: 35.86,ADX: 23.69,ATR: 0.14,RVOL: 1.00,Estado: Aguardar Recuo,Entrada: 2.30,Stop: 2.16,Take-Profit: 2.58,Break-Even: 2.44,Qtd: 357.14,Data: 31/07/2026 04:23:06</t>
  </si>
  <si>
    <t>141,0</t>
  </si>
  <si>
    <t>Universidade de Coimbra - Faculdade de Ciências e Tecnologia</t>
  </si>
  <si>
    <t>Química Medicinal</t>
  </si>
  <si>
    <t>127,3</t>
  </si>
  <si>
    <t>LLY</t>
  </si>
  <si>
    <t>Eli Lilly and Co US</t>
  </si>
  <si>
    <t>116,0</t>
  </si>
  <si>
    <t>132,0</t>
  </si>
  <si>
    <t>153,3</t>
  </si>
  <si>
    <t>R1 up</t>
  </si>
  <si>
    <t>LLY,Preço: 1170.14,Dist MM20: 1.32%,Momentum: 10.14,RSI: 52.49,ADX: 11.50,ATR: 24.59,RVOL: 1.01,Estado: Aguardar Recuo,Entrada: 1160.30,Stop: 1135.71,Take-Profit: 1189.81,Break-Even: 1175.05,Qtd: 1.02,Trailing: 1135.71,Data: 23/09/2026 02:35:55</t>
  </si>
  <si>
    <t>145,3</t>
  </si>
  <si>
    <t>Preço: 1154.97</t>
  </si>
  <si>
    <t>Dist MM20: -2.78%</t>
  </si>
  <si>
    <t>Momentum: -33.61</t>
  </si>
  <si>
    <t>135,0</t>
  </si>
  <si>
    <t>RSI: 46.87</t>
  </si>
  <si>
    <t>ADX: 19.05</t>
  </si>
  <si>
    <t>ATR: 31.63</t>
  </si>
  <si>
    <t>126,8</t>
  </si>
  <si>
    <t>Data: 31/07/2026 02:08:29</t>
  </si>
  <si>
    <t>137,5</t>
  </si>
  <si>
    <t>LLY,Preço: 1154.97,Dist MM20: -2.78%,Momentum: -33.61,RSI: 46.87,ADX: 19.05,ATR: 31.63,RVOL: 1.27,Estado: Observar,Entrada: N/A,Stop: N/A,Take-Profit: N/A,Break-Even: N/A,Qtd: N/A,Data: 31/07/2026 02:08:29</t>
  </si>
  <si>
    <t>AMZN,Preço: 248.42,Dist MM20: -3.66%,Momentum: -12.64,RSI: 41.42,ADX: 12.67,ATR: 4.86,RVOL: 1.12,Estado: Observar,Entrada: N/A,Stop: N/A,Take-Profit: N/A,Break-Even: N/A,Qtd: N/A,Trailing: 238.70,Data: 16/09/2026 02:19:36</t>
  </si>
  <si>
    <t>137,2</t>
  </si>
  <si>
    <t>Lockheed Martin</t>
  </si>
  <si>
    <t>165,8</t>
  </si>
  <si>
    <t>Antropologia</t>
  </si>
  <si>
    <t>155,0</t>
  </si>
  <si>
    <t>Design e Multimédia</t>
  </si>
  <si>
    <t>147,8</t>
  </si>
  <si>
    <t>LMT,Preço: 522.34,Dist MM20: -3.20%,Momentum: -22.16,RSI: 37.85,ADX: 26.31,ATR: 12.58,RVOL: 1.22,Estado: Observar,Entrada: N/A,Stop: N/A,Take-Profit: N/A,Break-Even: N/A,Qtd: N/A,Trailing: 497.18,Data: 23/09/2026 02:36:13</t>
  </si>
  <si>
    <t>112,8</t>
  </si>
  <si>
    <t>Preço: 574.11</t>
  </si>
  <si>
    <t>Dist MM20: 6.83%</t>
  </si>
  <si>
    <t>Momentum: 50.89</t>
  </si>
  <si>
    <t>145,5</t>
  </si>
  <si>
    <t>RSI: 65.23</t>
  </si>
  <si>
    <t>L285</t>
  </si>
  <si>
    <t>ADX: 20.71</t>
  </si>
  <si>
    <t>Gestão de Cidades Sustentáveis e Inteligentes</t>
  </si>
  <si>
    <t>ATR: 14.99</t>
  </si>
  <si>
    <t>111,5</t>
  </si>
  <si>
    <t>Data: 31/07/2026 02:09:35</t>
  </si>
  <si>
    <t>Universidade de Coimbra - Faculdade de Direito</t>
  </si>
  <si>
    <t>LMT,Preço: 574.11,Dist MM20: 6.83%,Momentum: 50.89,RSI: 65.23,ADX: 20.71,ATR: 14.99,RVOL: 1.07,Estado: Aguardar Recuo,Entrada: 568.11,Stop: 553.12,Take-Profit: 598.09,Break-Even: 583.10,Qtd: 3.34,Data: 31/07/2026 02:09:35</t>
  </si>
  <si>
    <t>ANET,Preço: 192.84,Dist MM20: 0.35%,Momentum: 1.90,RSI: 51.46,ADX: 13.80,ATR: 6.64,RVOL: 0.98,Estado: Aguardar Recuo,Entrada: 190.18,Stop: 183.54,Take-Profit: 203.46,Break-Even: 196.82,Qtd: 7.53,Trailing: 183.54,Data: 16/09/2026 02:50:31</t>
  </si>
  <si>
    <t>Direito</t>
  </si>
  <si>
    <t>165,0</t>
  </si>
  <si>
    <t>Universidade de Coimbra - Faculdade de Economia</t>
  </si>
  <si>
    <t>LNG</t>
  </si>
  <si>
    <t>Cheniere Energy</t>
  </si>
  <si>
    <t>161,5</t>
  </si>
  <si>
    <t>Relações Internacionais</t>
  </si>
  <si>
    <t>167,5</t>
  </si>
  <si>
    <t>146,0</t>
  </si>
  <si>
    <t>Universidade de Coimbra - Faculdade de Farmácia</t>
  </si>
  <si>
    <t>138,5</t>
  </si>
  <si>
    <t>Ciências Bioanalíticas</t>
  </si>
  <si>
    <t>LNG,Preço: 272.96,Dist MM20: -2.48%,Momentum: -21.17,RSI: 48.13,ADX: 15.23,ATR: 7.27,RVOL: 1.09,Estado: Observar,Entrada: N/A,Stop: N/A,Take-Profit: N/A,Break-Even: N/A,Qtd: N/A,Trailing: 258.42,Data: 23/09/2026 06:59:33</t>
  </si>
  <si>
    <t>126,3</t>
  </si>
  <si>
    <t>Farmácia Biomédica</t>
  </si>
  <si>
    <t>Preço: 267.75</t>
  </si>
  <si>
    <t>Dist MM20: -4.77%</t>
  </si>
  <si>
    <t>Universidade de Coimbra - Faculdade de Letras</t>
  </si>
  <si>
    <t>Português</t>
  </si>
  <si>
    <t>Momentum: -16.33</t>
  </si>
  <si>
    <t>RSI: 41.96</t>
  </si>
  <si>
    <t>ADX: 17.37</t>
  </si>
  <si>
    <t>ATR: 7.14</t>
  </si>
  <si>
    <t>Arqueologia</t>
  </si>
  <si>
    <t>RVOL: 0.84</t>
  </si>
  <si>
    <t>Trailing: 253.47</t>
  </si>
  <si>
    <t>Estudos Artísticos</t>
  </si>
  <si>
    <t>LNG,Preço: 267.75,Dist MM20: -4.77%,Momentum: -16.33,RSI: 41.96,ADX: 17.37,ATR: 7.14,RVOL: 0.84,Estado: Observar,Entrada: N/A,Stop: N/A,Take-Profit: N/A,Break-Even: N/A,Qtd: N/A,Trailing: 253.47,Data: 17/09/2026 03:51:58</t>
  </si>
  <si>
    <t>Estudos Clássicos</t>
  </si>
  <si>
    <t>128,3</t>
  </si>
  <si>
    <t>154,8</t>
  </si>
  <si>
    <t>LOW</t>
  </si>
  <si>
    <t>Lowe's</t>
  </si>
  <si>
    <t>Geografia</t>
  </si>
  <si>
    <t>139,3</t>
  </si>
  <si>
    <t>ANF,Preço: 135.17,Dist MM20: 1.36%,Momentum: 26.27,RSI: 54.12,ADX: 35.17,ATR: 7.43,RVOL: 0.58,Estado: Observar,Entrada: N/A,Stop: N/A,Take-Profit: N/A,Break-Even: N/A,Qtd: N/A,Trailing: 120.31,Data: 16/09/2026 02:19:55</t>
  </si>
  <si>
    <t>História da Arte</t>
  </si>
  <si>
    <t>139,8</t>
  </si>
  <si>
    <t>Ciência da Informação</t>
  </si>
  <si>
    <t>LOW,Preço: 196.08,Dist MM20: -2.06%,Momentum: -3.97,RSI: 40.12,ADX: 19.55,ATR: 3.92,RVOL: 1.06,Estado: Observar,Entrada: N/A,Stop: N/A,Take-Profit: N/A,Break-Even: N/A,Qtd: N/A,Trailing: 188.24,Data: 23/09/2026 06:59:33</t>
  </si>
  <si>
    <t>133,5</t>
  </si>
  <si>
    <t>Jornalismo e Comunicação</t>
  </si>
  <si>
    <t>Preço: 218.08</t>
  </si>
  <si>
    <t>157,0</t>
  </si>
  <si>
    <t>Dist MM20: 3.77%</t>
  </si>
  <si>
    <t>Momentum: 8.42</t>
  </si>
  <si>
    <t>Línguas Modernas</t>
  </si>
  <si>
    <t>RSI: 55.27</t>
  </si>
  <si>
    <t>137,0</t>
  </si>
  <si>
    <t>L109</t>
  </si>
  <si>
    <t>ADX: 13.59</t>
  </si>
  <si>
    <t>Turismo, Território e Patrimónios</t>
  </si>
  <si>
    <t>ATR: 5.77</t>
  </si>
  <si>
    <t>Universidade de Coimbra - Faculdade de Medicina</t>
  </si>
  <si>
    <t>Trailing: 210.00</t>
  </si>
  <si>
    <t>Medicina Dentária</t>
  </si>
  <si>
    <t>177,8</t>
  </si>
  <si>
    <t>LOW,Preço: 218.08,Dist MM20: 3.77%,Momentum: 8.42,RSI: 55.27,ADX: 13.59,ATR: 5.77,RVOL: 0.88,Estado: Aguardar Recuo,Entrada: 215.77,Stop: 210.00,Take-Profit: 227.31,Break-Even: 221.54,Qtd: 8.67,Trailing: 210.00,Data: 05/08/2026 10:35:09</t>
  </si>
  <si>
    <t>179,0</t>
  </si>
  <si>
    <t>Universidade de Coimbra - Faculdade de Psicologia e de Ciências da Educação</t>
  </si>
  <si>
    <t>Ciências da Educação</t>
  </si>
  <si>
    <t>167,3</t>
  </si>
  <si>
    <t>144,3</t>
  </si>
  <si>
    <t>Universidade de Coimbra - Faculdade de Ciências do Desporto e Educação Física</t>
  </si>
  <si>
    <t>108,3</t>
  </si>
  <si>
    <t>Universidade de Coimbra - Faculdade de Ciências e Tecnologia (Campus Figueira da Foz)</t>
  </si>
  <si>
    <t>Universidade de Évora - Escola de Ciências e Tecnologia</t>
  </si>
  <si>
    <t>Biologia Humana</t>
  </si>
  <si>
    <t>Preço: 38.48</t>
  </si>
  <si>
    <t>108,8</t>
  </si>
  <si>
    <t>Dist MM20: -5.53%</t>
  </si>
  <si>
    <t>Momentum: -1.58</t>
  </si>
  <si>
    <t>RSI: 37.56</t>
  </si>
  <si>
    <t>ADX: 30.97</t>
  </si>
  <si>
    <t>ATR: 1.03</t>
  </si>
  <si>
    <t>RVOL: 0.66</t>
  </si>
  <si>
    <t>Trailing: 36.42</t>
  </si>
  <si>
    <t>117,0</t>
  </si>
  <si>
    <t>LTC,Preço: 38.48,Dist MM20: -5.53%,Momentum: -1.58,RSI: 37.56,ADX: 30.97,ATR: 1.03,RVOL: 0.66,Estado: Observar,Entrada: N/A,Stop: N/A,Take-Profit: N/A,Break-Even: N/A,Qtd: N/A,Trailing: 36.42,Data: 05/08/2026 10:33:51</t>
  </si>
  <si>
    <t>APP,Preço: 331.46,Dist MM20: 5.59%,Momentum: 20.92,RSI: 49.50,ADX: 22.43,ATR: 14.00,RVOL: 1.42,Estado: Observar,Entrada: N/A,Stop: N/A,Take-Profit: N/A,Break-Even: N/A,Qtd: N/A,Trailing: 303.46,Data: 16/09/2026 02:50:49</t>
  </si>
  <si>
    <t>Engenharia Mecatrónica</t>
  </si>
  <si>
    <t>Enologia</t>
  </si>
  <si>
    <t>Ciência e Tecnologia Animal</t>
  </si>
  <si>
    <t>Medicina Veterinária</t>
  </si>
  <si>
    <t>161,3</t>
  </si>
  <si>
    <t>MA,Preço: 555.89,Dist MM20: -3.75%,Momentum: -25.21,RSI: 38.45,ADX: 17.89,ATR: 8.19,RVOL: 1.41,Estado: Observar,Entrada: N/A,Stop: N/A,Take-Profit: N/A,Break-Even: N/A,Qtd: N/A,Trailing: 539.51,Data: 23/09/2026 02:36:31</t>
  </si>
  <si>
    <t>Engenharia de Energias Renováveis</t>
  </si>
  <si>
    <t>Preço: 577.35</t>
  </si>
  <si>
    <t>L090</t>
  </si>
  <si>
    <t>Ecologia e Ambiente</t>
  </si>
  <si>
    <t>Dist MM20: 6.69%</t>
  </si>
  <si>
    <t>Momentum: 50.61</t>
  </si>
  <si>
    <t>RSI: 72.28</t>
  </si>
  <si>
    <t>ADX: 31.59</t>
  </si>
  <si>
    <t>ATR: 10.69</t>
  </si>
  <si>
    <t>RVOL: 1.40</t>
  </si>
  <si>
    <t>Data: 31/07/2026 02:19:18</t>
  </si>
  <si>
    <t>171,0</t>
  </si>
  <si>
    <t>Universidade de Évora - Escola de Artes</t>
  </si>
  <si>
    <t>148,0</t>
  </si>
  <si>
    <t>Teatro</t>
  </si>
  <si>
    <t>127,8</t>
  </si>
  <si>
    <t>158,3</t>
  </si>
  <si>
    <t>Artes Plásticas e Multimédia</t>
  </si>
  <si>
    <t>142,3</t>
  </si>
  <si>
    <t>Universidade de Évora - Escola de Ciências Sociais</t>
  </si>
  <si>
    <t>História e Arqueologia</t>
  </si>
  <si>
    <t>MAIN,Preço: 56.00,Dist MM20: -2.12%,Momentum: -1.97,RSI: 42.80,ADX: 24.61,ATR: 0.84,RVOL: 0.88,Estado: Observar,Entrada: N/A,Stop: N/A,Take-Profit: N/A,Break-Even: N/A,Qtd: N/A,Trailing: 54.32,Data: 23/09/2026 06:59:35</t>
  </si>
  <si>
    <t>ARES,Preço: 129.10,Dist MM20: -6.87%,Momentum: -13.66,RSI: 37.44,ADX: 22.21,ATR: 3.93,RVOL: 0.73,Estado: Observar,Entrada: N/A,Stop: N/A,Take-Profit: N/A,Break-Even: N/A,Qtd: N/A,Trailing: 121.24,Data: 16/09/2026 02:51:06</t>
  </si>
  <si>
    <t>Preço: 57.15</t>
  </si>
  <si>
    <t>109,0</t>
  </si>
  <si>
    <t>Dist MM20: 5.86%</t>
  </si>
  <si>
    <t>Momentum: 3.74</t>
  </si>
  <si>
    <t>RSI: 69.09</t>
  </si>
  <si>
    <t>ADX: 19.30</t>
  </si>
  <si>
    <t>ATR: 1.27</t>
  </si>
  <si>
    <t>Trailing: 55.37</t>
  </si>
  <si>
    <t>150,3</t>
  </si>
  <si>
    <t>MAIN,Preço: 57.15,Dist MM20: 5.86%,Momentum: 3.74,RSI: 69.09,ADX: 19.30,ATR: 1.27,RVOL: 1.03,Estado: Aguardar Recuo,Entrada: 56.64,Stop: 55.37,Take-Profit: 59.18,Break-Even: 57.91,Qtd: 39.37,Trailing: 55.37,Data: 05/08/2026 10:27:35</t>
  </si>
  <si>
    <t>149,5</t>
  </si>
  <si>
    <t>119,8</t>
  </si>
  <si>
    <t>Património Cultural</t>
  </si>
  <si>
    <t>107,0</t>
  </si>
  <si>
    <t>L047</t>
  </si>
  <si>
    <t>Línguas e Literaturas</t>
  </si>
  <si>
    <t>111,8</t>
  </si>
  <si>
    <t>L365</t>
  </si>
  <si>
    <t>Filosofia e Cultura Contemporânea</t>
  </si>
  <si>
    <t>117,3</t>
  </si>
  <si>
    <t>Universidade de Évora - Escola de Saúde e Desenvolvimento Humano</t>
  </si>
  <si>
    <t>153,0</t>
  </si>
  <si>
    <t>MCHP,Preço: 75.82,Dist MM20: 3.84%,Momentum: 4.41,RSI: 53.35,ADX: 17.76,ATR: 2.22,RVOL: 0.91,Estado: Aguardar Recuo,Entrada: 74.93,Stop: 72.71,Take-Profit: 77.59,Break-Even: 76.26,Qtd: 11.26,Trailing: 72.71,Data: 23/09/2026 02:36:48</t>
  </si>
  <si>
    <t>106,0</t>
  </si>
  <si>
    <t>Reabilitação Psicomotora</t>
  </si>
  <si>
    <t>Preço: 75.01</t>
  </si>
  <si>
    <t>Dist MM20: -8.97%</t>
  </si>
  <si>
    <t>L256</t>
  </si>
  <si>
    <t>AS,Preço: 26.62,Dist MM20: -11.41%,Momentum: -4.97,RSI: 28.22,ADX: 37.48,ATR: 0.89,RVOL: 0.80,Estado: Observar,Entrada: N/A,Stop: N/A,Take-Profit: N/A,Break-Even: N/A,Qtd: N/A,Trailing: 24.84,Data: 16/09/2026 02:51:25</t>
  </si>
  <si>
    <t>Ciências Biomédicas e da Saúde</t>
  </si>
  <si>
    <t>Momentum: -13.58</t>
  </si>
  <si>
    <t>RSI: 37.87</t>
  </si>
  <si>
    <t>Universidade Nova de Lisboa - Faculdade de Ciências Médicas</t>
  </si>
  <si>
    <t>Ciências da Nutrição</t>
  </si>
  <si>
    <t>ADX: 26.32</t>
  </si>
  <si>
    <t>162,0</t>
  </si>
  <si>
    <t>ATR: 3.45</t>
  </si>
  <si>
    <t>RVOL: 1.21</t>
  </si>
  <si>
    <t>Data: 31/07/2026 02:36:04</t>
  </si>
  <si>
    <t>180,3</t>
  </si>
  <si>
    <t>Universidade Nova de Lisboa - Faculdade de Ciências Sociais e Humanas</t>
  </si>
  <si>
    <t>Sociologia (regime pós-laboral)</t>
  </si>
  <si>
    <t>170,5</t>
  </si>
  <si>
    <t>163,5</t>
  </si>
  <si>
    <t>ASML</t>
  </si>
  <si>
    <t>MDB</t>
  </si>
  <si>
    <t>Ciências da Linguagem</t>
  </si>
  <si>
    <t>Ciências Musicais</t>
  </si>
  <si>
    <t>Mongo DB</t>
  </si>
  <si>
    <t>152,5</t>
  </si>
  <si>
    <t>Geografia e Planeamento Regional</t>
  </si>
  <si>
    <t>MDB,Preço: 427.69,Dist MM20: 8.10%,Momentum: -6.52,RSI: 59.25,ADX: 17.62,ATR: 20.09,RVOL: 1.04,Estado: Observar,Entrada: N/A,Stop: N/A,Take-Profit: N/A,Break-Even: N/A,Qtd: N/A,Trailing: 387.51,Data: 23/09/2026 07:04:02</t>
  </si>
  <si>
    <t>ASML,Preço: 1591.48,Dist MM20: -6.88%,Momentum: -152.68,RSI: 38.09,ADX: 14.08,ATR: 37.02,RVOL: 1.33,Estado: Aguardar Recuo,Entrada: 1576.67,Stop: 1539.65,Take-Profit: 1650.71,Break-Even: 1613.69,Qtd: 1.35,Trailing: 1539.65,Data: 16/09/2026 02:20:14</t>
  </si>
  <si>
    <t>Preço: 434.21</t>
  </si>
  <si>
    <t>Preço: 1651.44</t>
  </si>
  <si>
    <t>Dist MM20: 1.87%</t>
  </si>
  <si>
    <t>137,3</t>
  </si>
  <si>
    <t>Dist MM20: -5.37%</t>
  </si>
  <si>
    <t>Momentum: -3.62</t>
  </si>
  <si>
    <t>Momentum: -145.88</t>
  </si>
  <si>
    <t>134,0</t>
  </si>
  <si>
    <t>RSI: 57.78</t>
  </si>
  <si>
    <t>ADX: 24.58</t>
  </si>
  <si>
    <t>ADX: 15.53</t>
  </si>
  <si>
    <t>ATR: 20.07</t>
  </si>
  <si>
    <t>ATR: 67.33</t>
  </si>
  <si>
    <t>Estudos Portugueses</t>
  </si>
  <si>
    <t>RVOL: 1.82</t>
  </si>
  <si>
    <t>Trailing: 394.07</t>
  </si>
  <si>
    <t>Universidade Nova de Lisboa - Faculdade de Ciências e Tecnologia</t>
  </si>
  <si>
    <t>Conservação - Restauro</t>
  </si>
  <si>
    <t>Data: 31/07/2026 02:06:31</t>
  </si>
  <si>
    <t>148,5</t>
  </si>
  <si>
    <t>MDB,Preço: 434.21,Dist MM20: 1.87%,Momentum: -3.62,RSI: 57.78,ADX: 24.58,ATR: 20.07,RVOL: 1.82,Estado: Observar,Entrada: N/A,Stop: N/A,Take-Profit: N/A,Break-Even: N/A,Qtd: N/A,Trailing: 394.07,Data: 01/09/2026 21:44:31</t>
  </si>
  <si>
    <t>ASML,Preço: 1651.44,Dist MM20: -5.37%,Momentum: -145.88,RSI: 43.96,ADX: 15.53,ATR: 67.33,RVOL: 1.02,Estado: Aguardar Recuo,Entrada: 1624.51,Stop: 1557.18,Take-Profit: 1759.17,Break-Even: 1691.84,Qtd: 0.74,Data: 31/07/2026 02:06:31</t>
  </si>
  <si>
    <t>148,3</t>
  </si>
  <si>
    <t>163,8</t>
  </si>
  <si>
    <t>170,8</t>
  </si>
  <si>
    <t>Engenharia Química e Biológica</t>
  </si>
  <si>
    <t>158,1</t>
  </si>
  <si>
    <t>Química Aplicada</t>
  </si>
  <si>
    <t>Biologia Celular e Molecular</t>
  </si>
  <si>
    <t>MED,Preço: 12.08,Dist MM20: -0.66%,Momentum: -0.01,RSI: 53.07,ADX: 26.09,ATR: 0.37,RVOL: 0.62,Estado: Observar,Entrada: N/A,Stop: N/A,Take-Profit: N/A,Break-Even: N/A,Qtd: N/A,Trailing: 11.75,Data: 23/09/2026 06:41:44</t>
  </si>
  <si>
    <t>ASTS,Preço: 58.77,Dist MM20: -5.19%,Momentum: -3.24,RSI: 42.87,ADX: 11.95,ATR: 3.41,RVOL: 0.77,Estado: Observar,Entrada: N/A,Stop: N/A,Take-Profit: N/A,Break-Even: N/A,Qtd: N/A,Trailing: 51.95,Data: 16/09/2026 02:20:32</t>
  </si>
  <si>
    <t>L167</t>
  </si>
  <si>
    <t>Matemática Aplicada à Gestão do Risco</t>
  </si>
  <si>
    <t>170,3</t>
  </si>
  <si>
    <t>Preço: 9.91</t>
  </si>
  <si>
    <t>Dist MM20: -4.25%</t>
  </si>
  <si>
    <t>Momentum: -0.81</t>
  </si>
  <si>
    <t>L231</t>
  </si>
  <si>
    <t>Engenharia de Micro e Nanotecnologias</t>
  </si>
  <si>
    <t>RSI: 40.71</t>
  </si>
  <si>
    <t>ADX: 27.36</t>
  </si>
  <si>
    <t>ATR: 0.41</t>
  </si>
  <si>
    <t>L286</t>
  </si>
  <si>
    <t>Tecnologia Agro-Industrial</t>
  </si>
  <si>
    <t>Data: 31/07/2026 04:49:42</t>
  </si>
  <si>
    <t>L358</t>
  </si>
  <si>
    <t>Engenharia de Comunicações e de Informação</t>
  </si>
  <si>
    <t>L370</t>
  </si>
  <si>
    <t>Geologia para a Sustentabilidade</t>
  </si>
  <si>
    <t>123,0</t>
  </si>
  <si>
    <t>Universidade Nova de Lisboa - Faculdade de Economia</t>
  </si>
  <si>
    <t>174,6</t>
  </si>
  <si>
    <t>177,6</t>
  </si>
  <si>
    <t>L313</t>
  </si>
  <si>
    <t>Estudos do Mar</t>
  </si>
  <si>
    <t>Universidade Nova de Lisboa - Instituto Superior de Estatística e Gestão de Informação</t>
  </si>
  <si>
    <t>Sistemas e Tecnologias de Informação</t>
  </si>
  <si>
    <t>Gestão de Informação</t>
  </si>
  <si>
    <t>131,5</t>
  </si>
  <si>
    <t>MERC</t>
  </si>
  <si>
    <t>L188</t>
  </si>
  <si>
    <t>Ciência de Dados</t>
  </si>
  <si>
    <t>168,0</t>
  </si>
  <si>
    <t>Mercer International</t>
  </si>
  <si>
    <t>Universidade Nova de Lisboa - Faculdade de Direito</t>
  </si>
  <si>
    <t>178,0</t>
  </si>
  <si>
    <t>Universidade do Minho</t>
  </si>
  <si>
    <t>Geografia e Planeamento</t>
  </si>
  <si>
    <t>Direito (regime pós-laboral)</t>
  </si>
  <si>
    <t>Educação (regime pós-laboral)</t>
  </si>
  <si>
    <t>Design de Produto</t>
  </si>
  <si>
    <t>162,8</t>
  </si>
  <si>
    <t>150,5</t>
  </si>
  <si>
    <t>MERC,Preço: 0.32,Dist MM20: -15.18%,Momentum: -0.07,RSI: 26.32,ADX: 15.38,ATR: 0.03,RVOL: 0.06,Estado: Observar,Entrada: N/A,Stop: N/A,Take-Profit: N/A,Break-Even: N/A,Qtd: N/A,Trailing: 0.26,Data: 23/09/2026 07:04:04</t>
  </si>
  <si>
    <t>141,8</t>
  </si>
  <si>
    <t>AVGO,Preço: 339.27,Dist MM20: -6.39%,Momentum: -17.47,RSI: 32.27,ADX: 25.33,ATR: 8.90,RVOL: 0.90,Estado: Observar,Entrada: N/A,Stop: N/A,Take-Profit: N/A,Break-Even: N/A,Qtd: N/A,Trailing: 321.47,Data: 16/09/2026 02:20:50</t>
  </si>
  <si>
    <t>Preço: 0.59</t>
  </si>
  <si>
    <t>Dist MM20: -9.43%</t>
  </si>
  <si>
    <t>Ciência Política</t>
  </si>
  <si>
    <t>Momentum: -0.05</t>
  </si>
  <si>
    <t>RSI: 37.92</t>
  </si>
  <si>
    <t>ADX: 17.89</t>
  </si>
  <si>
    <t>ATR: 0.06</t>
  </si>
  <si>
    <t>Contabilidade</t>
  </si>
  <si>
    <t>RVOL: 0.31</t>
  </si>
  <si>
    <t>162,5</t>
  </si>
  <si>
    <t>Data: 31/07/2026 04:50:40</t>
  </si>
  <si>
    <t>173,3</t>
  </si>
  <si>
    <t>MERC,Preço: 0.59,Dist MM20: -9.43%,Momentum: -0.05,RSI: 37.92,ADX: 17.89,ATR: 0.06,RVOL: 0.31,Estado: Observar,Entrada: N/A,Stop: N/A,Take-Profit: N/A,Break-Even: N/A,Qtd: N/A,Data: 31/07/2026 04:50:40</t>
  </si>
  <si>
    <t>164,5</t>
  </si>
  <si>
    <t>116,3</t>
  </si>
  <si>
    <t>Engenharia de Telecomunicações e Informática</t>
  </si>
  <si>
    <t>Meta Platforms</t>
  </si>
  <si>
    <t>169,5</t>
  </si>
  <si>
    <t>159,8</t>
  </si>
  <si>
    <t>Engenharia Têxtil</t>
  </si>
  <si>
    <t>127,5</t>
  </si>
  <si>
    <t>Estudos Culturais</t>
  </si>
  <si>
    <t>118,5</t>
  </si>
  <si>
    <t>131,8</t>
  </si>
  <si>
    <t>META,Preço: 736.59,Dist MM20: 16.36%,Momentum: 158.05,RSI: 76.04,ADX: 32.25,ATR: 23.29,RVOL: 1.32,Estado: Observar,Entrada: N/A,Stop: N/A,Take-Profit: N/A,Break-Even: N/A,Qtd: N/A,Trailing: 690.01,Data: 23/09/2026 02:37:06</t>
  </si>
  <si>
    <t>168,8</t>
  </si>
  <si>
    <t>Preço: 539.03</t>
  </si>
  <si>
    <t>Dist MM20: -13.35%</t>
  </si>
  <si>
    <t>Línguas Aplicadas</t>
  </si>
  <si>
    <t>144,5</t>
  </si>
  <si>
    <t>Momentum: -130.18</t>
  </si>
  <si>
    <t>BA,Preço: 209.69,Dist MM20: -0.75%,Momentum: -1.39,RSI: 43.96,ADX: 24.22,ATR: 3.83,RVOL: 0.70,Estado: Observar,Entrada: N/A,Stop: N/A,Take-Profit: N/A,Break-Even: N/A,Qtd: N/A,Trailing: 202.03,Data: 16/09/2026 02:51:43</t>
  </si>
  <si>
    <t>Línguas e Literaturas Europeias</t>
  </si>
  <si>
    <t>RSI: 32.11</t>
  </si>
  <si>
    <t>ADX: 18.64</t>
  </si>
  <si>
    <t>ATR: 19.31</t>
  </si>
  <si>
    <t>RVOL: 2.23</t>
  </si>
  <si>
    <t>Data: 31/07/2026 04:09:00</t>
  </si>
  <si>
    <t>META,Preço: 539.03,Dist MM20: -13.35%,Momentum: -130.18,RSI: 32.11,ADX: 18.64,ATR: 19.31,RVOL: 2.23,Estado: Observar,Entrada: N/A,Stop: N/A,Take-Profit: N/A,Break-Even: N/A,Qtd: N/A,Data: 31/07/2026 04:09:00</t>
  </si>
  <si>
    <t>169,8</t>
  </si>
  <si>
    <t>MNDY</t>
  </si>
  <si>
    <t>Educação</t>
  </si>
  <si>
    <t>Monday.com</t>
  </si>
  <si>
    <t>Ciências do Ambiente</t>
  </si>
  <si>
    <t>Estatística Aplicada</t>
  </si>
  <si>
    <t>Ciências da Computação</t>
  </si>
  <si>
    <t>118,0</t>
  </si>
  <si>
    <t>Design e Marketing de Moda</t>
  </si>
  <si>
    <t>Biologia Aplicada</t>
  </si>
  <si>
    <t>Negócios Internacionais</t>
  </si>
  <si>
    <t>183,5</t>
  </si>
  <si>
    <t>BABA,Preço: 109.34,Dist MM20: -5.83%,Momentum: -10.10,RSI: 36.78,ADX: 22.43,ATR: 2.12,RVOL: 0.55,Estado: Aguardar Recuo,Entrada: 108.49,Stop: 106.37,Take-Profit: 112.73,Break-Even: 110.61,Qtd: 23.58,Trailing: 106.37,Data: 16/09/2026 02:21:08</t>
  </si>
  <si>
    <t>156,5</t>
  </si>
  <si>
    <t>153,8</t>
  </si>
  <si>
    <t>MNDY,Preço: 84.95,Dist MM20: -7.45%,Momentum: -11.56,RSI: 44.66,ADX: 12.24,ATR: 5.12,RVOL: 0.84,Estado: Observar,Entrada: N/A,Stop: N/A,Take-Profit: N/A,Break-Even: N/A,Qtd: N/A,Trailing: 74.71,Data: 23/09/2026 07:04:04</t>
  </si>
  <si>
    <t>L078</t>
  </si>
  <si>
    <t>Criminologia e Justiça Criminal</t>
  </si>
  <si>
    <t>Preço: 88.16</t>
  </si>
  <si>
    <t>L112</t>
  </si>
  <si>
    <t>Dist MM20: 8.78%</t>
  </si>
  <si>
    <t>Proteção Civil e Gestão do Território</t>
  </si>
  <si>
    <t>Momentum: 5.69</t>
  </si>
  <si>
    <t>L147</t>
  </si>
  <si>
    <t>Estudos Orientais: Estudos Chineses e Japoneses</t>
  </si>
  <si>
    <t>RSI: 60.98</t>
  </si>
  <si>
    <t>ADX: 14.58</t>
  </si>
  <si>
    <t>ATR: 4.82</t>
  </si>
  <si>
    <t>L215</t>
  </si>
  <si>
    <t>Engenharia e Gestão de Sistemas de Informação</t>
  </si>
  <si>
    <t>RVOL: 1.36</t>
  </si>
  <si>
    <t>Data: 31/07/2026 04:09:17</t>
  </si>
  <si>
    <t>L218</t>
  </si>
  <si>
    <t>Engenharia Eletrónica Industrial e Computadores</t>
  </si>
  <si>
    <t>MNDY,Preço: 88.16,Dist MM20: 8.78%,Momentum: 5.69,RSI: 60.98,ADX: 14.58,ATR: 4.82,RVOL: 1.36,Estado: Observar,Entrada: N/A,Stop: N/A,Take-Profit: N/A,Break-Even: N/A,Qtd: N/A,Data: 31/07/2026 04:09:17</t>
  </si>
  <si>
    <t>188,5</t>
  </si>
  <si>
    <t>L229</t>
  </si>
  <si>
    <t>Engenharia de Polímeros</t>
  </si>
  <si>
    <t>Universidade do Porto - Faculdade de Ciências da Nutrição e da Alimentação</t>
  </si>
  <si>
    <t>142,8</t>
  </si>
  <si>
    <t>Universidade do Porto - Faculdade de Arquitetura</t>
  </si>
  <si>
    <t>178,8</t>
  </si>
  <si>
    <t>MPC</t>
  </si>
  <si>
    <t>Universidade do Porto - Faculdade de Ciências</t>
  </si>
  <si>
    <t>Marathon Petroleum</t>
  </si>
  <si>
    <t>155,3</t>
  </si>
  <si>
    <t>151,3</t>
  </si>
  <si>
    <t>Engenharia Agronómica</t>
  </si>
  <si>
    <t>113,8</t>
  </si>
  <si>
    <t>110,3</t>
  </si>
  <si>
    <t>S</t>
  </si>
  <si>
    <t>BBAI,Preço: 2.82,Dist MM20: -6.16%,Momentum: -0.27,RSI: 39.87,ADX: 13.38,ATR: 0.13,RVOL: 1.30,Estado: Observar,Entrada: N/A,Stop: N/A,Take-Profit: N/A,Break-Even: N/A,Qtd: N/A,Trailing: 2.56,Data: 16/09/2026 02:21:25</t>
  </si>
  <si>
    <t>Preço: 413.92</t>
  </si>
  <si>
    <t>Matemática Aplicada</t>
  </si>
  <si>
    <t>Dist MM20: 8.66%</t>
  </si>
  <si>
    <t>Momentum: 51.65</t>
  </si>
  <si>
    <t>RSI: 80.27</t>
  </si>
  <si>
    <t>Bioinformática</t>
  </si>
  <si>
    <t>ADX: 48.12</t>
  </si>
  <si>
    <t>ATR: 12.21</t>
  </si>
  <si>
    <t>Ciência de Computadores</t>
  </si>
  <si>
    <t>136,3</t>
  </si>
  <si>
    <t>Ciências e Tecnologia do Ambiente</t>
  </si>
  <si>
    <t>Trailing: 389.50</t>
  </si>
  <si>
    <t>L096</t>
  </si>
  <si>
    <t>Engenharia Geoespacial</t>
  </si>
  <si>
    <t>173,0</t>
  </si>
  <si>
    <t>MPC,Preço: 413.92,Dist MM20: 8.66%,Momentum: 51.65,RSI: 80.27,ADX: 48.12,ATR: 12.21,RVOL: 1.16,Estado: Observar,Entrada: N/A,Stop: N/A,Take-Profit: N/A,Break-Even: N/A,Qtd: N/A,Trailing: 389.50,Data: 17/09/2026 03:51:54</t>
  </si>
  <si>
    <t>Universidade do Porto - Faculdade de Economia</t>
  </si>
  <si>
    <t>172,3</t>
  </si>
  <si>
    <t>Universidade do Porto - Faculdade de Engenharia</t>
  </si>
  <si>
    <t>186,5</t>
  </si>
  <si>
    <t>179,8</t>
  </si>
  <si>
    <t>180,0</t>
  </si>
  <si>
    <t>194,3</t>
  </si>
  <si>
    <t>L224</t>
  </si>
  <si>
    <t>Engenharia Informática e Computação</t>
  </si>
  <si>
    <t>BLK,Preço: 1058.66,Dist MM20: -6.05%,Momentum: -117.98,RSI: 35.91,ADX: 26.86,ATR: 20.08,RVOL: 0.79,Estado: Observar,Entrada: N/A,Stop: N/A,Take-Profit: N/A,Break-Even: N/A,Qtd: N/A,Trailing: 1018.50,Data: 16/09/2026 02:52:00</t>
  </si>
  <si>
    <t>L236</t>
  </si>
  <si>
    <t>Engenharia de Minas e Geo-Ambiente</t>
  </si>
  <si>
    <t>Universidade do Porto - Faculdade de Farmácia</t>
  </si>
  <si>
    <t>151,0</t>
  </si>
  <si>
    <t>Universidade do Porto - Faculdade de Letras</t>
  </si>
  <si>
    <t>MRNA,Preço: 182.56,Dist MM20: 22.14%,Momentum: 28.29,RSI: 72.17,ADX: 56.34,ATR: 10.67,RVOL: 1.30,Estado: Observar,Entrada: N/A,Stop: N/A,Take-Profit: N/A,Break-Even: N/A,Qtd: N/A,Trailing: 161.22,Data: 23/09/2026 02:37:25</t>
  </si>
  <si>
    <t>174,0</t>
  </si>
  <si>
    <t>Preço: 57.92</t>
  </si>
  <si>
    <t>Dist MM20: -10.88%</t>
  </si>
  <si>
    <t>Momentum: -10.35</t>
  </si>
  <si>
    <t>RSI: 45.07</t>
  </si>
  <si>
    <t>ADX: 23.22</t>
  </si>
  <si>
    <t>ATR: 2.82</t>
  </si>
  <si>
    <t>RVOL: 0.68</t>
  </si>
  <si>
    <t>Data: 31/07/2026 02:19:55</t>
  </si>
  <si>
    <t>MRNA,Preço: 57.92,Dist MM20: -10.88%,Momentum: -10.35,RSI: 45.07,ADX: 23.22,ATR: 2.82,RVOL: 0.68,Estado: Aguardar Recuo,Entrada: 56.79,Stop: 53.97,Take-Profit: 62.43,Break-Even: 59.61,Qtd: 17.73,Data: 31/07/2026 02:19:55</t>
  </si>
  <si>
    <t>152,8</t>
  </si>
  <si>
    <t>154,5</t>
  </si>
  <si>
    <t>Línguas e Relações Internacionais</t>
  </si>
  <si>
    <t>171,5</t>
  </si>
  <si>
    <t>138,3</t>
  </si>
  <si>
    <t>L251</t>
  </si>
  <si>
    <t>Literatura e Estudos Interartes</t>
  </si>
  <si>
    <t>154,3</t>
  </si>
  <si>
    <t>Universidade do Porto - Faculdade de Medicina</t>
  </si>
  <si>
    <t>183,2</t>
  </si>
  <si>
    <t>L307</t>
  </si>
  <si>
    <t>Saúde Digital e Inovação Biomédica</t>
  </si>
  <si>
    <t>BMI,Preço: 126.11,Dist MM20: -4.05%,Momentum: -10.25,RSI: 40.38,ADX: 17.01,ATR: 3.80,RVOL: 1.14,Estado: Observar,Entrada: N/A,Stop: N/A,Take-Profit: N/A,Break-Even: N/A,Qtd: N/A,Trailing: 118.51,Data: 16/09/2026 02:52:18</t>
  </si>
  <si>
    <t>Universidade do Porto - Faculdade de Psicologia e de Ciências da Educação</t>
  </si>
  <si>
    <t>Universidade do Porto - Instituto de Ciências Biomédicas Abel Salazar</t>
  </si>
  <si>
    <t>Ciências do Meio Aquático</t>
  </si>
  <si>
    <t>184,7</t>
  </si>
  <si>
    <t>171,3</t>
  </si>
  <si>
    <t>Universidade do Porto - Faculdade de Desporto</t>
  </si>
  <si>
    <t>143,5</t>
  </si>
  <si>
    <t>Universidade do Porto - Faculdade de Medicina Dentária</t>
  </si>
  <si>
    <t>MRVL,Preço: 262.36,Dist MM20: 14.00%,Momentum: 51.97,RSI: 63.95,ADX: 18.01,ATR: 10.52,RVOL: 0.89,Estado: Aguardar Recuo,Entrada: 258.15,Stop: 247.63,Take-Profit: 270.77,Break-Even: 264.46,Qtd: 2.38,Trailing: 247.63,Data: 23/09/2026 02:37:42</t>
  </si>
  <si>
    <t>178,3</t>
  </si>
  <si>
    <t>Universidade do Porto - Faculdade de Direito</t>
  </si>
  <si>
    <t>Criminologia</t>
  </si>
  <si>
    <t>164,0</t>
  </si>
  <si>
    <t>Preço: 183.30</t>
  </si>
  <si>
    <t>Dist MM20: -12.44%</t>
  </si>
  <si>
    <t>Universidade de Trás-os-Montes e Alto Douro - Escola de Ciências Agrárias e Veterinárias</t>
  </si>
  <si>
    <t>Momentum: -52.51</t>
  </si>
  <si>
    <t>115,7</t>
  </si>
  <si>
    <t>RSI: 40.00</t>
  </si>
  <si>
    <t>162,3</t>
  </si>
  <si>
    <t>L352</t>
  </si>
  <si>
    <t>Ciência Animal</t>
  </si>
  <si>
    <t>ADX: 27.75</t>
  </si>
  <si>
    <t>L372</t>
  </si>
  <si>
    <t>Ciências e Tecnologias Florestais</t>
  </si>
  <si>
    <t>ATR: 13.83</t>
  </si>
  <si>
    <t>130,3</t>
  </si>
  <si>
    <t>Universidade de Trás-os-Montes e Alto Douro - Escola de Ciências Humanas e Sociais</t>
  </si>
  <si>
    <t>Animação Sociocultural</t>
  </si>
  <si>
    <t>Data: 31/07/2026 02:10:09</t>
  </si>
  <si>
    <t>126,0</t>
  </si>
  <si>
    <t>143,3</t>
  </si>
  <si>
    <t>161,0</t>
  </si>
  <si>
    <t>Teatro e Artes Performativas</t>
  </si>
  <si>
    <t>142,5</t>
  </si>
  <si>
    <t>L312</t>
  </si>
  <si>
    <t>Cultura e Transformação Digital</t>
  </si>
  <si>
    <t>Universidade de Trás-os-Montes e Alto Douro - Escola de Ciências e Tecnologia</t>
  </si>
  <si>
    <t>Comunicação e Multimédia</t>
  </si>
  <si>
    <t>124,0</t>
  </si>
  <si>
    <t>147,0</t>
  </si>
  <si>
    <t>L193</t>
  </si>
  <si>
    <t>Matemática Aplicada e Ciência de Dados</t>
  </si>
  <si>
    <t>L253</t>
  </si>
  <si>
    <t>Design Sustentável</t>
  </si>
  <si>
    <t>L345</t>
  </si>
  <si>
    <t>Cidades Sustentáveis e Inteligentes</t>
  </si>
  <si>
    <t>Universidade de Trás-os-Montes e Alto Douro - Escola de Ciências da Vida e do Ambiente</t>
  </si>
  <si>
    <t>124,8</t>
  </si>
  <si>
    <t>115,8</t>
  </si>
  <si>
    <t>MSFT,Preço: 498.00,Dist MM20: -0.19%,Momentum: -3.02,RSI: 54.82,ADX: 31.57,ATR: 9.46,RVOL: 0.97,Estado: Observar,Entrada: N/A,Stop: N/A,Take-Profit: N/A,Break-Even: N/A,Qtd: N/A,Trailing: 479.08,Data: 23/09/2026 02:38:01</t>
  </si>
  <si>
    <t>132,5</t>
  </si>
  <si>
    <t>Genética e Biotecnologia</t>
  </si>
  <si>
    <t>115,3</t>
  </si>
  <si>
    <t>Preço: 451.10</t>
  </si>
  <si>
    <t>Universidade da Madeira - Faculdade de Artes e Humanidades</t>
  </si>
  <si>
    <t>Dist MM20: 14.74%</t>
  </si>
  <si>
    <t>Momentum: 66.00</t>
  </si>
  <si>
    <t>RSI: 71.81</t>
  </si>
  <si>
    <t>Comunicação, Cultura e Organizações</t>
  </si>
  <si>
    <t>112,0</t>
  </si>
  <si>
    <t>ADX: 12.89</t>
  </si>
  <si>
    <t>ATR: 11.72</t>
  </si>
  <si>
    <t>L150</t>
  </si>
  <si>
    <t>Estudos de Cultura</t>
  </si>
  <si>
    <t>RVOL: 3.10</t>
  </si>
  <si>
    <t>Universidade da Madeira - Faculdade de Ciências Exatas e da Engenharia</t>
  </si>
  <si>
    <t>Data: 31/07/2026 02:19:37</t>
  </si>
  <si>
    <t>Engenharia Eletrónica e Telecomunicações</t>
  </si>
  <si>
    <t>MSFT,Preço: 451.10,Dist MM20: 14.74%,Momentum: 66.00,RSI: 71.81,ADX: 12.89,ATR: 11.72,RVOL: 3.10,Estado: Aguardar Recuo,Entrada: 446.41,Stop: 434.69,Take-Profit: 469.85,Break-Even: 458.13,Qtd: 4.27,Data: 31/07/2026 02:19:37</t>
  </si>
  <si>
    <t>149,4</t>
  </si>
  <si>
    <t>L367</t>
  </si>
  <si>
    <t>Engenharia Física e Computacional</t>
  </si>
  <si>
    <t>Universidade da Madeira - Faculdade de Ciências Sociais</t>
  </si>
  <si>
    <t>MU</t>
  </si>
  <si>
    <t>Educação Física e Desporto</t>
  </si>
  <si>
    <t>Micron Tec</t>
  </si>
  <si>
    <t>Universidade da Madeira - Faculdade de Ciências da Vida</t>
  </si>
  <si>
    <t>176,8</t>
  </si>
  <si>
    <t>Universidade da Madeira - Escola Superior de Saúde</t>
  </si>
  <si>
    <t>Enfermagem</t>
  </si>
  <si>
    <t>150,0</t>
  </si>
  <si>
    <t>Universidade da Madeira - Escola Superior de Tecnologias e Gestão</t>
  </si>
  <si>
    <t>Direção e Gestão Hoteleira</t>
  </si>
  <si>
    <t>Universidade de Lisboa - Faculdade de Arquitetura</t>
  </si>
  <si>
    <t>173,5</t>
  </si>
  <si>
    <t>BOLT,Preço: 4.03,Dist MM20: 6.70%,Momentum: 0.18,RSI: 56.39,ADX: 17.95,ATR: 0.31,RVOL: 1.92,Estado: Aguardar Recuo,Entrada: 3.91,Stop: 3.60,Take-Profit: 4.53,Break-Even: 4.22,Qtd: 161.29,Trailing: 3.60,Data: 16/09/2026 03:05:11</t>
  </si>
  <si>
    <t>Universidade de Lisboa - Faculdade de Belas-Artes</t>
  </si>
  <si>
    <t>Desenho</t>
  </si>
  <si>
    <t>Design de Comunicação</t>
  </si>
  <si>
    <t>160,8</t>
  </si>
  <si>
    <t>MU,Preço: 1096.16,Dist MM20: 12.69%,Momentum: 162.72,RSI: 66.06,ADX: 12.58,ATR: 36.89,RVOL: 1.15,Estado: Aguardar Recuo,Entrada: 1081.40,Stop: 1044.51,Take-Profit: 1125.67,Break-Even: 1103.54,Qtd: 0.68,Trailing: 1044.51,Data: 23/09/2026 06:45:28</t>
  </si>
  <si>
    <t>Design de Equipamento</t>
  </si>
  <si>
    <t>Escultura</t>
  </si>
  <si>
    <t>146,8</t>
  </si>
  <si>
    <t>Preço: 892.67</t>
  </si>
  <si>
    <t>Pintura</t>
  </si>
  <si>
    <t>158,0</t>
  </si>
  <si>
    <t>Dist MM20: -0.99%</t>
  </si>
  <si>
    <t>Arte Multimédia</t>
  </si>
  <si>
    <t>Momentum: -11.61</t>
  </si>
  <si>
    <t>L010</t>
  </si>
  <si>
    <t>RSI: 48.76</t>
  </si>
  <si>
    <t>Ciências da Arte e do Património</t>
  </si>
  <si>
    <t>ADX: 20.55</t>
  </si>
  <si>
    <t>Universidade de Lisboa - Faculdade de Ciências</t>
  </si>
  <si>
    <t>ATR: 69.49</t>
  </si>
  <si>
    <t>Trailing: 795.38</t>
  </si>
  <si>
    <t>MU,Preço: 892.67,Dist MM20: -0.99%,Momentum: -11.61,RSI: 48.76,ADX: 20.55,ATR: 69.49,RVOL: 0.78,Estado: Aguardar Recuo,Entrada: 864.87,Stop: 795.38,Take-Profit: 1003.85,Break-Even: 934.36,Qtd: 0.72,Trailing: 795.38,Data: 05/08/2026 10:25:58</t>
  </si>
  <si>
    <t>146,5</t>
  </si>
  <si>
    <t>121,0</t>
  </si>
  <si>
    <t>Meteorologia, Oceanografia e Geofísica</t>
  </si>
  <si>
    <t>Química Tecnológica</t>
  </si>
  <si>
    <t>L079</t>
  </si>
  <si>
    <t>Tecnologias de Informação</t>
  </si>
  <si>
    <t>L204</t>
  </si>
  <si>
    <t>Engenharia Biomédica e Biofísica</t>
  </si>
  <si>
    <t>L214</t>
  </si>
  <si>
    <t>Engenharia da Energia e Ambiente</t>
  </si>
  <si>
    <t>Universidade de Lisboa - Faculdade de Direito</t>
  </si>
  <si>
    <t>163,3</t>
  </si>
  <si>
    <t>Universidade de Lisboa - Faculdade de Farmácia</t>
  </si>
  <si>
    <t>148,8</t>
  </si>
  <si>
    <t>Universidade de Lisboa - Faculdade de Letras</t>
  </si>
  <si>
    <t>Artes e Humanidades</t>
  </si>
  <si>
    <t>114,8</t>
  </si>
  <si>
    <t>Estudos Gerais</t>
  </si>
  <si>
    <t>Estudos Africanos</t>
  </si>
  <si>
    <t>NET,Preço: 353.00,Dist MM20: 14.65%,Momentum: 67.49,RSI: 65.72,ADX: 19.44,ATR: 17.10,RVOL: 1.02,Estado: Aguardar Recuo,Entrada: 346.16,Stop: 329.06,Take-Profit: 366.68,Break-Even: 356.42,Qtd: 1.46,Trailing: 329.06,Data: 23/09/2026 02:38:18</t>
  </si>
  <si>
    <t>Preço: 283.39</t>
  </si>
  <si>
    <t>BRK.B,Preço: 516.76,Dist MM20: 2.28%,Momentum: 12.44,RSI: 64.40,ADX: 14.05,ATR: 5.03,RVOL: 0.95,Estado: Aguardar Recuo,Entrada: 514.75,Stop: 509.72,Take-Profit: 524.81,Break-Even: 519.78,Qtd: 9.94,Trailing: 509.72,Data: 16/09/2026 02:21:44</t>
  </si>
  <si>
    <t>Dist MM20: 5.50%</t>
  </si>
  <si>
    <t>Momentum: 14.99</t>
  </si>
  <si>
    <t>RSI: 65.38</t>
  </si>
  <si>
    <t>ADX: 19.04</t>
  </si>
  <si>
    <t>Estudos Asiáticos</t>
  </si>
  <si>
    <t>ATR: 14.15</t>
  </si>
  <si>
    <t>133,3</t>
  </si>
  <si>
    <t>L097</t>
  </si>
  <si>
    <t>Estudos Comparatistas</t>
  </si>
  <si>
    <t>Data: 31/07/2026 02:07:55</t>
  </si>
  <si>
    <t>L288</t>
  </si>
  <si>
    <t>Estudos de Cultura e Comunicação Intercultural</t>
  </si>
  <si>
    <t>Universidade de Lisboa - Faculdade de Medicina</t>
  </si>
  <si>
    <t>NET,Preço: 283.39,Dist MM20: 5.50%,Momentum: 14.99,RSI: 65.38,ADX: 19.04,ATR: 14.15,RVOL: 0.92,Estado: Aguardar Recuo,Entrada: 277.73,Stop: 263.58,Take-Profit: 306.03,Break-Even: 291.88,Qtd: 3.53,Data: 31/07/2026 02:07:55</t>
  </si>
  <si>
    <t>178,7</t>
  </si>
  <si>
    <t>Universidade de Lisboa - Faculdade de Medicina Dentária</t>
  </si>
  <si>
    <t>Higiene Oral</t>
  </si>
  <si>
    <t>Prótese Dentária</t>
  </si>
  <si>
    <t>Universidade de Lisboa - Faculdade de Medicina Veterinária</t>
  </si>
  <si>
    <t>Universidade de Lisboa - Faculdade de Motricidade Humana</t>
  </si>
  <si>
    <t>Dança</t>
  </si>
  <si>
    <t>Gestão do Desporto</t>
  </si>
  <si>
    <t>139,0</t>
  </si>
  <si>
    <t>Universidade de Lisboa - Faculdade de Psicologia</t>
  </si>
  <si>
    <t>L040</t>
  </si>
  <si>
    <t>Universidade de Lisboa - Instituto de Educação</t>
  </si>
  <si>
    <t>Educação e Formação</t>
  </si>
  <si>
    <t>Universidade de Lisboa - Instituto de Geografia e Ordenamento do Território</t>
  </si>
  <si>
    <t>Planeamento e Gestão do Território</t>
  </si>
  <si>
    <t>Universidade de Lisboa - Instituto Superior de Agronomia</t>
  </si>
  <si>
    <t>Engenharia Florestal e dos Recursos Naturais</t>
  </si>
  <si>
    <t>132,8</t>
  </si>
  <si>
    <t>109,5</t>
  </si>
  <si>
    <t>BROS,Preço: 41.98,Dist MM20: -11.91%,Momentum: -9.10,RSI: 26.99,ADX: 35.34,ATR: 1.76,RVOL: 1.15,Estado: Observar,Entrada: N/A,Stop: N/A,Take-Profit: N/A,Break-Even: N/A,Qtd: N/A,Trailing: 38.46,Data: 16/09/2026 03:05:29</t>
  </si>
  <si>
    <t>Engenharia Alimentar</t>
  </si>
  <si>
    <t>113,0</t>
  </si>
  <si>
    <t>Engenharia Zootécnica</t>
  </si>
  <si>
    <t>NFLX,Preço: 72.16,Dist MM20: -7.74%,Momentum: -8.65,RSI: 38.55,ADX: 17.87,ATR: 2.06,RVOL: 1.06,Estado: Observar,Entrada: N/A,Stop: N/A,Take-Profit: N/A,Break-Even: N/A,Qtd: N/A,Trailing: 68.04,Data: 23/09/2026 02:38:36</t>
  </si>
  <si>
    <t>Universidade de Lisboa - Instituto Superior de Ciências Sociais e Políticas</t>
  </si>
  <si>
    <t>Serviço Social (regime pós-laboral)</t>
  </si>
  <si>
    <t>Administração Pública (regime pós-laboral)</t>
  </si>
  <si>
    <t>Preço: 73.17</t>
  </si>
  <si>
    <t>Dist MM20: 0.79%</t>
  </si>
  <si>
    <t>Gestão de Recursos Humanos (regime pós-laboral)</t>
  </si>
  <si>
    <t>Momentum: -0.20</t>
  </si>
  <si>
    <t>Administração Pública e Políticas do Território (regime pós-laboral)</t>
  </si>
  <si>
    <t>RSI: 48.85</t>
  </si>
  <si>
    <t>ADX: 29.33</t>
  </si>
  <si>
    <t>Relações Internacionais (regime pós-laboral)</t>
  </si>
  <si>
    <t>ATR: 2.21</t>
  </si>
  <si>
    <t>RVOL: 1.04</t>
  </si>
  <si>
    <t>Data: 31/07/2026 02:20:12</t>
  </si>
  <si>
    <t>NFLX,Preço: 73.17,Dist MM20: 0.79%,Momentum: -0.20,RSI: 48.85,ADX: 29.33,ATR: 2.21,RVOL: 1.04,Estado: Observar,Entrada: N/A,Stop: N/A,Take-Profit: N/A,Break-Even: N/A,Qtd: N/A,Data: 31/07/2026 02:20:12</t>
  </si>
  <si>
    <t>Gestão de Recursos Humanos</t>
  </si>
  <si>
    <t>Universidade de Lisboa - Instituto Superior de Economia e Gestão</t>
  </si>
  <si>
    <t>161,9</t>
  </si>
  <si>
    <t>167,1</t>
  </si>
  <si>
    <t>NKE</t>
  </si>
  <si>
    <t>185,1</t>
  </si>
  <si>
    <t>Nike US</t>
  </si>
  <si>
    <t>A001</t>
  </si>
  <si>
    <t>Gestão (ensino em Inglês)</t>
  </si>
  <si>
    <t>A006</t>
  </si>
  <si>
    <t>Economia (ensino em Inglês)</t>
  </si>
  <si>
    <t>169,9</t>
  </si>
  <si>
    <t>A013</t>
  </si>
  <si>
    <t>Finanças (ensino em inglês)</t>
  </si>
  <si>
    <t>162,9</t>
  </si>
  <si>
    <t>A018</t>
  </si>
  <si>
    <t>Matemática Aplicada à Economia e à Gestão (ensino em inglês)</t>
  </si>
  <si>
    <t>183,9</t>
  </si>
  <si>
    <t>Universidade de Lisboa - Instituto Superior Técnico</t>
  </si>
  <si>
    <t>141,3</t>
  </si>
  <si>
    <t>134,8</t>
  </si>
  <si>
    <t>Engenharia Informática e de Computadores</t>
  </si>
  <si>
    <t>175,0</t>
  </si>
  <si>
    <t>BYDDY,Preço: 10.07,Dist MM20: -8.72%,Momentum: -1.83,RSI: 31.60,ADX: 20.55,ATR: 0.14,RVOL: 0.20,Estado: Observar,Entrada: N/A,Stop: N/A,Take-Profit: N/A,Break-Even: N/A,Qtd: N/A,Trailing: 9.79,Data: 16/09/2026 02:22:02</t>
  </si>
  <si>
    <t>NKE,Preço: 36.10,Dist MM20: -3.82%,Momentum: -2.02,RSI: 36.82,ADX: 28.31,ATR: 0.85,RVOL: 0.97,Estado: Observar,Entrada: N/A,Stop: N/A,Take-Profit: N/A,Break-Even: N/A,Qtd: N/A,Trailing: 34.40,Data: 23/09/2026 02:38:54</t>
  </si>
  <si>
    <t>Matemática Aplicada e Computação</t>
  </si>
  <si>
    <t>Preço: 42.29</t>
  </si>
  <si>
    <t>Dist MM20: -1.70%</t>
  </si>
  <si>
    <t>Momentum: -2.08</t>
  </si>
  <si>
    <t>Engenharia Biológica</t>
  </si>
  <si>
    <t>RSI: 46.47</t>
  </si>
  <si>
    <t>L162</t>
  </si>
  <si>
    <t>Engenharia Naval e Oceânica</t>
  </si>
  <si>
    <t>ADX: 11.38</t>
  </si>
  <si>
    <t>Data: 31/07/2026 02:20:30</t>
  </si>
  <si>
    <t>185,0</t>
  </si>
  <si>
    <t>L233</t>
  </si>
  <si>
    <t>Engenharia Física Tecnológica</t>
  </si>
  <si>
    <t>NKE,Preço: 42.29,Dist MM20: -1.70%,Momentum: -2.08,RSI: 46.47,ADX: 11.38,ATR: 1.27,RVOL: 0.91,Estado: Observar,Entrada: N/A,Stop: N/A,Take-Profit: N/A,Break-Even: N/A,Qtd: N/A,Data: 31/07/2026 02:20:30</t>
  </si>
  <si>
    <t>L239</t>
  </si>
  <si>
    <t>Engenharia de Minas e Recursos Energéticos</t>
  </si>
  <si>
    <t>Universidade de Lisboa - Instituto Superior Técnico (Tagus Park)</t>
  </si>
  <si>
    <t>168,5</t>
  </si>
  <si>
    <t>Engenharia Eletrónica</t>
  </si>
  <si>
    <t>Universidade de Aveiro - Instituto Superior de Contabilidade e Administração de Aveiro</t>
  </si>
  <si>
    <t>Marketing (regime pós-laboral)</t>
  </si>
  <si>
    <t>103,0</t>
  </si>
  <si>
    <t>Finanças</t>
  </si>
  <si>
    <t>Novo Nordisk EU</t>
  </si>
  <si>
    <t>157,8</t>
  </si>
  <si>
    <t>Contabilidade (regime pós-laboral)</t>
  </si>
  <si>
    <t>Finanças (regime pós-laboral)</t>
  </si>
  <si>
    <t>Universidade de Aveiro - Escola Superior de Tecnologia e Gestão de Águeda</t>
  </si>
  <si>
    <t>Gestão da Qualidade</t>
  </si>
  <si>
    <t>Secretariado e Comunicação Empresarial</t>
  </si>
  <si>
    <t>L021</t>
  </si>
  <si>
    <t>Gestão Comercial</t>
  </si>
  <si>
    <t>L140</t>
  </si>
  <si>
    <t>Gestão Pública</t>
  </si>
  <si>
    <t>135,3</t>
  </si>
  <si>
    <t>L194</t>
  </si>
  <si>
    <t>Eletrónica e Mecânica Industrial</t>
  </si>
  <si>
    <t>P up</t>
  </si>
  <si>
    <t>118,3</t>
  </si>
  <si>
    <t>L346</t>
  </si>
  <si>
    <t>Engenharia Informática Aplicada</t>
  </si>
  <si>
    <t>Universidade de Aveiro - Escola Superior de Saúde de Aveiro</t>
  </si>
  <si>
    <t>NOV,Preço: 20.18,Dist MM20: -3.32%,Momentum: -1.18,RSI: 43.36,ADX: 16.52,ATR: 0.61,RVOL: 0.86,Estado: Aguardar Recuo,Entrada: 19.94,Stop: 19.33,Take-Profit: 20.67,Break-Even: 20.30,Qtd: 40.98,Trailing: 19.33,Data: 23/09/2026 07:04:05</t>
  </si>
  <si>
    <t>Fisioterapia</t>
  </si>
  <si>
    <t>CAP,Preço: 19.50,Dist MM20: 0.00%,Momentum: 0.00,RSI: 59.04,ADX: 19.41,ATR: 0.00,RVOL: 0.05,Estado: Observar,Entrada: N/A,Stop: N/A,Take-Profit: N/A,Break-Even: N/A,Qtd: N/A,Trailing: 19.50,Data: 16/09/2026 03:05:46</t>
  </si>
  <si>
    <t>Terapia da Fala</t>
  </si>
  <si>
    <t>L066</t>
  </si>
  <si>
    <t>Imagem Médica e Radioterapia</t>
  </si>
  <si>
    <t>Preço: 19.30</t>
  </si>
  <si>
    <t>L138</t>
  </si>
  <si>
    <t>Universidade de Aveiro - Escola Superior de Design, Gestão e Tecnologia da Produção de Aveiro-Norte</t>
  </si>
  <si>
    <t>Design de Produto e Tecnologia</t>
  </si>
  <si>
    <t>Momentum: 0.41</t>
  </si>
  <si>
    <t>L299</t>
  </si>
  <si>
    <t>RSI: 47.31</t>
  </si>
  <si>
    <t>Automação e Sistemas de Produção</t>
  </si>
  <si>
    <t>ADX: 15.83</t>
  </si>
  <si>
    <t>ATR: 0.67</t>
  </si>
  <si>
    <t>Instituto Politécnico de Beja - Escola Superior Agrária</t>
  </si>
  <si>
    <t>Data: 31/07/2026 04:09:33</t>
  </si>
  <si>
    <t>NOV,Preço: 19.30,Dist MM20: -0.15%,Momentum: 0.41,RSI: 47.31,ADX: 15.83,ATR: 0.67,RVOL: 0.71,Estado: Aguardar Recuo,Entrada: 19.03,Stop: 18.36,Take-Profit: 20.37,Break-Even: 19.70,Qtd: 74.63,Data: 31/07/2026 04:09:33</t>
  </si>
  <si>
    <t>Ciência e Tecnologia dos Alimentos</t>
  </si>
  <si>
    <t>Instituto Politécnico de Beja - Escola Superior de Educação</t>
  </si>
  <si>
    <t>Audiovisual e Multimédia</t>
  </si>
  <si>
    <t>Desporto</t>
  </si>
  <si>
    <t>Service Noew</t>
  </si>
  <si>
    <t>Instituto Politécnico de Beja - Escola Superior de Tecnologia e de Gestão</t>
  </si>
  <si>
    <t>166,0</t>
  </si>
  <si>
    <t>Solicitadoria</t>
  </si>
  <si>
    <t>Gestão de Empresas (regime pós-laboral)</t>
  </si>
  <si>
    <t>Instituto Politécnico do Cávado e do Ave - Escola Superior de Gestão</t>
  </si>
  <si>
    <t>Solicitadoria (regime pós-laboral)</t>
  </si>
  <si>
    <t>CAR,Preço: 118.53,Dist MM20: -13.44%,Momentum: -26.60,RSI: 27.69,ADX: 18.39,ATR: 5.74,RVOL: 1.07,Estado: Observar,Entrada: N/A,Stop: N/A,Take-Profit: N/A,Break-Even: N/A,Qtd: N/A,Trailing: 107.05,Data: 16/09/2026 03:06:03</t>
  </si>
  <si>
    <t>125,5</t>
  </si>
  <si>
    <t>151,8</t>
  </si>
  <si>
    <t>152,0</t>
  </si>
  <si>
    <t>Fiscalidade</t>
  </si>
  <si>
    <t>NOW,Preço: 137.00,Dist MM20: -0.44%,Momentum: -5.90,RSI: 54.19,ADX: 23.93,ATR: 5.28,RVOL: 0.79,Estado: Observar,Entrada: N/A,Stop: N/A,Take-Profit: N/A,Break-Even: N/A,Qtd: N/A,Trailing: 126.44,Data: 23/09/2026 02:39:12</t>
  </si>
  <si>
    <t>Fiscalidade (regime pós-laboral)</t>
  </si>
  <si>
    <t>133,0</t>
  </si>
  <si>
    <t>Preço: 110.07</t>
  </si>
  <si>
    <t>Instituto Politécnico do Cávado e do Ave - Escola Superior de Tecnologia</t>
  </si>
  <si>
    <t>Engenharia em Desenvolvimento de Jogos Digitais</t>
  </si>
  <si>
    <t>Engenharia de Sistemas Informáticos</t>
  </si>
  <si>
    <t>Momentum: 2.36</t>
  </si>
  <si>
    <t>Engenharia de Sistemas Informáticos (regime pós-laboral)</t>
  </si>
  <si>
    <t>RSI: 55.47</t>
  </si>
  <si>
    <t>189,5</t>
  </si>
  <si>
    <t>ADX: 13.88</t>
  </si>
  <si>
    <t>ATR: 5.98</t>
  </si>
  <si>
    <t>Data: 31/07/2026 02:24:00</t>
  </si>
  <si>
    <t>L181</t>
  </si>
  <si>
    <t>Engenharia Informática Médica</t>
  </si>
  <si>
    <t>Instituto Politécnico do Cávado e do Ave - Escola Superior de Design</t>
  </si>
  <si>
    <t>NOW,Preço: 110.07,Dist MM20: 4.22%,Momentum: 2.36,RSI: 55.47,ADX: 13.88,ATR: 5.98,RVOL: 1.10,Estado: Observar,Entrada: N/A,Stop: N/A,Take-Profit: N/A,Break-Even: N/A,Qtd: N/A,Data: 31/07/2026 02:24:00</t>
  </si>
  <si>
    <t>Design Gráfico</t>
  </si>
  <si>
    <t>Design Gráfico (regime pós-laboral)</t>
  </si>
  <si>
    <t>L260</t>
  </si>
  <si>
    <t>Design Audiovisual</t>
  </si>
  <si>
    <t>Instituto Politécnico do Cávado e do Ave - Escola Superior de Hotelaria e Turismo</t>
  </si>
  <si>
    <t>Gestão de Atividades Turísticas</t>
  </si>
  <si>
    <t>110,0</t>
  </si>
  <si>
    <t>CB,Preço: 341.86,Dist MM20: 0.22%,Momentum: -1.25,RSI: 49.48,ADX: 12.89,ATR: 4.83,RVOL: 0.92,Estado: Aguardar Recuo,Entrada: 339.93,Stop: 335.10,Take-Profit: 349.59,Break-Even: 344.76,Qtd: 10.35,Trailing: 335.10,Data: 16/09/2026 02:47:30</t>
  </si>
  <si>
    <t>Gestão de Atividades Turísticas (regime pós-laboral)</t>
  </si>
  <si>
    <t>Gestão Hoteleira</t>
  </si>
  <si>
    <t>Instituto Politécnico do Cávado e do Ave - Escola Superior de Desporto, Bem-Estar e Sistemas Biomédicos</t>
  </si>
  <si>
    <t>Instituto Politécnico de Bragança - Escola Superior Agrária de Bragança</t>
  </si>
  <si>
    <t>Enfermagem Veterinária</t>
  </si>
  <si>
    <t>114,5</t>
  </si>
  <si>
    <t>L029</t>
  </si>
  <si>
    <t>Biologia e Biotecnologia</t>
  </si>
  <si>
    <t>NUE,Preço: 245.66,Dist MM20: -3.61%,Momentum: -6.26,RSI: 42.52,ADX: 16.16,ATR: 7.39,RVOL: 1.07,Estado: Observar,Entrada: N/A,Stop: N/A,Take-Profit: N/A,Break-Even: N/A,Qtd: N/A,Trailing: 230.88,Data: 23/09/2026 07:04:06</t>
  </si>
  <si>
    <t>Preço: 274.74</t>
  </si>
  <si>
    <t>Instituto Politécnico de Bragança - Escola Superior de Educação de Bragança</t>
  </si>
  <si>
    <t>Línguas Estrangeiras: Inglês e Espanhol</t>
  </si>
  <si>
    <t>Dist MM20: 11.95%</t>
  </si>
  <si>
    <t>Momentum: 39.07</t>
  </si>
  <si>
    <t>RSI: 71.76</t>
  </si>
  <si>
    <t>Línguas para Relações Internacionais</t>
  </si>
  <si>
    <t>ADX: 27.49</t>
  </si>
  <si>
    <t>ATR: 8.40</t>
  </si>
  <si>
    <t>Educação Ambiental</t>
  </si>
  <si>
    <t>RVOL: 1.45</t>
  </si>
  <si>
    <t>Educação Social</t>
  </si>
  <si>
    <t>Trailing: 262.98</t>
  </si>
  <si>
    <t>CELH,Preço: 27.63,Dist MM20: -11.23%,Momentum: -7.71,RSI: 41.04,ADX: 17.25,ATR: 1.26,RVOL: 0.71,Estado: Observar,Entrada: N/A,Stop: N/A,Take-Profit: N/A,Break-Even: N/A,Qtd: N/A,Trailing: 25.11,Data: 16/09/2026 02:47:33</t>
  </si>
  <si>
    <t>Arte e Design</t>
  </si>
  <si>
    <t>Animação e Produção Artística</t>
  </si>
  <si>
    <t>L088</t>
  </si>
  <si>
    <t>Relações Lusófonas e Língua Portuguesa</t>
  </si>
  <si>
    <t>L175</t>
  </si>
  <si>
    <t>Música em Contextos Comunitários</t>
  </si>
  <si>
    <t>Instituto Politécnico de Bragança - Escola Superior de Tecnologia e de Gestão de Bragança</t>
  </si>
  <si>
    <t>NVD</t>
  </si>
  <si>
    <t>Nvidia EU</t>
  </si>
  <si>
    <t>102,0</t>
  </si>
  <si>
    <t>Informática de Gestão</t>
  </si>
  <si>
    <t>A004</t>
  </si>
  <si>
    <t>Gestão de Negócios Internacionais (Curso Europeu, ensino em Inglês)</t>
  </si>
  <si>
    <t>L069</t>
  </si>
  <si>
    <t>Tecnologia Biomédica</t>
  </si>
  <si>
    <t>Instituto Politécnico de Bragança - Escola Superior de Comunicação, Administração e Turismo de Mirandela</t>
  </si>
  <si>
    <t>Design de Jogos Digitais</t>
  </si>
  <si>
    <t>Gestão e Administração Pública</t>
  </si>
  <si>
    <t>NVD,Preço: 3.61,Dist MM20: -8.43%,Momentum: -0.44,RSI: 39.10,ADX: 16.65,ATR: 0.17,RVOL: 0.80,Estado: Observar,Entrada: N/A,Stop: N/A,Take-Profit: N/A,Break-Even: N/A,Qtd: N/A,Trailing: 3.27,Data: 23/09/2026 07:04:06</t>
  </si>
  <si>
    <t>Informática e Comunicações</t>
  </si>
  <si>
    <t>Multimédia</t>
  </si>
  <si>
    <t>Preço: 5.30</t>
  </si>
  <si>
    <t>Dist MM20: 6.12%</t>
  </si>
  <si>
    <t>Momentum: 0.65</t>
  </si>
  <si>
    <t>RSI: 54.87</t>
  </si>
  <si>
    <t>Instituto Politécnico de Bragança - Escola Superior de Hotelaria e Bem-Estar</t>
  </si>
  <si>
    <t>CLSK,Preço: 12.62,Dist MM20: 1.84%,Momentum: -0.13,RSI: 49.36,ADX: 12.30,ATR: 0.84,RVOL: 0.84,Estado: Observar,Entrada: N/A,Stop: N/A,Take-Profit: N/A,Break-Even: N/A,Qtd: N/A,Trailing: 10.94,Data: 16/09/2026 03:06:21</t>
  </si>
  <si>
    <t>ADX: 13.77</t>
  </si>
  <si>
    <t>L136</t>
  </si>
  <si>
    <t>Osteopatia</t>
  </si>
  <si>
    <t>ATR: 0.34</t>
  </si>
  <si>
    <t>L361</t>
  </si>
  <si>
    <t>Restauração e Tecnologia Alimentar</t>
  </si>
  <si>
    <t>136,8</t>
  </si>
  <si>
    <t>Data: 31/07/2026 04:10:07</t>
  </si>
  <si>
    <t>Instituto Politécnico de Castelo Branco - Escola Superior Agrária de Castelo Branco</t>
  </si>
  <si>
    <t>Engenharia de Proteção Civil</t>
  </si>
  <si>
    <t>NVD,Preço: 5.30,Dist MM20: 6.12%,Momentum: 0.65,RSI: 54.87,ADX: 13.77,ATR: 0.34,RVOL: 0.89,Estado: Observar,Entrada: N/A,Stop: N/A,Take-Profit: N/A,Break-Even: N/A,Qtd: N/A,Data: 31/07/2026 04:10:07</t>
  </si>
  <si>
    <t>103,3</t>
  </si>
  <si>
    <t>L093</t>
  </si>
  <si>
    <t>Biotecnologia Alimentar</t>
  </si>
  <si>
    <t>Instituto Politécnico de Castelo Branco - Escola Superior de Educação de Castelo Branco</t>
  </si>
  <si>
    <t>Secretariado</t>
  </si>
  <si>
    <t>Desporto e Atividade Física</t>
  </si>
  <si>
    <t>NVDA</t>
  </si>
  <si>
    <t>Nvidia US</t>
  </si>
  <si>
    <t>Instituto Politécnico de Castelo Branco - Escola Superior de Tecnologia de Castelo Branco</t>
  </si>
  <si>
    <t>Engenharia das Energias Renováveis</t>
  </si>
  <si>
    <t>Engenharia Eletrotécnica e das Telecomunicações</t>
  </si>
  <si>
    <t>L275</t>
  </si>
  <si>
    <t>Informática e Multimédia</t>
  </si>
  <si>
    <t>Instituto Politécnico de Castelo Branco - Escola Superior de Gestão de Idanha-a-Nova</t>
  </si>
  <si>
    <t>96,0</t>
  </si>
  <si>
    <t>111,0</t>
  </si>
  <si>
    <t>NVDA,Preço: 228.87,Dist MM20: 3.78%,Momentum: 11.43,RSI: 59.36,ADX: 13.71,ATR: 4.87,RVOL: 0.70,Estado: Aguardar Recuo,Entrada: 226.92,Stop: 222.05,Take-Profit: 232.76,Break-Even: 229.84,Qtd: 5.13,Trailing: 222.05,Data: 23/09/2026 02:39:29</t>
  </si>
  <si>
    <t>Instituto Politécnico de Castelo Branco - Escola Superior de Artes Aplicadas</t>
  </si>
  <si>
    <t>Design de Interiores e Equipamento</t>
  </si>
  <si>
    <t>139,5</t>
  </si>
  <si>
    <t>Preço: 195.04</t>
  </si>
  <si>
    <t>Design de Moda e Têxtil</t>
  </si>
  <si>
    <t>Dist MM20: -3.92%</t>
  </si>
  <si>
    <t>L158</t>
  </si>
  <si>
    <t>Design de Comunicação e Audiovisual</t>
  </si>
  <si>
    <t>Momentum: -15.92</t>
  </si>
  <si>
    <t>125,3</t>
  </si>
  <si>
    <t>Instituto Politécnico de Coimbra - Escola Superior Agrária de Coimbra</t>
  </si>
  <si>
    <t>RSI: 43.08</t>
  </si>
  <si>
    <t>ADX: 15.27</t>
  </si>
  <si>
    <t>ATR: 7.26</t>
  </si>
  <si>
    <t>130,5</t>
  </si>
  <si>
    <t>L003</t>
  </si>
  <si>
    <t>Data: 31/07/2026 02:20:47</t>
  </si>
  <si>
    <t>Zootecnia</t>
  </si>
  <si>
    <t>105,0</t>
  </si>
  <si>
    <t>L009</t>
  </si>
  <si>
    <t>Ciências Florestais e Recursos Naturais</t>
  </si>
  <si>
    <t>L015</t>
  </si>
  <si>
    <t>Tecnologia Alimentar</t>
  </si>
  <si>
    <t>NVDA,Preço: 195.04,Dist MM20: -3.92%,Momentum: -15.92,RSI: 43.08,ADX: 15.27,ATR: 7.26,RVOL: 0.96,Estado: Aguardar Recuo,Entrada: 192.14,Stop: 184.88,Take-Profit: 206.66,Break-Even: 199.40,Qtd: 6.89,Data: 31/07/2026 02:20:47</t>
  </si>
  <si>
    <t>L178</t>
  </si>
  <si>
    <t>Turismo em Espaços Rurais e Naturais</t>
  </si>
  <si>
    <t>L348</t>
  </si>
  <si>
    <t>Tecnologia e Gestão do Ambiente</t>
  </si>
  <si>
    <t>CNA,Preço: 48.42,Dist MM20: -0.71%,Momentum: -0.72,RSI: 43.87,ADX: 30.12,ATR: 0.85,RVOL: 1.49,Estado: Observar,Entrada: N/A,Stop: N/A,Take-Profit: N/A,Break-Even: N/A,Qtd: N/A,Trailing: 46.72,Data: 16/09/2026 03:06:38</t>
  </si>
  <si>
    <t>Instituto Politécnico de Coimbra - Escola Superior de Educação de Coimbra</t>
  </si>
  <si>
    <t>Animação Socioeducativa (regime pós-laboral)</t>
  </si>
  <si>
    <t>Turismo (regime pós-laboral)</t>
  </si>
  <si>
    <t>NVO</t>
  </si>
  <si>
    <t>Comunicação Organizacional (regime pós-laboral)</t>
  </si>
  <si>
    <t>Novo Nordisk US</t>
  </si>
  <si>
    <t>Comunicação Social</t>
  </si>
  <si>
    <t>110,5</t>
  </si>
  <si>
    <t>Animação Socioeducativa</t>
  </si>
  <si>
    <t>Comunicação Organizacional</t>
  </si>
  <si>
    <t>Desporto e Lazer</t>
  </si>
  <si>
    <t>Língua Gestual Portuguesa</t>
  </si>
  <si>
    <t>Gerontologia</t>
  </si>
  <si>
    <t>NVO,Preço: 39.40,Dist MM20: -11.38%,Momentum: -5.72,RSI: 30.22,ADX: 20.59,ATR: 0.97,RVOL: 1.90,Estado: Observar,Entrada: N/A,Stop: N/A,Take-Profit: N/A,Break-Even: N/A,Qtd: N/A,Trailing: 37.46,Data: 23/09/2026 06:48:27</t>
  </si>
  <si>
    <t>Comunicação e Design Multimédia</t>
  </si>
  <si>
    <t>157,3</t>
  </si>
  <si>
    <t>Preço: 51.61</t>
  </si>
  <si>
    <t>Dist MM20: 3.71%</t>
  </si>
  <si>
    <t>Momentum: 2.13</t>
  </si>
  <si>
    <t>L095</t>
  </si>
  <si>
    <t>Gastronomia</t>
  </si>
  <si>
    <t>ADX: 23.73</t>
  </si>
  <si>
    <t>Instituto Politécnico de Coimbra - Instituto Superior de Contabilidade e Administração de Coimbra</t>
  </si>
  <si>
    <t>Finanças e Contabilidade</t>
  </si>
  <si>
    <t>ATR: 1.13</t>
  </si>
  <si>
    <t>Assessoria de Direção</t>
  </si>
  <si>
    <t>Data: 31/07/2026 04:09:50</t>
  </si>
  <si>
    <t>Contabilidade e Auditoria</t>
  </si>
  <si>
    <t>NVO,Preço: 51.61,Dist MM20: 3.71%,Momentum: 2.13,RSI: 65.38,ADX: 23.73,ATR: 1.13,RVOL: 1.19,Estado: Aguardar Recuo,Entrada: 51.16,Stop: 50.03,Take-Profit: 53.42,Break-Even: 52.29,Qtd: 44.25,Data: 31/07/2026 04:09:50</t>
  </si>
  <si>
    <t>CNXC,Preço: 29.21,Dist MM20: 3.02%,Momentum: 2.34,RSI: 55.58,ADX: 19.91,ATR: 2.02,RVOL: 0.88,Estado: Observar,Entrada: N/A,Stop: N/A,Take-Profit: N/A,Break-Even: N/A,Qtd: N/A,Trailing: 25.17,Data: 16/09/2026 02:47:36</t>
  </si>
  <si>
    <t>Contabilidade e Gestão Pública</t>
  </si>
  <si>
    <t>Solicitadoria e Administração</t>
  </si>
  <si>
    <t>L023</t>
  </si>
  <si>
    <t>Marketing e Negócios Internacionais</t>
  </si>
  <si>
    <t>L056</t>
  </si>
  <si>
    <t>Comércio e Relações Económicas Internacionais</t>
  </si>
  <si>
    <t>L310</t>
  </si>
  <si>
    <t>Ciência de Dados para a Gestão</t>
  </si>
  <si>
    <t>Instituto Politécnico de Coimbra - Instituto Superior de Engenharia de Coimbra</t>
  </si>
  <si>
    <t>Engenharia Informática (Curso Europeu)</t>
  </si>
  <si>
    <t>NVVE,Preço: 1.46,Dist MM20: 11.70%,Momentum: 0.29,RSI: 48.23,ADX: 33.49,ATR: 0.13,RVOL: 0.16,Estado: Observar,Entrada: N/A,Stop: N/A,Take-Profit: N/A,Break-Even: N/A,Qtd: N/A,Trailing: 1.20,Data: 23/09/2026 06:48:29</t>
  </si>
  <si>
    <t>Engenharia Informática (regime pós-laboral)</t>
  </si>
  <si>
    <t>L155</t>
  </si>
  <si>
    <t>Gestão Sustentável das Cidades</t>
  </si>
  <si>
    <t>Preço: 0.90</t>
  </si>
  <si>
    <t>L226</t>
  </si>
  <si>
    <t>Informática Industrial</t>
  </si>
  <si>
    <t>Dist MM20: -86.65%</t>
  </si>
  <si>
    <t>Instituto Politécnico de Coimbra - Escola Superior de Tecnologia e Gestão de Oliveira do Hospital</t>
  </si>
  <si>
    <t>Contabilidade e Administração</t>
  </si>
  <si>
    <t>122,2</t>
  </si>
  <si>
    <t>Momentum: -20.66</t>
  </si>
  <si>
    <t>121,7</t>
  </si>
  <si>
    <t>RSI: 39.49</t>
  </si>
  <si>
    <t>132,6</t>
  </si>
  <si>
    <t>ADX: 38.84</t>
  </si>
  <si>
    <t>111,7</t>
  </si>
  <si>
    <t>Gestão do Território</t>
  </si>
  <si>
    <t>L305</t>
  </si>
  <si>
    <t>Gestão e Biociências</t>
  </si>
  <si>
    <t>ATR: 1.94</t>
  </si>
  <si>
    <t>Universidade do Algarve - Escola Superior de Educação e Comunicação</t>
  </si>
  <si>
    <t>Imagem Animada</t>
  </si>
  <si>
    <t>RVOL: 0.00</t>
  </si>
  <si>
    <t>Trailing: -2.98</t>
  </si>
  <si>
    <t>NVVE,Preço: 0.90,Dist MM20: -86.65%,Momentum: -20.66,RSI: 39.49,ADX: 38.84,ATR: 1.94,RVOL: 0.00,Estado: Observar,Entrada: N/A,Stop: N/A,Take-Profit: N/A,Break-Even: N/A,Qtd: N/A,Trailing: -2.98,Data: 05/08/2026 05:54:40</t>
  </si>
  <si>
    <t>CRM,Preço: 255.65,Dist MM20: 7.86%,Momentum: 49.96,RSI: 66.55,ADX: 36.62,ATR: 9.75,RVOL: 0.63,Estado: Observar,Entrada: N/A,Stop: N/A,Take-Profit: N/A,Break-Even: N/A,Qtd: N/A,Trailing: 236.15,Data: 16/09/2026 02:22:20</t>
  </si>
  <si>
    <t>Universidade do Algarve - Escola Superior de Gestão, Hotelaria e Turismo</t>
  </si>
  <si>
    <t>Gestão (regime noturno)</t>
  </si>
  <si>
    <t>Universidade do Algarve - Instituto Superior de Engenharia</t>
  </si>
  <si>
    <t>177,0</t>
  </si>
  <si>
    <t>L269</t>
  </si>
  <si>
    <t>Engenharia de Sistemas e Tecnologias Informáticas</t>
  </si>
  <si>
    <t>Universidade do Algarve - Escola Superior de Gestão, Hotelaria e Turismo (Portimão)</t>
  </si>
  <si>
    <t>Instituto Politécnico da Guarda - Escola Superior de Educação, Comunicação e Desporto</t>
  </si>
  <si>
    <t>Comunicação Multimédia</t>
  </si>
  <si>
    <t>Educação Social Gerontológica</t>
  </si>
  <si>
    <t>O,Preço: 56.53,Dist MM20: -5.66%,Momentum: -4.83,RSI: 18.46,ADX: 29.93,ATR: 0.93,RVOL: 1.07,Estado: Observar,Entrada: N/A,Stop: N/A,Take-Profit: N/A,Break-Even: N/A,Qtd: N/A,Trailing: 54.67,Data: 23/09/2026 06:48:29</t>
  </si>
  <si>
    <t>L034</t>
  </si>
  <si>
    <t>Desporto, Condição Física e Saúde</t>
  </si>
  <si>
    <t>Instituto Politécnico da Guarda - Escola Superior de Tecnologia e Gestão</t>
  </si>
  <si>
    <t>Preço: 64.43</t>
  </si>
  <si>
    <t>Momentum: 1.12</t>
  </si>
  <si>
    <t>Engenharia Topográfica</t>
  </si>
  <si>
    <t>RSI: 52.25</t>
  </si>
  <si>
    <t>ADX: 27.59</t>
  </si>
  <si>
    <t>ATR: 1.15</t>
  </si>
  <si>
    <t>Energia e Ambiente</t>
  </si>
  <si>
    <t>124,5</t>
  </si>
  <si>
    <t>L196</t>
  </si>
  <si>
    <t>Mecânica e Informática Industrial</t>
  </si>
  <si>
    <t>Data: 31/07/2026 04:51:17</t>
  </si>
  <si>
    <t>109,8</t>
  </si>
  <si>
    <t>L283</t>
  </si>
  <si>
    <t>Ciência de Dados e Inteligência Artificial</t>
  </si>
  <si>
    <t>L335</t>
  </si>
  <si>
    <t>Design de Equipamento e Ambientes</t>
  </si>
  <si>
    <t>O,Preço: 64.43,Dist MM20: -0.12%,Momentum: 1.12,RSI: 52.25,ADX: 27.59,ATR: 1.15,RVOL: 1.12,Estado: Observar,Entrada: N/A,Stop: N/A,Take-Profit: N/A,Break-Even: N/A,Qtd: N/A,Data: 31/07/2026 04:51:17</t>
  </si>
  <si>
    <t>CSCO,Preço: 110.07,Dist MM20: -0.13%,Momentum: -1.04,RSI: 46.16,ADX: 24.95,ATR: 2.00,RVOL: 1.10,Estado: Aguardar Recuo,Entrada: 109.27,Stop: 107.27,Take-Profit: 113.27,Break-Even: 111.27,Qtd: 25.00,Trailing: 107.27,Data: 16/09/2026 02:22:39</t>
  </si>
  <si>
    <t>Instituto Politécnico da Guarda - Escola Superior de Turismo e Hotelaria</t>
  </si>
  <si>
    <t>Turismo e Lazer</t>
  </si>
  <si>
    <t>Restauração e Catering</t>
  </si>
  <si>
    <t>L061</t>
  </si>
  <si>
    <t>Gestão do Turismo e da Hospitalidade</t>
  </si>
  <si>
    <t>Instituto Politécnico de Leiria - Escola Superior de Educação e Ciências Sociais</t>
  </si>
  <si>
    <t>Tradução e Interpretação: Português/Chinês - Chinês/Português</t>
  </si>
  <si>
    <t>Relações Humanas e Comunicação Organizacional</t>
  </si>
  <si>
    <t>106,5</t>
  </si>
  <si>
    <t>Desporto e Bem-Estar</t>
  </si>
  <si>
    <t>110,8</t>
  </si>
  <si>
    <t>L099</t>
  </si>
  <si>
    <t>Comunicação e Media</t>
  </si>
  <si>
    <t>L306</t>
  </si>
  <si>
    <t>Relações Humanas e Comunicação Organizacional (regime pós-laboral)</t>
  </si>
  <si>
    <t>Instituto Politécnico de Leiria - Escola Superior de Tecnologia e Gestão</t>
  </si>
  <si>
    <t>OR,Preço: 37.55,Dist MM20: 1.81%,Momentum: 1.96,RSI: 59.41,ADX: 19.61,ATR: 1.10,RVOL: 0.52,Estado: Aguardar Recuo,Entrada: 37.11,Stop: 36.01,Take-Profit: 38.43,Break-Even: 37.77,Qtd: 22.73,Trailing: 36.01,Data: 23/09/2026 02:39:46</t>
  </si>
  <si>
    <t>Preço: 30.69</t>
  </si>
  <si>
    <t>Dist MM20: 4.46%</t>
  </si>
  <si>
    <t>Momentum: 1.41</t>
  </si>
  <si>
    <t>RSI: 51.99</t>
  </si>
  <si>
    <t>ADX: 16.88</t>
  </si>
  <si>
    <t>ATR: 0.88</t>
  </si>
  <si>
    <t>Contabilidade e Finanças</t>
  </si>
  <si>
    <t>Data: 31/07/2026 02:09:53</t>
  </si>
  <si>
    <t>Engenharia da Energia e do Ambiente</t>
  </si>
  <si>
    <t>OR,Preço: 30.69,Dist MM20: 4.46%,Momentum: 1.41,RSI: 51.99,ADX: 16.88,ATR: 0.88,RVOL: 0.74,Estado: Aguardar Recuo,Entrada: 30.34,Stop: 29.46,Take-Profit: 32.10,Break-Even: 31.22,Qtd: 56.82,Data: 31/07/2026 02:09:53</t>
  </si>
  <si>
    <t>Biomecânica</t>
  </si>
  <si>
    <t>CVX,Preço: 217.77,Dist MM20: 4.78%,Momentum: 17.88,RSI: 70.57,ADX: 32.93,ATR: 3.87,RVOL: 1.21,Estado: Observar,Entrada: N/A,Stop: N/A,Take-Profit: N/A,Break-Even: N/A,Qtd: N/A,Trailing: 210.03,Data: 16/09/2026 03:06:55</t>
  </si>
  <si>
    <t>Engenharia Automóvel</t>
  </si>
  <si>
    <t>Engenharia Mecânica (regime pós-laboral)</t>
  </si>
  <si>
    <t>Gestão (regime pós-laboral)</t>
  </si>
  <si>
    <t>A014</t>
  </si>
  <si>
    <t>Jogos Digitais e Multimédia (ensino em inglês)</t>
  </si>
  <si>
    <t>L266</t>
  </si>
  <si>
    <t>Engenharia Eletrotécnica e de Computadores (regime noturno)</t>
  </si>
  <si>
    <t>Instituto Politécnico de Leiria - Escola Superior de Artes e Design</t>
  </si>
  <si>
    <t>Design Gráfico e Multimédia (regime pós-laboral)</t>
  </si>
  <si>
    <t>Design de Produto - Cerâmica e Vidro</t>
  </si>
  <si>
    <t>Artes Plásticas</t>
  </si>
  <si>
    <t>131,0</t>
  </si>
  <si>
    <t>140,5</t>
  </si>
  <si>
    <t>Som e Imagem</t>
  </si>
  <si>
    <t>Design Gráfico e Multimédia</t>
  </si>
  <si>
    <t>L127</t>
  </si>
  <si>
    <t>Programação e Produção Cultural</t>
  </si>
  <si>
    <t>L257</t>
  </si>
  <si>
    <t>Design de Espaços</t>
  </si>
  <si>
    <t>Instituto Politécnico de Leiria - Escola Superior de Turismo e Tecnologia do Mar</t>
  </si>
  <si>
    <t>Gestão de Eventos</t>
  </si>
  <si>
    <t>ORC,Preço: 6.12,Dist MM20: -4.35%,Momentum: -0.42,RSI: 31.59,ADX: 33.39,ATR: 0.12,RVOL: 0.78,Estado: Observar,Entrada: N/A,Stop: N/A,Take-Profit: N/A,Break-Even: N/A,Qtd: N/A,Trailing: 5.88,Data: 23/09/2026 06:56:09</t>
  </si>
  <si>
    <t>Preço: 6.63</t>
  </si>
  <si>
    <t>Gestão Turística e Hoteleira</t>
  </si>
  <si>
    <t>Dist MM20: -1.65%</t>
  </si>
  <si>
    <t>Momentum: -0.18</t>
  </si>
  <si>
    <t>Marketing Turístico</t>
  </si>
  <si>
    <t>RSI: 45.13</t>
  </si>
  <si>
    <t>ADX: 26.72</t>
  </si>
  <si>
    <t>Animação Turística</t>
  </si>
  <si>
    <t>Data: 31/07/2026 04:19:36</t>
  </si>
  <si>
    <t>L131</t>
  </si>
  <si>
    <t>Gestão da Restauração e Catering</t>
  </si>
  <si>
    <t>Instituto Politécnico de Lisboa - Escola Superior de Educação</t>
  </si>
  <si>
    <t>Artes Visuais e Tecnologias</t>
  </si>
  <si>
    <t>Educação Básica (regime pós-laboral)</t>
  </si>
  <si>
    <t>DASH,Preço: 198.26,Dist MM20: -9.27%,Momentum: -35.24,RSI: 38.63,ADX: 28.89,ATR: 7.20,RVOL: 0.81,Estado: Observar,Entrada: N/A,Stop: N/A,Take-Profit: N/A,Break-Even: N/A,Qtd: N/A,Trailing: 183.86,Data: 16/09/2026 02:22:58</t>
  </si>
  <si>
    <t>L134</t>
  </si>
  <si>
    <t>Mediação Artística e Cultural</t>
  </si>
  <si>
    <t>Instituto Politécnico de Lisboa - Escola Superior de Comunicação Social</t>
  </si>
  <si>
    <t>Relações Públicas e Comunicação Empresarial (regime pós-laboral)</t>
  </si>
  <si>
    <t>Publicidade e Marketing (regime pós-laboral)</t>
  </si>
  <si>
    <t>Jornalismo</t>
  </si>
  <si>
    <t>Publicidade e Marketing</t>
  </si>
  <si>
    <t>Relações Públicas e Comunicação Empresarial</t>
  </si>
  <si>
    <t>Instituto Politécnico de Lisboa - Instituto Superior de Contabilidade e Administração de Lisboa</t>
  </si>
  <si>
    <t>Finanças Empresariais</t>
  </si>
  <si>
    <t>115,5</t>
  </si>
  <si>
    <t>Finanças Empresariais (regime pós-laboral)</t>
  </si>
  <si>
    <t>ORCL,Preço: 149.20,Dist MM20: -0.44%,Momentum: 7.88,RSI: 51.06,ADX: 14.71,ATR: 6.78,RVOL: 0.98,Estado: Aguardar Recuo,Entrada: 146.49,Stop: 139.71,Take-Profit: 154.63,Break-Even: 150.56,Qtd: 3.69,Trailing: 139.71,Data: 23/09/2026 02:40:04</t>
  </si>
  <si>
    <t>Preço: 127.56</t>
  </si>
  <si>
    <t>L035</t>
  </si>
  <si>
    <t>Comércio e Negócios Internacionais (regime pós-laboral)</t>
  </si>
  <si>
    <t>Momentum: -13.08</t>
  </si>
  <si>
    <t>RSI: 41.69</t>
  </si>
  <si>
    <t>Instituto Politécnico de Lisboa - Instituto Superior de Engenharia de Lisboa</t>
  </si>
  <si>
    <t>ADX: 42.34</t>
  </si>
  <si>
    <t>ATR: 6.25</t>
  </si>
  <si>
    <t>Engenharia Eletrónica e Telecomunicações e de Computadores</t>
  </si>
  <si>
    <t>Data: 31/07/2026 02:21:04</t>
  </si>
  <si>
    <t>Engenharia Eletrotécnica</t>
  </si>
  <si>
    <t>103,8</t>
  </si>
  <si>
    <t>DBX,Preço: 37.63,Dist MM20: 7.39%,Momentum: 2.85,RSI: 66.64,ADX: 25.75,ATR: 1.06,RVOL: 1.21,Estado: Observar,Entrada: N/A,Stop: N/A,Take-Profit: N/A,Break-Even: N/A,Qtd: N/A,Trailing: 35.51,Data: 16/09/2026 02:47:38</t>
  </si>
  <si>
    <t>L052</t>
  </si>
  <si>
    <t>Engenharia Informática e Multimédia</t>
  </si>
  <si>
    <t>OXY</t>
  </si>
  <si>
    <t>L085</t>
  </si>
  <si>
    <t>Tecnologias e Gestão Municipal</t>
  </si>
  <si>
    <t>Occidental Petroleum</t>
  </si>
  <si>
    <t>L117</t>
  </si>
  <si>
    <t>Matemática Aplicada à Tecnologia e à Empresa</t>
  </si>
  <si>
    <t>L119</t>
  </si>
  <si>
    <t>Engenharia Informática, Redes e Telecomunicações</t>
  </si>
  <si>
    <t>L213</t>
  </si>
  <si>
    <t>Engenharia Física Aplicada</t>
  </si>
  <si>
    <t>Instituto Politécnico de Portalegre - Escola Superior de Educação e Ciências Sociais</t>
  </si>
  <si>
    <t>135,8</t>
  </si>
  <si>
    <t>OXY,Preço: 56.31,Dist MM20: -6.06%,Momentum: -4.64,RSI: 37.57,ADX: 16.81,ATR: 1.37,RVOL: 1.27,Estado: Observar,Entrada: N/A,Stop: N/A,Take-Profit: N/A,Break-Even: N/A,Qtd: N/A,Trailing: 53.57,Data: 23/09/2026 07:19:52</t>
  </si>
  <si>
    <t>Preço: 59.36</t>
  </si>
  <si>
    <t>Momentum: 0.74</t>
  </si>
  <si>
    <t>Instituto Politécnico de Portalegre - Escola Superior de Tecnologia, Gestão e Design</t>
  </si>
  <si>
    <t>RSI: 48.33</t>
  </si>
  <si>
    <t>ADX: 18.26</t>
  </si>
  <si>
    <t>ATR: 1.43</t>
  </si>
  <si>
    <t>Trailing: 56.50</t>
  </si>
  <si>
    <t>Administração de Publicidade e Marketing</t>
  </si>
  <si>
    <t>OXY,Preço: 59.36,Dist MM20: -1.90%,Momentum: 0.74,RSI: 48.33,ADX: 18.26,ATR: 1.43,RVOL: 1.53,Estado: Observar,Entrada: N/A,Stop: N/A,Take-Profit: N/A,Break-Even: N/A,Qtd: N/A,Trailing: 56.50,Data: 17/09/2026 03:51:57</t>
  </si>
  <si>
    <t>L308</t>
  </si>
  <si>
    <t>Design de Animação</t>
  </si>
  <si>
    <t>L309</t>
  </si>
  <si>
    <t>Engenharia de Produção de Biocombustíveis</t>
  </si>
  <si>
    <t>Instituto Politécnico de Portalegre - Escola Superior de Biociências de Elvas</t>
  </si>
  <si>
    <t>103,5</t>
  </si>
  <si>
    <t>DDOG,Preço: 230.27,Dist MM20: 1.43%,Momentum: 7.28,RSI: 49.27,ADX: 14.50,ATR: 10.96,RVOL: 1.09,Estado: Aguardar Recuo,Entrada: 225.89,Stop: 214.93,Take-Profit: 247.81,Break-Even: 236.85,Qtd: 4.56,Trailing: 214.93,Data: 16/09/2026 02:44:44</t>
  </si>
  <si>
    <t>Equinicultura</t>
  </si>
  <si>
    <t>Instituto Politécnico do Porto - Escola Superior de Educação</t>
  </si>
  <si>
    <t>Línguas e Culturas Estrangeiras</t>
  </si>
  <si>
    <t>Artes Visuais e Tecnologias Artísticas</t>
  </si>
  <si>
    <t>Tradução e Interpretação em Língua Gestual Portuguesa</t>
  </si>
  <si>
    <t>Educação Musical</t>
  </si>
  <si>
    <t>PANW,Preço: 374.57,Dist MM20: 5.18%,Momentum: 12.48,RSI: 56.88,ADX: 16.25,ATR: 17.33,RVOL: 1.11,Estado: Aguardar Recuo,Entrada: 367.64,Stop: 350.31,Take-Profit: 388.44,Break-Even: 378.04,Qtd: 1.44,Trailing: 350.31,Data: 23/09/2026 02:49:25</t>
  </si>
  <si>
    <t>156,2</t>
  </si>
  <si>
    <t>Educação Social (regime pós-laboral)</t>
  </si>
  <si>
    <t>L246</t>
  </si>
  <si>
    <t>Preço: 325.68</t>
  </si>
  <si>
    <t>Gestão do Património Cultural</t>
  </si>
  <si>
    <t>Dist MM20: -3.20%</t>
  </si>
  <si>
    <t>L272</t>
  </si>
  <si>
    <t>Tecnologias para a Educação STEAM</t>
  </si>
  <si>
    <t>Momentum: -0.23</t>
  </si>
  <si>
    <t>RSI: 51.82</t>
  </si>
  <si>
    <t>Instituto Politécnico do Porto - Instituto Superior de Contabilidade e Administração do Porto</t>
  </si>
  <si>
    <t>ADX: 30.25</t>
  </si>
  <si>
    <t>ATR: 15.31</t>
  </si>
  <si>
    <t>Assessoria e Tradução</t>
  </si>
  <si>
    <t>Ciências e Tecnologias da Documentação e Informação</t>
  </si>
  <si>
    <t>Data: 31/07/2026 02:21:39</t>
  </si>
  <si>
    <t>Comunicação Empresarial</t>
  </si>
  <si>
    <t>Recursos Humanos</t>
  </si>
  <si>
    <t>Comércio Internacional</t>
  </si>
  <si>
    <t>Assessoria e Tradução (regime pós-laboral)</t>
  </si>
  <si>
    <t>Comércio Internacional (regime pós-laboral)</t>
  </si>
  <si>
    <t>Comunicação Empresarial (regime pós-laboral)</t>
  </si>
  <si>
    <t>PDD</t>
  </si>
  <si>
    <t>PDD Holdings (TEMU)</t>
  </si>
  <si>
    <t>Contabilidade e Administração (regime pós-laboral)</t>
  </si>
  <si>
    <t>DECK,Preço: 77.51,Dist MM20: -9.54%,Momentum: -11.23,RSI: 28.51,ADX: 41.15,ATR: 2.21,RVOL: 1.30,Estado: Observar,Entrada: N/A,Stop: N/A,Take-Profit: N/A,Break-Even: N/A,Qtd: N/A,Trailing: 73.09,Data: 16/09/2026 03:07:12</t>
  </si>
  <si>
    <t>L070</t>
  </si>
  <si>
    <t>Criatividade e Inovação Empresarial</t>
  </si>
  <si>
    <t>Instituto Politécnico do Porto - Instituto Superior de Engenharia do Porto</t>
  </si>
  <si>
    <t>Engenharia de Sistemas</t>
  </si>
  <si>
    <t>176,0</t>
  </si>
  <si>
    <t>Engenharia Eletrotécnica - Sistemas Elétricos de Energia</t>
  </si>
  <si>
    <t>PDD,Preço: 80.35,Dist MM20: -1.09%,Momentum: -2.82,RSI: 44.62,ADX: 16.66,ATR: 1.54,RVOL: 0.99,Estado: Aguardar Recuo,Entrada: 79.73,Stop: 78.19,Take-Profit: 81.58,Break-Even: 80.66,Qtd: 16.23,Trailing: 78.19,Data: 23/09/2026 02:49:42</t>
  </si>
  <si>
    <t>Engenharia Geotécnica e Geoambiente</t>
  </si>
  <si>
    <t>Preço: 87.44</t>
  </si>
  <si>
    <t>Dist MM20: 3.10%</t>
  </si>
  <si>
    <t>155,8</t>
  </si>
  <si>
    <t>RSI: 57.72</t>
  </si>
  <si>
    <t>ADX: 16.59</t>
  </si>
  <si>
    <t>ATR: 1.89</t>
  </si>
  <si>
    <t>Data: 31/07/2026 02:21:56</t>
  </si>
  <si>
    <t>Engenharia Mecânica Automóvel</t>
  </si>
  <si>
    <t>PDD,Preço: 87.44,Dist MM20: 3.10%,Momentum: 2.31,RSI: 57.72,ADX: 16.59,ATR: 1.89,RVOL: 0.87,Estado: Observar,Entrada: N/A,Stop: N/A,Take-Profit: N/A,Break-Even: N/A,Qtd: N/A,Data: 31/07/2026 02:21:56</t>
  </si>
  <si>
    <t>L089</t>
  </si>
  <si>
    <t>Biorrecursos</t>
  </si>
  <si>
    <t>Instituto Politécnico do Porto - Escola Superior de Tecnologia e Gestão</t>
  </si>
  <si>
    <t>Ciências Empresariais (regime pós-laboral)</t>
  </si>
  <si>
    <t>Sucesso</t>
  </si>
  <si>
    <t>Sistemas de Informação para Gestão</t>
  </si>
  <si>
    <t>API DATE</t>
  </si>
  <si>
    <t>Segurança Informática em Redes de Computadores</t>
  </si>
  <si>
    <t>PEP</t>
  </si>
  <si>
    <t>Ciências Empresariais</t>
  </si>
  <si>
    <t>Pepsi</t>
  </si>
  <si>
    <t>159,5</t>
  </si>
  <si>
    <t>L030</t>
  </si>
  <si>
    <t>Gestão Industrial e Logística</t>
  </si>
  <si>
    <t>L091</t>
  </si>
  <si>
    <t>Segurança do Trabalho e Ambiente</t>
  </si>
  <si>
    <t>Instituto Politécnico do Porto - Escola Superior de Hotelaria e Turismo</t>
  </si>
  <si>
    <t>Gestão das Atividades Turísticas (regime pós-laboral)</t>
  </si>
  <si>
    <t>Gestão e Administração Hoteleira</t>
  </si>
  <si>
    <t>134,5</t>
  </si>
  <si>
    <t>Gestão das Atividades Turísticas</t>
  </si>
  <si>
    <t>DELL,Preço: 543.51,Dist MM20: 12.13%,Momentum: 92.01,RSI: 60.57,ADX: 15.36,ATR: 31.13,RVOL: 1.03,Estado: Aguardar Recuo,Entrada: 531.06,Stop: 499.93,Take-Profit: 593.32,Break-Even: 562.19,Qtd: 1.61,Trailing: 499.93,Data: 16/09/2026 02:23:16</t>
  </si>
  <si>
    <t>Instituto Politécnico de Santarém - Escola Superior Agrária de Santarém</t>
  </si>
  <si>
    <t>PEP,Preço: 131.19,Dist MM20: -4.31%,Momentum: -8.60,RSI: 32.29,ADX: 18.79,ATR: 1.95,RVOL: 0.86,Estado: Observar,Entrada: N/A,Stop: N/A,Take-Profit: N/A,Break-Even: N/A,Qtd: N/A,Trailing: 127.29,Data: 23/09/2026 02:50:00</t>
  </si>
  <si>
    <t>Agronomia (regime pós-laboral)</t>
  </si>
  <si>
    <t>Preço: 140.20</t>
  </si>
  <si>
    <t>Dist MM20: 0.86%</t>
  </si>
  <si>
    <t>Momentum: 2.82</t>
  </si>
  <si>
    <t>104,0</t>
  </si>
  <si>
    <t>ADX: 15.86</t>
  </si>
  <si>
    <t>L080</t>
  </si>
  <si>
    <t>Qualidade Alimentar e Nutrição Humana</t>
  </si>
  <si>
    <t>ATR: 2.88</t>
  </si>
  <si>
    <t>L259</t>
  </si>
  <si>
    <t>Data: 31/07/2026 02:22:14</t>
  </si>
  <si>
    <t>Biologia e Biotecnologia Alimentar</t>
  </si>
  <si>
    <t>Instituto Politécnico de Santarém - Escola Superior de Educação de Santarém</t>
  </si>
  <si>
    <t>PEP,Preço: 140.20,Dist MM20: 0.86%,Momentum: 2.82,RSI: 50.66,ADX: 15.86,ATR: 2.88,RVOL: 0.91,Estado: Observar,Entrada: N/A,Stop: N/A,Take-Profit: N/A,Break-Even: N/A,Qtd: N/A,Data: 31/07/2026 02:22:14</t>
  </si>
  <si>
    <t>133,8</t>
  </si>
  <si>
    <t>L130</t>
  </si>
  <si>
    <t>Educação Ambiental e Turismo de Natureza</t>
  </si>
  <si>
    <t>L179</t>
  </si>
  <si>
    <t>Produção Multimédia em Educação</t>
  </si>
  <si>
    <t>Instituto Politécnico de Santarém - Escola Superior de Gestão e Tecnologia de Santarém</t>
  </si>
  <si>
    <t>Gestão de Marketing</t>
  </si>
  <si>
    <t>Contabilidade e Fiscalidade</t>
  </si>
  <si>
    <t>95,5</t>
  </si>
  <si>
    <t>Altera config para retomar</t>
  </si>
  <si>
    <t>Instituto Politécnico de Santarém - Escola Superior de Desporto de Rio Maior</t>
  </si>
  <si>
    <t>Desporto de Natureza e Turismo Ativo</t>
  </si>
  <si>
    <t>Gestão das Organizações Desportivas</t>
  </si>
  <si>
    <t>Treino Desportivo</t>
  </si>
  <si>
    <t>L008</t>
  </si>
  <si>
    <t>Atividade Física e Estilos de Vida Saudáveis</t>
  </si>
  <si>
    <t>PFE,Preço: 27.93,Dist MM20: -0.39%,Momentum: -0.62,RSI: 56.36,ADX: 30.30,ATR: 0.41,RVOL: 0.79,Estado: Observar,Entrada: N/A,Stop: N/A,Take-Profit: N/A,Break-Even: N/A,Qtd: N/A,Trailing: 27.11,Data: 23/09/2026 02:50:18</t>
  </si>
  <si>
    <t>Instituto Politécnico de Setúbal - Escola Superior de Educação</t>
  </si>
  <si>
    <t>Preço: 24.91</t>
  </si>
  <si>
    <t>21/07/2026 23:24:54</t>
  </si>
  <si>
    <t>ANF,92.06,0.79%,2.05,53.70,19.57,3.88,0.41,Observar,N/A,N/A,N/A,N/A,N/A</t>
  </si>
  <si>
    <t>RSI: 50.93</t>
  </si>
  <si>
    <t>Tradução e Interpretação de Língua Gestual Portuguesa</t>
  </si>
  <si>
    <t>DPZ,Preço: 310.82,Dist MM20: -7.39%,Momentum: -39.09,RSI: 37.62,ADX: 19.32,ATR: 10.63,RVOL: 0.83,Estado: Observar,Entrada: N/A,Stop: N/A,Take-Profit: N/A,Break-Even: N/A,Qtd: N/A,Trailing: 289.56,Data: 16/09/2026 02:47:40</t>
  </si>
  <si>
    <t>ADX: 18.11</t>
  </si>
  <si>
    <t>ATR: 0.43</t>
  </si>
  <si>
    <t>Instituto Politécnico de Setúbal - Escola Superior de Tecnologia de Setúbal</t>
  </si>
  <si>
    <t>Tecnologias de Energia</t>
  </si>
  <si>
    <t>Data: 31/07/2026 02:35:45</t>
  </si>
  <si>
    <t>Engenharia de Automação, Controlo e Instrumentação</t>
  </si>
  <si>
    <t>PFE,Preço: 24.91,Dist MM20: 1.19%,Momentum: 0.74,RSI: 50.93,ADX: 18.11,ATR: 0.43,RVOL: 0.94,Estado: Observar,Entrada: N/A,Stop: N/A,Take-Profit: N/A,Break-Even: N/A,Qtd: N/A,Data: 31/07/2026 02:35:45</t>
  </si>
  <si>
    <t>Tecnologia e Gestão Industrial (regime noturno)</t>
  </si>
  <si>
    <t>PG</t>
  </si>
  <si>
    <t>Procter Gamble US</t>
  </si>
  <si>
    <t>L124</t>
  </si>
  <si>
    <t>Tecnologias do Ambiente e do Mar</t>
  </si>
  <si>
    <t>Instituto Politécnico de Setúbal - Escola Superior de Ciências Empresariais</t>
  </si>
  <si>
    <t>Contabilidade e Finanças (regime noturno)</t>
  </si>
  <si>
    <t>Gestão da Distribuição e da Logística</t>
  </si>
  <si>
    <t>DTG</t>
  </si>
  <si>
    <t>Gestão de Sistemas de Informação</t>
  </si>
  <si>
    <t>Continental</t>
  </si>
  <si>
    <t>Gestão da Distribuição e da Logística (regime pós-laboral)</t>
  </si>
  <si>
    <t>Instituto Politécnico de Setúbal - Escola Superior de Tecnologia do Barreiro</t>
  </si>
  <si>
    <t>Engenharia Civil (regime noturno)</t>
  </si>
  <si>
    <t>L100</t>
  </si>
  <si>
    <t>Tecnologias do Petróleo</t>
  </si>
  <si>
    <t>Instituto Politécnico de Setúbal - Escola Superior de Saúde</t>
  </si>
  <si>
    <t>PG,Preço: 148.22,Dist MM20: 1.72%,Momentum: 2.01,RSI: 57.84,ADX: 6.74,ATR: 1.80,RVOL: 0.67,Estado: Aguardar Recuo,Entrada: 147.50,Stop: 145.70,Take-Profit: 149.66,Break-Even: 148.58,Qtd: 13.89,Trailing: 145.70,Data: 23/09/2026 02:50:36</t>
  </si>
  <si>
    <t>Instituto Politécnico de Viana do Castelo - Escola Superior Agrária</t>
  </si>
  <si>
    <t>Preço: 143.96</t>
  </si>
  <si>
    <t>Dist MM20: -2.99%</t>
  </si>
  <si>
    <t>Momentum: -3.08</t>
  </si>
  <si>
    <t>DTG,Preço: 15.84,Dist MM20: 0.22%,Momentum: -0.07,RSI: 45.21,ADX: 26.58,ATR: 0.33,RVOL: 2.11,Estado: Observar,Entrada: N/A,Stop: N/A,Take-Profit: N/A,Break-Even: N/A,Qtd: N/A,Trailing: 15.18,Data: 16/09/2026 03:07:29</t>
  </si>
  <si>
    <t>ACN,140.86,4.22%,16.42,46.57,20.14,6.29,0.35,Observar,N/A,N/A,N/A,N/A,N/A</t>
  </si>
  <si>
    <t>ADX: 10.34</t>
  </si>
  <si>
    <t>L164</t>
  </si>
  <si>
    <t>Engenharia do Ambiente e Geoinformática</t>
  </si>
  <si>
    <t>ATR: 3.13</t>
  </si>
  <si>
    <t>Instituto Politécnico de Viana do Castelo - Escola Superior de Educação</t>
  </si>
  <si>
    <t>Preço: 16.78</t>
  </si>
  <si>
    <t>Data: 31/07/2026 02:22:48</t>
  </si>
  <si>
    <t>Dist MM20: -0.04%</t>
  </si>
  <si>
    <t>L122</t>
  </si>
  <si>
    <t>Artes Plásticas e Tecnologias Artísticas</t>
  </si>
  <si>
    <t>PG,Preço: 143.96,Dist MM20: -2.99%,Momentum: -3.08,RSI: 41.14,ADX: 10.34,ATR: 3.13,RVOL: 0.91,Estado: Observar,Entrada: N/A,Stop: N/A,Take-Profit: N/A,Break-Even: N/A,Qtd: N/A,Data: 31/07/2026 02:22:48</t>
  </si>
  <si>
    <t>L284</t>
  </si>
  <si>
    <t>Artes e Cinema Digital</t>
  </si>
  <si>
    <t>RSI: 49.05</t>
  </si>
  <si>
    <t>Instituto Politécnico de Viana do Castelo - Escola Superior de Tecnologia e Gestão</t>
  </si>
  <si>
    <t>Engenharia da Computação Gráfica e Multimédia</t>
  </si>
  <si>
    <t>ADX: 18.27</t>
  </si>
  <si>
    <t>Data: 31/07/2026 04:04:51</t>
  </si>
  <si>
    <t>Design de Ambientes</t>
  </si>
  <si>
    <t>DTG,Preço: 16.78,Dist MM20: -0.04%,Momentum: 0.00,RSI: 49.05,ADX: 18.27,ATR: 0.14,RVOL: 1.10,Estado: Aguardar Recuo,Entrada: 16.73,Stop: 16.59,Take-Profit: 17.01,Break-Even: 16.87,Qtd: 357.14,Data: 31/07/2026 04:04:51</t>
  </si>
  <si>
    <t>Design do Produto</t>
  </si>
  <si>
    <t>Engenharia Civil e do Ambiente</t>
  </si>
  <si>
    <t>L153</t>
  </si>
  <si>
    <t>Engenharia de Redes e Sistemas de Computadores</t>
  </si>
  <si>
    <t>L261</t>
  </si>
  <si>
    <t>Gastronomia e Artes Culinárias</t>
  </si>
  <si>
    <t>L362</t>
  </si>
  <si>
    <t>Tecnologia Alimentar e Nutrição</t>
  </si>
  <si>
    <t>Instituto Politécnico de Viana do Castelo - Escola Superior de Ciências Empresariais</t>
  </si>
  <si>
    <t>Gestão da Distribuição e Logística</t>
  </si>
  <si>
    <t>Organização e Gestão Empresariais</t>
  </si>
  <si>
    <t>L366</t>
  </si>
  <si>
    <t>Marketing e Comunicação Empresariais</t>
  </si>
  <si>
    <t>Instituto Politécnico de Viana do Castelo - Escola Superior de Desporto e Lazer</t>
  </si>
  <si>
    <t>L375</t>
  </si>
  <si>
    <t>Animação Desportiva e Turismo Ativo</t>
  </si>
  <si>
    <t>Instituto Politécnico de Viseu - Escola Superior de Educação de Viseu</t>
  </si>
  <si>
    <t>Artes Performativas</t>
  </si>
  <si>
    <t>PLTR,Preço: 184.99,Dist MM20: 4.81%,Momentum: 5.07,RSI: 62.47,ADX: 21.80,ATR: 6.65,RVOL: 0.80,Estado: Observar,Entrada: N/A,Stop: N/A,Take-Profit: N/A,Break-Even: N/A,Qtd: N/A,Trailing: 171.69,Data: 23/09/2026 02:50:53</t>
  </si>
  <si>
    <t>Publicidade e Relações Públicas</t>
  </si>
  <si>
    <t>Instituto Politécnico de Viseu - Escola Superior de Tecnologia e Gestão de Viseu</t>
  </si>
  <si>
    <t>Gestão Industrial</t>
  </si>
  <si>
    <t>Preço: 122.26</t>
  </si>
  <si>
    <t>Tecnologia e Design de Mobiliário</t>
  </si>
  <si>
    <t>Dist MM20: -5.49%</t>
  </si>
  <si>
    <t>Momentum: -4.53</t>
  </si>
  <si>
    <t>RSI: 43.32</t>
  </si>
  <si>
    <t>ADX: 12.73</t>
  </si>
  <si>
    <t>ATR: 6.12</t>
  </si>
  <si>
    <t>ADS,178.40,-1.37%,-1.60,51.95,27.05,4.05,12.57,Observar,N/A,N/A,N/A,N/A,N/A</t>
  </si>
  <si>
    <t>EBAY,Preço: 108.03,Dist MM20: 2.83%,Momentum: 2.03,RSI: 53.81,ADX: 12.75,ATR: 3.21,RVOL: 0.82,Estado: Observar,Entrada: N/A,Stop: N/A,Take-Profit: N/A,Break-Even: N/A,Qtd: N/A,Trailing: 101.61,Data: 16/09/2026 02:23:33</t>
  </si>
  <si>
    <t>Data: 31/07/2026 02:21:21</t>
  </si>
  <si>
    <t>PLTR,Preço: 122.26,Dist MM20: -5.49%,Momentum: -4.53,RSI: 43.32,ADX: 12.73,ATR: 6.12,RVOL: 0.77,Estado: Observar,Entrada: N/A,Stop: N/A,Take-Profit: N/A,Break-Even: N/A,Qtd: N/A,Data: 31/07/2026 02:21:21</t>
  </si>
  <si>
    <t>Tecnologias e Design de Multimédia</t>
  </si>
  <si>
    <t>Instituto Politécnico de Viseu - Escola Superior Agrária de Viseu</t>
  </si>
  <si>
    <t>136,5</t>
  </si>
  <si>
    <t>Instituto Politécnico de Viseu - Escola Superior de Tecnologia e Gestão de Lamego</t>
  </si>
  <si>
    <t>Engenharia Informática e Telecomunicações</t>
  </si>
  <si>
    <t>Gestão e Informática</t>
  </si>
  <si>
    <t>Gestão Turística, Cultural e Patrimonial</t>
  </si>
  <si>
    <t>N</t>
  </si>
  <si>
    <t>L116</t>
  </si>
  <si>
    <t>Secretariado de Administração</t>
  </si>
  <si>
    <t>Instituto Politécnico de Tomar - Escola Superior de Gestão de Tomar</t>
  </si>
  <si>
    <t>Gestão de Recursos Humanos e Comportamento Organizacional</t>
  </si>
  <si>
    <t>L207</t>
  </si>
  <si>
    <t>Turismo e Gestão do Património Cultural</t>
  </si>
  <si>
    <t>107,5</t>
  </si>
  <si>
    <t>Instituto Politécnico de Tomar - Escola Superior de Tecnologia de Tomar</t>
  </si>
  <si>
    <t>PRG,Preço: 34.20,Dist MM20: -8.79%,Momentum: -3.40,RSI: 26.38,ADX: 37.51,ATR: 1.26,RVOL: 1.68,Estado: Observar,Entrada: N/A,Stop: N/A,Take-Profit: N/A,Break-Even: N/A,Qtd: N/A,Trailing: 31.68,Data: 23/09/2026 07:20:09</t>
  </si>
  <si>
    <t>Conservação e Restauro</t>
  </si>
  <si>
    <t>Design e Tecnologia das Artes Gráficas</t>
  </si>
  <si>
    <t>ECL,Preço: 274.60,Dist MM20: -2.25%,Momentum: -14.94,RSI: 43.16,ADX: 14.04,ATR: 4.89,RVOL: 0.72,Estado: Observar,Entrada: N/A,Stop: N/A,Take-Profit: N/A,Break-Even: N/A,Qtd: N/A,Trailing: 264.82,Data: 16/09/2026 03:07:46</t>
  </si>
  <si>
    <t>Preço: 44.02</t>
  </si>
  <si>
    <t>Fotografia</t>
  </si>
  <si>
    <t>Dist MM20: -1.06%</t>
  </si>
  <si>
    <t>L142</t>
  </si>
  <si>
    <t>Tecnologia Química</t>
  </si>
  <si>
    <t>Momentum: -0.61</t>
  </si>
  <si>
    <t>L186</t>
  </si>
  <si>
    <t>RSI: 52.82</t>
  </si>
  <si>
    <t>Gestão da Edificação e Obras</t>
  </si>
  <si>
    <t>ADX: 27.50</t>
  </si>
  <si>
    <t>Instituto Politécnico de Tomar - Escola Superior de Tecnologia de Abrantes</t>
  </si>
  <si>
    <t>ATR: 1.92</t>
  </si>
  <si>
    <t>L143</t>
  </si>
  <si>
    <t>Informática e Tecnologias Multimédia</t>
  </si>
  <si>
    <t>RVOL: 1.80</t>
  </si>
  <si>
    <t>L211</t>
  </si>
  <si>
    <t>Computação e Logística</t>
  </si>
  <si>
    <t>Trailing: 40.18</t>
  </si>
  <si>
    <t>L297</t>
  </si>
  <si>
    <t>Comunicação Social: Jornalismo e Comunicação Empresarial</t>
  </si>
  <si>
    <t>PRG,Preço: 44.02,Dist MM20: -1.06%,Momentum: -0.61,RSI: 52.82,ADX: 27.50,ATR: 1.92,RVOL: 1.80,Estado: Forca Consolidada,Entrada: 43.64,Stop: 41.34,Take-Profit: 48.25,Break-Even: 45.95,Qtd: 21.70,Trailing: 40.18,Data: 01/08/2026 08:30:42</t>
  </si>
  <si>
    <t>L371</t>
  </si>
  <si>
    <t>Cinema e Média Digitais</t>
  </si>
  <si>
    <t>Instituto Politécnico do Porto - Escola Superior de Media Artes e Design</t>
  </si>
  <si>
    <t>143,7</t>
  </si>
  <si>
    <t>ADBE,227.16,4.45%,22.14,52.45,16.23,8.18,0.83,Observar,N/A,N/A,N/A,N/A,N/A</t>
  </si>
  <si>
    <t>Cinema e Audiovisual</t>
  </si>
  <si>
    <t>147,4</t>
  </si>
  <si>
    <t>L071</t>
  </si>
  <si>
    <t>Tecnologias e Sistemas de Informação para a Web</t>
  </si>
  <si>
    <t>Universidade do Porto - Faculdade de Belas-Artes</t>
  </si>
  <si>
    <t>172,6</t>
  </si>
  <si>
    <t>ISCTE - Instituto Universitário de Lisboa</t>
  </si>
  <si>
    <t>Phillips 66</t>
  </si>
  <si>
    <t>Informática e Gestão de Empresas (regime pós-laboral)</t>
  </si>
  <si>
    <t>160,5</t>
  </si>
  <si>
    <t>150,8</t>
  </si>
  <si>
    <t>165,5</t>
  </si>
  <si>
    <t>Informática e Gestão de Empresas</t>
  </si>
  <si>
    <t>166,5</t>
  </si>
  <si>
    <t>EL,Preço: 96.25,Dist MM20: -3.78%,Momentum: -8.60,RSI: 49.52,ADX: 28.23,ATR: 3.01,RVOL: 0.49,Estado: Observar,Entrada: N/A,Stop: N/A,Take-Profit: N/A,Break-Even: N/A,Qtd: N/A,Trailing: 90.23,Data: 16/09/2026 02:23:51</t>
  </si>
  <si>
    <t>PSX,Preço: 256.78,Dist MM20: 0.35%,Momentum: 4.76,RSI: 56.20,ADX: 40.51,ATR: 8.57,RVOL: 1.28,Estado: Observar,Entrada: N/A,Stop: N/A,Take-Profit: N/A,Break-Even: N/A,Qtd: N/A,Trailing: 239.64,Data: 23/09/2026 06:59:38</t>
  </si>
  <si>
    <t>ADYEN,820.60,-2.41%,-28.70,43.08,13.37,28.59,1.12,Observar,N/A,N/A,N/A,N/A,N/A</t>
  </si>
  <si>
    <t>Preço: 264.63</t>
  </si>
  <si>
    <t>AHLA</t>
  </si>
  <si>
    <t>Alibaba EU</t>
  </si>
  <si>
    <t>Momentum: 22.40</t>
  </si>
  <si>
    <t>136,0</t>
  </si>
  <si>
    <t>RSI: 74.64</t>
  </si>
  <si>
    <t>História Moderna e Contemporânea</t>
  </si>
  <si>
    <t>ADX: 44.67</t>
  </si>
  <si>
    <t>ATR: 7.06</t>
  </si>
  <si>
    <t>L189</t>
  </si>
  <si>
    <t>Trailing: 254.75</t>
  </si>
  <si>
    <t>Ciência de Dados (regime pós-laboral)</t>
  </si>
  <si>
    <t>143,8</t>
  </si>
  <si>
    <t>L273</t>
  </si>
  <si>
    <t>ISCTE - Instituto Universitário de Lisboa (Sintra)</t>
  </si>
  <si>
    <t>Tecnologias Digitais e Automação</t>
  </si>
  <si>
    <t>L274</t>
  </si>
  <si>
    <t>Política, Economia e Sociedade</t>
  </si>
  <si>
    <t>L277</t>
  </si>
  <si>
    <t>Tecnologias Digitais e Inteligência Artificial</t>
  </si>
  <si>
    <t>L278</t>
  </si>
  <si>
    <t>Desenvolvimento de Software e Aplicações</t>
  </si>
  <si>
    <t>L280</t>
  </si>
  <si>
    <t>Tecnologias Digitais e Gestão</t>
  </si>
  <si>
    <t>L281</t>
  </si>
  <si>
    <t>Tecnologias Digitais Educativas</t>
  </si>
  <si>
    <t>L282</t>
  </si>
  <si>
    <t>PWR</t>
  </si>
  <si>
    <t>Tecnologias Digitais e Saúde</t>
  </si>
  <si>
    <t>L311</t>
  </si>
  <si>
    <t>Tecnologias Digitais, Edifícios e Construção Sustentável</t>
  </si>
  <si>
    <t>Quanta Services</t>
  </si>
  <si>
    <t>L321</t>
  </si>
  <si>
    <t>Matemática Aplicada e Tecnologias Digitais</t>
  </si>
  <si>
    <t>L329</t>
  </si>
  <si>
    <t>Tecnologias Digitais e Segurança de Informação</t>
  </si>
  <si>
    <t>Escola Superior de Enfermagem de Lisboa</t>
  </si>
  <si>
    <t>Instituto Politécnico de Beja - Escola Superior de Saúde</t>
  </si>
  <si>
    <t>Terapia Ocupacional</t>
  </si>
  <si>
    <t>Universidade do Minho - Escola Superior de Enfermagem</t>
  </si>
  <si>
    <t>EMR,Preço: 147.00,Dist MM20: -3.97%,Momentum: -7.96,RSI: 41.47,ADX: 22.02,ATR: 3.32,RVOL: 0.99,Estado: Observar,Entrada: N/A,Stop: N/A,Take-Profit: N/A,Break-Even: N/A,Qtd: N/A,Trailing: 140.36,Data: 16/09/2026 03:08:03</t>
  </si>
  <si>
    <t>Instituto Politécnico de Bragança - Escola Superior de Saúde de Bragança</t>
  </si>
  <si>
    <t>Dietética e Nutrição</t>
  </si>
  <si>
    <t>Enfermagem (entrada no 2.º semestre)</t>
  </si>
  <si>
    <t>Farmácia</t>
  </si>
  <si>
    <t>PWR,Preço: 642.63,Dist MM20: 3.26%,Momentum: 31.24,RSI: 52.54,ADX: 11.01,ATR: 19.89,RVOL: 0.82,Estado: Aguardar Recuo,Entrada: 634.67,Stop: 614.78,Take-Profit: 658.54,Break-Even: 646.61,Qtd: 1.26,Trailing: 614.78,Data: 23/09/2026 06:47:37</t>
  </si>
  <si>
    <t>L068</t>
  </si>
  <si>
    <t>Ciências Biomédicas Laboratoriais</t>
  </si>
  <si>
    <t>Instituto Politécnico de Bragança - Escola Superior de Saúde de Bragança (Chaves)</t>
  </si>
  <si>
    <t>Preço: 622.02</t>
  </si>
  <si>
    <t>Instituto Politécnico de Castelo Branco - Escola Superior de Saúde Dr. Lopes Dias</t>
  </si>
  <si>
    <t>Dist MM20: -1.97%</t>
  </si>
  <si>
    <t>BABA,117.97,11.32%,21.99,59.61,30.11,2.90,0.58,Observar,N/A,N/A,N/A,N/A,N/A</t>
  </si>
  <si>
    <t>Momentum: 5.24</t>
  </si>
  <si>
    <t>RSI: 46.10</t>
  </si>
  <si>
    <t>L067</t>
  </si>
  <si>
    <t>Fisiologia Clínica</t>
  </si>
  <si>
    <t>ADX: 13.11</t>
  </si>
  <si>
    <t>Universidade de Évora - Escola Superior de Enfermagem de São João de Deus</t>
  </si>
  <si>
    <t>ATR: 19.68</t>
  </si>
  <si>
    <t>Universidade do Algarve - Escola Superior de Saúde</t>
  </si>
  <si>
    <t>Trailing: 582.66</t>
  </si>
  <si>
    <t>PWR,Preço: 622.02,Dist MM20: -1.97%,Momentum: 5.24,RSI: 46.10,ADX: 13.11,ATR: 19.68,RVOL: 1.09,Estado: Observar,Entrada: N/A,Stop: N/A,Take-Profit: N/A,Break-Even: N/A,Qtd: N/A,Trailing: 582.66,Data: 15/09/2026 10:36:07</t>
  </si>
  <si>
    <t>Instituto Politécnico da Guarda - Escola Superior de Saúde da Guarda</t>
  </si>
  <si>
    <t>L101</t>
  </si>
  <si>
    <t>Biotecnologia Medicinal</t>
  </si>
  <si>
    <t>Instituto Politécnico de Leiria - Escola Superior de Saúde</t>
  </si>
  <si>
    <t>Instituto Politécnico de Portalegre - Escola Superior de Saúde</t>
  </si>
  <si>
    <t>ENVX,Preço: 2.98,Dist MM20: -9.43%,Momentum: -0.40,RSI: 33.46,ADX: 37.77,ATR: 0.17,RVOL: 1.03,Estado: Observar,Entrada: N/A,Stop: N/A,Take-Profit: N/A,Break-Even: N/A,Qtd: N/A,Trailing: 2.64,Data: 16/09/2026 03:08:20</t>
  </si>
  <si>
    <t>Instituto Politécnico de Santarém - Escola Superior de Saúde de Santarém</t>
  </si>
  <si>
    <t>Instituto Politécnico de Viana do Castelo - Escola Superior de Saúde</t>
  </si>
  <si>
    <t>Universidade de Trás-os-Montes e Alto Douro - Escola Superior de Saúde</t>
  </si>
  <si>
    <t>Instituto Politécnico de Viseu - Escola Superior de Saúde de Viseu</t>
  </si>
  <si>
    <t>Universidade dos Açores - Escola Superior de Saúde - Angra do Heroísmo</t>
  </si>
  <si>
    <t>Universidade dos Açores - Escola Superior de Saúde - Ponta Delgada</t>
  </si>
  <si>
    <t>Escola Superior Náutica Infante D. Henrique</t>
  </si>
  <si>
    <t>QLYS,Preço: 183.32,Dist MM20: 4.18%,Momentum: 6.31,RSI: 56.02,ADX: 18.11,ATR: 9.90,RVOL: 0.94,Estado: Aguardar Recuo,Entrada: 179.36,Stop: 169.46,Take-Profit: 191.24,Break-Even: 185.30,Qtd: 2.53,Trailing: 169.46,Data: 23/09/2026 02:51:10</t>
  </si>
  <si>
    <t>Engenharia de Máquinas Marítimas</t>
  </si>
  <si>
    <t>Pilotagem</t>
  </si>
  <si>
    <t>Preço: 141.71</t>
  </si>
  <si>
    <t>Gestão de Transportes e Logística</t>
  </si>
  <si>
    <t>101,0</t>
  </si>
  <si>
    <t>Dist MM20: -4.91%</t>
  </si>
  <si>
    <t>Gestão Portuária</t>
  </si>
  <si>
    <t>Momentum: -10.98</t>
  </si>
  <si>
    <t>L118</t>
  </si>
  <si>
    <t>RSI: 52.81</t>
  </si>
  <si>
    <t>Engenharia Eletrotécnica Marítima</t>
  </si>
  <si>
    <t>ADX: 28.62</t>
  </si>
  <si>
    <t>Escola Superior de Hotelaria e Turismo do Estoril</t>
  </si>
  <si>
    <t>Produção Alimentar em Restauração (regime pós-laboral)</t>
  </si>
  <si>
    <t>ATR: 8.69</t>
  </si>
  <si>
    <t>Data: 31/07/2026 02:23:05</t>
  </si>
  <si>
    <t>GOOGL,347.15,-2.20%,-10.22,43.10,11.62,9.57,0.68,Observar,N/A,N/A,N/A,N/A,N/A</t>
  </si>
  <si>
    <t>Gestão do Lazer e Animação Turística</t>
  </si>
  <si>
    <t>Gestão Turística</t>
  </si>
  <si>
    <t>Informação Turística</t>
  </si>
  <si>
    <t>Produção Alimentar em Restauração</t>
  </si>
  <si>
    <t>Direção e Gestão Hoteleira (regime pós-laboral)</t>
  </si>
  <si>
    <t>AMZ</t>
  </si>
  <si>
    <t>Gestão do Lazer e Animação Turística (regime pós-laboral)</t>
  </si>
  <si>
    <t>Gestão Turística (regime pós-laboral)</t>
  </si>
  <si>
    <t>Amazon EU</t>
  </si>
  <si>
    <t>Instituto Politécnico de Coimbra - Escola Superior de Tecnologia da Saúde de Coimbra</t>
  </si>
  <si>
    <t>Audiologia</t>
  </si>
  <si>
    <t>FAST,Preço: 49.41,Dist MM20: -1.03%,Momentum: -0.90,RSI: 49.17,ADX: 15.24,ATR: 1.03,RVOL: 0.88,Estado: Observar,Entrada: N/A,Stop: N/A,Take-Profit: N/A,Break-Even: N/A,Qtd: N/A,Trailing: 47.35,Data: 16/09/2026 02:45:05</t>
  </si>
  <si>
    <t>Saúde Ambiental</t>
  </si>
  <si>
    <t>QS,Preço: 5.05,Dist MM20: -5.94%,Momentum: -0.42,RSI: 38.65,ADX: 15.02,ATR: 0.21,RVOL: 1.04,Estado: Observar,Entrada: N/A,Stop: N/A,Take-Profit: N/A,Break-Even: N/A,Qtd: N/A,Trailing: 4.63,Data: 23/09/2026 06:47:36</t>
  </si>
  <si>
    <t>Instituto Politécnico de Lisboa - Escola Superior de Tecnologia da Saúde de Lisboa</t>
  </si>
  <si>
    <t>Ortoprotesia</t>
  </si>
  <si>
    <t>Preço: 5.23</t>
  </si>
  <si>
    <t>Dist MM20: -13.17%</t>
  </si>
  <si>
    <t>Momentum: -1.35</t>
  </si>
  <si>
    <t>RSI: 35.61</t>
  </si>
  <si>
    <t>ATR: 0.36</t>
  </si>
  <si>
    <t>104,8</t>
  </si>
  <si>
    <t>Data: 31/07/2026 04:21:05</t>
  </si>
  <si>
    <t>QS,Preço: 5.23,Dist MM20: -13.17%,Momentum: -1.35,RSI: 35.61,ADX: 24.58,ATR: 0.36,RVOL: 0.88,Estado: Aguardar Recuo,Entrada: 5.09,Stop: 4.73,Take-Profit: 5.81,Break-Even: 5.45,Qtd: 138.89,Data: 31/07/2026 04:21:05</t>
  </si>
  <si>
    <t>L161</t>
  </si>
  <si>
    <t>Ortóptica e Ciências da Visão</t>
  </si>
  <si>
    <t>Instituto Politécnico do Porto - Escola Superior de Saúde</t>
  </si>
  <si>
    <t>Ortóptica</t>
  </si>
  <si>
    <t>FIG,Preço: 23.89,Dist MM20: -7.41%,Momentum: -3.39,RSI: 46.08,ADX: 13.88,ATR: 1.55,RVOL: 0.58,Estado: Observar,Entrada: N/A,Stop: N/A,Take-Profit: N/A,Break-Even: N/A,Qtd: N/A,Trailing: 20.79,Data: 16/09/2026 02:45:02</t>
  </si>
  <si>
    <t>QUBT</t>
  </si>
  <si>
    <t>Quantum Computing</t>
  </si>
  <si>
    <t>149,0</t>
  </si>
  <si>
    <t>L304</t>
  </si>
  <si>
    <t>Saúde Digital</t>
  </si>
  <si>
    <t>Universidade de Coimbra - Escola Superior de Enfermagem</t>
  </si>
  <si>
    <t>Universidade do Porto - Escola Superior de Enfermagem</t>
  </si>
  <si>
    <t>QUBT,Preço: 9.08,Dist MM20: 10.32%,Momentum: 1.18,RSI: 61.80,ADX: 12.65,ATR: 0.31,RVOL: 0.97,Estado: Aguardar Recuo,Entrada: 8.96,Stop: 8.65,Take-Profit: 9.33,Break-Even: 9.14,Qtd: 80.65,Trailing: 8.65,Data: 23/09/2026 06:45:41</t>
  </si>
  <si>
    <t>Preço: 8.02</t>
  </si>
  <si>
    <t>Dist MM20: -2.08%</t>
  </si>
  <si>
    <t>Momentum: -0.64</t>
  </si>
  <si>
    <t>RSI: 45.54</t>
  </si>
  <si>
    <t>ADX: 16.99</t>
  </si>
  <si>
    <t>ATR: 0.47</t>
  </si>
  <si>
    <t>Data: 31/07/2026 04:20:49</t>
  </si>
  <si>
    <t>FITB,Preço: 54.67,Dist MM20: -0.03%,Momentum: -0.22,RSI: 45.82,ADX: 17.51,ATR: 0.92,RVOL: 1.99,Estado: Aguardar Recuo,Entrada: 54.30,Stop: 53.38,Take-Profit: 56.14,Break-Even: 55.22,Qtd: 54.35,Trailing: 53.38,Data: 16/09/2026 03:08:37</t>
  </si>
  <si>
    <t>QUBT,Preço: 8.02,Dist MM20: -2.08%,Momentum: -0.64,RSI: 45.54,ADX: 16.99,ATR: 0.47,RVOL: 0.88,Estado: Aguardar Recuo,Entrada: 7.83,Stop: 7.36,Take-Profit: 8.77,Break-Even: 8.30,Qtd: 106.38,Data: 31/07/2026 04:20:49</t>
  </si>
  <si>
    <t>Roblox Corp</t>
  </si>
  <si>
    <t>Lucro neto</t>
  </si>
  <si>
    <t>Taxa %</t>
  </si>
  <si>
    <t>Bayer</t>
  </si>
  <si>
    <t>20,68 €</t>
  </si>
  <si>
    <t>2,32</t>
  </si>
  <si>
    <t>DHL</t>
  </si>
  <si>
    <t>34,58 €</t>
  </si>
  <si>
    <t>AMZN,247.55,1.84%,9.21,51.31,21.63,6.31,0.45,Observar,N/A,N/A,N/A,N/A,N/A</t>
  </si>
  <si>
    <t>2,2</t>
  </si>
  <si>
    <t>298,80 €</t>
  </si>
  <si>
    <t>2,11</t>
  </si>
  <si>
    <t>Galp</t>
  </si>
  <si>
    <t>17,11 €</t>
  </si>
  <si>
    <t>1,37</t>
  </si>
  <si>
    <t>Lufthansa</t>
  </si>
  <si>
    <t>5,71 €</t>
  </si>
  <si>
    <t>1,85</t>
  </si>
  <si>
    <t>BMW</t>
  </si>
  <si>
    <t>78,69 €</t>
  </si>
  <si>
    <t>0,59</t>
  </si>
  <si>
    <t>Mercedes</t>
  </si>
  <si>
    <t>55,96</t>
  </si>
  <si>
    <t>RBLX,Preço: 49.87,Dist MM20: 12.51%,Momentum: 9.20,RSI: 63.53,ADX: 29.25,ATR: 2.17,RVOL: 0.78,Estado: Observar,Entrada: N/A,Stop: N/A,Take-Profit: N/A,Break-Even: N/A,Qtd: N/A,Trailing: 45.53,Data: 23/09/2026 06:58:20</t>
  </si>
  <si>
    <t>Preço: 48.67</t>
  </si>
  <si>
    <t>Dist MM20: -7.78%</t>
  </si>
  <si>
    <t>Visa</t>
  </si>
  <si>
    <t>Momentum: -6.68</t>
  </si>
  <si>
    <t>Pirelli</t>
  </si>
  <si>
    <t>ATR: 2.57</t>
  </si>
  <si>
    <t>Novo Nordisk</t>
  </si>
  <si>
    <t>RVOL: 3.24</t>
  </si>
  <si>
    <t>Apple DE</t>
  </si>
  <si>
    <t>Data: 31/07/2026 04:36:38</t>
  </si>
  <si>
    <t>Varta</t>
  </si>
  <si>
    <t>RBLX,Preço: 48.67,Dist MM20: -7.78%,Momentum: -6.68,RSI: 44.41,ADX: 16.75,ATR: 2.57,RVOL: 3.24,Estado: Observar,Entrada: N/A,Stop: N/A,Take-Profit: N/A,Break-Even: N/A,Qtd: N/A,Data: 31/07/2026 04:36:38</t>
  </si>
  <si>
    <t>Novartis</t>
  </si>
  <si>
    <t>Nvidia</t>
  </si>
  <si>
    <t>RCAT</t>
  </si>
  <si>
    <t>Boss</t>
  </si>
  <si>
    <t>Red Cat</t>
  </si>
  <si>
    <t>MasterCard</t>
  </si>
  <si>
    <t>Dia 29</t>
  </si>
  <si>
    <t>Dia 30</t>
  </si>
  <si>
    <t>Dia 31</t>
  </si>
  <si>
    <t>FLR,Preço: 54.04,Dist MM20: -0.09%,Momentum: 2.78,RSI: 51.05,ADX: 18.92,ATR: 1.86,RVOL: 0.66,Estado: Aguardar Recuo,Entrada: 53.30,Stop: 51.44,Take-Profit: 57.02,Break-Even: 55.16,Qtd: 26.88,Trailing: 51.44,Data: 16/09/2026 03:09:12</t>
  </si>
  <si>
    <t>x</t>
  </si>
  <si>
    <t>Alphabet</t>
  </si>
  <si>
    <t>Oracle</t>
  </si>
  <si>
    <t>RCAT,Preço: 6.94,Dist MM20: -13.97%,Momentum: -1.31,RSI: 34.10,ADX: 20.95,ATR: 0.44,RVOL: 1.23,Estado: Observar,Entrada: N/A,Stop: N/A,Take-Profit: N/A,Break-Even: N/A,Qtd: N/A,Trailing: 6.06,Data: 23/09/2026 06:45:41</t>
  </si>
  <si>
    <t>Dell</t>
  </si>
  <si>
    <t>Preço: 7.38</t>
  </si>
  <si>
    <t>Dist MM20: -11.58%</t>
  </si>
  <si>
    <t>AMD,544.43,2.54%,-36.48,54.83,16.90,30.26,0.96,Aguardar Recuo,532.33,499.04,598.91,565.62,1.50</t>
  </si>
  <si>
    <t>Momentum: -1.45</t>
  </si>
  <si>
    <t>RSI: 39.19</t>
  </si>
  <si>
    <t>Roche</t>
  </si>
  <si>
    <t>ADX: 21.91</t>
  </si>
  <si>
    <t>ATR: 0.55</t>
  </si>
  <si>
    <t>FOO</t>
  </si>
  <si>
    <t>Salesforce EU</t>
  </si>
  <si>
    <t>Data: 31/07/2026 04:37:13</t>
  </si>
  <si>
    <t>RCAT,Preço: 7.38,Dist MM20: -11.58%,Momentum: -1.45,RSI: 39.19,ADX: 21.91,ATR: 0.55,RVOL: 0.88,Estado: Aguardar Recuo,Entrada: 7.16,Stop: 6.61,Take-Profit: 8.26,Break-Even: 7.71,Qtd: 90.91,Data: 31/07/2026 04:37:13</t>
  </si>
  <si>
    <t>RDDT</t>
  </si>
  <si>
    <t>Reddit</t>
  </si>
  <si>
    <t>#ERRO_LIMITE_CHAVES</t>
  </si>
  <si>
    <t>Todas as chaves esgotaram</t>
  </si>
  <si>
    <t>FOO,#ERRO_LIMITE_CHAVES,Todas as chaves esgotaram,,,,,,,,,,,,</t>
  </si>
  <si>
    <t>RDDT,Preço: 155.67,Dist MM20: 0.68%,Momentum: 11.03,RSI: 49.05,ADX: 9.63,ATR: 7.64,RVOL: 0.89,Estado: Observar,Entrada: N/A,Stop: N/A,Take-Profit: N/A,Break-Even: N/A,Qtd: N/A,Trailing: 140.39,Data: 23/09/2026 06:58:22</t>
  </si>
  <si>
    <t>Preço: 178.04</t>
  </si>
  <si>
    <t>GALP</t>
  </si>
  <si>
    <t>Dist MM20: -4.88%</t>
  </si>
  <si>
    <t>Momentum: -17.30</t>
  </si>
  <si>
    <t>RSI: 48.31</t>
  </si>
  <si>
    <t>ADX: 15.49</t>
  </si>
  <si>
    <t>ATR: 10.43</t>
  </si>
  <si>
    <t>Data: 31/07/2026 04:36:21</t>
  </si>
  <si>
    <t>RDDT,Preço: 178.04,Dist MM20: -4.88%,Momentum: -17.30,RSI: 48.31,ADX: 15.49,ATR: 10.43,RVOL: 2.45,Estado: Aguardar Recuo,Entrada: 173.87,Stop: 163.44,Take-Profit: 194.73,Break-Even: 184.30,Qtd: 4.79,Data: 31/07/2026 04:36:21</t>
  </si>
  <si>
    <t>GALP,#ERRO_LIMITE_CHAVES,Todas as chaves esgotaram,,,,,,,,,,,,</t>
  </si>
  <si>
    <t>Preço: 203.04</t>
  </si>
  <si>
    <t>Dist MM20: 3.34%</t>
  </si>
  <si>
    <t>Momentum: 6.21</t>
  </si>
  <si>
    <t>RSI: 52.90</t>
  </si>
  <si>
    <t>ADX: 15.79</t>
  </si>
  <si>
    <t>ATR: 5.09</t>
  </si>
  <si>
    <t>Data: 31/07/2026 04:22:30</t>
  </si>
  <si>
    <t>RGLD,Preço: 203.04,Dist MM20: 3.34%,Momentum: 6.21,RSI: 52.90,ADX: 15.79,ATR: 5.09,RVOL: 0.68,Estado: Aguardar Recuo,Entrada: 201.00,Stop: 195.91,Take-Profit: 211.18,Break-Even: 206.09,Qtd: 9.82,Data: 31/07/2026 04:22:30</t>
  </si>
  <si>
    <t>AMPL,9.59,10.83%,1.94,67.70,34.73,0.60,0.62,Observar,N/A,N/A,N/A,N/A,N/A</t>
  </si>
  <si>
    <t>GD,Preço: 358.60,Dist MM20: -3.38%,Momentum: -17.98,RSI: 36.03,ADX: 39.92,ATR: 6.41,RVOL: 1.25,Estado: Observar,Entrada: N/A,Stop: N/A,Take-Profit: N/A,Break-Even: N/A,Qtd: N/A,Trailing: 345.78,Data: 16/09/2026 03:20:22</t>
  </si>
  <si>
    <t>APC</t>
  </si>
  <si>
    <t>Apple EU</t>
  </si>
  <si>
    <t>RGTI,Preço: 16.52,Dist MM20: 5.82%,Momentum: 1.53,RSI: 54.37,ADX: 9.06,ATR: 0.77,RVOL: 0.83,Estado: Observar,Entrada: N/A,Stop: N/A,Take-Profit: N/A,Break-Even: N/A,Qtd: N/A,Trailing: 14.98,Data: 23/09/2026 06:58:22</t>
  </si>
  <si>
    <t>Preço: 14.86</t>
  </si>
  <si>
    <t>Momentum: -1.68</t>
  </si>
  <si>
    <t>RSI: 43.68</t>
  </si>
  <si>
    <t>ADX: 29.90</t>
  </si>
  <si>
    <t>ATR: 1.01</t>
  </si>
  <si>
    <t>Data: 31/07/2026 04:21:39</t>
  </si>
  <si>
    <t>GLE,Preço: 0.60,Dist MM20: 24.95%,Momentum: 0.13,RSI: 69.12,ADX: 46.86,ATR: 0.05,RVOL: 1.47,Estado: Observar,Entrada: N/A,Stop: N/A,Take-Profit: N/A,Break-Even: N/A,Qtd: N/A,Trailing: 0.50,Data: 16/09/2026 03:20:41</t>
  </si>
  <si>
    <t>Preço: 0.32</t>
  </si>
  <si>
    <t>Dist MM20: -21.11%</t>
  </si>
  <si>
    <t>Momentum: -0.10</t>
  </si>
  <si>
    <t>RSI: 34.82</t>
  </si>
  <si>
    <t>ADX: 28.82</t>
  </si>
  <si>
    <t>ATR: 0.04</t>
  </si>
  <si>
    <t>RVOL: 0.39</t>
  </si>
  <si>
    <t>Data: 31/07/2026 04:23:55</t>
  </si>
  <si>
    <t>APC,21.21,9.51%,2.36,66.35,22.52,0.71,0.33,Aguardar Recuo,20.93,20.14,22.50,21.71,63.69</t>
  </si>
  <si>
    <t>GLE,Preço: 0.32,Dist MM20: -21.11%,Momentum: -0.10,RSI: 34.82,ADX: 28.82,ATR: 0.04,RVOL: 0.39,Estado: Observar,Entrada: N/A,Stop: N/A,Take-Profit: N/A,Break-Even: N/A,Qtd: N/A,Data: 31/07/2026 04:23:55</t>
  </si>
  <si>
    <t>RKLB,Preço: 71.98,Dist MM20: 10.69%,Momentum: 9.44,RSI: 57.20,ADX: 16.81,ATR: 3.22,RVOL: 1.16,Estado: Aguardar Recuo,Entrada: 70.69,Stop: 67.47,Take-Profit: 74.55,Break-Even: 72.62,Qtd: 7.76,Trailing: 67.47,Data: 23/09/2026 06:58:24</t>
  </si>
  <si>
    <t>GOOGL,Preço: 344.98,Dist MM20: 1.08%,Momentum: -1.98,RSI: 51.61,ADX: 8.63,ATR: 6.11,RVOL: 0.90,Estado: Observar,Entrada: N/A,Stop: N/A,Take-Profit: N/A,Break-Even: N/A,Qtd: N/A,Trailing: 332.76,Data: 16/09/2026 02:24:09</t>
  </si>
  <si>
    <t>Preço: 64.68</t>
  </si>
  <si>
    <t>Dist MM20: -12.78%</t>
  </si>
  <si>
    <t>Momentum: -16.36</t>
  </si>
  <si>
    <t>RSI: 37.41</t>
  </si>
  <si>
    <t>ADX: 35.77</t>
  </si>
  <si>
    <t>ATR: 5.08</t>
  </si>
  <si>
    <t>Data: 31/07/2026 04:22:12</t>
  </si>
  <si>
    <t>RL</t>
  </si>
  <si>
    <t>Ralph Lauren</t>
  </si>
  <si>
    <t>GRMN,Preço: 278.97,Dist MM20: -1.71%,Momentum: -9.48,RSI: 46.59,ADX: 21.29,ATR: 5.52,RVOL: 0.60,Estado: Observar,Entrada: N/A,Stop: N/A,Take-Profit: N/A,Break-Even: N/A,Qtd: N/A,Trailing: 267.93,Data: 16/09/2026 02:24:26</t>
  </si>
  <si>
    <t>RL,Preço: 346.06,Dist MM20: 0.63%,Momentum: 5.24,RSI: 46.06,ADX: 24.70,ATR: 9.32,RVOL: 0.99,Estado: Observar,Entrada: N/A,Stop: N/A,Take-Profit: N/A,Break-Even: N/A,Qtd: N/A,Trailing: 327.42,Data: 23/09/2026 07:02:21</t>
  </si>
  <si>
    <t>HEN3</t>
  </si>
  <si>
    <t>AAPL,327.74,6.24%,38.38,64.54,27.08,7.94,0.62,Forca Consolidada,326.15,311.86,347.59,336.87,3.50</t>
  </si>
  <si>
    <t>Preço: 385.91</t>
  </si>
  <si>
    <t>Henkel</t>
  </si>
  <si>
    <t>Dist MM20: 0.90%</t>
  </si>
  <si>
    <t>Momentum: -8.99</t>
  </si>
  <si>
    <t>RSI: 51.58</t>
  </si>
  <si>
    <t>ADX: 20.16</t>
  </si>
  <si>
    <t>ATR: 12.66</t>
  </si>
  <si>
    <t>RVOL: 0.59</t>
  </si>
  <si>
    <t>Data: 31/07/2026 04:21:22</t>
  </si>
  <si>
    <t>RL,Preço: 385.91,Dist MM20: 0.90%,Momentum: -8.99,RSI: 51.58,ADX: 20.16,ATR: 12.66,RVOL: 0.59,Estado: Aguardar Recuo,Entrada: 380.85,Stop: 368.19,Take-Profit: 406.17,Break-Even: 393.51,Qtd: 3.95,Data: 31/07/2026 04:21:22</t>
  </si>
  <si>
    <t>HEN3,#ERRO_LIMITE_CHAVES,Todas as chaves esgotaram,,,,,,,,,,,,</t>
  </si>
  <si>
    <t>SAP US</t>
  </si>
  <si>
    <t>HOOD,Preço: 110.45,Dist MM20: 1.60%,Momentum: -1.64,RSI: 52.97,ADX: 20.14,ATR: 5.82,RVOL: 1.23,Estado: Observar,Entrada: N/A,Stop: N/A,Take-Profit: N/A,Break-Even: N/A,Qtd: N/A,Trailing: 98.81,Data: 16/09/2026 03:21:16</t>
  </si>
  <si>
    <t>SAP,Preço: 210.68,Dist MM20: -1.30%,Momentum: -1.36,RSI: 52.15,ADX: 26.20,ATR: 4.79,RVOL: 0.81,Estado: Observar,Entrada: N/A,Stop: N/A,Take-Profit: N/A,Break-Even: N/A,Qtd: N/A,Trailing: 201.10,Data: 23/09/2026 02:51:27</t>
  </si>
  <si>
    <t>Preço: 180.88</t>
  </si>
  <si>
    <t>Dist MM20: 11.80%</t>
  </si>
  <si>
    <t>Momentum: 23.02</t>
  </si>
  <si>
    <t>RSI: 63.09</t>
  </si>
  <si>
    <t>ADX: 19.27</t>
  </si>
  <si>
    <t>ATR: 5.57</t>
  </si>
  <si>
    <t>Data: 31/07/2026 02:23:42</t>
  </si>
  <si>
    <t>SAP,Preço: 180.88,Dist MM20: 11.80%,Momentum: 23.02,RSI: 63.09,ADX: 19.27,ATR: 5.57,RVOL: 1.16,Estado: Observar,Entrada: N/A,Stop: N/A,Take-Profit: N/A,Break-Even: N/A,Qtd: N/A,Data: 31/07/2026 02:23:42</t>
  </si>
  <si>
    <t>APP,428.69,-11.05%,-86.54,37.36,19.47,30.77,0.90,Aguardar Recuo,416.38,382.53,484.07,450.23,1.48</t>
  </si>
  <si>
    <t>HPE,Preço: 55.88,Dist MM20: 2.73%,Momentum: 2.44,RSI: 52.75,ADX: 13.62,ATR: 3.20,RVOL: 0.92,Estado: Aguardar Recuo,Entrada: 54.60,Stop: 51.40,Take-Profit: 61.00,Break-Even: 57.80,Qtd: 15.62,Trailing: 51.40,Data: 16/09/2026 03:21:34</t>
  </si>
  <si>
    <t>SBUX</t>
  </si>
  <si>
    <t>Starbucks</t>
  </si>
  <si>
    <t>HSBA</t>
  </si>
  <si>
    <t>HSBC EU</t>
  </si>
  <si>
    <t>SBUX,Preço: 95.11,Dist MM20: -6.49%,Momentum: -11.04,RSI: 28.14,ADX: 29.20,ATR: 2.19,RVOL: 1.26,Estado: Observar,Entrada: N/A,Stop: N/A,Take-Profit: N/A,Break-Even: N/A,Qtd: N/A,Trailing: 90.73,Data: 23/09/2026 07:02:21</t>
  </si>
  <si>
    <t>Preço: 105.85</t>
  </si>
  <si>
    <t>Dist MM20: 1.04%</t>
  </si>
  <si>
    <t>Momentum: -0.16</t>
  </si>
  <si>
    <t>RSI: 56.64</t>
  </si>
  <si>
    <t>ADX: 10.44</t>
  </si>
  <si>
    <t>ATR: 2.72</t>
  </si>
  <si>
    <t>RVOL: 2.81</t>
  </si>
  <si>
    <t>Data: 31/07/2026 04:51:53</t>
  </si>
  <si>
    <t>SBUX,Preço: 105.85,Dist MM20: 1.04%,Momentum: -0.16,RSI: 56.64,ADX: 10.44,ATR: 2.72,RVOL: 2.81,Estado: Aguardar Recuo,Entrada: 104.76,Stop: 102.04,Take-Profit: 110.20,Break-Even: 107.48,Qtd: 18.38,Data: 31/07/2026 04:51:53</t>
  </si>
  <si>
    <t>HSBA,#ERRO_LIMITE_CHAVES,Todas as chaves esgotaram,,,,,,,,,,,,</t>
  </si>
  <si>
    <t>HSBC</t>
  </si>
  <si>
    <t>ANET,174.58,2.19%,4.70,53.75,16.29,10.35,0.75,Aguardar Recuo,170.44,159.06,193.21,181.82,4.39</t>
  </si>
  <si>
    <t>HSBC US</t>
  </si>
  <si>
    <t>SHAK,Preço: 58.09,Dist MM20: -9.98%,Momentum: -9.53,RSI: 36.49,ADX: 31.87,ATR: 2.87,RVOL: 1.02,Estado: Observar,Entrada: N/A,Stop: N/A,Take-Profit: N/A,Break-Even: N/A,Qtd: N/A,Trailing: 52.35,Data: 23/09/2026 07:02:50</t>
  </si>
  <si>
    <t>HSBC,Preço: 102.22,Dist MM20: -1.81%,Momentum: -2.16,RSI: 44.08,ADX: 11.47,ATR: 1.13,RVOL: 1.92,Estado: Observar,Entrada: N/A,Stop: N/A,Take-Profit: N/A,Break-Even: N/A,Qtd: N/A,Trailing: 99.96,Data: 16/09/2026 03:22:13</t>
  </si>
  <si>
    <t>Preço: 63.07</t>
  </si>
  <si>
    <t>Preço: 107.09</t>
  </si>
  <si>
    <t>Dist MM20: 6.51%</t>
  </si>
  <si>
    <t>Momentum: 8.00</t>
  </si>
  <si>
    <t>RSI: 69.98</t>
  </si>
  <si>
    <t>Momentum: 4.47</t>
  </si>
  <si>
    <t>ADX: 22.32</t>
  </si>
  <si>
    <t>ADX: 17.64</t>
  </si>
  <si>
    <t>ATR: 2.34</t>
  </si>
  <si>
    <t>Data: 31/07/2026 04:07:07</t>
  </si>
  <si>
    <t>Data: 31/07/2026 04:23:22</t>
  </si>
  <si>
    <t>HSBC,Preço: 107.09,Dist MM20: 6.51%,Momentum: 8.00,RSI: 69.98,ADX: 22.32,ATR: 1.43,RVOL: 1.21,Estado: Aguardar Recuo,Entrada: 106.52,Stop: 105.09,Take-Profit: 109.38,Break-Even: 107.95,Qtd: 34.97,Data: 31/07/2026 04:07:07</t>
  </si>
  <si>
    <t>SHAK,Preço: 63.07,Dist MM20: 8.04%,Momentum: 4.47,RSI: 61.21,ADX: 17.64,ATR: 2.34,RVOL: 0.76,Estado: Aguardar Recuo,Entrada: 62.13,Stop: 59.79,Take-Profit: 66.81,Break-Even: 64.47,Qtd: 21.37,Data: 31/07/2026 04:23:22</t>
  </si>
  <si>
    <t>Shopify Inc</t>
  </si>
  <si>
    <t>ASML,1801.51,0.10%,-187.93,51.94,12.61,67.99,0.76,Aguardar Recuo,1774.31,1699.53,1923.88,1849.10,0.67</t>
  </si>
  <si>
    <t>SHOP,Preço: 147.74,Dist MM20: 6.13%,Momentum: 7.92,RSI: 59.49,ADX: 18.82,ATR: 5.70,RVOL: 2.66,Estado: Aguardar Recuo,Entrada: 145.46,Stop: 139.76,Take-Profit: 152.30,Break-Even: 148.88,Qtd: 4.39,Trailing: 139.76,Data: 23/09/2026 02:51:45</t>
  </si>
  <si>
    <t>Preço: 122.40</t>
  </si>
  <si>
    <t>Dist MM20: -0.06%</t>
  </si>
  <si>
    <t>Momentum: -0.14</t>
  </si>
  <si>
    <t>RSI: 52.13</t>
  </si>
  <si>
    <t>ADX: 19.42</t>
  </si>
  <si>
    <t>ATR: 5.67</t>
  </si>
  <si>
    <t>Data: 31/07/2026 02:35:27</t>
  </si>
  <si>
    <t>SHOP,Preço: 122.40,Dist MM20: -0.06%,Momentum: -0.14,RSI: 52.13,ADX: 19.42,ATR: 5.67,RVOL: 1.32,Estado: Observar,Entrada: N/A,Stop: N/A,Take-Profit: N/A,Break-Even: N/A,Qtd: N/A,Data: 31/07/2026 02:35:27</t>
  </si>
  <si>
    <t>SLB</t>
  </si>
  <si>
    <t>IBM,Preço: 248.37,Dist MM20: 5.20%,Momentum: 14.18,RSI: 60.05,ADX: 13.45,ATR: 6.12,RVOL: 0.89,Estado: Observar,Entrada: N/A,Stop: N/A,Take-Profit: N/A,Break-Even: N/A,Qtd: N/A,Trailing: 236.13,Data: 16/09/2026 02:34:17</t>
  </si>
  <si>
    <t>SLB,Preço: 52.12,Dist MM20: -5.46%,Momentum: -5.03,RSI: 43.07,ADX: 21.21,ATR: 1.85,RVOL: 0.98,Estado: Observar,Entrada: N/A,Stop: N/A,Take-Profit: N/A,Break-Even: N/A,Qtd: N/A,Trailing: 48.42,Data: 23/09/2026 07:02:18</t>
  </si>
  <si>
    <t>Preço: 52.30</t>
  </si>
  <si>
    <t>Dist MM20: -5.81%</t>
  </si>
  <si>
    <t>Momentum: -1.30</t>
  </si>
  <si>
    <t>RSI: 42.07</t>
  </si>
  <si>
    <t>ADX: 23.90</t>
  </si>
  <si>
    <t>ATR: 2.22</t>
  </si>
  <si>
    <t>RVOL: 1.56</t>
  </si>
  <si>
    <t>ASTS,63.34,-11.91%,-25.52,40.72,21.59,5.88,1.09,Aguardar Recuo,60.99,54.52,73.93,67.46,7.73</t>
  </si>
  <si>
    <t>Trailing: 47.86</t>
  </si>
  <si>
    <t>SLB,Preço: 52.30,Dist MM20: -5.81%,Momentum: -1.30,RSI: 42.07,ADX: 23.90,ATR: 2.22,RVOL: 1.56,Estado: Observar,Entrada: N/A,Stop: N/A,Take-Profit: N/A,Break-Even: N/A,Qtd: N/A,Trailing: 47.86,Data: 17/09/2026 03:51:49</t>
  </si>
  <si>
    <t>IDR,Preço: 28.79,Dist MM20: -8.73%,Momentum: -4.16,RSI: 38.70,ADX: 9.46,ATR: 1.35,RVOL: 0.82,Estado: Observar,Entrada: N/A,Stop: N/A,Take-Profit: N/A,Break-Even: N/A,Qtd: N/A,Trailing: 26.09,Data: 16/09/2026 03:22:31</t>
  </si>
  <si>
    <t>SMCI,Preço: 41.54,Dist MM20: 8.19%,Momentum: 4.83,RSI: 60.27,ADX: 24.97,ATR: 2.10,RVOL: 0.79,Estado: Observar,Entrada: N/A,Stop: N/A,Take-Profit: N/A,Break-Even: N/A,Qtd: N/A,Trailing: 37.34,Data: 23/09/2026 07:02:19</t>
  </si>
  <si>
    <t>Preço: 27.73</t>
  </si>
  <si>
    <t>Dist MM20: 0.96%</t>
  </si>
  <si>
    <t>Momentum: -0.58</t>
  </si>
  <si>
    <t>RSI: 47.18</t>
  </si>
  <si>
    <t>ADX: 18.68</t>
  </si>
  <si>
    <t>ATR: 1.87</t>
  </si>
  <si>
    <t>Data: 31/07/2026 04:34:38</t>
  </si>
  <si>
    <t>SMCI,Preço: 27.73,Dist MM20: 0.96%,Momentum: -0.58,RSI: 47.18,ADX: 18.68,ATR: 1.87,RVOL: 0.85,Estado: Aguardar Recuo,Entrada: 26.98,Stop: 25.11,Take-Profit: 30.72,Break-Even: 28.85,Qtd: 26.74,Data: 31/07/2026 04:34:38</t>
  </si>
  <si>
    <t>21/07/2026 23:39:54</t>
  </si>
  <si>
    <t>TEAM,90.60,4.80%,12.81,52.06,17.24,5.55,0.87,Observar,N/A,N/A,N/A,N/A,N/A</t>
  </si>
  <si>
    <t>SOUN</t>
  </si>
  <si>
    <t>IFX</t>
  </si>
  <si>
    <t>SoundHound</t>
  </si>
  <si>
    <t>Infineon Technologies</t>
  </si>
  <si>
    <t>BAYN</t>
  </si>
  <si>
    <t>SOUN,Preço: 6.12,Dist MM20: -6.58%,Momentum: -0.73,RSI: 40.34,ADX: 16.13,ATR: 0.25,RVOL: 0.66,Estado: Observar,Entrada: N/A,Stop: N/A,Take-Profit: N/A,Break-Even: N/A,Qtd: N/A,Trailing: 5.62,Data: 23/09/2026 06:47:32</t>
  </si>
  <si>
    <t>Preço: 6.14</t>
  </si>
  <si>
    <t>Dist MM20: -4.60%</t>
  </si>
  <si>
    <t>Momentum: -0.50</t>
  </si>
  <si>
    <t>RSI: 43.31</t>
  </si>
  <si>
    <t>ADX: 12.21</t>
  </si>
  <si>
    <t>ATR: 0.38</t>
  </si>
  <si>
    <t>Data: 31/07/2026 04:24:31</t>
  </si>
  <si>
    <t>IFX,#ERRO_LIMITE_CHAVES,Todas as chaves esgotaram,,,,,,,,,,,,</t>
  </si>
  <si>
    <t>Palantir</t>
  </si>
  <si>
    <t>SOUN,Preço: 6.14,Dist MM20: -4.60%,Momentum: -0.50,RSI: 43.31,ADX: 12.21,ATR: 0.38,RVOL: 0.77,Estado: Aguardar Recuo,Entrada: 5.99,Stop: 5.61,Take-Profit: 6.75,Break-Even: 6.37,Qtd: 131.58,Data: 31/07/2026 04:24:31</t>
  </si>
  <si>
    <t>Uber DE</t>
  </si>
  <si>
    <t>Tempus AI</t>
  </si>
  <si>
    <t>BigBear ai</t>
  </si>
  <si>
    <t>INL</t>
  </si>
  <si>
    <t>Intel EU</t>
  </si>
  <si>
    <t>UT8</t>
  </si>
  <si>
    <t xml:space="preserve">Alibaba </t>
  </si>
  <si>
    <t>SpaceX</t>
  </si>
  <si>
    <t>Paypal</t>
  </si>
  <si>
    <t>AST SpaceMobile</t>
  </si>
  <si>
    <t>Compra</t>
  </si>
  <si>
    <t>Venda</t>
  </si>
  <si>
    <t>Citigroup</t>
  </si>
  <si>
    <t>SPCX,Preço: 154.72,Dist MM20: 5.21%,Momentum: 12.49,RSI: 59.57,ADX: 26.82,ATR: 6.82,RVOL: 0.65,Estado: Observar,Entrada: N/A,Stop: N/A,Take-Profit: N/A,Break-Even: N/A,Qtd: N/A,Trailing: 141.08,Data: 23/09/2026 07:02:53</t>
  </si>
  <si>
    <t>SS</t>
  </si>
  <si>
    <t>Preço: 112.20</t>
  </si>
  <si>
    <t>Dist MM20: -14.67%</t>
  </si>
  <si>
    <t>Momentum: -33.10</t>
  </si>
  <si>
    <t>RSI: 39.93</t>
  </si>
  <si>
    <t>ADX: 12.57</t>
  </si>
  <si>
    <t>ATR: 7.78</t>
  </si>
  <si>
    <t>INL,#ERRO_LIMITE_CHAVES,Todas as chaves esgotaram,,,,,,,,,,,,</t>
  </si>
  <si>
    <t>Data: 31/07/2026 04:38:55</t>
  </si>
  <si>
    <t>SPCX,Preço: 112.20,Dist MM20: -14.67%,Momentum: -33.10,RSI: 39.93,ADX: 12.57,ATR: 7.78,RVOL: 0.77,Estado: Observar,Entrada: N/A,Stop: N/A,Take-Profit: N/A,Break-Even: N/A,Qtd: N/A,Data: 31/07/2026 04:38:55</t>
  </si>
  <si>
    <t>SPOT</t>
  </si>
  <si>
    <t>Spotify Techology</t>
  </si>
  <si>
    <t>Adobe Inc</t>
  </si>
  <si>
    <t>Para analisar</t>
  </si>
  <si>
    <t>INTC,Preço: 97.14,Dist MM20: 3.31%,Momentum: 9.66,RSI: 50.27,ADX: 13.98,ATR: 3.98,RVOL: 0.91,Estado: Observar,Entrada: N/A,Stop: N/A,Take-Profit: N/A,Break-Even: N/A,Qtd: N/A,Trailing: 89.18,Data: 16/09/2026 02:34:34</t>
  </si>
  <si>
    <t>SPOT,Preço: 501.30,Dist MM20: -6.69%,Momentum: -42.85,RSI: 41.61,ADX: 12.40,ATR: 19.05,RVOL: 1.33,Estado: Observar,Entrada: N/A,Stop: N/A,Take-Profit: N/A,Break-Even: N/A,Qtd: N/A,Trailing: 463.20,Data: 23/09/2026 07:01:58</t>
  </si>
  <si>
    <t>BRK.B,489.65,-1.22%,-10.74,46.87,16.50,6.60,0.97,Observar,N/A,N/A,N/A,N/A,N/A</t>
  </si>
  <si>
    <t>Preço: 522.61</t>
  </si>
  <si>
    <t>Dist MM20: 6.89%</t>
  </si>
  <si>
    <t>Momentum: 42.84</t>
  </si>
  <si>
    <t>RSI: 65.45</t>
  </si>
  <si>
    <t>ADX: 11.20</t>
  </si>
  <si>
    <t>ATR: 16.61</t>
  </si>
  <si>
    <t>Data: 31/07/2026 04:51:35</t>
  </si>
  <si>
    <t>SPOT,Preço: 522.61,Dist MM20: 6.89%,Momentum: 42.84,RSI: 65.45,ADX: 11.20,ATR: 16.61,RVOL: 1.25,Estado: Observar,Entrada: N/A,Stop: N/A,Take-Profit: N/A,Break-Even: N/A,Qtd: N/A,Data: 31/07/2026 04:51:35</t>
  </si>
  <si>
    <t>Alibaba DE</t>
  </si>
  <si>
    <t>IONQ,Preço: 37.05,Dist MM20: -7.22%,Momentum: -5.00,RSI: 42.23,ADX: 12.48,ATR: 2.21,RVOL: 0.70,Estado: Observar,Entrada: N/A,Stop: N/A,Take-Profit: N/A,Break-Even: N/A,Qtd: N/A,Trailing: 32.63,Data: 16/09/2026 02:47:50</t>
  </si>
  <si>
    <t>STLD</t>
  </si>
  <si>
    <t>Steel Dynamics</t>
  </si>
  <si>
    <t>Amd</t>
  </si>
  <si>
    <t>BBAI,2.94,-11.42%,-0.73,31.79,28.98,0.18,0.56,Forca Consolidada,2.90,2.58,3.38,3.14,156.25</t>
  </si>
  <si>
    <t>STLD,Preço: 233.99,Dist MM20: -1.57%,Momentum: -0.10,RSI: 45.26,ADX: 10.94,ATR: 7.62,RVOL: 0.87,Estado: Aguardar Recuo,Entrada: 230.94,Stop: 223.32,Take-Profit: 240.08,Break-Even: 235.51,Qtd: 3.28,Trailing: 223.32,Data: 23/09/2026 07:02:55</t>
  </si>
  <si>
    <t>J,Preço: 144.91,Dist MM20: -1.37%,Momentum: -5.96,RSI: 51.65,ADX: 30.51,ATR: 3.01,RVOL: 0.71,Estado: Observar,Entrada: N/A,Stop: N/A,Take-Profit: N/A,Break-Even: N/A,Qtd: N/A,Trailing: 138.89,Data: 16/09/2026 03:23:35</t>
  </si>
  <si>
    <t>Preço: 252.50</t>
  </si>
  <si>
    <t>Dist MM20: 6.65%</t>
  </si>
  <si>
    <t>Momentum: 24.08</t>
  </si>
  <si>
    <t>RSI: 58.55</t>
  </si>
  <si>
    <t>ADX: 22.15</t>
  </si>
  <si>
    <t>ATR: 8.01</t>
  </si>
  <si>
    <t>Data: 31/07/2026 04:53:07</t>
  </si>
  <si>
    <t>STLD,Preço: 252.50,Dist MM20: 6.65%,Momentum: 24.08,RSI: 58.55,ADX: 22.15,ATR: 8.01,RVOL: 0.75,Estado: Aguardar Recuo,Entrada: 249.30,Stop: 241.29,Take-Profit: 265.32,Break-Even: 257.31,Qtd: 6.24,Data: 31/07/2026 04:53:07</t>
  </si>
  <si>
    <t>SWKS</t>
  </si>
  <si>
    <t>Skyworks Solutions</t>
  </si>
  <si>
    <t>R1 UP</t>
  </si>
  <si>
    <t>KMB,Preço: 98.67,Dist MM20: -6.96%,Momentum: -12.34,RSI: 30.95,ADX: 22.04,ATR: 2.03,RVOL: 1.53,Estado: Observar,Entrada: N/A,Stop: N/A,Take-Profit: N/A,Break-Even: N/A,Qtd: N/A,Trailing: 94.61,Data: 16/09/2026 02:48:03</t>
  </si>
  <si>
    <t>SWKS,Preço: 89.96,Dist MM20: 15.70%,Momentum: 22.55,RSI: 65.68,ADX: 32.86,ATR: 5.57,RVOL: 0.54,Estado: Observar,Entrada: N/A,Stop: N/A,Take-Profit: N/A,Break-Even: N/A,Qtd: N/A,Trailing: 78.82,Data: 23/09/2026 07:02:54</t>
  </si>
  <si>
    <t>Preço: 62.48</t>
  </si>
  <si>
    <t>Dist MM20: 3.21%</t>
  </si>
  <si>
    <t>Momentum: 2.10</t>
  </si>
  <si>
    <t>RSI: 48.16</t>
  </si>
  <si>
    <t>ADX: 16.44</t>
  </si>
  <si>
    <t>ATR: 2.80</t>
  </si>
  <si>
    <t>Data: 31/07/2026 04:23:39</t>
  </si>
  <si>
    <t>SWKS,Preço: 62.48,Dist MM20: 3.21%,Momentum: 2.10,RSI: 48.16,ADX: 16.44,ATR: 2.80,RVOL: 1.40,Estado: Aguardar Recuo,Entrada: 61.36,Stop: 58.56,Take-Profit: 66.96,Break-Even: 64.16,Qtd: 17.86,Data: 31/07/2026 04:23:39</t>
  </si>
  <si>
    <t>KO,Preço: 88.71,Dist MM20: -0.61%,Momentum: -2.93,RSI: 52.98,ADX: 17.63,ATR: 1.23,RVOL: 0.88,Estado: Observar,Entrada: N/A,Stop: N/A,Take-Profit: N/A,Break-Even: N/A,Qtd: N/A,Trailing: 86.25,Data: 16/09/2026 02:48:03</t>
  </si>
  <si>
    <t>TEAM,Preço: 188.65,Dist MM20: 1.48%,Momentum: 1.62,RSI: 60.46,ADX: 41.66,ATR: 8.13,RVOL: 0.79,Estado: Observar,Entrada: N/A,Stop: N/A,Take-Profit: N/A,Break-Even: N/A,Qtd: N/A,Trailing: 172.39,Data: 23/09/2026 06:59:49</t>
  </si>
  <si>
    <t>Preço: 98.12</t>
  </si>
  <si>
    <t>Dist MM20: 7.64%</t>
  </si>
  <si>
    <t>Momentum: 9.26</t>
  </si>
  <si>
    <t>BA,204.80,-6.45%,-11.67,35.17,12.68,5.75,1.84,Observar,N/A,N/A,N/A,N/A,N/A</t>
  </si>
  <si>
    <t>RSI: 56.41</t>
  </si>
  <si>
    <t>ADX: 17.96</t>
  </si>
  <si>
    <t>ATR: 6.11</t>
  </si>
  <si>
    <t>Data: 31/07/2026 03:53:02</t>
  </si>
  <si>
    <t>BOSS</t>
  </si>
  <si>
    <t>TEAM,Preço: 98.12,Dist MM20: 7.64%,Momentum: 9.26,RSI: 56.41,ADX: 17.96,ATR: 6.11,RVOL: 1.03,Estado: Observar,Entrada: N/A,Stop: N/A,Take-Profit: N/A,Break-Even: N/A,Qtd: N/A,Data: 31/07/2026 03:53:02</t>
  </si>
  <si>
    <t>LAES,Preço: 2.30,Dist MM20: -6.62%,Momentum: -0.24,RSI: 38.15,ADX: 11.51,ATR: 0.09,RVOL: 0.92,Estado: Observar,Entrada: N/A,Stop: N/A,Take-Profit: N/A,Break-Even: N/A,Qtd: N/A,Trailing: 2.12,Data: 16/09/2026 03:23:54</t>
  </si>
  <si>
    <t>Heineken</t>
  </si>
  <si>
    <t>TEM,Preço: 77.19,Dist MM20: 14.67%,Momentum: 14.92,RSI: 66.45,ADX: 32.71,ATR: 4.39,RVOL: 0.87,Estado: Observar,Entrada: N/A,Stop: N/A,Take-Profit: N/A,Break-Even: N/A,Qtd: N/A,Trailing: 68.41,Data: 23/09/2026 07:02:54</t>
  </si>
  <si>
    <t>Preço: 44.29</t>
  </si>
  <si>
    <t>R4 Down</t>
  </si>
  <si>
    <t>Dist MM20: -14.88%</t>
  </si>
  <si>
    <t>Momentum: -13.94</t>
  </si>
  <si>
    <t>RSI: 38.65</t>
  </si>
  <si>
    <t>ADX: 28.17</t>
  </si>
  <si>
    <t>ATR: 2.95</t>
  </si>
  <si>
    <t>RVOL: 1.39</t>
  </si>
  <si>
    <t>Data: 31/07/2026 04:35:12</t>
  </si>
  <si>
    <t>LLY,Preço: 1136.11,Dist MM20: -3.61%,Momentum: -97.55,RSI: 41.98,ADX: 13.42,ATR: 25.45,RVOL: 0.76,Estado: Observar,Entrada: N/A,Stop: N/A,Take-Profit: N/A,Break-Even: N/A,Qtd: N/A,Trailing: 1085.21,Data: 16/09/2026 02:34:51</t>
  </si>
  <si>
    <t>TROW</t>
  </si>
  <si>
    <t>T Rowe Price</t>
  </si>
  <si>
    <t>Intel</t>
  </si>
  <si>
    <t>TROW,Preço: 104.17,Dist MM20: -3.48%,Momentum: -4.81,RSI: 34.19,ADX: 35.85,ATR: 2.04,RVOL: 1.11,Estado: Observar,Entrada: N/A,Stop: N/A,Take-Profit: N/A,Break-Even: N/A,Qtd: N/A,Trailing: 100.09,Data: 23/09/2026 07:01:56</t>
  </si>
  <si>
    <t>Preço: 114.98</t>
  </si>
  <si>
    <t>Dist MM20: -1.59%</t>
  </si>
  <si>
    <t>Momentum: -3.89</t>
  </si>
  <si>
    <t>RSI: 49.52</t>
  </si>
  <si>
    <t>ADX: 17.54</t>
  </si>
  <si>
    <t>ATR: 2.64</t>
  </si>
  <si>
    <t>Trailing: 109.70</t>
  </si>
  <si>
    <t>LMT,Preço: 533.46,Dist MM20: -3.19%,Momentum: -23.06,RSI: 42.04,ADX: 25.64,ATR: 11.49,RVOL: 0.84,Estado: Observar,Entrada: N/A,Stop: N/A,Take-Profit: N/A,Break-Even: N/A,Qtd: N/A,Trailing: 510.48,Data: 16/09/2026 02:35:08</t>
  </si>
  <si>
    <t>TROW,Preço: 114.98,Dist MM20: -1.59%,Momentum: -3.89,RSI: 49.52,ADX: 17.54,ATR: 2.64,RVOL: 0.77,Estado: Observar,Entrada: N/A,Stop: N/A,Take-Profit: N/A,Break-Even: N/A,Qtd: N/A,Trailing: 109.70,Data: 06/08/2026 06:24:05</t>
  </si>
  <si>
    <t>TSLA,Preço: 378.90,Dist MM20: 4.75%,Momentum: 22.81,RSI: 60.08,ADX: 21.62,ATR: 10.69,RVOL: 0.72,Estado: Observar,Entrada: N/A,Stop: N/A,Take-Profit: N/A,Break-Even: N/A,Qtd: N/A,Trailing: 357.52,Data: 23/09/2026 02:52:02</t>
  </si>
  <si>
    <t>Preço: 358.08</t>
  </si>
  <si>
    <t>Dist MM20: 0.05%</t>
  </si>
  <si>
    <t>Momentum: 12.26</t>
  </si>
  <si>
    <t>RSI: 51.11</t>
  </si>
  <si>
    <t>ADX: 20.96</t>
  </si>
  <si>
    <t>ATR: 12.09</t>
  </si>
  <si>
    <t>BYDDY,11.34,8.98%,2.07,59.39,24.02,0.16,0.11,Observar,N/A,N/A,N/A,N/A,N/A</t>
  </si>
  <si>
    <t>Trailing: 333.90</t>
  </si>
  <si>
    <t>17/09/2026 10:39:54</t>
  </si>
  <si>
    <t>TSLA,Preço: 358.08,Dist MM20: 0.05%,Momentum: 12.26,RSI: 51.11,ADX: 20.96,ATR: 12.09,RVOL: 0.81,Estado: Observar,Entrada: N/A,Stop: N/A,Take-Profit: N/A,Break-Even: N/A,Qtd: N/A,Trailing: 333.90,Data: 17/09/2026 10:39:15</t>
  </si>
  <si>
    <t>LOW,Preço: 194.61,Dist MM20: -5.58%,Momentum: -19.99,RSI: 32.78,ADX: 16.94,ATR: 3.74,RVOL: 1.25,Estado: Observar,Entrada: N/A,Stop: N/A,Take-Profit: N/A,Break-Even: N/A,Qtd: N/A,Trailing: 187.13,Data: 16/09/2026 02:47:59</t>
  </si>
  <si>
    <t>Amazon</t>
  </si>
  <si>
    <t>Meta</t>
  </si>
  <si>
    <t>TTD</t>
  </si>
  <si>
    <t>Trade Desk</t>
  </si>
  <si>
    <t>P</t>
  </si>
  <si>
    <t>Netflix EU</t>
  </si>
  <si>
    <t>TTD,Preço: 13.18,Dist MM20: -6.11%,Momentum: -0.60,RSI: 37.17,ADX: 14.34,ATR: 0.66,RVOL: 1.16,Estado: Observar,Entrada: N/A,Stop: N/A,Take-Profit: N/A,Break-Even: N/A,Qtd: N/A,Trailing: 11.86,Data: 23/09/2026 07:03:04</t>
  </si>
  <si>
    <t>Preço: 18.28</t>
  </si>
  <si>
    <t>Mastercard</t>
  </si>
  <si>
    <t>Dist MM20: -2.37%</t>
  </si>
  <si>
    <t>RSI: 46.57</t>
  </si>
  <si>
    <t>ADX: 8.45</t>
  </si>
  <si>
    <t>ATR: 0.82</t>
  </si>
  <si>
    <t>RVOL: 1.13</t>
  </si>
  <si>
    <t>Data: 31/07/2026 04:35:30</t>
  </si>
  <si>
    <t>TTD,Preço: 18.28,Dist MM20: -2.37%,Momentum: -1.25,RSI: 46.57,ADX: 8.45,ATR: 0.82,RVOL: 1.13,Estado: Observar,Entrada: N/A,Stop: N/A,Take-Profit: N/A,Break-Even: N/A,Qtd: N/A,Data: 31/07/2026 04:35:30</t>
  </si>
  <si>
    <t>AI,8.59,-4.83%,-0.50,36.70,18.85,0.47,0.78,Observar,N/A,N/A,N/A,N/A,N/A</t>
  </si>
  <si>
    <t>LTC,Preço: 43.46,Dist MM20: 5.22%,Momentum: 2.77,RSI: 68.78,ADX: 26.33,ATR: 0.81,RVOL: 1.58,Estado: Observar,Entrada: N/A,Stop: N/A,Take-Profit: N/A,Break-Even: N/A,Qtd: N/A,Trailing: 41.84,Data: 16/09/2026 02:48:00</t>
  </si>
  <si>
    <t>Nike</t>
  </si>
  <si>
    <t>TYL,Preço: 331.05,Dist MM20: -6.51%,Momentum: -45.38,RSI: 43.00,ADX: 20.09,ATR: 12.28,RVOL: 0.49,Estado: Observar,Entrada: N/A,Stop: N/A,Take-Profit: N/A,Break-Even: N/A,Qtd: N/A,Trailing: 306.49,Data: 23/09/2026 02:52:19</t>
  </si>
  <si>
    <t>Preço: 323.31</t>
  </si>
  <si>
    <t>Dist MM20: 3.60%</t>
  </si>
  <si>
    <t>Momentum: 13.83</t>
  </si>
  <si>
    <t>RSI: 56.33</t>
  </si>
  <si>
    <t>ATR: 13.27</t>
  </si>
  <si>
    <t>RVOL: 2.08</t>
  </si>
  <si>
    <t>Data: 31/07/2026 02:37:18</t>
  </si>
  <si>
    <t>M4I</t>
  </si>
  <si>
    <t>TYL,Preço: 323.31,Dist MM20: 3.60%,Momentum: 13.83,RSI: 56.33,ADX: 15.49,ATR: 13.27,RVOL: 2.08,Estado: Observar,Entrada: N/A,Stop: N/A,Take-Profit: N/A,Break-Even: N/A,Qtd: N/A,Data: 31/07/2026 02:37:18</t>
  </si>
  <si>
    <t>MasterCard EU</t>
  </si>
  <si>
    <t>CAP,19.50,0.00%,0.00,59.04,19.41,0.00,0.05,Observar,N/A,N/A,N/A,N/A,N/A</t>
  </si>
  <si>
    <t>Volkswagen</t>
  </si>
  <si>
    <t>TZOO,Preço: 5.67,Dist MM20: -7.28%,Momentum: -0.61,RSI: 27.15,ADX: 60.00,ATR: 0.22,RVOL: 0.87,Estado: Observar,Entrada: N/A,Stop: N/A,Take-Profit: N/A,Break-Even: N/A,Qtd: N/A,Trailing: 5.23,Data: 23/09/2026 07:03:04</t>
  </si>
  <si>
    <t>Preço: 7.13</t>
  </si>
  <si>
    <t>Dist MM20: -30.98%</t>
  </si>
  <si>
    <t>Momentum: -3.79</t>
  </si>
  <si>
    <t>M4I,#ERRO_LIMITE_CHAVES,Todas as chaves esgotaram,,,,,,,,,,,,</t>
  </si>
  <si>
    <t>RSI: 20.61</t>
  </si>
  <si>
    <t>ADX: 29.32</t>
  </si>
  <si>
    <t>Hugo Boss</t>
  </si>
  <si>
    <t>ATR: 0.50</t>
  </si>
  <si>
    <t>Palantir EU</t>
  </si>
  <si>
    <t>RVOL: 1.61</t>
  </si>
  <si>
    <t>Data: 31/07/2026 04:38:21</t>
  </si>
  <si>
    <t>TZOO,Preço: 7.13,Dist MM20: -30.98%,Momentum: -3.79,RSI: 20.61,ADX: 29.32,ATR: 0.50,RVOL: 1.61,Estado: Observar,Entrada: N/A,Stop: N/A,Take-Profit: N/A,Break-Even: N/A,Qtd: N/A,Data: 31/07/2026 04:38:21</t>
  </si>
  <si>
    <t>CELH,28.02,-6.89%,-1.26,39.20,14.30,1.47,1.51,Observar,N/A,N/A,N/A,N/A,N/A</t>
  </si>
  <si>
    <t>MA,Preço: 573.27,Dist MM20: -1.43%,Momentum: -26.10,RSI: 49.94,ADX: 23.36,ATR: 7.54,RVOL: 0.81,Estado: Observar,Entrada: N/A,Stop: N/A,Take-Profit: N/A,Break-Even: N/A,Qtd: N/A,Trailing: 558.19,Data: 16/09/2026 02:35:25</t>
  </si>
  <si>
    <t>Hannover Rueck</t>
  </si>
  <si>
    <t>U,Preço: 43.11,Dist MM20: 1.06%,Momentum: 2.19,RSI: 55.42,ADX: 28.21,ATR: 1.68,RVOL: 0.52,Estado: Observar,Entrada: N/A,Stop: N/A,Take-Profit: N/A,Break-Even: N/A,Qtd: N/A,Trailing: 39.75,Data: 23/09/2026 06:45:51</t>
  </si>
  <si>
    <t>Preço: 33.34</t>
  </si>
  <si>
    <t>Dist MM20: 9.90%</t>
  </si>
  <si>
    <t>Momentum: 2.45</t>
  </si>
  <si>
    <t>RSI: 67.17</t>
  </si>
  <si>
    <t>ADX: 19.95</t>
  </si>
  <si>
    <t>Puma</t>
  </si>
  <si>
    <t>ATR: 1.58</t>
  </si>
  <si>
    <t>Salesforce</t>
  </si>
  <si>
    <t>Data: 31/07/2026 04:35:47</t>
  </si>
  <si>
    <t>U,Preço: 33.34,Dist MM20: 9.90%,Momentum: 2.45,RSI: 67.17,ADX: 19.95,ATR: 1.58,RVOL: 1.06,Estado: Aguardar Recuo,Entrada: 32.71,Stop: 31.13,Take-Profit: 35.87,Break-Even: 34.29,Qtd: 31.65,Data: 31/07/2026 04:35:47</t>
  </si>
  <si>
    <t>MAIN,Preço: 56.54,Dist MM20: -2.02%,Momentum: -2.00,RSI: 45.53,ADX: 26.49,ATR: 0.81,RVOL: 0.98,Estado: Observar,Entrada: N/A,Stop: N/A,Take-Profit: N/A,Break-Even: N/A,Qtd: N/A,Trailing: 54.92,Data: 16/09/2026 03:24:33</t>
  </si>
  <si>
    <t>Inditex</t>
  </si>
  <si>
    <t>Shell</t>
  </si>
  <si>
    <t>Uber USA</t>
  </si>
  <si>
    <t>CNA,52.62,4.54%,4.01,68.24,36.73,1.09,0.46,Observar,N/A,N/A,N/A,N/A,N/A</t>
  </si>
  <si>
    <t>BioNtech</t>
  </si>
  <si>
    <t>Siemens</t>
  </si>
  <si>
    <t>S3 Up</t>
  </si>
  <si>
    <t>UBER,Preço: 69.89,Dist MM20: -5.51%,Momentum: -5.35,RSI: 38.13,ADX: 17.15,ATR: 2.00,RVOL: 1.40,Estado: Observar,Entrada: N/A,Stop: N/A,Take-Profit: N/A,Break-Even: N/A,Qtd: N/A,Trailing: 69.17,Data: 23/09/2026 02:52:37</t>
  </si>
  <si>
    <t>Preço: 70.37</t>
  </si>
  <si>
    <t>Dist MM20: -2.17%</t>
  </si>
  <si>
    <t>Momentum: -4.17</t>
  </si>
  <si>
    <t>RSI: 46.89</t>
  </si>
  <si>
    <t>ATR: 2.35</t>
  </si>
  <si>
    <t>Data: 31/07/2026 02:36:23</t>
  </si>
  <si>
    <t>MCHP,Preço: 71.49,Dist MM20: -3.22%,Momentum: -2.01,RSI: 41.38,ADX: 19.60,ATR: 1.99,RVOL: 0.84,Estado: Aguardar Recuo,Entrada: 70.69,Stop: 68.70,Take-Profit: 74.67,Break-Even: 72.68,Qtd: 25.13,Trailing: 68.70,Data: 16/09/2026 02:35:42</t>
  </si>
  <si>
    <t>UBER,Preço: 70.37,Dist MM20: -2.17%,Momentum: -4.17,RSI: 46.89,ADX: 14.33,ATR: 2.35,RVOL: 0.74,Estado: Observar,Entrada: N/A,Stop: N/A,Take-Profit: N/A,Break-Even: N/A,Qtd: N/A,Data: 31/07/2026 02:36:23</t>
  </si>
  <si>
    <t>Tempus</t>
  </si>
  <si>
    <t>Thyssenkrup</t>
  </si>
  <si>
    <t>CSCO,112.18,-2.89%,-5.28,45.36,21.05,3.65,0.62,Aguardar Recuo,110.72,106.71,118.75,114.73,12.45</t>
  </si>
  <si>
    <t>GSK</t>
  </si>
  <si>
    <t>UNH,Preço: 372.95,Dist MM20: -3.97%,Momentum: -23.35,RSI: 34.56,ADX: 31.81,ATR: 9.96,RVOL: 0.90,Estado: Observar,Entrada: N/A,Stop: N/A,Take-Profit: N/A,Break-Even: N/A,Qtd: N/A,Trailing: 353.03,Data: 23/09/2026 02:52:55</t>
  </si>
  <si>
    <t>Preço: 421.47</t>
  </si>
  <si>
    <t>Momentum: -3.15</t>
  </si>
  <si>
    <t>RSI: 51.33</t>
  </si>
  <si>
    <t>ADX: 31.29</t>
  </si>
  <si>
    <t>ATR: 13.55</t>
  </si>
  <si>
    <t>RVOL: 0.51</t>
  </si>
  <si>
    <t>Data: 31/07/2026 02:24:39</t>
  </si>
  <si>
    <t>MDB,Preço: 377.67,Dist MM20: -6.21%,Momentum: -27.25,RSI: 46.76,ADX: 19.58,ATR: 18.25,RVOL: 0.52,Estado: Observar,Entrada: N/A,Stop: N/A,Take-Profit: N/A,Break-Even: N/A,Qtd: N/A,Trailing: 341.17,Data: 16/09/2026 03:24:50</t>
  </si>
  <si>
    <t>Upstart</t>
  </si>
  <si>
    <t>UPS</t>
  </si>
  <si>
    <t>United Parcel Service</t>
  </si>
  <si>
    <t>CLSK,15.38,9.24%,0.83,55.67,16.61,1.19,1.22,Aguardar Recuo,14.90,13.60,17.51,16.21,38.31</t>
  </si>
  <si>
    <t>MED,Preço: 11.99,Dist MM20: -0.75%,Momentum: -0.17,RSI: 51.92,ADX: 29.64,ATR: 0.41,RVOL: 0.65,Estado: Observar,Entrada: N/A,Stop: N/A,Take-Profit: N/A,Break-Even: N/A,Qtd: N/A,Trailing: 11.17,Data: 16/09/2026 03:25:07</t>
  </si>
  <si>
    <t>UPS,Preço: 95.87,Dist MM20: -5.59%,Momentum: -6.79,RSI: 34.78,ADX: 28.04,ATR: 1.98,RVOL: 0.91,Estado: Observar,Entrada: N/A,Stop: N/A,Take-Profit: N/A,Break-Even: N/A,Qtd: N/A,Trailing: 91.91,Data: 23/09/2026 07:03:05</t>
  </si>
  <si>
    <t>Preço: 105.14</t>
  </si>
  <si>
    <t>Dist MM20: 0.72%</t>
  </si>
  <si>
    <t>Momentum: -2.56</t>
  </si>
  <si>
    <t>RSI: 48.66</t>
  </si>
  <si>
    <t>Zalando</t>
  </si>
  <si>
    <t>ADX: 24.53</t>
  </si>
  <si>
    <t>Home Depot</t>
  </si>
  <si>
    <t>Natera</t>
  </si>
  <si>
    <t>Hermes</t>
  </si>
  <si>
    <t>Apple</t>
  </si>
  <si>
    <t>Trailing: 102.48</t>
  </si>
  <si>
    <t>26/08/2026 06:54:53</t>
  </si>
  <si>
    <t>Pay Pal</t>
  </si>
  <si>
    <t>UPS,Preço: 105.14,Dist MM20: 0.72%,Momentum: -2.56,RSI: 48.66,ADX: 24.53,ATR: 1.90,RVOL: 1.45,Estado: Aguardar Recuo,Entrada: 104.38,Stop: 102.48,Take-Profit: 108.18,Break-Even: 106.28,Qtd: 26.32,Trailing: 102.48,Data: 26/08/2026 06:53:58</t>
  </si>
  <si>
    <t>UPST</t>
  </si>
  <si>
    <t>MERC,Preço: 0.39,Dist MM20: -3.21%,Momentum: -0.04,RSI: 35.07,ADX: 19.32,ATR: 0.05,RVOL: 0.06,Estado: Observar,Entrada: N/A,Stop: N/A,Take-Profit: N/A,Break-Even: N/A,Qtd: N/A,Trailing: 0.29,Data: 16/09/2026 03:37:13</t>
  </si>
  <si>
    <t>NET,272.31,5.89%,27.03,60.93,23.37,13.47,1.01,Observar,N/A,N/A,N/A,N/A,N/A</t>
  </si>
  <si>
    <t>UPST,Preço: 25.97,Dist MM20: -4.26%,Momentum: -1.42,RSI: 42.49,ADX: 17.20,ATR: 0.92,RVOL: 1.01,Estado: Aguardar Recuo,Entrada: 25.60,Stop: 24.68,Take-Profit: 26.70,Break-Even: 26.15,Qtd: 27.17,Trailing: 24.68,Data: 23/09/2026 02:53:13</t>
  </si>
  <si>
    <t>Preço: 27.04</t>
  </si>
  <si>
    <t>Momentum: -5.70</t>
  </si>
  <si>
    <t>RSI: 35.93</t>
  </si>
  <si>
    <t>ADX: 16.95</t>
  </si>
  <si>
    <t>ATR: 1.39</t>
  </si>
  <si>
    <t>Data: 31/07/2026 04:36:04</t>
  </si>
  <si>
    <t>UPST,Preço: 27.04,Dist MM20: -10.66%,Momentum: -5.70,RSI: 35.93,ADX: 16.95,ATR: 1.39,RVOL: 1.10,Estado: Aguardar Recuo,Entrada: 26.48,Stop: 25.09,Take-Profit: 29.26,Break-Even: 27.87,Qtd: 35.97,Data: 31/07/2026 04:36:04</t>
  </si>
  <si>
    <t>CNXC,23.79,0.39%,1.38,47.90,15.63,1.70,0.44,Observar,N/A,N/A,N/A,N/A,N/A</t>
  </si>
  <si>
    <t>META,Preço: 670.24,Dist MM20: 12.59%,Momentum: 100.19,RSI: 71.65,ADX: 22.07,ATR: 19.66,RVOL: 1.01,Estado: Aguardar Recuo,Entrada: 662.38,Stop: 642.72,Take-Profit: 701.70,Break-Even: 682.04,Qtd: 2.54,Trailing: 642.72,Data: 16/09/2026 02:35:59</t>
  </si>
  <si>
    <t>CON</t>
  </si>
  <si>
    <t>V,Preço: 362.04,Dist MM20: -3.19%,Momentum: -10.63,RSI: 40.82,ADX: 14.24,ATR: 5.26,RVOL: 1.39,Estado: Observar,Entrada: N/A,Stop: N/A,Take-Profit: N/A,Break-Even: N/A,Qtd: N/A,Trailing: 351.52,Data: 23/09/2026 06:47:31</t>
  </si>
  <si>
    <t>Preço: 366.13</t>
  </si>
  <si>
    <t>Dist MM20: 2.35%</t>
  </si>
  <si>
    <t>Momentum: 8.38</t>
  </si>
  <si>
    <t>RSI: 63.33</t>
  </si>
  <si>
    <t>ADX: 30.58</t>
  </si>
  <si>
    <t>ATR: 7.37</t>
  </si>
  <si>
    <t>Trailing: 351.39</t>
  </si>
  <si>
    <t>V,Preço: 366.13,Dist MM20: 2.35%,Momentum: 8.38,RSI: 63.33,ADX: 30.58,ATR: 7.37,RVOL: 1.01,Estado: Observar,Entrada: N/A,Stop: N/A,Take-Profit: N/A,Break-Even: N/A,Qtd: N/A,Trailing: 351.39,Data: 01/08/2026 07:59:05</t>
  </si>
  <si>
    <t>CON,31.78,3.04%,2.03,68.47,46.79,0.76,0.59,Forca Consolidada,31.63,30.26,33.68,32.66,36.50</t>
  </si>
  <si>
    <t>VLO</t>
  </si>
  <si>
    <t>Valero Energy</t>
  </si>
  <si>
    <t>MNDY,Preço: 94.05,Dist MM20: 1.74%,Momentum: 0.82,RSI: 53.89,ADX: 14.73,ATR: 4.79,RVOL: 0.96,Estado: Observar,Entrada: N/A,Stop: N/A,Take-Profit: N/A,Break-Even: N/A,Qtd: N/A,Trailing: 84.47,Data: 16/09/2026 02:47:54</t>
  </si>
  <si>
    <t>VLO,Preço: 377.14,Dist MM20: -0.00%,Momentum: 15.15,RSI: 53.67,ADX: 38.54,ATR: 15.33,RVOL: 2.12,Estado: Observar,Entrada: N/A,Stop: N/A,Take-Profit: N/A,Break-Even: N/A,Qtd: N/A,Trailing: 346.48,Data: 23/09/2026 07:03:10</t>
  </si>
  <si>
    <t>Preço: 403.28</t>
  </si>
  <si>
    <t>Dist MM20: 10.05%</t>
  </si>
  <si>
    <t>Momentum: 55.25</t>
  </si>
  <si>
    <t>RSI: 77.50</t>
  </si>
  <si>
    <t>ADX: 41.42</t>
  </si>
  <si>
    <t>ATR: 12.60</t>
  </si>
  <si>
    <t>RVOL: 1.29</t>
  </si>
  <si>
    <t>Trailing: 378.08</t>
  </si>
  <si>
    <t>VLO,Preço: 403.28,Dist MM20: 10.05%,Momentum: 55.25,RSI: 77.50,ADX: 41.42,ATR: 12.60,RVOL: 1.29,Estado: Observar,Entrada: N/A,Stop: N/A,Take-Profit: N/A,Break-Even: N/A,Qtd: N/A,Trailing: 378.08,Data: 17/09/2026 03:51:58</t>
  </si>
  <si>
    <t>DTG,16.77,-0.80%,-0.25,41.36,17.61,0.13,0.32,Observar,N/A,N/A,N/A,N/A,N/A</t>
  </si>
  <si>
    <t>VRSK,Preço: 171.94,Dist MM20: -6.10%,Momentum: -22.41,RSI: 38.43,ADX: 14.21,ATR: 5.62,RVOL: 0.79,Estado: Observar,Entrada: N/A,Stop: N/A,Take-Profit: N/A,Break-Even: N/A,Qtd: N/A,Trailing: 160.70,Data: 23/09/2026 02:53:30</t>
  </si>
  <si>
    <t>MRNA,Preço: 143.77,Dist MM20: 1.58%,Momentum: -15.06,RSI: 60.45,ADX: 52.76,ATR: 9.82,RVOL: 0.24,Estado: Observar,Entrada: N/A,Stop: N/A,Take-Profit: N/A,Break-Even: N/A,Qtd: N/A,Trailing: 124.13,Data: 16/09/2026 02:36:16</t>
  </si>
  <si>
    <t>Preço: 200.35</t>
  </si>
  <si>
    <t>Dist MM20: 2.09%</t>
  </si>
  <si>
    <t>Momentum: 14.96</t>
  </si>
  <si>
    <t>RSI: 55.48</t>
  </si>
  <si>
    <t>ADX: 32.03</t>
  </si>
  <si>
    <t>ATR: 7.43</t>
  </si>
  <si>
    <t>Data: 31/07/2026 02:37:00</t>
  </si>
  <si>
    <t>VRSK,Preço: 200.35,Dist MM20: 2.09%,Momentum: 14.96,RSI: 55.48,ADX: 32.03,ATR: 7.43,RVOL: 1.18,Estado: Observar,Entrada: N/A,Stop: N/A,Take-Profit: N/A,Break-Even: N/A,Qtd: N/A,Data: 31/07/2026 02:37:00</t>
  </si>
  <si>
    <t>21/07/2026 23:54:53</t>
  </si>
  <si>
    <t>DBX,29.42,2.84%,1.95,57.16,16.74,0.90,1.02,Observar,N/A,N/A,N/A,N/A,N/A</t>
  </si>
  <si>
    <t>VZ,Preço: 46.45,Dist MM20: -6.64%,Momentum: -3.85,RSI: 33.97,ADX: 21.40,ATR: 1.01,RVOL: 1.52,Estado: Observar,Entrada: N/A,Stop: N/A,Take-Profit: N/A,Break-Even: N/A,Qtd: N/A,Trailing: 44.43,Data: 23/09/2026 06:47:30</t>
  </si>
  <si>
    <t>Preço: 46.11</t>
  </si>
  <si>
    <t>Dist MM20: 4.78%</t>
  </si>
  <si>
    <t>RSI: 55.81</t>
  </si>
  <si>
    <t>MRVL,Preço: 221.70,Dist MM20: -2.32%,Momentum: -18.68,RSI: 49.40,ADX: 14.35,ATR: 10.57,RVOL: 0.53,Estado: Aguardar Recuo,Entrada: 217.47,Stop: 206.90,Take-Profit: 238.61,Break-Even: 228.04,Qtd: 4.73,Trailing: 206.90,Data: 16/09/2026 02:36:32</t>
  </si>
  <si>
    <t>ADX: 25.35</t>
  </si>
  <si>
    <t>RVOL: 0.56</t>
  </si>
  <si>
    <t>Data: 31/07/2026 04:50:21</t>
  </si>
  <si>
    <t>VZ,Preço: 46.11,Dist MM20: 4.78%,Momentum: 3.99,RSI: 55.81,ADX: 25.35,ATR: 1.28,RVOL: 0.56,Estado: Observar,Entrada: N/A,Stop: N/A,Take-Profit: N/A,Break-Even: N/A,Qtd: N/A,Data: 31/07/2026 04:50:21</t>
  </si>
  <si>
    <t>BROS,66.13,-2.39%,-5.68,51.44,21.46,3.07,0.58,Observar,N/A,N/A,N/A,N/A,N/A</t>
  </si>
  <si>
    <t>WMT</t>
  </si>
  <si>
    <t>Walmart US</t>
  </si>
  <si>
    <t>WMT,Preço: 110.12,Dist MM20: 3.48%,Momentum: 4.20,RSI: 56.47,ADX: 11.44,ATR: 1.72,RVOL: 0.82,Estado: Aguardar Recuo,Entrada: 109.43,Stop: 107.71,Take-Profit: 111.49,Break-Even: 110.46,Qtd: 14.53,Trailing: 107.71,Data: 23/09/2026 02:53:47</t>
  </si>
  <si>
    <t>Preço: 111.10</t>
  </si>
  <si>
    <t>Momentum: -2.80</t>
  </si>
  <si>
    <t>RSI: 44.14</t>
  </si>
  <si>
    <t>ADX: 18.13</t>
  </si>
  <si>
    <t>Data: 31/07/2026 02:34:29</t>
  </si>
  <si>
    <t>MSFT,Preço: 497.12,Dist MM20: 0.27%,Momentum: 5.41,RSI: 55.85,ADX: 34.24,ATR: 9.78,RVOL: 0.86,Estado: Observar,Entrada: N/A,Stop: N/A,Take-Profit: N/A,Break-Even: N/A,Qtd: N/A,Trailing: 477.56,Data: 16/09/2026 02:36:49</t>
  </si>
  <si>
    <t>EBAY,113.04,0.41%,1.29,52.58,14.62,2.84,1.20,Observar,N/A,N/A,N/A,N/A,N/A</t>
  </si>
  <si>
    <t>WMT,Preço: 111.10,Dist MM20: -0.95%,Momentum: -2.80,RSI: 44.14,ADX: 18.13,ATR: 2.32,RVOL: 1.26,Estado: Observar,Entrada: N/A,Stop: N/A,Take-Profit: N/A,Break-Even: N/A,Qtd: N/A,Data: 31/07/2026 02:34:29</t>
  </si>
  <si>
    <t>Eli Lilly and Co EU</t>
  </si>
  <si>
    <t>ExxonMobil</t>
  </si>
  <si>
    <t>XOM,Preço: 158.71,Dist MM20: -2.06%,Momentum: -5.84,RSI: 45.34,ADX: 17.90,ATR: 3.53,RVOL: 0.94,Estado: Observar,Entrada: N/A,Stop: N/A,Take-Profit: N/A,Break-Even: N/A,Qtd: N/A,Trailing: 151.65,Data: 23/09/2026 07:03:12</t>
  </si>
  <si>
    <t>Preço: 163.32</t>
  </si>
  <si>
    <t>Momentum: 5.13</t>
  </si>
  <si>
    <t>MU,Preço: 927.60,Dist MM20: -2.99%,Momentum: -5.37,RSI: 46.91,ADX: 9.87,ATR: 36.96,RVOL: 0.80,Estado: Aguardar Recuo,Entrada: 912.82,Stop: 875.86,Take-Profit: 986.74,Break-Even: 949.78,Qtd: 1.35,Trailing: 875.86,Data: 16/09/2026 03:37:31</t>
  </si>
  <si>
    <t>RSI: 53.23</t>
  </si>
  <si>
    <t>ADX: 20.76</t>
  </si>
  <si>
    <t>LLY,1175.41,-0.45%,-24.02,53.52,21.45,35.75,0.48,Aguardar Recuo,1161.11,1121.79,1239.76,1200.43,1.27</t>
  </si>
  <si>
    <t>ATR: 3.33</t>
  </si>
  <si>
    <t>Trailing: 158.65</t>
  </si>
  <si>
    <t>ZM</t>
  </si>
  <si>
    <t>Zoom Communications</t>
  </si>
  <si>
    <t>ZM,Preço: 90.95,Dist MM20: -4.62%,Momentum: -3.95,RSI: 40.08,ADX: 17.15,ATR: 2.88,RVOL: 1.00,Estado: Observar,Entrada: N/A,Stop: N/A,Take-Profit: N/A,Break-Even: N/A,Qtd: N/A,Trailing: 85.19,Data: 23/09/2026 07:03:12</t>
  </si>
  <si>
    <t>NET,Preço: 327.23,Dist MM20: 10.61%,Momentum: 49.65,RSI: 61.00,ADX: 17.69,ATR: 15.94,RVOL: 0.98,Estado: Observar,Entrada: N/A,Stop: N/A,Take-Profit: N/A,Break-Even: N/A,Qtd: N/A,Trailing: 295.35,Data: 16/09/2026 02:37:06</t>
  </si>
  <si>
    <t>Preço: 92.32</t>
  </si>
  <si>
    <t>Dist MM20: 3.12%</t>
  </si>
  <si>
    <t>Momentum: 2.56</t>
  </si>
  <si>
    <t>RSI: 54.26</t>
  </si>
  <si>
    <t>ADX: 11.19</t>
  </si>
  <si>
    <t>Data: 31/07/2026 04:52:11</t>
  </si>
  <si>
    <t>ZM,Preço: 92.32,Dist MM20: 3.12%,Momentum: 2.56,RSI: 54.26,ADX: 11.19,ATR: 2.82,RVOL: 0.77,Estado: Observar,Entrada: N/A,Stop: N/A,Take-Profit: N/A,Break-Even: N/A,Qtd: N/A,Data: 31/07/2026 04:52:11</t>
  </si>
  <si>
    <t>JPM</t>
  </si>
  <si>
    <t>JPMorgan</t>
  </si>
  <si>
    <t>NFLX,Preço: 77.90,Dist MM20: -2.19%,Momentum: -4.33,RSI: 49.25,ADX: 17.52,ATR: 2.01,RVOL: 1.01,Estado: Observar,Entrada: N/A,Stop: N/A,Take-Profit: N/A,Break-Even: N/A,Qtd: N/A,Trailing: 73.88,Data: 16/09/2026 02:37:23</t>
  </si>
  <si>
    <t>JPM,Preço: 340.00,Dist MM20: -3.87%,Momentum: -14.95,RSI: 35.36,ADX: 15.03,ATR: 7.54,RVOL: 1.58,Estado: Observar,Entrada: N/A,Stop: N/A,Take-Profit: N/A,Break-Even: N/A,Qtd: N/A,Trailing: 324.92,Data: 23/09/2026 06:47:24</t>
  </si>
  <si>
    <t>Preço: 349.31</t>
  </si>
  <si>
    <t>Dist MM20: -1.48%</t>
  </si>
  <si>
    <t>Momentum: -4.91</t>
  </si>
  <si>
    <t>RSI: 43.87</t>
  </si>
  <si>
    <t>ADX: 13.53</t>
  </si>
  <si>
    <t>ATR: 6.78</t>
  </si>
  <si>
    <t>ENVX,4.83,-10.58%,-1.25,37.94,26.70,0.38,0.68,Forca Consolidada,4.75,4.07,5.78,5.27,72.99</t>
  </si>
  <si>
    <t>Trailing: 339.82</t>
  </si>
  <si>
    <t>18/09/2026 03:09:54</t>
  </si>
  <si>
    <t>JPM,Preço: 349.31,Dist MM20: -1.48%,Momentum: -4.91,RSI: 43.87,ADX: 13.53,ATR: 6.78,RVOL: 1.02,Estado: Aguardar Recuo,Entrada: 346.60,Stop: 339.82,Take-Profit: 360.16,Break-Even: 353.38,Qtd: 7.37,Trailing: 339.82,Data: 18/09/2026 02:57:05</t>
  </si>
  <si>
    <t>NKE,Preço: 36.22,Dist MM20: -6.37%,Momentum: -3.26,RSI: 32.64,ADX: 26.54,ATR: 0.80,RVOL: 1.03,Estado: Observar,Entrada: N/A,Stop: N/A,Take-Profit: N/A,Break-Even: N/A,Qtd: N/A,Trailing: 34.62,Data: 16/09/2026 02:37:39</t>
  </si>
  <si>
    <t>GS</t>
  </si>
  <si>
    <t>Goldman Sachs</t>
  </si>
  <si>
    <t>GS,Preço: 949.49,Dist MM20: -5.54%,Momentum: -53.07,RSI: 36.65,ADX: 21.62,ATR: 26.46,RVOL: 1.00,Estado: Observar,Entrada: N/A,Stop: N/A,Take-Profit: N/A,Break-Even: N/A,Qtd: N/A,Trailing: 896.57,Data: 23/09/2026 06:47:26</t>
  </si>
  <si>
    <t>Preço: 951.47</t>
  </si>
  <si>
    <t>Dist MM20: -6.40%</t>
  </si>
  <si>
    <t>Momentum: -89.40</t>
  </si>
  <si>
    <t>21/07/2026 23:09:53</t>
  </si>
  <si>
    <t>RSI: 34.63</t>
  </si>
  <si>
    <t>EL,82.37,0.17%,3.42,48.56,8.94,2.72,0.48,Observar,N/A,N/A,N/A,N/A,N/A</t>
  </si>
  <si>
    <t>ADX: 16.80</t>
  </si>
  <si>
    <t>ATR: 26.30</t>
  </si>
  <si>
    <t>RVOL: 1.66</t>
  </si>
  <si>
    <t>Trailing: 914.65</t>
  </si>
  <si>
    <t>GS,Preço: 951.47,Dist MM20: -6.40%,Momentum: -89.40,RSI: 34.63,ADX: 16.80,ATR: 26.30,RVOL: 1.66,Estado: Aguardar Recuo,Entrada: 940.95,Stop: 914.65,Take-Profit: 993.55,Break-Even: 967.25,Qtd: 1.90,Trailing: 914.65,Data: 18/09/2026 02:58:27</t>
  </si>
  <si>
    <t>NOV,Preço: 20.97,Dist MM20: 0.30%,Momentum: 1.03,RSI: 52.05,ADX: 17.28,ATR: 0.66,RVOL: 0.97,Estado: Aguardar Recuo,Entrada: 20.71,Stop: 20.05,Take-Profit: 22.03,Break-Even: 21.37,Qtd: 75.76,Trailing: 20.05,Data: 16/09/2026 03:37:49</t>
  </si>
  <si>
    <t>RTX</t>
  </si>
  <si>
    <t>RTX,Preço: 190.99,Dist MM20: -4.87%,Momentum: -14.17,RSI: 27.54,ADX: 34.03,ATR: 3.75,RVOL: 1.18,Estado: Observar,Entrada: N/A,Stop: N/A,Take-Profit: N/A,Break-Even: N/A,Qtd: N/A,Trailing: 183.49,Data: 23/09/2026 06:47:26</t>
  </si>
  <si>
    <t>Preço: 193.54</t>
  </si>
  <si>
    <t>Dist MM20: -4.83%</t>
  </si>
  <si>
    <t>Momentum: -18.54</t>
  </si>
  <si>
    <t>RSI: 29.42</t>
  </si>
  <si>
    <t>NOW,Preço: 141.90,Dist MM20: 5.24%,Momentum: 14.90,RSI: 59.94,ADX: 23.69,ATR: 6.02,RVOL: 0.88,Estado: Observar,Entrada: N/A,Stop: N/A,Take-Profit: N/A,Break-Even: N/A,Qtd: N/A,Trailing: 129.86,Data: 16/09/2026 02:37:56</t>
  </si>
  <si>
    <t>ADX: 31.18</t>
  </si>
  <si>
    <t>Trailing: 185.96</t>
  </si>
  <si>
    <t>RTX,Preço: 193.54,Dist MM20: -4.83%,Momentum: -18.54,RSI: 29.42,ADX: 31.18,ATR: 3.79,RVOL: 0.94,Estado: Observar,Entrada: N/A,Stop: N/A,Take-Profit: N/A,Break-Even: N/A,Qtd: N/A,Trailing: 185.96,Data: 18/09/2026 03:02:14</t>
  </si>
  <si>
    <t>TSM</t>
  </si>
  <si>
    <t>Taiwan Semiconductor</t>
  </si>
  <si>
    <t>NUE,Preço: 258.82,Dist MM20: 1.97%,Momentum: 11.27,RSI: 52.77,ADX: 15.21,ATR: 6.75,RVOL: 0.63,Estado: Aguardar Recuo,Entrada: 256.12,Stop: 249.37,Take-Profit: 269.62,Break-Even: 262.87,Qtd: 7.41,Trailing: 249.37,Data: 16/09/2026 03:38:07</t>
  </si>
  <si>
    <t>TSM,Preço: 452.00,Dist MM20: 6.13%,Momentum: 38.00,RSI: 64.27,ADX: 11.17,ATR: 8.23,RVOL: 1.14,Estado: Aguardar Recuo,Entrada: 448.71,Stop: 440.48,Take-Profit: 458.59,Break-Even: 453.65,Qtd: 3.04,Trailing: 440.48,Data: 23/09/2026 06:46:29</t>
  </si>
  <si>
    <t>GRMN,236.65,-1.95%,-0.89,44.61,15.14,5.98,1.01,Observar,N/A,N/A,N/A,N/A,N/A</t>
  </si>
  <si>
    <t>Preço: 430.26</t>
  </si>
  <si>
    <t>Dist MM20: 2.06%</t>
  </si>
  <si>
    <t>Momentum: 2.96</t>
  </si>
  <si>
    <t>RSI: 54.76</t>
  </si>
  <si>
    <t>HEIA</t>
  </si>
  <si>
    <t>ADX: 8.81</t>
  </si>
  <si>
    <t>ATR: 8.33</t>
  </si>
  <si>
    <t>Trailing: 418.60</t>
  </si>
  <si>
    <t>TSM,Preço: 430.26,Dist MM20: 2.06%,Momentum: 2.96,RSI: 54.76,ADX: 8.81,ATR: 8.33,RVOL: 1.28,Estado: Aguardar Recuo,Entrada: 426.93,Stop: 418.60,Take-Profit: 443.59,Break-Even: 435.26,Qtd: 6.00,Trailing: 418.60,Data: 18/09/2026 03:02:08</t>
  </si>
  <si>
    <t>FCX</t>
  </si>
  <si>
    <t>Freeport-McMoRan</t>
  </si>
  <si>
    <t>NVD,Preço: 4.22,Dist MM20: 4.15%,Momentum: -0.14,RSI: 52.20,ADX: 17.66,ATR: 0.21,RVOL: 0.93,Estado: Observar,Entrada: N/A,Stop: N/A,Take-Profit: N/A,Break-Even: N/A,Qtd: N/A,Trailing: 3.80,Data: 16/09/2026 03:38:25</t>
  </si>
  <si>
    <t>FCX,Preço: 74.35,Dist MM20: 0.94%,Momentum: 1.88,RSI: 56.97,ADX: 15.55,ATR: 2.39,RVOL: 0.65,Estado: Aguardar Recuo,Entrada: 73.39,Stop: 71.00,Take-Profit: 76.26,Break-Even: 74.83,Qtd: 10.46,Trailing: 71.00,Data: 23/09/2026 07:03:39</t>
  </si>
  <si>
    <t>Preço: 70.85</t>
  </si>
  <si>
    <t>Dist MM20: -4.31%</t>
  </si>
  <si>
    <t>Momentum: -7.57</t>
  </si>
  <si>
    <t>RSI: 48.73</t>
  </si>
  <si>
    <t>ADX: 17.85</t>
  </si>
  <si>
    <t>ATR: 2.51</t>
  </si>
  <si>
    <t>Trailing: 67.34</t>
  </si>
  <si>
    <t>NVDA,Preço: 212.17,Dist MM20: -3.03%,Momentum: -0.88,RSI: 45.07,ADX: 15.05,ATR: 5.92,RVOL: 0.65,Estado: Aguardar Recuo,Entrada: 209.80,Stop: 203.88,Take-Profit: 221.64,Break-Even: 215.72,Qtd: 8.45,Trailing: 203.88,Data: 16/09/2026 02:38:13</t>
  </si>
  <si>
    <t>FCX,Preço: 70.85,Dist MM20: -4.31%,Momentum: -7.57,RSI: 48.73,ADX: 17.85,ATR: 2.51,RVOL: 0.80,Estado: Aguardar Recuo,Entrada: 69.85,Stop: 67.34,Take-Profit: 74.87,Break-Even: 72.36,Qtd: 19.92,Trailing: 67.34,Data: 18/09/2026 03:03:08</t>
  </si>
  <si>
    <t>CAT</t>
  </si>
  <si>
    <t>Caterpillar</t>
  </si>
  <si>
    <t>CAT,Preço: 808.01,Dist MM20: 0.52%,Momentum: 28.85,RSI: 47.63,ADX: 9.49,ATR: 17.24,RVOL: 0.88,Estado: Observar,Entrada: N/A,Stop: N/A,Take-Profit: N/A,Break-Even: N/A,Qtd: N/A,Trailing: 773.53,Data: 23/09/2026 06:46:24</t>
  </si>
  <si>
    <t>NVO,Preço: 42.53,Dist MM20: -6.92%,Momentum: -6.13,RSI: 35.39,ADX: 14.09,ATR: 0.86,RVOL: 0.86,Estado: Observar,Entrada: N/A,Stop: N/A,Take-Profit: N/A,Break-Even: N/A,Qtd: N/A,Trailing: 40.81,Data: 16/09/2026 03:38:43</t>
  </si>
  <si>
    <t>Preço: 798.57</t>
  </si>
  <si>
    <t>Dist MM20: -0.79%</t>
  </si>
  <si>
    <t>Momentum: -18.43</t>
  </si>
  <si>
    <t>RSI: 44.60</t>
  </si>
  <si>
    <t>ADX: 10.53</t>
  </si>
  <si>
    <t>ATR: 17.90</t>
  </si>
  <si>
    <t>Trailing: 773.51</t>
  </si>
  <si>
    <t>CAT,Preço: 798.57,Dist MM20: -0.79%,Momentum: -18.43,RSI: 44.60,ADX: 10.53,ATR: 17.90,RVOL: 1.03,Estado: Aguardar Recuo,Entrada: 791.41,Stop: 773.51,Take-Profit: 827.21,Break-Even: 809.31,Qtd: 2.79,Trailing: 773.51,Data: 18/09/2026 03:03:26</t>
  </si>
  <si>
    <t>JNJ</t>
  </si>
  <si>
    <t>Johnson &amp; Johnson</t>
  </si>
  <si>
    <t>NVVE,Preço: 1.61,Dist MM20: 27.63%,Momentum: 0.33,RSI: 50.87,ADX: 30.41,ATR: 0.13,RVOL: 0.95,Estado: Observar,Entrada: N/A,Stop: N/A,Take-Profit: N/A,Break-Even: N/A,Qtd: N/A,Trailing: 1.35,Data: 16/09/2026 03:39:01</t>
  </si>
  <si>
    <t>JNJ,Preço: 269.19,Dist MM20: -0.13%,Momentum: -2.00,RSI: 53.18,ADX: 15.91,ATR: 4.91,RVOL: 0.88,Estado: Observar,Entrada: N/A,Stop: N/A,Take-Profit: N/A,Break-Even: N/A,Qtd: N/A,Trailing: 259.37,Data: 23/09/2026 07:03:41</t>
  </si>
  <si>
    <t>Preço: 270.22</t>
  </si>
  <si>
    <t>Dist MM20: 0.22%</t>
  </si>
  <si>
    <t>Momentum: 4.45</t>
  </si>
  <si>
    <t>RSI: 55.02</t>
  </si>
  <si>
    <t>ADX: 17.33</t>
  </si>
  <si>
    <t>ATR: 4.64</t>
  </si>
  <si>
    <t>Trailing: 263.72</t>
  </si>
  <si>
    <t>JNJ,Preço: 270.22,Dist MM20: 0.22%,Momentum: 4.45,RSI: 55.02,ADX: 17.33,ATR: 4.64,RVOL: 1.06,Estado: Aguardar Recuo,Entrada: 268.36,Stop: 263.72,Take-Profit: 277.64,Break-Even: 273.00,Qtd: 10.78,Trailing: 263.72,Data: 18/09/2026 03:04:57</t>
  </si>
  <si>
    <t>SNDK</t>
  </si>
  <si>
    <t>Sandisk</t>
  </si>
  <si>
    <t>O,Preço: 58.71,Dist MM20: -4.40%,Momentum: -4.12,RSI: 24.38,ADX: 19.84,ATR: 0.77,RVOL: 1.24,Estado: Observar,Entrada: N/A,Stop: N/A,Take-Profit: N/A,Break-Even: N/A,Qtd: N/A,Trailing: 57.17,Data: 16/09/2026 03:39:19</t>
  </si>
  <si>
    <t>SNDK,Preço: 1887.04,Dist MM20: 16.51%,Momentum: 350.17,RSI: 64.69,ADX: 15.01,ATR: 93.92,RVOL: 1.18,Estado: Aguardar Recuo,Entrada: 1849.47,Stop: 1755.55,Take-Profit: 1962.17,Break-Even: 1905.82,Qtd: 0.27,Trailing: 1755.55,Data: 23/09/2026 06:46:18</t>
  </si>
  <si>
    <t>Preço: 1791.82</t>
  </si>
  <si>
    <t>Dist MM20: 12.59%</t>
  </si>
  <si>
    <t>Momentum: 306.84</t>
  </si>
  <si>
    <t>RSI: 61.43</t>
  </si>
  <si>
    <t>ADX: 12.49</t>
  </si>
  <si>
    <t>ATR: 91.84</t>
  </si>
  <si>
    <t>Trailing: 1663.24</t>
  </si>
  <si>
    <t>21/09/2026 07:24:53</t>
  </si>
  <si>
    <t>SNDK,Preço: 1791.82,Dist MM20: 12.59%,Momentum: 306.84,RSI: 61.43,ADX: 12.49,ATR: 91.84,RVOL: 1.65,Estado: Aguardar Recuo,Entrada: 1755.08,Stop: 1663.24,Take-Profit: 1938.76,Break-Even: 1846.92,Qtd: 0.54,Trailing: 1663.24,Data: 21/09/2026 07:20:24</t>
  </si>
  <si>
    <t>OR,Preço: 35.58,Dist MM20: -2.63%,Momentum: -3.34,RSI: 50.74,ADX: 23.61,ATR: 1.11,RVOL: 0.71,Estado: Aguardar Recuo,Entrada: 35.14,Stop: 34.03,Take-Profit: 37.36,Break-Even: 36.25,Qtd: 45.05,Trailing: 34.03,Data: 16/09/2026 02:38:30</t>
  </si>
  <si>
    <t>HSBC,101.12,3.74%,6.03,63.09,16.80,1.50,0.80,Aguardar Recuo,100.52,98.87,103.82,102.17,30.30</t>
  </si>
  <si>
    <t>ORC,Preço: 6.09,Dist MM20: -7.16%,Momentum: -0.63,RSI: 22.74,ADX: 21.80,ATR: 0.12,RVOL: 1.30,Estado: Observar,Entrada: N/A,Stop: N/A,Take-Profit: N/A,Break-Even: N/A,Qtd: N/A,Trailing: 5.85,Data: 16/09/2026 03:39:38</t>
  </si>
  <si>
    <t>IDR,29.69,-4.72%,-3.06,41.94,13.32,1.69,0.51,Aguardar Recuo,29.01,27.16,32.72,30.87,26.95</t>
  </si>
  <si>
    <t>ORCL,Preço: 140.35,Dist MM20: -5.66%,Momentum: -4.41,RSI: 42.99,ADX: 15.49,ATR: 6.57,RVOL: 1.10,Estado: Observar,Entrada: N/A,Stop: N/A,Take-Profit: N/A,Break-Even: N/A,Qtd: N/A,Trailing: 127.21,Data: 16/09/2026 02:38:47</t>
  </si>
  <si>
    <t>PANW,Preço: 375.09,Dist MM20: 6.35%,Momentum: 35.19,RSI: 58.02,ADX: 17.81,ATR: 18.18,RVOL: 0.99,Estado: Aguardar Recuo,Entrada: 367.82,Stop: 349.64,Take-Profit: 404.18,Break-Even: 386.00,Qtd: 2.75,Trailing: 349.64,Data: 16/09/2026 02:39:04</t>
  </si>
  <si>
    <t>PDD,Preço: 78.08,Dist MM20: -6.61%,Momentum: -9.67,RSI: 33.93,ADX: 19.23,ATR: 1.63,RVOL: 1.09,Estado: Observar,Entrada: N/A,Stop: N/A,Take-Profit: N/A,Break-Even: N/A,Qtd: N/A,Trailing: 74.82,Data: 16/09/2026 02:39:20</t>
  </si>
  <si>
    <t>PEP,Preço: 135.50,Dist MM20: -3.09%,Momentum: -6.77,RSI: 37.29,ADX: 11.22,ATR: 1.79,RVOL: 1.03,Estado: Observar,Entrada: N/A,Stop: N/A,Take-Profit: N/A,Break-Even: N/A,Qtd: N/A,Trailing: 131.92,Data: 16/09/2026 02:39:37</t>
  </si>
  <si>
    <t>PG,Preço: 146.67,Dist MM20: 1.12%,Momentum: 1.27,RSI: 53.94,ADX: 7.68,ATR: 2.10,RVOL: 0.93,Estado: Aguardar Recuo,Entrada: 145.83,Stop: 143.73,Take-Profit: 150.03,Break-Even: 147.93,Qtd: 23.81,Trailing: 143.73,Data: 16/09/2026 02:48:08</t>
  </si>
  <si>
    <t>PHIA</t>
  </si>
  <si>
    <t>Philips</t>
  </si>
  <si>
    <t>PHIA,#ERRO_LIMITE_CHAVES,Todas as chaves esgotaram,,,,,,,,,,,,</t>
  </si>
  <si>
    <t>PLTR,Preço: 172.56,Dist MM20: -1.69%,Momentum: -0.17,RSI: 53.08,ADX: 22.50,ATR: 7.11,RVOL: 1.07,Estado: Observar,Entrada: N/A,Stop: N/A,Take-Profit: N/A,Break-Even: N/A,Qtd: N/A,Trailing: 158.34,Data: 16/09/2026 02:48:27</t>
  </si>
  <si>
    <t>IONQ,35.51,-21.20%,-17.75,29.14,35.91,2.88,0.80,Forca Consolidada,34.93,29.75,42.70,38.81,9.65</t>
  </si>
  <si>
    <t>PRG,Preço: 36.33,Dist MM20: -5.98%,Momentum: -3.50,RSI: 33.56,ADX: 31.05,ATR: 1.12,RVOL: 1.53,Estado: Observar,Entrada: N/A,Stop: N/A,Take-Profit: N/A,Break-Even: N/A,Qtd: N/A,Trailing: 34.09,Data: 16/09/2026 03:52:06</t>
  </si>
  <si>
    <t>PTX</t>
  </si>
  <si>
    <t>LMT,507.09,-1.72%,-2.37,42.84,13.08,12.28,0.90,Observar,N/A,N/A,N/A,N/A,N/A</t>
  </si>
  <si>
    <t>PTX,#ERRO_LIMITE_CHAVES,Todas as chaves esgotaram,,,,,,,,,,,,</t>
  </si>
  <si>
    <t>ABRIL</t>
  </si>
  <si>
    <t>PWR,Preço: 613.35,Dist MM20: -2.50%,Momentum: 9.57,RSI: 44.14,ADX: 12.37,ATR: 18.48,RVOL: 0.74,Estado: Observar,Entrada: N/A,Stop: N/A,Take-Profit: N/A,Break-Even: N/A,Qtd: N/A,Trailing: 576.39,Data: 16/09/2026 03:52:42</t>
  </si>
  <si>
    <t>OR,29.22,-3.09%,-2.41,39.44,22.96,1.03,1.15,Aguardar Recuo,28.81,27.67,31.08,29.95,44.05</t>
  </si>
  <si>
    <t>QS,Preço: 5.05,Dist MM20: -9.07%,Momentum: -0.77,RSI: 35.44,ADX: 11.84,ATR: 0.22,RVOL: 0.71,Estado: Observar,Entrada: N/A,Stop: N/A,Take-Profit: N/A,Break-Even: N/A,Qtd: N/A,Trailing: 4.61,Data: 16/09/2026 03:53:00</t>
  </si>
  <si>
    <t>QUBT,Preço: 7.84,Dist MM20: -4.20%,Momentum: -0.62,RSI: 43.00,ADX: 9.25,ATR: 0.32,RVOL: 0.72,Estado: Observar,Entrada: N/A,Stop: N/A,Take-Profit: N/A,Break-Even: N/A,Qtd: N/A,Trailing: 7.20,Data: 16/09/2026 03:53:17</t>
  </si>
  <si>
    <t>MA,538.30,2.71%,24.70,59.16,28.93,12.06,0.67,Observar,N/A,N/A,N/A,N/A,N/A</t>
  </si>
  <si>
    <t>MBG</t>
  </si>
  <si>
    <t>RBLX,Preço: 50.24,Dist MM20: 20.38%,Momentum: 11.12,RSI: 70.84,ADX: 27.41,ATR: 2.09,RVOL: 0.78,Estado: Observar,Entrada: N/A,Stop: N/A,Take-Profit: N/A,Break-Even: N/A,Qtd: N/A,Trailing: 46.06,Data: 16/09/2026 02:40:48</t>
  </si>
  <si>
    <t>RCAT,Preço: 7.96,Dist MM20: -8.80%,Momentum: -1.13,RSI: 41.01,ADX: 15.23,ATR: 0.45,RVOL: 1.02,Estado: Aguardar Recuo,Entrada: 7.79,Stop: 7.34,Take-Profit: 8.69,Break-Even: 8.24,Qtd: 111.11,Trailing: 7.34,Data: 16/09/2026 03:18:13</t>
  </si>
  <si>
    <t>MSFT,397.75,3.63%,24.73,53.40,13.68,9.76,0.54,Observar,N/A,N/A,N/A,N/A,N/A</t>
  </si>
  <si>
    <t>RDDT,Preço: 159.63,Dist MM20: 3.56%,Momentum: -2.82,RSI: 51.51,ADX: 9.53,ATR: 7.45,RVOL: 1.08,Estado: Observar,Entrada: N/A,Stop: N/A,Take-Profit: N/A,Break-Even: N/A,Qtd: N/A,Trailing: 144.73,Data: 16/09/2026 02:48:42</t>
  </si>
  <si>
    <t>MRNA,59.66,-12.74%,-10.37,43.52,27.16,4.66,0.52,Forca Consolidada,58.73,50.34,71.31,65.02,5.96</t>
  </si>
  <si>
    <t>RGLD,Preço: 251.16,Dist MM20: -2.46%,Momentum: -16.60,RSI: 53.19,ADX: 30.17,ATR: 6.78,RVOL: 1.12,Estado: Observar,Entrada: N/A,Stop: N/A,Take-Profit: N/A,Break-Even: N/A,Qtd: N/A,Trailing: 237.60,Data: 16/09/2026 03:14:57</t>
  </si>
  <si>
    <t>RGTI,Preço: 15.09,Dist MM20: -5.01%,Momentum: -1.85,RSI: 43.08,ADX: 11.44,ATR: 0.73,RVOL: 0.74,Estado: Observar,Entrada: N/A,Stop: N/A,Take-Profit: N/A,Break-Even: N/A,Qtd: N/A,Trailing: 13.63,Data: 16/09/2026 03:18:09</t>
  </si>
  <si>
    <t>NFC</t>
  </si>
  <si>
    <t>RKLB,Preço: 63.55,Dist MM20: -4.54%,Momentum: -3.36,RSI: 39.79,ADX: 21.17,ATR: 2.70,RVOL: 1.22,Estado: Aguardar Recuo,Entrada: 62.47,Stop: 59.77,Take-Profit: 67.87,Break-Even: 65.17,Qtd: 18.52,Trailing: 59.77,Data: 16/09/2026 03:14:59</t>
  </si>
  <si>
    <t>RL,Preço: 335.23,Dist MM20: -5.01%,Momentum: -27.37,RSI: 33.92,ADX: 28.07,ATR: 9.51,RVOL: 0.98,Estado: Observar,Entrada: N/A,Stop: N/A,Take-Profit: N/A,Break-Even: N/A,Qtd: N/A,Trailing: 316.21,Data: 16/09/2026 03:19:11</t>
  </si>
  <si>
    <t>NFLX,68.67,-6.16%,-2.73,32.54,35.01,2.25,1.08,Forca Consolidada,68.22,64.17,74.29,71.25,12.35</t>
  </si>
  <si>
    <t>Nike EU</t>
  </si>
  <si>
    <t>NKE,42.96,0.34%,1.91,47.61,11.52,1.51,0.35,Observar,N/A,N/A,N/A,N/A,N/A</t>
  </si>
  <si>
    <t>SAP,Preço: 215.67,Dist MM20: 0.46%,Momentum: -1.26,RSI: 57.68,ADX: 29.75,ATR: 4.90,RVOL: 0.81,Estado: Observar,Entrada: N/A,Stop: N/A,Take-Profit: N/A,Break-Even: N/A,Qtd: N/A,Trailing: 205.87,Data: 16/09/2026 03:18:24</t>
  </si>
  <si>
    <t>SBUX,Preço: 96.58,Dist MM20: -7.31%,Momentum: -9.18,RSI: 28.48,ADX: 19.81,ATR: 2.17,RVOL: 1.14,Estado: Observar,Entrada: N/A,Stop: N/A,Take-Profit: N/A,Break-Even: N/A,Qtd: N/A,Trailing: 92.24,Data: 16/09/2026 03:13:52</t>
  </si>
  <si>
    <t>SHAK,Preço: 58.27,Dist MM20: -15.40%,Momentum: -15.80,RSI: 30.68,ADX: 26.71,ATR: 2.97,RVOL: 1.53,Estado: Observar,Entrada: N/A,Stop: N/A,Take-Profit: N/A,Break-Even: N/A,Qtd: N/A,Trailing: 52.33,Data: 16/09/2026 03:19:12</t>
  </si>
  <si>
    <t>NOVN</t>
  </si>
  <si>
    <t>SHOP,Preço: 129.86,Dist MM20: -8.90%,Momentum: -24.02,RSI: 41.64,ADX: 20.54,ATR: 5.59,RVOL: 0.80,Estado: Observar,Entrada: N/A,Stop: N/A,Take-Profit: N/A,Break-Even: N/A,Qtd: N/A,Trailing: 118.68,Data: 16/09/2026 03:13:50</t>
  </si>
  <si>
    <t>SMCI,Preço: 35.64,Dist MM20: -5.19%,Momentum: -2.82,RSI: 47.97,ADX: 23.89,ATR: 1.96,RVOL: 0.71,Estado: Observar,Entrada: N/A,Stop: N/A,Take-Profit: N/A,Break-Even: N/A,Qtd: N/A,Trailing: 31.72,Data: 16/09/2026 03:53:34</t>
  </si>
  <si>
    <t>SOON</t>
  </si>
  <si>
    <t>Sonova</t>
  </si>
  <si>
    <t>SOON,#ERRO_LIMITE_CHAVES,Todas as chaves esgotaram,,,,,,,,,,,,</t>
  </si>
  <si>
    <t>22/07/2026 00:09:54</t>
  </si>
  <si>
    <t>NOV,20.19,7.26%,1.64,61.74,16.05,0.50,0.60,Aguardar Recuo,19.99,19.44,21.09,20.54,90.91</t>
  </si>
  <si>
    <t>SOUN,Preço: 6.15,Dist MM20: -9.76%,Momentum: -0.90,RSI: 36.97,ADX: 15.89,ATR: 0.29,RVOL: 0.76,Estado: Observar,Entrada: N/A,Stop: N/A,Take-Profit: N/A,Break-Even: N/A,Qtd: N/A,Trailing: 5.57,Data: 16/09/2026 02:48:48</t>
  </si>
  <si>
    <t>AST Space</t>
  </si>
  <si>
    <t>P&amp;G</t>
  </si>
  <si>
    <t>Eli Lilly</t>
  </si>
  <si>
    <t>SPCX,Preço: 143.49,Dist MM20: 0.16%,Momentum: 5.54,RSI: 51.79,ADX: 23.48,ATR: 6.23,RVOL: 0.94,Estado: Observar,Entrada: N/A,Stop: N/A,Take-Profit: N/A,Break-Even: N/A,Qtd: N/A,Trailing: 131.03,Data: 16/09/2026 03:19:22</t>
  </si>
  <si>
    <t>NVO,49.38,0.58%,1.44,56.99,26.25,1.05,0.55,Observar,N/A,N/A,N/A,N/A,N/A</t>
  </si>
  <si>
    <t>SPOT,Preço: 558.26,Dist MM20: 3.43%,Momentum: 5.69,RSI: 60.73,ADX: 11.16,ATR: 17.47,RVOL: 0.84,Estado: Aguardar Recuo,Entrada: 551.27,Stop: 533.80,Take-Profit: 586.21,Break-Even: 568.74,Qtd: 2.86,Trailing: 533.80,Data: 16/09/2026 02:48:48</t>
  </si>
  <si>
    <t>STLD,Preço: 239.22,Dist MM20: 1.16%,Momentum: 8.14,RSI: 48.20,ADX: 11.52,ATR: 7.15,RVOL: 0.94,Estado: Aguardar Recuo,Entrada: 236.36,Stop: 229.21,Take-Profit: 250.66,Break-Even: 243.51,Qtd: 6.99,Trailing: 229.21,Data: 16/09/2026 03:19:24</t>
  </si>
  <si>
    <t>STR</t>
  </si>
  <si>
    <t>Strabag</t>
  </si>
  <si>
    <t>NVDA,207.29,2.78%,7.20,52.24,13.52,6.99,0.79,Aguardar Recuo,204.49,196.80,219.86,212.18,6.51</t>
  </si>
  <si>
    <t>STR,#ERRO_LIMITE_CHAVES,Todas as chaves esgotaram,,,,,,,,,,,,</t>
  </si>
  <si>
    <t>SWKS,Preço: 90.00,Dist MM20: 24.27%,Momentum: 24.30,RSI: 71.15,ADX: 25.24,ATR: 4.94,RVOL: 1.82,Estado: Observar,Entrada: N/A,Stop: N/A,Take-Profit: N/A,Break-Even: N/A,Qtd: N/A,Trailing: 80.12,Data: 16/09/2026 03:54:36</t>
  </si>
  <si>
    <t>ORC,6.77,-1.16%,-0.20,47.88,18.48,0.13,0.76,Aguardar Recuo,6.72,6.57,7.01,6.87,344.83</t>
  </si>
  <si>
    <t>Preço: 5.21</t>
  </si>
  <si>
    <t>Momentum: -0.02</t>
  </si>
  <si>
    <t>RSI: 49.17</t>
  </si>
  <si>
    <t>ADX: 43.22</t>
  </si>
  <si>
    <t>ATR: 0.02</t>
  </si>
  <si>
    <t>Data: 31/07/2026 04:34:55</t>
  </si>
  <si>
    <t>TALK,Preço: 5.21,Dist MM20: -0.12%,Momentum: -0.02,RSI: 49.17,ADX: 43.22,ATR: 0.02,RVOL: 0.68,Estado: Observar,Entrada: N/A,Stop: N/A,Take-Profit: N/A,Break-Even: N/A,Qtd: N/A,Data: 31/07/2026 04:34:55</t>
  </si>
  <si>
    <t>TEAM,Preço: 189.81,Dist MM20: 5.04%,Momentum: 23.32,RSI: 64.89,ADX: 44.34,ATR: 9.11,RVOL: 0.57,Estado: Observar,Entrada: N/A,Stop: N/A,Take-Profit: N/A,Break-Even: N/A,Qtd: N/A,Trailing: 171.59,Data: 16/09/2026 03:55:11</t>
  </si>
  <si>
    <t>TEM,Preço: 68.85,Dist MM20: 7.66%,Momentum: 0.12,RSI: 61.97,ADX: 25.34,ATR: 4.30,RVOL: 0.99,Estado: Observar,Entrada: N/A,Stop: N/A,Take-Profit: N/A,Break-Even: N/A,Qtd: N/A,Trailing: 60.25,Data: 16/09/2026 02:48:59</t>
  </si>
  <si>
    <t>TROW,Preço: 104.23,Dist MM20: -5.20%,Momentum: -8.64,RSI: 27.55,ADX: 28.50,ATR: 1.98,RVOL: 1.66,Estado: Observar,Entrada: N/A,Stop: N/A,Take-Profit: N/A,Break-Even: N/A,Qtd: N/A,Trailing: 100.27,Data: 16/09/2026 04:09:13</t>
  </si>
  <si>
    <t>PLTR,132.66,5.09%,15.99,52.83,12.78,6.32,0.52,Observar,N/A,N/A,N/A,N/A,N/A</t>
  </si>
  <si>
    <t>ERRO: API falhou ou Ticker sem dados.</t>
  </si>
  <si>
    <t>Preço: 308.85</t>
  </si>
  <si>
    <t>Dist MM20: -16.08%</t>
  </si>
  <si>
    <t>Momentum: -98.91</t>
  </si>
  <si>
    <t>RSI: 30.56</t>
  </si>
  <si>
    <t>ADX: 28.84</t>
  </si>
  <si>
    <t>ATR: 12.99</t>
  </si>
  <si>
    <t>Data: 31/07/2026 02:24:20</t>
  </si>
  <si>
    <t>PANW,342.15,2.65%,1.13,58.84,45.60,18.87,0.92,Observar,N/A,N/A,N/A,N/A,N/A</t>
  </si>
  <si>
    <t>2PP</t>
  </si>
  <si>
    <t>Pay Pal EU</t>
  </si>
  <si>
    <t>TTD,Preço: 15.00,Dist MM20: 8.01%,Momentum: 1.75,RSI: 53.16,ADX: 16.55,ATR: 0.64,RVOL: 1.11,Estado: Aguardar Recuo,Entrada: 14.74,Stop: 14.10,Take-Profit: 16.02,Break-Even: 15.38,Qtd: 78.12,Trailing: 14.10,Data: 16/09/2026 04:09:33</t>
  </si>
  <si>
    <t>TYL,Preço: 353.13,Dist MM20: -0.90%,Momentum: 3.07,RSI: 53.17,ADX: 25.85,ATR: 13.06,RVOL: 0.68,Estado: Observar,Entrada: N/A,Stop: N/A,Take-Profit: N/A,Break-Even: N/A,Qtd: N/A,Trailing: 327.01,Data: 16/09/2026 03:15:12</t>
  </si>
  <si>
    <t>PDD Holding</t>
  </si>
  <si>
    <t>TZOO,Preço: 5.62,Dist MM20: -12.05%,Momentum: -1.20,RSI: 18.35,ADX: 56.07,ATR: 0.21,RVOL: 1.51,Estado: Observar,Entrada: N/A,Stop: N/A,Take-Profit: N/A,Break-Even: N/A,Qtd: N/A,Trailing: 5.20,Data: 16/09/2026 03:19:27</t>
  </si>
  <si>
    <t>PEP,135.00,-3.12%,-0.40,39.86,17.26,3.38,0.83,Observar,N/A,N/A,N/A,N/A,N/A</t>
  </si>
  <si>
    <t>U,Preço: 43.01,Dist MM20: -1.69%,Momentum: -1.98,RSI: 55.51,ADX: 33.54,ATR: 1.70,RVOL: 0.74,Estado: Observar,Entrada: N/A,Stop: N/A,Take-Profit: N/A,Break-Even: N/A,Qtd: N/A,Trailing: 39.61,Data: 16/09/2026 03:19:31</t>
  </si>
  <si>
    <t>P911</t>
  </si>
  <si>
    <t>Porsche</t>
  </si>
  <si>
    <t>UBER,Preço: 71.43,Dist MM20: -5.73%,Momentum: -8.92,RSI: 41.55,ADX: 15.32,ATR: 2.34,RVOL: 0.81,Estado: Observar,Entrada: N/A,Stop: N/A,Take-Profit: N/A,Break-Even: N/A,Qtd: N/A,Trailing: 69.17,Data: 16/09/2026 02:40:48</t>
  </si>
  <si>
    <t>Procter and Gamble EU</t>
  </si>
  <si>
    <t>UNH,Preço: 375.93,Dist MM20: -4.17%,Momentum: -20.66,RSI: 35.42,ADX: 25.29,ATR: 10.10,RVOL: 0.93,Estado: Observar,Entrada: N/A,Stop: N/A,Take-Profit: N/A,Break-Even: N/A,Qtd: N/A,Trailing: 355.73,Data: 16/09/2026 02:49:21</t>
  </si>
  <si>
    <t>Procter and Gamble US</t>
  </si>
  <si>
    <t>UPS,Preço: 102.35,Dist MM20: -0.36%,Momentum: -2.79,RSI: 46.17,ADX: 21.64,ATR: 1.75,RVOL: 0.99,Estado: Observar,Entrada: N/A,Stop: N/A,Take-Profit: N/A,Break-Even: N/A,Qtd: N/A,Trailing: 98.85,Data: 16/09/2026 04:09:51</t>
  </si>
  <si>
    <t>PG,148.10,-0.60%,1.46,49.40,10.86,2.95,0.74,Observar,N/A,N/A,N/A,N/A,N/A</t>
  </si>
  <si>
    <t>UPST,Preço: 25.28,Dist MM20: -10.53%,Momentum: -5.30,RSI: 36.02,ADX: 15.81,ATR: 1.22,RVOL: 0.70,Estado: Observar,Entrada: N/A,Stop: N/A,Take-Profit: N/A,Break-Even: N/A,Qtd: N/A,Trailing: 22.84,Data: 16/09/2026 02:49:07</t>
  </si>
  <si>
    <t>V,Preço: 375.62,Dist MM20: 0.34%,Momentum: -8.52,RSI: 55.86,ADX: 17.41,ATR: 4.64,RVOL: 0.89,Estado: Aguardar Recuo,Entrada: 373.76,Stop: 369.12,Take-Profit: 383.04,Break-Even: 378.40,Qtd: 10.78,Trailing: 369.12,Data: 16/09/2026 04:10:09</t>
  </si>
  <si>
    <t>VOW3</t>
  </si>
  <si>
    <t>VOW3,Preço: 81.02,Dist MM20: 4.37%,Momentum: 8.60,RSI: 60.00,ADX: 19.69,ATR: 2.53,RVOL: 0.84,Estado: Observar,Entrada: N/A,Stop: N/A,Take-Profit: N/A,Break-Even: N/A,Qtd: N/A,Trailing: 75.96,Data: 16/09/2026 04:54:25</t>
  </si>
  <si>
    <t>Preço: 76.14</t>
  </si>
  <si>
    <t>Dist MM20: 4.03%</t>
  </si>
  <si>
    <t>Momentum: 5.16</t>
  </si>
  <si>
    <t>RSI: 53.71</t>
  </si>
  <si>
    <t>ADX: 20.06</t>
  </si>
  <si>
    <t>Data: 31/07/2026 02:24:59</t>
  </si>
  <si>
    <t>VOW3,Preço: 76.14,Dist MM20: 4.03%,Momentum: 5.16,RSI: 53.71,ADX: 20.06,ATR: 1.90,RVOL: 0.93,Estado: Aguardar Recuo,Entrada: 75.38,Stop: 73.48,Take-Profit: 79.18,Break-Even: 77.28,Qtd: 26.32,Data: 31/07/2026 02:24:59</t>
  </si>
  <si>
    <t>22/07/2026 00:24:54</t>
  </si>
  <si>
    <t>QUBT,8.22,-7.18%,-1.48,42.56,14.80,0.55,0.71,Aguardar Recuo,8.00,7.40,9.21,8.61,82.64</t>
  </si>
  <si>
    <t>VRSK,Preço: 180.08,Dist MM20: -3.04%,Momentum: -8.41,RSI: 44.80,ADX: 14.45,ATR: 5.43,RVOL: 0.83,Estado: Observar,Entrada: N/A,Stop: N/A,Take-Profit: N/A,Break-Even: N/A,Qtd: N/A,Trailing: 169.22,Data: 16/09/2026 04:39:18</t>
  </si>
  <si>
    <t>VZ,Preço: 51.45,Dist MM20: 2.76%,Momentum: 1.20,RSI: 68.09,ADX: 18.80,ATR: 0.75,RVOL: 1.05,Estado: Aguardar Recuo,Entrada: 51.15,Stop: 50.40,Take-Profit: 52.65,Break-Even: 51.90,Qtd: 66.67,Trailing: 50.40,Data: 16/09/2026 04:39:37</t>
  </si>
  <si>
    <t>QS,6.05,-10.80%,-1.51,37.33,16.18,0.41,0.71,Aguardar Recuo,5.89,5.43,6.80,6.34,109.89</t>
  </si>
  <si>
    <t>RL,382.93,-2.29%,-18.48,48.37,18.67,12.36,0.62,Aguardar Recuo,377.99,364.39,405.19,391.59,3.68</t>
  </si>
  <si>
    <t>WMT,Preço: 109.08,Dist MM20: 1.96%,Momentum: 2.59,RSI: 52.53,ADX: 12.62,ATR: 1.73,RVOL: 0.82,Estado: Aguardar Recuo,Entrada: 108.39,Stop: 106.66,Take-Profit: 111.85,Break-Even: 110.12,Qtd: 28.90,Trailing: 106.66,Data: 15/09/2026 03:05:32</t>
  </si>
  <si>
    <t>RHM</t>
  </si>
  <si>
    <t>Rheinmetall</t>
  </si>
  <si>
    <t>ZM,Preço: 93.07,Dist MM20: -6.14%,Momentum: -7.85,RSI: 41.01,ADX: 15.89,ATR: 3.30,RVOL: 1.18,Estado: Observar,Entrada: N/A,Stop: N/A,Take-Profit: N/A,Break-Even: N/A,Qtd: N/A,Trailing: 86.47,Data: 16/09/2026 03:14:45</t>
  </si>
  <si>
    <t>RGTI,15.28,-10.74%,-4.04,39.18,28.59,1.05,0.72,Forca Consolidada,15.07,13.18,17.91,16.49,26.46</t>
  </si>
  <si>
    <t>HOOD,106.36,-0.49%,6.08,52.85,23.91,6.61,0.76,Aguardar Recuo,103.72,96.44,118.27,111.00,6.87</t>
  </si>
  <si>
    <t>APC,20.71,6.43%,2.50,59.92,24.10,0.72,0.91,Observar,N/A,N/A,N/A,N/A,N/A,23/07/2026 11:22:16</t>
  </si>
  <si>
    <t>23/07/2026 11:22:16</t>
  </si>
  <si>
    <t>CRM,170.06,3.72%,13.40,52.44,9.61,6.04,0.60,Observar,N/A,N/A,N/A,N/A,N/A</t>
  </si>
  <si>
    <t>HEIA,#ERRO_LIMITE_CHAVES,Todas as chaves esgotaram,,,,,,,,,,,,</t>
  </si>
  <si>
    <t>MBG,#ERRO_LIMITE_CHAVES,Todas as chaves esgotaram,,,,,,,,,,,,</t>
  </si>
  <si>
    <t>NFC,#ERRO_LIMITE_CHAVES,Todas as chaves esgotaram,,,,,,,,,,,,</t>
  </si>
  <si>
    <t>NOW,102.06,-1.24%,2.78,46.97,12.41,5.19,0.91,Observar,N/A,N/A,N/A,N/A,N/A</t>
  </si>
  <si>
    <t>NKE,#ERRO_LIMITE_CHAVES,Todas as chaves esgotaram,,,,,,,,,,,,</t>
  </si>
  <si>
    <t>NOVN,#ERRO_LIMITE_CHAVES,Todas as chaves esgotaram,,,,,,,,,,,,</t>
  </si>
  <si>
    <t>SHAK,56.44,-0.66%,0.42,44.43,16.69,2.57,0.90,Observar,N/A,N/A,N/A,N/A,N/A</t>
  </si>
  <si>
    <t>SIE</t>
  </si>
  <si>
    <t>Siemens AG</t>
  </si>
  <si>
    <t>2PP,#ERRO_LIMITE_CHAVES,Todas as chaves esgotaram,,,,,,,,,,,,</t>
  </si>
  <si>
    <t>P911,#ERRO_LIMITE_CHAVES,Todas as chaves esgotaram,,,,,,,,,,,,</t>
  </si>
  <si>
    <t>RHM,#ERRO_LIMITE_CHAVES,Todas as chaves esgotaram,,,,,,,,,,,,</t>
  </si>
  <si>
    <t>GLE,0.40,-6.33%,-0.03,45.11,36.76,0.03,0.13,Forca Consolidada,0.39,0.34,0.46,0.43,1000.00</t>
  </si>
  <si>
    <t>SIE,#ERRO_LIMITE_CHAVES,Todas as chaves esgotaram,,,,,,,,,,,,</t>
  </si>
  <si>
    <t>Tesla EU</t>
  </si>
  <si>
    <t>22/07/2026 00:39:55</t>
  </si>
  <si>
    <t>SMCI,25.50,-8.76%,-3.83,40.13,25.30,1.45,0.67,Forca Consolidada,25.21,22.60,29.13,27.17,19.16</t>
  </si>
  <si>
    <t>TALK,5.22,0.15%,0.02,53.88,36.59,0.02,0.30,Forca Consolidada,5.22,5.18,5.28,5.25,1250.00</t>
  </si>
  <si>
    <t>UT8,#ERRO_LIMITE_CHAVES,Todas as chaves esgotaram,,,,,,,,,,,,</t>
  </si>
  <si>
    <t>Visa DE</t>
  </si>
  <si>
    <t>TL0</t>
  </si>
  <si>
    <t>TKA</t>
  </si>
  <si>
    <t>SHELL,#ERRO_LIMITE_CHAVES,Todas as chaves esgotaram,,,,,,,,,,,,</t>
  </si>
  <si>
    <t>SHELL</t>
  </si>
  <si>
    <t>VISA</t>
  </si>
  <si>
    <t>Walmart EU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</si>
</sst>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#,##0.00;(#,##0.00)"/>
    <numFmt numFmtId="165" formatCode="m/d/yyyy h:mm:ss"/>
    <numFmt numFmtId="166" formatCode="M/d/yyyy H:mm:ss"/>
    <numFmt numFmtId="167" formatCode="mm/dd/yyyy h:mm:ss"/>
    <numFmt numFmtId="168" formatCode="mm/dd/yyyy"/>
    <numFmt numFmtId="169" formatCode="d/mmm"/>
    <numFmt numFmtId="170" formatCode="#,##0.0000"/>
  </numFmts>
  <fonts count="57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&quot;Aptos Narrow&quot;"/>
    </font>
    <font>
      <sz val="11.0"/>
      <color rgb="FF000000"/>
      <name val="Arial"/>
    </font>
    <font>
      <b/>
      <sz val="11.0"/>
      <color rgb="FFFFFFFF"/>
      <name val="Arial"/>
    </font>
    <font>
      <b/>
      <sz val="11.0"/>
      <color rgb="FF0000FF"/>
      <name val="Arial"/>
    </font>
    <font>
      <b/>
      <sz val="11.0"/>
      <color rgb="FF9900FF"/>
      <name val="Arial"/>
    </font>
    <font>
      <b/>
      <sz val="11.0"/>
      <color rgb="FFFF0000"/>
      <name val="Arial"/>
    </font>
    <font>
      <sz val="11.0"/>
      <color theme="1"/>
      <name val="Arial"/>
      <scheme val="minor"/>
    </font>
    <font>
      <sz val="11.0"/>
      <color theme="1"/>
      <name val="&quot;Aptos Narrow&quot;"/>
    </font>
    <font>
      <b/>
      <sz val="11.0"/>
      <color theme="1"/>
      <name val="&quot;Aptos Narrow&quot;"/>
    </font>
    <font>
      <b/>
      <sz val="11.0"/>
      <color theme="1"/>
      <name val="Arial"/>
    </font>
    <font>
      <sz val="11.0"/>
      <color theme="1"/>
      <name val="Arial"/>
    </font>
    <font>
      <b/>
      <sz val="11.0"/>
      <color rgb="FF000000"/>
      <name val="&quot;Aptos Narrow&quot;"/>
    </font>
    <font>
      <b/>
      <sz val="11.0"/>
      <color rgb="FFFFFFFF"/>
      <name val="&quot;Aptos Narrow&quot;"/>
    </font>
    <font>
      <sz val="12.0"/>
      <color theme="1"/>
      <name val="Arial"/>
      <scheme val="minor"/>
    </font>
    <font>
      <color rgb="FFB31412"/>
      <name val="'Roboto Mono'"/>
    </font>
    <font>
      <color rgb="FF741B47"/>
      <name val="Arial"/>
      <scheme val="minor"/>
    </font>
    <font>
      <color rgb="FF000000"/>
      <name val="'Roboto Mono'"/>
    </font>
    <font>
      <b/>
      <color theme="1"/>
      <name val="Arial"/>
      <scheme val="minor"/>
    </font>
    <font>
      <i/>
      <color theme="1"/>
      <name val="Arial"/>
      <scheme val="minor"/>
    </font>
    <font>
      <sz val="10.0"/>
      <color theme="1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b/>
      <sz val="10.0"/>
      <color theme="1"/>
      <name val="Arial"/>
      <scheme val="minor"/>
    </font>
    <font>
      <sz val="10.0"/>
      <color rgb="FF000000"/>
      <name val="Arial"/>
    </font>
    <font>
      <sz val="10.0"/>
      <color rgb="FF000000"/>
      <name val="&quot;Aptos Narrow&quot;"/>
    </font>
    <font>
      <u/>
      <color rgb="FF0000FF"/>
      <name val="Roboto"/>
    </font>
    <font>
      <color theme="1"/>
      <name val="Arial"/>
    </font>
    <font>
      <b/>
      <color theme="1"/>
      <name val="Arial"/>
    </font>
    <font>
      <b/>
      <color rgb="FF0000FF"/>
      <name val="Arial"/>
      <scheme val="minor"/>
    </font>
    <font>
      <b/>
      <color rgb="FF9900FF"/>
      <name val="Arial"/>
      <scheme val="minor"/>
    </font>
    <font>
      <b/>
      <color rgb="FFCC0000"/>
      <name val="Arial"/>
      <scheme val="minor"/>
    </font>
    <font>
      <b/>
      <color rgb="FF990000"/>
      <name val="Arial"/>
      <scheme val="minor"/>
    </font>
    <font>
      <b/>
      <color rgb="FFB45F06"/>
      <name val="Arial"/>
      <scheme val="minor"/>
    </font>
    <font>
      <b/>
      <color rgb="FFFFFFFF"/>
      <name val="Arial"/>
      <scheme val="minor"/>
    </font>
    <font>
      <sz val="11.0"/>
      <color rgb="FF000000"/>
      <name val="Calibri"/>
    </font>
    <font>
      <b/>
      <sz val="11.0"/>
      <color rgb="FF000000"/>
      <name val="Calibri"/>
    </font>
    <font>
      <u/>
      <sz val="11.0"/>
      <color rgb="FF0000FF"/>
      <name val="Arial"/>
    </font>
    <font>
      <sz val="8.0"/>
      <color rgb="FF333333"/>
      <name val="Roboto"/>
    </font>
    <font>
      <sz val="9.0"/>
      <color rgb="FF444746"/>
      <name val="&quot;Google Sans&quot;"/>
    </font>
    <font>
      <color rgb="FF000000"/>
      <name val="Roboto"/>
    </font>
    <font>
      <color rgb="FF000000"/>
      <name val="Arial"/>
    </font>
    <font>
      <b/>
      <sz val="12.0"/>
      <color rgb="FF000000"/>
      <name val="Arial"/>
    </font>
    <font>
      <b/>
      <i/>
      <color rgb="FF000000"/>
      <name val="Arial"/>
    </font>
    <font>
      <color rgb="FF000000"/>
      <name val="&quot;docs-Arial Narrow&quot;"/>
    </font>
    <font>
      <sz val="8.0"/>
      <color rgb="FF222222"/>
      <name val="Roboto"/>
    </font>
    <font>
      <sz val="8.0"/>
      <color rgb="FF000000"/>
      <name val="Arial"/>
    </font>
    <font>
      <u/>
      <sz val="10.0"/>
      <color rgb="FF0000FF"/>
      <name val="Roboto"/>
    </font>
    <font>
      <b/>
      <sz val="8.0"/>
      <color rgb="FF000000"/>
      <name val="Arial"/>
    </font>
    <font>
      <b/>
      <sz val="11.0"/>
      <color theme="0"/>
      <name val="Arial"/>
    </font>
    <font>
      <b/>
      <sz val="11.0"/>
      <color rgb="FFCC0000"/>
      <name val="Arial"/>
    </font>
    <font>
      <b/>
      <sz val="11.0"/>
      <color rgb="FF1155CC"/>
      <name val="Arial"/>
    </font>
    <font>
      <b/>
      <sz val="10.0"/>
      <color rgb="FFCC0000"/>
      <name val="Arial"/>
      <scheme val="minor"/>
    </font>
    <font>
      <sz val="9.0"/>
      <color theme="1"/>
      <name val="Arial"/>
      <scheme val="minor"/>
    </font>
    <font>
      <u/>
      <color rgb="FF0000FF"/>
    </font>
    <font>
      <sz val="10.0"/>
      <color rgb="FF1F1F1F"/>
      <name val="Arial"/>
      <scheme val="minor"/>
    </font>
  </fonts>
  <fills count="60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D2FFD2"/>
        <bgColor rgb="FFD2FFD2"/>
      </patternFill>
    </fill>
    <fill>
      <patternFill patternType="solid">
        <fgColor rgb="FF50C878"/>
        <bgColor rgb="FF50C878"/>
      </patternFill>
    </fill>
    <fill>
      <patternFill patternType="solid">
        <fgColor rgb="FF1F4068"/>
        <bgColor rgb="FF1F4068"/>
      </patternFill>
    </fill>
    <fill>
      <patternFill patternType="solid">
        <fgColor rgb="FFFBE2D5"/>
        <bgColor rgb="FFFBE2D5"/>
      </patternFill>
    </fill>
    <fill>
      <patternFill patternType="solid">
        <fgColor rgb="FFCFE2F3"/>
        <bgColor rgb="FFCFE2F3"/>
      </patternFill>
    </fill>
    <fill>
      <patternFill patternType="solid">
        <fgColor rgb="FFFFABAB"/>
        <bgColor rgb="FFFFABAB"/>
      </patternFill>
    </fill>
    <fill>
      <patternFill patternType="solid">
        <fgColor rgb="FF68E26E"/>
        <bgColor rgb="FF68E26E"/>
      </patternFill>
    </fill>
    <fill>
      <patternFill patternType="solid">
        <fgColor rgb="FF6367FD"/>
        <bgColor rgb="FF6367FD"/>
      </patternFill>
    </fill>
    <fill>
      <patternFill patternType="solid">
        <fgColor rgb="FFFF8181"/>
        <bgColor rgb="FFFF8181"/>
      </patternFill>
    </fill>
    <fill>
      <patternFill patternType="solid">
        <fgColor rgb="FFCD5C32"/>
        <bgColor rgb="FFCD5C32"/>
      </patternFill>
    </fill>
    <fill>
      <patternFill patternType="solid">
        <fgColor rgb="FFF1764D"/>
        <bgColor rgb="FFF1764D"/>
      </patternFill>
    </fill>
    <fill>
      <patternFill patternType="solid">
        <fgColor rgb="FFE06666"/>
        <bgColor rgb="FFE06666"/>
      </patternFill>
    </fill>
    <fill>
      <patternFill patternType="solid">
        <fgColor rgb="FF800080"/>
        <bgColor rgb="FF800080"/>
      </patternFill>
    </fill>
    <fill>
      <patternFill patternType="solid">
        <fgColor rgb="FF800020"/>
        <bgColor rgb="FF800020"/>
      </patternFill>
    </fill>
    <fill>
      <patternFill patternType="solid">
        <fgColor rgb="FFF1C232"/>
        <bgColor rgb="FFF1C232"/>
      </patternFill>
    </fill>
    <fill>
      <patternFill patternType="solid">
        <fgColor rgb="FFF8F9FA"/>
        <bgColor rgb="FFF8F9FA"/>
      </patternFill>
    </fill>
    <fill>
      <patternFill patternType="solid">
        <fgColor rgb="FFFCE5CD"/>
        <bgColor rgb="FFFCE5CD"/>
      </patternFill>
    </fill>
    <fill>
      <patternFill patternType="solid">
        <fgColor rgb="FFE0F7FA"/>
        <bgColor rgb="FFE0F7FA"/>
      </patternFill>
    </fill>
    <fill>
      <patternFill patternType="solid">
        <fgColor rgb="FFB7B7B7"/>
        <bgColor rgb="FFB7B7B7"/>
      </patternFill>
    </fill>
    <fill>
      <patternFill patternType="solid">
        <fgColor rgb="FFEA9999"/>
        <bgColor rgb="FFEA9999"/>
      </patternFill>
    </fill>
    <fill>
      <patternFill patternType="solid">
        <fgColor rgb="FFC6EFCE"/>
        <bgColor rgb="FFC6EFCE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CCCCCC"/>
        <bgColor rgb="FFCCCCCC"/>
      </patternFill>
    </fill>
    <fill>
      <patternFill patternType="solid">
        <fgColor rgb="FFF6B26B"/>
        <bgColor rgb="FFF6B26B"/>
      </patternFill>
    </fill>
    <fill>
      <patternFill patternType="solid">
        <fgColor rgb="FFEFEFEF"/>
        <bgColor rgb="FFEFEFEF"/>
      </patternFill>
    </fill>
    <fill>
      <patternFill patternType="solid">
        <fgColor rgb="FFC9DAF8"/>
        <bgColor rgb="FFC9DAF8"/>
      </patternFill>
    </fill>
    <fill>
      <patternFill patternType="solid">
        <fgColor rgb="FF76A5AF"/>
        <bgColor rgb="FF76A5AF"/>
      </patternFill>
    </fill>
    <fill>
      <patternFill patternType="solid">
        <fgColor rgb="FFCC0000"/>
        <bgColor rgb="FFCC0000"/>
      </patternFill>
    </fill>
    <fill>
      <patternFill patternType="solid">
        <fgColor rgb="FFA64D79"/>
        <bgColor rgb="FFA64D79"/>
      </patternFill>
    </fill>
    <fill>
      <patternFill patternType="solid">
        <fgColor rgb="FFFF0000"/>
        <bgColor rgb="FFFF0000"/>
      </patternFill>
    </fill>
    <fill>
      <patternFill patternType="solid">
        <fgColor rgb="FF70AD47"/>
        <bgColor rgb="FF70AD47"/>
      </patternFill>
    </fill>
    <fill>
      <patternFill patternType="solid">
        <fgColor rgb="FF9BC2E6"/>
        <bgColor rgb="FF9BC2E6"/>
      </patternFill>
    </fill>
    <fill>
      <patternFill patternType="solid">
        <fgColor rgb="FFFFC000"/>
        <bgColor rgb="FFFFC000"/>
      </patternFill>
    </fill>
    <fill>
      <patternFill patternType="solid">
        <fgColor rgb="FFF9CB9C"/>
        <bgColor rgb="FFF9CB9C"/>
      </patternFill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  <fill>
      <patternFill patternType="solid">
        <fgColor rgb="FFCCFFCC"/>
        <bgColor rgb="FFCCFFCC"/>
      </patternFill>
    </fill>
    <fill>
      <patternFill patternType="solid">
        <fgColor rgb="FFDADFE8"/>
        <bgColor rgb="FFDADFE8"/>
      </patternFill>
    </fill>
    <fill>
      <patternFill patternType="solid">
        <fgColor rgb="FFA4C2F4"/>
        <bgColor rgb="FFA4C2F4"/>
      </patternFill>
    </fill>
    <fill>
      <patternFill patternType="solid">
        <fgColor rgb="FFFFD966"/>
        <bgColor rgb="FFFFD966"/>
      </patternFill>
    </fill>
    <fill>
      <patternFill patternType="solid">
        <fgColor rgb="FFF4CCCC"/>
        <bgColor rgb="FFF4CCCC"/>
      </patternFill>
    </fill>
    <fill>
      <patternFill patternType="solid">
        <fgColor rgb="FF28F03B"/>
        <bgColor rgb="FF28F03B"/>
      </patternFill>
    </fill>
    <fill>
      <patternFill patternType="solid">
        <fgColor rgb="FFC00000"/>
        <bgColor rgb="FFC00000"/>
      </patternFill>
    </fill>
    <fill>
      <patternFill patternType="solid">
        <fgColor rgb="FFE69138"/>
        <bgColor rgb="FFE69138"/>
      </patternFill>
    </fill>
    <fill>
      <patternFill patternType="solid">
        <fgColor rgb="FFFFFF00"/>
        <bgColor rgb="FFFFFF00"/>
      </patternFill>
    </fill>
    <fill>
      <patternFill patternType="solid">
        <fgColor rgb="FF0000FF"/>
        <bgColor rgb="FF0000FF"/>
      </patternFill>
    </fill>
    <fill>
      <patternFill patternType="solid">
        <fgColor rgb="FF000000"/>
        <bgColor rgb="FF000000"/>
      </patternFill>
    </fill>
    <fill>
      <patternFill patternType="solid">
        <fgColor rgb="FF1155CC"/>
        <bgColor rgb="FF1155CC"/>
      </patternFill>
    </fill>
    <fill>
      <patternFill patternType="solid">
        <fgColor rgb="FFF3F3F3"/>
        <bgColor rgb="FFF3F3F3"/>
      </patternFill>
    </fill>
    <fill>
      <patternFill patternType="solid">
        <fgColor rgb="FF6AA84F"/>
        <bgColor rgb="FF6AA84F"/>
      </patternFill>
    </fill>
    <fill>
      <patternFill patternType="solid">
        <fgColor rgb="FFE5EEE1"/>
        <bgColor rgb="FFE5EEE1"/>
      </patternFill>
    </fill>
    <fill>
      <patternFill patternType="solid">
        <fgColor rgb="FF00FF00"/>
        <bgColor rgb="FF00FF00"/>
      </patternFill>
    </fill>
    <fill>
      <patternFill patternType="solid">
        <fgColor rgb="FF6D9EEB"/>
        <bgColor rgb="FF6D9EEB"/>
      </patternFill>
    </fill>
    <fill>
      <patternFill patternType="solid">
        <fgColor rgb="FF3C78D8"/>
        <bgColor rgb="FF3C78D8"/>
      </patternFill>
    </fill>
    <fill>
      <patternFill patternType="solid">
        <fgColor rgb="FF999999"/>
        <bgColor rgb="FF999999"/>
      </patternFill>
    </fill>
    <fill>
      <patternFill patternType="solid">
        <fgColor rgb="FFFFF2CC"/>
        <bgColor rgb="FFFFF2CC"/>
      </patternFill>
    </fill>
  </fills>
  <borders count="9">
    <border/>
    <border>
      <top style="thin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C0C0C0"/>
      </right>
      <bottom style="thin">
        <color rgb="FF000000"/>
      </bottom>
    </border>
    <border>
      <right style="thin">
        <color rgb="FFC0C0C0"/>
      </right>
      <bottom style="thin">
        <color rgb="FFC0C0C0"/>
      </bottom>
    </border>
    <border>
      <bottom style="thick">
        <color rgb="FF8E7CC3"/>
      </bottom>
    </border>
  </borders>
  <cellStyleXfs count="1">
    <xf borderId="0" fillId="0" fontId="0" numFmtId="0" applyAlignment="1" applyFont="1"/>
  </cellStyleXfs>
  <cellXfs count="344">
    <xf borderId="0" fillId="0" fontId="0" numFmtId="0" xfId="0" applyAlignment="1" applyFont="1">
      <alignment readingOrder="0" shrinkToFit="0" vertical="bottom" wrapText="0"/>
    </xf>
    <xf borderId="0" fillId="0" fontId="1" numFmtId="164" xfId="0" applyFont="1" applyNumberFormat="1"/>
    <xf borderId="0" fillId="0" fontId="2" numFmtId="0" xfId="0" applyAlignment="1" applyFont="1">
      <alignment readingOrder="0" shrinkToFit="0" vertical="bottom" wrapText="0"/>
    </xf>
    <xf borderId="0" fillId="2" fontId="3" numFmtId="0" xfId="0" applyAlignment="1" applyFill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3" fontId="2" numFmtId="0" xfId="0" applyAlignment="1" applyFill="1" applyFont="1">
      <alignment readingOrder="0" shrinkToFit="0" vertical="bottom" wrapText="0"/>
    </xf>
    <xf borderId="0" fillId="2" fontId="3" numFmtId="164" xfId="0" applyAlignment="1" applyFill="1" applyFont="1" applyNumberFormat="1">
      <alignment readingOrder="0" shrinkToFit="0" vertical="bottom" wrapText="0"/>
    </xf>
    <xf borderId="0" fillId="0" fontId="1" numFmtId="0" xfId="0" applyFont="1"/>
    <xf borderId="1" fillId="4" fontId="4" numFmtId="0" xfId="0" applyAlignment="1" applyBorder="1" applyFill="1" applyFont="1">
      <alignment readingOrder="0" shrinkToFit="0" vertical="bottom" wrapText="0"/>
    </xf>
    <xf borderId="1" fillId="5" fontId="4" numFmtId="0" xfId="0" applyAlignment="1" applyBorder="1" applyFill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164" xfId="0" applyAlignment="1" applyFont="1" applyNumberFormat="1">
      <alignment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6" fontId="8" numFmtId="164" xfId="0" applyAlignment="1" applyFill="1" applyFont="1" applyNumberFormat="1">
      <alignment readingOrder="0"/>
    </xf>
    <xf borderId="0" fillId="0" fontId="1" numFmtId="165" xfId="0" applyFont="1" applyNumberFormat="1"/>
    <xf borderId="0" fillId="7" fontId="3" numFmtId="0" xfId="0" applyAlignment="1" applyFill="1" applyFont="1">
      <alignment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9" numFmtId="0" xfId="0" applyAlignment="1" applyFont="1">
      <alignment readingOrder="0" shrinkToFit="0" vertical="bottom" wrapText="0"/>
    </xf>
    <xf borderId="0" fillId="0" fontId="10" numFmtId="0" xfId="0" applyAlignment="1" applyFont="1">
      <alignment horizontal="center" readingOrder="0" shrinkToFit="0" wrapText="0"/>
    </xf>
    <xf borderId="0" fillId="0" fontId="11" numFmtId="0" xfId="0" applyAlignment="1" applyFont="1">
      <alignment horizontal="center" readingOrder="0"/>
    </xf>
    <xf borderId="0" fillId="0" fontId="3" numFmtId="10" xfId="0" applyAlignment="1" applyFont="1" applyNumberFormat="1">
      <alignment readingOrder="0" shrinkToFit="0" vertical="bottom" wrapText="0"/>
    </xf>
    <xf borderId="0" fillId="0" fontId="3" numFmtId="164" xfId="0" applyAlignment="1" applyFont="1" applyNumberFormat="1">
      <alignment readingOrder="0" shrinkToFit="0" vertical="bottom" wrapText="0"/>
    </xf>
    <xf borderId="0" fillId="0" fontId="12" numFmtId="0" xfId="0" applyAlignment="1" applyFont="1">
      <alignment horizontal="left" readingOrder="0" shrinkToFit="0" vertical="bottom" wrapText="0"/>
    </xf>
    <xf borderId="0" fillId="0" fontId="10" numFmtId="0" xfId="0" applyAlignment="1" applyFont="1">
      <alignment horizontal="center" readingOrder="0" shrinkToFit="0" vertical="center" wrapText="0"/>
    </xf>
    <xf borderId="0" fillId="0" fontId="11" numFmtId="0" xfId="0" applyAlignment="1" applyFont="1">
      <alignment horizontal="center" readingOrder="0" shrinkToFit="0" vertical="center" wrapText="0"/>
    </xf>
    <xf borderId="0" fillId="0" fontId="11" numFmtId="49" xfId="0" applyAlignment="1" applyFont="1" applyNumberFormat="1">
      <alignment horizontal="center" readingOrder="0" shrinkToFit="0" vertical="center" wrapText="0"/>
    </xf>
    <xf borderId="0" fillId="0" fontId="11" numFmtId="0" xfId="0" applyAlignment="1" applyFont="1">
      <alignment horizontal="center" readingOrder="0" shrinkToFit="0" vertical="center" wrapText="0"/>
    </xf>
    <xf borderId="0" fillId="0" fontId="8" numFmtId="0" xfId="0" applyAlignment="1" applyFont="1">
      <alignment readingOrder="0"/>
    </xf>
    <xf borderId="0" fillId="8" fontId="2" numFmtId="0" xfId="0" applyAlignment="1" applyFill="1" applyFont="1">
      <alignment horizontal="right" readingOrder="0" shrinkToFit="0" vertical="bottom" wrapText="0"/>
    </xf>
    <xf borderId="0" fillId="2" fontId="2" numFmtId="0" xfId="0" applyAlignment="1" applyFill="1" applyFont="1">
      <alignment readingOrder="0" shrinkToFit="0" vertical="bottom" wrapText="0"/>
    </xf>
    <xf borderId="0" fillId="0" fontId="8" numFmtId="2" xfId="0" applyAlignment="1" applyFont="1" applyNumberFormat="1">
      <alignment readingOrder="0"/>
    </xf>
    <xf borderId="0" fillId="2" fontId="2" numFmtId="164" xfId="0" applyAlignment="1" applyFill="1" applyFont="1" applyNumberFormat="1">
      <alignment readingOrder="0" shrinkToFit="0" vertical="bottom" wrapText="0"/>
    </xf>
    <xf borderId="0" fillId="0" fontId="1" numFmtId="10" xfId="0" applyFont="1" applyNumberFormat="1"/>
    <xf borderId="0" fillId="2" fontId="2" numFmtId="0" xfId="0" applyAlignment="1" applyFill="1" applyFont="1">
      <alignment readingOrder="0" shrinkToFit="0" vertical="bottom" wrapText="0"/>
    </xf>
    <xf borderId="0" fillId="0" fontId="2" numFmtId="2" xfId="0" applyAlignment="1" applyFont="1" applyNumberFormat="1">
      <alignment shrinkToFit="0" vertical="bottom" wrapText="0"/>
    </xf>
    <xf borderId="0" fillId="0" fontId="1" numFmtId="0" xfId="0" applyAlignment="1" applyFont="1">
      <alignment shrinkToFit="0" vertical="center" wrapText="0"/>
    </xf>
    <xf borderId="0" fillId="6" fontId="8" numFmtId="164" xfId="0" applyFill="1" applyFont="1" applyNumberFormat="1"/>
    <xf borderId="0" fillId="7" fontId="2" numFmtId="0" xfId="0" applyAlignment="1" applyFill="1" applyFont="1">
      <alignment shrinkToFit="0" vertical="bottom" wrapText="0"/>
    </xf>
    <xf borderId="0" fillId="0" fontId="1" numFmtId="2" xfId="0" applyAlignment="1" applyFont="1" applyNumberFormat="1">
      <alignment shrinkToFit="0" vertical="center" wrapText="0"/>
    </xf>
    <xf borderId="0" fillId="0" fontId="2" numFmtId="0" xfId="0" applyAlignment="1" applyFont="1">
      <alignment readingOrder="0" shrinkToFit="0" vertical="bottom" wrapText="0"/>
    </xf>
    <xf borderId="0" fillId="7" fontId="8" numFmtId="0" xfId="0" applyAlignment="1" applyFill="1" applyFont="1">
      <alignment readingOrder="0"/>
    </xf>
    <xf borderId="0" fillId="0" fontId="1" numFmtId="0" xfId="0" applyFont="1"/>
    <xf borderId="0" fillId="7" fontId="8" numFmtId="0" xfId="0" applyFill="1" applyFont="1"/>
    <xf borderId="0" fillId="9" fontId="2" numFmtId="0" xfId="0" applyAlignment="1" applyFill="1" applyFont="1">
      <alignment horizontal="right" readingOrder="0" shrinkToFit="0" vertical="bottom" wrapText="0"/>
    </xf>
    <xf borderId="0" fillId="0" fontId="1" numFmtId="49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10" fontId="2" numFmtId="0" xfId="0" applyAlignment="1" applyFill="1" applyFont="1">
      <alignment horizontal="right" readingOrder="0" shrinkToFit="0" vertical="bottom" wrapText="0"/>
    </xf>
    <xf borderId="0" fillId="11" fontId="2" numFmtId="0" xfId="0" applyAlignment="1" applyFill="1" applyFont="1">
      <alignment horizontal="right"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2" fontId="13" numFmtId="0" xfId="0" applyAlignment="1" applyFill="1" applyFont="1">
      <alignment readingOrder="0" shrinkToFit="0" vertical="bottom" wrapText="0"/>
    </xf>
    <xf borderId="0" fillId="6" fontId="2" numFmtId="164" xfId="0" applyAlignment="1" applyFill="1" applyFont="1" applyNumberFormat="1">
      <alignment readingOrder="0" shrinkToFit="0" vertical="bottom" wrapText="0"/>
    </xf>
    <xf borderId="0" fillId="6" fontId="2" numFmtId="0" xfId="0" applyAlignment="1" applyFill="1" applyFont="1">
      <alignment readingOrder="0" shrinkToFit="0" vertical="bottom" wrapText="0"/>
    </xf>
    <xf borderId="0" fillId="6" fontId="2" numFmtId="0" xfId="0" applyAlignment="1" applyFill="1" applyFont="1">
      <alignment readingOrder="0" shrinkToFit="0" vertical="bottom" wrapText="0"/>
    </xf>
    <xf borderId="0" fillId="6" fontId="2" numFmtId="2" xfId="0" applyAlignment="1" applyFill="1" applyFont="1" applyNumberFormat="1">
      <alignment readingOrder="0" shrinkToFit="0" vertical="bottom" wrapText="0"/>
    </xf>
    <xf borderId="0" fillId="0" fontId="1" numFmtId="2" xfId="0" applyFont="1" applyNumberFormat="1"/>
    <xf borderId="2" fillId="0" fontId="2" numFmtId="0" xfId="0" applyAlignment="1" applyBorder="1" applyFont="1">
      <alignment shrinkToFit="0" vertical="bottom" wrapText="0"/>
    </xf>
    <xf borderId="1" fillId="12" fontId="4" numFmtId="0" xfId="0" applyAlignment="1" applyBorder="1" applyFill="1" applyFont="1">
      <alignment readingOrder="0" shrinkToFit="0" vertical="bottom" wrapText="0"/>
    </xf>
    <xf borderId="1" fillId="13" fontId="14" numFmtId="0" xfId="0" applyAlignment="1" applyBorder="1" applyFill="1" applyFont="1">
      <alignment readingOrder="0" shrinkToFit="0" vertical="bottom" wrapText="0"/>
    </xf>
    <xf borderId="1" fillId="13" fontId="4" numFmtId="0" xfId="0" applyAlignment="1" applyBorder="1" applyFill="1" applyFont="1">
      <alignment readingOrder="0" shrinkToFit="0" vertical="bottom" wrapText="0"/>
    </xf>
    <xf borderId="0" fillId="14" fontId="3" numFmtId="0" xfId="0" applyAlignment="1" applyFill="1" applyFont="1">
      <alignment readingOrder="0" shrinkToFit="0" vertical="bottom" wrapText="0"/>
    </xf>
    <xf borderId="1" fillId="15" fontId="4" numFmtId="0" xfId="0" applyAlignment="1" applyBorder="1" applyFill="1" applyFont="1">
      <alignment readingOrder="0" shrinkToFit="0" vertical="bottom" wrapText="0"/>
    </xf>
    <xf borderId="1" fillId="16" fontId="4" numFmtId="0" xfId="0" applyAlignment="1" applyBorder="1" applyFill="1" applyFont="1">
      <alignment readingOrder="0" shrinkToFit="0" vertical="bottom" wrapText="0"/>
    </xf>
    <xf borderId="0" fillId="17" fontId="15" numFmtId="0" xfId="0" applyAlignment="1" applyFill="1" applyFont="1">
      <alignment readingOrder="0"/>
    </xf>
    <xf borderId="0" fillId="18" fontId="16" numFmtId="0" xfId="0" applyAlignment="1" applyFill="1" applyFont="1">
      <alignment readingOrder="0"/>
    </xf>
    <xf borderId="0" fillId="0" fontId="17" numFmtId="0" xfId="0" applyAlignment="1" applyFont="1">
      <alignment readingOrder="0"/>
    </xf>
    <xf borderId="0" fillId="18" fontId="18" numFmtId="0" xfId="0" applyAlignment="1" applyFill="1" applyFont="1">
      <alignment readingOrder="0"/>
    </xf>
    <xf borderId="0" fillId="0" fontId="19" numFmtId="0" xfId="0" applyAlignment="1" applyFont="1">
      <alignment readingOrder="0"/>
    </xf>
    <xf borderId="0" fillId="0" fontId="20" numFmtId="0" xfId="0" applyAlignment="1" applyFont="1">
      <alignment readingOrder="0"/>
    </xf>
    <xf borderId="0" fillId="0" fontId="21" numFmtId="0" xfId="0" applyAlignment="1" applyFont="1">
      <alignment readingOrder="0"/>
    </xf>
    <xf borderId="0" fillId="0" fontId="21" numFmtId="0" xfId="0" applyFont="1"/>
    <xf borderId="0" fillId="0" fontId="22" numFmtId="0" xfId="0" applyAlignment="1" applyFont="1">
      <alignment readingOrder="0" shrinkToFit="0" vertical="bottom" wrapText="0"/>
    </xf>
    <xf borderId="0" fillId="0" fontId="23" numFmtId="0" xfId="0" applyAlignment="1" applyFont="1">
      <alignment readingOrder="0" shrinkToFit="0" vertical="bottom" wrapText="0"/>
    </xf>
    <xf borderId="0" fillId="3" fontId="1" numFmtId="49" xfId="0" applyAlignment="1" applyFill="1" applyFont="1" applyNumberFormat="1">
      <alignment readingOrder="0"/>
    </xf>
    <xf borderId="0" fillId="19" fontId="1" numFmtId="0" xfId="0" applyAlignment="1" applyFill="1" applyFont="1">
      <alignment readingOrder="0"/>
    </xf>
    <xf borderId="0" fillId="19" fontId="1" numFmtId="49" xfId="0" applyAlignment="1" applyFill="1" applyFont="1" applyNumberFormat="1">
      <alignment readingOrder="0"/>
    </xf>
    <xf borderId="0" fillId="0" fontId="21" numFmtId="0" xfId="0" applyAlignment="1" applyFont="1">
      <alignment horizontal="left" readingOrder="0" shrinkToFit="0" vertical="center" wrapText="0"/>
    </xf>
    <xf borderId="0" fillId="0" fontId="21" numFmtId="49" xfId="0" applyAlignment="1" applyFont="1" applyNumberFormat="1">
      <alignment horizontal="left" readingOrder="0" shrinkToFit="0" vertical="center" wrapText="0"/>
    </xf>
    <xf borderId="0" fillId="0" fontId="19" numFmtId="0" xfId="0" applyFont="1"/>
    <xf borderId="0" fillId="0" fontId="11" numFmtId="49" xfId="0" applyAlignment="1" applyFont="1" applyNumberFormat="1">
      <alignment horizontal="left" readingOrder="0" shrinkToFit="0" vertical="bottom" wrapText="0"/>
    </xf>
    <xf borderId="0" fillId="0" fontId="1" numFmtId="49" xfId="0" applyFont="1" applyNumberFormat="1"/>
    <xf borderId="0" fillId="20" fontId="19" numFmtId="0" xfId="0" applyAlignment="1" applyFill="1" applyFont="1">
      <alignment readingOrder="0"/>
    </xf>
    <xf borderId="0" fillId="0" fontId="12" numFmtId="49" xfId="0" applyAlignment="1" applyFont="1" applyNumberFormat="1">
      <alignment horizontal="left" readingOrder="0" shrinkToFit="0" vertical="bottom" wrapText="0"/>
    </xf>
    <xf borderId="0" fillId="0" fontId="24" numFmtId="0" xfId="0" applyAlignment="1" applyFont="1">
      <alignment horizontal="left" readingOrder="0" shrinkToFit="0" vertical="center" wrapText="0"/>
    </xf>
    <xf borderId="0" fillId="0" fontId="21" numFmtId="49" xfId="0" applyAlignment="1" applyFont="1" applyNumberFormat="1">
      <alignment horizontal="left" readingOrder="0" shrinkToFit="0" vertical="center" wrapText="0"/>
    </xf>
    <xf borderId="0" fillId="0" fontId="1" numFmtId="49" xfId="0" applyAlignment="1" applyFont="1" applyNumberFormat="1">
      <alignment horizontal="center" readingOrder="0"/>
    </xf>
    <xf borderId="0" fillId="0" fontId="2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/>
    </xf>
    <xf borderId="0" fillId="20" fontId="1" numFmtId="0" xfId="0" applyAlignment="1" applyFill="1" applyFont="1">
      <alignment readingOrder="0"/>
    </xf>
    <xf borderId="0" fillId="0" fontId="1" numFmtId="14" xfId="0" applyAlignment="1" applyFont="1" applyNumberFormat="1">
      <alignment readingOrder="0"/>
    </xf>
    <xf borderId="0" fillId="21" fontId="21" numFmtId="0" xfId="0" applyAlignment="1" applyFill="1" applyFont="1">
      <alignment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18" fontId="21" numFmtId="0" xfId="0" applyAlignment="1" applyFill="1" applyFont="1">
      <alignment readingOrder="0" shrinkToFit="0" vertical="center" wrapText="0"/>
    </xf>
    <xf borderId="0" fillId="0" fontId="21" numFmtId="0" xfId="0" applyAlignment="1" applyFont="1">
      <alignment shrinkToFit="0" vertical="center" wrapText="0"/>
    </xf>
    <xf borderId="0" fillId="18" fontId="21" numFmtId="0" xfId="0" applyAlignment="1" applyFill="1" applyFont="1">
      <alignment readingOrder="0" shrinkToFit="0" vertical="center" wrapText="0"/>
    </xf>
    <xf borderId="0" fillId="0" fontId="19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18" fontId="21" numFmtId="0" xfId="0" applyAlignment="1" applyFill="1" applyFont="1">
      <alignment readingOrder="0"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1" numFmtId="0" xfId="0" applyAlignment="1" applyFont="1">
      <alignment readingOrder="0" shrinkToFit="0" vertical="center" wrapText="0"/>
    </xf>
    <xf borderId="0" fillId="0" fontId="21" numFmtId="0" xfId="0" applyAlignment="1" applyFont="1">
      <alignment shrinkToFit="0" vertical="center" wrapText="0"/>
    </xf>
    <xf borderId="0" fillId="0" fontId="21" numFmtId="0" xfId="0" applyAlignment="1" applyFont="1">
      <alignment shrinkToFit="0" vertical="center" wrapText="0"/>
    </xf>
    <xf borderId="0" fillId="0" fontId="19" numFmtId="0" xfId="0" applyAlignment="1" applyFont="1">
      <alignment readingOrder="0" shrinkToFit="0" vertical="center" wrapText="0"/>
    </xf>
    <xf borderId="0" fillId="0" fontId="21" numFmtId="166" xfId="0" applyAlignment="1" applyFont="1" applyNumberFormat="1">
      <alignment shrinkToFit="0" vertical="center" wrapText="0"/>
    </xf>
    <xf borderId="0" fillId="0" fontId="2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1" numFmtId="0" xfId="0" applyAlignment="1" applyFont="1">
      <alignment readingOrder="0" shrinkToFit="0" vertical="center" wrapText="0"/>
    </xf>
    <xf borderId="0" fillId="0" fontId="21" numFmtId="167" xfId="0" applyAlignment="1" applyFont="1" applyNumberFormat="1">
      <alignment readingOrder="0" shrinkToFit="0" vertical="center" wrapText="0"/>
    </xf>
    <xf borderId="0" fillId="0" fontId="2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5" numFmtId="0" xfId="0" applyAlignment="1" applyFont="1">
      <alignment readingOrder="0" shrinkToFit="0" vertical="bottom" wrapText="0"/>
    </xf>
    <xf borderId="0" fillId="0" fontId="21" numFmtId="165" xfId="0" applyFont="1" applyNumberFormat="1"/>
    <xf borderId="0" fillId="0" fontId="21" numFmtId="49" xfId="0" applyAlignment="1" applyFont="1" applyNumberFormat="1">
      <alignment readingOrder="0" shrinkToFit="0" vertical="center" wrapText="0"/>
    </xf>
    <xf borderId="0" fillId="0" fontId="21" numFmtId="0" xfId="0" applyAlignment="1" applyFont="1">
      <alignment shrinkToFit="0" vertical="center" wrapText="0"/>
    </xf>
    <xf borderId="0" fillId="0" fontId="21" numFmtId="0" xfId="0" applyAlignment="1" applyFont="1">
      <alignment shrinkToFit="0" vertical="center" wrapText="0"/>
    </xf>
    <xf borderId="0" fillId="0" fontId="21" numFmtId="0" xfId="0" applyAlignment="1" applyFont="1">
      <alignment shrinkToFit="0" vertical="center" wrapText="0"/>
    </xf>
    <xf borderId="0" fillId="0" fontId="21" numFmtId="166" xfId="0" applyAlignment="1" applyFont="1" applyNumberFormat="1">
      <alignment shrinkToFit="0" vertical="center" wrapText="0"/>
    </xf>
    <xf borderId="0" fillId="0" fontId="21" numFmtId="0" xfId="0" applyAlignment="1" applyFont="1">
      <alignment readingOrder="0" shrinkToFit="0" vertical="center" wrapText="0"/>
    </xf>
    <xf borderId="0" fillId="0" fontId="26" numFmtId="0" xfId="0" applyAlignment="1" applyFont="1">
      <alignment shrinkToFit="0" vertical="bottom" wrapText="0"/>
    </xf>
    <xf borderId="0" fillId="0" fontId="21" numFmtId="49" xfId="0" applyAlignment="1" applyFont="1" applyNumberFormat="1">
      <alignment readingOrder="0" shrinkToFit="0" vertical="center" wrapText="0"/>
    </xf>
    <xf borderId="0" fillId="0" fontId="21" numFmtId="0" xfId="0" applyAlignment="1" applyFont="1">
      <alignment readingOrder="0" shrinkToFit="0" vertical="center" wrapText="0"/>
    </xf>
    <xf borderId="0" fillId="0" fontId="21" numFmtId="0" xfId="0" applyAlignment="1" applyFont="1">
      <alignment readingOrder="0"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6" xfId="0" applyAlignment="1" applyFont="1" applyNumberFormat="1">
      <alignment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167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22" fontId="21" numFmtId="0" xfId="0" applyAlignment="1" applyFill="1" applyFont="1">
      <alignment readingOrder="0" shrinkToFit="0" vertical="center" wrapText="0"/>
    </xf>
    <xf borderId="0" fillId="0" fontId="21" numFmtId="0" xfId="0" applyAlignment="1" applyFont="1">
      <alignment readingOrder="0" shrinkToFit="0" vertical="center" wrapText="0"/>
    </xf>
    <xf borderId="0" fillId="23" fontId="8" numFmtId="0" xfId="0" applyAlignment="1" applyFill="1" applyFont="1">
      <alignment readingOrder="0"/>
    </xf>
    <xf borderId="0" fillId="18" fontId="1" numFmtId="0" xfId="0" applyAlignment="1" applyFill="1" applyFont="1">
      <alignment readingOrder="0"/>
    </xf>
    <xf borderId="0" fillId="0" fontId="1" numFmtId="49" xfId="0" applyAlignment="1" applyFont="1" applyNumberFormat="1">
      <alignment readingOrder="0"/>
    </xf>
    <xf borderId="0" fillId="24" fontId="21" numFmtId="0" xfId="0" applyAlignment="1" applyFill="1" applyFont="1">
      <alignment readingOrder="0" shrinkToFit="0" vertical="center" wrapText="0"/>
    </xf>
    <xf borderId="0" fillId="18" fontId="21" numFmtId="0" xfId="0" applyAlignment="1" applyFill="1" applyFont="1">
      <alignment readingOrder="0" shrinkToFit="0" vertical="center" wrapText="0"/>
    </xf>
    <xf borderId="0" fillId="0" fontId="27" numFmtId="0" xfId="0" applyAlignment="1" applyFont="1">
      <alignment readingOrder="0" shrinkToFit="0" vertical="center" wrapText="0"/>
    </xf>
    <xf borderId="0" fillId="25" fontId="1" numFmtId="0" xfId="0" applyAlignment="1" applyFill="1" applyFont="1">
      <alignment readingOrder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8" fontId="1" numFmtId="0" xfId="0" applyAlignment="1" applyFill="1" applyFont="1">
      <alignment readingOrder="0"/>
    </xf>
    <xf borderId="0" fillId="0" fontId="19" numFmtId="0" xfId="0" applyAlignment="1" applyFont="1">
      <alignment readingOrder="0" shrinkToFit="0" vertical="bottom" wrapText="0"/>
    </xf>
    <xf borderId="0" fillId="26" fontId="1" numFmtId="49" xfId="0" applyAlignment="1" applyFill="1" applyFont="1" applyNumberFormat="1">
      <alignment readingOrder="0"/>
    </xf>
    <xf borderId="0" fillId="0" fontId="28" numFmtId="0" xfId="0" applyAlignment="1" applyFont="1">
      <alignment vertical="bottom"/>
    </xf>
    <xf borderId="0" fillId="0" fontId="28" numFmtId="165" xfId="0" applyAlignment="1" applyFont="1" applyNumberFormat="1">
      <alignment horizontal="right" vertical="bottom"/>
    </xf>
    <xf borderId="0" fillId="27" fontId="21" numFmtId="0" xfId="0" applyAlignment="1" applyFill="1" applyFont="1">
      <alignment readingOrder="0" shrinkToFit="0" vertical="center" wrapText="0"/>
    </xf>
    <xf borderId="0" fillId="0" fontId="21" numFmtId="0" xfId="0" applyAlignment="1" applyFont="1">
      <alignment shrinkToFit="0" vertical="center" wrapText="0"/>
    </xf>
    <xf borderId="0" fillId="0" fontId="21" numFmtId="165" xfId="0" applyAlignment="1" applyFont="1" applyNumberFormat="1">
      <alignment shrinkToFit="0" vertical="center" wrapText="0"/>
    </xf>
    <xf borderId="0" fillId="22" fontId="1" numFmtId="0" xfId="0" applyAlignment="1" applyFill="1" applyFont="1">
      <alignment readingOrder="0" shrinkToFit="0" vertical="center" wrapText="0"/>
    </xf>
    <xf borderId="0" fillId="27" fontId="21" numFmtId="49" xfId="0" applyAlignment="1" applyFill="1" applyFont="1" applyNumberFormat="1">
      <alignment readingOrder="0" shrinkToFit="0" vertical="center" wrapText="0"/>
    </xf>
    <xf borderId="0" fillId="9" fontId="29" numFmtId="2" xfId="0" applyAlignment="1" applyFill="1" applyFont="1" applyNumberFormat="1">
      <alignment vertical="bottom"/>
    </xf>
    <xf borderId="0" fillId="28" fontId="21" numFmtId="0" xfId="0" applyAlignment="1" applyFill="1" applyFont="1">
      <alignment readingOrder="0" shrinkToFit="0" vertical="center" wrapText="0"/>
    </xf>
    <xf borderId="0" fillId="9" fontId="19" numFmtId="2" xfId="0" applyFill="1" applyFont="1" applyNumberFormat="1"/>
    <xf borderId="0" fillId="24" fontId="1" numFmtId="0" xfId="0" applyAlignment="1" applyFill="1" applyFont="1">
      <alignment readingOrder="0"/>
    </xf>
    <xf borderId="0" fillId="29" fontId="21" numFmtId="0" xfId="0" applyAlignment="1" applyFill="1" applyFont="1">
      <alignment readingOrder="0" shrinkToFit="0" vertical="center" wrapText="0"/>
    </xf>
    <xf borderId="0" fillId="0" fontId="21" numFmtId="0" xfId="0" applyAlignment="1" applyFont="1">
      <alignment readingOrder="0" shrinkToFit="0" vertical="center" wrapText="0"/>
    </xf>
    <xf borderId="0" fillId="0" fontId="1" numFmtId="165" xfId="0" applyAlignment="1" applyFont="1" applyNumberFormat="1">
      <alignment shrinkToFit="0" vertical="center" wrapText="0"/>
    </xf>
    <xf borderId="0" fillId="0" fontId="19" numFmtId="0" xfId="0" applyAlignment="1" applyFont="1">
      <alignment horizontal="center" readingOrder="0" vertical="center"/>
    </xf>
    <xf borderId="0" fillId="0" fontId="30" numFmtId="0" xfId="0" applyAlignment="1" applyFont="1">
      <alignment horizontal="center" readingOrder="0" vertical="center"/>
    </xf>
    <xf borderId="0" fillId="0" fontId="31" numFmtId="0" xfId="0" applyAlignment="1" applyFont="1">
      <alignment horizontal="center" readingOrder="0" vertical="center"/>
    </xf>
    <xf borderId="0" fillId="0" fontId="32" numFmtId="0" xfId="0" applyAlignment="1" applyFont="1">
      <alignment horizontal="center" readingOrder="0" vertical="center"/>
    </xf>
    <xf borderId="0" fillId="0" fontId="33" numFmtId="0" xfId="0" applyAlignment="1" applyFont="1">
      <alignment horizontal="center" readingOrder="0" vertical="center"/>
    </xf>
    <xf borderId="0" fillId="0" fontId="34" numFmtId="0" xfId="0" applyAlignment="1" applyFont="1">
      <alignment horizontal="center" readingOrder="0" vertical="center"/>
    </xf>
    <xf borderId="0" fillId="0" fontId="1" numFmtId="0" xfId="0" applyAlignment="1" applyFont="1">
      <alignment readingOrder="0" vertical="bottom"/>
    </xf>
    <xf borderId="0" fillId="0" fontId="19" numFmtId="49" xfId="0" applyAlignment="1" applyFont="1" applyNumberFormat="1">
      <alignment readingOrder="0" shrinkToFit="0" vertical="center" wrapText="0"/>
    </xf>
    <xf borderId="0" fillId="30" fontId="21" numFmtId="0" xfId="0" applyAlignment="1" applyFill="1" applyFont="1">
      <alignment readingOrder="0" shrinkToFit="0" vertical="center" wrapText="0"/>
    </xf>
    <xf borderId="0" fillId="0" fontId="8" numFmtId="0" xfId="0" applyFont="1"/>
    <xf borderId="0" fillId="31" fontId="11" numFmtId="0" xfId="0" applyAlignment="1" applyFill="1" applyFont="1">
      <alignment horizontal="left" readingOrder="0" shrinkToFit="0" vertical="bottom" wrapText="0"/>
    </xf>
    <xf borderId="0" fillId="31" fontId="4" numFmtId="0" xfId="0" applyAlignment="1" applyFill="1" applyFont="1">
      <alignment readingOrder="0" vertical="bottom"/>
    </xf>
    <xf borderId="0" fillId="0" fontId="12" numFmtId="0" xfId="0" applyAlignment="1" applyFont="1">
      <alignment readingOrder="0" shrinkToFit="0" vertical="bottom" wrapText="0"/>
    </xf>
    <xf borderId="0" fillId="0" fontId="12" numFmtId="0" xfId="0" applyAlignment="1" applyFont="1">
      <alignment horizontal="right" readingOrder="0" shrinkToFit="0" vertical="bottom" wrapText="0"/>
    </xf>
    <xf borderId="0" fillId="0" fontId="12" numFmtId="0" xfId="0" applyAlignment="1" applyFont="1">
      <alignment horizontal="right" shrinkToFit="0" vertical="bottom" wrapText="0"/>
    </xf>
    <xf borderId="0" fillId="32" fontId="35" numFmtId="0" xfId="0" applyAlignment="1" applyFill="1" applyFont="1">
      <alignment readingOrder="0"/>
    </xf>
    <xf borderId="0" fillId="33" fontId="35" numFmtId="0" xfId="0" applyAlignment="1" applyFill="1" applyFont="1">
      <alignment readingOrder="0"/>
    </xf>
    <xf borderId="0" fillId="0" fontId="12" numFmtId="2" xfId="0" applyAlignment="1" applyFont="1" applyNumberFormat="1">
      <alignment shrinkToFit="0" vertical="bottom" wrapText="0"/>
    </xf>
    <xf borderId="0" fillId="0" fontId="8" numFmtId="0" xfId="0" applyAlignment="1" applyFont="1">
      <alignment readingOrder="0" shrinkToFit="0" vertical="center" wrapText="0"/>
    </xf>
    <xf borderId="0" fillId="0" fontId="8" numFmtId="0" xfId="0" applyAlignment="1" applyFont="1">
      <alignment readingOrder="0" shrinkToFit="0" vertical="center" wrapText="0"/>
    </xf>
    <xf borderId="0" fillId="0" fontId="8" numFmtId="0" xfId="0" applyAlignment="1" applyFont="1">
      <alignment readingOrder="0" shrinkToFit="0" vertical="center" wrapText="0"/>
    </xf>
    <xf borderId="0" fillId="0" fontId="36" numFmtId="0" xfId="0" applyAlignment="1" applyFont="1">
      <alignment shrinkToFit="0" vertical="bottom" wrapText="0"/>
    </xf>
    <xf borderId="0" fillId="0" fontId="36" numFmtId="0" xfId="0" applyAlignment="1" applyFont="1">
      <alignment readingOrder="0" shrinkToFit="0" vertical="bottom" wrapText="0"/>
    </xf>
    <xf borderId="1" fillId="9" fontId="37" numFmtId="0" xfId="0" applyAlignment="1" applyBorder="1" applyFill="1" applyFont="1">
      <alignment horizontal="center" readingOrder="0" shrinkToFit="0" wrapText="0"/>
    </xf>
    <xf borderId="0" fillId="0" fontId="36" numFmtId="0" xfId="0" applyAlignment="1" applyFont="1">
      <alignment horizontal="right" readingOrder="0" shrinkToFit="0" vertical="bottom" wrapText="0"/>
    </xf>
    <xf borderId="0" fillId="0" fontId="36" numFmtId="168" xfId="0" applyAlignment="1" applyFont="1" applyNumberFormat="1">
      <alignment horizontal="right" readingOrder="0" shrinkToFit="0" vertical="bottom" wrapText="0"/>
    </xf>
    <xf borderId="0" fillId="29" fontId="1" numFmtId="49" xfId="0" applyAlignment="1" applyFill="1" applyFont="1" applyNumberFormat="1">
      <alignment readingOrder="0" shrinkToFit="0" vertical="center" wrapText="0"/>
    </xf>
    <xf borderId="0" fillId="0" fontId="36" numFmtId="169" xfId="0" applyAlignment="1" applyFont="1" applyNumberFormat="1">
      <alignment horizontal="right" readingOrder="0" shrinkToFit="0" vertical="bottom" wrapText="0"/>
    </xf>
    <xf borderId="0" fillId="0" fontId="38" numFmtId="0" xfId="0" applyAlignment="1" applyFont="1">
      <alignment readingOrder="0" shrinkToFit="0" vertical="bottom" wrapText="0"/>
    </xf>
    <xf borderId="0" fillId="0" fontId="8" numFmtId="0" xfId="0" applyAlignment="1" applyFont="1">
      <alignment shrinkToFit="0" vertical="center" wrapText="0"/>
    </xf>
    <xf borderId="0" fillId="0" fontId="21" numFmtId="0" xfId="0" applyAlignment="1" applyFont="1">
      <alignment readingOrder="0" shrinkToFit="0" vertical="center" wrapText="0"/>
    </xf>
    <xf borderId="0" fillId="0" fontId="28" numFmtId="0" xfId="0" applyAlignment="1" applyFont="1">
      <alignment shrinkToFit="0" vertical="top" wrapText="0"/>
    </xf>
    <xf borderId="0" fillId="0" fontId="29" numFmtId="0" xfId="0" applyAlignment="1" applyFont="1">
      <alignment readingOrder="0" shrinkToFit="0" vertical="top" wrapText="0"/>
    </xf>
    <xf borderId="0" fillId="0" fontId="29" numFmtId="0" xfId="0" applyAlignment="1" applyFont="1">
      <alignment horizontal="center" shrinkToFit="0" wrapText="0"/>
    </xf>
    <xf borderId="0" fillId="0" fontId="28" numFmtId="0" xfId="0" applyAlignment="1" applyFont="1">
      <alignment readingOrder="0" shrinkToFit="0" vertical="top" wrapText="0"/>
    </xf>
    <xf borderId="0" fillId="0" fontId="28" numFmtId="0" xfId="0" applyAlignment="1" applyFont="1">
      <alignment horizontal="right" readingOrder="0" shrinkToFit="0" vertical="top" wrapText="0"/>
    </xf>
    <xf borderId="0" fillId="0" fontId="8" numFmtId="2" xfId="0" applyAlignment="1" applyFont="1" applyNumberFormat="1">
      <alignment shrinkToFit="0" vertical="center" wrapText="0"/>
    </xf>
    <xf borderId="0" fillId="0" fontId="8" numFmtId="0" xfId="0" applyAlignment="1" applyFont="1">
      <alignment shrinkToFit="0" vertical="center" wrapText="0"/>
    </xf>
    <xf borderId="0" fillId="0" fontId="29" numFmtId="0" xfId="0" applyAlignment="1" applyFont="1">
      <alignment horizontal="center" readingOrder="0" shrinkToFit="0" wrapText="0"/>
    </xf>
    <xf borderId="0" fillId="34" fontId="29" numFmtId="0" xfId="0" applyAlignment="1" applyFill="1" applyFont="1">
      <alignment readingOrder="0" shrinkToFit="0" vertical="top" wrapText="0"/>
    </xf>
    <xf borderId="0" fillId="35" fontId="29" numFmtId="0" xfId="0" applyAlignment="1" applyFill="1" applyFont="1">
      <alignment readingOrder="0" shrinkToFit="0" vertical="top" wrapText="0"/>
    </xf>
    <xf borderId="0" fillId="36" fontId="29" numFmtId="0" xfId="0" applyAlignment="1" applyFill="1" applyFont="1">
      <alignment readingOrder="0" shrinkToFit="0" vertical="top" wrapText="0"/>
    </xf>
    <xf borderId="0" fillId="0" fontId="29" numFmtId="0" xfId="0" applyAlignment="1" applyFont="1">
      <alignment horizontal="right" readingOrder="0" shrinkToFit="0" vertical="top" wrapText="0"/>
    </xf>
    <xf borderId="0" fillId="0" fontId="28" numFmtId="168" xfId="0" applyAlignment="1" applyFont="1" applyNumberFormat="1">
      <alignment horizontal="right" readingOrder="0" shrinkToFit="0" vertical="top" wrapText="0"/>
    </xf>
    <xf borderId="0" fillId="0" fontId="28" numFmtId="165" xfId="0" applyAlignment="1" applyFont="1" applyNumberFormat="1">
      <alignment horizontal="right" shrinkToFit="0" vertical="bottom" wrapText="0"/>
    </xf>
    <xf borderId="0" fillId="0" fontId="28" numFmtId="0" xfId="0" applyAlignment="1" applyFont="1">
      <alignment horizontal="center" readingOrder="0" shrinkToFit="0" vertical="bottom" wrapText="0"/>
    </xf>
    <xf borderId="0" fillId="0" fontId="28" numFmtId="0" xfId="0" applyAlignment="1" applyFont="1">
      <alignment horizontal="right" readingOrder="0" shrinkToFit="0" vertical="bottom" wrapText="0"/>
    </xf>
    <xf borderId="0" fillId="0" fontId="28" numFmtId="167" xfId="0" applyAlignment="1" applyFont="1" applyNumberFormat="1">
      <alignment horizontal="right" readingOrder="0" shrinkToFit="0" vertical="bottom" wrapText="0"/>
    </xf>
    <xf borderId="0" fillId="0" fontId="28" numFmtId="0" xfId="0" applyAlignment="1" applyFont="1">
      <alignment horizontal="right" readingOrder="0" shrinkToFit="0" vertical="bottom" wrapText="0"/>
    </xf>
    <xf borderId="0" fillId="37" fontId="1" numFmtId="0" xfId="0" applyAlignment="1" applyFill="1" applyFont="1">
      <alignment readingOrder="0" shrinkToFit="0" vertical="center" wrapText="0"/>
    </xf>
    <xf borderId="0" fillId="26" fontId="21" numFmtId="0" xfId="0" applyAlignment="1" applyFill="1" applyFont="1">
      <alignment readingOrder="0" shrinkToFit="0" vertical="center" wrapText="0"/>
    </xf>
    <xf borderId="0" fillId="38" fontId="39" numFmtId="0" xfId="0" applyAlignment="1" applyFill="1" applyFont="1">
      <alignment horizontal="center"/>
    </xf>
    <xf borderId="0" fillId="39" fontId="40" numFmtId="0" xfId="0" applyAlignment="1" applyFill="1" applyFont="1">
      <alignment horizontal="center" readingOrder="0"/>
    </xf>
    <xf borderId="3" fillId="39" fontId="41" numFmtId="0" xfId="0" applyAlignment="1" applyBorder="1" applyFill="1" applyFont="1">
      <alignment vertical="bottom"/>
    </xf>
    <xf borderId="4" fillId="39" fontId="42" numFmtId="0" xfId="0" applyAlignment="1" applyBorder="1" applyFill="1" applyFont="1">
      <alignment horizontal="center" shrinkToFit="0" vertical="top" wrapText="0"/>
    </xf>
    <xf borderId="4" fillId="39" fontId="42" numFmtId="0" xfId="0" applyAlignment="1" applyBorder="1" applyFill="1" applyFont="1">
      <alignment horizontal="left" shrinkToFit="0" vertical="top" wrapText="0"/>
    </xf>
    <xf borderId="5" fillId="39" fontId="43" numFmtId="0" xfId="0" applyAlignment="1" applyBorder="1" applyFill="1" applyFont="1">
      <alignment horizontal="left" shrinkToFit="0" vertical="bottom" wrapText="0"/>
    </xf>
    <xf borderId="0" fillId="40" fontId="43" numFmtId="0" xfId="0" applyAlignment="1" applyFill="1" applyFont="1">
      <alignment horizontal="left" readingOrder="0" shrinkToFit="0" vertical="top" wrapText="0"/>
    </xf>
    <xf borderId="0" fillId="40" fontId="43" numFmtId="0" xfId="0" applyAlignment="1" applyFill="1" applyFont="1">
      <alignment horizontal="center" shrinkToFit="0" vertical="top" wrapText="0"/>
    </xf>
    <xf borderId="0" fillId="40" fontId="43" numFmtId="0" xfId="0" applyAlignment="1" applyFill="1" applyFont="1">
      <alignment horizontal="left" shrinkToFit="0" vertical="top" wrapText="0"/>
    </xf>
    <xf borderId="4" fillId="40" fontId="43" numFmtId="0" xfId="0" applyAlignment="1" applyBorder="1" applyFill="1" applyFont="1">
      <alignment horizontal="left" shrinkToFit="0" vertical="top" wrapText="0"/>
    </xf>
    <xf borderId="4" fillId="40" fontId="43" numFmtId="0" xfId="0" applyAlignment="1" applyBorder="1" applyFill="1" applyFont="1">
      <alignment horizontal="center" shrinkToFit="0" vertical="top" wrapText="0"/>
    </xf>
    <xf borderId="5" fillId="39" fontId="44" numFmtId="0" xfId="0" applyAlignment="1" applyBorder="1" applyFill="1" applyFont="1">
      <alignment horizontal="left" readingOrder="0" shrinkToFit="0" vertical="top" wrapText="0"/>
    </xf>
    <xf borderId="5" fillId="39" fontId="42" numFmtId="0" xfId="0" applyAlignment="1" applyBorder="1" applyFill="1" applyFont="1">
      <alignment horizontal="center" shrinkToFit="0" vertical="top" wrapText="0"/>
    </xf>
    <xf borderId="3" fillId="39" fontId="42" numFmtId="0" xfId="0" applyAlignment="1" applyBorder="1" applyFill="1" applyFont="1">
      <alignment horizontal="left" shrinkToFit="0" vertical="top" wrapText="0"/>
    </xf>
    <xf borderId="3" fillId="39" fontId="42" numFmtId="0" xfId="0" applyAlignment="1" applyBorder="1" applyFill="1" applyFont="1">
      <alignment horizontal="center" shrinkToFit="0" vertical="top" wrapText="0"/>
    </xf>
    <xf borderId="3" fillId="39" fontId="42" numFmtId="0" xfId="0" applyAlignment="1" applyBorder="1" applyFill="1" applyFont="1">
      <alignment horizontal="center" shrinkToFit="0" vertical="top" wrapText="0"/>
    </xf>
    <xf borderId="3" fillId="39" fontId="42" numFmtId="0" xfId="0" applyAlignment="1" applyBorder="1" applyFill="1" applyFont="1">
      <alignment horizontal="left" shrinkToFit="0" vertical="top" wrapText="0"/>
    </xf>
    <xf borderId="3" fillId="39" fontId="45" numFmtId="0" xfId="0" applyAlignment="1" applyBorder="1" applyFill="1" applyFont="1">
      <alignment horizontal="left" shrinkToFit="0" vertical="top" wrapText="1"/>
    </xf>
    <xf borderId="3" fillId="40" fontId="45" numFmtId="0" xfId="0" applyAlignment="1" applyBorder="1" applyFill="1" applyFont="1">
      <alignment horizontal="center" readingOrder="0" shrinkToFit="0" vertical="top" wrapText="1"/>
    </xf>
    <xf borderId="3" fillId="40" fontId="45" numFmtId="0" xfId="0" applyAlignment="1" applyBorder="1" applyFill="1" applyFont="1">
      <alignment horizontal="left" readingOrder="0" shrinkToFit="0" vertical="top" wrapText="1"/>
    </xf>
    <xf borderId="3" fillId="40" fontId="45" numFmtId="0" xfId="0" applyAlignment="1" applyBorder="1" applyFill="1" applyFont="1">
      <alignment horizontal="right" readingOrder="0" shrinkToFit="0" vertical="top" wrapText="1"/>
    </xf>
    <xf borderId="0" fillId="41" fontId="46" numFmtId="0" xfId="0" applyAlignment="1" applyFill="1" applyFont="1">
      <alignment horizontal="center"/>
    </xf>
    <xf borderId="0" fillId="41" fontId="41" numFmtId="0" xfId="0" applyAlignment="1" applyFill="1" applyFont="1">
      <alignment vertical="bottom"/>
    </xf>
    <xf borderId="6" fillId="39" fontId="42" numFmtId="0" xfId="0" applyAlignment="1" applyBorder="1" applyFill="1" applyFont="1">
      <alignment horizontal="left" shrinkToFit="0" vertical="top" wrapText="0"/>
    </xf>
    <xf borderId="7" fillId="39" fontId="47" numFmtId="0" xfId="0" applyAlignment="1" applyBorder="1" applyFill="1" applyFont="1">
      <alignment horizontal="left" readingOrder="0" shrinkToFit="0" vertical="top" wrapText="0"/>
    </xf>
    <xf borderId="7" fillId="39" fontId="47" numFmtId="0" xfId="0" applyAlignment="1" applyBorder="1" applyFill="1" applyFont="1">
      <alignment horizontal="center" readingOrder="0" shrinkToFit="0" vertical="top" wrapText="0"/>
    </xf>
    <xf borderId="7" fillId="39" fontId="47" numFmtId="0" xfId="0" applyAlignment="1" applyBorder="1" applyFill="1" applyFont="1">
      <alignment horizontal="right" readingOrder="0" shrinkToFit="0" vertical="top" wrapText="0"/>
    </xf>
    <xf borderId="7" fillId="39" fontId="42" numFmtId="0" xfId="0" applyAlignment="1" applyBorder="1" applyFill="1" applyFont="1">
      <alignment horizontal="left" shrinkToFit="0" vertical="top" wrapText="0"/>
    </xf>
    <xf borderId="0" fillId="42" fontId="21" numFmtId="0" xfId="0" applyAlignment="1" applyFill="1" applyFont="1">
      <alignment readingOrder="0" shrinkToFit="0" vertical="center" wrapText="0"/>
    </xf>
    <xf borderId="0" fillId="0" fontId="28" numFmtId="166" xfId="0" applyAlignment="1" applyFont="1" applyNumberFormat="1">
      <alignment horizontal="right" shrinkToFit="0" vertical="bottom" wrapText="0"/>
    </xf>
    <xf borderId="0" fillId="0" fontId="28" numFmtId="0" xfId="0" applyAlignment="1" applyFont="1">
      <alignment horizontal="left" readingOrder="0" shrinkToFit="0" vertical="bottom" wrapText="0"/>
    </xf>
    <xf borderId="0" fillId="0" fontId="28" numFmtId="167" xfId="0" applyAlignment="1" applyFont="1" applyNumberFormat="1">
      <alignment horizontal="left" readingOrder="0" shrinkToFit="0" vertical="bottom" wrapText="0"/>
    </xf>
    <xf borderId="0" fillId="0" fontId="28" numFmtId="0" xfId="0" applyAlignment="1" applyFont="1">
      <alignment horizontal="left" readingOrder="0" shrinkToFit="0" vertical="bottom" wrapText="0"/>
    </xf>
    <xf borderId="0" fillId="43" fontId="21" numFmtId="0" xfId="0" applyAlignment="1" applyFill="1" applyFont="1">
      <alignment readingOrder="0" shrinkToFit="0" vertical="center" wrapText="0"/>
    </xf>
    <xf borderId="0" fillId="0" fontId="21" numFmtId="0" xfId="0" applyAlignment="1" applyFont="1">
      <alignment readingOrder="0" shrinkToFit="0" vertical="center" wrapText="0"/>
    </xf>
    <xf borderId="0" fillId="0" fontId="48" numFmtId="0" xfId="0" applyAlignment="1" applyFont="1">
      <alignment readingOrder="0" shrinkToFit="0" vertical="center" wrapText="0"/>
    </xf>
    <xf borderId="0" fillId="19" fontId="21" numFmtId="0" xfId="0" applyAlignment="1" applyFill="1" applyFont="1">
      <alignment readingOrder="0" shrinkToFit="0" vertical="center" wrapText="0"/>
    </xf>
    <xf borderId="0" fillId="29" fontId="21" numFmtId="49" xfId="0" applyAlignment="1" applyFill="1" applyFont="1" applyNumberFormat="1">
      <alignment readingOrder="0" shrinkToFit="0" vertical="center" wrapText="0"/>
    </xf>
    <xf borderId="0" fillId="25" fontId="1" numFmtId="0" xfId="0" applyAlignment="1" applyFill="1" applyFont="1">
      <alignment readingOrder="0" shrinkToFit="0" vertical="center" wrapText="0"/>
    </xf>
    <xf borderId="0" fillId="44" fontId="21" numFmtId="49" xfId="0" applyAlignment="1" applyFill="1" applyFont="1" applyNumberFormat="1">
      <alignment readingOrder="0" shrinkToFit="0" vertical="center" wrapText="0"/>
    </xf>
    <xf borderId="0" fillId="44" fontId="21" numFmtId="0" xfId="0" applyAlignment="1" applyFill="1" applyFont="1">
      <alignment readingOrder="0" shrinkToFit="0" vertical="center" wrapText="0"/>
    </xf>
    <xf borderId="0" fillId="0" fontId="1" numFmtId="10" xfId="0" applyAlignment="1" applyFont="1" applyNumberFormat="1">
      <alignment readingOrder="0" shrinkToFit="0" vertical="center" wrapText="0"/>
    </xf>
    <xf borderId="0" fillId="37" fontId="21" numFmtId="0" xfId="0" applyAlignment="1" applyFill="1" applyFont="1">
      <alignment readingOrder="0" shrinkToFit="0" vertical="center" wrapText="0"/>
    </xf>
    <xf borderId="0" fillId="0" fontId="21" numFmtId="10" xfId="0" applyAlignment="1" applyFont="1" applyNumberFormat="1">
      <alignment readingOrder="0" shrinkToFit="0" vertical="center" wrapText="0"/>
    </xf>
    <xf borderId="0" fillId="37" fontId="1" numFmtId="49" xfId="0" applyAlignment="1" applyFill="1" applyFont="1" applyNumberFormat="1">
      <alignment readingOrder="0" shrinkToFit="0" vertical="center" wrapText="0"/>
    </xf>
    <xf borderId="3" fillId="39" fontId="49" numFmtId="0" xfId="0" applyAlignment="1" applyBorder="1" applyFill="1" applyFont="1">
      <alignment horizontal="left" shrinkToFit="0" vertical="bottom" wrapText="0"/>
    </xf>
    <xf borderId="3" fillId="39" fontId="49" numFmtId="0" xfId="0" applyAlignment="1" applyBorder="1" applyFill="1" applyFont="1">
      <alignment horizontal="center" shrinkToFit="0" vertical="top" wrapText="0"/>
    </xf>
    <xf borderId="3" fillId="39" fontId="49" numFmtId="0" xfId="0" applyAlignment="1" applyBorder="1" applyFill="1" applyFont="1">
      <alignment horizontal="left" shrinkToFit="0" vertical="top" wrapText="0"/>
    </xf>
    <xf borderId="3" fillId="39" fontId="49" numFmtId="0" xfId="0" applyAlignment="1" applyBorder="1" applyFill="1" applyFont="1">
      <alignment horizontal="left" readingOrder="0" shrinkToFit="0" vertical="top" wrapText="0"/>
    </xf>
    <xf borderId="3" fillId="39" fontId="49" numFmtId="0" xfId="0" applyAlignment="1" applyBorder="1" applyFill="1" applyFont="1">
      <alignment horizontal="right" readingOrder="0" shrinkToFit="0" vertical="top" wrapText="0"/>
    </xf>
    <xf borderId="3" fillId="39" fontId="47" numFmtId="0" xfId="0" applyAlignment="1" applyBorder="1" applyFill="1" applyFont="1">
      <alignment horizontal="right" readingOrder="0" shrinkToFit="0" vertical="top" wrapText="0"/>
    </xf>
    <xf borderId="0" fillId="2" fontId="2" numFmtId="0" xfId="0" applyAlignment="1" applyFill="1" applyFont="1">
      <alignment readingOrder="0" shrinkToFit="0" vertical="bottom" wrapText="0"/>
    </xf>
    <xf borderId="0" fillId="45" fontId="2" numFmtId="0" xfId="0" applyAlignment="1" applyFill="1" applyFont="1">
      <alignment readingOrder="0" shrinkToFit="0" vertical="bottom" wrapText="0"/>
    </xf>
    <xf borderId="0" fillId="2" fontId="3" numFmtId="4" xfId="0" applyAlignment="1" applyFill="1" applyFont="1" applyNumberFormat="1">
      <alignment readingOrder="0" shrinkToFit="0" vertical="bottom" wrapText="0"/>
    </xf>
    <xf borderId="1" fillId="46" fontId="14" numFmtId="0" xfId="0" applyAlignment="1" applyBorder="1" applyFill="1" applyFont="1">
      <alignment readingOrder="0" shrinkToFit="0" vertical="bottom" wrapText="0"/>
    </xf>
    <xf borderId="0" fillId="2" fontId="2" numFmtId="0" xfId="0" applyAlignment="1" applyFill="1" applyFont="1">
      <alignment shrinkToFit="0" vertical="bottom" wrapText="0"/>
    </xf>
    <xf borderId="0" fillId="47" fontId="50" numFmtId="0" xfId="0" applyAlignment="1" applyFill="1" applyFont="1">
      <alignment readingOrder="0" shrinkToFit="0" vertical="bottom" wrapText="0"/>
    </xf>
    <xf borderId="0" fillId="2" fontId="2" numFmtId="4" xfId="0" applyAlignment="1" applyFill="1" applyFont="1" applyNumberFormat="1">
      <alignment shrinkToFit="0" vertical="bottom" wrapText="0"/>
    </xf>
    <xf borderId="0" fillId="48" fontId="51" numFmtId="0" xfId="0" applyAlignment="1" applyFill="1" applyFont="1">
      <alignment readingOrder="0" shrinkToFit="0" vertical="bottom" wrapText="0"/>
    </xf>
    <xf borderId="0" fillId="49" fontId="4" numFmtId="0" xfId="0" applyAlignment="1" applyFill="1" applyFont="1">
      <alignment readingOrder="0" shrinkToFit="0" vertical="bottom" wrapText="0"/>
    </xf>
    <xf borderId="0" fillId="50" fontId="4" numFmtId="0" xfId="0" applyAlignment="1" applyFill="1" applyFont="1">
      <alignment readingOrder="0" shrinkToFit="0" vertical="bottom" wrapText="0"/>
    </xf>
    <xf borderId="0" fillId="51" fontId="4" numFmtId="0" xfId="0" applyAlignment="1" applyFill="1" applyFont="1">
      <alignment readingOrder="0" shrinkToFit="0" vertical="bottom" wrapText="0"/>
    </xf>
    <xf borderId="0" fillId="47" fontId="4" numFmtId="0" xfId="0" applyAlignment="1" applyFill="1" applyFont="1">
      <alignment readingOrder="0" shrinkToFit="0" vertical="bottom" wrapText="0"/>
    </xf>
    <xf borderId="0" fillId="31" fontId="4" numFmtId="0" xfId="0" applyAlignment="1" applyFill="1" applyFont="1">
      <alignment readingOrder="0" shrinkToFit="0" vertical="bottom" wrapText="0"/>
    </xf>
    <xf borderId="0" fillId="52" fontId="52" numFmtId="0" xfId="0" applyAlignment="1" applyFill="1" applyFont="1">
      <alignment readingOrder="0" shrinkToFit="0" vertical="bottom" wrapText="0"/>
    </xf>
    <xf borderId="0" fillId="53" fontId="4" numFmtId="0" xfId="0" applyAlignment="1" applyFill="1" applyFont="1">
      <alignment readingOrder="0" shrinkToFit="0" vertical="bottom" wrapText="0"/>
    </xf>
    <xf borderId="0" fillId="23" fontId="1" numFmtId="0" xfId="0" applyAlignment="1" applyFill="1" applyFont="1">
      <alignment readingOrder="0" shrinkToFit="0" vertical="center" wrapText="0"/>
    </xf>
    <xf borderId="0" fillId="0" fontId="53" numFmtId="0" xfId="0" applyAlignment="1" applyFont="1">
      <alignment readingOrder="0" shrinkToFit="0" vertical="center" wrapText="0"/>
    </xf>
    <xf borderId="0" fillId="25" fontId="1" numFmtId="49" xfId="0" applyAlignment="1" applyFill="1" applyFont="1" applyNumberFormat="1">
      <alignment readingOrder="0" shrinkToFit="0" vertical="center" wrapText="0"/>
    </xf>
    <xf borderId="1" fillId="46" fontId="4" numFmtId="0" xfId="0" applyAlignment="1" applyBorder="1" applyFill="1" applyFont="1">
      <alignment readingOrder="0" shrinkToFit="0" vertical="bottom" wrapText="0"/>
    </xf>
    <xf borderId="0" fillId="54" fontId="1" numFmtId="0" xfId="0" applyAlignment="1" applyFill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42" fontId="21" numFmtId="49" xfId="0" applyAlignment="1" applyFill="1" applyFont="1" applyNumberFormat="1">
      <alignment readingOrder="0" shrinkToFit="0" vertical="center" wrapText="0"/>
    </xf>
    <xf borderId="8" fillId="0" fontId="1" numFmtId="0" xfId="0" applyAlignment="1" applyBorder="1" applyFont="1">
      <alignment readingOrder="0"/>
    </xf>
    <xf borderId="0" fillId="0" fontId="3" numFmtId="170" xfId="0" applyAlignment="1" applyFont="1" applyNumberFormat="1">
      <alignment horizontal="right" readingOrder="0" shrinkToFit="0" vertical="bottom" wrapText="0"/>
    </xf>
    <xf borderId="0" fillId="0" fontId="11" numFmtId="0" xfId="0" applyAlignment="1" applyFont="1">
      <alignment readingOrder="0" shrinkToFit="0" vertical="bottom" wrapText="0"/>
    </xf>
    <xf borderId="0" fillId="0" fontId="12" numFmtId="0" xfId="0" applyAlignment="1" applyFont="1">
      <alignment readingOrder="0" shrinkToFit="0" vertical="bottom" wrapText="0"/>
    </xf>
    <xf borderId="0" fillId="55" fontId="1" numFmtId="0" xfId="0" applyAlignment="1" applyFill="1" applyFont="1">
      <alignment readingOrder="0"/>
    </xf>
    <xf borderId="0" fillId="14" fontId="1" numFmtId="0" xfId="0" applyAlignment="1" applyFill="1" applyFont="1">
      <alignment readingOrder="0"/>
    </xf>
    <xf borderId="0" fillId="0" fontId="8" numFmtId="0" xfId="0" applyAlignment="1" applyFont="1">
      <alignment horizontal="left" readingOrder="0" shrinkToFit="0" vertical="center" wrapText="0"/>
    </xf>
    <xf borderId="0" fillId="0" fontId="11" numFmtId="0" xfId="0" applyAlignment="1" applyFont="1">
      <alignment horizontal="left" readingOrder="0" shrinkToFit="0" vertical="bottom" wrapText="0"/>
    </xf>
    <xf borderId="0" fillId="0" fontId="12" numFmtId="0" xfId="0" applyAlignment="1" applyFont="1">
      <alignment horizontal="left" readingOrder="0" shrinkToFit="0" vertical="bottom" wrapText="0"/>
    </xf>
    <xf borderId="0" fillId="53" fontId="1" numFmtId="0" xfId="0" applyAlignment="1" applyFill="1" applyFont="1">
      <alignment readingOrder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6" xfId="0" applyAlignment="1" applyFont="1" applyNumberFormat="1">
      <alignment shrinkToFit="0" vertical="center" wrapText="0"/>
    </xf>
    <xf borderId="0" fillId="56" fontId="1" numFmtId="0" xfId="0" applyAlignment="1" applyFill="1" applyFont="1">
      <alignment readingOrder="0"/>
    </xf>
    <xf borderId="0" fillId="0" fontId="1" numFmtId="0" xfId="0" applyAlignment="1" applyFont="1">
      <alignment readingOrder="0" shrinkToFit="0" vertical="center" wrapText="0"/>
    </xf>
    <xf borderId="0" fillId="0" fontId="8" numFmtId="0" xfId="0" applyAlignment="1" applyFont="1">
      <alignment shrinkToFit="0" vertical="center" wrapText="0"/>
    </xf>
    <xf borderId="0" fillId="24" fontId="8" numFmtId="0" xfId="0" applyAlignment="1" applyFill="1" applyFont="1">
      <alignment readingOrder="0" shrinkToFit="0" vertical="center" wrapText="0"/>
    </xf>
    <xf borderId="0" fillId="56" fontId="1" numFmtId="0" xfId="0" applyAlignment="1" applyFill="1" applyFont="1">
      <alignment readingOrder="0" shrinkToFit="0" vertical="center" wrapText="0"/>
    </xf>
    <xf borderId="0" fillId="0" fontId="3" numFmtId="0" xfId="0" applyAlignment="1" applyFont="1">
      <alignment readingOrder="0" shrinkToFit="0" vertical="bottom" wrapText="0"/>
    </xf>
    <xf borderId="0" fillId="27" fontId="8" numFmtId="0" xfId="0" applyAlignment="1" applyFill="1" applyFont="1">
      <alignment readingOrder="0" shrinkToFit="0" vertical="center" wrapText="0"/>
    </xf>
    <xf borderId="0" fillId="42" fontId="8" numFmtId="0" xfId="0" applyAlignment="1" applyFill="1" applyFont="1">
      <alignment readingOrder="0" shrinkToFit="0" vertical="center" wrapText="0"/>
    </xf>
    <xf borderId="0" fillId="0" fontId="8" numFmtId="0" xfId="0" applyAlignment="1" applyFont="1">
      <alignment readingOrder="0" shrinkToFit="0" vertical="center" wrapText="0"/>
    </xf>
    <xf borderId="0" fillId="21" fontId="8" numFmtId="0" xfId="0" applyAlignment="1" applyFill="1" applyFont="1">
      <alignment readingOrder="0" shrinkToFit="0" vertical="center" wrapText="0"/>
    </xf>
    <xf borderId="0" fillId="28" fontId="8" numFmtId="0" xfId="0" applyAlignment="1" applyFill="1" applyFont="1">
      <alignment readingOrder="0" shrinkToFit="0" vertical="center" wrapText="0"/>
    </xf>
    <xf borderId="0" fillId="57" fontId="21" numFmtId="0" xfId="0" applyAlignment="1" applyFill="1" applyFont="1">
      <alignment readingOrder="0" shrinkToFit="0" vertical="center" wrapText="0"/>
    </xf>
    <xf borderId="0" fillId="53" fontId="1" numFmtId="0" xfId="0" applyAlignment="1" applyFill="1" applyFont="1">
      <alignment readingOrder="0" shrinkToFit="0" vertical="center" wrapText="0"/>
    </xf>
    <xf borderId="0" fillId="19" fontId="8" numFmtId="0" xfId="0" applyAlignment="1" applyFill="1" applyFont="1">
      <alignment readingOrder="0" shrinkToFit="0" vertical="center" wrapText="0"/>
    </xf>
    <xf borderId="0" fillId="37" fontId="8" numFmtId="0" xfId="0" applyAlignment="1" applyFill="1" applyFont="1">
      <alignment readingOrder="0" shrinkToFit="0" vertical="center" wrapText="0"/>
    </xf>
    <xf borderId="0" fillId="29" fontId="8" numFmtId="0" xfId="0" applyAlignment="1" applyFill="1" applyFont="1">
      <alignment readingOrder="0" shrinkToFit="0" vertical="center" wrapText="0"/>
    </xf>
    <xf borderId="0" fillId="55" fontId="1" numFmtId="0" xfId="0" applyAlignment="1" applyFill="1" applyFont="1">
      <alignment readingOrder="0" shrinkToFit="0" vertical="center" wrapText="0"/>
    </xf>
    <xf borderId="0" fillId="58" fontId="21" numFmtId="0" xfId="0" applyAlignment="1" applyFill="1" applyFont="1">
      <alignment readingOrder="0" shrinkToFit="0" vertical="center" wrapText="0"/>
    </xf>
    <xf borderId="0" fillId="0" fontId="54" numFmtId="166" xfId="0" applyAlignment="1" applyFont="1" applyNumberFormat="1">
      <alignment shrinkToFit="0" vertical="center" wrapText="0"/>
    </xf>
    <xf borderId="0" fillId="25" fontId="8" numFmtId="0" xfId="0" applyAlignment="1" applyFill="1" applyFont="1">
      <alignment readingOrder="0" shrinkToFit="0" vertical="center" wrapText="0"/>
    </xf>
    <xf borderId="0" fillId="0" fontId="32" numFmtId="0" xfId="0" applyAlignment="1" applyFont="1">
      <alignment readingOrder="0" shrinkToFit="0" vertical="center" wrapText="0"/>
    </xf>
    <xf borderId="0" fillId="29" fontId="1" numFmtId="0" xfId="0" applyAlignment="1" applyFill="1" applyFont="1">
      <alignment readingOrder="0" shrinkToFit="0" vertical="center" wrapText="0"/>
    </xf>
    <xf borderId="0" fillId="22" fontId="8" numFmtId="0" xfId="0" applyAlignment="1" applyFill="1" applyFont="1">
      <alignment readingOrder="0" shrinkToFit="0" vertical="center" wrapText="0"/>
    </xf>
    <xf borderId="0" fillId="44" fontId="8" numFmtId="0" xfId="0" applyAlignment="1" applyFill="1" applyFont="1">
      <alignment readingOrder="0" shrinkToFit="0" vertical="center" wrapText="0"/>
    </xf>
    <xf borderId="0" fillId="0" fontId="1" numFmtId="165" xfId="0" applyAlignment="1" applyFont="1" applyNumberFormat="1">
      <alignment shrinkToFit="0" vertical="center" wrapText="0"/>
    </xf>
    <xf borderId="0" fillId="59" fontId="1" numFmtId="0" xfId="0" applyAlignment="1" applyFill="1" applyFont="1">
      <alignment readingOrder="0" shrinkToFit="0" vertical="center" wrapText="0"/>
    </xf>
    <xf borderId="0" fillId="0" fontId="28" numFmtId="0" xfId="0" applyAlignment="1" applyFont="1">
      <alignment horizontal="right" shrinkToFit="0" vertical="bottom" wrapText="0"/>
    </xf>
    <xf borderId="0" fillId="0" fontId="28" numFmtId="10" xfId="0" applyAlignment="1" applyFont="1" applyNumberFormat="1">
      <alignment horizontal="right" readingOrder="0" shrinkToFit="0" vertical="bottom" wrapText="0"/>
    </xf>
    <xf borderId="0" fillId="25" fontId="21" numFmtId="0" xfId="0" applyAlignment="1" applyFill="1" applyFont="1">
      <alignment readingOrder="0" shrinkToFit="0" vertical="center" wrapText="0"/>
    </xf>
    <xf borderId="0" fillId="0" fontId="1" numFmtId="164" xfId="0" applyAlignment="1" applyFont="1" applyNumberFormat="1">
      <alignment readingOrder="0"/>
    </xf>
    <xf borderId="0" fillId="0" fontId="21" numFmtId="49" xfId="0" applyAlignment="1" applyFont="1" applyNumberFormat="1">
      <alignment shrinkToFit="0" vertical="center" wrapText="0"/>
    </xf>
    <xf borderId="0" fillId="0" fontId="28" numFmtId="0" xfId="0" applyAlignment="1" applyFont="1">
      <alignment horizontal="left" shrinkToFit="0" vertical="bottom" wrapText="0"/>
    </xf>
    <xf borderId="0" fillId="0" fontId="28" numFmtId="10" xfId="0" applyAlignment="1" applyFont="1" applyNumberFormat="1">
      <alignment horizontal="left" readingOrder="0" shrinkToFit="0" vertical="bottom" wrapText="0"/>
    </xf>
    <xf borderId="0" fillId="0" fontId="3" numFmtId="4" xfId="0" applyAlignment="1" applyFont="1" applyNumberFormat="1">
      <alignment readingOrder="0" shrinkToFit="0" vertical="bottom" wrapText="0"/>
    </xf>
    <xf borderId="0" fillId="0" fontId="2" numFmtId="4" xfId="0" applyAlignment="1" applyFont="1" applyNumberFormat="1">
      <alignment shrinkToFit="0" vertical="bottom" wrapText="0"/>
    </xf>
    <xf borderId="0" fillId="42" fontId="1" numFmtId="0" xfId="0" applyAlignment="1" applyFill="1" applyFont="1">
      <alignment readingOrder="0" shrinkToFit="0" vertical="center" wrapText="0"/>
    </xf>
    <xf borderId="0" fillId="0" fontId="55" numFmtId="0" xfId="0" applyAlignment="1" applyFont="1">
      <alignment readingOrder="0"/>
    </xf>
    <xf borderId="0" fillId="57" fontId="56" numFmtId="0" xfId="0" applyAlignment="1" applyFill="1" applyFont="1">
      <alignment readingOrder="0" shrinkToFit="0" vertical="center" wrapText="0"/>
    </xf>
    <xf borderId="1" fillId="32" fontId="14" numFmtId="0" xfId="0" applyAlignment="1" applyBorder="1" applyFill="1" applyFont="1">
      <alignment readingOrder="0" shrinkToFit="0" vertical="bottom" wrapText="0"/>
    </xf>
    <xf borderId="0" fillId="6" fontId="1" numFmtId="164" xfId="0" applyAlignment="1" applyFill="1" applyFont="1" applyNumberFormat="1">
      <alignment readingOrder="0"/>
    </xf>
    <xf borderId="0" fillId="6" fontId="1" numFmtId="164" xfId="0" applyFill="1" applyFont="1" applyNumberFormat="1"/>
    <xf borderId="0" fillId="7" fontId="1" numFmtId="0" xfId="0" applyFill="1" applyFont="1"/>
    <xf borderId="0" fillId="59" fontId="1" numFmtId="49" xfId="0" applyAlignment="1" applyFill="1" applyFont="1" applyNumberFormat="1">
      <alignment readingOrder="0" shrinkToFit="0" vertical="center" wrapText="0"/>
    </xf>
    <xf borderId="0" fillId="0" fontId="21" numFmtId="49" xfId="0" applyAlignment="1" applyFont="1" applyNumberFormat="1">
      <alignment shrinkToFit="0" vertical="center" wrapText="0"/>
    </xf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7">
    <tableStyle count="4" pivot="0" name="Sumari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nalise Compra-style">
      <tableStyleElement dxfId="1" type="headerRow"/>
      <tableStyleElement dxfId="2" type="firstRowStripe"/>
      <tableStyleElement dxfId="6" type="secondRowStripe"/>
      <tableStyleElement dxfId="4" size="0" type="wholeTable"/>
    </tableStyle>
    <tableStyle count="4" pivot="0" name="Radar de Alerta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Online Sell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nalise Compra 16092026-style">
      <tableStyleElement dxfId="1" type="headerRow"/>
      <tableStyleElement dxfId="2" type="firstRowStripe"/>
      <tableStyleElement dxfId="6" type="secondRowStripe"/>
      <tableStyleElement dxfId="4" size="0" type="wholeTable"/>
    </tableStyle>
    <tableStyle count="4" pivot="0" name="Copy of Analise Compra-style">
      <tableStyleElement dxfId="1" type="headerRow"/>
      <tableStyleElement dxfId="2" type="firstRowStripe"/>
      <tableStyleElement dxfId="6" type="secondRowStripe"/>
      <tableStyleElement dxfId="4" size="0" type="wholeTable"/>
    </tableStyle>
    <tableStyle count="4" pivot="0" name="FEV_BAK-style">
      <tableStyleElement dxfId="1" type="headerRow"/>
      <tableStyleElement dxfId="2" type="firstRowStripe"/>
      <tableStyleElement dxfId="6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37" Type="http://schemas.openxmlformats.org/officeDocument/2006/relationships/worksheet" Target="worksheets/sheet33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39" Type="http://schemas.openxmlformats.org/officeDocument/2006/relationships/worksheet" Target="worksheets/sheet35.xml"/><Relationship Id="rId16" Type="http://schemas.openxmlformats.org/officeDocument/2006/relationships/worksheet" Target="worksheets/sheet12.xml"/><Relationship Id="rId38" Type="http://schemas.openxmlformats.org/officeDocument/2006/relationships/worksheet" Target="worksheets/sheet34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FEV_BAK!$C$30:$C$38</c:f>
            </c:strRef>
          </c:cat>
          <c:val>
            <c:numRef>
              <c:f>FEV_BAK!$D$30:$D$38</c:f>
              <c:numCache/>
            </c:numRef>
          </c:val>
        </c:ser>
        <c:ser>
          <c:idx val="1"/>
          <c:order val="1"/>
          <c:cat>
            <c:strRef>
              <c:f>FEV_BAK!$C$30:$C$38</c:f>
            </c:strRef>
          </c:cat>
          <c:val>
            <c:numRef>
              <c:f>FEV_BAK!$E$30:$E$38</c:f>
              <c:numCache/>
            </c:numRef>
          </c:val>
        </c:ser>
        <c:axId val="156346058"/>
        <c:axId val="1138888596"/>
      </c:barChart>
      <c:catAx>
        <c:axId val="1563460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38888596"/>
      </c:catAx>
      <c:valAx>
        <c:axId val="11388885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634605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cat>
            <c:strRef>
              <c:f>MAR_BAK!$C$30:$C$38</c:f>
            </c:strRef>
          </c:cat>
          <c:val>
            <c:numRef>
              <c:f>MAR_BAK!$D$30:$D$38</c:f>
              <c:numCache/>
            </c:numRef>
          </c:val>
        </c:ser>
        <c:ser>
          <c:idx val="1"/>
          <c:order val="1"/>
          <c:cat>
            <c:strRef>
              <c:f>MAR_BAK!$C$30:$C$38</c:f>
            </c:strRef>
          </c:cat>
          <c:val>
            <c:numRef>
              <c:f>MAR_BAK!$E$30:$E$38</c:f>
              <c:numCache/>
            </c:numRef>
          </c:val>
        </c:ser>
        <c:axId val="513919575"/>
        <c:axId val="204157738"/>
      </c:barChart>
      <c:catAx>
        <c:axId val="5139195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4157738"/>
      </c:catAx>
      <c:valAx>
        <c:axId val="204157738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51391957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ABR_BAK!$D$30:$D$37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ABR_BAK!$C$38</c:f>
            </c:strRef>
          </c:cat>
          <c:val>
            <c:numRef>
              <c:f>ABR_BAK!$D$38</c:f>
              <c:numCache/>
            </c:numRef>
          </c:val>
        </c:ser>
        <c:ser>
          <c:idx val="1"/>
          <c:order val="1"/>
          <c:tx>
            <c:strRef>
              <c:f>ABR_BAK!$E$30:$E$37</c:f>
            </c:strRef>
          </c:tx>
          <c:cat>
            <c:strRef>
              <c:f>ABR_BAK!$C$38</c:f>
            </c:strRef>
          </c:cat>
          <c:val>
            <c:numRef>
              <c:f>ABR_BAK!$E$38</c:f>
              <c:numCache/>
            </c:numRef>
          </c:val>
        </c:ser>
        <c:axId val="996276897"/>
        <c:axId val="998741699"/>
      </c:barChart>
      <c:catAx>
        <c:axId val="9962768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98741699"/>
      </c:catAx>
      <c:valAx>
        <c:axId val="9987416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9627689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MAI_BAK!$D$7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MAI_BAK!$C$8:$C$15</c:f>
            </c:strRef>
          </c:cat>
          <c:val>
            <c:numRef>
              <c:f>MAI_BAK!$D$8:$D$15</c:f>
              <c:numCache/>
            </c:numRef>
          </c:val>
        </c:ser>
        <c:ser>
          <c:idx val="1"/>
          <c:order val="1"/>
          <c:tx>
            <c:strRef>
              <c:f>MAI_BAK!$E$7</c:f>
            </c:strRef>
          </c:tx>
          <c:cat>
            <c:strRef>
              <c:f>MAI_BAK!$C$8:$C$15</c:f>
            </c:strRef>
          </c:cat>
          <c:val>
            <c:numRef>
              <c:f>MAI_BAK!$E$8:$E$15</c:f>
              <c:numCache/>
            </c:numRef>
          </c:val>
        </c:ser>
        <c:axId val="965568565"/>
        <c:axId val="416738286"/>
      </c:barChart>
      <c:catAx>
        <c:axId val="9655685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16738286"/>
      </c:catAx>
      <c:valAx>
        <c:axId val="4167382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6556856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JUN_BAK!$D$7:$D$10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JUN_BAK!$C$11:$C$15</c:f>
            </c:strRef>
          </c:cat>
          <c:val>
            <c:numRef>
              <c:f>JUN_BAK!$D$11:$D$15</c:f>
              <c:numCache/>
            </c:numRef>
          </c:val>
        </c:ser>
        <c:ser>
          <c:idx val="1"/>
          <c:order val="1"/>
          <c:tx>
            <c:strRef>
              <c:f>JUN_BAK!$E$7:$E$10</c:f>
            </c:strRef>
          </c:tx>
          <c:cat>
            <c:strRef>
              <c:f>JUN_BAK!$C$11:$C$15</c:f>
            </c:strRef>
          </c:cat>
          <c:val>
            <c:numRef>
              <c:f>JUN_BAK!$E$11:$E$15</c:f>
              <c:numCache/>
            </c:numRef>
          </c:val>
        </c:ser>
        <c:axId val="1103482169"/>
        <c:axId val="785330999"/>
      </c:barChart>
      <c:catAx>
        <c:axId val="11034821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85330999"/>
      </c:catAx>
      <c:valAx>
        <c:axId val="7853309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0348216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17</xdr:col>
      <xdr:colOff>133350</xdr:colOff>
      <xdr:row>0</xdr:row>
      <xdr:rowOff>38100</xdr:rowOff>
    </xdr:from>
    <xdr:ext cx="781050" cy="247650"/>
    <xdr:sp>
      <xdr:nvSpPr>
        <xdr:cNvPr id="3" name="Shape 3"/>
        <xdr:cNvSpPr/>
      </xdr:nvSpPr>
      <xdr:spPr>
        <a:xfrm>
          <a:off x="2210325" y="704475"/>
          <a:ext cx="1080000" cy="336900"/>
        </a:xfrm>
        <a:prstGeom prst="roundRect">
          <a:avLst>
            <a:gd fmla="val 16667" name="adj"/>
          </a:avLst>
        </a:prstGeom>
        <a:solidFill>
          <a:srgbClr val="93C47D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000"/>
            <a:t>Clean CheckBox</a:t>
          </a:r>
          <a:endParaRPr sz="1000"/>
        </a:p>
      </xdr:txBody>
    </xdr:sp>
    <xdr:clientData fLocksWithSheet="0"/>
  </xdr:oneCellAnchor>
  <xdr:oneCellAnchor>
    <xdr:from>
      <xdr:col>29</xdr:col>
      <xdr:colOff>590550</xdr:colOff>
      <xdr:row>0</xdr:row>
      <xdr:rowOff>0</xdr:rowOff>
    </xdr:from>
    <xdr:ext cx="942975" cy="247650"/>
    <xdr:sp>
      <xdr:nvSpPr>
        <xdr:cNvPr id="4" name="Shape 4"/>
        <xdr:cNvSpPr/>
      </xdr:nvSpPr>
      <xdr:spPr>
        <a:xfrm>
          <a:off x="2646925" y="691375"/>
          <a:ext cx="1309200" cy="366900"/>
        </a:xfrm>
        <a:prstGeom prst="roundRect">
          <a:avLst>
            <a:gd fmla="val 16667" name="adj"/>
          </a:avLst>
        </a:prstGeom>
        <a:solidFill>
          <a:srgbClr val="F1C232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/>
            <a:t>Clean DropZone</a:t>
          </a:r>
          <a:endParaRPr sz="500"/>
        </a:p>
      </xdr:txBody>
    </xdr:sp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19</xdr:col>
      <xdr:colOff>981075</xdr:colOff>
      <xdr:row>0</xdr:row>
      <xdr:rowOff>0</xdr:rowOff>
    </xdr:from>
    <xdr:ext cx="1181100" cy="266700"/>
    <xdr:sp>
      <xdr:nvSpPr>
        <xdr:cNvPr id="5" name="Shape 5"/>
        <xdr:cNvSpPr/>
      </xdr:nvSpPr>
      <xdr:spPr>
        <a:xfrm>
          <a:off x="2506425" y="990675"/>
          <a:ext cx="1515900" cy="366600"/>
        </a:xfrm>
        <a:prstGeom prst="roundRect">
          <a:avLst>
            <a:gd fmla="val 16667" name="adj"/>
          </a:avLst>
        </a:prstGeom>
        <a:solidFill>
          <a:srgbClr val="B6D7A8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100"/>
            <a:t>Enviar Relatório</a:t>
          </a:r>
          <a:endParaRPr b="1" sz="1100"/>
        </a:p>
      </xdr:txBody>
    </xdr:sp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38100</xdr:colOff>
      <xdr:row>25</xdr:row>
      <xdr:rowOff>114300</xdr:rowOff>
    </xdr:from>
    <xdr:ext cx="3467100" cy="1104900"/>
    <xdr:sp>
      <xdr:nvSpPr>
        <xdr:cNvPr id="6" name="Shape 6"/>
        <xdr:cNvSpPr/>
      </xdr:nvSpPr>
      <xdr:spPr>
        <a:xfrm>
          <a:off x="1842675" y="1040225"/>
          <a:ext cx="3447600" cy="1089900"/>
        </a:xfrm>
        <a:prstGeom prst="roundRect">
          <a:avLst>
            <a:gd fmla="val 16667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Execute API Trading</a:t>
          </a:r>
          <a:endParaRPr sz="1400"/>
        </a:p>
      </xdr:txBody>
    </xdr:sp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17</xdr:col>
      <xdr:colOff>133350</xdr:colOff>
      <xdr:row>0</xdr:row>
      <xdr:rowOff>38100</xdr:rowOff>
    </xdr:from>
    <xdr:ext cx="781050" cy="247650"/>
    <xdr:sp>
      <xdr:nvSpPr>
        <xdr:cNvPr id="3" name="Shape 3"/>
        <xdr:cNvSpPr/>
      </xdr:nvSpPr>
      <xdr:spPr>
        <a:xfrm>
          <a:off x="2210325" y="704475"/>
          <a:ext cx="1080000" cy="336900"/>
        </a:xfrm>
        <a:prstGeom prst="roundRect">
          <a:avLst>
            <a:gd fmla="val 16667" name="adj"/>
          </a:avLst>
        </a:prstGeom>
        <a:solidFill>
          <a:srgbClr val="93C47D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000"/>
            <a:t>Clean CheckBox</a:t>
          </a:r>
          <a:endParaRPr sz="1000"/>
        </a:p>
      </xdr:txBody>
    </xdr:sp>
    <xdr:clientData fLocksWithSheet="0"/>
  </xdr:oneCellAnchor>
  <xdr:oneCellAnchor>
    <xdr:from>
      <xdr:col>29</xdr:col>
      <xdr:colOff>590550</xdr:colOff>
      <xdr:row>0</xdr:row>
      <xdr:rowOff>0</xdr:rowOff>
    </xdr:from>
    <xdr:ext cx="942975" cy="247650"/>
    <xdr:sp>
      <xdr:nvSpPr>
        <xdr:cNvPr id="4" name="Shape 4"/>
        <xdr:cNvSpPr/>
      </xdr:nvSpPr>
      <xdr:spPr>
        <a:xfrm>
          <a:off x="2646925" y="691375"/>
          <a:ext cx="1309200" cy="366900"/>
        </a:xfrm>
        <a:prstGeom prst="roundRect">
          <a:avLst>
            <a:gd fmla="val 16667" name="adj"/>
          </a:avLst>
        </a:prstGeom>
        <a:solidFill>
          <a:srgbClr val="F1C232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/>
            <a:t>Clean DropZone</a:t>
          </a:r>
          <a:endParaRPr sz="500"/>
        </a:p>
      </xdr:txBody>
    </xdr:sp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17</xdr:col>
      <xdr:colOff>133350</xdr:colOff>
      <xdr:row>0</xdr:row>
      <xdr:rowOff>38100</xdr:rowOff>
    </xdr:from>
    <xdr:ext cx="781050" cy="247650"/>
    <xdr:sp>
      <xdr:nvSpPr>
        <xdr:cNvPr id="3" name="Shape 3"/>
        <xdr:cNvSpPr/>
      </xdr:nvSpPr>
      <xdr:spPr>
        <a:xfrm>
          <a:off x="2210325" y="704475"/>
          <a:ext cx="1080000" cy="336900"/>
        </a:xfrm>
        <a:prstGeom prst="roundRect">
          <a:avLst>
            <a:gd fmla="val 16667" name="adj"/>
          </a:avLst>
        </a:prstGeom>
        <a:solidFill>
          <a:srgbClr val="93C47D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000"/>
            <a:t>Clean CheckBox</a:t>
          </a:r>
          <a:endParaRPr sz="1000"/>
        </a:p>
      </xdr:txBody>
    </xdr:sp>
    <xdr:clientData fLocksWithSheet="0"/>
  </xdr:oneCellAnchor>
  <xdr:oneCellAnchor>
    <xdr:from>
      <xdr:col>29</xdr:col>
      <xdr:colOff>590550</xdr:colOff>
      <xdr:row>0</xdr:row>
      <xdr:rowOff>0</xdr:rowOff>
    </xdr:from>
    <xdr:ext cx="942975" cy="247650"/>
    <xdr:sp>
      <xdr:nvSpPr>
        <xdr:cNvPr id="4" name="Shape 4"/>
        <xdr:cNvSpPr/>
      </xdr:nvSpPr>
      <xdr:spPr>
        <a:xfrm>
          <a:off x="2646925" y="691375"/>
          <a:ext cx="1309200" cy="366900"/>
        </a:xfrm>
        <a:prstGeom prst="roundRect">
          <a:avLst>
            <a:gd fmla="val 16667" name="adj"/>
          </a:avLst>
        </a:prstGeom>
        <a:solidFill>
          <a:srgbClr val="F1C232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/>
            <a:t>Clean DropZone</a:t>
          </a:r>
          <a:endParaRPr sz="500"/>
        </a:p>
      </xdr:txBody>
    </xdr:sp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838200</xdr:colOff>
      <xdr:row>18</xdr:row>
      <xdr:rowOff>66675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838200</xdr:colOff>
      <xdr:row>18</xdr:row>
      <xdr:rowOff>66675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838200</xdr:colOff>
      <xdr:row>18</xdr:row>
      <xdr:rowOff>66675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838200</xdr:colOff>
      <xdr:row>6</xdr:row>
      <xdr:rowOff>66675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447675</xdr:colOff>
      <xdr:row>9</xdr:row>
      <xdr:rowOff>161925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C6:K19" displayName="Sumario" name="Sumario" id="1">
  <tableColumns count="9">
    <tableColumn name="Mês" id="1"/>
    <tableColumn name="-" id="2"/>
    <tableColumn name="Total EURO" id="3"/>
    <tableColumn name="Total USD" id="4"/>
    <tableColumn name="Total USD to EUR" id="5"/>
    <tableColumn name="Total EUR" id="6"/>
    <tableColumn name="Dividendos EU" id="7"/>
    <tableColumn name="Dividendos US" id="8"/>
    <tableColumn name="TOTAL" id="9"/>
  </tableColumns>
  <tableStyleInfo name="Sumario-style" showColumnStripes="0" showFirstColumn="1" showLastColumn="1" showRowStripes="1"/>
</table>
</file>

<file path=xl/tables/table2.xml><?xml version="1.0" encoding="utf-8"?>
<table xmlns="http://schemas.openxmlformats.org/spreadsheetml/2006/main" ref="E2:AH974" displayName="Analise_Compra" name="Analise_Compra" id="2">
  <autoFilter ref="$E$2:$AH$974"/>
  <tableColumns count="30">
    <tableColumn name="Stock" id="1"/>
    <tableColumn name="Description" id="2"/>
    <tableColumn name="Market Price" id="3"/>
    <tableColumn name="L" id="4"/>
    <tableColumn name="H" id="5"/>
    <tableColumn name="Result" id="6"/>
    <tableColumn name="Momentum" id="7"/>
    <tableColumn name="RSI" id="8"/>
    <tableColumn name="ADX" id="9"/>
    <tableColumn name="ATR" id="10"/>
    <tableColumn name="Pivot" id="11"/>
    <tableColumn name="Price" id="12"/>
    <tableColumn name="Time" id="13"/>
    <tableColumn name="true" id="14"/>
    <tableColumn name="ERRO: Cannot read properties of undefined (reading '0')" id="15"/>
    <tableColumn name="0" id="16"/>
    <tableColumn name="Ticker" id="17"/>
    <tableColumn name="Ticker Price" id="18"/>
    <tableColumn name="distMM20" id="19"/>
    <tableColumn name="Momentum 2" id="20"/>
    <tableColumn name="RSI 2" id="21"/>
    <tableColumn name="ADX 2" id="22"/>
    <tableColumn name="ATR 2" id="23"/>
    <tableColumn name="VOL" id="24"/>
    <tableColumn name="Column 1" id="25"/>
    <tableColumn name="Drop Zone" id="26"/>
    <tableColumn name="Column 2" id="27"/>
    <tableColumn name="Column 3" id="28"/>
    <tableColumn name="Column 4" id="29"/>
    <tableColumn name="Column 5" id="30"/>
  </tableColumns>
  <tableStyleInfo name="Analise Compra-style" showColumnStripes="0" showFirstColumn="1" showLastColumn="1" showRowStripes="1"/>
</table>
</file>

<file path=xl/tables/table3.xml><?xml version="1.0" encoding="utf-8"?>
<table xmlns="http://schemas.openxmlformats.org/spreadsheetml/2006/main" ref="A1:J158" displayName="Table1" name="Table1" id="3">
  <tableColumns count="10">
    <tableColumn name="Data" id="1"/>
    <tableColumn name="Item" id="2"/>
    <tableColumn name="Estado" id="3"/>
    <tableColumn name="Volume" id="4"/>
    <tableColumn name="Entrada" id="5"/>
    <tableColumn name="Stop" id="6"/>
    <tableColumn name="Take profit" id="7"/>
    <tableColumn name="Qtd" id="8"/>
    <tableColumn name="Dist" id="9"/>
    <tableColumn name="Comboio" id="10"/>
  </tableColumns>
  <tableStyleInfo name="Radar de Alertas-style" showColumnStripes="0" showFirstColumn="1" showLastColumn="1" showRowStripes="1"/>
</table>
</file>

<file path=xl/tables/table4.xml><?xml version="1.0" encoding="utf-8"?>
<table xmlns="http://schemas.openxmlformats.org/spreadsheetml/2006/main" ref="B3:I26" displayName="Venda_Online" name="Venda_Online" id="4">
  <tableColumns count="8">
    <tableColumn name="Produto" id="1"/>
    <tableColumn name="Link" id="2"/>
    <tableColumn name="Preço de Custo (€)" id="3"/>
    <tableColumn name="Preço de Venda (€)" id="4"/>
    <tableColumn name="Margem de Lucro (€)" id="5"/>
    <tableColumn name="Margem de Lucro (%)" id="6"/>
    <tableColumn name="Estado" id="7"/>
    <tableColumn name="Data" id="8"/>
  </tableColumns>
  <tableStyleInfo name="Online Sell-style" showColumnStripes="0" showFirstColumn="1" showLastColumn="1" showRowStripes="1"/>
</table>
</file>

<file path=xl/tables/table5.xml><?xml version="1.0" encoding="utf-8"?>
<table xmlns="http://schemas.openxmlformats.org/spreadsheetml/2006/main" ref="E2:AH1015" displayName="Analise_Compra_3" name="Analise_Compra_3" id="5">
  <autoFilter ref="$E$2:$AH$1015"/>
  <tableColumns count="30">
    <tableColumn name="Stock" id="1"/>
    <tableColumn name="Description" id="2"/>
    <tableColumn name="Market Price" id="3"/>
    <tableColumn name="L" id="4"/>
    <tableColumn name="H" id="5"/>
    <tableColumn name="Result" id="6"/>
    <tableColumn name="Momentum" id="7"/>
    <tableColumn name="RSI" id="8"/>
    <tableColumn name="ADX" id="9"/>
    <tableColumn name="ATR" id="10"/>
    <tableColumn name="Pivot" id="11"/>
    <tableColumn name="Price" id="12"/>
    <tableColumn name="Time" id="13"/>
    <tableColumn name="true" id="14"/>
    <tableColumn name="ERRO: Cannot read properties of undefined (reading '0')" id="15"/>
    <tableColumn name="0" id="16"/>
    <tableColumn name="Ticker" id="17"/>
    <tableColumn name="Ticker Price" id="18"/>
    <tableColumn name="distMM20" id="19"/>
    <tableColumn name="Momentum 2" id="20"/>
    <tableColumn name="RSI 2" id="21"/>
    <tableColumn name="ADX 2" id="22"/>
    <tableColumn name="ATR 2" id="23"/>
    <tableColumn name="VOL" id="24"/>
    <tableColumn name="Column 1" id="25"/>
    <tableColumn name="Drop Zone" id="26"/>
    <tableColumn name="Column 2" id="27"/>
    <tableColumn name="Column 3" id="28"/>
    <tableColumn name="Column 4" id="29"/>
    <tableColumn name="Column 5" id="30"/>
  </tableColumns>
  <tableStyleInfo name="Analise Compra 16092026-style" showColumnStripes="0" showFirstColumn="1" showLastColumn="1" showRowStripes="1"/>
</table>
</file>

<file path=xl/tables/table6.xml><?xml version="1.0" encoding="utf-8"?>
<table xmlns="http://schemas.openxmlformats.org/spreadsheetml/2006/main" ref="E2:AD1022" displayName="Analise_Compra_2" name="Analise_Compra_2" id="6">
  <tableColumns count="26">
    <tableColumn name="Stock" id="1"/>
    <tableColumn name="Description" id="2"/>
    <tableColumn name="Market Price" id="3"/>
    <tableColumn name="L" id="4"/>
    <tableColumn name="H" id="5"/>
    <tableColumn name="Result" id="6"/>
    <tableColumn name="Momentum" id="7"/>
    <tableColumn name="RSI" id="8"/>
    <tableColumn name="ADX" id="9"/>
    <tableColumn name="ATR" id="10"/>
    <tableColumn name="Pivot" id="11"/>
    <tableColumn name="Price" id="12"/>
    <tableColumn name="Time" id="13"/>
    <tableColumn name="true" id="14"/>
    <tableColumn name="Sucesso" id="15"/>
    <tableColumn name="API DATE" id="16"/>
    <tableColumn name="Ticker" id="17"/>
    <tableColumn name="Ticker Price" id="18"/>
    <tableColumn name="distMM20" id="19"/>
    <tableColumn name="Momentum 2" id="20"/>
    <tableColumn name="RSI 2" id="21"/>
    <tableColumn name="ADX 2" id="22"/>
    <tableColumn name="ATR 2" id="23"/>
    <tableColumn name="VOL" id="24"/>
    <tableColumn name="Column 1" id="25"/>
    <tableColumn name="Drop Zone" id="26"/>
  </tableColumns>
  <tableStyleInfo name="Copy of Analise Compra-style" showColumnStripes="0" showFirstColumn="1" showLastColumn="1" showRowStripes="1"/>
</table>
</file>

<file path=xl/tables/table7.xml><?xml version="1.0" encoding="utf-8"?>
<table xmlns="http://schemas.openxmlformats.org/spreadsheetml/2006/main" ref="K61:S107" displayName="Buy_Analisys" name="Buy_Analisys" id="7">
  <tableColumns count="9">
    <tableColumn name="Stock" id="1"/>
    <tableColumn name="Result" id="2"/>
    <tableColumn name="Momentum" id="3"/>
    <tableColumn name="RSI" id="4"/>
    <tableColumn name="ADX" id="5"/>
    <tableColumn name="ATR" id="6"/>
    <tableColumn name="Pivot" id="7"/>
    <tableColumn name="Price" id="8"/>
    <tableColumn name="Time" id="9"/>
  </tableColumns>
  <tableStyleInfo name="FEV_BAK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://c3.ai/" TargetMode="External"/><Relationship Id="rId2" Type="http://schemas.openxmlformats.org/officeDocument/2006/relationships/hyperlink" Target="http://monday.com/" TargetMode="External"/><Relationship Id="rId3" Type="http://schemas.openxmlformats.org/officeDocument/2006/relationships/drawing" Target="../drawings/drawing15.xml"/><Relationship Id="rId5" Type="http://schemas.openxmlformats.org/officeDocument/2006/relationships/table" Target="../tables/table2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Relationship Id="rId3" Type="http://schemas.openxmlformats.org/officeDocument/2006/relationships/table" Target="../tables/table3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vinted.pt/items/8967485728-sapatilhas-voile-blanche-elegancia-urbana-e-design-italiano-premium" TargetMode="External"/><Relationship Id="rId2" Type="http://schemas.openxmlformats.org/officeDocument/2006/relationships/hyperlink" Target="https://www.munichsports.com/munich-barru-8290163-en" TargetMode="External"/><Relationship Id="rId3" Type="http://schemas.openxmlformats.org/officeDocument/2006/relationships/drawing" Target="../drawings/drawing22.xml"/><Relationship Id="rId5" Type="http://schemas.openxmlformats.org/officeDocument/2006/relationships/table" Target="../tables/table4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hyperlink" Target="http://c3.ai/" TargetMode="External"/><Relationship Id="rId2" Type="http://schemas.openxmlformats.org/officeDocument/2006/relationships/hyperlink" Target="http://monday.com/" TargetMode="External"/><Relationship Id="rId3" Type="http://schemas.openxmlformats.org/officeDocument/2006/relationships/drawing" Target="../drawings/drawing26.xml"/><Relationship Id="rId5" Type="http://schemas.openxmlformats.org/officeDocument/2006/relationships/table" Target="../tables/table5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hyperlink" Target="http://c3.ai/" TargetMode="External"/><Relationship Id="rId2" Type="http://schemas.openxmlformats.org/officeDocument/2006/relationships/hyperlink" Target="http://monday.com/" TargetMode="External"/><Relationship Id="rId3" Type="http://schemas.openxmlformats.org/officeDocument/2006/relationships/drawing" Target="../drawings/drawing28.xml"/><Relationship Id="rId5" Type="http://schemas.openxmlformats.org/officeDocument/2006/relationships/table" Target="../tables/table6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Relationship Id="rId3" Type="http://schemas.openxmlformats.org/officeDocument/2006/relationships/table" Target="../tables/table7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hyperlink" Target="http://c3.ai/" TargetMode="External"/><Relationship Id="rId2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hyperlink" Target="http://c3.ai/" TargetMode="External"/><Relationship Id="rId2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41B47"/>
    <outlinePr summaryBelow="0" summaryRight="0"/>
  </sheetPr>
  <sheetViews>
    <sheetView workbookViewId="0"/>
  </sheetViews>
  <sheetFormatPr customHeight="1" defaultColWidth="12.63" defaultRowHeight="15.75"/>
  <cols>
    <col customWidth="1" min="3" max="3" width="16.63"/>
    <col customWidth="1" min="5" max="5" width="15.5"/>
    <col customWidth="1" min="6" max="6" width="14.13"/>
    <col customWidth="1" min="7" max="7" width="24.0"/>
    <col customWidth="1" min="8" max="8" width="16.25"/>
    <col customWidth="1" min="9" max="10" width="16.13"/>
    <col customWidth="1" min="13" max="13" width="30.88"/>
  </cols>
  <sheetData>
    <row r="3">
      <c r="C3" s="10"/>
      <c r="D3" s="10"/>
      <c r="E3" s="10"/>
      <c r="F3" s="10"/>
      <c r="G3" s="10"/>
      <c r="H3" s="10"/>
      <c r="M3" s="4" t="s">
        <v>10</v>
      </c>
      <c r="R3" s="4" t="b">
        <v>0</v>
      </c>
    </row>
    <row r="4">
      <c r="C4" s="10"/>
      <c r="D4" s="10"/>
      <c r="E4" s="10"/>
      <c r="F4" s="10"/>
      <c r="G4" s="10"/>
      <c r="H4" s="10"/>
      <c r="M4" s="18">
        <f>IFERROR(__xludf.DUMMYFUNCTION("ARRAYFORMULA({NOW(), GOOGLEFINANCE(""CURRENCY:USDEUR"")})"),46288.715450601856)</f>
        <v>46288.71545</v>
      </c>
      <c r="N4" s="7">
        <f>IFERROR(__xludf.DUMMYFUNCTION("""COMPUTED_VALUE"""),0.87762)</f>
        <v>0.87762</v>
      </c>
      <c r="R4" s="4" t="b">
        <v>0</v>
      </c>
    </row>
    <row r="5">
      <c r="C5" s="21"/>
      <c r="D5" s="22"/>
      <c r="E5" s="23"/>
      <c r="F5" s="23"/>
      <c r="G5" s="23"/>
      <c r="H5" s="23"/>
      <c r="I5" s="4"/>
      <c r="J5" s="4"/>
      <c r="R5" s="4" t="b">
        <v>0</v>
      </c>
    </row>
    <row r="6" ht="22.5" customHeight="1">
      <c r="C6" s="26" t="s">
        <v>17</v>
      </c>
      <c r="D6" s="27" t="s">
        <v>18</v>
      </c>
      <c r="E6" s="28" t="s">
        <v>19</v>
      </c>
      <c r="F6" s="28" t="s">
        <v>21</v>
      </c>
      <c r="G6" s="28" t="s">
        <v>22</v>
      </c>
      <c r="H6" s="28" t="s">
        <v>14</v>
      </c>
      <c r="I6" s="29" t="s">
        <v>23</v>
      </c>
      <c r="J6" s="29" t="s">
        <v>24</v>
      </c>
      <c r="K6" s="30" t="s">
        <v>25</v>
      </c>
      <c r="R6" s="4" t="b">
        <v>0</v>
      </c>
    </row>
    <row r="7" ht="22.5" customHeight="1">
      <c r="C7" s="32">
        <v>1.0</v>
      </c>
      <c r="D7" s="33" t="s">
        <v>26</v>
      </c>
      <c r="E7" s="35">
        <f>JAN!L3</f>
        <v>0</v>
      </c>
      <c r="F7" s="33">
        <f>JAN!M3</f>
        <v>62.98</v>
      </c>
      <c r="G7" s="37">
        <f t="shared" ref="G7:G18" si="1">F7*$N$4</f>
        <v>55.2725076</v>
      </c>
      <c r="H7" s="35">
        <f t="shared" ref="H7:H19" si="2">E7+G7</f>
        <v>55.2725076</v>
      </c>
      <c r="I7" s="39">
        <f>0.04+0.26+0.04+2.53+0.01+0.02+0.23+0.48+0.24+2.53</f>
        <v>6.38</v>
      </c>
      <c r="J7" s="39">
        <f>0.06+0.07+0.06+0.06+0.02+0.03</f>
        <v>0.3</v>
      </c>
      <c r="K7" s="42">
        <f t="shared" ref="K7:K18" si="3">H7+I7+(J7*$N$4)</f>
        <v>61.9157936</v>
      </c>
      <c r="R7" s="4" t="b">
        <v>0</v>
      </c>
    </row>
    <row r="8" ht="22.5" customHeight="1">
      <c r="C8" s="32">
        <v>2.0</v>
      </c>
      <c r="D8" s="43" t="s">
        <v>35</v>
      </c>
      <c r="E8" s="35">
        <f>FEV!L3</f>
        <v>0</v>
      </c>
      <c r="F8" s="33">
        <f>FEV!M3</f>
        <v>65.8</v>
      </c>
      <c r="G8" s="37">
        <f t="shared" si="1"/>
        <v>57.747396</v>
      </c>
      <c r="H8" s="35">
        <f t="shared" si="2"/>
        <v>57.747396</v>
      </c>
      <c r="I8" s="39">
        <f>1.87+0.05+0.01</f>
        <v>1.93</v>
      </c>
      <c r="J8" s="39">
        <f>0.11+0.1+0.08+0.12+0.17+0.11+0.15+0.29+0.08+0.08+0.02+0.02</f>
        <v>1.33</v>
      </c>
      <c r="K8" s="42">
        <f t="shared" si="3"/>
        <v>60.8446306</v>
      </c>
      <c r="R8" s="4" t="b">
        <v>0</v>
      </c>
    </row>
    <row r="9" ht="22.5" customHeight="1">
      <c r="C9" s="32">
        <v>3.0</v>
      </c>
      <c r="D9" s="33" t="s">
        <v>43</v>
      </c>
      <c r="E9" s="35">
        <f>MAR!L3</f>
        <v>0</v>
      </c>
      <c r="F9" s="33">
        <f>MAR!M3</f>
        <v>297.24</v>
      </c>
      <c r="G9" s="37">
        <f t="shared" si="1"/>
        <v>260.8637688</v>
      </c>
      <c r="H9" s="35">
        <f t="shared" si="2"/>
        <v>260.8637688</v>
      </c>
      <c r="I9" s="39">
        <f>0.01+0.04+0.01+0.03+0.04+3</f>
        <v>3.13</v>
      </c>
      <c r="J9" s="39">
        <f>0.14+0.2+0.08+0.13+0.02</f>
        <v>0.57</v>
      </c>
      <c r="K9" s="42">
        <f t="shared" si="3"/>
        <v>264.4940122</v>
      </c>
      <c r="R9" s="4" t="b">
        <v>0</v>
      </c>
    </row>
    <row r="10" ht="22.5" customHeight="1">
      <c r="C10" s="47">
        <v>4.0</v>
      </c>
      <c r="D10" s="43" t="s">
        <v>50</v>
      </c>
      <c r="E10" s="35">
        <f>ABR!L3</f>
        <v>11.31</v>
      </c>
      <c r="F10" s="33">
        <f>ABR!M3</f>
        <v>388.56</v>
      </c>
      <c r="G10" s="37">
        <f t="shared" si="1"/>
        <v>341.0080272</v>
      </c>
      <c r="H10" s="35">
        <f t="shared" si="2"/>
        <v>352.3180272</v>
      </c>
      <c r="I10" s="39">
        <f>0.02+0.07+0.06+0.04+0.05+0.05+0.29+0.02+0.01+0.05+0.78+0.09+0.08+0.03+0.7+12.88+0.61+0.27+0.04+0.64+2.55+0.15+0.14+0.39</f>
        <v>20.01</v>
      </c>
      <c r="J10" s="39">
        <f>0.23+0.2+0.17+0.18+0.17+0.05+0.06+0.25+0.1+0.17+0.17+0.27+0.37+0.03+0.09+0.01</f>
        <v>2.52</v>
      </c>
      <c r="K10" s="42">
        <f t="shared" si="3"/>
        <v>374.5396296</v>
      </c>
      <c r="R10" s="4" t="b">
        <v>0</v>
      </c>
    </row>
    <row r="11" ht="22.5" customHeight="1">
      <c r="C11" s="47">
        <v>5.0</v>
      </c>
      <c r="D11" s="33" t="s">
        <v>60</v>
      </c>
      <c r="E11" s="35">
        <f>MAI!L3</f>
        <v>0</v>
      </c>
      <c r="F11" s="33">
        <f>MAI!M3</f>
        <v>606.31</v>
      </c>
      <c r="G11" s="37">
        <f t="shared" si="1"/>
        <v>532.1097822</v>
      </c>
      <c r="H11" s="35">
        <f t="shared" si="2"/>
        <v>532.1097822</v>
      </c>
      <c r="I11" s="39">
        <f>0.29+0.01+0.14+0.14+0.15+0.15+0.13+0.15+0.16+3.68+2.38+0.66+0.13+0.31+0.18+0.14+0.02+0.28+0.13+0.13</f>
        <v>9.36</v>
      </c>
      <c r="J11" s="39">
        <f>0.06+0.03+0.18+0.18+0.18+0.14</f>
        <v>0.77</v>
      </c>
      <c r="K11" s="42">
        <f t="shared" si="3"/>
        <v>542.1455496</v>
      </c>
      <c r="N11" s="7">
        <f>J12*N4</f>
        <v>0.2018526</v>
      </c>
      <c r="R11" s="4" t="b">
        <v>0</v>
      </c>
    </row>
    <row r="12" ht="22.5" customHeight="1">
      <c r="C12" s="47">
        <v>6.0</v>
      </c>
      <c r="D12" s="43" t="s">
        <v>61</v>
      </c>
      <c r="E12" s="35">
        <f>JUN!L3</f>
        <v>0</v>
      </c>
      <c r="F12" s="33">
        <f>JUN!M3</f>
        <v>127.55</v>
      </c>
      <c r="G12" s="37">
        <f t="shared" si="1"/>
        <v>111.940431</v>
      </c>
      <c r="H12" s="35">
        <f t="shared" si="2"/>
        <v>111.940431</v>
      </c>
      <c r="I12" s="39">
        <f>0.22+0.06+0.17+0.09+0.17+3.51+0.91+0.15+0.08+0.74</f>
        <v>6.1</v>
      </c>
      <c r="J12" s="39">
        <f>0.19+0.04</f>
        <v>0.23</v>
      </c>
      <c r="K12" s="42">
        <f t="shared" si="3"/>
        <v>118.2422836</v>
      </c>
      <c r="R12" s="4" t="b">
        <v>0</v>
      </c>
    </row>
    <row r="13" ht="22.5" customHeight="1">
      <c r="C13" s="50">
        <v>7.0</v>
      </c>
      <c r="D13" s="33" t="s">
        <v>62</v>
      </c>
      <c r="E13" s="35">
        <f>JUL!L3</f>
        <v>0</v>
      </c>
      <c r="F13" s="33">
        <f>JUL!M3</f>
        <v>-429.78</v>
      </c>
      <c r="G13" s="37">
        <f t="shared" si="1"/>
        <v>-377.1835236</v>
      </c>
      <c r="H13" s="35">
        <f t="shared" si="2"/>
        <v>-377.1835236</v>
      </c>
      <c r="I13" s="39">
        <f>28.41+0.07+0.07+0.16+0.07+0.07+0.28+0.09+0.04+0.07+0.04+0.15+0.02+0.36+0.06+0.02</f>
        <v>29.98</v>
      </c>
      <c r="J13" s="39">
        <f>0.01+3.05+0.18</f>
        <v>3.24</v>
      </c>
      <c r="K13" s="42">
        <f t="shared" si="3"/>
        <v>-344.3600348</v>
      </c>
      <c r="R13" s="4" t="b">
        <v>0</v>
      </c>
    </row>
    <row r="14" ht="22.5" customHeight="1">
      <c r="C14" s="50">
        <v>8.0</v>
      </c>
      <c r="D14" s="43" t="s">
        <v>63</v>
      </c>
      <c r="E14" s="35">
        <f>AGO!L3</f>
        <v>76.77</v>
      </c>
      <c r="F14" s="33">
        <f>AGO!M3</f>
        <v>-1446.55</v>
      </c>
      <c r="G14" s="37">
        <f t="shared" si="1"/>
        <v>-1269.521211</v>
      </c>
      <c r="H14" s="35">
        <f t="shared" si="2"/>
        <v>-1192.751211</v>
      </c>
      <c r="I14" s="39">
        <f>0.15+0.12+0.14+0.01+0.14+0.18+0.16</f>
        <v>0.9</v>
      </c>
      <c r="J14" s="39">
        <f>0.12+0.11+0.12+0.12+0.11+0.16+0.63+0.57+0.55+0.4+0.41+0.49+0.53+0.54+0.64</f>
        <v>5.5</v>
      </c>
      <c r="K14" s="42">
        <f t="shared" si="3"/>
        <v>-1187.024301</v>
      </c>
      <c r="R14" s="4" t="b">
        <v>0</v>
      </c>
    </row>
    <row r="15" ht="22.5" customHeight="1">
      <c r="C15" s="50">
        <v>9.0</v>
      </c>
      <c r="D15" s="33" t="s">
        <v>64</v>
      </c>
      <c r="E15" s="35">
        <f>SET!L3</f>
        <v>0</v>
      </c>
      <c r="F15" s="33">
        <f>SET!M3</f>
        <v>-675.07</v>
      </c>
      <c r="G15" s="37">
        <f t="shared" si="1"/>
        <v>-592.4549334</v>
      </c>
      <c r="H15" s="35">
        <f t="shared" si="2"/>
        <v>-592.4549334</v>
      </c>
      <c r="I15" s="39">
        <f>1.18</f>
        <v>1.18</v>
      </c>
      <c r="J15" s="39">
        <f>18.05</f>
        <v>18.05</v>
      </c>
      <c r="K15" s="42">
        <f t="shared" si="3"/>
        <v>-575.4338924</v>
      </c>
      <c r="R15" s="4" t="b">
        <v>0</v>
      </c>
    </row>
    <row r="16" ht="22.5" customHeight="1">
      <c r="C16" s="51">
        <v>10.0</v>
      </c>
      <c r="D16" s="43" t="s">
        <v>65</v>
      </c>
      <c r="E16" s="35">
        <f>OUT!L3</f>
        <v>0</v>
      </c>
      <c r="F16" s="33">
        <f>OUT!M3</f>
        <v>0</v>
      </c>
      <c r="G16" s="37">
        <f t="shared" si="1"/>
        <v>0</v>
      </c>
      <c r="H16" s="35">
        <f t="shared" si="2"/>
        <v>0</v>
      </c>
      <c r="K16" s="42">
        <f t="shared" si="3"/>
        <v>0</v>
      </c>
      <c r="R16" s="4" t="b">
        <v>0</v>
      </c>
    </row>
    <row r="17" ht="22.5" customHeight="1">
      <c r="C17" s="51">
        <v>11.0</v>
      </c>
      <c r="D17" s="33" t="s">
        <v>66</v>
      </c>
      <c r="E17" s="35">
        <f>NOV!L3</f>
        <v>0</v>
      </c>
      <c r="F17" s="33">
        <f>NOV!M3</f>
        <v>0</v>
      </c>
      <c r="G17" s="37">
        <f t="shared" si="1"/>
        <v>0</v>
      </c>
      <c r="H17" s="35">
        <f t="shared" si="2"/>
        <v>0</v>
      </c>
      <c r="K17" s="42">
        <f t="shared" si="3"/>
        <v>0</v>
      </c>
      <c r="R17" s="4" t="b">
        <v>0</v>
      </c>
    </row>
    <row r="18" ht="22.5" customHeight="1">
      <c r="C18" s="51">
        <v>12.0</v>
      </c>
      <c r="D18" s="43" t="s">
        <v>67</v>
      </c>
      <c r="E18" s="35">
        <f>DEZ!L3</f>
        <v>0</v>
      </c>
      <c r="F18" s="33">
        <f>DEZ!M3</f>
        <v>0</v>
      </c>
      <c r="G18" s="37">
        <f t="shared" si="1"/>
        <v>0</v>
      </c>
      <c r="H18" s="35">
        <f t="shared" si="2"/>
        <v>0</v>
      </c>
      <c r="K18" s="42">
        <f t="shared" si="3"/>
        <v>0</v>
      </c>
      <c r="N18" s="4" t="s">
        <v>68</v>
      </c>
      <c r="O18" s="4" t="s">
        <v>69</v>
      </c>
      <c r="R18" s="4" t="b">
        <v>0</v>
      </c>
    </row>
    <row r="19" ht="22.5" customHeight="1">
      <c r="C19" s="52"/>
      <c r="D19" s="53" t="s">
        <v>70</v>
      </c>
      <c r="E19" s="54">
        <f t="shared" ref="E19:G19" si="4">sum(E7:E18)</f>
        <v>88.08</v>
      </c>
      <c r="F19" s="55">
        <f t="shared" si="4"/>
        <v>-1002.96</v>
      </c>
      <c r="G19" s="56">
        <f t="shared" si="4"/>
        <v>-880.2177552</v>
      </c>
      <c r="H19" s="54">
        <f t="shared" si="2"/>
        <v>-792.1377552</v>
      </c>
      <c r="I19" s="55">
        <f t="shared" ref="I19:K19" si="5">SUM(I7:I18)</f>
        <v>78.97</v>
      </c>
      <c r="J19" s="55">
        <f t="shared" si="5"/>
        <v>32.51</v>
      </c>
      <c r="K19" s="57">
        <f t="shared" si="5"/>
        <v>-684.636329</v>
      </c>
      <c r="N19" s="58">
        <f>K19-(K19*28%)</f>
        <v>-492.9381569</v>
      </c>
      <c r="O19" s="7">
        <f>K19*28%</f>
        <v>-191.6981721</v>
      </c>
      <c r="R19" s="4" t="b">
        <v>0</v>
      </c>
    </row>
    <row r="20">
      <c r="C20" s="10"/>
      <c r="D20" s="59"/>
      <c r="E20" s="59"/>
      <c r="F20" s="59"/>
      <c r="G20" s="10"/>
      <c r="H20" s="10"/>
      <c r="N20" s="7">
        <f>N19/12</f>
        <v>-41.07817974</v>
      </c>
      <c r="R20" s="4" t="b">
        <v>0</v>
      </c>
    </row>
    <row r="21">
      <c r="N21" s="7">
        <f>K19/12</f>
        <v>-57.05302742</v>
      </c>
      <c r="R21" s="4" t="b">
        <v>0</v>
      </c>
    </row>
    <row r="22">
      <c r="R22" s="4" t="b">
        <v>0</v>
      </c>
    </row>
    <row r="23">
      <c r="R23" s="4" t="b">
        <v>0</v>
      </c>
    </row>
    <row r="24">
      <c r="R24" s="4" t="b">
        <v>0</v>
      </c>
    </row>
    <row r="25">
      <c r="R25" s="4" t="b">
        <v>0</v>
      </c>
    </row>
    <row r="26">
      <c r="R26" s="4" t="b">
        <v>0</v>
      </c>
    </row>
    <row r="27">
      <c r="R27" s="4" t="b">
        <v>0</v>
      </c>
    </row>
    <row r="28">
      <c r="R28" s="4" t="b">
        <v>0</v>
      </c>
    </row>
    <row r="29">
      <c r="R29" s="4" t="b">
        <v>0</v>
      </c>
    </row>
    <row r="30">
      <c r="R30" s="4" t="b">
        <v>0</v>
      </c>
    </row>
    <row r="31">
      <c r="R31" s="4" t="b">
        <v>0</v>
      </c>
    </row>
    <row r="32">
      <c r="R32" s="4" t="b">
        <v>0</v>
      </c>
    </row>
    <row r="33">
      <c r="R33" s="4" t="b">
        <v>0</v>
      </c>
    </row>
    <row r="34">
      <c r="R34" s="4" t="b">
        <v>0</v>
      </c>
    </row>
    <row r="35">
      <c r="R35" s="4" t="b">
        <v>0</v>
      </c>
    </row>
    <row r="36">
      <c r="R36" s="4" t="b">
        <v>0</v>
      </c>
    </row>
    <row r="37">
      <c r="R37" s="4" t="b">
        <v>0</v>
      </c>
    </row>
    <row r="38">
      <c r="R38" s="4" t="b">
        <v>0</v>
      </c>
    </row>
    <row r="39">
      <c r="R39" s="4" t="b">
        <v>0</v>
      </c>
    </row>
    <row r="40">
      <c r="R40" s="4" t="b">
        <v>0</v>
      </c>
    </row>
    <row r="41">
      <c r="R41" s="4" t="b">
        <v>0</v>
      </c>
    </row>
    <row r="42">
      <c r="R42" s="4" t="b">
        <v>0</v>
      </c>
    </row>
    <row r="43">
      <c r="R43" s="4" t="b">
        <v>0</v>
      </c>
    </row>
    <row r="44">
      <c r="R44" s="4" t="b">
        <v>0</v>
      </c>
    </row>
    <row r="45">
      <c r="R45" s="4" t="b">
        <v>0</v>
      </c>
    </row>
    <row r="46">
      <c r="R46" s="4" t="b">
        <v>0</v>
      </c>
    </row>
    <row r="47">
      <c r="R47" s="4" t="b">
        <v>0</v>
      </c>
    </row>
    <row r="48">
      <c r="R48" s="4" t="b">
        <v>0</v>
      </c>
    </row>
    <row r="49">
      <c r="R49" s="4" t="b">
        <v>0</v>
      </c>
    </row>
    <row r="50">
      <c r="R50" s="4" t="b">
        <v>0</v>
      </c>
    </row>
    <row r="51">
      <c r="R51" s="4" t="b">
        <v>0</v>
      </c>
    </row>
    <row r="52">
      <c r="R52" s="4" t="b">
        <v>0</v>
      </c>
    </row>
    <row r="53">
      <c r="R53" s="4" t="b">
        <v>0</v>
      </c>
    </row>
    <row r="54">
      <c r="R54" s="4" t="b">
        <v>0</v>
      </c>
    </row>
    <row r="55">
      <c r="R55" s="4" t="b">
        <v>0</v>
      </c>
    </row>
    <row r="56">
      <c r="R56" s="4" t="b">
        <v>0</v>
      </c>
    </row>
    <row r="57">
      <c r="R57" s="4" t="b">
        <v>0</v>
      </c>
    </row>
    <row r="58">
      <c r="R58" s="4" t="b">
        <v>0</v>
      </c>
    </row>
    <row r="59">
      <c r="R59" s="4" t="b">
        <v>0</v>
      </c>
    </row>
    <row r="60">
      <c r="R60" s="4" t="b">
        <v>0</v>
      </c>
    </row>
    <row r="61">
      <c r="R61" s="4" t="b">
        <v>0</v>
      </c>
    </row>
    <row r="62">
      <c r="R62" s="4" t="b">
        <v>0</v>
      </c>
    </row>
    <row r="63">
      <c r="R63" s="4" t="b">
        <v>0</v>
      </c>
    </row>
    <row r="64">
      <c r="R64" s="4" t="b">
        <v>0</v>
      </c>
    </row>
    <row r="65">
      <c r="R65" s="4" t="b">
        <v>0</v>
      </c>
    </row>
    <row r="66">
      <c r="R66" s="4" t="b">
        <v>0</v>
      </c>
    </row>
    <row r="67">
      <c r="R67" s="4" t="b">
        <v>0</v>
      </c>
    </row>
    <row r="68">
      <c r="R68" s="4" t="b">
        <v>0</v>
      </c>
    </row>
    <row r="69">
      <c r="R69" s="4" t="b">
        <v>0</v>
      </c>
    </row>
    <row r="70">
      <c r="R70" s="4" t="b">
        <v>0</v>
      </c>
    </row>
    <row r="71">
      <c r="R71" s="4" t="b">
        <v>0</v>
      </c>
    </row>
    <row r="72">
      <c r="R72" s="4" t="b">
        <v>0</v>
      </c>
    </row>
    <row r="73">
      <c r="R73" s="4" t="b">
        <v>0</v>
      </c>
    </row>
    <row r="74">
      <c r="R74" s="4" t="b">
        <v>0</v>
      </c>
    </row>
    <row r="75">
      <c r="R75" s="4" t="b">
        <v>0</v>
      </c>
    </row>
    <row r="76">
      <c r="R76" s="4" t="b">
        <v>0</v>
      </c>
    </row>
    <row r="77">
      <c r="R77" s="4" t="b">
        <v>0</v>
      </c>
    </row>
    <row r="78">
      <c r="R78" s="4" t="b">
        <v>0</v>
      </c>
    </row>
    <row r="79">
      <c r="R79" s="4" t="b">
        <v>0</v>
      </c>
    </row>
    <row r="80">
      <c r="R80" s="4" t="b">
        <v>0</v>
      </c>
    </row>
    <row r="81">
      <c r="R81" s="4" t="b">
        <v>0</v>
      </c>
    </row>
    <row r="82">
      <c r="R82" s="4" t="b">
        <v>0</v>
      </c>
    </row>
    <row r="83">
      <c r="R83" s="4" t="b">
        <v>0</v>
      </c>
    </row>
    <row r="84">
      <c r="R84" s="4" t="b">
        <v>0</v>
      </c>
    </row>
    <row r="85">
      <c r="R85" s="4" t="b">
        <v>0</v>
      </c>
    </row>
    <row r="86">
      <c r="R86" s="4" t="b">
        <v>0</v>
      </c>
    </row>
    <row r="87">
      <c r="R87" s="4" t="b">
        <v>0</v>
      </c>
    </row>
    <row r="88">
      <c r="R88" s="4" t="b">
        <v>0</v>
      </c>
    </row>
    <row r="89">
      <c r="R89" s="4" t="b">
        <v>0</v>
      </c>
    </row>
    <row r="90">
      <c r="R90" s="4" t="b">
        <v>0</v>
      </c>
    </row>
    <row r="91">
      <c r="R91" s="4" t="b">
        <v>0</v>
      </c>
    </row>
    <row r="92">
      <c r="R92" s="4" t="b">
        <v>0</v>
      </c>
    </row>
    <row r="93">
      <c r="R93" s="4" t="b">
        <v>0</v>
      </c>
    </row>
    <row r="94">
      <c r="R94" s="4" t="b">
        <v>0</v>
      </c>
    </row>
    <row r="95">
      <c r="R95" s="4" t="b">
        <v>0</v>
      </c>
    </row>
    <row r="96">
      <c r="R96" s="4" t="b">
        <v>0</v>
      </c>
    </row>
    <row r="97">
      <c r="R97" s="4" t="b">
        <v>0</v>
      </c>
    </row>
    <row r="98">
      <c r="R98" s="4" t="b">
        <v>0</v>
      </c>
    </row>
    <row r="99">
      <c r="R99" s="4" t="b">
        <v>0</v>
      </c>
    </row>
    <row r="100">
      <c r="R100" s="4" t="b">
        <v>0</v>
      </c>
    </row>
    <row r="101">
      <c r="R101" s="4" t="b">
        <v>0</v>
      </c>
    </row>
    <row r="102">
      <c r="R102" s="4" t="b">
        <v>0</v>
      </c>
    </row>
    <row r="103">
      <c r="R103" s="4" t="b">
        <v>0</v>
      </c>
    </row>
    <row r="104">
      <c r="R104" s="4" t="b">
        <v>0</v>
      </c>
    </row>
    <row r="105">
      <c r="R105" s="4" t="b">
        <v>0</v>
      </c>
    </row>
    <row r="106">
      <c r="R106" s="4" t="b">
        <v>0</v>
      </c>
    </row>
    <row r="107">
      <c r="R107" s="4" t="b">
        <v>0</v>
      </c>
    </row>
    <row r="108">
      <c r="R108" s="4" t="b">
        <v>0</v>
      </c>
    </row>
    <row r="109">
      <c r="R109" s="4" t="b">
        <v>0</v>
      </c>
    </row>
    <row r="110">
      <c r="R110" s="4" t="b">
        <v>0</v>
      </c>
    </row>
    <row r="111">
      <c r="R111" s="4" t="b">
        <v>0</v>
      </c>
    </row>
    <row r="112">
      <c r="R112" s="4" t="b">
        <v>0</v>
      </c>
    </row>
    <row r="113">
      <c r="R113" s="4" t="b">
        <v>0</v>
      </c>
    </row>
    <row r="114">
      <c r="R114" s="4" t="b">
        <v>0</v>
      </c>
    </row>
    <row r="115">
      <c r="R115" s="4" t="b">
        <v>0</v>
      </c>
    </row>
    <row r="116">
      <c r="R116" s="4" t="b">
        <v>0</v>
      </c>
    </row>
    <row r="117">
      <c r="R117" s="4" t="b">
        <v>0</v>
      </c>
    </row>
    <row r="118">
      <c r="R118" s="4" t="b">
        <v>0</v>
      </c>
    </row>
    <row r="119">
      <c r="R119" s="4" t="b">
        <v>0</v>
      </c>
    </row>
    <row r="120">
      <c r="R120" s="4" t="b">
        <v>0</v>
      </c>
    </row>
    <row r="121">
      <c r="R121" s="4" t="b">
        <v>0</v>
      </c>
    </row>
    <row r="122">
      <c r="R122" s="4" t="b">
        <v>0</v>
      </c>
    </row>
    <row r="123">
      <c r="R123" s="4" t="b">
        <v>0</v>
      </c>
    </row>
    <row r="124">
      <c r="R124" s="4" t="b">
        <v>0</v>
      </c>
    </row>
    <row r="125">
      <c r="R125" s="4" t="b">
        <v>0</v>
      </c>
    </row>
    <row r="126">
      <c r="R126" s="4" t="b">
        <v>0</v>
      </c>
    </row>
    <row r="127">
      <c r="R127" s="4" t="b">
        <v>0</v>
      </c>
    </row>
    <row r="128">
      <c r="R128" s="4" t="b">
        <v>0</v>
      </c>
    </row>
    <row r="129">
      <c r="R129" s="4" t="b">
        <v>0</v>
      </c>
    </row>
    <row r="130">
      <c r="R130" s="4" t="b">
        <v>0</v>
      </c>
    </row>
    <row r="131">
      <c r="R131" s="4" t="b">
        <v>0</v>
      </c>
    </row>
    <row r="132">
      <c r="R132" s="4" t="b">
        <v>0</v>
      </c>
    </row>
    <row r="133">
      <c r="R133" s="4" t="b">
        <v>0</v>
      </c>
    </row>
    <row r="134">
      <c r="R134" s="4" t="b">
        <v>0</v>
      </c>
    </row>
    <row r="135">
      <c r="R135" s="4" t="b">
        <v>0</v>
      </c>
    </row>
    <row r="136">
      <c r="R136" s="4" t="b">
        <v>0</v>
      </c>
    </row>
    <row r="137">
      <c r="R137" s="4" t="b">
        <v>0</v>
      </c>
    </row>
    <row r="138">
      <c r="R138" s="4" t="b">
        <v>0</v>
      </c>
    </row>
    <row r="139">
      <c r="R139" s="4" t="b">
        <v>0</v>
      </c>
    </row>
    <row r="140">
      <c r="R140" s="4" t="b">
        <v>0</v>
      </c>
    </row>
    <row r="141">
      <c r="R141" s="4" t="b">
        <v>0</v>
      </c>
    </row>
    <row r="142">
      <c r="R142" s="4" t="b">
        <v>0</v>
      </c>
    </row>
    <row r="143">
      <c r="R143" s="4" t="b">
        <v>0</v>
      </c>
    </row>
    <row r="144">
      <c r="R144" s="4" t="b">
        <v>0</v>
      </c>
    </row>
    <row r="145">
      <c r="R145" s="4" t="b">
        <v>0</v>
      </c>
    </row>
    <row r="146">
      <c r="R146" s="4" t="b">
        <v>0</v>
      </c>
    </row>
    <row r="147">
      <c r="R147" s="4" t="b">
        <v>0</v>
      </c>
    </row>
    <row r="148">
      <c r="R148" s="4" t="b">
        <v>0</v>
      </c>
    </row>
    <row r="149">
      <c r="R149" s="4" t="b">
        <v>0</v>
      </c>
    </row>
    <row r="150">
      <c r="R150" s="4" t="b">
        <v>0</v>
      </c>
    </row>
    <row r="151">
      <c r="R151" s="4" t="b">
        <v>0</v>
      </c>
    </row>
    <row r="152">
      <c r="R152" s="4" t="b">
        <v>0</v>
      </c>
    </row>
    <row r="153">
      <c r="R153" s="4" t="b">
        <v>0</v>
      </c>
    </row>
    <row r="154">
      <c r="R154" s="4" t="b">
        <v>0</v>
      </c>
    </row>
    <row r="155">
      <c r="R155" s="4" t="b">
        <v>0</v>
      </c>
    </row>
    <row r="156">
      <c r="R156" s="4" t="b">
        <v>0</v>
      </c>
    </row>
    <row r="157">
      <c r="R157" s="4" t="b">
        <v>0</v>
      </c>
    </row>
    <row r="158">
      <c r="R158" s="4" t="b">
        <v>0</v>
      </c>
    </row>
    <row r="159">
      <c r="R159" s="4" t="b">
        <v>0</v>
      </c>
    </row>
    <row r="160">
      <c r="R160" s="4" t="b">
        <v>0</v>
      </c>
    </row>
    <row r="161">
      <c r="R161" s="4" t="b">
        <v>0</v>
      </c>
    </row>
    <row r="162">
      <c r="R162" s="4" t="b">
        <v>0</v>
      </c>
    </row>
    <row r="163">
      <c r="R163" s="4" t="b">
        <v>0</v>
      </c>
    </row>
    <row r="164">
      <c r="R164" s="4" t="b">
        <v>0</v>
      </c>
    </row>
    <row r="165">
      <c r="R165" s="4" t="b">
        <v>0</v>
      </c>
    </row>
    <row r="166">
      <c r="R166" s="4" t="b">
        <v>0</v>
      </c>
    </row>
    <row r="167">
      <c r="R167" s="4" t="b">
        <v>0</v>
      </c>
    </row>
    <row r="168">
      <c r="R168" s="4" t="b">
        <v>0</v>
      </c>
    </row>
    <row r="169">
      <c r="R169" s="4" t="b">
        <v>0</v>
      </c>
    </row>
    <row r="170">
      <c r="R170" s="4" t="b">
        <v>0</v>
      </c>
    </row>
    <row r="171">
      <c r="R171" s="4" t="b">
        <v>0</v>
      </c>
    </row>
    <row r="172">
      <c r="R172" s="4" t="b">
        <v>0</v>
      </c>
    </row>
    <row r="173">
      <c r="R173" s="4" t="b">
        <v>0</v>
      </c>
    </row>
    <row r="174">
      <c r="R174" s="4" t="b">
        <v>0</v>
      </c>
    </row>
    <row r="175">
      <c r="R175" s="4" t="b">
        <v>0</v>
      </c>
    </row>
    <row r="176">
      <c r="R176" s="4" t="b">
        <v>0</v>
      </c>
    </row>
    <row r="177">
      <c r="R177" s="4" t="b">
        <v>0</v>
      </c>
    </row>
    <row r="178">
      <c r="R178" s="4" t="b">
        <v>0</v>
      </c>
    </row>
    <row r="179">
      <c r="R179" s="4" t="b">
        <v>0</v>
      </c>
    </row>
    <row r="180">
      <c r="R180" s="4" t="b">
        <v>0</v>
      </c>
    </row>
    <row r="181">
      <c r="R181" s="4" t="b">
        <v>0</v>
      </c>
    </row>
    <row r="182">
      <c r="R182" s="4" t="b">
        <v>0</v>
      </c>
    </row>
    <row r="183">
      <c r="R183" s="4" t="b">
        <v>0</v>
      </c>
    </row>
    <row r="184">
      <c r="R184" s="4" t="b">
        <v>0</v>
      </c>
    </row>
    <row r="185">
      <c r="R185" s="4" t="b">
        <v>0</v>
      </c>
    </row>
    <row r="186">
      <c r="R186" s="4" t="b">
        <v>0</v>
      </c>
    </row>
    <row r="187">
      <c r="R187" s="4" t="b">
        <v>0</v>
      </c>
    </row>
    <row r="188">
      <c r="R188" s="4" t="b">
        <v>0</v>
      </c>
    </row>
    <row r="189">
      <c r="R189" s="4" t="b">
        <v>0</v>
      </c>
    </row>
    <row r="190">
      <c r="R190" s="4" t="b">
        <v>0</v>
      </c>
    </row>
    <row r="191">
      <c r="R191" s="4" t="b">
        <v>0</v>
      </c>
    </row>
    <row r="192">
      <c r="R192" s="4" t="b">
        <v>0</v>
      </c>
    </row>
    <row r="193">
      <c r="R193" s="4" t="b">
        <v>0</v>
      </c>
    </row>
    <row r="194">
      <c r="R194" s="4" t="b">
        <v>0</v>
      </c>
    </row>
    <row r="195">
      <c r="R195" s="4" t="b">
        <v>0</v>
      </c>
    </row>
    <row r="196">
      <c r="R196" s="4" t="b">
        <v>0</v>
      </c>
    </row>
    <row r="197">
      <c r="R197" s="4" t="b">
        <v>0</v>
      </c>
    </row>
    <row r="198">
      <c r="R198" s="4" t="b">
        <v>0</v>
      </c>
    </row>
    <row r="199">
      <c r="R199" s="4" t="b">
        <v>0</v>
      </c>
    </row>
    <row r="200">
      <c r="R200" s="4" t="b">
        <v>0</v>
      </c>
    </row>
    <row r="201">
      <c r="R201" s="4" t="b">
        <v>0</v>
      </c>
    </row>
    <row r="202">
      <c r="R202" s="4" t="b">
        <v>0</v>
      </c>
    </row>
    <row r="203">
      <c r="R203" s="4" t="b">
        <v>0</v>
      </c>
    </row>
    <row r="204">
      <c r="R204" s="4" t="b">
        <v>0</v>
      </c>
    </row>
    <row r="205">
      <c r="R205" s="4" t="b">
        <v>0</v>
      </c>
    </row>
    <row r="206">
      <c r="R206" s="4" t="b">
        <v>0</v>
      </c>
    </row>
    <row r="207">
      <c r="R207" s="4" t="b">
        <v>0</v>
      </c>
    </row>
    <row r="208">
      <c r="R208" s="4" t="b">
        <v>0</v>
      </c>
    </row>
    <row r="209">
      <c r="R209" s="4" t="b">
        <v>0</v>
      </c>
    </row>
    <row r="210">
      <c r="R210" s="4" t="b">
        <v>0</v>
      </c>
    </row>
    <row r="211">
      <c r="R211" s="4" t="b">
        <v>0</v>
      </c>
    </row>
    <row r="212">
      <c r="R212" s="4" t="b">
        <v>0</v>
      </c>
    </row>
    <row r="213">
      <c r="R213" s="4" t="b">
        <v>0</v>
      </c>
    </row>
    <row r="214">
      <c r="R214" s="4" t="b">
        <v>0</v>
      </c>
    </row>
    <row r="215">
      <c r="R215" s="4" t="b">
        <v>0</v>
      </c>
    </row>
    <row r="216">
      <c r="R216" s="4" t="b">
        <v>0</v>
      </c>
    </row>
    <row r="217">
      <c r="R217" s="4" t="b">
        <v>0</v>
      </c>
    </row>
    <row r="218">
      <c r="R218" s="4" t="b">
        <v>0</v>
      </c>
    </row>
    <row r="219">
      <c r="R219" s="4" t="b">
        <v>0</v>
      </c>
    </row>
    <row r="220">
      <c r="R220" s="4" t="b">
        <v>0</v>
      </c>
    </row>
    <row r="221">
      <c r="R221" s="4" t="b">
        <v>0</v>
      </c>
    </row>
    <row r="222">
      <c r="R222" s="4" t="b">
        <v>0</v>
      </c>
    </row>
    <row r="223">
      <c r="R223" s="4" t="b">
        <v>0</v>
      </c>
    </row>
    <row r="224">
      <c r="R224" s="4" t="b">
        <v>0</v>
      </c>
    </row>
    <row r="225">
      <c r="R225" s="4" t="b">
        <v>0</v>
      </c>
    </row>
    <row r="226">
      <c r="R226" s="4" t="b">
        <v>0</v>
      </c>
    </row>
    <row r="227">
      <c r="R227" s="4" t="b">
        <v>0</v>
      </c>
    </row>
    <row r="228">
      <c r="R228" s="4" t="b">
        <v>0</v>
      </c>
    </row>
    <row r="229">
      <c r="R229" s="4" t="b">
        <v>0</v>
      </c>
    </row>
    <row r="230">
      <c r="R230" s="4" t="b">
        <v>0</v>
      </c>
    </row>
    <row r="231">
      <c r="R231" s="4" t="b">
        <v>0</v>
      </c>
    </row>
    <row r="232">
      <c r="R232" s="4" t="b">
        <v>0</v>
      </c>
    </row>
    <row r="233">
      <c r="R233" s="4" t="b">
        <v>0</v>
      </c>
    </row>
    <row r="234">
      <c r="R234" s="4" t="b">
        <v>0</v>
      </c>
    </row>
    <row r="235">
      <c r="R235" s="4" t="b">
        <v>0</v>
      </c>
    </row>
    <row r="236">
      <c r="R236" s="4" t="b">
        <v>0</v>
      </c>
    </row>
    <row r="237">
      <c r="R237" s="4" t="b">
        <v>0</v>
      </c>
    </row>
    <row r="238">
      <c r="R238" s="4" t="b">
        <v>0</v>
      </c>
    </row>
    <row r="239">
      <c r="R239" s="4" t="b">
        <v>0</v>
      </c>
    </row>
    <row r="240">
      <c r="R240" s="4" t="b">
        <v>0</v>
      </c>
    </row>
    <row r="241">
      <c r="R241" s="4" t="b">
        <v>0</v>
      </c>
    </row>
    <row r="242">
      <c r="R242" s="4" t="b">
        <v>0</v>
      </c>
    </row>
    <row r="243">
      <c r="R243" s="4" t="b">
        <v>0</v>
      </c>
    </row>
    <row r="244">
      <c r="R244" s="4" t="b">
        <v>0</v>
      </c>
    </row>
    <row r="245">
      <c r="R245" s="4" t="b">
        <v>0</v>
      </c>
    </row>
    <row r="246">
      <c r="R246" s="4" t="b">
        <v>0</v>
      </c>
    </row>
    <row r="247">
      <c r="R247" s="4" t="b">
        <v>0</v>
      </c>
    </row>
    <row r="248">
      <c r="R248" s="4" t="b">
        <v>0</v>
      </c>
    </row>
    <row r="249">
      <c r="R249" s="4" t="b">
        <v>0</v>
      </c>
    </row>
    <row r="250">
      <c r="R250" s="4" t="b">
        <v>0</v>
      </c>
    </row>
    <row r="251">
      <c r="R251" s="4" t="b">
        <v>0</v>
      </c>
    </row>
    <row r="252">
      <c r="R252" s="4" t="b">
        <v>0</v>
      </c>
    </row>
    <row r="253">
      <c r="R253" s="4" t="b">
        <v>0</v>
      </c>
    </row>
    <row r="254">
      <c r="R254" s="4" t="b">
        <v>0</v>
      </c>
    </row>
    <row r="255">
      <c r="R255" s="4" t="b">
        <v>0</v>
      </c>
    </row>
    <row r="256">
      <c r="R256" s="4" t="b">
        <v>0</v>
      </c>
    </row>
    <row r="257">
      <c r="R257" s="4" t="b">
        <v>0</v>
      </c>
    </row>
    <row r="258">
      <c r="R258" s="4" t="b">
        <v>0</v>
      </c>
    </row>
    <row r="259">
      <c r="R259" s="4" t="b">
        <v>0</v>
      </c>
    </row>
    <row r="260">
      <c r="R260" s="4" t="b">
        <v>0</v>
      </c>
    </row>
    <row r="261">
      <c r="R261" s="4" t="b">
        <v>0</v>
      </c>
    </row>
    <row r="262">
      <c r="R262" s="4" t="b">
        <v>0</v>
      </c>
    </row>
    <row r="263">
      <c r="R263" s="4" t="b">
        <v>0</v>
      </c>
    </row>
    <row r="264">
      <c r="R264" s="4" t="b">
        <v>0</v>
      </c>
    </row>
    <row r="265">
      <c r="R265" s="4" t="b">
        <v>0</v>
      </c>
    </row>
    <row r="266">
      <c r="R266" s="4" t="b">
        <v>0</v>
      </c>
    </row>
    <row r="267">
      <c r="R267" s="4" t="b">
        <v>0</v>
      </c>
    </row>
    <row r="268">
      <c r="R268" s="4" t="b">
        <v>0</v>
      </c>
    </row>
    <row r="269">
      <c r="R269" s="4" t="b">
        <v>0</v>
      </c>
    </row>
    <row r="270">
      <c r="R270" s="4" t="b">
        <v>0</v>
      </c>
    </row>
    <row r="271">
      <c r="R271" s="4" t="b">
        <v>0</v>
      </c>
    </row>
    <row r="272">
      <c r="R272" s="4" t="b">
        <v>0</v>
      </c>
    </row>
    <row r="273">
      <c r="R273" s="4" t="b">
        <v>0</v>
      </c>
    </row>
    <row r="274">
      <c r="R274" s="4" t="b">
        <v>0</v>
      </c>
    </row>
    <row r="275">
      <c r="R275" s="4" t="b">
        <v>0</v>
      </c>
    </row>
    <row r="276">
      <c r="R276" s="4" t="b">
        <v>0</v>
      </c>
    </row>
    <row r="277">
      <c r="R277" s="4" t="b">
        <v>0</v>
      </c>
    </row>
    <row r="278">
      <c r="R278" s="4" t="b">
        <v>0</v>
      </c>
    </row>
    <row r="279">
      <c r="R279" s="4" t="b">
        <v>0</v>
      </c>
    </row>
    <row r="280">
      <c r="R280" s="4" t="b">
        <v>0</v>
      </c>
    </row>
    <row r="281">
      <c r="R281" s="4" t="b">
        <v>0</v>
      </c>
    </row>
    <row r="282">
      <c r="R282" s="4" t="b">
        <v>0</v>
      </c>
    </row>
    <row r="283">
      <c r="R283" s="4" t="b">
        <v>0</v>
      </c>
    </row>
    <row r="284">
      <c r="R284" s="4" t="b">
        <v>0</v>
      </c>
    </row>
    <row r="285">
      <c r="R285" s="4" t="b">
        <v>0</v>
      </c>
    </row>
    <row r="286">
      <c r="R286" s="4" t="b">
        <v>0</v>
      </c>
    </row>
    <row r="287">
      <c r="R287" s="4" t="b">
        <v>0</v>
      </c>
    </row>
    <row r="288">
      <c r="R288" s="4" t="b">
        <v>0</v>
      </c>
    </row>
    <row r="289">
      <c r="R289" s="4" t="b">
        <v>0</v>
      </c>
    </row>
    <row r="290">
      <c r="R290" s="4" t="b">
        <v>0</v>
      </c>
    </row>
    <row r="291">
      <c r="R291" s="4" t="b">
        <v>0</v>
      </c>
    </row>
    <row r="292">
      <c r="R292" s="4" t="b">
        <v>0</v>
      </c>
    </row>
    <row r="293">
      <c r="R293" s="4" t="b">
        <v>0</v>
      </c>
    </row>
    <row r="294">
      <c r="R294" s="4" t="b">
        <v>0</v>
      </c>
    </row>
    <row r="295">
      <c r="R295" s="4" t="b">
        <v>0</v>
      </c>
    </row>
    <row r="296">
      <c r="R296" s="4" t="b">
        <v>0</v>
      </c>
    </row>
    <row r="297">
      <c r="R297" s="4" t="b">
        <v>0</v>
      </c>
    </row>
    <row r="298">
      <c r="R298" s="4" t="b">
        <v>0</v>
      </c>
    </row>
    <row r="299">
      <c r="R299" s="4" t="b">
        <v>0</v>
      </c>
    </row>
    <row r="300">
      <c r="R300" s="4" t="b">
        <v>0</v>
      </c>
    </row>
    <row r="301">
      <c r="R301" s="4" t="b">
        <v>0</v>
      </c>
    </row>
    <row r="302">
      <c r="R302" s="4" t="b">
        <v>0</v>
      </c>
    </row>
    <row r="303">
      <c r="R303" s="4" t="b">
        <v>0</v>
      </c>
    </row>
    <row r="304">
      <c r="R304" s="4" t="b">
        <v>0</v>
      </c>
    </row>
    <row r="305">
      <c r="R305" s="4" t="b">
        <v>0</v>
      </c>
    </row>
    <row r="306">
      <c r="R306" s="4" t="b">
        <v>0</v>
      </c>
    </row>
    <row r="307">
      <c r="R307" s="4" t="b">
        <v>0</v>
      </c>
    </row>
    <row r="308">
      <c r="R308" s="4" t="b">
        <v>0</v>
      </c>
    </row>
    <row r="309">
      <c r="R309" s="4" t="b">
        <v>0</v>
      </c>
    </row>
    <row r="310">
      <c r="R310" s="4" t="b">
        <v>0</v>
      </c>
    </row>
    <row r="311">
      <c r="R311" s="4" t="b">
        <v>0</v>
      </c>
    </row>
    <row r="312">
      <c r="R312" s="4" t="b">
        <v>0</v>
      </c>
    </row>
    <row r="313">
      <c r="R313" s="4" t="b">
        <v>0</v>
      </c>
    </row>
    <row r="314">
      <c r="R314" s="4" t="b">
        <v>0</v>
      </c>
    </row>
    <row r="315">
      <c r="R315" s="4" t="b">
        <v>0</v>
      </c>
    </row>
    <row r="316">
      <c r="R316" s="4" t="b">
        <v>0</v>
      </c>
    </row>
    <row r="317">
      <c r="R317" s="4" t="b">
        <v>0</v>
      </c>
    </row>
    <row r="318">
      <c r="R318" s="4" t="b">
        <v>0</v>
      </c>
    </row>
    <row r="319">
      <c r="R319" s="4" t="b">
        <v>0</v>
      </c>
    </row>
    <row r="320">
      <c r="R320" s="4" t="b">
        <v>0</v>
      </c>
    </row>
    <row r="321">
      <c r="R321" s="4" t="b">
        <v>0</v>
      </c>
    </row>
    <row r="322">
      <c r="R322" s="4" t="b">
        <v>0</v>
      </c>
    </row>
    <row r="323">
      <c r="R323" s="4" t="b">
        <v>0</v>
      </c>
    </row>
    <row r="324">
      <c r="R324" s="4" t="b">
        <v>0</v>
      </c>
    </row>
    <row r="325">
      <c r="R325" s="4" t="b">
        <v>0</v>
      </c>
    </row>
    <row r="326">
      <c r="R326" s="4" t="b">
        <v>0</v>
      </c>
    </row>
    <row r="327">
      <c r="R327" s="4" t="b">
        <v>0</v>
      </c>
    </row>
    <row r="328">
      <c r="R328" s="4" t="b">
        <v>0</v>
      </c>
    </row>
    <row r="329">
      <c r="R329" s="4" t="b">
        <v>0</v>
      </c>
    </row>
    <row r="330">
      <c r="R330" s="4" t="b">
        <v>0</v>
      </c>
    </row>
    <row r="331">
      <c r="R331" s="4" t="b">
        <v>0</v>
      </c>
    </row>
    <row r="332">
      <c r="R332" s="4" t="b">
        <v>0</v>
      </c>
    </row>
    <row r="333">
      <c r="R333" s="4" t="b">
        <v>0</v>
      </c>
    </row>
    <row r="334">
      <c r="R334" s="4" t="b">
        <v>0</v>
      </c>
    </row>
    <row r="335">
      <c r="R335" s="4" t="b">
        <v>0</v>
      </c>
    </row>
    <row r="336">
      <c r="R336" s="4" t="b">
        <v>0</v>
      </c>
    </row>
    <row r="337">
      <c r="R337" s="4" t="b">
        <v>0</v>
      </c>
    </row>
    <row r="338">
      <c r="R338" s="4" t="b">
        <v>0</v>
      </c>
    </row>
    <row r="339">
      <c r="R339" s="4" t="b">
        <v>0</v>
      </c>
    </row>
    <row r="340">
      <c r="R340" s="4" t="b">
        <v>0</v>
      </c>
    </row>
    <row r="341">
      <c r="R341" s="4" t="b">
        <v>0</v>
      </c>
    </row>
    <row r="342">
      <c r="R342" s="4" t="b">
        <v>0</v>
      </c>
    </row>
    <row r="343">
      <c r="R343" s="4" t="b">
        <v>0</v>
      </c>
    </row>
    <row r="344">
      <c r="R344" s="4" t="b">
        <v>0</v>
      </c>
    </row>
    <row r="345">
      <c r="R345" s="4" t="b">
        <v>0</v>
      </c>
    </row>
    <row r="346">
      <c r="R346" s="4" t="b">
        <v>0</v>
      </c>
    </row>
    <row r="347">
      <c r="R347" s="4" t="b">
        <v>0</v>
      </c>
    </row>
    <row r="348">
      <c r="R348" s="4" t="b">
        <v>0</v>
      </c>
    </row>
    <row r="349">
      <c r="R349" s="4" t="b">
        <v>0</v>
      </c>
    </row>
    <row r="350">
      <c r="R350" s="4" t="b">
        <v>0</v>
      </c>
    </row>
    <row r="351">
      <c r="R351" s="4" t="b">
        <v>0</v>
      </c>
    </row>
    <row r="352">
      <c r="R352" s="4" t="b">
        <v>0</v>
      </c>
    </row>
    <row r="353">
      <c r="R353" s="4" t="b">
        <v>0</v>
      </c>
    </row>
    <row r="354">
      <c r="R354" s="4" t="b">
        <v>0</v>
      </c>
    </row>
    <row r="355">
      <c r="R355" s="4" t="b">
        <v>0</v>
      </c>
    </row>
    <row r="356">
      <c r="R356" s="4" t="b">
        <v>0</v>
      </c>
    </row>
    <row r="357">
      <c r="R357" s="4" t="b">
        <v>0</v>
      </c>
    </row>
    <row r="358">
      <c r="R358" s="4" t="b">
        <v>0</v>
      </c>
    </row>
    <row r="359">
      <c r="R359" s="4" t="b">
        <v>0</v>
      </c>
    </row>
    <row r="360">
      <c r="R360" s="4" t="b">
        <v>0</v>
      </c>
    </row>
    <row r="361">
      <c r="R361" s="4" t="b">
        <v>0</v>
      </c>
    </row>
    <row r="362">
      <c r="R362" s="4" t="b">
        <v>0</v>
      </c>
    </row>
    <row r="363">
      <c r="R363" s="4" t="b">
        <v>0</v>
      </c>
    </row>
    <row r="364">
      <c r="R364" s="4" t="b">
        <v>0</v>
      </c>
    </row>
    <row r="365">
      <c r="R365" s="4" t="b">
        <v>0</v>
      </c>
    </row>
    <row r="366">
      <c r="R366" s="4" t="b">
        <v>0</v>
      </c>
    </row>
    <row r="367">
      <c r="R367" s="4" t="b">
        <v>0</v>
      </c>
    </row>
    <row r="368">
      <c r="R368" s="4" t="b">
        <v>0</v>
      </c>
    </row>
    <row r="369">
      <c r="R369" s="4" t="b">
        <v>0</v>
      </c>
    </row>
    <row r="370">
      <c r="R370" s="4" t="b">
        <v>0</v>
      </c>
    </row>
    <row r="371">
      <c r="R371" s="4" t="b">
        <v>0</v>
      </c>
    </row>
    <row r="372">
      <c r="R372" s="4" t="b">
        <v>0</v>
      </c>
    </row>
    <row r="373">
      <c r="R373" s="4" t="b">
        <v>0</v>
      </c>
    </row>
    <row r="374">
      <c r="R374" s="4" t="b">
        <v>0</v>
      </c>
    </row>
    <row r="375">
      <c r="R375" s="4" t="b">
        <v>0</v>
      </c>
    </row>
    <row r="376">
      <c r="R376" s="4" t="b">
        <v>0</v>
      </c>
    </row>
    <row r="377">
      <c r="R377" s="4" t="b">
        <v>0</v>
      </c>
    </row>
    <row r="378">
      <c r="R378" s="4" t="b">
        <v>0</v>
      </c>
    </row>
    <row r="379">
      <c r="R379" s="4" t="b">
        <v>0</v>
      </c>
    </row>
    <row r="380">
      <c r="R380" s="4" t="b">
        <v>0</v>
      </c>
    </row>
    <row r="381">
      <c r="R381" s="4" t="b">
        <v>0</v>
      </c>
    </row>
    <row r="382">
      <c r="R382" s="4" t="b">
        <v>0</v>
      </c>
    </row>
    <row r="383">
      <c r="R383" s="4" t="b">
        <v>0</v>
      </c>
    </row>
    <row r="384">
      <c r="R384" s="4" t="b">
        <v>0</v>
      </c>
    </row>
    <row r="385">
      <c r="R385" s="4" t="b">
        <v>0</v>
      </c>
    </row>
    <row r="386">
      <c r="R386" s="4" t="b">
        <v>0</v>
      </c>
    </row>
    <row r="387">
      <c r="R387" s="4" t="b">
        <v>0</v>
      </c>
    </row>
    <row r="388">
      <c r="R388" s="4" t="b">
        <v>0</v>
      </c>
    </row>
    <row r="389">
      <c r="R389" s="4" t="b">
        <v>0</v>
      </c>
    </row>
    <row r="390">
      <c r="R390" s="4" t="b">
        <v>0</v>
      </c>
    </row>
    <row r="391">
      <c r="R391" s="4" t="b">
        <v>0</v>
      </c>
    </row>
    <row r="392">
      <c r="R392" s="4" t="b">
        <v>0</v>
      </c>
    </row>
    <row r="393">
      <c r="R393" s="4" t="b">
        <v>0</v>
      </c>
    </row>
    <row r="394">
      <c r="R394" s="4" t="b">
        <v>0</v>
      </c>
    </row>
    <row r="395">
      <c r="R395" s="4" t="b">
        <v>0</v>
      </c>
    </row>
    <row r="396">
      <c r="R396" s="4" t="b">
        <v>0</v>
      </c>
    </row>
    <row r="397">
      <c r="R397" s="4" t="b">
        <v>0</v>
      </c>
    </row>
    <row r="398">
      <c r="R398" s="4" t="b">
        <v>0</v>
      </c>
    </row>
    <row r="399">
      <c r="R399" s="4" t="b">
        <v>0</v>
      </c>
    </row>
    <row r="400">
      <c r="R400" s="4" t="b">
        <v>0</v>
      </c>
    </row>
    <row r="401">
      <c r="R401" s="4" t="b">
        <v>0</v>
      </c>
    </row>
    <row r="402">
      <c r="R402" s="4" t="b">
        <v>0</v>
      </c>
    </row>
    <row r="403">
      <c r="R403" s="4" t="b">
        <v>0</v>
      </c>
    </row>
    <row r="404">
      <c r="R404" s="4" t="b">
        <v>0</v>
      </c>
    </row>
    <row r="405">
      <c r="R405" s="4" t="b">
        <v>0</v>
      </c>
    </row>
    <row r="406">
      <c r="R406" s="4" t="b">
        <v>0</v>
      </c>
    </row>
    <row r="407">
      <c r="R407" s="4" t="b">
        <v>0</v>
      </c>
    </row>
    <row r="408">
      <c r="R408" s="4" t="b">
        <v>0</v>
      </c>
    </row>
    <row r="409">
      <c r="R409" s="4" t="b">
        <v>0</v>
      </c>
    </row>
    <row r="410">
      <c r="R410" s="4" t="b">
        <v>0</v>
      </c>
    </row>
    <row r="411">
      <c r="R411" s="4" t="b">
        <v>0</v>
      </c>
    </row>
    <row r="412">
      <c r="R412" s="4" t="b">
        <v>0</v>
      </c>
    </row>
    <row r="413">
      <c r="R413" s="4" t="b">
        <v>0</v>
      </c>
    </row>
    <row r="414">
      <c r="R414" s="4" t="b">
        <v>0</v>
      </c>
    </row>
    <row r="415">
      <c r="R415" s="4" t="b">
        <v>0</v>
      </c>
    </row>
    <row r="416">
      <c r="R416" s="4" t="b">
        <v>0</v>
      </c>
    </row>
    <row r="417">
      <c r="R417" s="4" t="b">
        <v>0</v>
      </c>
    </row>
    <row r="418">
      <c r="R418" s="4" t="b">
        <v>0</v>
      </c>
    </row>
    <row r="419">
      <c r="R419" s="4" t="b">
        <v>0</v>
      </c>
    </row>
    <row r="420">
      <c r="R420" s="4" t="b">
        <v>0</v>
      </c>
    </row>
    <row r="421">
      <c r="R421" s="4" t="b">
        <v>0</v>
      </c>
    </row>
    <row r="422">
      <c r="R422" s="4" t="b">
        <v>0</v>
      </c>
    </row>
    <row r="423">
      <c r="R423" s="4" t="b">
        <v>0</v>
      </c>
    </row>
    <row r="424">
      <c r="R424" s="4" t="b">
        <v>0</v>
      </c>
    </row>
    <row r="425">
      <c r="R425" s="4" t="b">
        <v>0</v>
      </c>
    </row>
    <row r="426">
      <c r="R426" s="4" t="b">
        <v>0</v>
      </c>
    </row>
    <row r="427">
      <c r="R427" s="4" t="b">
        <v>0</v>
      </c>
    </row>
    <row r="428">
      <c r="R428" s="4" t="b">
        <v>0</v>
      </c>
    </row>
    <row r="429">
      <c r="R429" s="4" t="b">
        <v>0</v>
      </c>
    </row>
    <row r="430">
      <c r="R430" s="4" t="b">
        <v>0</v>
      </c>
    </row>
    <row r="431">
      <c r="R431" s="4" t="b">
        <v>0</v>
      </c>
    </row>
    <row r="432">
      <c r="R432" s="4" t="b">
        <v>0</v>
      </c>
    </row>
    <row r="433">
      <c r="R433" s="4" t="b">
        <v>0</v>
      </c>
    </row>
    <row r="434">
      <c r="R434" s="4" t="b">
        <v>0</v>
      </c>
    </row>
    <row r="435">
      <c r="R435" s="4" t="b">
        <v>0</v>
      </c>
    </row>
    <row r="436">
      <c r="R436" s="4" t="b">
        <v>0</v>
      </c>
    </row>
    <row r="437">
      <c r="R437" s="4" t="b">
        <v>0</v>
      </c>
    </row>
    <row r="438">
      <c r="R438" s="4" t="b">
        <v>0</v>
      </c>
    </row>
    <row r="439">
      <c r="R439" s="4" t="b">
        <v>0</v>
      </c>
    </row>
    <row r="440">
      <c r="R440" s="4" t="b">
        <v>0</v>
      </c>
    </row>
    <row r="441">
      <c r="R441" s="4" t="b">
        <v>0</v>
      </c>
    </row>
    <row r="442">
      <c r="R442" s="4" t="b">
        <v>0</v>
      </c>
    </row>
    <row r="443">
      <c r="R443" s="4" t="b">
        <v>0</v>
      </c>
    </row>
    <row r="444">
      <c r="R444" s="4" t="b">
        <v>0</v>
      </c>
    </row>
    <row r="445">
      <c r="R445" s="4" t="b">
        <v>0</v>
      </c>
    </row>
    <row r="446">
      <c r="R446" s="4" t="b">
        <v>0</v>
      </c>
    </row>
    <row r="447">
      <c r="R447" s="4" t="b">
        <v>0</v>
      </c>
    </row>
    <row r="448">
      <c r="R448" s="4" t="b">
        <v>0</v>
      </c>
    </row>
    <row r="449">
      <c r="R449" s="4" t="b">
        <v>0</v>
      </c>
    </row>
    <row r="450">
      <c r="R450" s="4" t="b">
        <v>0</v>
      </c>
    </row>
    <row r="451">
      <c r="R451" s="4" t="b">
        <v>0</v>
      </c>
    </row>
    <row r="452">
      <c r="R452" s="4" t="b">
        <v>0</v>
      </c>
    </row>
    <row r="453">
      <c r="R453" s="4" t="b">
        <v>0</v>
      </c>
    </row>
    <row r="454">
      <c r="R454" s="4" t="b">
        <v>0</v>
      </c>
    </row>
    <row r="455">
      <c r="R455" s="4" t="b">
        <v>0</v>
      </c>
    </row>
    <row r="456">
      <c r="R456" s="4" t="b">
        <v>0</v>
      </c>
    </row>
    <row r="457">
      <c r="R457" s="4" t="b">
        <v>0</v>
      </c>
    </row>
    <row r="458">
      <c r="R458" s="4" t="b">
        <v>0</v>
      </c>
    </row>
    <row r="459">
      <c r="R459" s="4" t="b">
        <v>0</v>
      </c>
    </row>
    <row r="460">
      <c r="R460" s="4" t="b">
        <v>0</v>
      </c>
    </row>
    <row r="461">
      <c r="R461" s="4" t="b">
        <v>0</v>
      </c>
    </row>
    <row r="462">
      <c r="R462" s="4" t="b">
        <v>0</v>
      </c>
    </row>
    <row r="463">
      <c r="R463" s="4" t="b">
        <v>0</v>
      </c>
    </row>
    <row r="464">
      <c r="R464" s="4" t="b">
        <v>0</v>
      </c>
    </row>
    <row r="465">
      <c r="R465" s="4" t="b">
        <v>0</v>
      </c>
    </row>
    <row r="466">
      <c r="R466" s="4" t="b">
        <v>0</v>
      </c>
    </row>
    <row r="467">
      <c r="R467" s="4" t="b">
        <v>0</v>
      </c>
    </row>
    <row r="468">
      <c r="R468" s="4" t="b">
        <v>0</v>
      </c>
    </row>
    <row r="469">
      <c r="R469" s="4" t="b">
        <v>0</v>
      </c>
    </row>
    <row r="470">
      <c r="R470" s="4" t="b">
        <v>0</v>
      </c>
    </row>
    <row r="471">
      <c r="R471" s="4" t="b">
        <v>0</v>
      </c>
    </row>
    <row r="472">
      <c r="R472" s="4" t="b">
        <v>0</v>
      </c>
    </row>
    <row r="473">
      <c r="R473" s="4" t="b">
        <v>0</v>
      </c>
    </row>
    <row r="474">
      <c r="R474" s="4" t="b">
        <v>0</v>
      </c>
    </row>
    <row r="475">
      <c r="R475" s="4" t="b">
        <v>0</v>
      </c>
    </row>
    <row r="476">
      <c r="R476" s="4" t="b">
        <v>0</v>
      </c>
    </row>
    <row r="477">
      <c r="R477" s="4" t="b">
        <v>0</v>
      </c>
    </row>
    <row r="478">
      <c r="R478" s="4" t="b">
        <v>0</v>
      </c>
    </row>
    <row r="479">
      <c r="R479" s="4" t="b">
        <v>0</v>
      </c>
    </row>
    <row r="480">
      <c r="R480" s="4" t="b">
        <v>0</v>
      </c>
    </row>
    <row r="481">
      <c r="R481" s="4" t="b">
        <v>0</v>
      </c>
    </row>
    <row r="482">
      <c r="R482" s="4" t="b">
        <v>0</v>
      </c>
    </row>
    <row r="483">
      <c r="R483" s="4" t="b">
        <v>0</v>
      </c>
    </row>
    <row r="484">
      <c r="R484" s="4" t="b">
        <v>0</v>
      </c>
    </row>
    <row r="485">
      <c r="R485" s="4" t="b">
        <v>0</v>
      </c>
    </row>
    <row r="486">
      <c r="R486" s="4" t="b">
        <v>0</v>
      </c>
    </row>
    <row r="487">
      <c r="R487" s="4" t="b">
        <v>0</v>
      </c>
    </row>
    <row r="488">
      <c r="R488" s="4" t="b">
        <v>0</v>
      </c>
    </row>
    <row r="489">
      <c r="R489" s="4" t="b">
        <v>0</v>
      </c>
    </row>
    <row r="490">
      <c r="R490" s="4" t="b">
        <v>0</v>
      </c>
    </row>
    <row r="491">
      <c r="R491" s="4" t="b">
        <v>0</v>
      </c>
    </row>
    <row r="492">
      <c r="R492" s="4" t="b">
        <v>0</v>
      </c>
    </row>
    <row r="493">
      <c r="R493" s="4" t="b">
        <v>0</v>
      </c>
    </row>
    <row r="494">
      <c r="R494" s="4" t="b">
        <v>0</v>
      </c>
    </row>
    <row r="495">
      <c r="R495" s="4" t="b">
        <v>0</v>
      </c>
    </row>
    <row r="496">
      <c r="R496" s="4" t="b">
        <v>0</v>
      </c>
    </row>
    <row r="497">
      <c r="R497" s="4" t="b">
        <v>0</v>
      </c>
    </row>
    <row r="498">
      <c r="R498" s="4" t="b">
        <v>0</v>
      </c>
    </row>
    <row r="499">
      <c r="R499" s="4" t="b">
        <v>0</v>
      </c>
    </row>
    <row r="500">
      <c r="R500" s="4" t="b">
        <v>0</v>
      </c>
    </row>
    <row r="501">
      <c r="R501" s="4" t="b">
        <v>0</v>
      </c>
    </row>
    <row r="502">
      <c r="R502" s="4" t="b">
        <v>0</v>
      </c>
    </row>
    <row r="503">
      <c r="R503" s="4" t="b">
        <v>0</v>
      </c>
    </row>
    <row r="504">
      <c r="R504" s="4" t="b">
        <v>0</v>
      </c>
    </row>
    <row r="505">
      <c r="R505" s="4" t="b">
        <v>0</v>
      </c>
    </row>
    <row r="506">
      <c r="R506" s="4" t="b">
        <v>0</v>
      </c>
    </row>
    <row r="507">
      <c r="R507" s="4" t="b">
        <v>0</v>
      </c>
    </row>
    <row r="508">
      <c r="R508" s="4" t="b">
        <v>0</v>
      </c>
    </row>
    <row r="509">
      <c r="R509" s="4" t="b">
        <v>0</v>
      </c>
    </row>
    <row r="510">
      <c r="R510" s="4" t="b">
        <v>0</v>
      </c>
    </row>
    <row r="511">
      <c r="R511" s="4" t="b">
        <v>0</v>
      </c>
    </row>
    <row r="512">
      <c r="R512" s="4" t="b">
        <v>0</v>
      </c>
    </row>
    <row r="513">
      <c r="R513" s="4" t="b">
        <v>0</v>
      </c>
    </row>
    <row r="514">
      <c r="R514" s="4" t="b">
        <v>0</v>
      </c>
    </row>
    <row r="515">
      <c r="R515" s="4" t="b">
        <v>0</v>
      </c>
    </row>
    <row r="516">
      <c r="R516" s="4" t="b">
        <v>0</v>
      </c>
    </row>
    <row r="517">
      <c r="R517" s="4" t="b">
        <v>0</v>
      </c>
    </row>
    <row r="518">
      <c r="R518" s="4" t="b">
        <v>0</v>
      </c>
    </row>
    <row r="519">
      <c r="R519" s="4" t="b">
        <v>0</v>
      </c>
    </row>
    <row r="520">
      <c r="R520" s="4" t="b">
        <v>0</v>
      </c>
    </row>
    <row r="521">
      <c r="R521" s="4" t="b">
        <v>0</v>
      </c>
    </row>
    <row r="522">
      <c r="R522" s="4" t="b">
        <v>0</v>
      </c>
    </row>
    <row r="523">
      <c r="R523" s="4" t="b">
        <v>0</v>
      </c>
    </row>
    <row r="524">
      <c r="R524" s="4" t="b">
        <v>0</v>
      </c>
    </row>
    <row r="525">
      <c r="R525" s="4" t="b">
        <v>0</v>
      </c>
    </row>
    <row r="526">
      <c r="R526" s="4" t="b">
        <v>0</v>
      </c>
    </row>
    <row r="527">
      <c r="R527" s="4" t="b">
        <v>0</v>
      </c>
    </row>
    <row r="528">
      <c r="R528" s="4" t="b">
        <v>0</v>
      </c>
    </row>
    <row r="529">
      <c r="R529" s="4" t="b">
        <v>0</v>
      </c>
    </row>
    <row r="530">
      <c r="R530" s="4" t="b">
        <v>0</v>
      </c>
    </row>
    <row r="531">
      <c r="R531" s="4" t="b">
        <v>0</v>
      </c>
    </row>
    <row r="532">
      <c r="R532" s="4" t="b">
        <v>0</v>
      </c>
    </row>
    <row r="533">
      <c r="R533" s="4" t="b">
        <v>0</v>
      </c>
    </row>
    <row r="534">
      <c r="R534" s="4" t="b">
        <v>0</v>
      </c>
    </row>
    <row r="535">
      <c r="R535" s="4" t="b">
        <v>0</v>
      </c>
    </row>
    <row r="536">
      <c r="R536" s="4" t="b">
        <v>0</v>
      </c>
    </row>
    <row r="537">
      <c r="R537" s="4" t="b">
        <v>0</v>
      </c>
    </row>
    <row r="538">
      <c r="R538" s="4" t="b">
        <v>0</v>
      </c>
    </row>
    <row r="539">
      <c r="R539" s="4" t="b">
        <v>0</v>
      </c>
    </row>
    <row r="540">
      <c r="R540" s="4" t="b">
        <v>0</v>
      </c>
    </row>
    <row r="541">
      <c r="R541" s="4" t="b">
        <v>0</v>
      </c>
    </row>
    <row r="542">
      <c r="R542" s="4" t="b">
        <v>0</v>
      </c>
    </row>
    <row r="543">
      <c r="R543" s="4" t="b">
        <v>0</v>
      </c>
    </row>
    <row r="544">
      <c r="R544" s="4" t="b">
        <v>0</v>
      </c>
    </row>
    <row r="545">
      <c r="R545" s="4" t="b">
        <v>0</v>
      </c>
    </row>
    <row r="546">
      <c r="R546" s="4" t="b">
        <v>0</v>
      </c>
    </row>
    <row r="547">
      <c r="R547" s="4" t="b">
        <v>0</v>
      </c>
    </row>
    <row r="548">
      <c r="R548" s="4" t="b">
        <v>0</v>
      </c>
    </row>
    <row r="549">
      <c r="R549" s="4" t="b">
        <v>0</v>
      </c>
    </row>
    <row r="550">
      <c r="R550" s="4" t="b">
        <v>0</v>
      </c>
    </row>
    <row r="551">
      <c r="R551" s="4" t="b">
        <v>0</v>
      </c>
    </row>
    <row r="552">
      <c r="R552" s="4" t="b">
        <v>0</v>
      </c>
    </row>
    <row r="553">
      <c r="R553" s="4" t="b">
        <v>0</v>
      </c>
    </row>
    <row r="554">
      <c r="R554" s="4" t="b">
        <v>0</v>
      </c>
    </row>
    <row r="555">
      <c r="R555" s="4" t="b">
        <v>0</v>
      </c>
    </row>
    <row r="556">
      <c r="R556" s="4" t="b">
        <v>0</v>
      </c>
    </row>
    <row r="557">
      <c r="R557" s="4" t="b">
        <v>0</v>
      </c>
    </row>
    <row r="558">
      <c r="R558" s="4" t="b">
        <v>0</v>
      </c>
    </row>
    <row r="559">
      <c r="R559" s="4" t="b">
        <v>0</v>
      </c>
    </row>
    <row r="560">
      <c r="R560" s="4" t="b">
        <v>0</v>
      </c>
    </row>
    <row r="561">
      <c r="R561" s="4" t="b">
        <v>0</v>
      </c>
    </row>
    <row r="562">
      <c r="R562" s="4" t="b">
        <v>0</v>
      </c>
    </row>
    <row r="563">
      <c r="R563" s="4" t="b">
        <v>0</v>
      </c>
    </row>
    <row r="564">
      <c r="R564" s="4" t="b">
        <v>0</v>
      </c>
    </row>
    <row r="565">
      <c r="R565" s="4" t="b">
        <v>0</v>
      </c>
    </row>
    <row r="566">
      <c r="R566" s="4" t="b">
        <v>0</v>
      </c>
    </row>
    <row r="567">
      <c r="R567" s="4" t="b">
        <v>0</v>
      </c>
    </row>
    <row r="568">
      <c r="R568" s="4" t="b">
        <v>0</v>
      </c>
    </row>
    <row r="569">
      <c r="R569" s="4" t="b">
        <v>0</v>
      </c>
    </row>
    <row r="570">
      <c r="R570" s="4" t="b">
        <v>0</v>
      </c>
    </row>
    <row r="571">
      <c r="R571" s="4" t="b">
        <v>0</v>
      </c>
    </row>
    <row r="572">
      <c r="R572" s="4" t="b">
        <v>0</v>
      </c>
    </row>
    <row r="573">
      <c r="R573" s="4" t="b">
        <v>0</v>
      </c>
    </row>
    <row r="574">
      <c r="R574" s="4" t="b">
        <v>0</v>
      </c>
    </row>
    <row r="575">
      <c r="R575" s="4" t="b">
        <v>0</v>
      </c>
    </row>
    <row r="576">
      <c r="R576" s="4" t="b">
        <v>0</v>
      </c>
    </row>
    <row r="577">
      <c r="R577" s="4" t="b">
        <v>0</v>
      </c>
    </row>
    <row r="578">
      <c r="R578" s="4" t="b">
        <v>0</v>
      </c>
    </row>
    <row r="579">
      <c r="R579" s="4" t="b">
        <v>0</v>
      </c>
    </row>
    <row r="580">
      <c r="R580" s="4" t="b">
        <v>0</v>
      </c>
    </row>
    <row r="581">
      <c r="R581" s="4" t="b">
        <v>0</v>
      </c>
    </row>
    <row r="582">
      <c r="R582" s="4" t="b">
        <v>0</v>
      </c>
    </row>
    <row r="583">
      <c r="R583" s="4" t="b">
        <v>0</v>
      </c>
    </row>
    <row r="584">
      <c r="R584" s="4" t="b">
        <v>0</v>
      </c>
    </row>
    <row r="585">
      <c r="R585" s="4" t="b">
        <v>0</v>
      </c>
    </row>
    <row r="586">
      <c r="R586" s="4" t="b">
        <v>0</v>
      </c>
    </row>
    <row r="587">
      <c r="R587" s="4" t="b">
        <v>0</v>
      </c>
    </row>
    <row r="588">
      <c r="R588" s="4" t="b">
        <v>0</v>
      </c>
    </row>
    <row r="589">
      <c r="R589" s="4" t="b">
        <v>0</v>
      </c>
    </row>
    <row r="590">
      <c r="R590" s="4" t="b">
        <v>0</v>
      </c>
    </row>
    <row r="591">
      <c r="R591" s="4" t="b">
        <v>0</v>
      </c>
    </row>
    <row r="592">
      <c r="R592" s="4" t="b">
        <v>0</v>
      </c>
    </row>
    <row r="593">
      <c r="R593" s="4" t="b">
        <v>0</v>
      </c>
    </row>
    <row r="594">
      <c r="R594" s="4" t="b">
        <v>0</v>
      </c>
    </row>
    <row r="595">
      <c r="R595" s="4" t="b">
        <v>0</v>
      </c>
    </row>
    <row r="596">
      <c r="R596" s="4" t="b">
        <v>0</v>
      </c>
    </row>
    <row r="597">
      <c r="R597" s="4" t="b">
        <v>0</v>
      </c>
    </row>
    <row r="598">
      <c r="R598" s="4" t="b">
        <v>0</v>
      </c>
    </row>
    <row r="599">
      <c r="R599" s="4" t="b">
        <v>0</v>
      </c>
    </row>
    <row r="600">
      <c r="R600" s="4" t="b">
        <v>0</v>
      </c>
    </row>
    <row r="601">
      <c r="R601" s="4" t="b">
        <v>0</v>
      </c>
    </row>
    <row r="602">
      <c r="R602" s="4" t="b">
        <v>0</v>
      </c>
    </row>
    <row r="603">
      <c r="R603" s="4" t="b">
        <v>0</v>
      </c>
    </row>
    <row r="604">
      <c r="R604" s="4" t="b">
        <v>0</v>
      </c>
    </row>
    <row r="605">
      <c r="R605" s="4" t="b">
        <v>0</v>
      </c>
    </row>
    <row r="606">
      <c r="R606" s="4" t="b">
        <v>0</v>
      </c>
    </row>
    <row r="607">
      <c r="R607" s="4" t="b">
        <v>0</v>
      </c>
    </row>
    <row r="608">
      <c r="R608" s="4" t="b">
        <v>0</v>
      </c>
    </row>
    <row r="609">
      <c r="R609" s="4" t="b">
        <v>0</v>
      </c>
    </row>
    <row r="610">
      <c r="R610" s="4" t="b">
        <v>0</v>
      </c>
    </row>
    <row r="611">
      <c r="R611" s="4" t="b">
        <v>0</v>
      </c>
    </row>
    <row r="612">
      <c r="R612" s="4" t="b">
        <v>0</v>
      </c>
    </row>
    <row r="613">
      <c r="R613" s="4" t="b">
        <v>0</v>
      </c>
    </row>
    <row r="614">
      <c r="R614" s="4" t="b">
        <v>0</v>
      </c>
    </row>
    <row r="615">
      <c r="R615" s="4" t="b">
        <v>0</v>
      </c>
    </row>
    <row r="616">
      <c r="R616" s="4" t="b">
        <v>0</v>
      </c>
    </row>
    <row r="617">
      <c r="R617" s="4" t="b">
        <v>0</v>
      </c>
    </row>
    <row r="618">
      <c r="R618" s="4" t="b">
        <v>0</v>
      </c>
    </row>
    <row r="619">
      <c r="R619" s="4" t="b">
        <v>0</v>
      </c>
    </row>
    <row r="620">
      <c r="R620" s="4" t="b">
        <v>0</v>
      </c>
    </row>
    <row r="621">
      <c r="R621" s="4" t="b">
        <v>0</v>
      </c>
    </row>
    <row r="622">
      <c r="R622" s="4" t="b">
        <v>0</v>
      </c>
    </row>
    <row r="623">
      <c r="R623" s="4" t="b">
        <v>0</v>
      </c>
    </row>
    <row r="624">
      <c r="R624" s="4" t="b">
        <v>0</v>
      </c>
    </row>
    <row r="625">
      <c r="R625" s="4" t="b">
        <v>0</v>
      </c>
    </row>
    <row r="626">
      <c r="R626" s="4" t="b">
        <v>0</v>
      </c>
    </row>
    <row r="627">
      <c r="R627" s="4" t="b">
        <v>0</v>
      </c>
    </row>
    <row r="628">
      <c r="R628" s="4" t="b">
        <v>0</v>
      </c>
    </row>
    <row r="629">
      <c r="R629" s="4" t="b">
        <v>0</v>
      </c>
    </row>
    <row r="630">
      <c r="R630" s="4" t="b">
        <v>0</v>
      </c>
    </row>
    <row r="631">
      <c r="R631" s="4" t="b">
        <v>0</v>
      </c>
    </row>
    <row r="632">
      <c r="R632" s="4" t="b">
        <v>0</v>
      </c>
    </row>
    <row r="633">
      <c r="R633" s="4" t="b">
        <v>0</v>
      </c>
    </row>
    <row r="634">
      <c r="R634" s="4" t="b">
        <v>0</v>
      </c>
    </row>
    <row r="635">
      <c r="R635" s="4" t="b">
        <v>0</v>
      </c>
    </row>
    <row r="636">
      <c r="R636" s="4" t="b">
        <v>0</v>
      </c>
    </row>
    <row r="637">
      <c r="R637" s="4" t="b">
        <v>0</v>
      </c>
    </row>
    <row r="638">
      <c r="R638" s="4" t="b">
        <v>0</v>
      </c>
    </row>
    <row r="639">
      <c r="R639" s="4" t="b">
        <v>0</v>
      </c>
    </row>
    <row r="640">
      <c r="R640" s="4" t="b">
        <v>0</v>
      </c>
    </row>
    <row r="641">
      <c r="R641" s="4" t="b">
        <v>0</v>
      </c>
    </row>
    <row r="642">
      <c r="R642" s="4" t="b">
        <v>0</v>
      </c>
    </row>
    <row r="643">
      <c r="R643" s="4" t="b">
        <v>0</v>
      </c>
    </row>
    <row r="644">
      <c r="R644" s="4" t="b">
        <v>0</v>
      </c>
    </row>
    <row r="645">
      <c r="R645" s="4" t="b">
        <v>0</v>
      </c>
    </row>
    <row r="646">
      <c r="R646" s="4" t="b">
        <v>0</v>
      </c>
    </row>
    <row r="647">
      <c r="R647" s="4" t="b">
        <v>0</v>
      </c>
    </row>
    <row r="648">
      <c r="R648" s="4" t="b">
        <v>0</v>
      </c>
    </row>
    <row r="649">
      <c r="R649" s="4" t="b">
        <v>0</v>
      </c>
    </row>
    <row r="650">
      <c r="R650" s="4" t="b">
        <v>0</v>
      </c>
    </row>
    <row r="651">
      <c r="R651" s="4" t="b">
        <v>0</v>
      </c>
    </row>
    <row r="652">
      <c r="R652" s="4" t="b">
        <v>0</v>
      </c>
    </row>
    <row r="653">
      <c r="R653" s="4" t="b">
        <v>0</v>
      </c>
    </row>
    <row r="654">
      <c r="R654" s="4" t="b">
        <v>0</v>
      </c>
    </row>
    <row r="655">
      <c r="R655" s="4" t="b">
        <v>0</v>
      </c>
    </row>
    <row r="656">
      <c r="R656" s="4" t="b">
        <v>0</v>
      </c>
    </row>
    <row r="657">
      <c r="R657" s="4" t="b">
        <v>0</v>
      </c>
    </row>
    <row r="658">
      <c r="R658" s="4" t="b">
        <v>0</v>
      </c>
    </row>
    <row r="659">
      <c r="R659" s="4" t="b">
        <v>0</v>
      </c>
    </row>
    <row r="660">
      <c r="R660" s="4" t="b">
        <v>0</v>
      </c>
    </row>
    <row r="661">
      <c r="R661" s="4" t="b">
        <v>0</v>
      </c>
    </row>
    <row r="662">
      <c r="R662" s="4" t="b">
        <v>0</v>
      </c>
    </row>
    <row r="663">
      <c r="R663" s="4" t="b">
        <v>0</v>
      </c>
    </row>
    <row r="664">
      <c r="R664" s="4" t="b">
        <v>0</v>
      </c>
    </row>
    <row r="665">
      <c r="R665" s="4" t="b">
        <v>0</v>
      </c>
    </row>
    <row r="666">
      <c r="R666" s="4" t="b">
        <v>0</v>
      </c>
    </row>
    <row r="667">
      <c r="R667" s="4" t="b">
        <v>0</v>
      </c>
    </row>
    <row r="668">
      <c r="R668" s="4" t="b">
        <v>0</v>
      </c>
    </row>
    <row r="669">
      <c r="R669" s="4" t="b">
        <v>0</v>
      </c>
    </row>
    <row r="670">
      <c r="R670" s="4" t="b">
        <v>0</v>
      </c>
    </row>
    <row r="671">
      <c r="R671" s="4" t="b">
        <v>0</v>
      </c>
    </row>
    <row r="672">
      <c r="R672" s="4" t="b">
        <v>0</v>
      </c>
    </row>
    <row r="673">
      <c r="R673" s="4" t="b">
        <v>0</v>
      </c>
    </row>
    <row r="674">
      <c r="R674" s="4" t="b">
        <v>0</v>
      </c>
    </row>
    <row r="675">
      <c r="R675" s="4" t="b">
        <v>0</v>
      </c>
    </row>
    <row r="676">
      <c r="R676" s="4" t="b">
        <v>0</v>
      </c>
    </row>
    <row r="677">
      <c r="R677" s="4" t="b">
        <v>0</v>
      </c>
    </row>
    <row r="678">
      <c r="R678" s="4" t="b">
        <v>0</v>
      </c>
    </row>
    <row r="679">
      <c r="R679" s="4" t="b">
        <v>0</v>
      </c>
    </row>
    <row r="680">
      <c r="R680" s="4" t="b">
        <v>0</v>
      </c>
    </row>
    <row r="681">
      <c r="R681" s="4" t="b">
        <v>0</v>
      </c>
    </row>
    <row r="682">
      <c r="R682" s="4" t="b">
        <v>0</v>
      </c>
    </row>
    <row r="683">
      <c r="R683" s="4" t="b">
        <v>0</v>
      </c>
    </row>
    <row r="684">
      <c r="R684" s="4" t="b">
        <v>0</v>
      </c>
    </row>
    <row r="685">
      <c r="R685" s="4" t="b">
        <v>0</v>
      </c>
    </row>
    <row r="686">
      <c r="R686" s="4" t="b">
        <v>0</v>
      </c>
    </row>
    <row r="687">
      <c r="R687" s="4" t="b">
        <v>0</v>
      </c>
    </row>
    <row r="688">
      <c r="R688" s="4" t="b">
        <v>0</v>
      </c>
    </row>
    <row r="689">
      <c r="R689" s="4" t="b">
        <v>0</v>
      </c>
    </row>
    <row r="690">
      <c r="R690" s="4" t="b">
        <v>0</v>
      </c>
    </row>
    <row r="691">
      <c r="R691" s="4" t="b">
        <v>0</v>
      </c>
    </row>
    <row r="692">
      <c r="R692" s="4" t="b">
        <v>0</v>
      </c>
    </row>
    <row r="693">
      <c r="R693" s="4" t="b">
        <v>0</v>
      </c>
    </row>
    <row r="694">
      <c r="R694" s="4" t="b">
        <v>0</v>
      </c>
    </row>
    <row r="695">
      <c r="R695" s="4" t="b">
        <v>0</v>
      </c>
    </row>
    <row r="696">
      <c r="R696" s="4" t="b">
        <v>0</v>
      </c>
    </row>
    <row r="697">
      <c r="R697" s="4" t="b">
        <v>0</v>
      </c>
    </row>
    <row r="698">
      <c r="R698" s="4" t="b">
        <v>0</v>
      </c>
    </row>
    <row r="699">
      <c r="R699" s="4" t="b">
        <v>0</v>
      </c>
    </row>
    <row r="700">
      <c r="R700" s="4" t="b">
        <v>0</v>
      </c>
    </row>
    <row r="701">
      <c r="R701" s="4" t="b">
        <v>0</v>
      </c>
    </row>
    <row r="702">
      <c r="R702" s="4" t="b">
        <v>0</v>
      </c>
    </row>
    <row r="703">
      <c r="R703" s="4" t="b">
        <v>0</v>
      </c>
    </row>
    <row r="704">
      <c r="R704" s="4" t="b">
        <v>0</v>
      </c>
    </row>
    <row r="705">
      <c r="R705" s="4" t="b">
        <v>0</v>
      </c>
    </row>
    <row r="706">
      <c r="R706" s="4" t="b">
        <v>0</v>
      </c>
    </row>
    <row r="707">
      <c r="R707" s="4" t="b">
        <v>0</v>
      </c>
    </row>
    <row r="708">
      <c r="R708" s="4" t="b">
        <v>0</v>
      </c>
    </row>
    <row r="709">
      <c r="R709" s="4" t="b">
        <v>0</v>
      </c>
    </row>
    <row r="710">
      <c r="R710" s="4" t="b">
        <v>0</v>
      </c>
    </row>
    <row r="711">
      <c r="R711" s="4" t="b">
        <v>0</v>
      </c>
    </row>
    <row r="712">
      <c r="R712" s="4" t="b">
        <v>0</v>
      </c>
    </row>
    <row r="713">
      <c r="R713" s="4" t="b">
        <v>0</v>
      </c>
    </row>
    <row r="714">
      <c r="R714" s="4" t="b">
        <v>0</v>
      </c>
    </row>
    <row r="715">
      <c r="R715" s="4" t="b">
        <v>0</v>
      </c>
    </row>
    <row r="716">
      <c r="R716" s="4" t="b">
        <v>0</v>
      </c>
    </row>
    <row r="717">
      <c r="R717" s="4" t="b">
        <v>0</v>
      </c>
    </row>
    <row r="718">
      <c r="R718" s="4" t="b">
        <v>0</v>
      </c>
    </row>
    <row r="719">
      <c r="R719" s="4" t="b">
        <v>0</v>
      </c>
    </row>
    <row r="720">
      <c r="R720" s="4" t="b">
        <v>0</v>
      </c>
    </row>
    <row r="721">
      <c r="R721" s="4" t="b">
        <v>0</v>
      </c>
    </row>
    <row r="722">
      <c r="R722" s="4" t="b">
        <v>0</v>
      </c>
    </row>
    <row r="723">
      <c r="R723" s="4" t="b">
        <v>0</v>
      </c>
    </row>
    <row r="724">
      <c r="R724" s="4" t="b">
        <v>0</v>
      </c>
    </row>
    <row r="725">
      <c r="R725" s="4" t="b">
        <v>0</v>
      </c>
    </row>
    <row r="726">
      <c r="R726" s="4" t="b">
        <v>0</v>
      </c>
    </row>
    <row r="727">
      <c r="R727" s="4" t="b">
        <v>0</v>
      </c>
    </row>
    <row r="728">
      <c r="R728" s="4" t="b">
        <v>0</v>
      </c>
    </row>
    <row r="729">
      <c r="R729" s="4" t="b">
        <v>0</v>
      </c>
    </row>
    <row r="730">
      <c r="R730" s="4" t="b">
        <v>0</v>
      </c>
    </row>
    <row r="731">
      <c r="R731" s="4" t="b">
        <v>0</v>
      </c>
    </row>
    <row r="732">
      <c r="R732" s="4" t="b">
        <v>0</v>
      </c>
    </row>
    <row r="733">
      <c r="R733" s="4" t="b">
        <v>0</v>
      </c>
    </row>
    <row r="734">
      <c r="R734" s="4" t="b">
        <v>0</v>
      </c>
    </row>
    <row r="735">
      <c r="R735" s="4" t="b">
        <v>0</v>
      </c>
    </row>
    <row r="736">
      <c r="R736" s="4" t="b">
        <v>0</v>
      </c>
    </row>
    <row r="737">
      <c r="R737" s="4" t="b">
        <v>0</v>
      </c>
    </row>
    <row r="738">
      <c r="R738" s="4" t="b">
        <v>0</v>
      </c>
    </row>
    <row r="739">
      <c r="R739" s="4" t="b">
        <v>0</v>
      </c>
    </row>
    <row r="740">
      <c r="R740" s="4" t="b">
        <v>0</v>
      </c>
    </row>
    <row r="741">
      <c r="R741" s="4" t="b">
        <v>0</v>
      </c>
    </row>
    <row r="742">
      <c r="R742" s="4" t="b">
        <v>0</v>
      </c>
    </row>
    <row r="743">
      <c r="R743" s="4" t="b">
        <v>0</v>
      </c>
    </row>
    <row r="744">
      <c r="R744" s="4" t="b">
        <v>0</v>
      </c>
    </row>
    <row r="745">
      <c r="R745" s="4" t="b">
        <v>0</v>
      </c>
    </row>
    <row r="746">
      <c r="R746" s="4" t="b">
        <v>0</v>
      </c>
    </row>
    <row r="747">
      <c r="R747" s="4" t="b">
        <v>0</v>
      </c>
    </row>
    <row r="748">
      <c r="R748" s="4" t="b">
        <v>0</v>
      </c>
    </row>
    <row r="749">
      <c r="R749" s="4" t="b">
        <v>0</v>
      </c>
    </row>
    <row r="750">
      <c r="R750" s="4" t="b">
        <v>0</v>
      </c>
    </row>
    <row r="751">
      <c r="R751" s="4" t="b">
        <v>0</v>
      </c>
    </row>
    <row r="752">
      <c r="R752" s="4" t="b">
        <v>0</v>
      </c>
    </row>
    <row r="753">
      <c r="R753" s="4" t="b">
        <v>0</v>
      </c>
    </row>
    <row r="754">
      <c r="R754" s="4" t="b">
        <v>0</v>
      </c>
    </row>
    <row r="755">
      <c r="R755" s="4" t="b">
        <v>0</v>
      </c>
    </row>
    <row r="756">
      <c r="R756" s="4" t="b">
        <v>0</v>
      </c>
    </row>
    <row r="757">
      <c r="R757" s="4" t="b">
        <v>0</v>
      </c>
    </row>
    <row r="758">
      <c r="R758" s="4" t="b">
        <v>0</v>
      </c>
    </row>
    <row r="759">
      <c r="R759" s="4" t="b">
        <v>0</v>
      </c>
    </row>
    <row r="760">
      <c r="R760" s="4" t="b">
        <v>0</v>
      </c>
    </row>
    <row r="761">
      <c r="R761" s="4" t="b">
        <v>0</v>
      </c>
    </row>
    <row r="762">
      <c r="R762" s="4" t="b">
        <v>0</v>
      </c>
    </row>
    <row r="763">
      <c r="R763" s="4" t="b">
        <v>0</v>
      </c>
    </row>
    <row r="764">
      <c r="R764" s="4" t="b">
        <v>0</v>
      </c>
    </row>
    <row r="765">
      <c r="R765" s="4" t="b">
        <v>0</v>
      </c>
    </row>
    <row r="766">
      <c r="R766" s="4" t="b">
        <v>0</v>
      </c>
    </row>
    <row r="767">
      <c r="R767" s="4" t="b">
        <v>0</v>
      </c>
    </row>
    <row r="768">
      <c r="R768" s="4" t="b">
        <v>0</v>
      </c>
    </row>
    <row r="769">
      <c r="R769" s="4" t="b">
        <v>0</v>
      </c>
    </row>
    <row r="770">
      <c r="R770" s="4" t="b">
        <v>0</v>
      </c>
    </row>
    <row r="771">
      <c r="R771" s="4" t="b">
        <v>0</v>
      </c>
    </row>
    <row r="772">
      <c r="R772" s="4" t="b">
        <v>0</v>
      </c>
    </row>
    <row r="773">
      <c r="R773" s="4" t="b">
        <v>0</v>
      </c>
    </row>
    <row r="774">
      <c r="R774" s="4" t="b">
        <v>0</v>
      </c>
    </row>
    <row r="775">
      <c r="R775" s="4" t="b">
        <v>0</v>
      </c>
    </row>
    <row r="776">
      <c r="R776" s="4" t="b">
        <v>0</v>
      </c>
    </row>
    <row r="777">
      <c r="R777" s="4" t="b">
        <v>0</v>
      </c>
    </row>
    <row r="778">
      <c r="R778" s="4" t="b">
        <v>0</v>
      </c>
    </row>
    <row r="779">
      <c r="R779" s="4" t="b">
        <v>0</v>
      </c>
    </row>
    <row r="780">
      <c r="R780" s="4" t="b">
        <v>0</v>
      </c>
    </row>
    <row r="781">
      <c r="R781" s="4" t="b">
        <v>0</v>
      </c>
    </row>
    <row r="782">
      <c r="R782" s="4" t="b">
        <v>0</v>
      </c>
    </row>
    <row r="783">
      <c r="R783" s="4" t="b">
        <v>0</v>
      </c>
    </row>
    <row r="784">
      <c r="R784" s="4" t="b">
        <v>0</v>
      </c>
    </row>
    <row r="785">
      <c r="R785" s="4" t="b">
        <v>0</v>
      </c>
    </row>
    <row r="786">
      <c r="R786" s="4" t="b">
        <v>0</v>
      </c>
    </row>
    <row r="787">
      <c r="R787" s="4" t="b">
        <v>0</v>
      </c>
    </row>
    <row r="788">
      <c r="R788" s="4" t="b">
        <v>0</v>
      </c>
    </row>
    <row r="789">
      <c r="R789" s="4" t="b">
        <v>0</v>
      </c>
    </row>
    <row r="790">
      <c r="R790" s="4" t="b">
        <v>0</v>
      </c>
    </row>
    <row r="791">
      <c r="R791" s="4" t="b">
        <v>0</v>
      </c>
    </row>
    <row r="792">
      <c r="R792" s="4" t="b">
        <v>0</v>
      </c>
    </row>
    <row r="793">
      <c r="R793" s="4" t="b">
        <v>0</v>
      </c>
    </row>
    <row r="794">
      <c r="R794" s="4" t="b">
        <v>0</v>
      </c>
    </row>
    <row r="795">
      <c r="R795" s="4" t="b">
        <v>0</v>
      </c>
    </row>
    <row r="796">
      <c r="R796" s="4" t="b">
        <v>0</v>
      </c>
    </row>
    <row r="797">
      <c r="R797" s="4" t="b">
        <v>0</v>
      </c>
    </row>
    <row r="798">
      <c r="R798" s="4" t="b">
        <v>0</v>
      </c>
    </row>
    <row r="799">
      <c r="R799" s="4" t="b">
        <v>0</v>
      </c>
    </row>
    <row r="800">
      <c r="R800" s="4" t="b">
        <v>0</v>
      </c>
    </row>
    <row r="801">
      <c r="R801" s="4" t="b">
        <v>0</v>
      </c>
    </row>
    <row r="802">
      <c r="R802" s="4" t="b">
        <v>0</v>
      </c>
    </row>
    <row r="803">
      <c r="R803" s="4" t="b">
        <v>0</v>
      </c>
    </row>
    <row r="804">
      <c r="R804" s="4" t="b">
        <v>0</v>
      </c>
    </row>
    <row r="805">
      <c r="R805" s="4" t="b">
        <v>0</v>
      </c>
    </row>
    <row r="806">
      <c r="R806" s="4" t="b">
        <v>0</v>
      </c>
    </row>
    <row r="807">
      <c r="R807" s="4" t="b">
        <v>0</v>
      </c>
    </row>
    <row r="808">
      <c r="R808" s="4" t="b">
        <v>0</v>
      </c>
    </row>
    <row r="809">
      <c r="R809" s="4" t="b">
        <v>0</v>
      </c>
    </row>
    <row r="810">
      <c r="R810" s="4" t="b">
        <v>0</v>
      </c>
    </row>
    <row r="811">
      <c r="R811" s="4" t="b">
        <v>0</v>
      </c>
    </row>
    <row r="812">
      <c r="R812" s="4" t="b">
        <v>0</v>
      </c>
    </row>
    <row r="813">
      <c r="R813" s="4" t="b">
        <v>0</v>
      </c>
    </row>
    <row r="814">
      <c r="R814" s="4" t="b">
        <v>0</v>
      </c>
    </row>
    <row r="815">
      <c r="R815" s="4" t="b">
        <v>0</v>
      </c>
    </row>
    <row r="816">
      <c r="R816" s="4" t="b">
        <v>0</v>
      </c>
    </row>
    <row r="817">
      <c r="R817" s="4" t="b">
        <v>0</v>
      </c>
    </row>
    <row r="818">
      <c r="R818" s="4" t="b">
        <v>0</v>
      </c>
    </row>
    <row r="819">
      <c r="R819" s="4" t="b">
        <v>0</v>
      </c>
    </row>
    <row r="820">
      <c r="R820" s="4" t="b">
        <v>0</v>
      </c>
    </row>
    <row r="821">
      <c r="R821" s="4" t="b">
        <v>0</v>
      </c>
    </row>
    <row r="822">
      <c r="R822" s="4" t="b">
        <v>0</v>
      </c>
    </row>
    <row r="823">
      <c r="R823" s="4" t="b">
        <v>0</v>
      </c>
    </row>
    <row r="824">
      <c r="R824" s="4" t="b">
        <v>0</v>
      </c>
    </row>
    <row r="825">
      <c r="R825" s="4" t="b">
        <v>0</v>
      </c>
    </row>
    <row r="826">
      <c r="R826" s="4" t="b">
        <v>0</v>
      </c>
    </row>
    <row r="827">
      <c r="R827" s="4" t="b">
        <v>0</v>
      </c>
    </row>
    <row r="828">
      <c r="R828" s="4" t="b">
        <v>0</v>
      </c>
    </row>
    <row r="829">
      <c r="R829" s="4" t="b">
        <v>0</v>
      </c>
    </row>
    <row r="830">
      <c r="R830" s="4" t="b">
        <v>0</v>
      </c>
    </row>
    <row r="831">
      <c r="R831" s="4" t="b">
        <v>0</v>
      </c>
    </row>
    <row r="832">
      <c r="R832" s="4" t="b">
        <v>0</v>
      </c>
    </row>
    <row r="833">
      <c r="R833" s="4" t="b">
        <v>0</v>
      </c>
    </row>
    <row r="834">
      <c r="R834" s="4" t="b">
        <v>0</v>
      </c>
    </row>
    <row r="835">
      <c r="R835" s="4" t="b">
        <v>0</v>
      </c>
    </row>
    <row r="836">
      <c r="R836" s="4" t="b">
        <v>0</v>
      </c>
    </row>
    <row r="837">
      <c r="R837" s="4" t="b">
        <v>0</v>
      </c>
    </row>
    <row r="838">
      <c r="R838" s="4" t="b">
        <v>0</v>
      </c>
    </row>
    <row r="839">
      <c r="R839" s="4" t="b">
        <v>0</v>
      </c>
    </row>
    <row r="840">
      <c r="R840" s="4" t="b">
        <v>0</v>
      </c>
    </row>
    <row r="841">
      <c r="R841" s="4" t="b">
        <v>0</v>
      </c>
    </row>
    <row r="842">
      <c r="R842" s="4" t="b">
        <v>0</v>
      </c>
    </row>
    <row r="843">
      <c r="R843" s="4" t="b">
        <v>0</v>
      </c>
    </row>
    <row r="844">
      <c r="R844" s="4" t="b">
        <v>0</v>
      </c>
    </row>
    <row r="845">
      <c r="R845" s="4" t="b">
        <v>0</v>
      </c>
    </row>
    <row r="846">
      <c r="R846" s="4" t="b">
        <v>0</v>
      </c>
    </row>
    <row r="847">
      <c r="R847" s="4" t="b">
        <v>0</v>
      </c>
    </row>
    <row r="848">
      <c r="R848" s="4" t="b">
        <v>0</v>
      </c>
    </row>
    <row r="849">
      <c r="R849" s="4" t="b">
        <v>0</v>
      </c>
    </row>
    <row r="850">
      <c r="R850" s="4" t="b">
        <v>0</v>
      </c>
    </row>
    <row r="851">
      <c r="R851" s="4" t="b">
        <v>0</v>
      </c>
    </row>
    <row r="852">
      <c r="R852" s="4" t="b">
        <v>0</v>
      </c>
    </row>
    <row r="853">
      <c r="R853" s="4" t="b">
        <v>0</v>
      </c>
    </row>
    <row r="854">
      <c r="R854" s="4" t="b">
        <v>0</v>
      </c>
    </row>
    <row r="855">
      <c r="R855" s="4" t="b">
        <v>0</v>
      </c>
    </row>
    <row r="856">
      <c r="R856" s="4" t="b">
        <v>0</v>
      </c>
    </row>
    <row r="857">
      <c r="R857" s="4" t="b">
        <v>0</v>
      </c>
    </row>
    <row r="858">
      <c r="R858" s="4" t="b">
        <v>0</v>
      </c>
    </row>
    <row r="859">
      <c r="R859" s="4" t="b">
        <v>0</v>
      </c>
    </row>
    <row r="860">
      <c r="R860" s="4" t="b">
        <v>0</v>
      </c>
    </row>
    <row r="861">
      <c r="R861" s="4" t="b">
        <v>0</v>
      </c>
    </row>
    <row r="862">
      <c r="R862" s="4" t="b">
        <v>0</v>
      </c>
    </row>
    <row r="863">
      <c r="R863" s="4" t="b">
        <v>0</v>
      </c>
    </row>
    <row r="864">
      <c r="R864" s="4" t="b">
        <v>0</v>
      </c>
    </row>
    <row r="865">
      <c r="R865" s="4" t="b">
        <v>0</v>
      </c>
    </row>
    <row r="866">
      <c r="R866" s="4" t="b">
        <v>0</v>
      </c>
    </row>
    <row r="867">
      <c r="R867" s="4" t="b">
        <v>0</v>
      </c>
    </row>
    <row r="868">
      <c r="R868" s="4" t="b">
        <v>0</v>
      </c>
    </row>
    <row r="869">
      <c r="R869" s="4" t="b">
        <v>0</v>
      </c>
    </row>
    <row r="870">
      <c r="R870" s="4" t="b">
        <v>0</v>
      </c>
    </row>
    <row r="871">
      <c r="R871" s="4" t="b">
        <v>0</v>
      </c>
    </row>
    <row r="872">
      <c r="R872" s="4" t="b">
        <v>0</v>
      </c>
    </row>
    <row r="873">
      <c r="R873" s="4" t="b">
        <v>0</v>
      </c>
    </row>
    <row r="874">
      <c r="R874" s="4" t="b">
        <v>0</v>
      </c>
    </row>
    <row r="875">
      <c r="R875" s="4" t="b">
        <v>0</v>
      </c>
    </row>
    <row r="876">
      <c r="R876" s="4" t="b">
        <v>0</v>
      </c>
    </row>
    <row r="877">
      <c r="R877" s="4" t="b">
        <v>0</v>
      </c>
    </row>
    <row r="878">
      <c r="R878" s="4" t="b">
        <v>0</v>
      </c>
    </row>
    <row r="879">
      <c r="R879" s="4" t="b">
        <v>0</v>
      </c>
    </row>
    <row r="880">
      <c r="R880" s="4" t="b">
        <v>0</v>
      </c>
    </row>
    <row r="881">
      <c r="R881" s="4" t="b">
        <v>0</v>
      </c>
    </row>
    <row r="882">
      <c r="R882" s="4" t="b">
        <v>0</v>
      </c>
    </row>
    <row r="883">
      <c r="R883" s="4" t="b">
        <v>0</v>
      </c>
    </row>
    <row r="884">
      <c r="R884" s="4" t="b">
        <v>0</v>
      </c>
    </row>
    <row r="885">
      <c r="R885" s="4" t="b">
        <v>0</v>
      </c>
    </row>
    <row r="886">
      <c r="R886" s="4" t="b">
        <v>0</v>
      </c>
    </row>
    <row r="887">
      <c r="R887" s="4" t="b">
        <v>0</v>
      </c>
    </row>
    <row r="888">
      <c r="R888" s="4" t="b">
        <v>0</v>
      </c>
    </row>
    <row r="889">
      <c r="R889" s="4" t="b">
        <v>0</v>
      </c>
    </row>
    <row r="890">
      <c r="R890" s="4" t="b">
        <v>0</v>
      </c>
    </row>
    <row r="891">
      <c r="R891" s="4" t="b">
        <v>0</v>
      </c>
    </row>
    <row r="892">
      <c r="R892" s="4" t="b">
        <v>0</v>
      </c>
    </row>
    <row r="893">
      <c r="R893" s="4" t="b">
        <v>0</v>
      </c>
    </row>
    <row r="894">
      <c r="R894" s="4" t="b">
        <v>0</v>
      </c>
    </row>
    <row r="895">
      <c r="R895" s="4" t="b">
        <v>0</v>
      </c>
    </row>
    <row r="896">
      <c r="R896" s="4" t="b">
        <v>0</v>
      </c>
    </row>
    <row r="897">
      <c r="R897" s="4" t="b">
        <v>0</v>
      </c>
    </row>
    <row r="898">
      <c r="R898" s="4" t="b">
        <v>0</v>
      </c>
    </row>
    <row r="899">
      <c r="R899" s="4" t="b">
        <v>0</v>
      </c>
    </row>
    <row r="900">
      <c r="R900" s="4" t="b">
        <v>0</v>
      </c>
    </row>
    <row r="901">
      <c r="R901" s="4" t="b">
        <v>0</v>
      </c>
    </row>
    <row r="902">
      <c r="R902" s="4" t="b">
        <v>0</v>
      </c>
    </row>
    <row r="903">
      <c r="R903" s="4" t="b">
        <v>0</v>
      </c>
    </row>
    <row r="904">
      <c r="R904" s="4" t="b">
        <v>0</v>
      </c>
    </row>
    <row r="905">
      <c r="R905" s="4" t="b">
        <v>0</v>
      </c>
    </row>
    <row r="906">
      <c r="R906" s="4" t="b">
        <v>0</v>
      </c>
    </row>
    <row r="907">
      <c r="R907" s="4" t="b">
        <v>0</v>
      </c>
    </row>
    <row r="908">
      <c r="R908" s="4" t="b">
        <v>0</v>
      </c>
    </row>
    <row r="909">
      <c r="R909" s="4" t="b">
        <v>0</v>
      </c>
    </row>
    <row r="910">
      <c r="R910" s="4" t="b">
        <v>0</v>
      </c>
    </row>
    <row r="911">
      <c r="R911" s="4" t="b">
        <v>0</v>
      </c>
    </row>
    <row r="912">
      <c r="R912" s="4" t="b">
        <v>0</v>
      </c>
    </row>
    <row r="913">
      <c r="R913" s="4" t="b">
        <v>0</v>
      </c>
    </row>
    <row r="914">
      <c r="R914" s="4" t="b">
        <v>0</v>
      </c>
    </row>
    <row r="915">
      <c r="R915" s="4" t="b">
        <v>0</v>
      </c>
    </row>
    <row r="916">
      <c r="R916" s="4" t="b">
        <v>0</v>
      </c>
    </row>
    <row r="917">
      <c r="R917" s="4" t="b">
        <v>0</v>
      </c>
    </row>
    <row r="918">
      <c r="R918" s="4" t="b">
        <v>0</v>
      </c>
    </row>
    <row r="919">
      <c r="R919" s="4" t="b">
        <v>0</v>
      </c>
    </row>
    <row r="920">
      <c r="R920" s="4" t="b">
        <v>0</v>
      </c>
    </row>
    <row r="921">
      <c r="R921" s="4" t="b">
        <v>0</v>
      </c>
    </row>
    <row r="922">
      <c r="R922" s="4" t="b">
        <v>0</v>
      </c>
    </row>
    <row r="923">
      <c r="R923" s="4" t="b">
        <v>0</v>
      </c>
    </row>
    <row r="924">
      <c r="R924" s="4" t="b">
        <v>0</v>
      </c>
    </row>
    <row r="925">
      <c r="R925" s="4" t="b">
        <v>0</v>
      </c>
    </row>
    <row r="926">
      <c r="R926" s="4" t="b">
        <v>0</v>
      </c>
    </row>
    <row r="927">
      <c r="R927" s="4" t="b">
        <v>0</v>
      </c>
    </row>
    <row r="928">
      <c r="R928" s="4" t="b">
        <v>0</v>
      </c>
    </row>
    <row r="929">
      <c r="R929" s="4" t="b">
        <v>0</v>
      </c>
    </row>
    <row r="930">
      <c r="R930" s="4" t="b">
        <v>0</v>
      </c>
    </row>
    <row r="931">
      <c r="R931" s="4" t="b">
        <v>0</v>
      </c>
    </row>
    <row r="932">
      <c r="R932" s="4" t="b">
        <v>0</v>
      </c>
    </row>
    <row r="933">
      <c r="R933" s="4" t="b">
        <v>0</v>
      </c>
    </row>
    <row r="934">
      <c r="R934" s="4" t="b">
        <v>0</v>
      </c>
    </row>
    <row r="935">
      <c r="R935" s="4" t="b">
        <v>0</v>
      </c>
    </row>
    <row r="936">
      <c r="R936" s="4" t="b">
        <v>0</v>
      </c>
    </row>
    <row r="937">
      <c r="R937" s="4" t="b">
        <v>0</v>
      </c>
    </row>
    <row r="938">
      <c r="R938" s="4" t="b">
        <v>0</v>
      </c>
    </row>
    <row r="939">
      <c r="R939" s="4" t="b">
        <v>0</v>
      </c>
    </row>
    <row r="940">
      <c r="R940" s="4" t="b">
        <v>0</v>
      </c>
    </row>
    <row r="941">
      <c r="R941" s="4" t="b">
        <v>0</v>
      </c>
    </row>
    <row r="942">
      <c r="R942" s="4" t="b">
        <v>0</v>
      </c>
    </row>
    <row r="943">
      <c r="R943" s="4" t="b">
        <v>0</v>
      </c>
    </row>
    <row r="944">
      <c r="R944" s="4" t="b">
        <v>0</v>
      </c>
    </row>
    <row r="945">
      <c r="R945" s="4" t="b">
        <v>0</v>
      </c>
    </row>
    <row r="946">
      <c r="R946" s="4" t="b">
        <v>0</v>
      </c>
    </row>
    <row r="947">
      <c r="R947" s="4" t="b">
        <v>0</v>
      </c>
    </row>
    <row r="948">
      <c r="R948" s="4" t="b">
        <v>0</v>
      </c>
    </row>
    <row r="949">
      <c r="R949" s="4" t="b">
        <v>0</v>
      </c>
    </row>
    <row r="950">
      <c r="R950" s="4" t="b">
        <v>0</v>
      </c>
    </row>
    <row r="951">
      <c r="R951" s="4" t="b">
        <v>0</v>
      </c>
    </row>
    <row r="952">
      <c r="R952" s="4" t="b">
        <v>0</v>
      </c>
    </row>
    <row r="953">
      <c r="R953" s="4" t="b">
        <v>0</v>
      </c>
    </row>
    <row r="954">
      <c r="R954" s="4" t="b">
        <v>0</v>
      </c>
    </row>
    <row r="955">
      <c r="R955" s="4" t="b">
        <v>0</v>
      </c>
    </row>
    <row r="956">
      <c r="R956" s="4" t="b">
        <v>0</v>
      </c>
    </row>
    <row r="957">
      <c r="R957" s="4" t="b">
        <v>0</v>
      </c>
    </row>
    <row r="958">
      <c r="R958" s="4" t="b">
        <v>0</v>
      </c>
    </row>
    <row r="959">
      <c r="R959" s="4" t="b">
        <v>0</v>
      </c>
    </row>
    <row r="960">
      <c r="R960" s="4" t="b">
        <v>0</v>
      </c>
    </row>
    <row r="961">
      <c r="R961" s="4" t="b">
        <v>0</v>
      </c>
    </row>
    <row r="962">
      <c r="R962" s="4" t="b">
        <v>0</v>
      </c>
    </row>
    <row r="963">
      <c r="R963" s="4" t="b">
        <v>0</v>
      </c>
    </row>
    <row r="964">
      <c r="R964" s="4" t="b">
        <v>0</v>
      </c>
    </row>
    <row r="965">
      <c r="R965" s="4" t="b">
        <v>0</v>
      </c>
    </row>
    <row r="966">
      <c r="R966" s="4" t="b">
        <v>0</v>
      </c>
    </row>
    <row r="967">
      <c r="R967" s="4" t="b">
        <v>0</v>
      </c>
    </row>
    <row r="968">
      <c r="R968" s="4" t="b">
        <v>0</v>
      </c>
    </row>
    <row r="969">
      <c r="R969" s="4" t="b">
        <v>0</v>
      </c>
    </row>
    <row r="970">
      <c r="R970" s="4" t="b">
        <v>0</v>
      </c>
    </row>
    <row r="971">
      <c r="R971" s="4" t="b">
        <v>0</v>
      </c>
    </row>
    <row r="972">
      <c r="R972" s="4" t="b">
        <v>0</v>
      </c>
    </row>
    <row r="973">
      <c r="R973" s="4" t="b">
        <v>0</v>
      </c>
    </row>
    <row r="974">
      <c r="R974" s="4" t="b">
        <v>0</v>
      </c>
    </row>
    <row r="975">
      <c r="R975" s="4" t="b">
        <v>0</v>
      </c>
    </row>
    <row r="976">
      <c r="R976" s="4" t="b">
        <v>0</v>
      </c>
    </row>
    <row r="977">
      <c r="R977" s="4" t="b">
        <v>0</v>
      </c>
    </row>
    <row r="978">
      <c r="R978" s="4" t="b">
        <v>0</v>
      </c>
    </row>
    <row r="979">
      <c r="R979" s="4" t="b">
        <v>0</v>
      </c>
    </row>
    <row r="980">
      <c r="R980" s="4" t="b">
        <v>0</v>
      </c>
    </row>
    <row r="981">
      <c r="R981" s="4" t="b">
        <v>0</v>
      </c>
    </row>
    <row r="982">
      <c r="R982" s="4" t="b">
        <v>0</v>
      </c>
    </row>
    <row r="983">
      <c r="R983" s="4" t="b">
        <v>0</v>
      </c>
    </row>
    <row r="984">
      <c r="R984" s="4" t="b">
        <v>0</v>
      </c>
    </row>
    <row r="985">
      <c r="R985" s="4" t="b">
        <v>0</v>
      </c>
    </row>
    <row r="986">
      <c r="R986" s="4" t="b">
        <v>0</v>
      </c>
    </row>
    <row r="987">
      <c r="R987" s="4" t="b">
        <v>0</v>
      </c>
    </row>
    <row r="988">
      <c r="R988" s="4" t="b">
        <v>0</v>
      </c>
    </row>
    <row r="989">
      <c r="R989" s="4" t="b">
        <v>0</v>
      </c>
    </row>
    <row r="990">
      <c r="R990" s="4" t="b">
        <v>0</v>
      </c>
    </row>
    <row r="991">
      <c r="R991" s="4" t="b">
        <v>0</v>
      </c>
    </row>
    <row r="992">
      <c r="R992" s="4" t="b">
        <v>0</v>
      </c>
    </row>
    <row r="993">
      <c r="R993" s="4" t="b">
        <v>0</v>
      </c>
    </row>
    <row r="994">
      <c r="R994" s="4" t="b">
        <v>0</v>
      </c>
    </row>
    <row r="995">
      <c r="R995" s="4" t="b">
        <v>0</v>
      </c>
    </row>
    <row r="996">
      <c r="R996" s="4" t="b">
        <v>0</v>
      </c>
    </row>
    <row r="997">
      <c r="R997" s="4" t="b">
        <v>0</v>
      </c>
    </row>
    <row r="998">
      <c r="R998" s="4" t="b">
        <v>0</v>
      </c>
    </row>
    <row r="999">
      <c r="R999" s="4" t="b">
        <v>0</v>
      </c>
    </row>
    <row r="1000">
      <c r="R1000" s="4" t="b">
        <v>0</v>
      </c>
    </row>
    <row r="1001">
      <c r="R1001" s="4" t="b">
        <v>0</v>
      </c>
    </row>
  </sheetData>
  <dataValidations>
    <dataValidation type="custom" allowBlank="1" showDropDown="1" sqref="C7:C19 G7:G19 K7:K19">
      <formula1>AND(ISNUMBER(C7),(NOT(OR(NOT(ISERROR(DATEVALUE(C7))), AND(ISNUMBER(C7), LEFT(CELL("format", C7))="D")))))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4" max="4" width="22.0"/>
    <col customWidth="1" min="5" max="5" width="15.0"/>
    <col customWidth="1" min="9" max="9" width="18.38"/>
    <col customWidth="1" min="11" max="11" width="18.5"/>
    <col customWidth="1" min="14" max="14" width="18.38"/>
    <col customWidth="1" min="15" max="15" width="15.88"/>
    <col customWidth="1" min="16" max="16" width="18.5"/>
    <col customWidth="1" min="17" max="17" width="17.0"/>
    <col customWidth="1" min="22" max="22" width="19.38"/>
  </cols>
  <sheetData>
    <row r="1">
      <c r="E1" s="1"/>
    </row>
    <row r="2">
      <c r="E2" s="1"/>
      <c r="K2" s="2" t="s">
        <v>0</v>
      </c>
      <c r="L2" s="3" t="s">
        <v>1</v>
      </c>
      <c r="M2" s="4" t="s">
        <v>2</v>
      </c>
      <c r="N2" s="4" t="s">
        <v>3</v>
      </c>
    </row>
    <row r="3">
      <c r="E3" s="1"/>
      <c r="K3" s="5" t="s">
        <v>4</v>
      </c>
      <c r="L3" s="6">
        <f t="shared" ref="L3:M3" si="1">sum(E7:E37)</f>
        <v>0</v>
      </c>
      <c r="M3" s="3">
        <f t="shared" si="1"/>
        <v>62.98</v>
      </c>
      <c r="N3" s="7">
        <f>M3*Sumario!N4</f>
        <v>55.2725076</v>
      </c>
      <c r="O3" s="7">
        <f>Sumario!N4</f>
        <v>0.87762</v>
      </c>
    </row>
    <row r="4">
      <c r="B4" s="9" t="s">
        <v>6</v>
      </c>
      <c r="C4" s="10"/>
      <c r="D4" s="10"/>
      <c r="E4" s="11"/>
      <c r="F4" s="10"/>
      <c r="G4" s="10"/>
      <c r="H4" s="10"/>
      <c r="I4" s="10"/>
      <c r="J4" s="10"/>
      <c r="K4" s="10"/>
      <c r="L4" s="10"/>
    </row>
    <row r="5">
      <c r="B5" s="9" t="s">
        <v>8</v>
      </c>
      <c r="C5" s="9" t="s">
        <v>9</v>
      </c>
      <c r="D5" s="9" t="s">
        <v>11</v>
      </c>
      <c r="E5" s="9" t="s">
        <v>12</v>
      </c>
      <c r="F5" s="9" t="s">
        <v>13</v>
      </c>
      <c r="G5" s="12" t="s">
        <v>14</v>
      </c>
      <c r="H5" s="12"/>
      <c r="I5" s="13"/>
      <c r="J5" s="14"/>
      <c r="K5" s="15"/>
      <c r="L5" s="10"/>
    </row>
    <row r="6">
      <c r="B6" s="10"/>
      <c r="C6" s="10"/>
      <c r="D6" s="10"/>
      <c r="E6" s="10"/>
      <c r="F6" s="16"/>
      <c r="G6" s="10"/>
      <c r="H6" s="15" t="s">
        <v>15</v>
      </c>
      <c r="I6" s="10"/>
      <c r="J6" s="10"/>
      <c r="K6" s="10"/>
      <c r="L6" s="10"/>
    </row>
    <row r="7">
      <c r="B7" s="10"/>
      <c r="C7" s="15" t="s">
        <v>16</v>
      </c>
      <c r="D7" s="16"/>
      <c r="E7" s="17"/>
      <c r="F7" s="19"/>
      <c r="G7" s="11">
        <f t="shared" ref="G7:G37" si="2">E7+(F7*$O$3)</f>
        <v>0</v>
      </c>
      <c r="H7" s="24">
        <f t="shared" ref="H7:H37" si="3">G7/$O$9</f>
        <v>0</v>
      </c>
      <c r="I7" s="25">
        <f t="shared" ref="I7:I37" si="4">315+G7</f>
        <v>315</v>
      </c>
      <c r="J7" s="10"/>
      <c r="K7" s="10"/>
      <c r="L7" s="10"/>
    </row>
    <row r="8">
      <c r="B8" s="10"/>
      <c r="C8" s="15" t="s">
        <v>20</v>
      </c>
      <c r="D8" s="16"/>
      <c r="E8" s="17"/>
      <c r="F8" s="19">
        <f>11.61</f>
        <v>11.61</v>
      </c>
      <c r="G8" s="11">
        <f t="shared" si="2"/>
        <v>10.1891682</v>
      </c>
      <c r="H8" s="24">
        <f t="shared" si="3"/>
        <v>0.08558901288</v>
      </c>
      <c r="I8" s="25">
        <f t="shared" si="4"/>
        <v>325.1891682</v>
      </c>
      <c r="J8" s="10"/>
      <c r="K8" s="10"/>
      <c r="L8" s="10"/>
      <c r="N8" s="31" t="s">
        <v>15</v>
      </c>
      <c r="O8" s="31">
        <v>2500.0</v>
      </c>
      <c r="P8" s="34">
        <f>O8-Sumario!K7</f>
        <v>2438.084206</v>
      </c>
    </row>
    <row r="9">
      <c r="B9" s="10"/>
      <c r="C9" s="15" t="s">
        <v>27</v>
      </c>
      <c r="D9" s="16"/>
      <c r="E9" s="17"/>
      <c r="F9" s="19"/>
      <c r="G9" s="11">
        <f t="shared" si="2"/>
        <v>0</v>
      </c>
      <c r="H9" s="24">
        <f t="shared" si="3"/>
        <v>0</v>
      </c>
      <c r="I9" s="25">
        <f t="shared" si="4"/>
        <v>315</v>
      </c>
      <c r="J9" s="10"/>
      <c r="K9" s="10"/>
      <c r="L9" s="15">
        <v>7245.0</v>
      </c>
      <c r="N9" s="31" t="s">
        <v>28</v>
      </c>
      <c r="O9" s="4">
        <f>O8/21</f>
        <v>119.047619</v>
      </c>
      <c r="P9" s="36">
        <f>P8/O8</f>
        <v>0.9752336826</v>
      </c>
    </row>
    <row r="10">
      <c r="B10" s="10"/>
      <c r="C10" s="15" t="s">
        <v>29</v>
      </c>
      <c r="D10" s="16"/>
      <c r="E10" s="17"/>
      <c r="F10" s="19"/>
      <c r="G10" s="11">
        <f t="shared" si="2"/>
        <v>0</v>
      </c>
      <c r="H10" s="24">
        <f t="shared" si="3"/>
        <v>0</v>
      </c>
      <c r="I10" s="25">
        <f t="shared" si="4"/>
        <v>315</v>
      </c>
      <c r="J10" s="10"/>
      <c r="K10" s="10"/>
      <c r="L10" s="38">
        <f>L9+Sumario!K16</f>
        <v>7245</v>
      </c>
    </row>
    <row r="11">
      <c r="B11" s="10"/>
      <c r="C11" s="15" t="s">
        <v>30</v>
      </c>
      <c r="D11" s="16"/>
      <c r="E11" s="17"/>
      <c r="F11" s="19">
        <f>6.15+7.5</f>
        <v>13.65</v>
      </c>
      <c r="G11" s="11">
        <f t="shared" si="2"/>
        <v>11.979513</v>
      </c>
      <c r="H11" s="24">
        <f t="shared" si="3"/>
        <v>0.1006279092</v>
      </c>
      <c r="I11" s="25">
        <f t="shared" si="4"/>
        <v>326.979513</v>
      </c>
      <c r="J11" s="10"/>
      <c r="K11" s="10"/>
      <c r="L11" s="10"/>
    </row>
    <row r="12">
      <c r="B12" s="15"/>
      <c r="C12" s="15" t="s">
        <v>31</v>
      </c>
      <c r="D12" s="20"/>
      <c r="E12" s="40"/>
      <c r="F12" s="41">
        <f>1.65+1.13+2.12+6.45+9.2+9.2</f>
        <v>29.75</v>
      </c>
      <c r="G12" s="11">
        <f t="shared" si="2"/>
        <v>26.109195</v>
      </c>
      <c r="H12" s="24">
        <f t="shared" si="3"/>
        <v>0.219317238</v>
      </c>
      <c r="I12" s="25">
        <f t="shared" si="4"/>
        <v>341.109195</v>
      </c>
      <c r="J12" s="15"/>
      <c r="K12" s="15"/>
      <c r="L12" s="10"/>
    </row>
    <row r="13">
      <c r="B13" s="15"/>
      <c r="C13" s="15" t="s">
        <v>32</v>
      </c>
      <c r="D13" s="20"/>
      <c r="E13" s="40"/>
      <c r="F13" s="19"/>
      <c r="G13" s="11">
        <f t="shared" si="2"/>
        <v>0</v>
      </c>
      <c r="H13" s="24">
        <f t="shared" si="3"/>
        <v>0</v>
      </c>
      <c r="I13" s="25">
        <f t="shared" si="4"/>
        <v>315</v>
      </c>
      <c r="J13" s="15"/>
      <c r="K13" s="15"/>
      <c r="L13" s="10"/>
    </row>
    <row r="14">
      <c r="B14" s="15"/>
      <c r="C14" s="15" t="s">
        <v>33</v>
      </c>
      <c r="D14" s="20"/>
      <c r="E14" s="40"/>
      <c r="F14" s="41"/>
      <c r="G14" s="11">
        <f t="shared" si="2"/>
        <v>0</v>
      </c>
      <c r="H14" s="24">
        <f t="shared" si="3"/>
        <v>0</v>
      </c>
      <c r="I14" s="25">
        <f t="shared" si="4"/>
        <v>315</v>
      </c>
      <c r="J14" s="15"/>
      <c r="K14" s="15"/>
      <c r="L14" s="10"/>
    </row>
    <row r="15">
      <c r="B15" s="15"/>
      <c r="C15" s="15" t="s">
        <v>34</v>
      </c>
      <c r="D15" s="20"/>
      <c r="E15" s="40"/>
      <c r="F15" s="19">
        <f>3.3</f>
        <v>3.3</v>
      </c>
      <c r="G15" s="11">
        <f t="shared" si="2"/>
        <v>2.896146</v>
      </c>
      <c r="H15" s="24">
        <f t="shared" si="3"/>
        <v>0.0243276264</v>
      </c>
      <c r="I15" s="25">
        <f t="shared" si="4"/>
        <v>317.896146</v>
      </c>
      <c r="J15" s="15"/>
      <c r="K15" s="15"/>
      <c r="L15" s="10"/>
    </row>
    <row r="16">
      <c r="B16" s="15"/>
      <c r="C16" s="15" t="s">
        <v>36</v>
      </c>
      <c r="D16" s="20"/>
      <c r="E16" s="40"/>
      <c r="F16" s="41"/>
      <c r="G16" s="11">
        <f t="shared" si="2"/>
        <v>0</v>
      </c>
      <c r="H16" s="24">
        <f t="shared" si="3"/>
        <v>0</v>
      </c>
      <c r="I16" s="25">
        <f t="shared" si="4"/>
        <v>315</v>
      </c>
      <c r="J16" s="15"/>
      <c r="K16" s="15"/>
      <c r="L16" s="10"/>
    </row>
    <row r="17">
      <c r="B17" s="15"/>
      <c r="C17" s="15" t="s">
        <v>37</v>
      </c>
      <c r="D17" s="20"/>
      <c r="E17" s="40"/>
      <c r="F17" s="19"/>
      <c r="G17" s="11">
        <f t="shared" si="2"/>
        <v>0</v>
      </c>
      <c r="H17" s="24">
        <f t="shared" si="3"/>
        <v>0</v>
      </c>
      <c r="I17" s="25">
        <f t="shared" si="4"/>
        <v>315</v>
      </c>
      <c r="J17" s="15"/>
      <c r="K17" s="15"/>
      <c r="L17" s="10"/>
    </row>
    <row r="18">
      <c r="B18" s="15"/>
      <c r="C18" s="15" t="s">
        <v>38</v>
      </c>
      <c r="D18" s="20"/>
      <c r="E18" s="40"/>
      <c r="F18" s="41"/>
      <c r="G18" s="11">
        <f t="shared" si="2"/>
        <v>0</v>
      </c>
      <c r="H18" s="24">
        <f t="shared" si="3"/>
        <v>0</v>
      </c>
      <c r="I18" s="25">
        <f t="shared" si="4"/>
        <v>315</v>
      </c>
      <c r="J18" s="15"/>
      <c r="K18" s="15"/>
      <c r="L18" s="10"/>
    </row>
    <row r="19">
      <c r="B19" s="15"/>
      <c r="C19" s="15" t="s">
        <v>39</v>
      </c>
      <c r="D19" s="20"/>
      <c r="E19" s="40"/>
      <c r="F19" s="19"/>
      <c r="G19" s="11">
        <f t="shared" si="2"/>
        <v>0</v>
      </c>
      <c r="H19" s="24">
        <f t="shared" si="3"/>
        <v>0</v>
      </c>
      <c r="I19" s="25">
        <f t="shared" si="4"/>
        <v>315</v>
      </c>
      <c r="J19" s="15"/>
      <c r="K19" s="15"/>
      <c r="L19" s="10"/>
    </row>
    <row r="20">
      <c r="B20" s="15"/>
      <c r="C20" s="15" t="s">
        <v>40</v>
      </c>
      <c r="D20" s="20"/>
      <c r="E20" s="40"/>
      <c r="F20" s="41"/>
      <c r="G20" s="11">
        <f t="shared" si="2"/>
        <v>0</v>
      </c>
      <c r="H20" s="24">
        <f t="shared" si="3"/>
        <v>0</v>
      </c>
      <c r="I20" s="25">
        <f t="shared" si="4"/>
        <v>315</v>
      </c>
      <c r="J20" s="15"/>
      <c r="K20" s="15"/>
      <c r="L20" s="10"/>
    </row>
    <row r="21">
      <c r="B21" s="15"/>
      <c r="C21" s="15" t="s">
        <v>41</v>
      </c>
      <c r="D21" s="20"/>
      <c r="E21" s="40"/>
      <c r="F21" s="19"/>
      <c r="G21" s="11">
        <f t="shared" si="2"/>
        <v>0</v>
      </c>
      <c r="H21" s="24">
        <f t="shared" si="3"/>
        <v>0</v>
      </c>
      <c r="I21" s="25">
        <f t="shared" si="4"/>
        <v>315</v>
      </c>
      <c r="J21" s="15"/>
      <c r="K21" s="15"/>
      <c r="L21" s="10"/>
    </row>
    <row r="22">
      <c r="B22" s="15"/>
      <c r="C22" s="15" t="s">
        <v>42</v>
      </c>
      <c r="D22" s="20"/>
      <c r="E22" s="17"/>
      <c r="F22" s="19">
        <f>1.43+1.22+2.02</f>
        <v>4.67</v>
      </c>
      <c r="G22" s="11">
        <f t="shared" si="2"/>
        <v>4.0984854</v>
      </c>
      <c r="H22" s="24">
        <f t="shared" si="3"/>
        <v>0.03442727736</v>
      </c>
      <c r="I22" s="25">
        <f t="shared" si="4"/>
        <v>319.0984854</v>
      </c>
      <c r="J22" s="15"/>
      <c r="K22" s="15"/>
      <c r="L22" s="10"/>
    </row>
    <row r="23">
      <c r="C23" s="15" t="s">
        <v>44</v>
      </c>
      <c r="E23" s="17"/>
      <c r="F23" s="44"/>
      <c r="G23" s="11">
        <f t="shared" si="2"/>
        <v>0</v>
      </c>
      <c r="H23" s="24">
        <f t="shared" si="3"/>
        <v>0</v>
      </c>
      <c r="I23" s="25">
        <f t="shared" si="4"/>
        <v>315</v>
      </c>
      <c r="J23" s="45"/>
      <c r="K23" s="45"/>
      <c r="L23" s="45"/>
      <c r="M23" s="45"/>
      <c r="N23" s="45"/>
      <c r="O23" s="45"/>
      <c r="P23" s="45"/>
      <c r="Q23" s="45"/>
    </row>
    <row r="24">
      <c r="C24" s="15" t="s">
        <v>45</v>
      </c>
      <c r="E24" s="17"/>
      <c r="F24" s="46"/>
      <c r="G24" s="11">
        <f t="shared" si="2"/>
        <v>0</v>
      </c>
      <c r="H24" s="24">
        <f t="shared" si="3"/>
        <v>0</v>
      </c>
      <c r="I24" s="25">
        <f t="shared" si="4"/>
        <v>315</v>
      </c>
      <c r="J24" s="45"/>
      <c r="K24" s="45"/>
      <c r="L24" s="45"/>
      <c r="M24" s="45"/>
      <c r="N24" s="45"/>
      <c r="O24" s="45"/>
      <c r="P24" s="45"/>
      <c r="Q24" s="45"/>
    </row>
    <row r="25">
      <c r="C25" s="15" t="s">
        <v>46</v>
      </c>
      <c r="E25" s="40"/>
      <c r="F25" s="46"/>
      <c r="G25" s="11">
        <f t="shared" si="2"/>
        <v>0</v>
      </c>
      <c r="H25" s="24">
        <f t="shared" si="3"/>
        <v>0</v>
      </c>
      <c r="I25" s="25">
        <f t="shared" si="4"/>
        <v>315</v>
      </c>
      <c r="J25" s="45"/>
      <c r="K25" s="45"/>
      <c r="L25" s="45"/>
      <c r="M25" s="45"/>
      <c r="N25" s="45"/>
      <c r="O25" s="45"/>
      <c r="P25" s="45"/>
      <c r="Q25" s="45"/>
    </row>
    <row r="26">
      <c r="C26" s="15" t="s">
        <v>47</v>
      </c>
      <c r="E26" s="40"/>
      <c r="F26" s="46"/>
      <c r="G26" s="11">
        <f t="shared" si="2"/>
        <v>0</v>
      </c>
      <c r="H26" s="24">
        <f t="shared" si="3"/>
        <v>0</v>
      </c>
      <c r="I26" s="25">
        <f t="shared" si="4"/>
        <v>315</v>
      </c>
      <c r="J26" s="45"/>
      <c r="K26" s="45"/>
      <c r="L26" s="45"/>
      <c r="M26" s="45"/>
      <c r="N26" s="45"/>
      <c r="O26" s="45"/>
      <c r="P26" s="45"/>
      <c r="Q26" s="45"/>
    </row>
    <row r="27">
      <c r="C27" s="15" t="s">
        <v>48</v>
      </c>
      <c r="E27" s="40"/>
      <c r="F27" s="46"/>
      <c r="G27" s="11">
        <f t="shared" si="2"/>
        <v>0</v>
      </c>
      <c r="H27" s="24">
        <f t="shared" si="3"/>
        <v>0</v>
      </c>
      <c r="I27" s="25">
        <f t="shared" si="4"/>
        <v>315</v>
      </c>
      <c r="J27" s="45"/>
      <c r="K27" s="45"/>
      <c r="L27" s="45"/>
      <c r="M27" s="45"/>
      <c r="N27" s="45"/>
      <c r="O27" s="45"/>
      <c r="P27" s="45"/>
      <c r="Q27" s="45"/>
    </row>
    <row r="28">
      <c r="C28" s="15" t="s">
        <v>49</v>
      </c>
      <c r="E28" s="17"/>
      <c r="F28" s="44"/>
      <c r="G28" s="11">
        <f t="shared" si="2"/>
        <v>0</v>
      </c>
      <c r="H28" s="24">
        <f t="shared" si="3"/>
        <v>0</v>
      </c>
      <c r="I28" s="25">
        <f t="shared" si="4"/>
        <v>315</v>
      </c>
      <c r="J28" s="45"/>
      <c r="K28" s="45"/>
      <c r="L28" s="45"/>
      <c r="M28" s="45"/>
      <c r="N28" s="45"/>
      <c r="O28" s="45"/>
      <c r="P28" s="45"/>
      <c r="Q28" s="45"/>
    </row>
    <row r="29">
      <c r="C29" s="15" t="s">
        <v>51</v>
      </c>
      <c r="E29" s="17"/>
      <c r="F29" s="46"/>
      <c r="G29" s="11">
        <f t="shared" si="2"/>
        <v>0</v>
      </c>
      <c r="H29" s="24">
        <f t="shared" si="3"/>
        <v>0</v>
      </c>
      <c r="I29" s="25">
        <f t="shared" si="4"/>
        <v>315</v>
      </c>
      <c r="J29" s="45"/>
      <c r="K29" s="45"/>
      <c r="L29" s="45"/>
      <c r="M29" s="45"/>
      <c r="N29" s="45"/>
      <c r="O29" s="45"/>
      <c r="P29" s="45"/>
      <c r="Q29" s="45"/>
    </row>
    <row r="30">
      <c r="C30" s="15" t="s">
        <v>52</v>
      </c>
      <c r="E30" s="40"/>
      <c r="F30" s="46"/>
      <c r="G30" s="11">
        <f t="shared" si="2"/>
        <v>0</v>
      </c>
      <c r="H30" s="24">
        <f t="shared" si="3"/>
        <v>0</v>
      </c>
      <c r="I30" s="25">
        <f t="shared" si="4"/>
        <v>315</v>
      </c>
      <c r="J30" s="45"/>
      <c r="K30" s="45"/>
      <c r="L30" s="45"/>
      <c r="M30" s="45"/>
      <c r="N30" s="45"/>
      <c r="O30" s="45"/>
      <c r="P30" s="45"/>
      <c r="Q30" s="45"/>
    </row>
    <row r="31">
      <c r="C31" s="15" t="s">
        <v>53</v>
      </c>
      <c r="E31" s="40"/>
      <c r="F31" s="46"/>
      <c r="G31" s="11">
        <f t="shared" si="2"/>
        <v>0</v>
      </c>
      <c r="H31" s="24">
        <f t="shared" si="3"/>
        <v>0</v>
      </c>
      <c r="I31" s="25">
        <f t="shared" si="4"/>
        <v>315</v>
      </c>
      <c r="J31" s="45"/>
      <c r="K31" s="45"/>
      <c r="L31" s="45"/>
      <c r="M31" s="45"/>
      <c r="N31" s="45"/>
      <c r="O31" s="45"/>
      <c r="P31" s="45"/>
      <c r="Q31" s="45"/>
    </row>
    <row r="32">
      <c r="C32" s="15" t="s">
        <v>54</v>
      </c>
      <c r="E32" s="40"/>
      <c r="F32" s="46"/>
      <c r="G32" s="11">
        <f t="shared" si="2"/>
        <v>0</v>
      </c>
      <c r="H32" s="24">
        <f t="shared" si="3"/>
        <v>0</v>
      </c>
      <c r="I32" s="25">
        <f t="shared" si="4"/>
        <v>315</v>
      </c>
      <c r="J32" s="45"/>
      <c r="K32" s="45"/>
      <c r="L32" s="45"/>
      <c r="M32" s="45"/>
      <c r="N32" s="45"/>
      <c r="O32" s="45"/>
      <c r="P32" s="45"/>
      <c r="Q32" s="45"/>
    </row>
    <row r="33">
      <c r="C33" s="15" t="s">
        <v>55</v>
      </c>
      <c r="E33" s="40"/>
      <c r="F33" s="46"/>
      <c r="G33" s="11">
        <f t="shared" si="2"/>
        <v>0</v>
      </c>
      <c r="H33" s="24">
        <f t="shared" si="3"/>
        <v>0</v>
      </c>
      <c r="I33" s="25">
        <f t="shared" si="4"/>
        <v>315</v>
      </c>
    </row>
    <row r="34">
      <c r="C34" s="15" t="s">
        <v>56</v>
      </c>
      <c r="E34" s="40"/>
      <c r="F34" s="46"/>
      <c r="G34" s="11">
        <f t="shared" si="2"/>
        <v>0</v>
      </c>
      <c r="H34" s="24">
        <f t="shared" si="3"/>
        <v>0</v>
      </c>
      <c r="I34" s="25">
        <f t="shared" si="4"/>
        <v>315</v>
      </c>
    </row>
    <row r="35">
      <c r="C35" s="15" t="s">
        <v>57</v>
      </c>
      <c r="E35" s="40"/>
      <c r="F35" s="46"/>
      <c r="G35" s="11">
        <f t="shared" si="2"/>
        <v>0</v>
      </c>
      <c r="H35" s="24">
        <f t="shared" si="3"/>
        <v>0</v>
      </c>
      <c r="I35" s="25">
        <f t="shared" si="4"/>
        <v>315</v>
      </c>
    </row>
    <row r="36">
      <c r="C36" s="15" t="s">
        <v>58</v>
      </c>
      <c r="E36" s="40"/>
      <c r="F36" s="46"/>
      <c r="G36" s="11">
        <f t="shared" si="2"/>
        <v>0</v>
      </c>
      <c r="H36" s="24">
        <f t="shared" si="3"/>
        <v>0</v>
      </c>
      <c r="I36" s="25">
        <f t="shared" si="4"/>
        <v>315</v>
      </c>
    </row>
    <row r="37">
      <c r="C37" s="15" t="s">
        <v>59</v>
      </c>
      <c r="E37" s="17"/>
      <c r="F37" s="44"/>
      <c r="G37" s="11">
        <f t="shared" si="2"/>
        <v>0</v>
      </c>
      <c r="H37" s="24">
        <f t="shared" si="3"/>
        <v>0</v>
      </c>
      <c r="I37" s="25">
        <f t="shared" si="4"/>
        <v>315</v>
      </c>
    </row>
    <row r="38">
      <c r="E38" s="1"/>
    </row>
    <row r="39">
      <c r="E39" s="1"/>
    </row>
    <row r="40">
      <c r="E40" s="1"/>
    </row>
    <row r="41">
      <c r="B41" s="48"/>
      <c r="C41" s="49"/>
      <c r="E41" s="1"/>
    </row>
    <row r="42">
      <c r="E42" s="1"/>
    </row>
    <row r="43">
      <c r="E43" s="1"/>
    </row>
    <row r="44">
      <c r="E44" s="1"/>
    </row>
    <row r="45">
      <c r="E45" s="1"/>
    </row>
    <row r="46">
      <c r="E46" s="1"/>
    </row>
    <row r="47">
      <c r="E47" s="1"/>
    </row>
    <row r="48">
      <c r="E48" s="1"/>
    </row>
    <row r="49">
      <c r="E49" s="1"/>
    </row>
    <row r="50">
      <c r="E50" s="1"/>
    </row>
    <row r="51">
      <c r="E51" s="1"/>
    </row>
    <row r="52">
      <c r="E52" s="1"/>
    </row>
    <row r="53">
      <c r="E53" s="1"/>
    </row>
    <row r="54">
      <c r="E54" s="1"/>
    </row>
    <row r="55">
      <c r="E55" s="1"/>
    </row>
    <row r="56">
      <c r="E56" s="1"/>
    </row>
    <row r="57">
      <c r="E57" s="1"/>
    </row>
    <row r="58">
      <c r="E58" s="1"/>
    </row>
    <row r="59">
      <c r="E59" s="1"/>
    </row>
    <row r="60">
      <c r="E60" s="1"/>
    </row>
    <row r="61">
      <c r="E61" s="1"/>
    </row>
    <row r="62">
      <c r="E62" s="1"/>
    </row>
    <row r="63">
      <c r="E63" s="1"/>
    </row>
    <row r="64">
      <c r="E64" s="1"/>
    </row>
    <row r="65">
      <c r="E65" s="1"/>
    </row>
    <row r="66">
      <c r="E66" s="1"/>
    </row>
    <row r="67">
      <c r="E67" s="1"/>
    </row>
    <row r="68">
      <c r="E68" s="1"/>
    </row>
    <row r="69">
      <c r="E69" s="1"/>
    </row>
    <row r="70">
      <c r="E70" s="1"/>
    </row>
    <row r="71">
      <c r="E71" s="1"/>
    </row>
    <row r="72">
      <c r="E72" s="1"/>
    </row>
    <row r="73">
      <c r="E73" s="1"/>
    </row>
    <row r="74">
      <c r="E74" s="1"/>
    </row>
    <row r="75">
      <c r="E75" s="1"/>
    </row>
    <row r="76">
      <c r="E76" s="1"/>
    </row>
    <row r="77">
      <c r="E77" s="1"/>
    </row>
    <row r="78">
      <c r="E78" s="1"/>
    </row>
    <row r="79">
      <c r="E79" s="1"/>
    </row>
    <row r="80">
      <c r="E80" s="1"/>
    </row>
    <row r="81">
      <c r="E81" s="1"/>
    </row>
    <row r="82">
      <c r="E82" s="1"/>
    </row>
    <row r="83">
      <c r="E83" s="1"/>
    </row>
    <row r="84">
      <c r="E84" s="1"/>
    </row>
    <row r="85">
      <c r="E85" s="1"/>
    </row>
    <row r="86">
      <c r="E86" s="1"/>
    </row>
    <row r="87">
      <c r="E87" s="1"/>
    </row>
    <row r="88">
      <c r="E88" s="1"/>
    </row>
    <row r="89">
      <c r="E89" s="1"/>
    </row>
    <row r="90">
      <c r="E90" s="1"/>
    </row>
    <row r="91">
      <c r="E91" s="1"/>
    </row>
    <row r="92">
      <c r="E92" s="1"/>
    </row>
    <row r="93">
      <c r="E93" s="1"/>
    </row>
    <row r="94">
      <c r="E94" s="1"/>
    </row>
    <row r="95">
      <c r="E95" s="1"/>
    </row>
    <row r="96">
      <c r="E96" s="1"/>
    </row>
    <row r="97">
      <c r="E97" s="1"/>
    </row>
    <row r="98">
      <c r="E98" s="1"/>
    </row>
    <row r="99">
      <c r="E99" s="1"/>
    </row>
    <row r="100">
      <c r="E100" s="1"/>
    </row>
    <row r="101">
      <c r="E101" s="1"/>
    </row>
    <row r="102">
      <c r="E102" s="1"/>
    </row>
    <row r="103">
      <c r="E103" s="1"/>
    </row>
    <row r="104">
      <c r="E104" s="1"/>
    </row>
    <row r="105">
      <c r="E105" s="1"/>
    </row>
    <row r="106">
      <c r="E106" s="1"/>
    </row>
    <row r="107">
      <c r="E107" s="1"/>
    </row>
    <row r="108">
      <c r="E108" s="1"/>
    </row>
    <row r="109">
      <c r="E109" s="1"/>
    </row>
    <row r="110">
      <c r="E110" s="1"/>
    </row>
    <row r="111">
      <c r="E111" s="1"/>
    </row>
    <row r="112">
      <c r="E112" s="1"/>
    </row>
    <row r="113">
      <c r="E113" s="1"/>
    </row>
    <row r="114">
      <c r="E114" s="1"/>
    </row>
    <row r="115">
      <c r="E115" s="1"/>
    </row>
    <row r="116">
      <c r="E116" s="1"/>
    </row>
    <row r="117">
      <c r="E117" s="1"/>
    </row>
    <row r="118">
      <c r="E118" s="1"/>
    </row>
    <row r="119">
      <c r="E119" s="1"/>
    </row>
    <row r="120">
      <c r="E120" s="1"/>
    </row>
    <row r="121">
      <c r="E121" s="1"/>
    </row>
    <row r="122">
      <c r="E122" s="1"/>
    </row>
    <row r="123">
      <c r="E123" s="1"/>
    </row>
    <row r="124">
      <c r="E124" s="1"/>
    </row>
    <row r="125">
      <c r="E125" s="1"/>
    </row>
    <row r="126">
      <c r="E126" s="1"/>
    </row>
    <row r="127">
      <c r="E127" s="1"/>
    </row>
    <row r="128">
      <c r="E128" s="1"/>
    </row>
    <row r="129">
      <c r="E129" s="1"/>
    </row>
    <row r="130">
      <c r="E130" s="1"/>
    </row>
    <row r="131">
      <c r="E131" s="1"/>
    </row>
    <row r="132">
      <c r="E132" s="1"/>
    </row>
    <row r="133">
      <c r="E133" s="1"/>
    </row>
    <row r="134">
      <c r="E134" s="1"/>
    </row>
    <row r="135">
      <c r="E135" s="1"/>
    </row>
    <row r="136">
      <c r="E136" s="1"/>
    </row>
    <row r="137">
      <c r="E137" s="1"/>
    </row>
    <row r="138">
      <c r="E138" s="1"/>
    </row>
    <row r="139">
      <c r="E139" s="1"/>
    </row>
    <row r="140">
      <c r="E140" s="1"/>
    </row>
    <row r="141">
      <c r="E141" s="1"/>
    </row>
    <row r="142">
      <c r="E142" s="1"/>
    </row>
    <row r="143">
      <c r="E143" s="1"/>
    </row>
    <row r="144">
      <c r="E144" s="1"/>
    </row>
    <row r="145">
      <c r="E145" s="1"/>
    </row>
    <row r="146">
      <c r="E146" s="1"/>
    </row>
    <row r="147">
      <c r="E147" s="1"/>
    </row>
    <row r="148">
      <c r="E148" s="1"/>
    </row>
    <row r="149">
      <c r="E149" s="1"/>
    </row>
    <row r="150">
      <c r="E150" s="1"/>
    </row>
    <row r="151">
      <c r="E151" s="1"/>
    </row>
    <row r="152">
      <c r="E152" s="1"/>
    </row>
    <row r="153">
      <c r="E153" s="1"/>
    </row>
    <row r="154">
      <c r="E154" s="1"/>
    </row>
    <row r="155">
      <c r="E155" s="1"/>
    </row>
    <row r="156">
      <c r="E156" s="1"/>
    </row>
    <row r="157">
      <c r="E157" s="1"/>
    </row>
    <row r="158">
      <c r="E158" s="1"/>
    </row>
    <row r="159">
      <c r="E159" s="1"/>
    </row>
    <row r="160">
      <c r="E160" s="1"/>
    </row>
    <row r="161">
      <c r="E161" s="1"/>
    </row>
    <row r="162">
      <c r="E162" s="1"/>
    </row>
    <row r="163">
      <c r="E163" s="1"/>
    </row>
    <row r="164">
      <c r="E164" s="1"/>
    </row>
    <row r="165">
      <c r="E165" s="1"/>
    </row>
    <row r="166">
      <c r="E166" s="1"/>
    </row>
    <row r="167">
      <c r="E167" s="1"/>
    </row>
    <row r="168">
      <c r="E168" s="1"/>
    </row>
    <row r="169">
      <c r="E169" s="1"/>
    </row>
    <row r="170">
      <c r="E170" s="1"/>
    </row>
    <row r="171">
      <c r="E171" s="1"/>
    </row>
    <row r="172">
      <c r="E172" s="1"/>
    </row>
    <row r="173">
      <c r="E173" s="1"/>
    </row>
    <row r="174">
      <c r="E174" s="1"/>
    </row>
    <row r="175">
      <c r="E175" s="1"/>
    </row>
    <row r="176">
      <c r="E176" s="1"/>
    </row>
    <row r="177">
      <c r="E177" s="1"/>
    </row>
    <row r="178">
      <c r="E178" s="1"/>
    </row>
    <row r="179">
      <c r="E179" s="1"/>
    </row>
    <row r="180">
      <c r="E180" s="1"/>
    </row>
    <row r="181">
      <c r="E181" s="1"/>
    </row>
    <row r="182">
      <c r="E182" s="1"/>
    </row>
    <row r="183">
      <c r="E183" s="1"/>
    </row>
    <row r="184">
      <c r="E184" s="1"/>
    </row>
    <row r="185">
      <c r="E185" s="1"/>
    </row>
    <row r="186">
      <c r="E186" s="1"/>
    </row>
    <row r="187">
      <c r="E187" s="1"/>
    </row>
    <row r="188">
      <c r="E188" s="1"/>
    </row>
    <row r="189">
      <c r="E189" s="1"/>
    </row>
    <row r="190">
      <c r="E190" s="1"/>
    </row>
    <row r="191">
      <c r="E191" s="1"/>
    </row>
    <row r="192">
      <c r="E192" s="1"/>
    </row>
    <row r="193">
      <c r="E193" s="1"/>
    </row>
    <row r="194">
      <c r="E194" s="1"/>
    </row>
    <row r="195">
      <c r="E195" s="1"/>
    </row>
    <row r="196">
      <c r="E196" s="1"/>
    </row>
    <row r="197">
      <c r="E197" s="1"/>
    </row>
    <row r="198">
      <c r="E198" s="1"/>
    </row>
    <row r="199">
      <c r="E199" s="1"/>
    </row>
    <row r="200">
      <c r="E200" s="1"/>
    </row>
    <row r="201">
      <c r="E201" s="1"/>
    </row>
    <row r="202">
      <c r="E202" s="1"/>
    </row>
    <row r="203">
      <c r="E203" s="1"/>
    </row>
    <row r="204">
      <c r="E204" s="1"/>
    </row>
    <row r="205">
      <c r="E205" s="1"/>
    </row>
    <row r="206">
      <c r="E206" s="1"/>
    </row>
    <row r="207">
      <c r="E207" s="1"/>
    </row>
    <row r="208">
      <c r="E208" s="1"/>
    </row>
    <row r="209">
      <c r="E209" s="1"/>
    </row>
    <row r="210">
      <c r="E210" s="1"/>
    </row>
    <row r="211">
      <c r="E211" s="1"/>
    </row>
    <row r="212">
      <c r="E212" s="1"/>
    </row>
    <row r="213">
      <c r="E213" s="1"/>
    </row>
    <row r="214">
      <c r="E214" s="1"/>
    </row>
    <row r="215">
      <c r="E215" s="1"/>
    </row>
    <row r="216">
      <c r="E216" s="1"/>
    </row>
    <row r="217">
      <c r="E217" s="1"/>
    </row>
    <row r="218">
      <c r="E218" s="1"/>
    </row>
    <row r="219">
      <c r="E219" s="1"/>
    </row>
    <row r="220">
      <c r="E220" s="1"/>
    </row>
    <row r="221">
      <c r="E221" s="1"/>
    </row>
    <row r="222">
      <c r="E222" s="1"/>
    </row>
    <row r="223">
      <c r="E223" s="1"/>
    </row>
    <row r="224">
      <c r="E224" s="1"/>
    </row>
    <row r="225">
      <c r="E225" s="1"/>
    </row>
    <row r="226">
      <c r="E226" s="1"/>
    </row>
    <row r="227">
      <c r="E227" s="1"/>
    </row>
    <row r="228">
      <c r="E228" s="1"/>
    </row>
    <row r="229">
      <c r="E229" s="1"/>
    </row>
    <row r="230">
      <c r="E230" s="1"/>
    </row>
    <row r="231">
      <c r="E231" s="1"/>
    </row>
    <row r="232">
      <c r="E232" s="1"/>
    </row>
    <row r="233">
      <c r="E233" s="1"/>
    </row>
    <row r="234">
      <c r="E234" s="1"/>
    </row>
    <row r="235">
      <c r="E235" s="1"/>
    </row>
    <row r="236">
      <c r="E236" s="1"/>
    </row>
    <row r="237">
      <c r="E237" s="1"/>
    </row>
    <row r="238">
      <c r="E238" s="1"/>
    </row>
    <row r="239">
      <c r="E239" s="1"/>
    </row>
    <row r="240">
      <c r="E240" s="1"/>
    </row>
    <row r="241">
      <c r="E241" s="1"/>
    </row>
    <row r="242">
      <c r="E242" s="1"/>
    </row>
    <row r="243">
      <c r="E243" s="1"/>
    </row>
    <row r="244">
      <c r="E244" s="1"/>
    </row>
    <row r="245">
      <c r="E245" s="1"/>
    </row>
    <row r="246">
      <c r="E246" s="1"/>
    </row>
    <row r="247">
      <c r="E247" s="1"/>
    </row>
    <row r="248">
      <c r="E248" s="1"/>
    </row>
    <row r="249">
      <c r="E249" s="1"/>
    </row>
    <row r="250">
      <c r="E250" s="1"/>
    </row>
    <row r="251">
      <c r="E251" s="1"/>
    </row>
    <row r="252">
      <c r="E252" s="1"/>
    </row>
    <row r="253">
      <c r="E253" s="1"/>
    </row>
    <row r="254">
      <c r="E254" s="1"/>
    </row>
    <row r="255">
      <c r="E255" s="1"/>
    </row>
    <row r="256">
      <c r="E256" s="1"/>
    </row>
    <row r="257">
      <c r="E257" s="1"/>
    </row>
    <row r="258">
      <c r="E258" s="1"/>
    </row>
    <row r="259">
      <c r="E259" s="1"/>
    </row>
    <row r="260">
      <c r="E260" s="1"/>
    </row>
    <row r="261">
      <c r="E261" s="1"/>
    </row>
    <row r="262">
      <c r="E262" s="1"/>
    </row>
    <row r="263">
      <c r="E263" s="1"/>
    </row>
    <row r="264">
      <c r="E264" s="1"/>
    </row>
    <row r="265">
      <c r="E265" s="1"/>
    </row>
    <row r="266">
      <c r="E266" s="1"/>
    </row>
    <row r="267">
      <c r="E267" s="1"/>
    </row>
    <row r="268">
      <c r="E268" s="1"/>
    </row>
    <row r="269">
      <c r="E269" s="1"/>
    </row>
    <row r="270">
      <c r="E270" s="1"/>
    </row>
    <row r="271">
      <c r="E271" s="1"/>
    </row>
    <row r="272">
      <c r="E272" s="1"/>
    </row>
    <row r="273">
      <c r="E273" s="1"/>
    </row>
    <row r="274">
      <c r="E274" s="1"/>
    </row>
    <row r="275">
      <c r="E275" s="1"/>
    </row>
    <row r="276">
      <c r="E276" s="1"/>
    </row>
    <row r="277">
      <c r="E277" s="1"/>
    </row>
    <row r="278">
      <c r="E278" s="1"/>
    </row>
    <row r="279">
      <c r="E279" s="1"/>
    </row>
    <row r="280">
      <c r="E280" s="1"/>
    </row>
    <row r="281">
      <c r="E281" s="1"/>
    </row>
    <row r="282">
      <c r="E282" s="1"/>
    </row>
    <row r="283">
      <c r="E283" s="1"/>
    </row>
    <row r="284">
      <c r="E284" s="1"/>
    </row>
    <row r="285">
      <c r="E285" s="1"/>
    </row>
    <row r="286">
      <c r="E286" s="1"/>
    </row>
    <row r="287">
      <c r="E287" s="1"/>
    </row>
    <row r="288">
      <c r="E288" s="1"/>
    </row>
    <row r="289">
      <c r="E289" s="1"/>
    </row>
    <row r="290">
      <c r="E290" s="1"/>
    </row>
    <row r="291">
      <c r="E291" s="1"/>
    </row>
    <row r="292">
      <c r="E292" s="1"/>
    </row>
    <row r="293">
      <c r="E293" s="1"/>
    </row>
    <row r="294">
      <c r="E294" s="1"/>
    </row>
    <row r="295">
      <c r="E295" s="1"/>
    </row>
    <row r="296">
      <c r="E296" s="1"/>
    </row>
    <row r="297">
      <c r="E297" s="1"/>
    </row>
    <row r="298">
      <c r="E298" s="1"/>
    </row>
    <row r="299">
      <c r="E299" s="1"/>
    </row>
    <row r="300">
      <c r="E300" s="1"/>
    </row>
    <row r="301">
      <c r="E301" s="1"/>
    </row>
    <row r="302">
      <c r="E302" s="1"/>
    </row>
    <row r="303">
      <c r="E303" s="1"/>
    </row>
    <row r="304">
      <c r="E304" s="1"/>
    </row>
    <row r="305">
      <c r="E305" s="1"/>
    </row>
    <row r="306">
      <c r="E306" s="1"/>
    </row>
    <row r="307">
      <c r="E307" s="1"/>
    </row>
    <row r="308">
      <c r="E308" s="1"/>
    </row>
    <row r="309">
      <c r="E309" s="1"/>
    </row>
    <row r="310">
      <c r="E310" s="1"/>
    </row>
    <row r="311">
      <c r="E311" s="1"/>
    </row>
    <row r="312">
      <c r="E312" s="1"/>
    </row>
    <row r="313">
      <c r="E313" s="1"/>
    </row>
    <row r="314">
      <c r="E314" s="1"/>
    </row>
    <row r="315">
      <c r="E315" s="1"/>
    </row>
    <row r="316">
      <c r="E316" s="1"/>
    </row>
    <row r="317">
      <c r="E317" s="1"/>
    </row>
    <row r="318">
      <c r="E318" s="1"/>
    </row>
    <row r="319">
      <c r="E319" s="1"/>
    </row>
    <row r="320">
      <c r="E320" s="1"/>
    </row>
    <row r="321">
      <c r="E321" s="1"/>
    </row>
    <row r="322">
      <c r="E322" s="1"/>
    </row>
    <row r="323">
      <c r="E323" s="1"/>
    </row>
    <row r="324">
      <c r="E324" s="1"/>
    </row>
    <row r="325">
      <c r="E325" s="1"/>
    </row>
    <row r="326">
      <c r="E326" s="1"/>
    </row>
    <row r="327">
      <c r="E327" s="1"/>
    </row>
    <row r="328">
      <c r="E328" s="1"/>
    </row>
    <row r="329">
      <c r="E329" s="1"/>
    </row>
    <row r="330">
      <c r="E330" s="1"/>
    </row>
    <row r="331">
      <c r="E331" s="1"/>
    </row>
    <row r="332">
      <c r="E332" s="1"/>
    </row>
    <row r="333">
      <c r="E333" s="1"/>
    </row>
    <row r="334">
      <c r="E334" s="1"/>
    </row>
    <row r="335">
      <c r="E335" s="1"/>
    </row>
    <row r="336">
      <c r="E336" s="1"/>
    </row>
    <row r="337">
      <c r="E337" s="1"/>
    </row>
    <row r="338">
      <c r="E338" s="1"/>
    </row>
    <row r="339">
      <c r="E339" s="1"/>
    </row>
    <row r="340">
      <c r="E340" s="1"/>
    </row>
    <row r="341">
      <c r="E341" s="1"/>
    </row>
    <row r="342">
      <c r="E342" s="1"/>
    </row>
    <row r="343">
      <c r="E343" s="1"/>
    </row>
    <row r="344">
      <c r="E344" s="1"/>
    </row>
    <row r="345">
      <c r="E345" s="1"/>
    </row>
    <row r="346">
      <c r="E346" s="1"/>
    </row>
    <row r="347">
      <c r="E347" s="1"/>
    </row>
    <row r="348">
      <c r="E348" s="1"/>
    </row>
    <row r="349">
      <c r="E349" s="1"/>
    </row>
    <row r="350">
      <c r="E350" s="1"/>
    </row>
    <row r="351">
      <c r="E351" s="1"/>
    </row>
    <row r="352">
      <c r="E352" s="1"/>
    </row>
    <row r="353">
      <c r="E353" s="1"/>
    </row>
    <row r="354">
      <c r="E354" s="1"/>
    </row>
    <row r="355">
      <c r="E355" s="1"/>
    </row>
    <row r="356">
      <c r="E356" s="1"/>
    </row>
    <row r="357">
      <c r="E357" s="1"/>
    </row>
    <row r="358">
      <c r="E358" s="1"/>
    </row>
    <row r="359">
      <c r="E359" s="1"/>
    </row>
    <row r="360">
      <c r="E360" s="1"/>
    </row>
    <row r="361">
      <c r="E361" s="1"/>
    </row>
    <row r="362">
      <c r="E362" s="1"/>
    </row>
    <row r="363">
      <c r="E363" s="1"/>
    </row>
    <row r="364">
      <c r="E364" s="1"/>
    </row>
    <row r="365">
      <c r="E365" s="1"/>
    </row>
    <row r="366">
      <c r="E366" s="1"/>
    </row>
    <row r="367">
      <c r="E367" s="1"/>
    </row>
    <row r="368">
      <c r="E368" s="1"/>
    </row>
    <row r="369">
      <c r="E369" s="1"/>
    </row>
    <row r="370">
      <c r="E370" s="1"/>
    </row>
    <row r="371">
      <c r="E371" s="1"/>
    </row>
    <row r="372">
      <c r="E372" s="1"/>
    </row>
    <row r="373">
      <c r="E373" s="1"/>
    </row>
    <row r="374">
      <c r="E374" s="1"/>
    </row>
    <row r="375">
      <c r="E375" s="1"/>
    </row>
    <row r="376">
      <c r="E376" s="1"/>
    </row>
    <row r="377">
      <c r="E377" s="1"/>
    </row>
    <row r="378">
      <c r="E378" s="1"/>
    </row>
    <row r="379">
      <c r="E379" s="1"/>
    </row>
    <row r="380">
      <c r="E380" s="1"/>
    </row>
    <row r="381">
      <c r="E381" s="1"/>
    </row>
    <row r="382">
      <c r="E382" s="1"/>
    </row>
    <row r="383">
      <c r="E383" s="1"/>
    </row>
    <row r="384">
      <c r="E384" s="1"/>
    </row>
    <row r="385">
      <c r="E385" s="1"/>
    </row>
    <row r="386">
      <c r="E386" s="1"/>
    </row>
    <row r="387">
      <c r="E387" s="1"/>
    </row>
    <row r="388">
      <c r="E388" s="1"/>
    </row>
    <row r="389">
      <c r="E389" s="1"/>
    </row>
    <row r="390">
      <c r="E390" s="1"/>
    </row>
    <row r="391">
      <c r="E391" s="1"/>
    </row>
    <row r="392">
      <c r="E392" s="1"/>
    </row>
    <row r="393">
      <c r="E393" s="1"/>
    </row>
    <row r="394">
      <c r="E394" s="1"/>
    </row>
    <row r="395">
      <c r="E395" s="1"/>
    </row>
    <row r="396">
      <c r="E396" s="1"/>
    </row>
    <row r="397">
      <c r="E397" s="1"/>
    </row>
    <row r="398">
      <c r="E398" s="1"/>
    </row>
    <row r="399">
      <c r="E399" s="1"/>
    </row>
    <row r="400">
      <c r="E400" s="1"/>
    </row>
    <row r="401">
      <c r="E401" s="1"/>
    </row>
    <row r="402">
      <c r="E402" s="1"/>
    </row>
    <row r="403">
      <c r="E403" s="1"/>
    </row>
    <row r="404">
      <c r="E404" s="1"/>
    </row>
    <row r="405">
      <c r="E405" s="1"/>
    </row>
    <row r="406">
      <c r="E406" s="1"/>
    </row>
    <row r="407">
      <c r="E407" s="1"/>
    </row>
    <row r="408">
      <c r="E408" s="1"/>
    </row>
    <row r="409">
      <c r="E409" s="1"/>
    </row>
    <row r="410">
      <c r="E410" s="1"/>
    </row>
    <row r="411">
      <c r="E411" s="1"/>
    </row>
    <row r="412">
      <c r="E412" s="1"/>
    </row>
    <row r="413">
      <c r="E413" s="1"/>
    </row>
    <row r="414">
      <c r="E414" s="1"/>
    </row>
    <row r="415">
      <c r="E415" s="1"/>
    </row>
    <row r="416">
      <c r="E416" s="1"/>
    </row>
    <row r="417">
      <c r="E417" s="1"/>
    </row>
    <row r="418">
      <c r="E418" s="1"/>
    </row>
    <row r="419">
      <c r="E419" s="1"/>
    </row>
    <row r="420">
      <c r="E420" s="1"/>
    </row>
    <row r="421">
      <c r="E421" s="1"/>
    </row>
    <row r="422">
      <c r="E422" s="1"/>
    </row>
    <row r="423">
      <c r="E423" s="1"/>
    </row>
    <row r="424">
      <c r="E424" s="1"/>
    </row>
    <row r="425">
      <c r="E425" s="1"/>
    </row>
    <row r="426">
      <c r="E426" s="1"/>
    </row>
    <row r="427">
      <c r="E427" s="1"/>
    </row>
    <row r="428">
      <c r="E428" s="1"/>
    </row>
    <row r="429">
      <c r="E429" s="1"/>
    </row>
    <row r="430">
      <c r="E430" s="1"/>
    </row>
    <row r="431">
      <c r="E431" s="1"/>
    </row>
    <row r="432">
      <c r="E432" s="1"/>
    </row>
    <row r="433">
      <c r="E433" s="1"/>
    </row>
    <row r="434">
      <c r="E434" s="1"/>
    </row>
    <row r="435">
      <c r="E435" s="1"/>
    </row>
    <row r="436">
      <c r="E436" s="1"/>
    </row>
    <row r="437">
      <c r="E437" s="1"/>
    </row>
    <row r="438">
      <c r="E438" s="1"/>
    </row>
    <row r="439">
      <c r="E439" s="1"/>
    </row>
    <row r="440">
      <c r="E440" s="1"/>
    </row>
    <row r="441">
      <c r="E441" s="1"/>
    </row>
    <row r="442">
      <c r="E442" s="1"/>
    </row>
    <row r="443">
      <c r="E443" s="1"/>
    </row>
    <row r="444">
      <c r="E444" s="1"/>
    </row>
    <row r="445">
      <c r="E445" s="1"/>
    </row>
    <row r="446">
      <c r="E446" s="1"/>
    </row>
    <row r="447">
      <c r="E447" s="1"/>
    </row>
    <row r="448">
      <c r="E448" s="1"/>
    </row>
    <row r="449">
      <c r="E449" s="1"/>
    </row>
    <row r="450">
      <c r="E450" s="1"/>
    </row>
    <row r="451">
      <c r="E451" s="1"/>
    </row>
    <row r="452">
      <c r="E452" s="1"/>
    </row>
    <row r="453">
      <c r="E453" s="1"/>
    </row>
    <row r="454">
      <c r="E454" s="1"/>
    </row>
    <row r="455">
      <c r="E455" s="1"/>
    </row>
    <row r="456">
      <c r="E456" s="1"/>
    </row>
    <row r="457">
      <c r="E457" s="1"/>
    </row>
    <row r="458">
      <c r="E458" s="1"/>
    </row>
    <row r="459">
      <c r="E459" s="1"/>
    </row>
    <row r="460">
      <c r="E460" s="1"/>
    </row>
    <row r="461">
      <c r="E461" s="1"/>
    </row>
    <row r="462">
      <c r="E462" s="1"/>
    </row>
    <row r="463">
      <c r="E463" s="1"/>
    </row>
    <row r="464">
      <c r="E464" s="1"/>
    </row>
    <row r="465">
      <c r="E465" s="1"/>
    </row>
    <row r="466">
      <c r="E466" s="1"/>
    </row>
    <row r="467">
      <c r="E467" s="1"/>
    </row>
    <row r="468">
      <c r="E468" s="1"/>
    </row>
    <row r="469">
      <c r="E469" s="1"/>
    </row>
    <row r="470">
      <c r="E470" s="1"/>
    </row>
    <row r="471">
      <c r="E471" s="1"/>
    </row>
    <row r="472">
      <c r="E472" s="1"/>
    </row>
    <row r="473">
      <c r="E473" s="1"/>
    </row>
    <row r="474">
      <c r="E474" s="1"/>
    </row>
    <row r="475">
      <c r="E475" s="1"/>
    </row>
    <row r="476">
      <c r="E476" s="1"/>
    </row>
    <row r="477">
      <c r="E477" s="1"/>
    </row>
    <row r="478">
      <c r="E478" s="1"/>
    </row>
    <row r="479">
      <c r="E479" s="1"/>
    </row>
    <row r="480">
      <c r="E480" s="1"/>
    </row>
    <row r="481">
      <c r="E481" s="1"/>
    </row>
    <row r="482">
      <c r="E482" s="1"/>
    </row>
    <row r="483">
      <c r="E483" s="1"/>
    </row>
    <row r="484">
      <c r="E484" s="1"/>
    </row>
    <row r="485">
      <c r="E485" s="1"/>
    </row>
    <row r="486">
      <c r="E486" s="1"/>
    </row>
    <row r="487">
      <c r="E487" s="1"/>
    </row>
    <row r="488">
      <c r="E488" s="1"/>
    </row>
    <row r="489">
      <c r="E489" s="1"/>
    </row>
    <row r="490">
      <c r="E490" s="1"/>
    </row>
    <row r="491">
      <c r="E491" s="1"/>
    </row>
    <row r="492">
      <c r="E492" s="1"/>
    </row>
    <row r="493">
      <c r="E493" s="1"/>
    </row>
    <row r="494">
      <c r="E494" s="1"/>
    </row>
    <row r="495">
      <c r="E495" s="1"/>
    </row>
    <row r="496">
      <c r="E496" s="1"/>
    </row>
    <row r="497">
      <c r="E497" s="1"/>
    </row>
    <row r="498">
      <c r="E498" s="1"/>
    </row>
    <row r="499">
      <c r="E499" s="1"/>
    </row>
    <row r="500">
      <c r="E500" s="1"/>
    </row>
    <row r="501">
      <c r="E501" s="1"/>
    </row>
    <row r="502">
      <c r="E502" s="1"/>
    </row>
    <row r="503">
      <c r="E503" s="1"/>
    </row>
    <row r="504">
      <c r="E504" s="1"/>
    </row>
    <row r="505">
      <c r="E505" s="1"/>
    </row>
    <row r="506">
      <c r="E506" s="1"/>
    </row>
    <row r="507">
      <c r="E507" s="1"/>
    </row>
    <row r="508">
      <c r="E508" s="1"/>
    </row>
    <row r="509">
      <c r="E509" s="1"/>
    </row>
    <row r="510">
      <c r="E510" s="1"/>
    </row>
    <row r="511">
      <c r="E511" s="1"/>
    </row>
    <row r="512">
      <c r="E512" s="1"/>
    </row>
    <row r="513">
      <c r="E513" s="1"/>
    </row>
    <row r="514">
      <c r="E514" s="1"/>
    </row>
    <row r="515">
      <c r="E515" s="1"/>
    </row>
    <row r="516">
      <c r="E516" s="1"/>
    </row>
    <row r="517">
      <c r="E517" s="1"/>
    </row>
    <row r="518">
      <c r="E518" s="1"/>
    </row>
    <row r="519">
      <c r="E519" s="1"/>
    </row>
    <row r="520">
      <c r="E520" s="1"/>
    </row>
    <row r="521">
      <c r="E521" s="1"/>
    </row>
    <row r="522">
      <c r="E522" s="1"/>
    </row>
    <row r="523">
      <c r="E523" s="1"/>
    </row>
    <row r="524">
      <c r="E524" s="1"/>
    </row>
    <row r="525">
      <c r="E525" s="1"/>
    </row>
    <row r="526">
      <c r="E526" s="1"/>
    </row>
    <row r="527">
      <c r="E527" s="1"/>
    </row>
    <row r="528">
      <c r="E528" s="1"/>
    </row>
    <row r="529">
      <c r="E529" s="1"/>
    </row>
    <row r="530">
      <c r="E530" s="1"/>
    </row>
    <row r="531">
      <c r="E531" s="1"/>
    </row>
    <row r="532">
      <c r="E532" s="1"/>
    </row>
    <row r="533">
      <c r="E533" s="1"/>
    </row>
    <row r="534">
      <c r="E534" s="1"/>
    </row>
    <row r="535">
      <c r="E535" s="1"/>
    </row>
    <row r="536">
      <c r="E536" s="1"/>
    </row>
    <row r="537">
      <c r="E537" s="1"/>
    </row>
    <row r="538">
      <c r="E538" s="1"/>
    </row>
    <row r="539">
      <c r="E539" s="1"/>
    </row>
    <row r="540">
      <c r="E540" s="1"/>
    </row>
    <row r="541">
      <c r="E541" s="1"/>
    </row>
    <row r="542">
      <c r="E542" s="1"/>
    </row>
    <row r="543">
      <c r="E543" s="1"/>
    </row>
    <row r="544">
      <c r="E544" s="1"/>
    </row>
    <row r="545">
      <c r="E545" s="1"/>
    </row>
    <row r="546">
      <c r="E546" s="1"/>
    </row>
    <row r="547">
      <c r="E547" s="1"/>
    </row>
    <row r="548">
      <c r="E548" s="1"/>
    </row>
    <row r="549">
      <c r="E549" s="1"/>
    </row>
    <row r="550">
      <c r="E550" s="1"/>
    </row>
    <row r="551">
      <c r="E551" s="1"/>
    </row>
    <row r="552">
      <c r="E552" s="1"/>
    </row>
    <row r="553">
      <c r="E553" s="1"/>
    </row>
    <row r="554">
      <c r="E554" s="1"/>
    </row>
    <row r="555">
      <c r="E555" s="1"/>
    </row>
    <row r="556">
      <c r="E556" s="1"/>
    </row>
    <row r="557">
      <c r="E557" s="1"/>
    </row>
    <row r="558">
      <c r="E558" s="1"/>
    </row>
    <row r="559">
      <c r="E559" s="1"/>
    </row>
    <row r="560">
      <c r="E560" s="1"/>
    </row>
    <row r="561">
      <c r="E561" s="1"/>
    </row>
    <row r="562">
      <c r="E562" s="1"/>
    </row>
    <row r="563">
      <c r="E563" s="1"/>
    </row>
    <row r="564">
      <c r="E564" s="1"/>
    </row>
    <row r="565">
      <c r="E565" s="1"/>
    </row>
    <row r="566">
      <c r="E566" s="1"/>
    </row>
    <row r="567">
      <c r="E567" s="1"/>
    </row>
    <row r="568">
      <c r="E568" s="1"/>
    </row>
    <row r="569">
      <c r="E569" s="1"/>
    </row>
    <row r="570">
      <c r="E570" s="1"/>
    </row>
    <row r="571">
      <c r="E571" s="1"/>
    </row>
    <row r="572">
      <c r="E572" s="1"/>
    </row>
    <row r="573">
      <c r="E573" s="1"/>
    </row>
    <row r="574">
      <c r="E574" s="1"/>
    </row>
    <row r="575">
      <c r="E575" s="1"/>
    </row>
    <row r="576">
      <c r="E576" s="1"/>
    </row>
    <row r="577">
      <c r="E577" s="1"/>
    </row>
    <row r="578">
      <c r="E578" s="1"/>
    </row>
    <row r="579">
      <c r="E579" s="1"/>
    </row>
    <row r="580">
      <c r="E580" s="1"/>
    </row>
    <row r="581">
      <c r="E581" s="1"/>
    </row>
    <row r="582">
      <c r="E582" s="1"/>
    </row>
    <row r="583">
      <c r="E583" s="1"/>
    </row>
    <row r="584">
      <c r="E584" s="1"/>
    </row>
    <row r="585">
      <c r="E585" s="1"/>
    </row>
    <row r="586">
      <c r="E586" s="1"/>
    </row>
    <row r="587">
      <c r="E587" s="1"/>
    </row>
    <row r="588">
      <c r="E588" s="1"/>
    </row>
    <row r="589">
      <c r="E589" s="1"/>
    </row>
    <row r="590">
      <c r="E590" s="1"/>
    </row>
    <row r="591">
      <c r="E591" s="1"/>
    </row>
    <row r="592">
      <c r="E592" s="1"/>
    </row>
    <row r="593">
      <c r="E593" s="1"/>
    </row>
    <row r="594">
      <c r="E594" s="1"/>
    </row>
    <row r="595">
      <c r="E595" s="1"/>
    </row>
    <row r="596">
      <c r="E596" s="1"/>
    </row>
    <row r="597">
      <c r="E597" s="1"/>
    </row>
    <row r="598">
      <c r="E598" s="1"/>
    </row>
    <row r="599">
      <c r="E599" s="1"/>
    </row>
    <row r="600">
      <c r="E600" s="1"/>
    </row>
    <row r="601">
      <c r="E601" s="1"/>
    </row>
    <row r="602">
      <c r="E602" s="1"/>
    </row>
    <row r="603">
      <c r="E603" s="1"/>
    </row>
    <row r="604">
      <c r="E604" s="1"/>
    </row>
    <row r="605">
      <c r="E605" s="1"/>
    </row>
    <row r="606">
      <c r="E606" s="1"/>
    </row>
    <row r="607">
      <c r="E607" s="1"/>
    </row>
    <row r="608">
      <c r="E608" s="1"/>
    </row>
    <row r="609">
      <c r="E609" s="1"/>
    </row>
    <row r="610">
      <c r="E610" s="1"/>
    </row>
    <row r="611">
      <c r="E611" s="1"/>
    </row>
    <row r="612">
      <c r="E612" s="1"/>
    </row>
    <row r="613">
      <c r="E613" s="1"/>
    </row>
    <row r="614">
      <c r="E614" s="1"/>
    </row>
    <row r="615">
      <c r="E615" s="1"/>
    </row>
    <row r="616">
      <c r="E616" s="1"/>
    </row>
    <row r="617">
      <c r="E617" s="1"/>
    </row>
    <row r="618">
      <c r="E618" s="1"/>
    </row>
    <row r="619">
      <c r="E619" s="1"/>
    </row>
    <row r="620">
      <c r="E620" s="1"/>
    </row>
    <row r="621">
      <c r="E621" s="1"/>
    </row>
    <row r="622">
      <c r="E622" s="1"/>
    </row>
    <row r="623">
      <c r="E623" s="1"/>
    </row>
    <row r="624">
      <c r="E624" s="1"/>
    </row>
    <row r="625">
      <c r="E625" s="1"/>
    </row>
    <row r="626">
      <c r="E626" s="1"/>
    </row>
    <row r="627">
      <c r="E627" s="1"/>
    </row>
    <row r="628">
      <c r="E628" s="1"/>
    </row>
    <row r="629">
      <c r="E629" s="1"/>
    </row>
    <row r="630">
      <c r="E630" s="1"/>
    </row>
    <row r="631">
      <c r="E631" s="1"/>
    </row>
    <row r="632">
      <c r="E632" s="1"/>
    </row>
    <row r="633">
      <c r="E633" s="1"/>
    </row>
    <row r="634">
      <c r="E634" s="1"/>
    </row>
    <row r="635">
      <c r="E635" s="1"/>
    </row>
    <row r="636">
      <c r="E636" s="1"/>
    </row>
    <row r="637">
      <c r="E637" s="1"/>
    </row>
    <row r="638">
      <c r="E638" s="1"/>
    </row>
    <row r="639">
      <c r="E639" s="1"/>
    </row>
    <row r="640">
      <c r="E640" s="1"/>
    </row>
    <row r="641">
      <c r="E641" s="1"/>
    </row>
    <row r="642">
      <c r="E642" s="1"/>
    </row>
    <row r="643">
      <c r="E643" s="1"/>
    </row>
    <row r="644">
      <c r="E644" s="1"/>
    </row>
    <row r="645">
      <c r="E645" s="1"/>
    </row>
    <row r="646">
      <c r="E646" s="1"/>
    </row>
    <row r="647">
      <c r="E647" s="1"/>
    </row>
    <row r="648">
      <c r="E648" s="1"/>
    </row>
    <row r="649">
      <c r="E649" s="1"/>
    </row>
    <row r="650">
      <c r="E650" s="1"/>
    </row>
    <row r="651">
      <c r="E651" s="1"/>
    </row>
    <row r="652">
      <c r="E652" s="1"/>
    </row>
    <row r="653">
      <c r="E653" s="1"/>
    </row>
    <row r="654">
      <c r="E654" s="1"/>
    </row>
    <row r="655">
      <c r="E655" s="1"/>
    </row>
    <row r="656">
      <c r="E656" s="1"/>
    </row>
    <row r="657">
      <c r="E657" s="1"/>
    </row>
    <row r="658">
      <c r="E658" s="1"/>
    </row>
    <row r="659">
      <c r="E659" s="1"/>
    </row>
    <row r="660">
      <c r="E660" s="1"/>
    </row>
    <row r="661">
      <c r="E661" s="1"/>
    </row>
    <row r="662">
      <c r="E662" s="1"/>
    </row>
    <row r="663">
      <c r="E663" s="1"/>
    </row>
    <row r="664">
      <c r="E664" s="1"/>
    </row>
    <row r="665">
      <c r="E665" s="1"/>
    </row>
    <row r="666">
      <c r="E666" s="1"/>
    </row>
    <row r="667">
      <c r="E667" s="1"/>
    </row>
    <row r="668">
      <c r="E668" s="1"/>
    </row>
    <row r="669">
      <c r="E669" s="1"/>
    </row>
    <row r="670">
      <c r="E670" s="1"/>
    </row>
    <row r="671">
      <c r="E671" s="1"/>
    </row>
    <row r="672">
      <c r="E672" s="1"/>
    </row>
    <row r="673">
      <c r="E673" s="1"/>
    </row>
    <row r="674">
      <c r="E674" s="1"/>
    </row>
    <row r="675">
      <c r="E675" s="1"/>
    </row>
    <row r="676">
      <c r="E676" s="1"/>
    </row>
    <row r="677">
      <c r="E677" s="1"/>
    </row>
    <row r="678">
      <c r="E678" s="1"/>
    </row>
    <row r="679">
      <c r="E679" s="1"/>
    </row>
    <row r="680">
      <c r="E680" s="1"/>
    </row>
    <row r="681">
      <c r="E681" s="1"/>
    </row>
    <row r="682">
      <c r="E682" s="1"/>
    </row>
    <row r="683">
      <c r="E683" s="1"/>
    </row>
    <row r="684">
      <c r="E684" s="1"/>
    </row>
    <row r="685">
      <c r="E685" s="1"/>
    </row>
    <row r="686">
      <c r="E686" s="1"/>
    </row>
    <row r="687">
      <c r="E687" s="1"/>
    </row>
    <row r="688">
      <c r="E688" s="1"/>
    </row>
    <row r="689">
      <c r="E689" s="1"/>
    </row>
    <row r="690">
      <c r="E690" s="1"/>
    </row>
    <row r="691">
      <c r="E691" s="1"/>
    </row>
    <row r="692">
      <c r="E692" s="1"/>
    </row>
    <row r="693">
      <c r="E693" s="1"/>
    </row>
    <row r="694">
      <c r="E694" s="1"/>
    </row>
    <row r="695">
      <c r="E695" s="1"/>
    </row>
    <row r="696">
      <c r="E696" s="1"/>
    </row>
    <row r="697">
      <c r="E697" s="1"/>
    </row>
    <row r="698">
      <c r="E698" s="1"/>
    </row>
    <row r="699">
      <c r="E699" s="1"/>
    </row>
    <row r="700">
      <c r="E700" s="1"/>
    </row>
    <row r="701">
      <c r="E701" s="1"/>
    </row>
    <row r="702">
      <c r="E702" s="1"/>
    </row>
    <row r="703">
      <c r="E703" s="1"/>
    </row>
    <row r="704">
      <c r="E704" s="1"/>
    </row>
    <row r="705">
      <c r="E705" s="1"/>
    </row>
    <row r="706">
      <c r="E706" s="1"/>
    </row>
    <row r="707">
      <c r="E707" s="1"/>
    </row>
    <row r="708">
      <c r="E708" s="1"/>
    </row>
    <row r="709">
      <c r="E709" s="1"/>
    </row>
    <row r="710">
      <c r="E710" s="1"/>
    </row>
    <row r="711">
      <c r="E711" s="1"/>
    </row>
    <row r="712">
      <c r="E712" s="1"/>
    </row>
    <row r="713">
      <c r="E713" s="1"/>
    </row>
    <row r="714">
      <c r="E714" s="1"/>
    </row>
    <row r="715">
      <c r="E715" s="1"/>
    </row>
    <row r="716">
      <c r="E716" s="1"/>
    </row>
    <row r="717">
      <c r="E717" s="1"/>
    </row>
    <row r="718">
      <c r="E718" s="1"/>
    </row>
    <row r="719">
      <c r="E719" s="1"/>
    </row>
    <row r="720">
      <c r="E720" s="1"/>
    </row>
    <row r="721">
      <c r="E721" s="1"/>
    </row>
    <row r="722">
      <c r="E722" s="1"/>
    </row>
    <row r="723">
      <c r="E723" s="1"/>
    </row>
    <row r="724">
      <c r="E724" s="1"/>
    </row>
    <row r="725">
      <c r="E725" s="1"/>
    </row>
    <row r="726">
      <c r="E726" s="1"/>
    </row>
    <row r="727">
      <c r="E727" s="1"/>
    </row>
    <row r="728">
      <c r="E728" s="1"/>
    </row>
    <row r="729">
      <c r="E729" s="1"/>
    </row>
    <row r="730">
      <c r="E730" s="1"/>
    </row>
    <row r="731">
      <c r="E731" s="1"/>
    </row>
    <row r="732">
      <c r="E732" s="1"/>
    </row>
    <row r="733">
      <c r="E733" s="1"/>
    </row>
    <row r="734">
      <c r="E734" s="1"/>
    </row>
    <row r="735">
      <c r="E735" s="1"/>
    </row>
    <row r="736">
      <c r="E736" s="1"/>
    </row>
    <row r="737">
      <c r="E737" s="1"/>
    </row>
    <row r="738">
      <c r="E738" s="1"/>
    </row>
    <row r="739">
      <c r="E739" s="1"/>
    </row>
    <row r="740">
      <c r="E740" s="1"/>
    </row>
    <row r="741">
      <c r="E741" s="1"/>
    </row>
    <row r="742">
      <c r="E742" s="1"/>
    </row>
    <row r="743">
      <c r="E743" s="1"/>
    </row>
    <row r="744">
      <c r="E744" s="1"/>
    </row>
    <row r="745">
      <c r="E745" s="1"/>
    </row>
    <row r="746">
      <c r="E746" s="1"/>
    </row>
    <row r="747">
      <c r="E747" s="1"/>
    </row>
    <row r="748">
      <c r="E748" s="1"/>
    </row>
    <row r="749">
      <c r="E749" s="1"/>
    </row>
    <row r="750">
      <c r="E750" s="1"/>
    </row>
    <row r="751">
      <c r="E751" s="1"/>
    </row>
    <row r="752">
      <c r="E752" s="1"/>
    </row>
    <row r="753">
      <c r="E753" s="1"/>
    </row>
    <row r="754">
      <c r="E754" s="1"/>
    </row>
    <row r="755">
      <c r="E755" s="1"/>
    </row>
    <row r="756">
      <c r="E756" s="1"/>
    </row>
    <row r="757">
      <c r="E757" s="1"/>
    </row>
    <row r="758">
      <c r="E758" s="1"/>
    </row>
    <row r="759">
      <c r="E759" s="1"/>
    </row>
    <row r="760">
      <c r="E760" s="1"/>
    </row>
    <row r="761">
      <c r="E761" s="1"/>
    </row>
    <row r="762">
      <c r="E762" s="1"/>
    </row>
    <row r="763">
      <c r="E763" s="1"/>
    </row>
    <row r="764">
      <c r="E764" s="1"/>
    </row>
    <row r="765">
      <c r="E765" s="1"/>
    </row>
    <row r="766">
      <c r="E766" s="1"/>
    </row>
    <row r="767">
      <c r="E767" s="1"/>
    </row>
    <row r="768">
      <c r="E768" s="1"/>
    </row>
    <row r="769">
      <c r="E769" s="1"/>
    </row>
    <row r="770">
      <c r="E770" s="1"/>
    </row>
    <row r="771">
      <c r="E771" s="1"/>
    </row>
    <row r="772">
      <c r="E772" s="1"/>
    </row>
    <row r="773">
      <c r="E773" s="1"/>
    </row>
    <row r="774">
      <c r="E774" s="1"/>
    </row>
    <row r="775">
      <c r="E775" s="1"/>
    </row>
    <row r="776">
      <c r="E776" s="1"/>
    </row>
    <row r="777">
      <c r="E777" s="1"/>
    </row>
    <row r="778">
      <c r="E778" s="1"/>
    </row>
    <row r="779">
      <c r="E779" s="1"/>
    </row>
    <row r="780">
      <c r="E780" s="1"/>
    </row>
    <row r="781">
      <c r="E781" s="1"/>
    </row>
    <row r="782">
      <c r="E782" s="1"/>
    </row>
    <row r="783">
      <c r="E783" s="1"/>
    </row>
    <row r="784">
      <c r="E784" s="1"/>
    </row>
    <row r="785">
      <c r="E785" s="1"/>
    </row>
    <row r="786">
      <c r="E786" s="1"/>
    </row>
    <row r="787">
      <c r="E787" s="1"/>
    </row>
    <row r="788">
      <c r="E788" s="1"/>
    </row>
    <row r="789">
      <c r="E789" s="1"/>
    </row>
    <row r="790">
      <c r="E790" s="1"/>
    </row>
    <row r="791">
      <c r="E791" s="1"/>
    </row>
    <row r="792">
      <c r="E792" s="1"/>
    </row>
    <row r="793">
      <c r="E793" s="1"/>
    </row>
    <row r="794">
      <c r="E794" s="1"/>
    </row>
    <row r="795">
      <c r="E795" s="1"/>
    </row>
    <row r="796">
      <c r="E796" s="1"/>
    </row>
    <row r="797">
      <c r="E797" s="1"/>
    </row>
    <row r="798">
      <c r="E798" s="1"/>
    </row>
    <row r="799">
      <c r="E799" s="1"/>
    </row>
    <row r="800">
      <c r="E800" s="1"/>
    </row>
    <row r="801">
      <c r="E801" s="1"/>
    </row>
    <row r="802">
      <c r="E802" s="1"/>
    </row>
    <row r="803">
      <c r="E803" s="1"/>
    </row>
    <row r="804">
      <c r="E804" s="1"/>
    </row>
    <row r="805">
      <c r="E805" s="1"/>
    </row>
    <row r="806">
      <c r="E806" s="1"/>
    </row>
    <row r="807">
      <c r="E807" s="1"/>
    </row>
    <row r="808">
      <c r="E808" s="1"/>
    </row>
    <row r="809">
      <c r="E809" s="1"/>
    </row>
    <row r="810">
      <c r="E810" s="1"/>
    </row>
    <row r="811">
      <c r="E811" s="1"/>
    </row>
    <row r="812">
      <c r="E812" s="1"/>
    </row>
    <row r="813">
      <c r="E813" s="1"/>
    </row>
    <row r="814">
      <c r="E814" s="1"/>
    </row>
    <row r="815">
      <c r="E815" s="1"/>
    </row>
    <row r="816">
      <c r="E816" s="1"/>
    </row>
    <row r="817">
      <c r="E817" s="1"/>
    </row>
    <row r="818">
      <c r="E818" s="1"/>
    </row>
    <row r="819">
      <c r="E819" s="1"/>
    </row>
    <row r="820">
      <c r="E820" s="1"/>
    </row>
    <row r="821">
      <c r="E821" s="1"/>
    </row>
    <row r="822">
      <c r="E822" s="1"/>
    </row>
    <row r="823">
      <c r="E823" s="1"/>
    </row>
    <row r="824">
      <c r="E824" s="1"/>
    </row>
    <row r="825">
      <c r="E825" s="1"/>
    </row>
    <row r="826">
      <c r="E826" s="1"/>
    </row>
    <row r="827">
      <c r="E827" s="1"/>
    </row>
    <row r="828">
      <c r="E828" s="1"/>
    </row>
    <row r="829">
      <c r="E829" s="1"/>
    </row>
    <row r="830">
      <c r="E830" s="1"/>
    </row>
    <row r="831">
      <c r="E831" s="1"/>
    </row>
    <row r="832">
      <c r="E832" s="1"/>
    </row>
    <row r="833">
      <c r="E833" s="1"/>
    </row>
    <row r="834">
      <c r="E834" s="1"/>
    </row>
    <row r="835">
      <c r="E835" s="1"/>
    </row>
    <row r="836">
      <c r="E836" s="1"/>
    </row>
    <row r="837">
      <c r="E837" s="1"/>
    </row>
    <row r="838">
      <c r="E838" s="1"/>
    </row>
    <row r="839">
      <c r="E839" s="1"/>
    </row>
    <row r="840">
      <c r="E840" s="1"/>
    </row>
    <row r="841">
      <c r="E841" s="1"/>
    </row>
    <row r="842">
      <c r="E842" s="1"/>
    </row>
    <row r="843">
      <c r="E843" s="1"/>
    </row>
    <row r="844">
      <c r="E844" s="1"/>
    </row>
    <row r="845">
      <c r="E845" s="1"/>
    </row>
    <row r="846">
      <c r="E846" s="1"/>
    </row>
    <row r="847">
      <c r="E847" s="1"/>
    </row>
    <row r="848">
      <c r="E848" s="1"/>
    </row>
    <row r="849">
      <c r="E849" s="1"/>
    </row>
    <row r="850">
      <c r="E850" s="1"/>
    </row>
    <row r="851">
      <c r="E851" s="1"/>
    </row>
    <row r="852">
      <c r="E852" s="1"/>
    </row>
    <row r="853">
      <c r="E853" s="1"/>
    </row>
    <row r="854">
      <c r="E854" s="1"/>
    </row>
    <row r="855">
      <c r="E855" s="1"/>
    </row>
    <row r="856">
      <c r="E856" s="1"/>
    </row>
    <row r="857">
      <c r="E857" s="1"/>
    </row>
    <row r="858">
      <c r="E858" s="1"/>
    </row>
    <row r="859">
      <c r="E859" s="1"/>
    </row>
    <row r="860">
      <c r="E860" s="1"/>
    </row>
    <row r="861">
      <c r="E861" s="1"/>
    </row>
    <row r="862">
      <c r="E862" s="1"/>
    </row>
    <row r="863">
      <c r="E863" s="1"/>
    </row>
    <row r="864">
      <c r="E864" s="1"/>
    </row>
    <row r="865">
      <c r="E865" s="1"/>
    </row>
    <row r="866">
      <c r="E866" s="1"/>
    </row>
    <row r="867">
      <c r="E867" s="1"/>
    </row>
    <row r="868">
      <c r="E868" s="1"/>
    </row>
    <row r="869">
      <c r="E869" s="1"/>
    </row>
    <row r="870">
      <c r="E870" s="1"/>
    </row>
    <row r="871">
      <c r="E871" s="1"/>
    </row>
    <row r="872">
      <c r="E872" s="1"/>
    </row>
    <row r="873">
      <c r="E873" s="1"/>
    </row>
    <row r="874">
      <c r="E874" s="1"/>
    </row>
    <row r="875">
      <c r="E875" s="1"/>
    </row>
    <row r="876">
      <c r="E876" s="1"/>
    </row>
    <row r="877">
      <c r="E877" s="1"/>
    </row>
    <row r="878">
      <c r="E878" s="1"/>
    </row>
    <row r="879">
      <c r="E879" s="1"/>
    </row>
    <row r="880">
      <c r="E880" s="1"/>
    </row>
    <row r="881">
      <c r="E881" s="1"/>
    </row>
    <row r="882">
      <c r="E882" s="1"/>
    </row>
    <row r="883">
      <c r="E883" s="1"/>
    </row>
    <row r="884">
      <c r="E884" s="1"/>
    </row>
    <row r="885">
      <c r="E885" s="1"/>
    </row>
    <row r="886">
      <c r="E886" s="1"/>
    </row>
    <row r="887">
      <c r="E887" s="1"/>
    </row>
    <row r="888">
      <c r="E888" s="1"/>
    </row>
    <row r="889">
      <c r="E889" s="1"/>
    </row>
    <row r="890">
      <c r="E890" s="1"/>
    </row>
    <row r="891">
      <c r="E891" s="1"/>
    </row>
    <row r="892">
      <c r="E892" s="1"/>
    </row>
    <row r="893">
      <c r="E893" s="1"/>
    </row>
    <row r="894">
      <c r="E894" s="1"/>
    </row>
    <row r="895">
      <c r="E895" s="1"/>
    </row>
    <row r="896">
      <c r="E896" s="1"/>
    </row>
    <row r="897">
      <c r="E897" s="1"/>
    </row>
    <row r="898">
      <c r="E898" s="1"/>
    </row>
    <row r="899">
      <c r="E899" s="1"/>
    </row>
    <row r="900">
      <c r="E900" s="1"/>
    </row>
    <row r="901">
      <c r="E901" s="1"/>
    </row>
    <row r="902">
      <c r="E902" s="1"/>
    </row>
    <row r="903">
      <c r="E903" s="1"/>
    </row>
    <row r="904">
      <c r="E904" s="1"/>
    </row>
    <row r="905">
      <c r="E905" s="1"/>
    </row>
    <row r="906">
      <c r="E906" s="1"/>
    </row>
    <row r="907">
      <c r="E907" s="1"/>
    </row>
    <row r="908">
      <c r="E908" s="1"/>
    </row>
    <row r="909">
      <c r="E909" s="1"/>
    </row>
    <row r="910">
      <c r="E910" s="1"/>
    </row>
    <row r="911">
      <c r="E911" s="1"/>
    </row>
    <row r="912">
      <c r="E912" s="1"/>
    </row>
    <row r="913">
      <c r="E913" s="1"/>
    </row>
    <row r="914">
      <c r="E914" s="1"/>
    </row>
    <row r="915">
      <c r="E915" s="1"/>
    </row>
    <row r="916">
      <c r="E916" s="1"/>
    </row>
    <row r="917">
      <c r="E917" s="1"/>
    </row>
    <row r="918">
      <c r="E918" s="1"/>
    </row>
    <row r="919">
      <c r="E919" s="1"/>
    </row>
    <row r="920">
      <c r="E920" s="1"/>
    </row>
    <row r="921">
      <c r="E921" s="1"/>
    </row>
    <row r="922">
      <c r="E922" s="1"/>
    </row>
    <row r="923">
      <c r="E923" s="1"/>
    </row>
    <row r="924">
      <c r="E924" s="1"/>
    </row>
    <row r="925">
      <c r="E925" s="1"/>
    </row>
    <row r="926">
      <c r="E926" s="1"/>
    </row>
    <row r="927">
      <c r="E927" s="1"/>
    </row>
    <row r="928">
      <c r="E928" s="1"/>
    </row>
    <row r="929">
      <c r="E929" s="1"/>
    </row>
    <row r="930">
      <c r="E930" s="1"/>
    </row>
    <row r="931">
      <c r="E931" s="1"/>
    </row>
  </sheetData>
  <conditionalFormatting sqref="G7:G37">
    <cfRule type="expression" dxfId="5" priority="1">
      <formula>$G7&gt;=$O$9</formula>
    </cfRule>
  </conditionalFormatting>
  <conditionalFormatting sqref="N3">
    <cfRule type="expression" dxfId="5" priority="2">
      <formula>N3&gt;=O8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4" max="4" width="22.0"/>
    <col customWidth="1" min="5" max="5" width="15.0"/>
    <col customWidth="1" min="9" max="9" width="18.38"/>
    <col customWidth="1" min="11" max="11" width="18.5"/>
    <col customWidth="1" min="14" max="14" width="18.38"/>
    <col customWidth="1" min="15" max="15" width="15.88"/>
    <col customWidth="1" min="16" max="16" width="18.5"/>
    <col customWidth="1" min="17" max="17" width="17.0"/>
    <col customWidth="1" min="22" max="22" width="19.38"/>
  </cols>
  <sheetData>
    <row r="1">
      <c r="E1" s="1"/>
    </row>
    <row r="2">
      <c r="E2" s="1"/>
      <c r="K2" s="2" t="s">
        <v>0</v>
      </c>
      <c r="L2" s="3" t="s">
        <v>1</v>
      </c>
      <c r="M2" s="4" t="s">
        <v>2</v>
      </c>
      <c r="N2" s="4" t="s">
        <v>3</v>
      </c>
    </row>
    <row r="3">
      <c r="E3" s="1"/>
      <c r="K3" s="5" t="s">
        <v>4</v>
      </c>
      <c r="L3" s="6">
        <f t="shared" ref="L3:M3" si="1">sum(E7:E37)</f>
        <v>0</v>
      </c>
      <c r="M3" s="3">
        <f t="shared" si="1"/>
        <v>65.8</v>
      </c>
      <c r="N3" s="7">
        <f>M3*Sumario!N4</f>
        <v>57.747396</v>
      </c>
      <c r="O3" s="7">
        <f>Sumario!N4</f>
        <v>0.87762</v>
      </c>
    </row>
    <row r="4">
      <c r="B4" s="8" t="s">
        <v>7</v>
      </c>
      <c r="C4" s="10"/>
      <c r="D4" s="10"/>
      <c r="E4" s="11"/>
      <c r="F4" s="10"/>
      <c r="G4" s="10"/>
      <c r="H4" s="10"/>
      <c r="I4" s="10"/>
      <c r="J4" s="10"/>
      <c r="K4" s="10"/>
      <c r="L4" s="10"/>
    </row>
    <row r="5">
      <c r="B5" s="8" t="s">
        <v>8</v>
      </c>
      <c r="C5" s="8" t="s">
        <v>9</v>
      </c>
      <c r="D5" s="8" t="s">
        <v>11</v>
      </c>
      <c r="E5" s="8" t="s">
        <v>12</v>
      </c>
      <c r="F5" s="8" t="s">
        <v>13</v>
      </c>
      <c r="G5" s="12" t="s">
        <v>14</v>
      </c>
      <c r="H5" s="12"/>
      <c r="I5" s="13"/>
      <c r="J5" s="14"/>
      <c r="K5" s="15"/>
      <c r="L5" s="10"/>
    </row>
    <row r="6">
      <c r="B6" s="10"/>
      <c r="C6" s="10"/>
      <c r="D6" s="10"/>
      <c r="E6" s="10"/>
      <c r="F6" s="16"/>
      <c r="G6" s="10"/>
      <c r="H6" s="15" t="s">
        <v>15</v>
      </c>
      <c r="I6" s="10"/>
      <c r="J6" s="10"/>
      <c r="K6" s="10"/>
      <c r="L6" s="10"/>
    </row>
    <row r="7">
      <c r="B7" s="10"/>
      <c r="C7" s="15" t="s">
        <v>16</v>
      </c>
      <c r="D7" s="20"/>
      <c r="E7" s="17"/>
      <c r="F7" s="19"/>
      <c r="G7" s="11">
        <f t="shared" ref="G7:G37" si="2">E7+(F7*$O$3)</f>
        <v>0</v>
      </c>
      <c r="H7" s="24">
        <f t="shared" ref="H7:H37" si="3">G7/$O$9</f>
        <v>0</v>
      </c>
      <c r="I7" s="25">
        <f t="shared" ref="I7:I37" si="4">315+G7</f>
        <v>315</v>
      </c>
      <c r="J7" s="10"/>
      <c r="K7" s="10"/>
      <c r="L7" s="10"/>
    </row>
    <row r="8">
      <c r="B8" s="10"/>
      <c r="C8" s="15" t="s">
        <v>20</v>
      </c>
      <c r="D8" s="16"/>
      <c r="E8" s="17"/>
      <c r="F8" s="19"/>
      <c r="G8" s="11">
        <f t="shared" si="2"/>
        <v>0</v>
      </c>
      <c r="H8" s="24">
        <f t="shared" si="3"/>
        <v>0</v>
      </c>
      <c r="I8" s="25">
        <f t="shared" si="4"/>
        <v>315</v>
      </c>
      <c r="J8" s="10"/>
      <c r="K8" s="10"/>
      <c r="L8" s="10"/>
      <c r="N8" s="31" t="s">
        <v>15</v>
      </c>
      <c r="O8" s="31">
        <v>2500.0</v>
      </c>
      <c r="P8" s="34">
        <f>O8-Sumario!K8</f>
        <v>2439.155369</v>
      </c>
    </row>
    <row r="9">
      <c r="B9" s="10"/>
      <c r="C9" s="15" t="s">
        <v>27</v>
      </c>
      <c r="D9" s="16"/>
      <c r="E9" s="17"/>
      <c r="F9" s="19">
        <f>4.06</f>
        <v>4.06</v>
      </c>
      <c r="G9" s="11">
        <f t="shared" si="2"/>
        <v>3.5631372</v>
      </c>
      <c r="H9" s="24">
        <f t="shared" si="3"/>
        <v>0.02993035248</v>
      </c>
      <c r="I9" s="25">
        <f t="shared" si="4"/>
        <v>318.5631372</v>
      </c>
      <c r="J9" s="10"/>
      <c r="K9" s="10"/>
      <c r="L9" s="15">
        <v>6300.0</v>
      </c>
      <c r="N9" s="31" t="s">
        <v>28</v>
      </c>
      <c r="O9" s="4">
        <f>O8/21</f>
        <v>119.047619</v>
      </c>
      <c r="P9" s="36">
        <f>P8/O8</f>
        <v>0.9756621478</v>
      </c>
    </row>
    <row r="10">
      <c r="B10" s="10"/>
      <c r="C10" s="15" t="s">
        <v>29</v>
      </c>
      <c r="D10" s="16"/>
      <c r="E10" s="17"/>
      <c r="F10" s="19"/>
      <c r="G10" s="11">
        <f t="shared" si="2"/>
        <v>0</v>
      </c>
      <c r="H10" s="24">
        <f t="shared" si="3"/>
        <v>0</v>
      </c>
      <c r="I10" s="25">
        <f t="shared" si="4"/>
        <v>315</v>
      </c>
      <c r="J10" s="10"/>
      <c r="K10" s="10"/>
      <c r="L10" s="38">
        <f>L9+Sumario!K8</f>
        <v>6360.844631</v>
      </c>
    </row>
    <row r="11">
      <c r="B11" s="10"/>
      <c r="C11" s="15" t="s">
        <v>30</v>
      </c>
      <c r="D11" s="16"/>
      <c r="E11" s="17"/>
      <c r="F11" s="19"/>
      <c r="G11" s="11">
        <f t="shared" si="2"/>
        <v>0</v>
      </c>
      <c r="H11" s="24">
        <f t="shared" si="3"/>
        <v>0</v>
      </c>
      <c r="I11" s="25">
        <f t="shared" si="4"/>
        <v>315</v>
      </c>
      <c r="J11" s="10"/>
      <c r="K11" s="10"/>
      <c r="L11" s="10"/>
    </row>
    <row r="12">
      <c r="B12" s="15"/>
      <c r="C12" s="15" t="s">
        <v>31</v>
      </c>
      <c r="D12" s="20"/>
      <c r="E12" s="40"/>
      <c r="F12" s="41">
        <f>0.91+0.33+1.52+0.57+0.63+1.39</f>
        <v>5.35</v>
      </c>
      <c r="G12" s="11">
        <f t="shared" si="2"/>
        <v>4.695267</v>
      </c>
      <c r="H12" s="24">
        <f t="shared" si="3"/>
        <v>0.0394402428</v>
      </c>
      <c r="I12" s="25">
        <f t="shared" si="4"/>
        <v>319.695267</v>
      </c>
      <c r="J12" s="15"/>
      <c r="K12" s="15"/>
      <c r="L12" s="10"/>
    </row>
    <row r="13">
      <c r="B13" s="15"/>
      <c r="C13" s="15" t="s">
        <v>32</v>
      </c>
      <c r="D13" s="20"/>
      <c r="E13" s="40"/>
      <c r="F13" s="19"/>
      <c r="G13" s="11">
        <f t="shared" si="2"/>
        <v>0</v>
      </c>
      <c r="H13" s="24">
        <f t="shared" si="3"/>
        <v>0</v>
      </c>
      <c r="I13" s="25">
        <f t="shared" si="4"/>
        <v>315</v>
      </c>
      <c r="J13" s="15"/>
      <c r="K13" s="15"/>
      <c r="L13" s="10"/>
    </row>
    <row r="14">
      <c r="B14" s="15"/>
      <c r="C14" s="15" t="s">
        <v>33</v>
      </c>
      <c r="D14" s="20"/>
      <c r="E14" s="40"/>
      <c r="F14" s="41"/>
      <c r="G14" s="11">
        <f t="shared" si="2"/>
        <v>0</v>
      </c>
      <c r="H14" s="24">
        <f t="shared" si="3"/>
        <v>0</v>
      </c>
      <c r="I14" s="25">
        <f t="shared" si="4"/>
        <v>315</v>
      </c>
      <c r="J14" s="15"/>
      <c r="K14" s="15"/>
      <c r="L14" s="10"/>
    </row>
    <row r="15">
      <c r="B15" s="15"/>
      <c r="C15" s="15" t="s">
        <v>34</v>
      </c>
      <c r="D15" s="20"/>
      <c r="E15" s="40"/>
      <c r="F15" s="19"/>
      <c r="G15" s="11">
        <f t="shared" si="2"/>
        <v>0</v>
      </c>
      <c r="H15" s="24">
        <f t="shared" si="3"/>
        <v>0</v>
      </c>
      <c r="I15" s="25">
        <f t="shared" si="4"/>
        <v>315</v>
      </c>
      <c r="J15" s="15"/>
      <c r="K15" s="15"/>
      <c r="L15" s="10"/>
    </row>
    <row r="16">
      <c r="B16" s="15"/>
      <c r="C16" s="15" t="s">
        <v>36</v>
      </c>
      <c r="D16" s="20"/>
      <c r="E16" s="40"/>
      <c r="F16" s="41">
        <f>4+5.48</f>
        <v>9.48</v>
      </c>
      <c r="G16" s="11">
        <f t="shared" si="2"/>
        <v>8.3198376</v>
      </c>
      <c r="H16" s="24">
        <f t="shared" si="3"/>
        <v>0.06988663584</v>
      </c>
      <c r="I16" s="25">
        <f t="shared" si="4"/>
        <v>323.3198376</v>
      </c>
      <c r="J16" s="15"/>
      <c r="K16" s="15"/>
      <c r="L16" s="10"/>
    </row>
    <row r="17">
      <c r="B17" s="15"/>
      <c r="C17" s="15" t="s">
        <v>37</v>
      </c>
      <c r="D17" s="20"/>
      <c r="E17" s="40"/>
      <c r="F17" s="19"/>
      <c r="G17" s="11">
        <f t="shared" si="2"/>
        <v>0</v>
      </c>
      <c r="H17" s="24">
        <f t="shared" si="3"/>
        <v>0</v>
      </c>
      <c r="I17" s="25">
        <f t="shared" si="4"/>
        <v>315</v>
      </c>
      <c r="J17" s="15"/>
      <c r="K17" s="15"/>
      <c r="L17" s="10"/>
    </row>
    <row r="18">
      <c r="B18" s="15"/>
      <c r="C18" s="15" t="s">
        <v>38</v>
      </c>
      <c r="D18" s="20"/>
      <c r="E18" s="40"/>
      <c r="F18" s="41"/>
      <c r="G18" s="11">
        <f t="shared" si="2"/>
        <v>0</v>
      </c>
      <c r="H18" s="24">
        <f t="shared" si="3"/>
        <v>0</v>
      </c>
      <c r="I18" s="25">
        <f t="shared" si="4"/>
        <v>315</v>
      </c>
      <c r="J18" s="15"/>
      <c r="K18" s="15"/>
      <c r="L18" s="10"/>
    </row>
    <row r="19">
      <c r="B19" s="15"/>
      <c r="C19" s="15" t="s">
        <v>39</v>
      </c>
      <c r="D19" s="20"/>
      <c r="E19" s="40"/>
      <c r="F19" s="19"/>
      <c r="G19" s="11">
        <f t="shared" si="2"/>
        <v>0</v>
      </c>
      <c r="H19" s="24">
        <f t="shared" si="3"/>
        <v>0</v>
      </c>
      <c r="I19" s="25">
        <f t="shared" si="4"/>
        <v>315</v>
      </c>
      <c r="J19" s="15"/>
      <c r="K19" s="15"/>
      <c r="L19" s="10"/>
    </row>
    <row r="20">
      <c r="B20" s="15"/>
      <c r="C20" s="15" t="s">
        <v>40</v>
      </c>
      <c r="D20" s="20"/>
      <c r="E20" s="40"/>
      <c r="F20" s="41"/>
      <c r="G20" s="11">
        <f t="shared" si="2"/>
        <v>0</v>
      </c>
      <c r="H20" s="24">
        <f t="shared" si="3"/>
        <v>0</v>
      </c>
      <c r="I20" s="25">
        <f t="shared" si="4"/>
        <v>315</v>
      </c>
      <c r="J20" s="15"/>
      <c r="K20" s="15"/>
      <c r="L20" s="10"/>
    </row>
    <row r="21">
      <c r="B21" s="15"/>
      <c r="C21" s="15" t="s">
        <v>41</v>
      </c>
      <c r="D21" s="20"/>
      <c r="E21" s="40"/>
      <c r="F21" s="19"/>
      <c r="G21" s="11">
        <f t="shared" si="2"/>
        <v>0</v>
      </c>
      <c r="H21" s="24">
        <f t="shared" si="3"/>
        <v>0</v>
      </c>
      <c r="I21" s="25">
        <f t="shared" si="4"/>
        <v>315</v>
      </c>
      <c r="J21" s="15"/>
      <c r="K21" s="15"/>
      <c r="L21" s="10"/>
    </row>
    <row r="22">
      <c r="B22" s="15"/>
      <c r="C22" s="15" t="s">
        <v>42</v>
      </c>
      <c r="D22" s="20"/>
      <c r="E22" s="40"/>
      <c r="F22" s="41"/>
      <c r="G22" s="11">
        <f t="shared" si="2"/>
        <v>0</v>
      </c>
      <c r="H22" s="24">
        <f t="shared" si="3"/>
        <v>0</v>
      </c>
      <c r="I22" s="25">
        <f t="shared" si="4"/>
        <v>315</v>
      </c>
      <c r="J22" s="15"/>
      <c r="K22" s="15"/>
      <c r="L22" s="10"/>
    </row>
    <row r="23">
      <c r="C23" s="15" t="s">
        <v>44</v>
      </c>
      <c r="E23" s="17"/>
      <c r="F23" s="46"/>
      <c r="G23" s="11">
        <f t="shared" si="2"/>
        <v>0</v>
      </c>
      <c r="H23" s="24">
        <f t="shared" si="3"/>
        <v>0</v>
      </c>
      <c r="I23" s="25">
        <f t="shared" si="4"/>
        <v>315</v>
      </c>
      <c r="J23" s="45"/>
      <c r="K23" s="45"/>
      <c r="L23" s="45"/>
      <c r="M23" s="45"/>
      <c r="N23" s="45"/>
      <c r="O23" s="45"/>
      <c r="P23" s="45"/>
      <c r="Q23" s="45"/>
    </row>
    <row r="24">
      <c r="C24" s="15" t="s">
        <v>45</v>
      </c>
      <c r="E24" s="40"/>
      <c r="F24" s="46"/>
      <c r="G24" s="11">
        <f t="shared" si="2"/>
        <v>0</v>
      </c>
      <c r="H24" s="24">
        <f t="shared" si="3"/>
        <v>0</v>
      </c>
      <c r="I24" s="25">
        <f t="shared" si="4"/>
        <v>315</v>
      </c>
      <c r="J24" s="45"/>
      <c r="K24" s="45"/>
      <c r="L24" s="45"/>
      <c r="M24" s="45"/>
      <c r="N24" s="45"/>
      <c r="O24" s="45"/>
      <c r="P24" s="45"/>
      <c r="Q24" s="45"/>
    </row>
    <row r="25">
      <c r="C25" s="15" t="s">
        <v>46</v>
      </c>
      <c r="E25" s="40"/>
      <c r="F25" s="46">
        <f>3.36+1.72</f>
        <v>5.08</v>
      </c>
      <c r="G25" s="11">
        <f t="shared" si="2"/>
        <v>4.4583096</v>
      </c>
      <c r="H25" s="24">
        <f t="shared" si="3"/>
        <v>0.03744980064</v>
      </c>
      <c r="I25" s="25">
        <f t="shared" si="4"/>
        <v>319.4583096</v>
      </c>
      <c r="J25" s="45"/>
      <c r="K25" s="45"/>
      <c r="L25" s="45"/>
      <c r="M25" s="45"/>
      <c r="N25" s="45"/>
      <c r="O25" s="45"/>
      <c r="P25" s="45"/>
      <c r="Q25" s="45"/>
    </row>
    <row r="26">
      <c r="C26" s="15" t="s">
        <v>47</v>
      </c>
      <c r="E26" s="40"/>
      <c r="F26" s="46"/>
      <c r="G26" s="11">
        <f t="shared" si="2"/>
        <v>0</v>
      </c>
      <c r="H26" s="24">
        <f t="shared" si="3"/>
        <v>0</v>
      </c>
      <c r="I26" s="25">
        <f t="shared" si="4"/>
        <v>315</v>
      </c>
      <c r="J26" s="45"/>
      <c r="K26" s="45"/>
      <c r="L26" s="45"/>
      <c r="M26" s="45"/>
      <c r="N26" s="45"/>
      <c r="O26" s="45"/>
      <c r="P26" s="45"/>
      <c r="Q26" s="45"/>
    </row>
    <row r="27">
      <c r="C27" s="15" t="s">
        <v>48</v>
      </c>
      <c r="E27" s="40"/>
      <c r="F27" s="46"/>
      <c r="G27" s="11">
        <f t="shared" si="2"/>
        <v>0</v>
      </c>
      <c r="H27" s="24">
        <f t="shared" si="3"/>
        <v>0</v>
      </c>
      <c r="I27" s="25">
        <f t="shared" si="4"/>
        <v>315</v>
      </c>
      <c r="J27" s="45"/>
      <c r="K27" s="45"/>
      <c r="L27" s="45"/>
      <c r="M27" s="45"/>
      <c r="N27" s="45"/>
      <c r="O27" s="45"/>
      <c r="P27" s="45"/>
      <c r="Q27" s="45"/>
    </row>
    <row r="28">
      <c r="C28" s="15" t="s">
        <v>49</v>
      </c>
      <c r="E28" s="17"/>
      <c r="F28" s="44"/>
      <c r="G28" s="11">
        <f t="shared" si="2"/>
        <v>0</v>
      </c>
      <c r="H28" s="24">
        <f t="shared" si="3"/>
        <v>0</v>
      </c>
      <c r="I28" s="25">
        <f t="shared" si="4"/>
        <v>315</v>
      </c>
      <c r="J28" s="45"/>
      <c r="K28" s="45"/>
      <c r="L28" s="45"/>
      <c r="M28" s="45"/>
      <c r="N28" s="45"/>
      <c r="O28" s="45"/>
      <c r="P28" s="45"/>
      <c r="Q28" s="45"/>
    </row>
    <row r="29">
      <c r="C29" s="15" t="s">
        <v>51</v>
      </c>
      <c r="E29" s="17"/>
      <c r="F29" s="46"/>
      <c r="G29" s="11">
        <f t="shared" si="2"/>
        <v>0</v>
      </c>
      <c r="H29" s="24">
        <f t="shared" si="3"/>
        <v>0</v>
      </c>
      <c r="I29" s="25">
        <f t="shared" si="4"/>
        <v>315</v>
      </c>
      <c r="J29" s="45"/>
      <c r="K29" s="45"/>
      <c r="L29" s="45"/>
      <c r="M29" s="45"/>
      <c r="N29" s="45"/>
      <c r="O29" s="45"/>
      <c r="P29" s="45"/>
      <c r="Q29" s="45"/>
    </row>
    <row r="30">
      <c r="C30" s="15" t="s">
        <v>52</v>
      </c>
      <c r="E30" s="40"/>
      <c r="F30" s="46"/>
      <c r="G30" s="11">
        <f t="shared" si="2"/>
        <v>0</v>
      </c>
      <c r="H30" s="24">
        <f t="shared" si="3"/>
        <v>0</v>
      </c>
      <c r="I30" s="25">
        <f t="shared" si="4"/>
        <v>315</v>
      </c>
      <c r="J30" s="45"/>
      <c r="K30" s="45"/>
      <c r="L30" s="45"/>
      <c r="M30" s="45"/>
      <c r="N30" s="45"/>
      <c r="O30" s="45"/>
      <c r="P30" s="45"/>
      <c r="Q30" s="45"/>
    </row>
    <row r="31">
      <c r="C31" s="15" t="s">
        <v>53</v>
      </c>
      <c r="E31" s="40"/>
      <c r="F31" s="46"/>
      <c r="G31" s="11">
        <f t="shared" si="2"/>
        <v>0</v>
      </c>
      <c r="H31" s="24">
        <f t="shared" si="3"/>
        <v>0</v>
      </c>
      <c r="I31" s="25">
        <f t="shared" si="4"/>
        <v>315</v>
      </c>
      <c r="J31" s="45"/>
      <c r="K31" s="45"/>
      <c r="L31" s="45"/>
      <c r="M31" s="45"/>
      <c r="N31" s="45"/>
      <c r="O31" s="45"/>
      <c r="P31" s="45"/>
      <c r="Q31" s="45"/>
    </row>
    <row r="32">
      <c r="C32" s="15" t="s">
        <v>54</v>
      </c>
      <c r="E32" s="40"/>
      <c r="F32" s="46">
        <f>16.07+14.62+11.14</f>
        <v>41.83</v>
      </c>
      <c r="G32" s="11">
        <f t="shared" si="2"/>
        <v>36.7108446</v>
      </c>
      <c r="H32" s="24">
        <f t="shared" si="3"/>
        <v>0.3083710946</v>
      </c>
      <c r="I32" s="25">
        <f t="shared" si="4"/>
        <v>351.7108446</v>
      </c>
      <c r="J32" s="45"/>
      <c r="K32" s="45"/>
      <c r="L32" s="45"/>
      <c r="M32" s="45"/>
      <c r="N32" s="45"/>
      <c r="O32" s="45"/>
      <c r="P32" s="45"/>
      <c r="Q32" s="45"/>
    </row>
    <row r="33">
      <c r="C33" s="15" t="s">
        <v>55</v>
      </c>
      <c r="E33" s="40"/>
      <c r="F33" s="46"/>
      <c r="G33" s="11">
        <f t="shared" si="2"/>
        <v>0</v>
      </c>
      <c r="H33" s="24">
        <f t="shared" si="3"/>
        <v>0</v>
      </c>
      <c r="I33" s="25">
        <f t="shared" si="4"/>
        <v>315</v>
      </c>
    </row>
    <row r="34">
      <c r="C34" s="15" t="s">
        <v>56</v>
      </c>
      <c r="E34" s="40"/>
      <c r="F34" s="46"/>
      <c r="G34" s="11">
        <f t="shared" si="2"/>
        <v>0</v>
      </c>
      <c r="H34" s="24">
        <f t="shared" si="3"/>
        <v>0</v>
      </c>
      <c r="I34" s="25">
        <f t="shared" si="4"/>
        <v>315</v>
      </c>
    </row>
    <row r="35">
      <c r="C35" s="15" t="s">
        <v>57</v>
      </c>
      <c r="E35" s="40"/>
      <c r="F35" s="46"/>
      <c r="G35" s="11">
        <f t="shared" si="2"/>
        <v>0</v>
      </c>
      <c r="H35" s="24">
        <f t="shared" si="3"/>
        <v>0</v>
      </c>
      <c r="I35" s="25">
        <f t="shared" si="4"/>
        <v>315</v>
      </c>
    </row>
    <row r="36">
      <c r="C36" s="15" t="s">
        <v>58</v>
      </c>
      <c r="E36" s="40"/>
      <c r="F36" s="46"/>
      <c r="G36" s="11">
        <f t="shared" si="2"/>
        <v>0</v>
      </c>
      <c r="H36" s="24">
        <f t="shared" si="3"/>
        <v>0</v>
      </c>
      <c r="I36" s="25">
        <f t="shared" si="4"/>
        <v>315</v>
      </c>
    </row>
    <row r="37">
      <c r="C37" s="15" t="s">
        <v>59</v>
      </c>
      <c r="E37" s="17"/>
      <c r="F37" s="44"/>
      <c r="G37" s="11">
        <f t="shared" si="2"/>
        <v>0</v>
      </c>
      <c r="H37" s="24">
        <f t="shared" si="3"/>
        <v>0</v>
      </c>
      <c r="I37" s="25">
        <f t="shared" si="4"/>
        <v>315</v>
      </c>
    </row>
    <row r="38">
      <c r="E38" s="1"/>
    </row>
    <row r="39">
      <c r="E39" s="1"/>
    </row>
    <row r="40">
      <c r="E40" s="1"/>
    </row>
    <row r="41">
      <c r="B41" s="48"/>
      <c r="C41" s="49"/>
      <c r="E41" s="1"/>
    </row>
    <row r="42">
      <c r="E42" s="1"/>
    </row>
    <row r="43">
      <c r="E43" s="1"/>
    </row>
    <row r="44">
      <c r="E44" s="1"/>
    </row>
    <row r="45">
      <c r="E45" s="1"/>
    </row>
    <row r="46">
      <c r="E46" s="1"/>
    </row>
    <row r="47">
      <c r="E47" s="1"/>
    </row>
    <row r="48">
      <c r="E48" s="1"/>
    </row>
    <row r="49">
      <c r="E49" s="1"/>
    </row>
    <row r="50">
      <c r="E50" s="1"/>
    </row>
    <row r="51">
      <c r="E51" s="1"/>
    </row>
    <row r="52">
      <c r="E52" s="1"/>
    </row>
    <row r="53">
      <c r="E53" s="1"/>
    </row>
    <row r="54">
      <c r="E54" s="1"/>
    </row>
    <row r="55">
      <c r="E55" s="1"/>
    </row>
    <row r="56">
      <c r="E56" s="1"/>
    </row>
    <row r="57">
      <c r="E57" s="1"/>
    </row>
    <row r="58">
      <c r="E58" s="1"/>
    </row>
    <row r="59">
      <c r="E59" s="1"/>
    </row>
    <row r="60">
      <c r="E60" s="1"/>
    </row>
    <row r="61">
      <c r="E61" s="1"/>
    </row>
    <row r="62">
      <c r="E62" s="1"/>
    </row>
    <row r="63">
      <c r="E63" s="1"/>
    </row>
    <row r="64">
      <c r="E64" s="1"/>
    </row>
    <row r="65">
      <c r="E65" s="1"/>
    </row>
    <row r="66">
      <c r="E66" s="1"/>
    </row>
    <row r="67">
      <c r="E67" s="1"/>
    </row>
    <row r="68">
      <c r="E68" s="1"/>
    </row>
    <row r="69">
      <c r="E69" s="1"/>
    </row>
    <row r="70">
      <c r="E70" s="1"/>
    </row>
    <row r="71">
      <c r="E71" s="1"/>
    </row>
    <row r="72">
      <c r="E72" s="1"/>
    </row>
    <row r="73">
      <c r="E73" s="1"/>
    </row>
    <row r="74">
      <c r="E74" s="1"/>
    </row>
    <row r="75">
      <c r="E75" s="1"/>
    </row>
    <row r="76">
      <c r="E76" s="1"/>
    </row>
    <row r="77">
      <c r="E77" s="1"/>
    </row>
    <row r="78">
      <c r="E78" s="1"/>
    </row>
    <row r="79">
      <c r="E79" s="1"/>
    </row>
    <row r="80">
      <c r="E80" s="1"/>
    </row>
    <row r="81">
      <c r="E81" s="1"/>
    </row>
    <row r="82">
      <c r="E82" s="1"/>
    </row>
    <row r="83">
      <c r="E83" s="1"/>
    </row>
    <row r="84">
      <c r="E84" s="1"/>
    </row>
    <row r="85">
      <c r="E85" s="1"/>
    </row>
    <row r="86">
      <c r="E86" s="1"/>
    </row>
    <row r="87">
      <c r="E87" s="1"/>
    </row>
    <row r="88">
      <c r="E88" s="1"/>
    </row>
    <row r="89">
      <c r="E89" s="1"/>
    </row>
    <row r="90">
      <c r="E90" s="1"/>
    </row>
    <row r="91">
      <c r="E91" s="1"/>
    </row>
    <row r="92">
      <c r="E92" s="1"/>
    </row>
    <row r="93">
      <c r="E93" s="1"/>
    </row>
    <row r="94">
      <c r="E94" s="1"/>
    </row>
    <row r="95">
      <c r="E95" s="1"/>
    </row>
    <row r="96">
      <c r="E96" s="1"/>
    </row>
    <row r="97">
      <c r="E97" s="1"/>
    </row>
    <row r="98">
      <c r="E98" s="1"/>
    </row>
    <row r="99">
      <c r="E99" s="1"/>
    </row>
    <row r="100">
      <c r="E100" s="1"/>
    </row>
    <row r="101">
      <c r="E101" s="1"/>
    </row>
    <row r="102">
      <c r="E102" s="1"/>
    </row>
    <row r="103">
      <c r="E103" s="1"/>
    </row>
    <row r="104">
      <c r="E104" s="1"/>
    </row>
    <row r="105">
      <c r="E105" s="1"/>
    </row>
    <row r="106">
      <c r="E106" s="1"/>
    </row>
    <row r="107">
      <c r="E107" s="1"/>
    </row>
    <row r="108">
      <c r="E108" s="1"/>
    </row>
    <row r="109">
      <c r="E109" s="1"/>
    </row>
    <row r="110">
      <c r="E110" s="1"/>
    </row>
    <row r="111">
      <c r="E111" s="1"/>
    </row>
    <row r="112">
      <c r="E112" s="1"/>
    </row>
    <row r="113">
      <c r="E113" s="1"/>
    </row>
    <row r="114">
      <c r="E114" s="1"/>
    </row>
    <row r="115">
      <c r="E115" s="1"/>
    </row>
    <row r="116">
      <c r="E116" s="1"/>
    </row>
    <row r="117">
      <c r="E117" s="1"/>
    </row>
    <row r="118">
      <c r="E118" s="1"/>
    </row>
    <row r="119">
      <c r="E119" s="1"/>
    </row>
    <row r="120">
      <c r="E120" s="1"/>
    </row>
    <row r="121">
      <c r="E121" s="1"/>
    </row>
    <row r="122">
      <c r="E122" s="1"/>
    </row>
    <row r="123">
      <c r="E123" s="1"/>
    </row>
    <row r="124">
      <c r="E124" s="1"/>
    </row>
    <row r="125">
      <c r="E125" s="1"/>
    </row>
    <row r="126">
      <c r="E126" s="1"/>
    </row>
    <row r="127">
      <c r="E127" s="1"/>
    </row>
    <row r="128">
      <c r="E128" s="1"/>
    </row>
    <row r="129">
      <c r="E129" s="1"/>
    </row>
    <row r="130">
      <c r="E130" s="1"/>
    </row>
    <row r="131">
      <c r="E131" s="1"/>
    </row>
    <row r="132">
      <c r="E132" s="1"/>
    </row>
    <row r="133">
      <c r="E133" s="1"/>
    </row>
    <row r="134">
      <c r="E134" s="1"/>
    </row>
    <row r="135">
      <c r="E135" s="1"/>
    </row>
    <row r="136">
      <c r="E136" s="1"/>
    </row>
    <row r="137">
      <c r="E137" s="1"/>
    </row>
    <row r="138">
      <c r="E138" s="1"/>
    </row>
    <row r="139">
      <c r="E139" s="1"/>
    </row>
    <row r="140">
      <c r="E140" s="1"/>
    </row>
    <row r="141">
      <c r="E141" s="1"/>
    </row>
    <row r="142">
      <c r="E142" s="1"/>
    </row>
    <row r="143">
      <c r="E143" s="1"/>
    </row>
    <row r="144">
      <c r="E144" s="1"/>
    </row>
    <row r="145">
      <c r="E145" s="1"/>
    </row>
    <row r="146">
      <c r="E146" s="1"/>
    </row>
    <row r="147">
      <c r="E147" s="1"/>
    </row>
    <row r="148">
      <c r="E148" s="1"/>
    </row>
    <row r="149">
      <c r="E149" s="1"/>
    </row>
    <row r="150">
      <c r="E150" s="1"/>
    </row>
    <row r="151">
      <c r="E151" s="1"/>
    </row>
    <row r="152">
      <c r="E152" s="1"/>
    </row>
    <row r="153">
      <c r="E153" s="1"/>
    </row>
    <row r="154">
      <c r="E154" s="1"/>
    </row>
    <row r="155">
      <c r="E155" s="1"/>
    </row>
    <row r="156">
      <c r="E156" s="1"/>
    </row>
    <row r="157">
      <c r="E157" s="1"/>
    </row>
    <row r="158">
      <c r="E158" s="1"/>
    </row>
    <row r="159">
      <c r="E159" s="1"/>
    </row>
    <row r="160">
      <c r="E160" s="1"/>
    </row>
    <row r="161">
      <c r="E161" s="1"/>
    </row>
    <row r="162">
      <c r="E162" s="1"/>
    </row>
    <row r="163">
      <c r="E163" s="1"/>
    </row>
    <row r="164">
      <c r="E164" s="1"/>
    </row>
    <row r="165">
      <c r="E165" s="1"/>
    </row>
    <row r="166">
      <c r="E166" s="1"/>
    </row>
    <row r="167">
      <c r="E167" s="1"/>
    </row>
    <row r="168">
      <c r="E168" s="1"/>
    </row>
    <row r="169">
      <c r="E169" s="1"/>
    </row>
    <row r="170">
      <c r="E170" s="1"/>
    </row>
    <row r="171">
      <c r="E171" s="1"/>
    </row>
    <row r="172">
      <c r="E172" s="1"/>
    </row>
    <row r="173">
      <c r="E173" s="1"/>
    </row>
    <row r="174">
      <c r="E174" s="1"/>
    </row>
    <row r="175">
      <c r="E175" s="1"/>
    </row>
    <row r="176">
      <c r="E176" s="1"/>
    </row>
    <row r="177">
      <c r="E177" s="1"/>
    </row>
    <row r="178">
      <c r="E178" s="1"/>
    </row>
    <row r="179">
      <c r="E179" s="1"/>
    </row>
    <row r="180">
      <c r="E180" s="1"/>
    </row>
    <row r="181">
      <c r="E181" s="1"/>
    </row>
    <row r="182">
      <c r="E182" s="1"/>
    </row>
    <row r="183">
      <c r="E183" s="1"/>
    </row>
    <row r="184">
      <c r="E184" s="1"/>
    </row>
    <row r="185">
      <c r="E185" s="1"/>
    </row>
    <row r="186">
      <c r="E186" s="1"/>
    </row>
    <row r="187">
      <c r="E187" s="1"/>
    </row>
    <row r="188">
      <c r="E188" s="1"/>
    </row>
    <row r="189">
      <c r="E189" s="1"/>
    </row>
    <row r="190">
      <c r="E190" s="1"/>
    </row>
    <row r="191">
      <c r="E191" s="1"/>
    </row>
    <row r="192">
      <c r="E192" s="1"/>
    </row>
    <row r="193">
      <c r="E193" s="1"/>
    </row>
    <row r="194">
      <c r="E194" s="1"/>
    </row>
    <row r="195">
      <c r="E195" s="1"/>
    </row>
    <row r="196">
      <c r="E196" s="1"/>
    </row>
    <row r="197">
      <c r="E197" s="1"/>
    </row>
    <row r="198">
      <c r="E198" s="1"/>
    </row>
    <row r="199">
      <c r="E199" s="1"/>
    </row>
    <row r="200">
      <c r="E200" s="1"/>
    </row>
    <row r="201">
      <c r="E201" s="1"/>
    </row>
    <row r="202">
      <c r="E202" s="1"/>
    </row>
    <row r="203">
      <c r="E203" s="1"/>
    </row>
    <row r="204">
      <c r="E204" s="1"/>
    </row>
    <row r="205">
      <c r="E205" s="1"/>
    </row>
    <row r="206">
      <c r="E206" s="1"/>
    </row>
    <row r="207">
      <c r="E207" s="1"/>
    </row>
    <row r="208">
      <c r="E208" s="1"/>
    </row>
    <row r="209">
      <c r="E209" s="1"/>
    </row>
    <row r="210">
      <c r="E210" s="1"/>
    </row>
    <row r="211">
      <c r="E211" s="1"/>
    </row>
    <row r="212">
      <c r="E212" s="1"/>
    </row>
    <row r="213">
      <c r="E213" s="1"/>
    </row>
    <row r="214">
      <c r="E214" s="1"/>
    </row>
    <row r="215">
      <c r="E215" s="1"/>
    </row>
    <row r="216">
      <c r="E216" s="1"/>
    </row>
    <row r="217">
      <c r="E217" s="1"/>
    </row>
    <row r="218">
      <c r="E218" s="1"/>
    </row>
    <row r="219">
      <c r="E219" s="1"/>
    </row>
    <row r="220">
      <c r="E220" s="1"/>
    </row>
    <row r="221">
      <c r="E221" s="1"/>
    </row>
    <row r="222">
      <c r="E222" s="1"/>
    </row>
    <row r="223">
      <c r="E223" s="1"/>
    </row>
    <row r="224">
      <c r="E224" s="1"/>
    </row>
    <row r="225">
      <c r="E225" s="1"/>
    </row>
    <row r="226">
      <c r="E226" s="1"/>
    </row>
    <row r="227">
      <c r="E227" s="1"/>
    </row>
    <row r="228">
      <c r="E228" s="1"/>
    </row>
    <row r="229">
      <c r="E229" s="1"/>
    </row>
    <row r="230">
      <c r="E230" s="1"/>
    </row>
    <row r="231">
      <c r="E231" s="1"/>
    </row>
    <row r="232">
      <c r="E232" s="1"/>
    </row>
    <row r="233">
      <c r="E233" s="1"/>
    </row>
    <row r="234">
      <c r="E234" s="1"/>
    </row>
    <row r="235">
      <c r="E235" s="1"/>
    </row>
    <row r="236">
      <c r="E236" s="1"/>
    </row>
    <row r="237">
      <c r="E237" s="1"/>
    </row>
    <row r="238">
      <c r="E238" s="1"/>
    </row>
    <row r="239">
      <c r="E239" s="1"/>
    </row>
    <row r="240">
      <c r="E240" s="1"/>
    </row>
    <row r="241">
      <c r="E241" s="1"/>
    </row>
    <row r="242">
      <c r="E242" s="1"/>
    </row>
    <row r="243">
      <c r="E243" s="1"/>
    </row>
    <row r="244">
      <c r="E244" s="1"/>
    </row>
    <row r="245">
      <c r="E245" s="1"/>
    </row>
    <row r="246">
      <c r="E246" s="1"/>
    </row>
    <row r="247">
      <c r="E247" s="1"/>
    </row>
    <row r="248">
      <c r="E248" s="1"/>
    </row>
    <row r="249">
      <c r="E249" s="1"/>
    </row>
    <row r="250">
      <c r="E250" s="1"/>
    </row>
    <row r="251">
      <c r="E251" s="1"/>
    </row>
    <row r="252">
      <c r="E252" s="1"/>
    </row>
    <row r="253">
      <c r="E253" s="1"/>
    </row>
    <row r="254">
      <c r="E254" s="1"/>
    </row>
    <row r="255">
      <c r="E255" s="1"/>
    </row>
    <row r="256">
      <c r="E256" s="1"/>
    </row>
    <row r="257">
      <c r="E257" s="1"/>
    </row>
    <row r="258">
      <c r="E258" s="1"/>
    </row>
    <row r="259">
      <c r="E259" s="1"/>
    </row>
    <row r="260">
      <c r="E260" s="1"/>
    </row>
    <row r="261">
      <c r="E261" s="1"/>
    </row>
    <row r="262">
      <c r="E262" s="1"/>
    </row>
    <row r="263">
      <c r="E263" s="1"/>
    </row>
    <row r="264">
      <c r="E264" s="1"/>
    </row>
    <row r="265">
      <c r="E265" s="1"/>
    </row>
    <row r="266">
      <c r="E266" s="1"/>
    </row>
    <row r="267">
      <c r="E267" s="1"/>
    </row>
    <row r="268">
      <c r="E268" s="1"/>
    </row>
    <row r="269">
      <c r="E269" s="1"/>
    </row>
    <row r="270">
      <c r="E270" s="1"/>
    </row>
    <row r="271">
      <c r="E271" s="1"/>
    </row>
    <row r="272">
      <c r="E272" s="1"/>
    </row>
    <row r="273">
      <c r="E273" s="1"/>
    </row>
    <row r="274">
      <c r="E274" s="1"/>
    </row>
    <row r="275">
      <c r="E275" s="1"/>
    </row>
    <row r="276">
      <c r="E276" s="1"/>
    </row>
    <row r="277">
      <c r="E277" s="1"/>
    </row>
    <row r="278">
      <c r="E278" s="1"/>
    </row>
    <row r="279">
      <c r="E279" s="1"/>
    </row>
    <row r="280">
      <c r="E280" s="1"/>
    </row>
    <row r="281">
      <c r="E281" s="1"/>
    </row>
    <row r="282">
      <c r="E282" s="1"/>
    </row>
    <row r="283">
      <c r="E283" s="1"/>
    </row>
    <row r="284">
      <c r="E284" s="1"/>
    </row>
    <row r="285">
      <c r="E285" s="1"/>
    </row>
    <row r="286">
      <c r="E286" s="1"/>
    </row>
    <row r="287">
      <c r="E287" s="1"/>
    </row>
    <row r="288">
      <c r="E288" s="1"/>
    </row>
    <row r="289">
      <c r="E289" s="1"/>
    </row>
    <row r="290">
      <c r="E290" s="1"/>
    </row>
    <row r="291">
      <c r="E291" s="1"/>
    </row>
    <row r="292">
      <c r="E292" s="1"/>
    </row>
    <row r="293">
      <c r="E293" s="1"/>
    </row>
    <row r="294">
      <c r="E294" s="1"/>
    </row>
    <row r="295">
      <c r="E295" s="1"/>
    </row>
    <row r="296">
      <c r="E296" s="1"/>
    </row>
    <row r="297">
      <c r="E297" s="1"/>
    </row>
    <row r="298">
      <c r="E298" s="1"/>
    </row>
    <row r="299">
      <c r="E299" s="1"/>
    </row>
    <row r="300">
      <c r="E300" s="1"/>
    </row>
    <row r="301">
      <c r="E301" s="1"/>
    </row>
    <row r="302">
      <c r="E302" s="1"/>
    </row>
    <row r="303">
      <c r="E303" s="1"/>
    </row>
    <row r="304">
      <c r="E304" s="1"/>
    </row>
    <row r="305">
      <c r="E305" s="1"/>
    </row>
    <row r="306">
      <c r="E306" s="1"/>
    </row>
    <row r="307">
      <c r="E307" s="1"/>
    </row>
    <row r="308">
      <c r="E308" s="1"/>
    </row>
    <row r="309">
      <c r="E309" s="1"/>
    </row>
    <row r="310">
      <c r="E310" s="1"/>
    </row>
    <row r="311">
      <c r="E311" s="1"/>
    </row>
    <row r="312">
      <c r="E312" s="1"/>
    </row>
    <row r="313">
      <c r="E313" s="1"/>
    </row>
    <row r="314">
      <c r="E314" s="1"/>
    </row>
    <row r="315">
      <c r="E315" s="1"/>
    </row>
    <row r="316">
      <c r="E316" s="1"/>
    </row>
    <row r="317">
      <c r="E317" s="1"/>
    </row>
    <row r="318">
      <c r="E318" s="1"/>
    </row>
    <row r="319">
      <c r="E319" s="1"/>
    </row>
    <row r="320">
      <c r="E320" s="1"/>
    </row>
    <row r="321">
      <c r="E321" s="1"/>
    </row>
    <row r="322">
      <c r="E322" s="1"/>
    </row>
    <row r="323">
      <c r="E323" s="1"/>
    </row>
    <row r="324">
      <c r="E324" s="1"/>
    </row>
    <row r="325">
      <c r="E325" s="1"/>
    </row>
    <row r="326">
      <c r="E326" s="1"/>
    </row>
    <row r="327">
      <c r="E327" s="1"/>
    </row>
    <row r="328">
      <c r="E328" s="1"/>
    </row>
    <row r="329">
      <c r="E329" s="1"/>
    </row>
    <row r="330">
      <c r="E330" s="1"/>
    </row>
    <row r="331">
      <c r="E331" s="1"/>
    </row>
    <row r="332">
      <c r="E332" s="1"/>
    </row>
    <row r="333">
      <c r="E333" s="1"/>
    </row>
    <row r="334">
      <c r="E334" s="1"/>
    </row>
    <row r="335">
      <c r="E335" s="1"/>
    </row>
    <row r="336">
      <c r="E336" s="1"/>
    </row>
    <row r="337">
      <c r="E337" s="1"/>
    </row>
    <row r="338">
      <c r="E338" s="1"/>
    </row>
    <row r="339">
      <c r="E339" s="1"/>
    </row>
    <row r="340">
      <c r="E340" s="1"/>
    </row>
    <row r="341">
      <c r="E341" s="1"/>
    </row>
    <row r="342">
      <c r="E342" s="1"/>
    </row>
    <row r="343">
      <c r="E343" s="1"/>
    </row>
    <row r="344">
      <c r="E344" s="1"/>
    </row>
    <row r="345">
      <c r="E345" s="1"/>
    </row>
    <row r="346">
      <c r="E346" s="1"/>
    </row>
    <row r="347">
      <c r="E347" s="1"/>
    </row>
    <row r="348">
      <c r="E348" s="1"/>
    </row>
    <row r="349">
      <c r="E349" s="1"/>
    </row>
    <row r="350">
      <c r="E350" s="1"/>
    </row>
    <row r="351">
      <c r="E351" s="1"/>
    </row>
    <row r="352">
      <c r="E352" s="1"/>
    </row>
    <row r="353">
      <c r="E353" s="1"/>
    </row>
    <row r="354">
      <c r="E354" s="1"/>
    </row>
    <row r="355">
      <c r="E355" s="1"/>
    </row>
    <row r="356">
      <c r="E356" s="1"/>
    </row>
    <row r="357">
      <c r="E357" s="1"/>
    </row>
    <row r="358">
      <c r="E358" s="1"/>
    </row>
    <row r="359">
      <c r="E359" s="1"/>
    </row>
    <row r="360">
      <c r="E360" s="1"/>
    </row>
    <row r="361">
      <c r="E361" s="1"/>
    </row>
    <row r="362">
      <c r="E362" s="1"/>
    </row>
    <row r="363">
      <c r="E363" s="1"/>
    </row>
    <row r="364">
      <c r="E364" s="1"/>
    </row>
    <row r="365">
      <c r="E365" s="1"/>
    </row>
    <row r="366">
      <c r="E366" s="1"/>
    </row>
    <row r="367">
      <c r="E367" s="1"/>
    </row>
    <row r="368">
      <c r="E368" s="1"/>
    </row>
    <row r="369">
      <c r="E369" s="1"/>
    </row>
    <row r="370">
      <c r="E370" s="1"/>
    </row>
    <row r="371">
      <c r="E371" s="1"/>
    </row>
    <row r="372">
      <c r="E372" s="1"/>
    </row>
    <row r="373">
      <c r="E373" s="1"/>
    </row>
    <row r="374">
      <c r="E374" s="1"/>
    </row>
    <row r="375">
      <c r="E375" s="1"/>
    </row>
    <row r="376">
      <c r="E376" s="1"/>
    </row>
    <row r="377">
      <c r="E377" s="1"/>
    </row>
    <row r="378">
      <c r="E378" s="1"/>
    </row>
    <row r="379">
      <c r="E379" s="1"/>
    </row>
    <row r="380">
      <c r="E380" s="1"/>
    </row>
    <row r="381">
      <c r="E381" s="1"/>
    </row>
    <row r="382">
      <c r="E382" s="1"/>
    </row>
    <row r="383">
      <c r="E383" s="1"/>
    </row>
    <row r="384">
      <c r="E384" s="1"/>
    </row>
    <row r="385">
      <c r="E385" s="1"/>
    </row>
    <row r="386">
      <c r="E386" s="1"/>
    </row>
    <row r="387">
      <c r="E387" s="1"/>
    </row>
    <row r="388">
      <c r="E388" s="1"/>
    </row>
    <row r="389">
      <c r="E389" s="1"/>
    </row>
    <row r="390">
      <c r="E390" s="1"/>
    </row>
    <row r="391">
      <c r="E391" s="1"/>
    </row>
    <row r="392">
      <c r="E392" s="1"/>
    </row>
    <row r="393">
      <c r="E393" s="1"/>
    </row>
    <row r="394">
      <c r="E394" s="1"/>
    </row>
    <row r="395">
      <c r="E395" s="1"/>
    </row>
    <row r="396">
      <c r="E396" s="1"/>
    </row>
    <row r="397">
      <c r="E397" s="1"/>
    </row>
    <row r="398">
      <c r="E398" s="1"/>
    </row>
    <row r="399">
      <c r="E399" s="1"/>
    </row>
    <row r="400">
      <c r="E400" s="1"/>
    </row>
    <row r="401">
      <c r="E401" s="1"/>
    </row>
    <row r="402">
      <c r="E402" s="1"/>
    </row>
    <row r="403">
      <c r="E403" s="1"/>
    </row>
    <row r="404">
      <c r="E404" s="1"/>
    </row>
    <row r="405">
      <c r="E405" s="1"/>
    </row>
    <row r="406">
      <c r="E406" s="1"/>
    </row>
    <row r="407">
      <c r="E407" s="1"/>
    </row>
    <row r="408">
      <c r="E408" s="1"/>
    </row>
    <row r="409">
      <c r="E409" s="1"/>
    </row>
    <row r="410">
      <c r="E410" s="1"/>
    </row>
    <row r="411">
      <c r="E411" s="1"/>
    </row>
    <row r="412">
      <c r="E412" s="1"/>
    </row>
    <row r="413">
      <c r="E413" s="1"/>
    </row>
    <row r="414">
      <c r="E414" s="1"/>
    </row>
    <row r="415">
      <c r="E415" s="1"/>
    </row>
    <row r="416">
      <c r="E416" s="1"/>
    </row>
    <row r="417">
      <c r="E417" s="1"/>
    </row>
    <row r="418">
      <c r="E418" s="1"/>
    </row>
    <row r="419">
      <c r="E419" s="1"/>
    </row>
    <row r="420">
      <c r="E420" s="1"/>
    </row>
    <row r="421">
      <c r="E421" s="1"/>
    </row>
    <row r="422">
      <c r="E422" s="1"/>
    </row>
    <row r="423">
      <c r="E423" s="1"/>
    </row>
    <row r="424">
      <c r="E424" s="1"/>
    </row>
    <row r="425">
      <c r="E425" s="1"/>
    </row>
    <row r="426">
      <c r="E426" s="1"/>
    </row>
    <row r="427">
      <c r="E427" s="1"/>
    </row>
    <row r="428">
      <c r="E428" s="1"/>
    </row>
    <row r="429">
      <c r="E429" s="1"/>
    </row>
    <row r="430">
      <c r="E430" s="1"/>
    </row>
    <row r="431">
      <c r="E431" s="1"/>
    </row>
    <row r="432">
      <c r="E432" s="1"/>
    </row>
    <row r="433">
      <c r="E433" s="1"/>
    </row>
    <row r="434">
      <c r="E434" s="1"/>
    </row>
    <row r="435">
      <c r="E435" s="1"/>
    </row>
    <row r="436">
      <c r="E436" s="1"/>
    </row>
    <row r="437">
      <c r="E437" s="1"/>
    </row>
    <row r="438">
      <c r="E438" s="1"/>
    </row>
    <row r="439">
      <c r="E439" s="1"/>
    </row>
    <row r="440">
      <c r="E440" s="1"/>
    </row>
    <row r="441">
      <c r="E441" s="1"/>
    </row>
    <row r="442">
      <c r="E442" s="1"/>
    </row>
    <row r="443">
      <c r="E443" s="1"/>
    </row>
    <row r="444">
      <c r="E444" s="1"/>
    </row>
    <row r="445">
      <c r="E445" s="1"/>
    </row>
    <row r="446">
      <c r="E446" s="1"/>
    </row>
    <row r="447">
      <c r="E447" s="1"/>
    </row>
    <row r="448">
      <c r="E448" s="1"/>
    </row>
    <row r="449">
      <c r="E449" s="1"/>
    </row>
    <row r="450">
      <c r="E450" s="1"/>
    </row>
    <row r="451">
      <c r="E451" s="1"/>
    </row>
    <row r="452">
      <c r="E452" s="1"/>
    </row>
    <row r="453">
      <c r="E453" s="1"/>
    </row>
    <row r="454">
      <c r="E454" s="1"/>
    </row>
    <row r="455">
      <c r="E455" s="1"/>
    </row>
    <row r="456">
      <c r="E456" s="1"/>
    </row>
    <row r="457">
      <c r="E457" s="1"/>
    </row>
    <row r="458">
      <c r="E458" s="1"/>
    </row>
    <row r="459">
      <c r="E459" s="1"/>
    </row>
    <row r="460">
      <c r="E460" s="1"/>
    </row>
    <row r="461">
      <c r="E461" s="1"/>
    </row>
    <row r="462">
      <c r="E462" s="1"/>
    </row>
    <row r="463">
      <c r="E463" s="1"/>
    </row>
    <row r="464">
      <c r="E464" s="1"/>
    </row>
    <row r="465">
      <c r="E465" s="1"/>
    </row>
    <row r="466">
      <c r="E466" s="1"/>
    </row>
    <row r="467">
      <c r="E467" s="1"/>
    </row>
    <row r="468">
      <c r="E468" s="1"/>
    </row>
    <row r="469">
      <c r="E469" s="1"/>
    </row>
    <row r="470">
      <c r="E470" s="1"/>
    </row>
    <row r="471">
      <c r="E471" s="1"/>
    </row>
    <row r="472">
      <c r="E472" s="1"/>
    </row>
    <row r="473">
      <c r="E473" s="1"/>
    </row>
    <row r="474">
      <c r="E474" s="1"/>
    </row>
    <row r="475">
      <c r="E475" s="1"/>
    </row>
    <row r="476">
      <c r="E476" s="1"/>
    </row>
    <row r="477">
      <c r="E477" s="1"/>
    </row>
    <row r="478">
      <c r="E478" s="1"/>
    </row>
    <row r="479">
      <c r="E479" s="1"/>
    </row>
    <row r="480">
      <c r="E480" s="1"/>
    </row>
    <row r="481">
      <c r="E481" s="1"/>
    </row>
    <row r="482">
      <c r="E482" s="1"/>
    </row>
    <row r="483">
      <c r="E483" s="1"/>
    </row>
    <row r="484">
      <c r="E484" s="1"/>
    </row>
    <row r="485">
      <c r="E485" s="1"/>
    </row>
    <row r="486">
      <c r="E486" s="1"/>
    </row>
    <row r="487">
      <c r="E487" s="1"/>
    </row>
    <row r="488">
      <c r="E488" s="1"/>
    </row>
    <row r="489">
      <c r="E489" s="1"/>
    </row>
    <row r="490">
      <c r="E490" s="1"/>
    </row>
    <row r="491">
      <c r="E491" s="1"/>
    </row>
    <row r="492">
      <c r="E492" s="1"/>
    </row>
    <row r="493">
      <c r="E493" s="1"/>
    </row>
    <row r="494">
      <c r="E494" s="1"/>
    </row>
    <row r="495">
      <c r="E495" s="1"/>
    </row>
    <row r="496">
      <c r="E496" s="1"/>
    </row>
    <row r="497">
      <c r="E497" s="1"/>
    </row>
    <row r="498">
      <c r="E498" s="1"/>
    </row>
    <row r="499">
      <c r="E499" s="1"/>
    </row>
    <row r="500">
      <c r="E500" s="1"/>
    </row>
    <row r="501">
      <c r="E501" s="1"/>
    </row>
    <row r="502">
      <c r="E502" s="1"/>
    </row>
    <row r="503">
      <c r="E503" s="1"/>
    </row>
    <row r="504">
      <c r="E504" s="1"/>
    </row>
    <row r="505">
      <c r="E505" s="1"/>
    </row>
    <row r="506">
      <c r="E506" s="1"/>
    </row>
    <row r="507">
      <c r="E507" s="1"/>
    </row>
    <row r="508">
      <c r="E508" s="1"/>
    </row>
    <row r="509">
      <c r="E509" s="1"/>
    </row>
    <row r="510">
      <c r="E510" s="1"/>
    </row>
    <row r="511">
      <c r="E511" s="1"/>
    </row>
    <row r="512">
      <c r="E512" s="1"/>
    </row>
    <row r="513">
      <c r="E513" s="1"/>
    </row>
    <row r="514">
      <c r="E514" s="1"/>
    </row>
    <row r="515">
      <c r="E515" s="1"/>
    </row>
    <row r="516">
      <c r="E516" s="1"/>
    </row>
    <row r="517">
      <c r="E517" s="1"/>
    </row>
    <row r="518">
      <c r="E518" s="1"/>
    </row>
    <row r="519">
      <c r="E519" s="1"/>
    </row>
    <row r="520">
      <c r="E520" s="1"/>
    </row>
    <row r="521">
      <c r="E521" s="1"/>
    </row>
    <row r="522">
      <c r="E522" s="1"/>
    </row>
    <row r="523">
      <c r="E523" s="1"/>
    </row>
    <row r="524">
      <c r="E524" s="1"/>
    </row>
    <row r="525">
      <c r="E525" s="1"/>
    </row>
    <row r="526">
      <c r="E526" s="1"/>
    </row>
    <row r="527">
      <c r="E527" s="1"/>
    </row>
    <row r="528">
      <c r="E528" s="1"/>
    </row>
    <row r="529">
      <c r="E529" s="1"/>
    </row>
    <row r="530">
      <c r="E530" s="1"/>
    </row>
    <row r="531">
      <c r="E531" s="1"/>
    </row>
    <row r="532">
      <c r="E532" s="1"/>
    </row>
    <row r="533">
      <c r="E533" s="1"/>
    </row>
    <row r="534">
      <c r="E534" s="1"/>
    </row>
    <row r="535">
      <c r="E535" s="1"/>
    </row>
    <row r="536">
      <c r="E536" s="1"/>
    </row>
    <row r="537">
      <c r="E537" s="1"/>
    </row>
    <row r="538">
      <c r="E538" s="1"/>
    </row>
    <row r="539">
      <c r="E539" s="1"/>
    </row>
    <row r="540">
      <c r="E540" s="1"/>
    </row>
    <row r="541">
      <c r="E541" s="1"/>
    </row>
    <row r="542">
      <c r="E542" s="1"/>
    </row>
    <row r="543">
      <c r="E543" s="1"/>
    </row>
    <row r="544">
      <c r="E544" s="1"/>
    </row>
    <row r="545">
      <c r="E545" s="1"/>
    </row>
    <row r="546">
      <c r="E546" s="1"/>
    </row>
    <row r="547">
      <c r="E547" s="1"/>
    </row>
    <row r="548">
      <c r="E548" s="1"/>
    </row>
    <row r="549">
      <c r="E549" s="1"/>
    </row>
    <row r="550">
      <c r="E550" s="1"/>
    </row>
    <row r="551">
      <c r="E551" s="1"/>
    </row>
    <row r="552">
      <c r="E552" s="1"/>
    </row>
    <row r="553">
      <c r="E553" s="1"/>
    </row>
    <row r="554">
      <c r="E554" s="1"/>
    </row>
    <row r="555">
      <c r="E555" s="1"/>
    </row>
    <row r="556">
      <c r="E556" s="1"/>
    </row>
    <row r="557">
      <c r="E557" s="1"/>
    </row>
    <row r="558">
      <c r="E558" s="1"/>
    </row>
    <row r="559">
      <c r="E559" s="1"/>
    </row>
    <row r="560">
      <c r="E560" s="1"/>
    </row>
    <row r="561">
      <c r="E561" s="1"/>
    </row>
    <row r="562">
      <c r="E562" s="1"/>
    </row>
    <row r="563">
      <c r="E563" s="1"/>
    </row>
    <row r="564">
      <c r="E564" s="1"/>
    </row>
    <row r="565">
      <c r="E565" s="1"/>
    </row>
    <row r="566">
      <c r="E566" s="1"/>
    </row>
    <row r="567">
      <c r="E567" s="1"/>
    </row>
    <row r="568">
      <c r="E568" s="1"/>
    </row>
    <row r="569">
      <c r="E569" s="1"/>
    </row>
    <row r="570">
      <c r="E570" s="1"/>
    </row>
    <row r="571">
      <c r="E571" s="1"/>
    </row>
    <row r="572">
      <c r="E572" s="1"/>
    </row>
    <row r="573">
      <c r="E573" s="1"/>
    </row>
    <row r="574">
      <c r="E574" s="1"/>
    </row>
    <row r="575">
      <c r="E575" s="1"/>
    </row>
    <row r="576">
      <c r="E576" s="1"/>
    </row>
    <row r="577">
      <c r="E577" s="1"/>
    </row>
    <row r="578">
      <c r="E578" s="1"/>
    </row>
    <row r="579">
      <c r="E579" s="1"/>
    </row>
    <row r="580">
      <c r="E580" s="1"/>
    </row>
    <row r="581">
      <c r="E581" s="1"/>
    </row>
    <row r="582">
      <c r="E582" s="1"/>
    </row>
    <row r="583">
      <c r="E583" s="1"/>
    </row>
    <row r="584">
      <c r="E584" s="1"/>
    </row>
    <row r="585">
      <c r="E585" s="1"/>
    </row>
    <row r="586">
      <c r="E586" s="1"/>
    </row>
    <row r="587">
      <c r="E587" s="1"/>
    </row>
    <row r="588">
      <c r="E588" s="1"/>
    </row>
    <row r="589">
      <c r="E589" s="1"/>
    </row>
    <row r="590">
      <c r="E590" s="1"/>
    </row>
    <row r="591">
      <c r="E591" s="1"/>
    </row>
    <row r="592">
      <c r="E592" s="1"/>
    </row>
    <row r="593">
      <c r="E593" s="1"/>
    </row>
    <row r="594">
      <c r="E594" s="1"/>
    </row>
    <row r="595">
      <c r="E595" s="1"/>
    </row>
    <row r="596">
      <c r="E596" s="1"/>
    </row>
    <row r="597">
      <c r="E597" s="1"/>
    </row>
    <row r="598">
      <c r="E598" s="1"/>
    </row>
    <row r="599">
      <c r="E599" s="1"/>
    </row>
    <row r="600">
      <c r="E600" s="1"/>
    </row>
    <row r="601">
      <c r="E601" s="1"/>
    </row>
    <row r="602">
      <c r="E602" s="1"/>
    </row>
    <row r="603">
      <c r="E603" s="1"/>
    </row>
    <row r="604">
      <c r="E604" s="1"/>
    </row>
    <row r="605">
      <c r="E605" s="1"/>
    </row>
    <row r="606">
      <c r="E606" s="1"/>
    </row>
    <row r="607">
      <c r="E607" s="1"/>
    </row>
    <row r="608">
      <c r="E608" s="1"/>
    </row>
    <row r="609">
      <c r="E609" s="1"/>
    </row>
    <row r="610">
      <c r="E610" s="1"/>
    </row>
    <row r="611">
      <c r="E611" s="1"/>
    </row>
    <row r="612">
      <c r="E612" s="1"/>
    </row>
    <row r="613">
      <c r="E613" s="1"/>
    </row>
    <row r="614">
      <c r="E614" s="1"/>
    </row>
    <row r="615">
      <c r="E615" s="1"/>
    </row>
    <row r="616">
      <c r="E616" s="1"/>
    </row>
    <row r="617">
      <c r="E617" s="1"/>
    </row>
    <row r="618">
      <c r="E618" s="1"/>
    </row>
    <row r="619">
      <c r="E619" s="1"/>
    </row>
    <row r="620">
      <c r="E620" s="1"/>
    </row>
    <row r="621">
      <c r="E621" s="1"/>
    </row>
    <row r="622">
      <c r="E622" s="1"/>
    </row>
    <row r="623">
      <c r="E623" s="1"/>
    </row>
    <row r="624">
      <c r="E624" s="1"/>
    </row>
    <row r="625">
      <c r="E625" s="1"/>
    </row>
    <row r="626">
      <c r="E626" s="1"/>
    </row>
    <row r="627">
      <c r="E627" s="1"/>
    </row>
    <row r="628">
      <c r="E628" s="1"/>
    </row>
    <row r="629">
      <c r="E629" s="1"/>
    </row>
    <row r="630">
      <c r="E630" s="1"/>
    </row>
    <row r="631">
      <c r="E631" s="1"/>
    </row>
    <row r="632">
      <c r="E632" s="1"/>
    </row>
    <row r="633">
      <c r="E633" s="1"/>
    </row>
    <row r="634">
      <c r="E634" s="1"/>
    </row>
    <row r="635">
      <c r="E635" s="1"/>
    </row>
    <row r="636">
      <c r="E636" s="1"/>
    </row>
    <row r="637">
      <c r="E637" s="1"/>
    </row>
    <row r="638">
      <c r="E638" s="1"/>
    </row>
    <row r="639">
      <c r="E639" s="1"/>
    </row>
    <row r="640">
      <c r="E640" s="1"/>
    </row>
    <row r="641">
      <c r="E641" s="1"/>
    </row>
    <row r="642">
      <c r="E642" s="1"/>
    </row>
    <row r="643">
      <c r="E643" s="1"/>
    </row>
    <row r="644">
      <c r="E644" s="1"/>
    </row>
    <row r="645">
      <c r="E645" s="1"/>
    </row>
    <row r="646">
      <c r="E646" s="1"/>
    </row>
    <row r="647">
      <c r="E647" s="1"/>
    </row>
    <row r="648">
      <c r="E648" s="1"/>
    </row>
    <row r="649">
      <c r="E649" s="1"/>
    </row>
    <row r="650">
      <c r="E650" s="1"/>
    </row>
    <row r="651">
      <c r="E651" s="1"/>
    </row>
    <row r="652">
      <c r="E652" s="1"/>
    </row>
    <row r="653">
      <c r="E653" s="1"/>
    </row>
    <row r="654">
      <c r="E654" s="1"/>
    </row>
    <row r="655">
      <c r="E655" s="1"/>
    </row>
    <row r="656">
      <c r="E656" s="1"/>
    </row>
    <row r="657">
      <c r="E657" s="1"/>
    </row>
    <row r="658">
      <c r="E658" s="1"/>
    </row>
    <row r="659">
      <c r="E659" s="1"/>
    </row>
    <row r="660">
      <c r="E660" s="1"/>
    </row>
    <row r="661">
      <c r="E661" s="1"/>
    </row>
    <row r="662">
      <c r="E662" s="1"/>
    </row>
    <row r="663">
      <c r="E663" s="1"/>
    </row>
    <row r="664">
      <c r="E664" s="1"/>
    </row>
    <row r="665">
      <c r="E665" s="1"/>
    </row>
    <row r="666">
      <c r="E666" s="1"/>
    </row>
    <row r="667">
      <c r="E667" s="1"/>
    </row>
    <row r="668">
      <c r="E668" s="1"/>
    </row>
    <row r="669">
      <c r="E669" s="1"/>
    </row>
    <row r="670">
      <c r="E670" s="1"/>
    </row>
    <row r="671">
      <c r="E671" s="1"/>
    </row>
    <row r="672">
      <c r="E672" s="1"/>
    </row>
    <row r="673">
      <c r="E673" s="1"/>
    </row>
    <row r="674">
      <c r="E674" s="1"/>
    </row>
    <row r="675">
      <c r="E675" s="1"/>
    </row>
    <row r="676">
      <c r="E676" s="1"/>
    </row>
    <row r="677">
      <c r="E677" s="1"/>
    </row>
    <row r="678">
      <c r="E678" s="1"/>
    </row>
    <row r="679">
      <c r="E679" s="1"/>
    </row>
    <row r="680">
      <c r="E680" s="1"/>
    </row>
    <row r="681">
      <c r="E681" s="1"/>
    </row>
    <row r="682">
      <c r="E682" s="1"/>
    </row>
    <row r="683">
      <c r="E683" s="1"/>
    </row>
    <row r="684">
      <c r="E684" s="1"/>
    </row>
    <row r="685">
      <c r="E685" s="1"/>
    </row>
    <row r="686">
      <c r="E686" s="1"/>
    </row>
    <row r="687">
      <c r="E687" s="1"/>
    </row>
    <row r="688">
      <c r="E688" s="1"/>
    </row>
    <row r="689">
      <c r="E689" s="1"/>
    </row>
    <row r="690">
      <c r="E690" s="1"/>
    </row>
    <row r="691">
      <c r="E691" s="1"/>
    </row>
    <row r="692">
      <c r="E692" s="1"/>
    </row>
    <row r="693">
      <c r="E693" s="1"/>
    </row>
    <row r="694">
      <c r="E694" s="1"/>
    </row>
    <row r="695">
      <c r="E695" s="1"/>
    </row>
    <row r="696">
      <c r="E696" s="1"/>
    </row>
    <row r="697">
      <c r="E697" s="1"/>
    </row>
    <row r="698">
      <c r="E698" s="1"/>
    </row>
    <row r="699">
      <c r="E699" s="1"/>
    </row>
    <row r="700">
      <c r="E700" s="1"/>
    </row>
    <row r="701">
      <c r="E701" s="1"/>
    </row>
    <row r="702">
      <c r="E702" s="1"/>
    </row>
    <row r="703">
      <c r="E703" s="1"/>
    </row>
    <row r="704">
      <c r="E704" s="1"/>
    </row>
    <row r="705">
      <c r="E705" s="1"/>
    </row>
    <row r="706">
      <c r="E706" s="1"/>
    </row>
    <row r="707">
      <c r="E707" s="1"/>
    </row>
    <row r="708">
      <c r="E708" s="1"/>
    </row>
    <row r="709">
      <c r="E709" s="1"/>
    </row>
    <row r="710">
      <c r="E710" s="1"/>
    </row>
    <row r="711">
      <c r="E711" s="1"/>
    </row>
    <row r="712">
      <c r="E712" s="1"/>
    </row>
    <row r="713">
      <c r="E713" s="1"/>
    </row>
    <row r="714">
      <c r="E714" s="1"/>
    </row>
    <row r="715">
      <c r="E715" s="1"/>
    </row>
    <row r="716">
      <c r="E716" s="1"/>
    </row>
    <row r="717">
      <c r="E717" s="1"/>
    </row>
    <row r="718">
      <c r="E718" s="1"/>
    </row>
    <row r="719">
      <c r="E719" s="1"/>
    </row>
    <row r="720">
      <c r="E720" s="1"/>
    </row>
    <row r="721">
      <c r="E721" s="1"/>
    </row>
    <row r="722">
      <c r="E722" s="1"/>
    </row>
    <row r="723">
      <c r="E723" s="1"/>
    </row>
    <row r="724">
      <c r="E724" s="1"/>
    </row>
    <row r="725">
      <c r="E725" s="1"/>
    </row>
    <row r="726">
      <c r="E726" s="1"/>
    </row>
    <row r="727">
      <c r="E727" s="1"/>
    </row>
    <row r="728">
      <c r="E728" s="1"/>
    </row>
    <row r="729">
      <c r="E729" s="1"/>
    </row>
    <row r="730">
      <c r="E730" s="1"/>
    </row>
    <row r="731">
      <c r="E731" s="1"/>
    </row>
    <row r="732">
      <c r="E732" s="1"/>
    </row>
    <row r="733">
      <c r="E733" s="1"/>
    </row>
    <row r="734">
      <c r="E734" s="1"/>
    </row>
    <row r="735">
      <c r="E735" s="1"/>
    </row>
    <row r="736">
      <c r="E736" s="1"/>
    </row>
    <row r="737">
      <c r="E737" s="1"/>
    </row>
    <row r="738">
      <c r="E738" s="1"/>
    </row>
    <row r="739">
      <c r="E739" s="1"/>
    </row>
    <row r="740">
      <c r="E740" s="1"/>
    </row>
    <row r="741">
      <c r="E741" s="1"/>
    </row>
    <row r="742">
      <c r="E742" s="1"/>
    </row>
    <row r="743">
      <c r="E743" s="1"/>
    </row>
    <row r="744">
      <c r="E744" s="1"/>
    </row>
    <row r="745">
      <c r="E745" s="1"/>
    </row>
    <row r="746">
      <c r="E746" s="1"/>
    </row>
    <row r="747">
      <c r="E747" s="1"/>
    </row>
    <row r="748">
      <c r="E748" s="1"/>
    </row>
    <row r="749">
      <c r="E749" s="1"/>
    </row>
    <row r="750">
      <c r="E750" s="1"/>
    </row>
    <row r="751">
      <c r="E751" s="1"/>
    </row>
    <row r="752">
      <c r="E752" s="1"/>
    </row>
    <row r="753">
      <c r="E753" s="1"/>
    </row>
    <row r="754">
      <c r="E754" s="1"/>
    </row>
    <row r="755">
      <c r="E755" s="1"/>
    </row>
    <row r="756">
      <c r="E756" s="1"/>
    </row>
    <row r="757">
      <c r="E757" s="1"/>
    </row>
    <row r="758">
      <c r="E758" s="1"/>
    </row>
    <row r="759">
      <c r="E759" s="1"/>
    </row>
    <row r="760">
      <c r="E760" s="1"/>
    </row>
    <row r="761">
      <c r="E761" s="1"/>
    </row>
    <row r="762">
      <c r="E762" s="1"/>
    </row>
    <row r="763">
      <c r="E763" s="1"/>
    </row>
    <row r="764">
      <c r="E764" s="1"/>
    </row>
    <row r="765">
      <c r="E765" s="1"/>
    </row>
    <row r="766">
      <c r="E766" s="1"/>
    </row>
    <row r="767">
      <c r="E767" s="1"/>
    </row>
    <row r="768">
      <c r="E768" s="1"/>
    </row>
    <row r="769">
      <c r="E769" s="1"/>
    </row>
    <row r="770">
      <c r="E770" s="1"/>
    </row>
    <row r="771">
      <c r="E771" s="1"/>
    </row>
    <row r="772">
      <c r="E772" s="1"/>
    </row>
    <row r="773">
      <c r="E773" s="1"/>
    </row>
    <row r="774">
      <c r="E774" s="1"/>
    </row>
    <row r="775">
      <c r="E775" s="1"/>
    </row>
    <row r="776">
      <c r="E776" s="1"/>
    </row>
    <row r="777">
      <c r="E777" s="1"/>
    </row>
    <row r="778">
      <c r="E778" s="1"/>
    </row>
    <row r="779">
      <c r="E779" s="1"/>
    </row>
    <row r="780">
      <c r="E780" s="1"/>
    </row>
    <row r="781">
      <c r="E781" s="1"/>
    </row>
    <row r="782">
      <c r="E782" s="1"/>
    </row>
    <row r="783">
      <c r="E783" s="1"/>
    </row>
    <row r="784">
      <c r="E784" s="1"/>
    </row>
    <row r="785">
      <c r="E785" s="1"/>
    </row>
    <row r="786">
      <c r="E786" s="1"/>
    </row>
    <row r="787">
      <c r="E787" s="1"/>
    </row>
    <row r="788">
      <c r="E788" s="1"/>
    </row>
    <row r="789">
      <c r="E789" s="1"/>
    </row>
    <row r="790">
      <c r="E790" s="1"/>
    </row>
    <row r="791">
      <c r="E791" s="1"/>
    </row>
    <row r="792">
      <c r="E792" s="1"/>
    </row>
    <row r="793">
      <c r="E793" s="1"/>
    </row>
    <row r="794">
      <c r="E794" s="1"/>
    </row>
    <row r="795">
      <c r="E795" s="1"/>
    </row>
    <row r="796">
      <c r="E796" s="1"/>
    </row>
    <row r="797">
      <c r="E797" s="1"/>
    </row>
    <row r="798">
      <c r="E798" s="1"/>
    </row>
    <row r="799">
      <c r="E799" s="1"/>
    </row>
    <row r="800">
      <c r="E800" s="1"/>
    </row>
    <row r="801">
      <c r="E801" s="1"/>
    </row>
    <row r="802">
      <c r="E802" s="1"/>
    </row>
    <row r="803">
      <c r="E803" s="1"/>
    </row>
    <row r="804">
      <c r="E804" s="1"/>
    </row>
    <row r="805">
      <c r="E805" s="1"/>
    </row>
    <row r="806">
      <c r="E806" s="1"/>
    </row>
    <row r="807">
      <c r="E807" s="1"/>
    </row>
    <row r="808">
      <c r="E808" s="1"/>
    </row>
    <row r="809">
      <c r="E809" s="1"/>
    </row>
    <row r="810">
      <c r="E810" s="1"/>
    </row>
    <row r="811">
      <c r="E811" s="1"/>
    </row>
    <row r="812">
      <c r="E812" s="1"/>
    </row>
    <row r="813">
      <c r="E813" s="1"/>
    </row>
    <row r="814">
      <c r="E814" s="1"/>
    </row>
    <row r="815">
      <c r="E815" s="1"/>
    </row>
    <row r="816">
      <c r="E816" s="1"/>
    </row>
    <row r="817">
      <c r="E817" s="1"/>
    </row>
    <row r="818">
      <c r="E818" s="1"/>
    </row>
    <row r="819">
      <c r="E819" s="1"/>
    </row>
    <row r="820">
      <c r="E820" s="1"/>
    </row>
    <row r="821">
      <c r="E821" s="1"/>
    </row>
    <row r="822">
      <c r="E822" s="1"/>
    </row>
    <row r="823">
      <c r="E823" s="1"/>
    </row>
    <row r="824">
      <c r="E824" s="1"/>
    </row>
    <row r="825">
      <c r="E825" s="1"/>
    </row>
    <row r="826">
      <c r="E826" s="1"/>
    </row>
    <row r="827">
      <c r="E827" s="1"/>
    </row>
    <row r="828">
      <c r="E828" s="1"/>
    </row>
    <row r="829">
      <c r="E829" s="1"/>
    </row>
    <row r="830">
      <c r="E830" s="1"/>
    </row>
    <row r="831">
      <c r="E831" s="1"/>
    </row>
    <row r="832">
      <c r="E832" s="1"/>
    </row>
    <row r="833">
      <c r="E833" s="1"/>
    </row>
    <row r="834">
      <c r="E834" s="1"/>
    </row>
    <row r="835">
      <c r="E835" s="1"/>
    </row>
    <row r="836">
      <c r="E836" s="1"/>
    </row>
    <row r="837">
      <c r="E837" s="1"/>
    </row>
    <row r="838">
      <c r="E838" s="1"/>
    </row>
    <row r="839">
      <c r="E839" s="1"/>
    </row>
    <row r="840">
      <c r="E840" s="1"/>
    </row>
    <row r="841">
      <c r="E841" s="1"/>
    </row>
    <row r="842">
      <c r="E842" s="1"/>
    </row>
    <row r="843">
      <c r="E843" s="1"/>
    </row>
    <row r="844">
      <c r="E844" s="1"/>
    </row>
    <row r="845">
      <c r="E845" s="1"/>
    </row>
    <row r="846">
      <c r="E846" s="1"/>
    </row>
    <row r="847">
      <c r="E847" s="1"/>
    </row>
    <row r="848">
      <c r="E848" s="1"/>
    </row>
    <row r="849">
      <c r="E849" s="1"/>
    </row>
    <row r="850">
      <c r="E850" s="1"/>
    </row>
    <row r="851">
      <c r="E851" s="1"/>
    </row>
    <row r="852">
      <c r="E852" s="1"/>
    </row>
    <row r="853">
      <c r="E853" s="1"/>
    </row>
    <row r="854">
      <c r="E854" s="1"/>
    </row>
    <row r="855">
      <c r="E855" s="1"/>
    </row>
    <row r="856">
      <c r="E856" s="1"/>
    </row>
    <row r="857">
      <c r="E857" s="1"/>
    </row>
    <row r="858">
      <c r="E858" s="1"/>
    </row>
    <row r="859">
      <c r="E859" s="1"/>
    </row>
    <row r="860">
      <c r="E860" s="1"/>
    </row>
    <row r="861">
      <c r="E861" s="1"/>
    </row>
    <row r="862">
      <c r="E862" s="1"/>
    </row>
    <row r="863">
      <c r="E863" s="1"/>
    </row>
    <row r="864">
      <c r="E864" s="1"/>
    </row>
    <row r="865">
      <c r="E865" s="1"/>
    </row>
    <row r="866">
      <c r="E866" s="1"/>
    </row>
    <row r="867">
      <c r="E867" s="1"/>
    </row>
    <row r="868">
      <c r="E868" s="1"/>
    </row>
    <row r="869">
      <c r="E869" s="1"/>
    </row>
    <row r="870">
      <c r="E870" s="1"/>
    </row>
    <row r="871">
      <c r="E871" s="1"/>
    </row>
    <row r="872">
      <c r="E872" s="1"/>
    </row>
    <row r="873">
      <c r="E873" s="1"/>
    </row>
    <row r="874">
      <c r="E874" s="1"/>
    </row>
    <row r="875">
      <c r="E875" s="1"/>
    </row>
    <row r="876">
      <c r="E876" s="1"/>
    </row>
    <row r="877">
      <c r="E877" s="1"/>
    </row>
    <row r="878">
      <c r="E878" s="1"/>
    </row>
    <row r="879">
      <c r="E879" s="1"/>
    </row>
    <row r="880">
      <c r="E880" s="1"/>
    </row>
    <row r="881">
      <c r="E881" s="1"/>
    </row>
    <row r="882">
      <c r="E882" s="1"/>
    </row>
    <row r="883">
      <c r="E883" s="1"/>
    </row>
    <row r="884">
      <c r="E884" s="1"/>
    </row>
    <row r="885">
      <c r="E885" s="1"/>
    </row>
    <row r="886">
      <c r="E886" s="1"/>
    </row>
    <row r="887">
      <c r="E887" s="1"/>
    </row>
    <row r="888">
      <c r="E888" s="1"/>
    </row>
    <row r="889">
      <c r="E889" s="1"/>
    </row>
    <row r="890">
      <c r="E890" s="1"/>
    </row>
    <row r="891">
      <c r="E891" s="1"/>
    </row>
    <row r="892">
      <c r="E892" s="1"/>
    </row>
    <row r="893">
      <c r="E893" s="1"/>
    </row>
    <row r="894">
      <c r="E894" s="1"/>
    </row>
    <row r="895">
      <c r="E895" s="1"/>
    </row>
    <row r="896">
      <c r="E896" s="1"/>
    </row>
    <row r="897">
      <c r="E897" s="1"/>
    </row>
    <row r="898">
      <c r="E898" s="1"/>
    </row>
    <row r="899">
      <c r="E899" s="1"/>
    </row>
    <row r="900">
      <c r="E900" s="1"/>
    </row>
    <row r="901">
      <c r="E901" s="1"/>
    </row>
    <row r="902">
      <c r="E902" s="1"/>
    </row>
    <row r="903">
      <c r="E903" s="1"/>
    </row>
    <row r="904">
      <c r="E904" s="1"/>
    </row>
    <row r="905">
      <c r="E905" s="1"/>
    </row>
    <row r="906">
      <c r="E906" s="1"/>
    </row>
    <row r="907">
      <c r="E907" s="1"/>
    </row>
    <row r="908">
      <c r="E908" s="1"/>
    </row>
    <row r="909">
      <c r="E909" s="1"/>
    </row>
    <row r="910">
      <c r="E910" s="1"/>
    </row>
    <row r="911">
      <c r="E911" s="1"/>
    </row>
    <row r="912">
      <c r="E912" s="1"/>
    </row>
    <row r="913">
      <c r="E913" s="1"/>
    </row>
    <row r="914">
      <c r="E914" s="1"/>
    </row>
    <row r="915">
      <c r="E915" s="1"/>
    </row>
    <row r="916">
      <c r="E916" s="1"/>
    </row>
    <row r="917">
      <c r="E917" s="1"/>
    </row>
    <row r="918">
      <c r="E918" s="1"/>
    </row>
    <row r="919">
      <c r="E919" s="1"/>
    </row>
    <row r="920">
      <c r="E920" s="1"/>
    </row>
    <row r="921">
      <c r="E921" s="1"/>
    </row>
    <row r="922">
      <c r="E922" s="1"/>
    </row>
    <row r="923">
      <c r="E923" s="1"/>
    </row>
    <row r="924">
      <c r="E924" s="1"/>
    </row>
    <row r="925">
      <c r="E925" s="1"/>
    </row>
    <row r="926">
      <c r="E926" s="1"/>
    </row>
    <row r="927">
      <c r="E927" s="1"/>
    </row>
    <row r="928">
      <c r="E928" s="1"/>
    </row>
    <row r="929">
      <c r="E929" s="1"/>
    </row>
    <row r="930">
      <c r="E930" s="1"/>
    </row>
    <row r="931">
      <c r="E931" s="1"/>
    </row>
  </sheetData>
  <conditionalFormatting sqref="G7:G37">
    <cfRule type="expression" dxfId="5" priority="1">
      <formula>$G7&gt;=$O$9</formula>
    </cfRule>
  </conditionalFormatting>
  <conditionalFormatting sqref="N3">
    <cfRule type="expression" dxfId="5" priority="2">
      <formula>N3&gt;=O8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4" max="4" width="22.0"/>
    <col customWidth="1" min="5" max="5" width="15.0"/>
    <col customWidth="1" min="9" max="9" width="18.38"/>
    <col customWidth="1" min="11" max="11" width="18.5"/>
    <col customWidth="1" min="14" max="14" width="18.38"/>
    <col customWidth="1" min="15" max="15" width="15.88"/>
    <col customWidth="1" min="16" max="16" width="18.5"/>
    <col customWidth="1" min="17" max="17" width="17.0"/>
    <col customWidth="1" min="22" max="22" width="19.38"/>
  </cols>
  <sheetData>
    <row r="1">
      <c r="E1" s="1"/>
    </row>
    <row r="2">
      <c r="E2" s="1"/>
      <c r="K2" s="2" t="s">
        <v>0</v>
      </c>
      <c r="L2" s="3" t="s">
        <v>1</v>
      </c>
      <c r="M2" s="4" t="s">
        <v>2</v>
      </c>
      <c r="N2" s="4" t="s">
        <v>3</v>
      </c>
    </row>
    <row r="3">
      <c r="E3" s="1"/>
      <c r="K3" s="5" t="s">
        <v>4</v>
      </c>
      <c r="L3" s="6">
        <f t="shared" ref="L3:M3" si="1">sum(E7:E37)</f>
        <v>0</v>
      </c>
      <c r="M3" s="3">
        <f t="shared" si="1"/>
        <v>297.24</v>
      </c>
      <c r="N3" s="7">
        <f>M3*Sumario!N4</f>
        <v>260.8637688</v>
      </c>
      <c r="O3" s="7">
        <f>Sumario!N4</f>
        <v>0.87762</v>
      </c>
    </row>
    <row r="4">
      <c r="B4" s="8" t="s">
        <v>5</v>
      </c>
      <c r="C4" s="10"/>
      <c r="D4" s="10"/>
      <c r="E4" s="11"/>
      <c r="F4" s="10"/>
      <c r="G4" s="10"/>
      <c r="H4" s="10"/>
      <c r="I4" s="10"/>
      <c r="J4" s="10"/>
      <c r="K4" s="10"/>
      <c r="L4" s="10"/>
    </row>
    <row r="5">
      <c r="B5" s="8" t="s">
        <v>8</v>
      </c>
      <c r="C5" s="8" t="s">
        <v>9</v>
      </c>
      <c r="D5" s="8" t="s">
        <v>11</v>
      </c>
      <c r="E5" s="8" t="s">
        <v>12</v>
      </c>
      <c r="F5" s="8" t="s">
        <v>13</v>
      </c>
      <c r="G5" s="12" t="s">
        <v>14</v>
      </c>
      <c r="H5" s="12"/>
      <c r="I5" s="13"/>
      <c r="J5" s="14"/>
      <c r="K5" s="15"/>
      <c r="L5" s="10"/>
    </row>
    <row r="6">
      <c r="B6" s="10"/>
      <c r="C6" s="10"/>
      <c r="D6" s="10"/>
      <c r="E6" s="10"/>
      <c r="F6" s="16"/>
      <c r="G6" s="10"/>
      <c r="H6" s="15" t="s">
        <v>15</v>
      </c>
      <c r="I6" s="10"/>
      <c r="J6" s="10"/>
      <c r="K6" s="10"/>
      <c r="L6" s="10"/>
    </row>
    <row r="7">
      <c r="B7" s="10"/>
      <c r="C7" s="15" t="s">
        <v>16</v>
      </c>
      <c r="D7" s="16"/>
      <c r="E7" s="17"/>
      <c r="F7" s="19"/>
      <c r="G7" s="11">
        <f t="shared" ref="G7:G37" si="2">E7+(F7*$O$3)</f>
        <v>0</v>
      </c>
      <c r="H7" s="24">
        <f t="shared" ref="H7:H37" si="3">G7/$O$9</f>
        <v>0</v>
      </c>
      <c r="I7" s="25">
        <f t="shared" ref="I7:I37" si="4">315+G7</f>
        <v>315</v>
      </c>
      <c r="J7" s="10"/>
      <c r="K7" s="10"/>
      <c r="L7" s="10"/>
    </row>
    <row r="8">
      <c r="B8" s="10"/>
      <c r="C8" s="15" t="s">
        <v>20</v>
      </c>
      <c r="D8" s="16"/>
      <c r="E8" s="17"/>
      <c r="F8" s="19">
        <f>20.55+1.25</f>
        <v>21.8</v>
      </c>
      <c r="G8" s="11">
        <f t="shared" si="2"/>
        <v>19.132116</v>
      </c>
      <c r="H8" s="24">
        <f t="shared" si="3"/>
        <v>0.1607097744</v>
      </c>
      <c r="I8" s="25">
        <f t="shared" si="4"/>
        <v>334.132116</v>
      </c>
      <c r="J8" s="10"/>
      <c r="K8" s="10"/>
      <c r="L8" s="10"/>
      <c r="N8" s="31" t="s">
        <v>15</v>
      </c>
      <c r="O8" s="31">
        <v>2500.0</v>
      </c>
      <c r="P8" s="34">
        <f>O8-Sumario!K9</f>
        <v>2235.505988</v>
      </c>
    </row>
    <row r="9">
      <c r="B9" s="10"/>
      <c r="C9" s="15" t="s">
        <v>27</v>
      </c>
      <c r="D9" s="16"/>
      <c r="E9" s="17"/>
      <c r="F9" s="19">
        <f>7.44+1.37</f>
        <v>8.81</v>
      </c>
      <c r="G9" s="11">
        <f t="shared" si="2"/>
        <v>7.7318322</v>
      </c>
      <c r="H9" s="24">
        <f t="shared" si="3"/>
        <v>0.06494739048</v>
      </c>
      <c r="I9" s="25">
        <f t="shared" si="4"/>
        <v>322.7318322</v>
      </c>
      <c r="J9" s="10"/>
      <c r="K9" s="10"/>
      <c r="L9" s="15">
        <v>6930.0</v>
      </c>
      <c r="N9" s="31" t="s">
        <v>28</v>
      </c>
      <c r="O9" s="4">
        <f>O8/21</f>
        <v>119.047619</v>
      </c>
      <c r="P9" s="36">
        <f>P8/O8</f>
        <v>0.8942023951</v>
      </c>
    </row>
    <row r="10">
      <c r="B10" s="10"/>
      <c r="C10" s="15" t="s">
        <v>29</v>
      </c>
      <c r="D10" s="16"/>
      <c r="E10" s="17"/>
      <c r="F10" s="19">
        <f>5.96+5.23+6.43</f>
        <v>17.62</v>
      </c>
      <c r="G10" s="11">
        <f t="shared" si="2"/>
        <v>15.4636644</v>
      </c>
      <c r="H10" s="24">
        <f t="shared" si="3"/>
        <v>0.129894781</v>
      </c>
      <c r="I10" s="25">
        <f t="shared" si="4"/>
        <v>330.4636644</v>
      </c>
      <c r="J10" s="10"/>
      <c r="K10" s="10"/>
      <c r="L10" s="38">
        <f>L9+Sumario!K9</f>
        <v>7194.494012</v>
      </c>
    </row>
    <row r="11">
      <c r="B11" s="10"/>
      <c r="C11" s="15" t="s">
        <v>30</v>
      </c>
      <c r="D11" s="16"/>
      <c r="E11" s="17"/>
      <c r="F11" s="19">
        <f>7.5</f>
        <v>7.5</v>
      </c>
      <c r="G11" s="11">
        <f t="shared" si="2"/>
        <v>6.58215</v>
      </c>
      <c r="H11" s="24">
        <f t="shared" si="3"/>
        <v>0.05529006</v>
      </c>
      <c r="I11" s="25">
        <f t="shared" si="4"/>
        <v>321.58215</v>
      </c>
      <c r="J11" s="10"/>
      <c r="K11" s="10"/>
      <c r="L11" s="10"/>
    </row>
    <row r="12">
      <c r="B12" s="15"/>
      <c r="C12" s="15" t="s">
        <v>31</v>
      </c>
      <c r="D12" s="20"/>
      <c r="E12" s="40"/>
      <c r="F12" s="41">
        <f>21.87+18.23</f>
        <v>40.1</v>
      </c>
      <c r="G12" s="11">
        <f t="shared" si="2"/>
        <v>35.192562</v>
      </c>
      <c r="H12" s="24">
        <f t="shared" si="3"/>
        <v>0.2956175208</v>
      </c>
      <c r="I12" s="25">
        <f t="shared" si="4"/>
        <v>350.192562</v>
      </c>
      <c r="J12" s="15"/>
      <c r="K12" s="15"/>
      <c r="L12" s="10"/>
    </row>
    <row r="13">
      <c r="B13" s="15"/>
      <c r="C13" s="15" t="s">
        <v>32</v>
      </c>
      <c r="D13" s="20"/>
      <c r="E13" s="40"/>
      <c r="F13" s="19"/>
      <c r="G13" s="11">
        <f t="shared" si="2"/>
        <v>0</v>
      </c>
      <c r="H13" s="24">
        <f t="shared" si="3"/>
        <v>0</v>
      </c>
      <c r="I13" s="25">
        <f t="shared" si="4"/>
        <v>315</v>
      </c>
      <c r="J13" s="15"/>
      <c r="K13" s="15"/>
      <c r="L13" s="10"/>
    </row>
    <row r="14">
      <c r="B14" s="15"/>
      <c r="C14" s="15" t="s">
        <v>33</v>
      </c>
      <c r="D14" s="20"/>
      <c r="E14" s="40"/>
      <c r="F14" s="41"/>
      <c r="G14" s="11">
        <f t="shared" si="2"/>
        <v>0</v>
      </c>
      <c r="H14" s="24">
        <f t="shared" si="3"/>
        <v>0</v>
      </c>
      <c r="I14" s="25">
        <f t="shared" si="4"/>
        <v>315</v>
      </c>
      <c r="J14" s="15"/>
      <c r="K14" s="15"/>
      <c r="L14" s="10"/>
    </row>
    <row r="15">
      <c r="B15" s="15"/>
      <c r="C15" s="15" t="s">
        <v>34</v>
      </c>
      <c r="D15" s="20"/>
      <c r="E15" s="40"/>
      <c r="F15" s="19"/>
      <c r="G15" s="11">
        <f t="shared" si="2"/>
        <v>0</v>
      </c>
      <c r="H15" s="24">
        <f t="shared" si="3"/>
        <v>0</v>
      </c>
      <c r="I15" s="25">
        <f t="shared" si="4"/>
        <v>315</v>
      </c>
      <c r="J15" s="15"/>
      <c r="K15" s="15"/>
      <c r="L15" s="10"/>
    </row>
    <row r="16">
      <c r="B16" s="15"/>
      <c r="C16" s="15" t="s">
        <v>36</v>
      </c>
      <c r="D16" s="20"/>
      <c r="E16" s="40"/>
      <c r="F16" s="41">
        <f>25.88+19.05+4.77+13.03</f>
        <v>62.73</v>
      </c>
      <c r="G16" s="11">
        <f t="shared" si="2"/>
        <v>55.0531026</v>
      </c>
      <c r="H16" s="24">
        <f t="shared" si="3"/>
        <v>0.4624460618</v>
      </c>
      <c r="I16" s="25">
        <f t="shared" si="4"/>
        <v>370.0531026</v>
      </c>
      <c r="J16" s="15"/>
      <c r="K16" s="15"/>
      <c r="L16" s="10"/>
    </row>
    <row r="17">
      <c r="B17" s="15"/>
      <c r="C17" s="15" t="s">
        <v>37</v>
      </c>
      <c r="D17" s="20"/>
      <c r="E17" s="40"/>
      <c r="F17" s="19"/>
      <c r="G17" s="11">
        <f t="shared" si="2"/>
        <v>0</v>
      </c>
      <c r="H17" s="24">
        <f t="shared" si="3"/>
        <v>0</v>
      </c>
      <c r="I17" s="25">
        <f t="shared" si="4"/>
        <v>315</v>
      </c>
      <c r="J17" s="15"/>
      <c r="K17" s="15"/>
      <c r="L17" s="10"/>
    </row>
    <row r="18">
      <c r="B18" s="15"/>
      <c r="C18" s="15" t="s">
        <v>38</v>
      </c>
      <c r="D18" s="20"/>
      <c r="E18" s="40"/>
      <c r="F18" s="41"/>
      <c r="G18" s="11">
        <f t="shared" si="2"/>
        <v>0</v>
      </c>
      <c r="H18" s="24">
        <f t="shared" si="3"/>
        <v>0</v>
      </c>
      <c r="I18" s="25">
        <f t="shared" si="4"/>
        <v>315</v>
      </c>
      <c r="J18" s="15"/>
      <c r="K18" s="15"/>
      <c r="L18" s="10"/>
    </row>
    <row r="19">
      <c r="B19" s="15"/>
      <c r="C19" s="15" t="s">
        <v>39</v>
      </c>
      <c r="D19" s="20"/>
      <c r="E19" s="40"/>
      <c r="F19" s="19">
        <f>9.1+0.97+9.12+0.96+4.42+5.04</f>
        <v>29.61</v>
      </c>
      <c r="G19" s="11">
        <f t="shared" si="2"/>
        <v>25.9863282</v>
      </c>
      <c r="H19" s="24">
        <f t="shared" si="3"/>
        <v>0.2182851569</v>
      </c>
      <c r="I19" s="25">
        <f t="shared" si="4"/>
        <v>340.9863282</v>
      </c>
      <c r="J19" s="15"/>
      <c r="K19" s="15"/>
      <c r="L19" s="10"/>
    </row>
    <row r="20">
      <c r="B20" s="15"/>
      <c r="C20" s="15" t="s">
        <v>40</v>
      </c>
      <c r="D20" s="20"/>
      <c r="E20" s="40"/>
      <c r="F20" s="41"/>
      <c r="G20" s="11">
        <f t="shared" si="2"/>
        <v>0</v>
      </c>
      <c r="H20" s="24">
        <f t="shared" si="3"/>
        <v>0</v>
      </c>
      <c r="I20" s="25">
        <f t="shared" si="4"/>
        <v>315</v>
      </c>
      <c r="J20" s="15"/>
      <c r="K20" s="15"/>
      <c r="L20" s="10"/>
    </row>
    <row r="21">
      <c r="B21" s="15"/>
      <c r="C21" s="15" t="s">
        <v>41</v>
      </c>
      <c r="D21" s="20"/>
      <c r="E21" s="40"/>
      <c r="F21" s="19"/>
      <c r="G21" s="11">
        <f t="shared" si="2"/>
        <v>0</v>
      </c>
      <c r="H21" s="24">
        <f t="shared" si="3"/>
        <v>0</v>
      </c>
      <c r="I21" s="25">
        <f t="shared" si="4"/>
        <v>315</v>
      </c>
      <c r="J21" s="15"/>
      <c r="K21" s="15"/>
      <c r="L21" s="10"/>
    </row>
    <row r="22">
      <c r="B22" s="15"/>
      <c r="C22" s="15" t="s">
        <v>42</v>
      </c>
      <c r="D22" s="20"/>
      <c r="E22" s="40"/>
      <c r="F22" s="41">
        <f>3.11</f>
        <v>3.11</v>
      </c>
      <c r="G22" s="11">
        <f t="shared" si="2"/>
        <v>2.7293982</v>
      </c>
      <c r="H22" s="24">
        <f t="shared" si="3"/>
        <v>0.02292694488</v>
      </c>
      <c r="I22" s="25">
        <f t="shared" si="4"/>
        <v>317.7293982</v>
      </c>
      <c r="J22" s="15"/>
      <c r="K22" s="15"/>
      <c r="L22" s="10"/>
    </row>
    <row r="23">
      <c r="C23" s="15" t="s">
        <v>44</v>
      </c>
      <c r="E23" s="17"/>
      <c r="F23" s="46">
        <f>7.49+2.49</f>
        <v>9.98</v>
      </c>
      <c r="G23" s="11">
        <f t="shared" si="2"/>
        <v>8.7586476</v>
      </c>
      <c r="H23" s="24">
        <f t="shared" si="3"/>
        <v>0.07357263984</v>
      </c>
      <c r="I23" s="25">
        <f t="shared" si="4"/>
        <v>323.7586476</v>
      </c>
      <c r="J23" s="45"/>
      <c r="K23" s="45"/>
      <c r="L23" s="45"/>
      <c r="M23" s="45"/>
      <c r="N23" s="45"/>
      <c r="O23" s="45"/>
      <c r="P23" s="45"/>
      <c r="Q23" s="45"/>
    </row>
    <row r="24">
      <c r="C24" s="15" t="s">
        <v>45</v>
      </c>
      <c r="E24" s="40"/>
      <c r="F24" s="46">
        <f>4.66+2.22</f>
        <v>6.88</v>
      </c>
      <c r="G24" s="11">
        <f t="shared" si="2"/>
        <v>6.0380256</v>
      </c>
      <c r="H24" s="24">
        <f t="shared" si="3"/>
        <v>0.05071941504</v>
      </c>
      <c r="I24" s="25">
        <f t="shared" si="4"/>
        <v>321.0380256</v>
      </c>
      <c r="J24" s="45"/>
      <c r="K24" s="45"/>
      <c r="L24" s="45"/>
      <c r="M24" s="45"/>
      <c r="N24" s="45"/>
      <c r="O24" s="45"/>
      <c r="P24" s="45"/>
      <c r="Q24" s="45"/>
    </row>
    <row r="25">
      <c r="C25" s="15" t="s">
        <v>46</v>
      </c>
      <c r="E25" s="40"/>
      <c r="F25" s="46"/>
      <c r="G25" s="11">
        <f t="shared" si="2"/>
        <v>0</v>
      </c>
      <c r="H25" s="24">
        <f t="shared" si="3"/>
        <v>0</v>
      </c>
      <c r="I25" s="25">
        <f t="shared" si="4"/>
        <v>315</v>
      </c>
      <c r="J25" s="45"/>
      <c r="K25" s="45"/>
      <c r="L25" s="45"/>
      <c r="M25" s="45"/>
      <c r="N25" s="45"/>
      <c r="O25" s="45"/>
      <c r="P25" s="45"/>
      <c r="Q25" s="45"/>
    </row>
    <row r="26">
      <c r="C26" s="15" t="s">
        <v>47</v>
      </c>
      <c r="E26" s="40"/>
      <c r="F26" s="46"/>
      <c r="G26" s="11">
        <f t="shared" si="2"/>
        <v>0</v>
      </c>
      <c r="H26" s="24">
        <f t="shared" si="3"/>
        <v>0</v>
      </c>
      <c r="I26" s="25">
        <f t="shared" si="4"/>
        <v>315</v>
      </c>
      <c r="J26" s="45"/>
      <c r="K26" s="45"/>
      <c r="L26" s="45"/>
      <c r="M26" s="45"/>
      <c r="N26" s="45"/>
      <c r="O26" s="45"/>
      <c r="P26" s="45"/>
      <c r="Q26" s="45"/>
    </row>
    <row r="27">
      <c r="C27" s="15" t="s">
        <v>48</v>
      </c>
      <c r="E27" s="40"/>
      <c r="F27" s="46"/>
      <c r="G27" s="11">
        <f t="shared" si="2"/>
        <v>0</v>
      </c>
      <c r="H27" s="24">
        <f t="shared" si="3"/>
        <v>0</v>
      </c>
      <c r="I27" s="25">
        <f t="shared" si="4"/>
        <v>315</v>
      </c>
      <c r="J27" s="45"/>
      <c r="K27" s="45"/>
      <c r="L27" s="45"/>
      <c r="M27" s="45"/>
      <c r="N27" s="45"/>
      <c r="O27" s="45"/>
      <c r="P27" s="45"/>
      <c r="Q27" s="45"/>
    </row>
    <row r="28">
      <c r="C28" s="15" t="s">
        <v>49</v>
      </c>
      <c r="E28" s="17"/>
      <c r="F28" s="44"/>
      <c r="G28" s="11">
        <f t="shared" si="2"/>
        <v>0</v>
      </c>
      <c r="H28" s="24">
        <f t="shared" si="3"/>
        <v>0</v>
      </c>
      <c r="I28" s="25">
        <f t="shared" si="4"/>
        <v>315</v>
      </c>
      <c r="J28" s="45"/>
      <c r="K28" s="45"/>
      <c r="L28" s="45"/>
      <c r="M28" s="45"/>
      <c r="N28" s="45"/>
      <c r="O28" s="45"/>
      <c r="P28" s="45"/>
      <c r="Q28" s="45"/>
    </row>
    <row r="29">
      <c r="C29" s="15" t="s">
        <v>51</v>
      </c>
      <c r="E29" s="17"/>
      <c r="F29" s="46"/>
      <c r="G29" s="11">
        <f t="shared" si="2"/>
        <v>0</v>
      </c>
      <c r="H29" s="24">
        <f t="shared" si="3"/>
        <v>0</v>
      </c>
      <c r="I29" s="25">
        <f t="shared" si="4"/>
        <v>315</v>
      </c>
      <c r="J29" s="45"/>
      <c r="K29" s="45"/>
      <c r="L29" s="45"/>
      <c r="M29" s="45"/>
      <c r="N29" s="45"/>
      <c r="O29" s="45"/>
      <c r="P29" s="45"/>
      <c r="Q29" s="45"/>
    </row>
    <row r="30">
      <c r="C30" s="15" t="s">
        <v>52</v>
      </c>
      <c r="E30" s="40"/>
      <c r="F30" s="46">
        <f>35.7</f>
        <v>35.7</v>
      </c>
      <c r="G30" s="11">
        <f t="shared" si="2"/>
        <v>31.331034</v>
      </c>
      <c r="H30" s="24">
        <f t="shared" si="3"/>
        <v>0.2631806856</v>
      </c>
      <c r="I30" s="25">
        <f t="shared" si="4"/>
        <v>346.331034</v>
      </c>
      <c r="J30" s="45"/>
      <c r="K30" s="45"/>
      <c r="L30" s="45"/>
      <c r="M30" s="45"/>
      <c r="N30" s="45"/>
      <c r="O30" s="45"/>
      <c r="P30" s="45"/>
      <c r="Q30" s="45"/>
    </row>
    <row r="31">
      <c r="C31" s="15" t="s">
        <v>53</v>
      </c>
      <c r="E31" s="40"/>
      <c r="F31" s="46"/>
      <c r="G31" s="11">
        <f t="shared" si="2"/>
        <v>0</v>
      </c>
      <c r="H31" s="24">
        <f t="shared" si="3"/>
        <v>0</v>
      </c>
      <c r="I31" s="25">
        <f t="shared" si="4"/>
        <v>315</v>
      </c>
      <c r="J31" s="45"/>
      <c r="K31" s="45"/>
      <c r="L31" s="45"/>
      <c r="M31" s="45"/>
      <c r="N31" s="45"/>
      <c r="O31" s="45"/>
      <c r="P31" s="45"/>
      <c r="Q31" s="45"/>
    </row>
    <row r="32">
      <c r="C32" s="15" t="s">
        <v>54</v>
      </c>
      <c r="E32" s="40"/>
      <c r="F32" s="46"/>
      <c r="G32" s="11">
        <f t="shared" si="2"/>
        <v>0</v>
      </c>
      <c r="H32" s="24">
        <f t="shared" si="3"/>
        <v>0</v>
      </c>
      <c r="I32" s="25">
        <f t="shared" si="4"/>
        <v>315</v>
      </c>
      <c r="J32" s="45"/>
      <c r="K32" s="45"/>
      <c r="L32" s="45"/>
      <c r="M32" s="45"/>
      <c r="N32" s="45"/>
      <c r="O32" s="45"/>
      <c r="P32" s="45"/>
      <c r="Q32" s="45"/>
    </row>
    <row r="33">
      <c r="C33" s="15" t="s">
        <v>55</v>
      </c>
      <c r="E33" s="40"/>
      <c r="F33" s="46"/>
      <c r="G33" s="11">
        <f t="shared" si="2"/>
        <v>0</v>
      </c>
      <c r="H33" s="24">
        <f t="shared" si="3"/>
        <v>0</v>
      </c>
      <c r="I33" s="25">
        <f t="shared" si="4"/>
        <v>315</v>
      </c>
    </row>
    <row r="34">
      <c r="C34" s="15" t="s">
        <v>56</v>
      </c>
      <c r="E34" s="40"/>
      <c r="F34" s="46"/>
      <c r="G34" s="11">
        <f t="shared" si="2"/>
        <v>0</v>
      </c>
      <c r="H34" s="24">
        <f t="shared" si="3"/>
        <v>0</v>
      </c>
      <c r="I34" s="25">
        <f t="shared" si="4"/>
        <v>315</v>
      </c>
    </row>
    <row r="35">
      <c r="C35" s="15" t="s">
        <v>57</v>
      </c>
      <c r="E35" s="40"/>
      <c r="F35" s="46"/>
      <c r="G35" s="11">
        <f t="shared" si="2"/>
        <v>0</v>
      </c>
      <c r="H35" s="24">
        <f t="shared" si="3"/>
        <v>0</v>
      </c>
      <c r="I35" s="25">
        <f t="shared" si="4"/>
        <v>315</v>
      </c>
    </row>
    <row r="36">
      <c r="C36" s="15" t="s">
        <v>58</v>
      </c>
      <c r="E36" s="40"/>
      <c r="F36" s="46"/>
      <c r="G36" s="11">
        <f t="shared" si="2"/>
        <v>0</v>
      </c>
      <c r="H36" s="24">
        <f t="shared" si="3"/>
        <v>0</v>
      </c>
      <c r="I36" s="25">
        <f t="shared" si="4"/>
        <v>315</v>
      </c>
    </row>
    <row r="37">
      <c r="C37" s="15" t="s">
        <v>59</v>
      </c>
      <c r="E37" s="17"/>
      <c r="F37" s="44">
        <f>38.55+8.11+6.74</f>
        <v>53.4</v>
      </c>
      <c r="G37" s="11">
        <f t="shared" si="2"/>
        <v>46.864908</v>
      </c>
      <c r="H37" s="24">
        <f t="shared" si="3"/>
        <v>0.3936652272</v>
      </c>
      <c r="I37" s="25">
        <f t="shared" si="4"/>
        <v>361.864908</v>
      </c>
    </row>
    <row r="38">
      <c r="E38" s="1"/>
    </row>
    <row r="39">
      <c r="E39" s="1"/>
    </row>
    <row r="40">
      <c r="E40" s="1"/>
    </row>
    <row r="41">
      <c r="B41" s="48"/>
      <c r="C41" s="49"/>
      <c r="E41" s="1"/>
    </row>
    <row r="42">
      <c r="E42" s="1"/>
    </row>
    <row r="43">
      <c r="E43" s="1"/>
    </row>
    <row r="44">
      <c r="E44" s="1"/>
    </row>
    <row r="45">
      <c r="E45" s="1"/>
    </row>
    <row r="46">
      <c r="E46" s="1"/>
    </row>
    <row r="47">
      <c r="E47" s="1"/>
    </row>
    <row r="48">
      <c r="E48" s="1"/>
    </row>
    <row r="49">
      <c r="E49" s="1"/>
    </row>
    <row r="50">
      <c r="E50" s="1"/>
    </row>
    <row r="51">
      <c r="E51" s="1"/>
    </row>
    <row r="52">
      <c r="E52" s="1"/>
    </row>
    <row r="53">
      <c r="E53" s="1"/>
    </row>
    <row r="54">
      <c r="E54" s="1"/>
    </row>
    <row r="55">
      <c r="E55" s="1"/>
    </row>
    <row r="56">
      <c r="E56" s="1"/>
    </row>
    <row r="57">
      <c r="E57" s="1"/>
    </row>
    <row r="58">
      <c r="E58" s="1"/>
    </row>
    <row r="59">
      <c r="E59" s="1"/>
    </row>
    <row r="60">
      <c r="E60" s="1"/>
    </row>
    <row r="61">
      <c r="E61" s="1"/>
    </row>
    <row r="62">
      <c r="E62" s="1"/>
    </row>
    <row r="63">
      <c r="E63" s="1"/>
    </row>
    <row r="64">
      <c r="E64" s="1"/>
    </row>
    <row r="65">
      <c r="E65" s="1"/>
    </row>
    <row r="66">
      <c r="E66" s="1"/>
    </row>
    <row r="67">
      <c r="E67" s="1"/>
    </row>
    <row r="68">
      <c r="E68" s="1"/>
    </row>
    <row r="69">
      <c r="E69" s="1"/>
    </row>
    <row r="70">
      <c r="E70" s="1"/>
    </row>
    <row r="71">
      <c r="E71" s="1"/>
    </row>
    <row r="72">
      <c r="E72" s="1"/>
    </row>
    <row r="73">
      <c r="E73" s="1"/>
    </row>
    <row r="74">
      <c r="E74" s="1"/>
    </row>
    <row r="75">
      <c r="E75" s="1"/>
    </row>
    <row r="76">
      <c r="E76" s="1"/>
    </row>
    <row r="77">
      <c r="E77" s="1"/>
    </row>
    <row r="78">
      <c r="E78" s="1"/>
    </row>
    <row r="79">
      <c r="E79" s="1"/>
    </row>
    <row r="80">
      <c r="E80" s="1"/>
    </row>
    <row r="81">
      <c r="E81" s="1"/>
    </row>
    <row r="82">
      <c r="E82" s="1"/>
    </row>
    <row r="83">
      <c r="E83" s="1"/>
    </row>
    <row r="84">
      <c r="E84" s="1"/>
    </row>
    <row r="85">
      <c r="E85" s="1"/>
    </row>
    <row r="86">
      <c r="E86" s="1"/>
    </row>
    <row r="87">
      <c r="E87" s="1"/>
    </row>
    <row r="88">
      <c r="E88" s="1"/>
    </row>
    <row r="89">
      <c r="E89" s="1"/>
    </row>
    <row r="90">
      <c r="E90" s="1"/>
    </row>
    <row r="91">
      <c r="E91" s="1"/>
    </row>
    <row r="92">
      <c r="E92" s="1"/>
    </row>
    <row r="93">
      <c r="E93" s="1"/>
    </row>
    <row r="94">
      <c r="E94" s="1"/>
    </row>
    <row r="95">
      <c r="E95" s="1"/>
    </row>
    <row r="96">
      <c r="E96" s="1"/>
    </row>
    <row r="97">
      <c r="E97" s="1"/>
    </row>
    <row r="98">
      <c r="E98" s="1"/>
    </row>
    <row r="99">
      <c r="E99" s="1"/>
    </row>
    <row r="100">
      <c r="E100" s="1"/>
    </row>
    <row r="101">
      <c r="E101" s="1"/>
    </row>
    <row r="102">
      <c r="E102" s="1"/>
    </row>
    <row r="103">
      <c r="E103" s="1"/>
    </row>
    <row r="104">
      <c r="E104" s="1"/>
    </row>
    <row r="105">
      <c r="E105" s="1"/>
    </row>
    <row r="106">
      <c r="E106" s="1"/>
    </row>
    <row r="107">
      <c r="E107" s="1"/>
    </row>
    <row r="108">
      <c r="E108" s="1"/>
    </row>
    <row r="109">
      <c r="E109" s="1"/>
    </row>
    <row r="110">
      <c r="E110" s="1"/>
    </row>
    <row r="111">
      <c r="E111" s="1"/>
    </row>
    <row r="112">
      <c r="E112" s="1"/>
    </row>
    <row r="113">
      <c r="E113" s="1"/>
    </row>
    <row r="114">
      <c r="E114" s="1"/>
    </row>
    <row r="115">
      <c r="E115" s="1"/>
    </row>
    <row r="116">
      <c r="E116" s="1"/>
    </row>
    <row r="117">
      <c r="E117" s="1"/>
    </row>
    <row r="118">
      <c r="E118" s="1"/>
    </row>
    <row r="119">
      <c r="E119" s="1"/>
    </row>
    <row r="120">
      <c r="E120" s="1"/>
    </row>
    <row r="121">
      <c r="E121" s="1"/>
    </row>
    <row r="122">
      <c r="E122" s="1"/>
    </row>
    <row r="123">
      <c r="E123" s="1"/>
    </row>
    <row r="124">
      <c r="E124" s="1"/>
    </row>
    <row r="125">
      <c r="E125" s="1"/>
    </row>
    <row r="126">
      <c r="E126" s="1"/>
    </row>
    <row r="127">
      <c r="E127" s="1"/>
    </row>
    <row r="128">
      <c r="E128" s="1"/>
    </row>
    <row r="129">
      <c r="E129" s="1"/>
    </row>
    <row r="130">
      <c r="E130" s="1"/>
    </row>
    <row r="131">
      <c r="E131" s="1"/>
    </row>
    <row r="132">
      <c r="E132" s="1"/>
    </row>
    <row r="133">
      <c r="E133" s="1"/>
    </row>
    <row r="134">
      <c r="E134" s="1"/>
    </row>
    <row r="135">
      <c r="E135" s="1"/>
    </row>
    <row r="136">
      <c r="E136" s="1"/>
    </row>
    <row r="137">
      <c r="E137" s="1"/>
    </row>
    <row r="138">
      <c r="E138" s="1"/>
    </row>
    <row r="139">
      <c r="E139" s="1"/>
    </row>
    <row r="140">
      <c r="E140" s="1"/>
    </row>
    <row r="141">
      <c r="E141" s="1"/>
    </row>
    <row r="142">
      <c r="E142" s="1"/>
    </row>
    <row r="143">
      <c r="E143" s="1"/>
    </row>
    <row r="144">
      <c r="E144" s="1"/>
    </row>
    <row r="145">
      <c r="E145" s="1"/>
    </row>
    <row r="146">
      <c r="E146" s="1"/>
    </row>
    <row r="147">
      <c r="E147" s="1"/>
    </row>
    <row r="148">
      <c r="E148" s="1"/>
    </row>
    <row r="149">
      <c r="E149" s="1"/>
    </row>
    <row r="150">
      <c r="E150" s="1"/>
    </row>
    <row r="151">
      <c r="E151" s="1"/>
    </row>
    <row r="152">
      <c r="E152" s="1"/>
    </row>
    <row r="153">
      <c r="E153" s="1"/>
    </row>
    <row r="154">
      <c r="E154" s="1"/>
    </row>
    <row r="155">
      <c r="E155" s="1"/>
    </row>
    <row r="156">
      <c r="E156" s="1"/>
    </row>
    <row r="157">
      <c r="E157" s="1"/>
    </row>
    <row r="158">
      <c r="E158" s="1"/>
    </row>
    <row r="159">
      <c r="E159" s="1"/>
    </row>
    <row r="160">
      <c r="E160" s="1"/>
    </row>
    <row r="161">
      <c r="E161" s="1"/>
    </row>
    <row r="162">
      <c r="E162" s="1"/>
    </row>
    <row r="163">
      <c r="E163" s="1"/>
    </row>
    <row r="164">
      <c r="E164" s="1"/>
    </row>
    <row r="165">
      <c r="E165" s="1"/>
    </row>
    <row r="166">
      <c r="E166" s="1"/>
    </row>
    <row r="167">
      <c r="E167" s="1"/>
    </row>
    <row r="168">
      <c r="E168" s="1"/>
    </row>
    <row r="169">
      <c r="E169" s="1"/>
    </row>
    <row r="170">
      <c r="E170" s="1"/>
    </row>
    <row r="171">
      <c r="E171" s="1"/>
    </row>
    <row r="172">
      <c r="E172" s="1"/>
    </row>
    <row r="173">
      <c r="E173" s="1"/>
    </row>
    <row r="174">
      <c r="E174" s="1"/>
    </row>
    <row r="175">
      <c r="E175" s="1"/>
    </row>
    <row r="176">
      <c r="E176" s="1"/>
    </row>
    <row r="177">
      <c r="E177" s="1"/>
    </row>
    <row r="178">
      <c r="E178" s="1"/>
    </row>
    <row r="179">
      <c r="E179" s="1"/>
    </row>
    <row r="180">
      <c r="E180" s="1"/>
    </row>
    <row r="181">
      <c r="E181" s="1"/>
    </row>
    <row r="182">
      <c r="E182" s="1"/>
    </row>
    <row r="183">
      <c r="E183" s="1"/>
    </row>
    <row r="184">
      <c r="E184" s="1"/>
    </row>
    <row r="185">
      <c r="E185" s="1"/>
    </row>
    <row r="186">
      <c r="E186" s="1"/>
    </row>
    <row r="187">
      <c r="E187" s="1"/>
    </row>
    <row r="188">
      <c r="E188" s="1"/>
    </row>
    <row r="189">
      <c r="E189" s="1"/>
    </row>
    <row r="190">
      <c r="E190" s="1"/>
    </row>
    <row r="191">
      <c r="E191" s="1"/>
    </row>
    <row r="192">
      <c r="E192" s="1"/>
    </row>
    <row r="193">
      <c r="E193" s="1"/>
    </row>
    <row r="194">
      <c r="E194" s="1"/>
    </row>
    <row r="195">
      <c r="E195" s="1"/>
    </row>
    <row r="196">
      <c r="E196" s="1"/>
    </row>
    <row r="197">
      <c r="E197" s="1"/>
    </row>
    <row r="198">
      <c r="E198" s="1"/>
    </row>
    <row r="199">
      <c r="E199" s="1"/>
    </row>
    <row r="200">
      <c r="E200" s="1"/>
    </row>
    <row r="201">
      <c r="E201" s="1"/>
    </row>
    <row r="202">
      <c r="E202" s="1"/>
    </row>
    <row r="203">
      <c r="E203" s="1"/>
    </row>
    <row r="204">
      <c r="E204" s="1"/>
    </row>
    <row r="205">
      <c r="E205" s="1"/>
    </row>
    <row r="206">
      <c r="E206" s="1"/>
    </row>
    <row r="207">
      <c r="E207" s="1"/>
    </row>
    <row r="208">
      <c r="E208" s="1"/>
    </row>
    <row r="209">
      <c r="E209" s="1"/>
    </row>
    <row r="210">
      <c r="E210" s="1"/>
    </row>
    <row r="211">
      <c r="E211" s="1"/>
    </row>
    <row r="212">
      <c r="E212" s="1"/>
    </row>
    <row r="213">
      <c r="E213" s="1"/>
    </row>
    <row r="214">
      <c r="E214" s="1"/>
    </row>
    <row r="215">
      <c r="E215" s="1"/>
    </row>
    <row r="216">
      <c r="E216" s="1"/>
    </row>
    <row r="217">
      <c r="E217" s="1"/>
    </row>
    <row r="218">
      <c r="E218" s="1"/>
    </row>
    <row r="219">
      <c r="E219" s="1"/>
    </row>
    <row r="220">
      <c r="E220" s="1"/>
    </row>
    <row r="221">
      <c r="E221" s="1"/>
    </row>
    <row r="222">
      <c r="E222" s="1"/>
    </row>
    <row r="223">
      <c r="E223" s="1"/>
    </row>
    <row r="224">
      <c r="E224" s="1"/>
    </row>
    <row r="225">
      <c r="E225" s="1"/>
    </row>
    <row r="226">
      <c r="E226" s="1"/>
    </row>
    <row r="227">
      <c r="E227" s="1"/>
    </row>
    <row r="228">
      <c r="E228" s="1"/>
    </row>
    <row r="229">
      <c r="E229" s="1"/>
    </row>
    <row r="230">
      <c r="E230" s="1"/>
    </row>
    <row r="231">
      <c r="E231" s="1"/>
    </row>
    <row r="232">
      <c r="E232" s="1"/>
    </row>
    <row r="233">
      <c r="E233" s="1"/>
    </row>
    <row r="234">
      <c r="E234" s="1"/>
    </row>
    <row r="235">
      <c r="E235" s="1"/>
    </row>
    <row r="236">
      <c r="E236" s="1"/>
    </row>
    <row r="237">
      <c r="E237" s="1"/>
    </row>
    <row r="238">
      <c r="E238" s="1"/>
    </row>
    <row r="239">
      <c r="E239" s="1"/>
    </row>
    <row r="240">
      <c r="E240" s="1"/>
    </row>
    <row r="241">
      <c r="E241" s="1"/>
    </row>
    <row r="242">
      <c r="E242" s="1"/>
    </row>
    <row r="243">
      <c r="E243" s="1"/>
    </row>
    <row r="244">
      <c r="E244" s="1"/>
    </row>
    <row r="245">
      <c r="E245" s="1"/>
    </row>
    <row r="246">
      <c r="E246" s="1"/>
    </row>
    <row r="247">
      <c r="E247" s="1"/>
    </row>
    <row r="248">
      <c r="E248" s="1"/>
    </row>
    <row r="249">
      <c r="E249" s="1"/>
    </row>
    <row r="250">
      <c r="E250" s="1"/>
    </row>
    <row r="251">
      <c r="E251" s="1"/>
    </row>
    <row r="252">
      <c r="E252" s="1"/>
    </row>
    <row r="253">
      <c r="E253" s="1"/>
    </row>
    <row r="254">
      <c r="E254" s="1"/>
    </row>
    <row r="255">
      <c r="E255" s="1"/>
    </row>
    <row r="256">
      <c r="E256" s="1"/>
    </row>
    <row r="257">
      <c r="E257" s="1"/>
    </row>
    <row r="258">
      <c r="E258" s="1"/>
    </row>
    <row r="259">
      <c r="E259" s="1"/>
    </row>
    <row r="260">
      <c r="E260" s="1"/>
    </row>
    <row r="261">
      <c r="E261" s="1"/>
    </row>
    <row r="262">
      <c r="E262" s="1"/>
    </row>
    <row r="263">
      <c r="E263" s="1"/>
    </row>
    <row r="264">
      <c r="E264" s="1"/>
    </row>
    <row r="265">
      <c r="E265" s="1"/>
    </row>
    <row r="266">
      <c r="E266" s="1"/>
    </row>
    <row r="267">
      <c r="E267" s="1"/>
    </row>
    <row r="268">
      <c r="E268" s="1"/>
    </row>
    <row r="269">
      <c r="E269" s="1"/>
    </row>
    <row r="270">
      <c r="E270" s="1"/>
    </row>
    <row r="271">
      <c r="E271" s="1"/>
    </row>
    <row r="272">
      <c r="E272" s="1"/>
    </row>
    <row r="273">
      <c r="E273" s="1"/>
    </row>
    <row r="274">
      <c r="E274" s="1"/>
    </row>
    <row r="275">
      <c r="E275" s="1"/>
    </row>
    <row r="276">
      <c r="E276" s="1"/>
    </row>
    <row r="277">
      <c r="E277" s="1"/>
    </row>
    <row r="278">
      <c r="E278" s="1"/>
    </row>
    <row r="279">
      <c r="E279" s="1"/>
    </row>
    <row r="280">
      <c r="E280" s="1"/>
    </row>
    <row r="281">
      <c r="E281" s="1"/>
    </row>
    <row r="282">
      <c r="E282" s="1"/>
    </row>
    <row r="283">
      <c r="E283" s="1"/>
    </row>
    <row r="284">
      <c r="E284" s="1"/>
    </row>
    <row r="285">
      <c r="E285" s="1"/>
    </row>
    <row r="286">
      <c r="E286" s="1"/>
    </row>
    <row r="287">
      <c r="E287" s="1"/>
    </row>
    <row r="288">
      <c r="E288" s="1"/>
    </row>
    <row r="289">
      <c r="E289" s="1"/>
    </row>
    <row r="290">
      <c r="E290" s="1"/>
    </row>
    <row r="291">
      <c r="E291" s="1"/>
    </row>
    <row r="292">
      <c r="E292" s="1"/>
    </row>
    <row r="293">
      <c r="E293" s="1"/>
    </row>
    <row r="294">
      <c r="E294" s="1"/>
    </row>
    <row r="295">
      <c r="E295" s="1"/>
    </row>
    <row r="296">
      <c r="E296" s="1"/>
    </row>
    <row r="297">
      <c r="E297" s="1"/>
    </row>
    <row r="298">
      <c r="E298" s="1"/>
    </row>
    <row r="299">
      <c r="E299" s="1"/>
    </row>
    <row r="300">
      <c r="E300" s="1"/>
    </row>
    <row r="301">
      <c r="E301" s="1"/>
    </row>
    <row r="302">
      <c r="E302" s="1"/>
    </row>
    <row r="303">
      <c r="E303" s="1"/>
    </row>
    <row r="304">
      <c r="E304" s="1"/>
    </row>
    <row r="305">
      <c r="E305" s="1"/>
    </row>
    <row r="306">
      <c r="E306" s="1"/>
    </row>
    <row r="307">
      <c r="E307" s="1"/>
    </row>
    <row r="308">
      <c r="E308" s="1"/>
    </row>
    <row r="309">
      <c r="E309" s="1"/>
    </row>
    <row r="310">
      <c r="E310" s="1"/>
    </row>
    <row r="311">
      <c r="E311" s="1"/>
    </row>
    <row r="312">
      <c r="E312" s="1"/>
    </row>
    <row r="313">
      <c r="E313" s="1"/>
    </row>
    <row r="314">
      <c r="E314" s="1"/>
    </row>
    <row r="315">
      <c r="E315" s="1"/>
    </row>
    <row r="316">
      <c r="E316" s="1"/>
    </row>
    <row r="317">
      <c r="E317" s="1"/>
    </row>
    <row r="318">
      <c r="E318" s="1"/>
    </row>
    <row r="319">
      <c r="E319" s="1"/>
    </row>
    <row r="320">
      <c r="E320" s="1"/>
    </row>
    <row r="321">
      <c r="E321" s="1"/>
    </row>
    <row r="322">
      <c r="E322" s="1"/>
    </row>
    <row r="323">
      <c r="E323" s="1"/>
    </row>
    <row r="324">
      <c r="E324" s="1"/>
    </row>
    <row r="325">
      <c r="E325" s="1"/>
    </row>
    <row r="326">
      <c r="E326" s="1"/>
    </row>
    <row r="327">
      <c r="E327" s="1"/>
    </row>
    <row r="328">
      <c r="E328" s="1"/>
    </row>
    <row r="329">
      <c r="E329" s="1"/>
    </row>
    <row r="330">
      <c r="E330" s="1"/>
    </row>
    <row r="331">
      <c r="E331" s="1"/>
    </row>
    <row r="332">
      <c r="E332" s="1"/>
    </row>
    <row r="333">
      <c r="E333" s="1"/>
    </row>
    <row r="334">
      <c r="E334" s="1"/>
    </row>
    <row r="335">
      <c r="E335" s="1"/>
    </row>
    <row r="336">
      <c r="E336" s="1"/>
    </row>
    <row r="337">
      <c r="E337" s="1"/>
    </row>
    <row r="338">
      <c r="E338" s="1"/>
    </row>
    <row r="339">
      <c r="E339" s="1"/>
    </row>
    <row r="340">
      <c r="E340" s="1"/>
    </row>
    <row r="341">
      <c r="E341" s="1"/>
    </row>
    <row r="342">
      <c r="E342" s="1"/>
    </row>
    <row r="343">
      <c r="E343" s="1"/>
    </row>
    <row r="344">
      <c r="E344" s="1"/>
    </row>
    <row r="345">
      <c r="E345" s="1"/>
    </row>
    <row r="346">
      <c r="E346" s="1"/>
    </row>
    <row r="347">
      <c r="E347" s="1"/>
    </row>
    <row r="348">
      <c r="E348" s="1"/>
    </row>
    <row r="349">
      <c r="E349" s="1"/>
    </row>
    <row r="350">
      <c r="E350" s="1"/>
    </row>
    <row r="351">
      <c r="E351" s="1"/>
    </row>
    <row r="352">
      <c r="E352" s="1"/>
    </row>
    <row r="353">
      <c r="E353" s="1"/>
    </row>
    <row r="354">
      <c r="E354" s="1"/>
    </row>
    <row r="355">
      <c r="E355" s="1"/>
    </row>
    <row r="356">
      <c r="E356" s="1"/>
    </row>
    <row r="357">
      <c r="E357" s="1"/>
    </row>
    <row r="358">
      <c r="E358" s="1"/>
    </row>
    <row r="359">
      <c r="E359" s="1"/>
    </row>
    <row r="360">
      <c r="E360" s="1"/>
    </row>
    <row r="361">
      <c r="E361" s="1"/>
    </row>
    <row r="362">
      <c r="E362" s="1"/>
    </row>
    <row r="363">
      <c r="E363" s="1"/>
    </row>
    <row r="364">
      <c r="E364" s="1"/>
    </row>
    <row r="365">
      <c r="E365" s="1"/>
    </row>
    <row r="366">
      <c r="E366" s="1"/>
    </row>
    <row r="367">
      <c r="E367" s="1"/>
    </row>
    <row r="368">
      <c r="E368" s="1"/>
    </row>
    <row r="369">
      <c r="E369" s="1"/>
    </row>
    <row r="370">
      <c r="E370" s="1"/>
    </row>
    <row r="371">
      <c r="E371" s="1"/>
    </row>
    <row r="372">
      <c r="E372" s="1"/>
    </row>
    <row r="373">
      <c r="E373" s="1"/>
    </row>
    <row r="374">
      <c r="E374" s="1"/>
    </row>
    <row r="375">
      <c r="E375" s="1"/>
    </row>
    <row r="376">
      <c r="E376" s="1"/>
    </row>
    <row r="377">
      <c r="E377" s="1"/>
    </row>
    <row r="378">
      <c r="E378" s="1"/>
    </row>
    <row r="379">
      <c r="E379" s="1"/>
    </row>
    <row r="380">
      <c r="E380" s="1"/>
    </row>
    <row r="381">
      <c r="E381" s="1"/>
    </row>
    <row r="382">
      <c r="E382" s="1"/>
    </row>
    <row r="383">
      <c r="E383" s="1"/>
    </row>
    <row r="384">
      <c r="E384" s="1"/>
    </row>
    <row r="385">
      <c r="E385" s="1"/>
    </row>
    <row r="386">
      <c r="E386" s="1"/>
    </row>
    <row r="387">
      <c r="E387" s="1"/>
    </row>
    <row r="388">
      <c r="E388" s="1"/>
    </row>
    <row r="389">
      <c r="E389" s="1"/>
    </row>
    <row r="390">
      <c r="E390" s="1"/>
    </row>
    <row r="391">
      <c r="E391" s="1"/>
    </row>
    <row r="392">
      <c r="E392" s="1"/>
    </row>
    <row r="393">
      <c r="E393" s="1"/>
    </row>
    <row r="394">
      <c r="E394" s="1"/>
    </row>
    <row r="395">
      <c r="E395" s="1"/>
    </row>
    <row r="396">
      <c r="E396" s="1"/>
    </row>
    <row r="397">
      <c r="E397" s="1"/>
    </row>
    <row r="398">
      <c r="E398" s="1"/>
    </row>
    <row r="399">
      <c r="E399" s="1"/>
    </row>
    <row r="400">
      <c r="E400" s="1"/>
    </row>
    <row r="401">
      <c r="E401" s="1"/>
    </row>
    <row r="402">
      <c r="E402" s="1"/>
    </row>
    <row r="403">
      <c r="E403" s="1"/>
    </row>
    <row r="404">
      <c r="E404" s="1"/>
    </row>
    <row r="405">
      <c r="E405" s="1"/>
    </row>
    <row r="406">
      <c r="E406" s="1"/>
    </row>
    <row r="407">
      <c r="E407" s="1"/>
    </row>
    <row r="408">
      <c r="E408" s="1"/>
    </row>
    <row r="409">
      <c r="E409" s="1"/>
    </row>
    <row r="410">
      <c r="E410" s="1"/>
    </row>
    <row r="411">
      <c r="E411" s="1"/>
    </row>
    <row r="412">
      <c r="E412" s="1"/>
    </row>
    <row r="413">
      <c r="E413" s="1"/>
    </row>
    <row r="414">
      <c r="E414" s="1"/>
    </row>
    <row r="415">
      <c r="E415" s="1"/>
    </row>
    <row r="416">
      <c r="E416" s="1"/>
    </row>
    <row r="417">
      <c r="E417" s="1"/>
    </row>
    <row r="418">
      <c r="E418" s="1"/>
    </row>
    <row r="419">
      <c r="E419" s="1"/>
    </row>
    <row r="420">
      <c r="E420" s="1"/>
    </row>
    <row r="421">
      <c r="E421" s="1"/>
    </row>
    <row r="422">
      <c r="E422" s="1"/>
    </row>
    <row r="423">
      <c r="E423" s="1"/>
    </row>
    <row r="424">
      <c r="E424" s="1"/>
    </row>
    <row r="425">
      <c r="E425" s="1"/>
    </row>
    <row r="426">
      <c r="E426" s="1"/>
    </row>
    <row r="427">
      <c r="E427" s="1"/>
    </row>
    <row r="428">
      <c r="E428" s="1"/>
    </row>
    <row r="429">
      <c r="E429" s="1"/>
    </row>
    <row r="430">
      <c r="E430" s="1"/>
    </row>
    <row r="431">
      <c r="E431" s="1"/>
    </row>
    <row r="432">
      <c r="E432" s="1"/>
    </row>
    <row r="433">
      <c r="E433" s="1"/>
    </row>
    <row r="434">
      <c r="E434" s="1"/>
    </row>
    <row r="435">
      <c r="E435" s="1"/>
    </row>
    <row r="436">
      <c r="E436" s="1"/>
    </row>
    <row r="437">
      <c r="E437" s="1"/>
    </row>
    <row r="438">
      <c r="E438" s="1"/>
    </row>
    <row r="439">
      <c r="E439" s="1"/>
    </row>
    <row r="440">
      <c r="E440" s="1"/>
    </row>
    <row r="441">
      <c r="E441" s="1"/>
    </row>
    <row r="442">
      <c r="E442" s="1"/>
    </row>
    <row r="443">
      <c r="E443" s="1"/>
    </row>
    <row r="444">
      <c r="E444" s="1"/>
    </row>
    <row r="445">
      <c r="E445" s="1"/>
    </row>
    <row r="446">
      <c r="E446" s="1"/>
    </row>
    <row r="447">
      <c r="E447" s="1"/>
    </row>
    <row r="448">
      <c r="E448" s="1"/>
    </row>
    <row r="449">
      <c r="E449" s="1"/>
    </row>
    <row r="450">
      <c r="E450" s="1"/>
    </row>
    <row r="451">
      <c r="E451" s="1"/>
    </row>
    <row r="452">
      <c r="E452" s="1"/>
    </row>
    <row r="453">
      <c r="E453" s="1"/>
    </row>
    <row r="454">
      <c r="E454" s="1"/>
    </row>
    <row r="455">
      <c r="E455" s="1"/>
    </row>
    <row r="456">
      <c r="E456" s="1"/>
    </row>
    <row r="457">
      <c r="E457" s="1"/>
    </row>
    <row r="458">
      <c r="E458" s="1"/>
    </row>
    <row r="459">
      <c r="E459" s="1"/>
    </row>
    <row r="460">
      <c r="E460" s="1"/>
    </row>
    <row r="461">
      <c r="E461" s="1"/>
    </row>
    <row r="462">
      <c r="E462" s="1"/>
    </row>
    <row r="463">
      <c r="E463" s="1"/>
    </row>
    <row r="464">
      <c r="E464" s="1"/>
    </row>
    <row r="465">
      <c r="E465" s="1"/>
    </row>
    <row r="466">
      <c r="E466" s="1"/>
    </row>
    <row r="467">
      <c r="E467" s="1"/>
    </row>
    <row r="468">
      <c r="E468" s="1"/>
    </row>
    <row r="469">
      <c r="E469" s="1"/>
    </row>
    <row r="470">
      <c r="E470" s="1"/>
    </row>
    <row r="471">
      <c r="E471" s="1"/>
    </row>
    <row r="472">
      <c r="E472" s="1"/>
    </row>
    <row r="473">
      <c r="E473" s="1"/>
    </row>
    <row r="474">
      <c r="E474" s="1"/>
    </row>
    <row r="475">
      <c r="E475" s="1"/>
    </row>
    <row r="476">
      <c r="E476" s="1"/>
    </row>
    <row r="477">
      <c r="E477" s="1"/>
    </row>
    <row r="478">
      <c r="E478" s="1"/>
    </row>
    <row r="479">
      <c r="E479" s="1"/>
    </row>
    <row r="480">
      <c r="E480" s="1"/>
    </row>
    <row r="481">
      <c r="E481" s="1"/>
    </row>
    <row r="482">
      <c r="E482" s="1"/>
    </row>
    <row r="483">
      <c r="E483" s="1"/>
    </row>
    <row r="484">
      <c r="E484" s="1"/>
    </row>
    <row r="485">
      <c r="E485" s="1"/>
    </row>
    <row r="486">
      <c r="E486" s="1"/>
    </row>
    <row r="487">
      <c r="E487" s="1"/>
    </row>
    <row r="488">
      <c r="E488" s="1"/>
    </row>
    <row r="489">
      <c r="E489" s="1"/>
    </row>
    <row r="490">
      <c r="E490" s="1"/>
    </row>
    <row r="491">
      <c r="E491" s="1"/>
    </row>
    <row r="492">
      <c r="E492" s="1"/>
    </row>
    <row r="493">
      <c r="E493" s="1"/>
    </row>
    <row r="494">
      <c r="E494" s="1"/>
    </row>
    <row r="495">
      <c r="E495" s="1"/>
    </row>
    <row r="496">
      <c r="E496" s="1"/>
    </row>
    <row r="497">
      <c r="E497" s="1"/>
    </row>
    <row r="498">
      <c r="E498" s="1"/>
    </row>
    <row r="499">
      <c r="E499" s="1"/>
    </row>
    <row r="500">
      <c r="E500" s="1"/>
    </row>
    <row r="501">
      <c r="E501" s="1"/>
    </row>
    <row r="502">
      <c r="E502" s="1"/>
    </row>
    <row r="503">
      <c r="E503" s="1"/>
    </row>
    <row r="504">
      <c r="E504" s="1"/>
    </row>
    <row r="505">
      <c r="E505" s="1"/>
    </row>
    <row r="506">
      <c r="E506" s="1"/>
    </row>
    <row r="507">
      <c r="E507" s="1"/>
    </row>
    <row r="508">
      <c r="E508" s="1"/>
    </row>
    <row r="509">
      <c r="E509" s="1"/>
    </row>
    <row r="510">
      <c r="E510" s="1"/>
    </row>
    <row r="511">
      <c r="E511" s="1"/>
    </row>
    <row r="512">
      <c r="E512" s="1"/>
    </row>
    <row r="513">
      <c r="E513" s="1"/>
    </row>
    <row r="514">
      <c r="E514" s="1"/>
    </row>
    <row r="515">
      <c r="E515" s="1"/>
    </row>
    <row r="516">
      <c r="E516" s="1"/>
    </row>
    <row r="517">
      <c r="E517" s="1"/>
    </row>
    <row r="518">
      <c r="E518" s="1"/>
    </row>
    <row r="519">
      <c r="E519" s="1"/>
    </row>
    <row r="520">
      <c r="E520" s="1"/>
    </row>
    <row r="521">
      <c r="E521" s="1"/>
    </row>
    <row r="522">
      <c r="E522" s="1"/>
    </row>
    <row r="523">
      <c r="E523" s="1"/>
    </row>
    <row r="524">
      <c r="E524" s="1"/>
    </row>
    <row r="525">
      <c r="E525" s="1"/>
    </row>
    <row r="526">
      <c r="E526" s="1"/>
    </row>
    <row r="527">
      <c r="E527" s="1"/>
    </row>
    <row r="528">
      <c r="E528" s="1"/>
    </row>
    <row r="529">
      <c r="E529" s="1"/>
    </row>
    <row r="530">
      <c r="E530" s="1"/>
    </row>
    <row r="531">
      <c r="E531" s="1"/>
    </row>
    <row r="532">
      <c r="E532" s="1"/>
    </row>
    <row r="533">
      <c r="E533" s="1"/>
    </row>
    <row r="534">
      <c r="E534" s="1"/>
    </row>
    <row r="535">
      <c r="E535" s="1"/>
    </row>
    <row r="536">
      <c r="E536" s="1"/>
    </row>
    <row r="537">
      <c r="E537" s="1"/>
    </row>
    <row r="538">
      <c r="E538" s="1"/>
    </row>
    <row r="539">
      <c r="E539" s="1"/>
    </row>
    <row r="540">
      <c r="E540" s="1"/>
    </row>
    <row r="541">
      <c r="E541" s="1"/>
    </row>
    <row r="542">
      <c r="E542" s="1"/>
    </row>
    <row r="543">
      <c r="E543" s="1"/>
    </row>
    <row r="544">
      <c r="E544" s="1"/>
    </row>
    <row r="545">
      <c r="E545" s="1"/>
    </row>
    <row r="546">
      <c r="E546" s="1"/>
    </row>
    <row r="547">
      <c r="E547" s="1"/>
    </row>
    <row r="548">
      <c r="E548" s="1"/>
    </row>
    <row r="549">
      <c r="E549" s="1"/>
    </row>
    <row r="550">
      <c r="E550" s="1"/>
    </row>
    <row r="551">
      <c r="E551" s="1"/>
    </row>
    <row r="552">
      <c r="E552" s="1"/>
    </row>
    <row r="553">
      <c r="E553" s="1"/>
    </row>
    <row r="554">
      <c r="E554" s="1"/>
    </row>
    <row r="555">
      <c r="E555" s="1"/>
    </row>
    <row r="556">
      <c r="E556" s="1"/>
    </row>
    <row r="557">
      <c r="E557" s="1"/>
    </row>
    <row r="558">
      <c r="E558" s="1"/>
    </row>
    <row r="559">
      <c r="E559" s="1"/>
    </row>
    <row r="560">
      <c r="E560" s="1"/>
    </row>
    <row r="561">
      <c r="E561" s="1"/>
    </row>
    <row r="562">
      <c r="E562" s="1"/>
    </row>
    <row r="563">
      <c r="E563" s="1"/>
    </row>
    <row r="564">
      <c r="E564" s="1"/>
    </row>
    <row r="565">
      <c r="E565" s="1"/>
    </row>
    <row r="566">
      <c r="E566" s="1"/>
    </row>
    <row r="567">
      <c r="E567" s="1"/>
    </row>
    <row r="568">
      <c r="E568" s="1"/>
    </row>
    <row r="569">
      <c r="E569" s="1"/>
    </row>
    <row r="570">
      <c r="E570" s="1"/>
    </row>
    <row r="571">
      <c r="E571" s="1"/>
    </row>
    <row r="572">
      <c r="E572" s="1"/>
    </row>
    <row r="573">
      <c r="E573" s="1"/>
    </row>
    <row r="574">
      <c r="E574" s="1"/>
    </row>
    <row r="575">
      <c r="E575" s="1"/>
    </row>
    <row r="576">
      <c r="E576" s="1"/>
    </row>
    <row r="577">
      <c r="E577" s="1"/>
    </row>
    <row r="578">
      <c r="E578" s="1"/>
    </row>
    <row r="579">
      <c r="E579" s="1"/>
    </row>
    <row r="580">
      <c r="E580" s="1"/>
    </row>
    <row r="581">
      <c r="E581" s="1"/>
    </row>
    <row r="582">
      <c r="E582" s="1"/>
    </row>
    <row r="583">
      <c r="E583" s="1"/>
    </row>
    <row r="584">
      <c r="E584" s="1"/>
    </row>
    <row r="585">
      <c r="E585" s="1"/>
    </row>
    <row r="586">
      <c r="E586" s="1"/>
    </row>
    <row r="587">
      <c r="E587" s="1"/>
    </row>
    <row r="588">
      <c r="E588" s="1"/>
    </row>
    <row r="589">
      <c r="E589" s="1"/>
    </row>
    <row r="590">
      <c r="E590" s="1"/>
    </row>
    <row r="591">
      <c r="E591" s="1"/>
    </row>
    <row r="592">
      <c r="E592" s="1"/>
    </row>
    <row r="593">
      <c r="E593" s="1"/>
    </row>
    <row r="594">
      <c r="E594" s="1"/>
    </row>
    <row r="595">
      <c r="E595" s="1"/>
    </row>
    <row r="596">
      <c r="E596" s="1"/>
    </row>
    <row r="597">
      <c r="E597" s="1"/>
    </row>
    <row r="598">
      <c r="E598" s="1"/>
    </row>
    <row r="599">
      <c r="E599" s="1"/>
    </row>
    <row r="600">
      <c r="E600" s="1"/>
    </row>
    <row r="601">
      <c r="E601" s="1"/>
    </row>
    <row r="602">
      <c r="E602" s="1"/>
    </row>
    <row r="603">
      <c r="E603" s="1"/>
    </row>
    <row r="604">
      <c r="E604" s="1"/>
    </row>
    <row r="605">
      <c r="E605" s="1"/>
    </row>
    <row r="606">
      <c r="E606" s="1"/>
    </row>
    <row r="607">
      <c r="E607" s="1"/>
    </row>
    <row r="608">
      <c r="E608" s="1"/>
    </row>
    <row r="609">
      <c r="E609" s="1"/>
    </row>
    <row r="610">
      <c r="E610" s="1"/>
    </row>
    <row r="611">
      <c r="E611" s="1"/>
    </row>
    <row r="612">
      <c r="E612" s="1"/>
    </row>
    <row r="613">
      <c r="E613" s="1"/>
    </row>
    <row r="614">
      <c r="E614" s="1"/>
    </row>
    <row r="615">
      <c r="E615" s="1"/>
    </row>
    <row r="616">
      <c r="E616" s="1"/>
    </row>
    <row r="617">
      <c r="E617" s="1"/>
    </row>
    <row r="618">
      <c r="E618" s="1"/>
    </row>
    <row r="619">
      <c r="E619" s="1"/>
    </row>
    <row r="620">
      <c r="E620" s="1"/>
    </row>
    <row r="621">
      <c r="E621" s="1"/>
    </row>
    <row r="622">
      <c r="E622" s="1"/>
    </row>
    <row r="623">
      <c r="E623" s="1"/>
    </row>
    <row r="624">
      <c r="E624" s="1"/>
    </row>
    <row r="625">
      <c r="E625" s="1"/>
    </row>
    <row r="626">
      <c r="E626" s="1"/>
    </row>
    <row r="627">
      <c r="E627" s="1"/>
    </row>
    <row r="628">
      <c r="E628" s="1"/>
    </row>
    <row r="629">
      <c r="E629" s="1"/>
    </row>
    <row r="630">
      <c r="E630" s="1"/>
    </row>
    <row r="631">
      <c r="E631" s="1"/>
    </row>
    <row r="632">
      <c r="E632" s="1"/>
    </row>
    <row r="633">
      <c r="E633" s="1"/>
    </row>
    <row r="634">
      <c r="E634" s="1"/>
    </row>
    <row r="635">
      <c r="E635" s="1"/>
    </row>
    <row r="636">
      <c r="E636" s="1"/>
    </row>
    <row r="637">
      <c r="E637" s="1"/>
    </row>
    <row r="638">
      <c r="E638" s="1"/>
    </row>
    <row r="639">
      <c r="E639" s="1"/>
    </row>
    <row r="640">
      <c r="E640" s="1"/>
    </row>
    <row r="641">
      <c r="E641" s="1"/>
    </row>
    <row r="642">
      <c r="E642" s="1"/>
    </row>
    <row r="643">
      <c r="E643" s="1"/>
    </row>
    <row r="644">
      <c r="E644" s="1"/>
    </row>
    <row r="645">
      <c r="E645" s="1"/>
    </row>
    <row r="646">
      <c r="E646" s="1"/>
    </row>
    <row r="647">
      <c r="E647" s="1"/>
    </row>
    <row r="648">
      <c r="E648" s="1"/>
    </row>
    <row r="649">
      <c r="E649" s="1"/>
    </row>
    <row r="650">
      <c r="E650" s="1"/>
    </row>
    <row r="651">
      <c r="E651" s="1"/>
    </row>
    <row r="652">
      <c r="E652" s="1"/>
    </row>
    <row r="653">
      <c r="E653" s="1"/>
    </row>
    <row r="654">
      <c r="E654" s="1"/>
    </row>
    <row r="655">
      <c r="E655" s="1"/>
    </row>
    <row r="656">
      <c r="E656" s="1"/>
    </row>
    <row r="657">
      <c r="E657" s="1"/>
    </row>
    <row r="658">
      <c r="E658" s="1"/>
    </row>
    <row r="659">
      <c r="E659" s="1"/>
    </row>
    <row r="660">
      <c r="E660" s="1"/>
    </row>
    <row r="661">
      <c r="E661" s="1"/>
    </row>
    <row r="662">
      <c r="E662" s="1"/>
    </row>
    <row r="663">
      <c r="E663" s="1"/>
    </row>
    <row r="664">
      <c r="E664" s="1"/>
    </row>
    <row r="665">
      <c r="E665" s="1"/>
    </row>
    <row r="666">
      <c r="E666" s="1"/>
    </row>
    <row r="667">
      <c r="E667" s="1"/>
    </row>
    <row r="668">
      <c r="E668" s="1"/>
    </row>
    <row r="669">
      <c r="E669" s="1"/>
    </row>
    <row r="670">
      <c r="E670" s="1"/>
    </row>
    <row r="671">
      <c r="E671" s="1"/>
    </row>
    <row r="672">
      <c r="E672" s="1"/>
    </row>
    <row r="673">
      <c r="E673" s="1"/>
    </row>
    <row r="674">
      <c r="E674" s="1"/>
    </row>
    <row r="675">
      <c r="E675" s="1"/>
    </row>
    <row r="676">
      <c r="E676" s="1"/>
    </row>
    <row r="677">
      <c r="E677" s="1"/>
    </row>
    <row r="678">
      <c r="E678" s="1"/>
    </row>
    <row r="679">
      <c r="E679" s="1"/>
    </row>
    <row r="680">
      <c r="E680" s="1"/>
    </row>
    <row r="681">
      <c r="E681" s="1"/>
    </row>
    <row r="682">
      <c r="E682" s="1"/>
    </row>
    <row r="683">
      <c r="E683" s="1"/>
    </row>
    <row r="684">
      <c r="E684" s="1"/>
    </row>
    <row r="685">
      <c r="E685" s="1"/>
    </row>
    <row r="686">
      <c r="E686" s="1"/>
    </row>
    <row r="687">
      <c r="E687" s="1"/>
    </row>
    <row r="688">
      <c r="E688" s="1"/>
    </row>
    <row r="689">
      <c r="E689" s="1"/>
    </row>
    <row r="690">
      <c r="E690" s="1"/>
    </row>
    <row r="691">
      <c r="E691" s="1"/>
    </row>
    <row r="692">
      <c r="E692" s="1"/>
    </row>
    <row r="693">
      <c r="E693" s="1"/>
    </row>
    <row r="694">
      <c r="E694" s="1"/>
    </row>
    <row r="695">
      <c r="E695" s="1"/>
    </row>
    <row r="696">
      <c r="E696" s="1"/>
    </row>
    <row r="697">
      <c r="E697" s="1"/>
    </row>
    <row r="698">
      <c r="E698" s="1"/>
    </row>
    <row r="699">
      <c r="E699" s="1"/>
    </row>
    <row r="700">
      <c r="E700" s="1"/>
    </row>
    <row r="701">
      <c r="E701" s="1"/>
    </row>
    <row r="702">
      <c r="E702" s="1"/>
    </row>
    <row r="703">
      <c r="E703" s="1"/>
    </row>
    <row r="704">
      <c r="E704" s="1"/>
    </row>
    <row r="705">
      <c r="E705" s="1"/>
    </row>
    <row r="706">
      <c r="E706" s="1"/>
    </row>
    <row r="707">
      <c r="E707" s="1"/>
    </row>
    <row r="708">
      <c r="E708" s="1"/>
    </row>
    <row r="709">
      <c r="E709" s="1"/>
    </row>
    <row r="710">
      <c r="E710" s="1"/>
    </row>
    <row r="711">
      <c r="E711" s="1"/>
    </row>
    <row r="712">
      <c r="E712" s="1"/>
    </row>
    <row r="713">
      <c r="E713" s="1"/>
    </row>
    <row r="714">
      <c r="E714" s="1"/>
    </row>
    <row r="715">
      <c r="E715" s="1"/>
    </row>
    <row r="716">
      <c r="E716" s="1"/>
    </row>
    <row r="717">
      <c r="E717" s="1"/>
    </row>
    <row r="718">
      <c r="E718" s="1"/>
    </row>
    <row r="719">
      <c r="E719" s="1"/>
    </row>
    <row r="720">
      <c r="E720" s="1"/>
    </row>
    <row r="721">
      <c r="E721" s="1"/>
    </row>
    <row r="722">
      <c r="E722" s="1"/>
    </row>
    <row r="723">
      <c r="E723" s="1"/>
    </row>
    <row r="724">
      <c r="E724" s="1"/>
    </row>
    <row r="725">
      <c r="E725" s="1"/>
    </row>
    <row r="726">
      <c r="E726" s="1"/>
    </row>
    <row r="727">
      <c r="E727" s="1"/>
    </row>
    <row r="728">
      <c r="E728" s="1"/>
    </row>
    <row r="729">
      <c r="E729" s="1"/>
    </row>
    <row r="730">
      <c r="E730" s="1"/>
    </row>
    <row r="731">
      <c r="E731" s="1"/>
    </row>
    <row r="732">
      <c r="E732" s="1"/>
    </row>
    <row r="733">
      <c r="E733" s="1"/>
    </row>
    <row r="734">
      <c r="E734" s="1"/>
    </row>
    <row r="735">
      <c r="E735" s="1"/>
    </row>
    <row r="736">
      <c r="E736" s="1"/>
    </row>
    <row r="737">
      <c r="E737" s="1"/>
    </row>
    <row r="738">
      <c r="E738" s="1"/>
    </row>
    <row r="739">
      <c r="E739" s="1"/>
    </row>
    <row r="740">
      <c r="E740" s="1"/>
    </row>
    <row r="741">
      <c r="E741" s="1"/>
    </row>
    <row r="742">
      <c r="E742" s="1"/>
    </row>
    <row r="743">
      <c r="E743" s="1"/>
    </row>
    <row r="744">
      <c r="E744" s="1"/>
    </row>
    <row r="745">
      <c r="E745" s="1"/>
    </row>
    <row r="746">
      <c r="E746" s="1"/>
    </row>
    <row r="747">
      <c r="E747" s="1"/>
    </row>
    <row r="748">
      <c r="E748" s="1"/>
    </row>
    <row r="749">
      <c r="E749" s="1"/>
    </row>
    <row r="750">
      <c r="E750" s="1"/>
    </row>
    <row r="751">
      <c r="E751" s="1"/>
    </row>
    <row r="752">
      <c r="E752" s="1"/>
    </row>
    <row r="753">
      <c r="E753" s="1"/>
    </row>
    <row r="754">
      <c r="E754" s="1"/>
    </row>
    <row r="755">
      <c r="E755" s="1"/>
    </row>
    <row r="756">
      <c r="E756" s="1"/>
    </row>
    <row r="757">
      <c r="E757" s="1"/>
    </row>
    <row r="758">
      <c r="E758" s="1"/>
    </row>
    <row r="759">
      <c r="E759" s="1"/>
    </row>
    <row r="760">
      <c r="E760" s="1"/>
    </row>
    <row r="761">
      <c r="E761" s="1"/>
    </row>
    <row r="762">
      <c r="E762" s="1"/>
    </row>
    <row r="763">
      <c r="E763" s="1"/>
    </row>
    <row r="764">
      <c r="E764" s="1"/>
    </row>
    <row r="765">
      <c r="E765" s="1"/>
    </row>
    <row r="766">
      <c r="E766" s="1"/>
    </row>
    <row r="767">
      <c r="E767" s="1"/>
    </row>
    <row r="768">
      <c r="E768" s="1"/>
    </row>
    <row r="769">
      <c r="E769" s="1"/>
    </row>
    <row r="770">
      <c r="E770" s="1"/>
    </row>
    <row r="771">
      <c r="E771" s="1"/>
    </row>
    <row r="772">
      <c r="E772" s="1"/>
    </row>
    <row r="773">
      <c r="E773" s="1"/>
    </row>
    <row r="774">
      <c r="E774" s="1"/>
    </row>
    <row r="775">
      <c r="E775" s="1"/>
    </row>
    <row r="776">
      <c r="E776" s="1"/>
    </row>
    <row r="777">
      <c r="E777" s="1"/>
    </row>
    <row r="778">
      <c r="E778" s="1"/>
    </row>
    <row r="779">
      <c r="E779" s="1"/>
    </row>
    <row r="780">
      <c r="E780" s="1"/>
    </row>
    <row r="781">
      <c r="E781" s="1"/>
    </row>
    <row r="782">
      <c r="E782" s="1"/>
    </row>
    <row r="783">
      <c r="E783" s="1"/>
    </row>
    <row r="784">
      <c r="E784" s="1"/>
    </row>
    <row r="785">
      <c r="E785" s="1"/>
    </row>
    <row r="786">
      <c r="E786" s="1"/>
    </row>
    <row r="787">
      <c r="E787" s="1"/>
    </row>
    <row r="788">
      <c r="E788" s="1"/>
    </row>
    <row r="789">
      <c r="E789" s="1"/>
    </row>
    <row r="790">
      <c r="E790" s="1"/>
    </row>
    <row r="791">
      <c r="E791" s="1"/>
    </row>
    <row r="792">
      <c r="E792" s="1"/>
    </row>
    <row r="793">
      <c r="E793" s="1"/>
    </row>
    <row r="794">
      <c r="E794" s="1"/>
    </row>
    <row r="795">
      <c r="E795" s="1"/>
    </row>
    <row r="796">
      <c r="E796" s="1"/>
    </row>
    <row r="797">
      <c r="E797" s="1"/>
    </row>
    <row r="798">
      <c r="E798" s="1"/>
    </row>
    <row r="799">
      <c r="E799" s="1"/>
    </row>
    <row r="800">
      <c r="E800" s="1"/>
    </row>
    <row r="801">
      <c r="E801" s="1"/>
    </row>
    <row r="802">
      <c r="E802" s="1"/>
    </row>
    <row r="803">
      <c r="E803" s="1"/>
    </row>
    <row r="804">
      <c r="E804" s="1"/>
    </row>
    <row r="805">
      <c r="E805" s="1"/>
    </row>
    <row r="806">
      <c r="E806" s="1"/>
    </row>
    <row r="807">
      <c r="E807" s="1"/>
    </row>
    <row r="808">
      <c r="E808" s="1"/>
    </row>
    <row r="809">
      <c r="E809" s="1"/>
    </row>
    <row r="810">
      <c r="E810" s="1"/>
    </row>
    <row r="811">
      <c r="E811" s="1"/>
    </row>
    <row r="812">
      <c r="E812" s="1"/>
    </row>
    <row r="813">
      <c r="E813" s="1"/>
    </row>
    <row r="814">
      <c r="E814" s="1"/>
    </row>
    <row r="815">
      <c r="E815" s="1"/>
    </row>
    <row r="816">
      <c r="E816" s="1"/>
    </row>
    <row r="817">
      <c r="E817" s="1"/>
    </row>
    <row r="818">
      <c r="E818" s="1"/>
    </row>
    <row r="819">
      <c r="E819" s="1"/>
    </row>
    <row r="820">
      <c r="E820" s="1"/>
    </row>
    <row r="821">
      <c r="E821" s="1"/>
    </row>
    <row r="822">
      <c r="E822" s="1"/>
    </row>
    <row r="823">
      <c r="E823" s="1"/>
    </row>
    <row r="824">
      <c r="E824" s="1"/>
    </row>
    <row r="825">
      <c r="E825" s="1"/>
    </row>
    <row r="826">
      <c r="E826" s="1"/>
    </row>
    <row r="827">
      <c r="E827" s="1"/>
    </row>
    <row r="828">
      <c r="E828" s="1"/>
    </row>
    <row r="829">
      <c r="E829" s="1"/>
    </row>
    <row r="830">
      <c r="E830" s="1"/>
    </row>
    <row r="831">
      <c r="E831" s="1"/>
    </row>
    <row r="832">
      <c r="E832" s="1"/>
    </row>
    <row r="833">
      <c r="E833" s="1"/>
    </row>
    <row r="834">
      <c r="E834" s="1"/>
    </row>
    <row r="835">
      <c r="E835" s="1"/>
    </row>
    <row r="836">
      <c r="E836" s="1"/>
    </row>
    <row r="837">
      <c r="E837" s="1"/>
    </row>
    <row r="838">
      <c r="E838" s="1"/>
    </row>
    <row r="839">
      <c r="E839" s="1"/>
    </row>
    <row r="840">
      <c r="E840" s="1"/>
    </row>
    <row r="841">
      <c r="E841" s="1"/>
    </row>
    <row r="842">
      <c r="E842" s="1"/>
    </row>
    <row r="843">
      <c r="E843" s="1"/>
    </row>
    <row r="844">
      <c r="E844" s="1"/>
    </row>
    <row r="845">
      <c r="E845" s="1"/>
    </row>
    <row r="846">
      <c r="E846" s="1"/>
    </row>
    <row r="847">
      <c r="E847" s="1"/>
    </row>
    <row r="848">
      <c r="E848" s="1"/>
    </row>
    <row r="849">
      <c r="E849" s="1"/>
    </row>
    <row r="850">
      <c r="E850" s="1"/>
    </row>
    <row r="851">
      <c r="E851" s="1"/>
    </row>
    <row r="852">
      <c r="E852" s="1"/>
    </row>
    <row r="853">
      <c r="E853" s="1"/>
    </row>
    <row r="854">
      <c r="E854" s="1"/>
    </row>
    <row r="855">
      <c r="E855" s="1"/>
    </row>
    <row r="856">
      <c r="E856" s="1"/>
    </row>
    <row r="857">
      <c r="E857" s="1"/>
    </row>
    <row r="858">
      <c r="E858" s="1"/>
    </row>
    <row r="859">
      <c r="E859" s="1"/>
    </row>
    <row r="860">
      <c r="E860" s="1"/>
    </row>
    <row r="861">
      <c r="E861" s="1"/>
    </row>
    <row r="862">
      <c r="E862" s="1"/>
    </row>
    <row r="863">
      <c r="E863" s="1"/>
    </row>
    <row r="864">
      <c r="E864" s="1"/>
    </row>
    <row r="865">
      <c r="E865" s="1"/>
    </row>
    <row r="866">
      <c r="E866" s="1"/>
    </row>
    <row r="867">
      <c r="E867" s="1"/>
    </row>
    <row r="868">
      <c r="E868" s="1"/>
    </row>
    <row r="869">
      <c r="E869" s="1"/>
    </row>
    <row r="870">
      <c r="E870" s="1"/>
    </row>
    <row r="871">
      <c r="E871" s="1"/>
    </row>
    <row r="872">
      <c r="E872" s="1"/>
    </row>
    <row r="873">
      <c r="E873" s="1"/>
    </row>
    <row r="874">
      <c r="E874" s="1"/>
    </row>
    <row r="875">
      <c r="E875" s="1"/>
    </row>
    <row r="876">
      <c r="E876" s="1"/>
    </row>
    <row r="877">
      <c r="E877" s="1"/>
    </row>
    <row r="878">
      <c r="E878" s="1"/>
    </row>
    <row r="879">
      <c r="E879" s="1"/>
    </row>
    <row r="880">
      <c r="E880" s="1"/>
    </row>
    <row r="881">
      <c r="E881" s="1"/>
    </row>
    <row r="882">
      <c r="E882" s="1"/>
    </row>
    <row r="883">
      <c r="E883" s="1"/>
    </row>
    <row r="884">
      <c r="E884" s="1"/>
    </row>
    <row r="885">
      <c r="E885" s="1"/>
    </row>
    <row r="886">
      <c r="E886" s="1"/>
    </row>
    <row r="887">
      <c r="E887" s="1"/>
    </row>
    <row r="888">
      <c r="E888" s="1"/>
    </row>
    <row r="889">
      <c r="E889" s="1"/>
    </row>
    <row r="890">
      <c r="E890" s="1"/>
    </row>
    <row r="891">
      <c r="E891" s="1"/>
    </row>
    <row r="892">
      <c r="E892" s="1"/>
    </row>
    <row r="893">
      <c r="E893" s="1"/>
    </row>
    <row r="894">
      <c r="E894" s="1"/>
    </row>
    <row r="895">
      <c r="E895" s="1"/>
    </row>
    <row r="896">
      <c r="E896" s="1"/>
    </row>
    <row r="897">
      <c r="E897" s="1"/>
    </row>
    <row r="898">
      <c r="E898" s="1"/>
    </row>
    <row r="899">
      <c r="E899" s="1"/>
    </row>
    <row r="900">
      <c r="E900" s="1"/>
    </row>
    <row r="901">
      <c r="E901" s="1"/>
    </row>
    <row r="902">
      <c r="E902" s="1"/>
    </row>
    <row r="903">
      <c r="E903" s="1"/>
    </row>
    <row r="904">
      <c r="E904" s="1"/>
    </row>
    <row r="905">
      <c r="E905" s="1"/>
    </row>
    <row r="906">
      <c r="E906" s="1"/>
    </row>
    <row r="907">
      <c r="E907" s="1"/>
    </row>
    <row r="908">
      <c r="E908" s="1"/>
    </row>
    <row r="909">
      <c r="E909" s="1"/>
    </row>
    <row r="910">
      <c r="E910" s="1"/>
    </row>
    <row r="911">
      <c r="E911" s="1"/>
    </row>
    <row r="912">
      <c r="E912" s="1"/>
    </row>
    <row r="913">
      <c r="E913" s="1"/>
    </row>
    <row r="914">
      <c r="E914" s="1"/>
    </row>
    <row r="915">
      <c r="E915" s="1"/>
    </row>
    <row r="916">
      <c r="E916" s="1"/>
    </row>
    <row r="917">
      <c r="E917" s="1"/>
    </row>
    <row r="918">
      <c r="E918" s="1"/>
    </row>
    <row r="919">
      <c r="E919" s="1"/>
    </row>
    <row r="920">
      <c r="E920" s="1"/>
    </row>
    <row r="921">
      <c r="E921" s="1"/>
    </row>
    <row r="922">
      <c r="E922" s="1"/>
    </row>
    <row r="923">
      <c r="E923" s="1"/>
    </row>
    <row r="924">
      <c r="E924" s="1"/>
    </row>
    <row r="925">
      <c r="E925" s="1"/>
    </row>
    <row r="926">
      <c r="E926" s="1"/>
    </row>
    <row r="927">
      <c r="E927" s="1"/>
    </row>
    <row r="928">
      <c r="E928" s="1"/>
    </row>
    <row r="929">
      <c r="E929" s="1"/>
    </row>
    <row r="930">
      <c r="E930" s="1"/>
    </row>
    <row r="931">
      <c r="E931" s="1"/>
    </row>
  </sheetData>
  <conditionalFormatting sqref="G7:G37">
    <cfRule type="expression" dxfId="5" priority="1">
      <formula>$G7&gt;=$O$9</formula>
    </cfRule>
  </conditionalFormatting>
  <conditionalFormatting sqref="N3">
    <cfRule type="expression" dxfId="5" priority="2">
      <formula>N3&gt;=O8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4" max="4" width="22.0"/>
    <col customWidth="1" min="5" max="5" width="15.0"/>
    <col customWidth="1" min="9" max="9" width="18.38"/>
    <col customWidth="1" min="11" max="11" width="18.5"/>
    <col customWidth="1" min="14" max="14" width="18.38"/>
    <col customWidth="1" min="15" max="15" width="15.88"/>
    <col customWidth="1" min="16" max="16" width="18.5"/>
    <col customWidth="1" min="17" max="17" width="17.0"/>
    <col customWidth="1" min="22" max="22" width="19.38"/>
  </cols>
  <sheetData>
    <row r="1">
      <c r="E1" s="1"/>
    </row>
    <row r="2">
      <c r="E2" s="1"/>
      <c r="K2" s="2" t="s">
        <v>0</v>
      </c>
      <c r="L2" s="3" t="s">
        <v>1</v>
      </c>
      <c r="M2" s="4" t="s">
        <v>2</v>
      </c>
      <c r="N2" s="4" t="s">
        <v>3</v>
      </c>
    </row>
    <row r="3">
      <c r="E3" s="1"/>
      <c r="K3" s="5" t="s">
        <v>4</v>
      </c>
      <c r="L3" s="6">
        <f t="shared" ref="L3:M3" si="1">sum(E7:E37)</f>
        <v>11.31</v>
      </c>
      <c r="M3" s="3">
        <f t="shared" si="1"/>
        <v>388.56</v>
      </c>
      <c r="N3" s="7">
        <f>M3*Sumario!N4</f>
        <v>341.0080272</v>
      </c>
      <c r="O3" s="7">
        <f>Sumario!N4</f>
        <v>0.87762</v>
      </c>
    </row>
    <row r="4">
      <c r="B4" s="8" t="s">
        <v>71</v>
      </c>
      <c r="C4" s="10"/>
      <c r="D4" s="10"/>
      <c r="E4" s="11"/>
      <c r="F4" s="10"/>
      <c r="G4" s="10"/>
      <c r="H4" s="10"/>
      <c r="I4" s="10"/>
      <c r="J4" s="10"/>
      <c r="K4" s="10"/>
      <c r="L4" s="10"/>
    </row>
    <row r="5">
      <c r="B5" s="8" t="s">
        <v>8</v>
      </c>
      <c r="C5" s="8" t="s">
        <v>9</v>
      </c>
      <c r="D5" s="8" t="s">
        <v>11</v>
      </c>
      <c r="E5" s="8" t="s">
        <v>12</v>
      </c>
      <c r="F5" s="8" t="s">
        <v>13</v>
      </c>
      <c r="G5" s="12" t="s">
        <v>14</v>
      </c>
      <c r="H5" s="12"/>
      <c r="I5" s="13"/>
      <c r="J5" s="14"/>
      <c r="K5" s="15"/>
      <c r="L5" s="10"/>
    </row>
    <row r="6">
      <c r="B6" s="10"/>
      <c r="C6" s="10"/>
      <c r="D6" s="10"/>
      <c r="E6" s="10"/>
      <c r="F6" s="16"/>
      <c r="G6" s="10"/>
      <c r="H6" s="15" t="s">
        <v>15</v>
      </c>
      <c r="I6" s="10"/>
      <c r="J6" s="10"/>
      <c r="K6" s="10"/>
      <c r="L6" s="10"/>
    </row>
    <row r="7">
      <c r="B7" s="10"/>
      <c r="C7" s="15" t="s">
        <v>16</v>
      </c>
      <c r="D7" s="16"/>
      <c r="E7" s="17"/>
      <c r="F7" s="19">
        <f>13.05+2.54</f>
        <v>15.59</v>
      </c>
      <c r="G7" s="11">
        <f t="shared" ref="G7:G37" si="2">E7+(F7*$O$3)</f>
        <v>13.6820958</v>
      </c>
      <c r="H7" s="24">
        <f t="shared" ref="H7:H37" si="3">G7/$O$9</f>
        <v>0.1149296047</v>
      </c>
      <c r="I7" s="25">
        <f t="shared" ref="I7:I37" si="4">315+G7</f>
        <v>328.6820958</v>
      </c>
      <c r="J7" s="10"/>
      <c r="K7" s="10"/>
      <c r="L7" s="10"/>
    </row>
    <row r="8">
      <c r="B8" s="10"/>
      <c r="C8" s="15" t="s">
        <v>20</v>
      </c>
      <c r="D8" s="16"/>
      <c r="E8" s="17"/>
      <c r="F8" s="19">
        <f>5.72+3.96+9.37+1.37+3.16</f>
        <v>23.58</v>
      </c>
      <c r="G8" s="11">
        <f t="shared" si="2"/>
        <v>20.6942796</v>
      </c>
      <c r="H8" s="24">
        <f t="shared" si="3"/>
        <v>0.1738319486</v>
      </c>
      <c r="I8" s="25">
        <f t="shared" si="4"/>
        <v>335.6942796</v>
      </c>
      <c r="J8" s="10"/>
      <c r="K8" s="10"/>
      <c r="L8" s="10"/>
      <c r="N8" s="31" t="s">
        <v>15</v>
      </c>
      <c r="O8" s="31">
        <v>2500.0</v>
      </c>
      <c r="P8" s="34">
        <f>O8-Sumario!K10</f>
        <v>2125.46037</v>
      </c>
    </row>
    <row r="9">
      <c r="B9" s="10"/>
      <c r="C9" s="15" t="s">
        <v>27</v>
      </c>
      <c r="D9" s="16"/>
      <c r="E9" s="17"/>
      <c r="F9" s="19"/>
      <c r="G9" s="11">
        <f t="shared" si="2"/>
        <v>0</v>
      </c>
      <c r="H9" s="24">
        <f t="shared" si="3"/>
        <v>0</v>
      </c>
      <c r="I9" s="25">
        <f t="shared" si="4"/>
        <v>315</v>
      </c>
      <c r="J9" s="10"/>
      <c r="K9" s="10"/>
      <c r="L9" s="15">
        <v>6615.0</v>
      </c>
      <c r="N9" s="31" t="s">
        <v>28</v>
      </c>
      <c r="O9" s="4">
        <f>O8/21</f>
        <v>119.047619</v>
      </c>
      <c r="P9" s="36">
        <f>P8/O8</f>
        <v>0.8501841482</v>
      </c>
    </row>
    <row r="10">
      <c r="B10" s="10"/>
      <c r="C10" s="15" t="s">
        <v>29</v>
      </c>
      <c r="D10" s="16"/>
      <c r="E10" s="17"/>
      <c r="F10" s="19"/>
      <c r="G10" s="11">
        <f t="shared" si="2"/>
        <v>0</v>
      </c>
      <c r="H10" s="24">
        <f t="shared" si="3"/>
        <v>0</v>
      </c>
      <c r="I10" s="25">
        <f t="shared" si="4"/>
        <v>315</v>
      </c>
      <c r="J10" s="10"/>
      <c r="K10" s="10"/>
      <c r="L10" s="38">
        <f>L9+Sumario!K10</f>
        <v>6989.53963</v>
      </c>
    </row>
    <row r="11">
      <c r="B11" s="10"/>
      <c r="C11" s="15" t="s">
        <v>30</v>
      </c>
      <c r="D11" s="16"/>
      <c r="E11" s="17"/>
      <c r="F11" s="19"/>
      <c r="G11" s="11">
        <f t="shared" si="2"/>
        <v>0</v>
      </c>
      <c r="H11" s="24">
        <f t="shared" si="3"/>
        <v>0</v>
      </c>
      <c r="I11" s="25">
        <f t="shared" si="4"/>
        <v>315</v>
      </c>
      <c r="J11" s="10"/>
      <c r="K11" s="10"/>
      <c r="L11" s="10"/>
    </row>
    <row r="12">
      <c r="B12" s="15"/>
      <c r="C12" s="15" t="s">
        <v>31</v>
      </c>
      <c r="D12" s="20"/>
      <c r="E12" s="40"/>
      <c r="F12" s="19">
        <f>0.6+6.82+1.43+3.06+2.69+2.18+12.21+1.31+1.44+4.05+0.57+0.87+2.4</f>
        <v>39.63</v>
      </c>
      <c r="G12" s="11">
        <f t="shared" si="2"/>
        <v>34.7800806</v>
      </c>
      <c r="H12" s="24">
        <f t="shared" si="3"/>
        <v>0.292152677</v>
      </c>
      <c r="I12" s="25">
        <f t="shared" si="4"/>
        <v>349.7800806</v>
      </c>
      <c r="J12" s="15"/>
      <c r="K12" s="15"/>
      <c r="L12" s="10"/>
    </row>
    <row r="13">
      <c r="B13" s="15"/>
      <c r="C13" s="15" t="s">
        <v>32</v>
      </c>
      <c r="D13" s="20"/>
      <c r="E13" s="40"/>
      <c r="F13" s="19">
        <f>3.94+1.5+0.74+6.7+2+1.5+2.46+2.25+1.36</f>
        <v>22.45</v>
      </c>
      <c r="G13" s="11">
        <f t="shared" si="2"/>
        <v>19.702569</v>
      </c>
      <c r="H13" s="24">
        <f t="shared" si="3"/>
        <v>0.1655015796</v>
      </c>
      <c r="I13" s="25">
        <f t="shared" si="4"/>
        <v>334.702569</v>
      </c>
      <c r="J13" s="15"/>
      <c r="K13" s="15"/>
      <c r="L13" s="10"/>
    </row>
    <row r="14">
      <c r="B14" s="15"/>
      <c r="C14" s="15" t="s">
        <v>33</v>
      </c>
      <c r="D14" s="20"/>
      <c r="E14" s="40">
        <f>2.15</f>
        <v>2.15</v>
      </c>
      <c r="F14" s="19">
        <f>1.51+6.28+8.74+3.85+0.96+3.34+3.7+0.13+3.72+0.11+2.59+0.03+4.78+3.65+3.28</f>
        <v>46.67</v>
      </c>
      <c r="G14" s="11">
        <f t="shared" si="2"/>
        <v>43.1085254</v>
      </c>
      <c r="H14" s="24">
        <f t="shared" si="3"/>
        <v>0.3621116134</v>
      </c>
      <c r="I14" s="25">
        <f t="shared" si="4"/>
        <v>358.1085254</v>
      </c>
      <c r="J14" s="15"/>
      <c r="K14" s="15"/>
      <c r="L14" s="10"/>
    </row>
    <row r="15">
      <c r="B15" s="15"/>
      <c r="C15" s="15" t="s">
        <v>34</v>
      </c>
      <c r="D15" s="20"/>
      <c r="E15" s="40"/>
      <c r="F15" s="19">
        <f>5.1+3.9+11.35+4.63+0.58+0.05+0.62</f>
        <v>26.23</v>
      </c>
      <c r="G15" s="11">
        <f t="shared" si="2"/>
        <v>23.0199726</v>
      </c>
      <c r="H15" s="24">
        <f t="shared" si="3"/>
        <v>0.1933677698</v>
      </c>
      <c r="I15" s="25">
        <f t="shared" si="4"/>
        <v>338.0199726</v>
      </c>
      <c r="J15" s="15"/>
      <c r="K15" s="15"/>
      <c r="L15" s="10"/>
    </row>
    <row r="16">
      <c r="B16" s="15"/>
      <c r="C16" s="15" t="s">
        <v>36</v>
      </c>
      <c r="D16" s="20"/>
      <c r="E16" s="40"/>
      <c r="F16" s="19">
        <f>1.98+2.4</f>
        <v>4.38</v>
      </c>
      <c r="G16" s="11">
        <f t="shared" si="2"/>
        <v>3.8439756</v>
      </c>
      <c r="H16" s="24">
        <f t="shared" si="3"/>
        <v>0.03228939504</v>
      </c>
      <c r="I16" s="25">
        <f t="shared" si="4"/>
        <v>318.8439756</v>
      </c>
      <c r="J16" s="15"/>
      <c r="K16" s="15"/>
      <c r="L16" s="10"/>
    </row>
    <row r="17">
      <c r="B17" s="15"/>
      <c r="C17" s="15" t="s">
        <v>37</v>
      </c>
      <c r="D17" s="20"/>
      <c r="E17" s="40"/>
      <c r="F17" s="19"/>
      <c r="G17" s="11">
        <f t="shared" si="2"/>
        <v>0</v>
      </c>
      <c r="H17" s="24">
        <f t="shared" si="3"/>
        <v>0</v>
      </c>
      <c r="I17" s="25">
        <f t="shared" si="4"/>
        <v>315</v>
      </c>
      <c r="J17" s="15"/>
      <c r="K17" s="15"/>
      <c r="L17" s="10"/>
    </row>
    <row r="18">
      <c r="B18" s="15"/>
      <c r="C18" s="15" t="s">
        <v>38</v>
      </c>
      <c r="D18" s="20"/>
      <c r="E18" s="40"/>
      <c r="F18" s="19"/>
      <c r="G18" s="11">
        <f t="shared" si="2"/>
        <v>0</v>
      </c>
      <c r="H18" s="24">
        <f t="shared" si="3"/>
        <v>0</v>
      </c>
      <c r="I18" s="25">
        <f t="shared" si="4"/>
        <v>315</v>
      </c>
      <c r="J18" s="15"/>
      <c r="K18" s="15"/>
      <c r="L18" s="10"/>
    </row>
    <row r="19">
      <c r="B19" s="15"/>
      <c r="C19" s="15" t="s">
        <v>39</v>
      </c>
      <c r="D19" s="20"/>
      <c r="E19" s="40"/>
      <c r="F19" s="19">
        <f>2.46+2.1+3.1+12.32+1.3+7.05+6.59+3.78</f>
        <v>38.7</v>
      </c>
      <c r="G19" s="11">
        <f t="shared" si="2"/>
        <v>33.963894</v>
      </c>
      <c r="H19" s="24">
        <f t="shared" si="3"/>
        <v>0.2852967096</v>
      </c>
      <c r="I19" s="25">
        <f t="shared" si="4"/>
        <v>348.963894</v>
      </c>
      <c r="J19" s="15"/>
      <c r="K19" s="15"/>
      <c r="L19" s="10"/>
    </row>
    <row r="20">
      <c r="B20" s="15"/>
      <c r="C20" s="15" t="s">
        <v>40</v>
      </c>
      <c r="D20" s="20"/>
      <c r="E20" s="40"/>
      <c r="F20" s="41">
        <f>2.41+2.8+14.43</f>
        <v>19.64</v>
      </c>
      <c r="G20" s="11">
        <f t="shared" si="2"/>
        <v>17.2364568</v>
      </c>
      <c r="H20" s="24">
        <f t="shared" si="3"/>
        <v>0.1447862371</v>
      </c>
      <c r="I20" s="25">
        <f t="shared" si="4"/>
        <v>332.2364568</v>
      </c>
      <c r="J20" s="15"/>
      <c r="K20" s="15"/>
      <c r="L20" s="10"/>
    </row>
    <row r="21">
      <c r="B21" s="15"/>
      <c r="C21" s="15" t="s">
        <v>41</v>
      </c>
      <c r="D21" s="20"/>
      <c r="E21" s="40"/>
      <c r="F21" s="19">
        <f>8.73+5.49+12.21+8.21</f>
        <v>34.64</v>
      </c>
      <c r="G21" s="11">
        <f t="shared" si="2"/>
        <v>30.4007568</v>
      </c>
      <c r="H21" s="24">
        <f t="shared" si="3"/>
        <v>0.2553663571</v>
      </c>
      <c r="I21" s="25">
        <f t="shared" si="4"/>
        <v>345.4007568</v>
      </c>
      <c r="J21" s="15"/>
      <c r="K21" s="15"/>
      <c r="L21" s="10"/>
    </row>
    <row r="22">
      <c r="B22" s="15"/>
      <c r="C22" s="15" t="s">
        <v>42</v>
      </c>
      <c r="D22" s="20"/>
      <c r="E22" s="40"/>
      <c r="F22" s="41">
        <f>5+34.8+9.82+12.38</f>
        <v>62</v>
      </c>
      <c r="G22" s="11">
        <f t="shared" si="2"/>
        <v>54.41244</v>
      </c>
      <c r="H22" s="24">
        <f t="shared" si="3"/>
        <v>0.457064496</v>
      </c>
      <c r="I22" s="25">
        <f t="shared" si="4"/>
        <v>369.41244</v>
      </c>
      <c r="J22" s="15"/>
      <c r="K22" s="15"/>
      <c r="L22" s="10"/>
    </row>
    <row r="23">
      <c r="C23" s="15" t="s">
        <v>44</v>
      </c>
      <c r="E23" s="17"/>
      <c r="F23" s="46">
        <f>3.84+5.1+2.64</f>
        <v>11.58</v>
      </c>
      <c r="G23" s="11">
        <f t="shared" si="2"/>
        <v>10.1628396</v>
      </c>
      <c r="H23" s="24">
        <f t="shared" si="3"/>
        <v>0.08536785264</v>
      </c>
      <c r="I23" s="25">
        <f t="shared" si="4"/>
        <v>325.1628396</v>
      </c>
      <c r="J23" s="45"/>
      <c r="K23" s="45"/>
      <c r="L23" s="45"/>
      <c r="M23" s="45"/>
      <c r="N23" s="45"/>
      <c r="O23" s="45"/>
      <c r="P23" s="45"/>
      <c r="Q23" s="45"/>
    </row>
    <row r="24">
      <c r="C24" s="15" t="s">
        <v>45</v>
      </c>
      <c r="E24" s="40"/>
      <c r="F24" s="46"/>
      <c r="G24" s="11">
        <f t="shared" si="2"/>
        <v>0</v>
      </c>
      <c r="H24" s="24">
        <f t="shared" si="3"/>
        <v>0</v>
      </c>
      <c r="I24" s="25">
        <f t="shared" si="4"/>
        <v>315</v>
      </c>
      <c r="J24" s="45"/>
      <c r="K24" s="45"/>
      <c r="L24" s="45"/>
      <c r="M24" s="45"/>
      <c r="N24" s="45"/>
      <c r="O24" s="45"/>
      <c r="P24" s="45"/>
      <c r="Q24" s="45"/>
    </row>
    <row r="25">
      <c r="C25" s="15" t="s">
        <v>46</v>
      </c>
      <c r="E25" s="40"/>
      <c r="F25" s="46"/>
      <c r="G25" s="11">
        <f t="shared" si="2"/>
        <v>0</v>
      </c>
      <c r="H25" s="24">
        <f t="shared" si="3"/>
        <v>0</v>
      </c>
      <c r="I25" s="25">
        <f t="shared" si="4"/>
        <v>315</v>
      </c>
      <c r="J25" s="45"/>
      <c r="K25" s="45"/>
      <c r="L25" s="45"/>
      <c r="M25" s="45"/>
      <c r="N25" s="45"/>
      <c r="O25" s="45"/>
      <c r="P25" s="45"/>
      <c r="Q25" s="45"/>
    </row>
    <row r="26">
      <c r="C26" s="15" t="s">
        <v>47</v>
      </c>
      <c r="E26" s="40"/>
      <c r="F26" s="46">
        <f>9.1+0.48+0.5+0.5+1.18</f>
        <v>11.76</v>
      </c>
      <c r="G26" s="11">
        <f t="shared" si="2"/>
        <v>10.3208112</v>
      </c>
      <c r="H26" s="24">
        <f t="shared" si="3"/>
        <v>0.08669481408</v>
      </c>
      <c r="I26" s="25">
        <f t="shared" si="4"/>
        <v>325.3208112</v>
      </c>
      <c r="J26" s="45"/>
      <c r="K26" s="45"/>
      <c r="L26" s="45"/>
      <c r="M26" s="45"/>
      <c r="N26" s="45"/>
      <c r="O26" s="45"/>
      <c r="P26" s="45"/>
      <c r="Q26" s="45"/>
    </row>
    <row r="27">
      <c r="C27" s="15" t="s">
        <v>48</v>
      </c>
      <c r="E27" s="40"/>
      <c r="F27" s="46">
        <f>0.82+0.2+8.6+8.6+2.35</f>
        <v>20.57</v>
      </c>
      <c r="G27" s="11">
        <f t="shared" si="2"/>
        <v>18.0526434</v>
      </c>
      <c r="H27" s="24">
        <f t="shared" si="3"/>
        <v>0.1516422046</v>
      </c>
      <c r="I27" s="25">
        <f t="shared" si="4"/>
        <v>333.0526434</v>
      </c>
      <c r="J27" s="45"/>
      <c r="K27" s="45"/>
      <c r="L27" s="45"/>
      <c r="M27" s="45"/>
      <c r="N27" s="45"/>
      <c r="O27" s="45"/>
      <c r="P27" s="45"/>
      <c r="Q27" s="45"/>
    </row>
    <row r="28">
      <c r="C28" s="15" t="s">
        <v>49</v>
      </c>
      <c r="E28" s="17"/>
      <c r="F28" s="44">
        <f>4.22</f>
        <v>4.22</v>
      </c>
      <c r="G28" s="11">
        <f t="shared" si="2"/>
        <v>3.7035564</v>
      </c>
      <c r="H28" s="24">
        <f t="shared" si="3"/>
        <v>0.03110987376</v>
      </c>
      <c r="I28" s="25">
        <f t="shared" si="4"/>
        <v>318.7035564</v>
      </c>
      <c r="J28" s="45"/>
      <c r="K28" s="45"/>
      <c r="L28" s="45"/>
      <c r="M28" s="45"/>
      <c r="N28" s="45"/>
      <c r="O28" s="45"/>
      <c r="P28" s="45"/>
      <c r="Q28" s="45"/>
    </row>
    <row r="29">
      <c r="C29" s="15" t="s">
        <v>51</v>
      </c>
      <c r="E29" s="17"/>
      <c r="F29" s="46"/>
      <c r="G29" s="11">
        <f t="shared" si="2"/>
        <v>0</v>
      </c>
      <c r="H29" s="24">
        <f t="shared" si="3"/>
        <v>0</v>
      </c>
      <c r="I29" s="25">
        <f t="shared" si="4"/>
        <v>315</v>
      </c>
      <c r="J29" s="45"/>
      <c r="K29" s="45"/>
      <c r="L29" s="45"/>
      <c r="M29" s="45"/>
      <c r="N29" s="45"/>
      <c r="O29" s="45"/>
      <c r="P29" s="45"/>
      <c r="Q29" s="45"/>
    </row>
    <row r="30">
      <c r="C30" s="15" t="s">
        <v>52</v>
      </c>
      <c r="E30" s="40"/>
      <c r="F30" s="46"/>
      <c r="G30" s="11">
        <f t="shared" si="2"/>
        <v>0</v>
      </c>
      <c r="H30" s="24">
        <f t="shared" si="3"/>
        <v>0</v>
      </c>
      <c r="I30" s="25">
        <f t="shared" si="4"/>
        <v>315</v>
      </c>
      <c r="J30" s="45"/>
      <c r="K30" s="45"/>
      <c r="L30" s="45"/>
      <c r="M30" s="45"/>
      <c r="N30" s="45"/>
      <c r="O30" s="45"/>
      <c r="P30" s="45"/>
      <c r="Q30" s="45"/>
    </row>
    <row r="31">
      <c r="C31" s="15" t="s">
        <v>53</v>
      </c>
      <c r="E31" s="40"/>
      <c r="F31" s="46"/>
      <c r="G31" s="11">
        <f t="shared" si="2"/>
        <v>0</v>
      </c>
      <c r="H31" s="24">
        <f t="shared" si="3"/>
        <v>0</v>
      </c>
      <c r="I31" s="25">
        <f t="shared" si="4"/>
        <v>315</v>
      </c>
      <c r="J31" s="45"/>
      <c r="K31" s="45"/>
      <c r="L31" s="45"/>
      <c r="M31" s="45"/>
      <c r="N31" s="45"/>
      <c r="O31" s="45"/>
      <c r="P31" s="45"/>
      <c r="Q31" s="45"/>
    </row>
    <row r="32">
      <c r="C32" s="15" t="s">
        <v>54</v>
      </c>
      <c r="E32" s="40"/>
      <c r="F32" s="46"/>
      <c r="G32" s="11">
        <f t="shared" si="2"/>
        <v>0</v>
      </c>
      <c r="H32" s="24">
        <f t="shared" si="3"/>
        <v>0</v>
      </c>
      <c r="I32" s="25">
        <f t="shared" si="4"/>
        <v>315</v>
      </c>
      <c r="J32" s="45"/>
      <c r="K32" s="45"/>
      <c r="L32" s="45"/>
      <c r="M32" s="45"/>
      <c r="N32" s="45"/>
      <c r="O32" s="45"/>
      <c r="P32" s="45"/>
      <c r="Q32" s="45"/>
    </row>
    <row r="33">
      <c r="C33" s="15" t="s">
        <v>55</v>
      </c>
      <c r="E33" s="40">
        <f>0.22+0.76+6.09</f>
        <v>7.07</v>
      </c>
      <c r="F33" s="46"/>
      <c r="G33" s="11">
        <f t="shared" si="2"/>
        <v>7.07</v>
      </c>
      <c r="H33" s="24">
        <f t="shared" si="3"/>
        <v>0.059388</v>
      </c>
      <c r="I33" s="25">
        <f t="shared" si="4"/>
        <v>322.07</v>
      </c>
    </row>
    <row r="34">
      <c r="C34" s="15" t="s">
        <v>56</v>
      </c>
      <c r="E34" s="40"/>
      <c r="F34" s="46"/>
      <c r="G34" s="11">
        <f t="shared" si="2"/>
        <v>0</v>
      </c>
      <c r="H34" s="24">
        <f t="shared" si="3"/>
        <v>0</v>
      </c>
      <c r="I34" s="25">
        <f t="shared" si="4"/>
        <v>315</v>
      </c>
    </row>
    <row r="35">
      <c r="C35" s="15" t="s">
        <v>57</v>
      </c>
      <c r="E35" s="40"/>
      <c r="F35" s="46"/>
      <c r="G35" s="11">
        <f t="shared" si="2"/>
        <v>0</v>
      </c>
      <c r="H35" s="24">
        <f t="shared" si="3"/>
        <v>0</v>
      </c>
      <c r="I35" s="25">
        <f t="shared" si="4"/>
        <v>315</v>
      </c>
    </row>
    <row r="36">
      <c r="C36" s="15" t="s">
        <v>58</v>
      </c>
      <c r="E36" s="40">
        <f>2.09</f>
        <v>2.09</v>
      </c>
      <c r="F36" s="46">
        <f>5.26+1.66</f>
        <v>6.92</v>
      </c>
      <c r="G36" s="11">
        <f t="shared" si="2"/>
        <v>8.1631304</v>
      </c>
      <c r="H36" s="24">
        <f t="shared" si="3"/>
        <v>0.06857029536</v>
      </c>
      <c r="I36" s="25">
        <f t="shared" si="4"/>
        <v>323.1631304</v>
      </c>
    </row>
    <row r="37">
      <c r="C37" s="15" t="s">
        <v>59</v>
      </c>
      <c r="E37" s="17"/>
      <c r="F37" s="44"/>
      <c r="G37" s="11">
        <f t="shared" si="2"/>
        <v>0</v>
      </c>
      <c r="H37" s="24">
        <f t="shared" si="3"/>
        <v>0</v>
      </c>
      <c r="I37" s="25">
        <f t="shared" si="4"/>
        <v>315</v>
      </c>
    </row>
    <row r="38">
      <c r="E38" s="1"/>
    </row>
    <row r="39">
      <c r="E39" s="1"/>
    </row>
    <row r="40">
      <c r="E40" s="1"/>
    </row>
    <row r="41">
      <c r="B41" s="48"/>
      <c r="C41" s="49"/>
      <c r="E41" s="1"/>
    </row>
    <row r="42">
      <c r="E42" s="1"/>
    </row>
    <row r="43">
      <c r="E43" s="1"/>
    </row>
    <row r="44">
      <c r="E44" s="1"/>
    </row>
    <row r="45">
      <c r="E45" s="1"/>
    </row>
    <row r="46">
      <c r="E46" s="1"/>
    </row>
    <row r="47">
      <c r="E47" s="1"/>
    </row>
    <row r="48">
      <c r="E48" s="1"/>
    </row>
    <row r="49">
      <c r="E49" s="1"/>
    </row>
    <row r="50">
      <c r="E50" s="1"/>
    </row>
    <row r="51">
      <c r="E51" s="1"/>
    </row>
    <row r="52">
      <c r="E52" s="1"/>
    </row>
    <row r="53">
      <c r="E53" s="1"/>
    </row>
    <row r="54">
      <c r="E54" s="1"/>
    </row>
    <row r="55">
      <c r="E55" s="1"/>
    </row>
    <row r="56">
      <c r="E56" s="1"/>
    </row>
    <row r="57">
      <c r="E57" s="1"/>
    </row>
    <row r="58">
      <c r="E58" s="1"/>
    </row>
    <row r="59">
      <c r="E59" s="1"/>
    </row>
    <row r="60">
      <c r="E60" s="1"/>
    </row>
    <row r="61">
      <c r="E61" s="1"/>
    </row>
    <row r="62">
      <c r="E62" s="1"/>
    </row>
    <row r="63">
      <c r="E63" s="1"/>
    </row>
    <row r="64">
      <c r="E64" s="1"/>
    </row>
    <row r="65">
      <c r="E65" s="1"/>
    </row>
    <row r="66">
      <c r="E66" s="1"/>
    </row>
    <row r="67">
      <c r="E67" s="1"/>
    </row>
    <row r="68">
      <c r="E68" s="1"/>
    </row>
    <row r="69">
      <c r="E69" s="1"/>
    </row>
    <row r="70">
      <c r="E70" s="1"/>
    </row>
    <row r="71">
      <c r="E71" s="1"/>
    </row>
    <row r="72">
      <c r="E72" s="1"/>
    </row>
    <row r="73">
      <c r="E73" s="1"/>
    </row>
    <row r="74">
      <c r="E74" s="1"/>
    </row>
    <row r="75">
      <c r="E75" s="1"/>
    </row>
    <row r="76">
      <c r="E76" s="1"/>
    </row>
    <row r="77">
      <c r="E77" s="1"/>
    </row>
    <row r="78">
      <c r="E78" s="1"/>
    </row>
    <row r="79">
      <c r="E79" s="1"/>
    </row>
    <row r="80">
      <c r="E80" s="1"/>
    </row>
    <row r="81">
      <c r="E81" s="1"/>
    </row>
    <row r="82">
      <c r="E82" s="1"/>
    </row>
    <row r="83">
      <c r="E83" s="1"/>
    </row>
    <row r="84">
      <c r="E84" s="1"/>
    </row>
    <row r="85">
      <c r="E85" s="1"/>
    </row>
    <row r="86">
      <c r="E86" s="1"/>
    </row>
    <row r="87">
      <c r="E87" s="1"/>
    </row>
    <row r="88">
      <c r="E88" s="1"/>
    </row>
    <row r="89">
      <c r="E89" s="1"/>
    </row>
    <row r="90">
      <c r="E90" s="1"/>
    </row>
    <row r="91">
      <c r="E91" s="1"/>
    </row>
    <row r="92">
      <c r="E92" s="1"/>
    </row>
    <row r="93">
      <c r="E93" s="1"/>
    </row>
    <row r="94">
      <c r="E94" s="1"/>
    </row>
    <row r="95">
      <c r="E95" s="1"/>
    </row>
    <row r="96">
      <c r="E96" s="1"/>
    </row>
    <row r="97">
      <c r="E97" s="1"/>
    </row>
    <row r="98">
      <c r="E98" s="1"/>
    </row>
    <row r="99">
      <c r="E99" s="1"/>
    </row>
    <row r="100">
      <c r="E100" s="1"/>
    </row>
    <row r="101">
      <c r="E101" s="1"/>
    </row>
    <row r="102">
      <c r="E102" s="1"/>
    </row>
    <row r="103">
      <c r="E103" s="1"/>
    </row>
    <row r="104">
      <c r="E104" s="1"/>
    </row>
    <row r="105">
      <c r="E105" s="1"/>
    </row>
    <row r="106">
      <c r="E106" s="1"/>
    </row>
    <row r="107">
      <c r="E107" s="1"/>
    </row>
    <row r="108">
      <c r="E108" s="1"/>
    </row>
    <row r="109">
      <c r="E109" s="1"/>
    </row>
    <row r="110">
      <c r="E110" s="1"/>
    </row>
    <row r="111">
      <c r="E111" s="1"/>
    </row>
    <row r="112">
      <c r="E112" s="1"/>
    </row>
    <row r="113">
      <c r="E113" s="1"/>
    </row>
    <row r="114">
      <c r="E114" s="1"/>
    </row>
    <row r="115">
      <c r="E115" s="1"/>
    </row>
    <row r="116">
      <c r="E116" s="1"/>
    </row>
    <row r="117">
      <c r="E117" s="1"/>
    </row>
    <row r="118">
      <c r="E118" s="1"/>
    </row>
    <row r="119">
      <c r="E119" s="1"/>
    </row>
    <row r="120">
      <c r="E120" s="1"/>
    </row>
    <row r="121">
      <c r="E121" s="1"/>
    </row>
    <row r="122">
      <c r="E122" s="1"/>
    </row>
    <row r="123">
      <c r="E123" s="1"/>
    </row>
    <row r="124">
      <c r="E124" s="1"/>
    </row>
    <row r="125">
      <c r="E125" s="1"/>
    </row>
    <row r="126">
      <c r="E126" s="1"/>
    </row>
    <row r="127">
      <c r="E127" s="1"/>
    </row>
    <row r="128">
      <c r="E128" s="1"/>
    </row>
    <row r="129">
      <c r="E129" s="1"/>
    </row>
    <row r="130">
      <c r="E130" s="1"/>
    </row>
    <row r="131">
      <c r="E131" s="1"/>
    </row>
    <row r="132">
      <c r="E132" s="1"/>
    </row>
    <row r="133">
      <c r="E133" s="1"/>
    </row>
    <row r="134">
      <c r="E134" s="1"/>
    </row>
    <row r="135">
      <c r="E135" s="1"/>
    </row>
    <row r="136">
      <c r="E136" s="1"/>
    </row>
    <row r="137">
      <c r="E137" s="1"/>
    </row>
    <row r="138">
      <c r="E138" s="1"/>
    </row>
    <row r="139">
      <c r="E139" s="1"/>
    </row>
    <row r="140">
      <c r="E140" s="1"/>
    </row>
    <row r="141">
      <c r="E141" s="1"/>
    </row>
    <row r="142">
      <c r="E142" s="1"/>
    </row>
    <row r="143">
      <c r="E143" s="1"/>
    </row>
    <row r="144">
      <c r="E144" s="1"/>
    </row>
    <row r="145">
      <c r="E145" s="1"/>
    </row>
    <row r="146">
      <c r="E146" s="1"/>
    </row>
    <row r="147">
      <c r="E147" s="1"/>
    </row>
    <row r="148">
      <c r="E148" s="1"/>
    </row>
    <row r="149">
      <c r="E149" s="1"/>
    </row>
    <row r="150">
      <c r="E150" s="1"/>
    </row>
    <row r="151">
      <c r="E151" s="1"/>
    </row>
    <row r="152">
      <c r="E152" s="1"/>
    </row>
    <row r="153">
      <c r="E153" s="1"/>
    </row>
    <row r="154">
      <c r="E154" s="1"/>
    </row>
    <row r="155">
      <c r="E155" s="1"/>
    </row>
    <row r="156">
      <c r="E156" s="1"/>
    </row>
    <row r="157">
      <c r="E157" s="1"/>
    </row>
    <row r="158">
      <c r="E158" s="1"/>
    </row>
    <row r="159">
      <c r="E159" s="1"/>
    </row>
    <row r="160">
      <c r="E160" s="1"/>
    </row>
    <row r="161">
      <c r="E161" s="1"/>
    </row>
    <row r="162">
      <c r="E162" s="1"/>
    </row>
    <row r="163">
      <c r="E163" s="1"/>
    </row>
    <row r="164">
      <c r="E164" s="1"/>
    </row>
    <row r="165">
      <c r="E165" s="1"/>
    </row>
    <row r="166">
      <c r="E166" s="1"/>
    </row>
    <row r="167">
      <c r="E167" s="1"/>
    </row>
    <row r="168">
      <c r="E168" s="1"/>
    </row>
    <row r="169">
      <c r="E169" s="1"/>
    </row>
    <row r="170">
      <c r="E170" s="1"/>
    </row>
    <row r="171">
      <c r="E171" s="1"/>
    </row>
    <row r="172">
      <c r="E172" s="1"/>
    </row>
    <row r="173">
      <c r="E173" s="1"/>
    </row>
    <row r="174">
      <c r="E174" s="1"/>
    </row>
    <row r="175">
      <c r="E175" s="1"/>
    </row>
    <row r="176">
      <c r="E176" s="1"/>
    </row>
    <row r="177">
      <c r="E177" s="1"/>
    </row>
    <row r="178">
      <c r="E178" s="1"/>
    </row>
    <row r="179">
      <c r="E179" s="1"/>
    </row>
    <row r="180">
      <c r="E180" s="1"/>
    </row>
    <row r="181">
      <c r="E181" s="1"/>
    </row>
    <row r="182">
      <c r="E182" s="1"/>
    </row>
    <row r="183">
      <c r="E183" s="1"/>
    </row>
    <row r="184">
      <c r="E184" s="1"/>
    </row>
    <row r="185">
      <c r="E185" s="1"/>
    </row>
    <row r="186">
      <c r="E186" s="1"/>
    </row>
    <row r="187">
      <c r="E187" s="1"/>
    </row>
    <row r="188">
      <c r="E188" s="1"/>
    </row>
    <row r="189">
      <c r="E189" s="1"/>
    </row>
    <row r="190">
      <c r="E190" s="1"/>
    </row>
    <row r="191">
      <c r="E191" s="1"/>
    </row>
    <row r="192">
      <c r="E192" s="1"/>
    </row>
    <row r="193">
      <c r="E193" s="1"/>
    </row>
    <row r="194">
      <c r="E194" s="1"/>
    </row>
    <row r="195">
      <c r="E195" s="1"/>
    </row>
    <row r="196">
      <c r="E196" s="1"/>
    </row>
    <row r="197">
      <c r="E197" s="1"/>
    </row>
    <row r="198">
      <c r="E198" s="1"/>
    </row>
    <row r="199">
      <c r="E199" s="1"/>
    </row>
    <row r="200">
      <c r="E200" s="1"/>
    </row>
    <row r="201">
      <c r="E201" s="1"/>
    </row>
    <row r="202">
      <c r="E202" s="1"/>
    </row>
    <row r="203">
      <c r="E203" s="1"/>
    </row>
    <row r="204">
      <c r="E204" s="1"/>
    </row>
    <row r="205">
      <c r="E205" s="1"/>
    </row>
    <row r="206">
      <c r="E206" s="1"/>
    </row>
    <row r="207">
      <c r="E207" s="1"/>
    </row>
    <row r="208">
      <c r="E208" s="1"/>
    </row>
    <row r="209">
      <c r="E209" s="1"/>
    </row>
    <row r="210">
      <c r="E210" s="1"/>
    </row>
    <row r="211">
      <c r="E211" s="1"/>
    </row>
    <row r="212">
      <c r="E212" s="1"/>
    </row>
    <row r="213">
      <c r="E213" s="1"/>
    </row>
    <row r="214">
      <c r="E214" s="1"/>
    </row>
    <row r="215">
      <c r="E215" s="1"/>
    </row>
    <row r="216">
      <c r="E216" s="1"/>
    </row>
    <row r="217">
      <c r="E217" s="1"/>
    </row>
    <row r="218">
      <c r="E218" s="1"/>
    </row>
    <row r="219">
      <c r="E219" s="1"/>
    </row>
    <row r="220">
      <c r="E220" s="1"/>
    </row>
    <row r="221">
      <c r="E221" s="1"/>
    </row>
    <row r="222">
      <c r="E222" s="1"/>
    </row>
    <row r="223">
      <c r="E223" s="1"/>
    </row>
    <row r="224">
      <c r="E224" s="1"/>
    </row>
    <row r="225">
      <c r="E225" s="1"/>
    </row>
    <row r="226">
      <c r="E226" s="1"/>
    </row>
    <row r="227">
      <c r="E227" s="1"/>
    </row>
    <row r="228">
      <c r="E228" s="1"/>
    </row>
    <row r="229">
      <c r="E229" s="1"/>
    </row>
    <row r="230">
      <c r="E230" s="1"/>
    </row>
    <row r="231">
      <c r="E231" s="1"/>
    </row>
    <row r="232">
      <c r="E232" s="1"/>
    </row>
    <row r="233">
      <c r="E233" s="1"/>
    </row>
    <row r="234">
      <c r="E234" s="1"/>
    </row>
    <row r="235">
      <c r="E235" s="1"/>
    </row>
    <row r="236">
      <c r="E236" s="1"/>
    </row>
    <row r="237">
      <c r="E237" s="1"/>
    </row>
    <row r="238">
      <c r="E238" s="1"/>
    </row>
    <row r="239">
      <c r="E239" s="1"/>
    </row>
    <row r="240">
      <c r="E240" s="1"/>
    </row>
    <row r="241">
      <c r="E241" s="1"/>
    </row>
    <row r="242">
      <c r="E242" s="1"/>
    </row>
    <row r="243">
      <c r="E243" s="1"/>
    </row>
    <row r="244">
      <c r="E244" s="1"/>
    </row>
    <row r="245">
      <c r="E245" s="1"/>
    </row>
    <row r="246">
      <c r="E246" s="1"/>
    </row>
    <row r="247">
      <c r="E247" s="1"/>
    </row>
    <row r="248">
      <c r="E248" s="1"/>
    </row>
    <row r="249">
      <c r="E249" s="1"/>
    </row>
    <row r="250">
      <c r="E250" s="1"/>
    </row>
    <row r="251">
      <c r="E251" s="1"/>
    </row>
    <row r="252">
      <c r="E252" s="1"/>
    </row>
    <row r="253">
      <c r="E253" s="1"/>
    </row>
    <row r="254">
      <c r="E254" s="1"/>
    </row>
    <row r="255">
      <c r="E255" s="1"/>
    </row>
    <row r="256">
      <c r="E256" s="1"/>
    </row>
    <row r="257">
      <c r="E257" s="1"/>
    </row>
    <row r="258">
      <c r="E258" s="1"/>
    </row>
    <row r="259">
      <c r="E259" s="1"/>
    </row>
    <row r="260">
      <c r="E260" s="1"/>
    </row>
    <row r="261">
      <c r="E261" s="1"/>
    </row>
    <row r="262">
      <c r="E262" s="1"/>
    </row>
    <row r="263">
      <c r="E263" s="1"/>
    </row>
    <row r="264">
      <c r="E264" s="1"/>
    </row>
    <row r="265">
      <c r="E265" s="1"/>
    </row>
    <row r="266">
      <c r="E266" s="1"/>
    </row>
    <row r="267">
      <c r="E267" s="1"/>
    </row>
    <row r="268">
      <c r="E268" s="1"/>
    </row>
    <row r="269">
      <c r="E269" s="1"/>
    </row>
    <row r="270">
      <c r="E270" s="1"/>
    </row>
    <row r="271">
      <c r="E271" s="1"/>
    </row>
    <row r="272">
      <c r="E272" s="1"/>
    </row>
    <row r="273">
      <c r="E273" s="1"/>
    </row>
    <row r="274">
      <c r="E274" s="1"/>
    </row>
    <row r="275">
      <c r="E275" s="1"/>
    </row>
    <row r="276">
      <c r="E276" s="1"/>
    </row>
    <row r="277">
      <c r="E277" s="1"/>
    </row>
    <row r="278">
      <c r="E278" s="1"/>
    </row>
    <row r="279">
      <c r="E279" s="1"/>
    </row>
    <row r="280">
      <c r="E280" s="1"/>
    </row>
    <row r="281">
      <c r="E281" s="1"/>
    </row>
    <row r="282">
      <c r="E282" s="1"/>
    </row>
    <row r="283">
      <c r="E283" s="1"/>
    </row>
    <row r="284">
      <c r="E284" s="1"/>
    </row>
    <row r="285">
      <c r="E285" s="1"/>
    </row>
    <row r="286">
      <c r="E286" s="1"/>
    </row>
    <row r="287">
      <c r="E287" s="1"/>
    </row>
    <row r="288">
      <c r="E288" s="1"/>
    </row>
    <row r="289">
      <c r="E289" s="1"/>
    </row>
    <row r="290">
      <c r="E290" s="1"/>
    </row>
    <row r="291">
      <c r="E291" s="1"/>
    </row>
    <row r="292">
      <c r="E292" s="1"/>
    </row>
    <row r="293">
      <c r="E293" s="1"/>
    </row>
    <row r="294">
      <c r="E294" s="1"/>
    </row>
    <row r="295">
      <c r="E295" s="1"/>
    </row>
    <row r="296">
      <c r="E296" s="1"/>
    </row>
    <row r="297">
      <c r="E297" s="1"/>
    </row>
    <row r="298">
      <c r="E298" s="1"/>
    </row>
    <row r="299">
      <c r="E299" s="1"/>
    </row>
    <row r="300">
      <c r="E300" s="1"/>
    </row>
    <row r="301">
      <c r="E301" s="1"/>
    </row>
    <row r="302">
      <c r="E302" s="1"/>
    </row>
    <row r="303">
      <c r="E303" s="1"/>
    </row>
    <row r="304">
      <c r="E304" s="1"/>
    </row>
    <row r="305">
      <c r="E305" s="1"/>
    </row>
    <row r="306">
      <c r="E306" s="1"/>
    </row>
    <row r="307">
      <c r="E307" s="1"/>
    </row>
    <row r="308">
      <c r="E308" s="1"/>
    </row>
    <row r="309">
      <c r="E309" s="1"/>
    </row>
    <row r="310">
      <c r="E310" s="1"/>
    </row>
    <row r="311">
      <c r="E311" s="1"/>
    </row>
    <row r="312">
      <c r="E312" s="1"/>
    </row>
    <row r="313">
      <c r="E313" s="1"/>
    </row>
    <row r="314">
      <c r="E314" s="1"/>
    </row>
    <row r="315">
      <c r="E315" s="1"/>
    </row>
    <row r="316">
      <c r="E316" s="1"/>
    </row>
    <row r="317">
      <c r="E317" s="1"/>
    </row>
    <row r="318">
      <c r="E318" s="1"/>
    </row>
    <row r="319">
      <c r="E319" s="1"/>
    </row>
    <row r="320">
      <c r="E320" s="1"/>
    </row>
    <row r="321">
      <c r="E321" s="1"/>
    </row>
    <row r="322">
      <c r="E322" s="1"/>
    </row>
    <row r="323">
      <c r="E323" s="1"/>
    </row>
    <row r="324">
      <c r="E324" s="1"/>
    </row>
    <row r="325">
      <c r="E325" s="1"/>
    </row>
    <row r="326">
      <c r="E326" s="1"/>
    </row>
    <row r="327">
      <c r="E327" s="1"/>
    </row>
    <row r="328">
      <c r="E328" s="1"/>
    </row>
    <row r="329">
      <c r="E329" s="1"/>
    </row>
    <row r="330">
      <c r="E330" s="1"/>
    </row>
    <row r="331">
      <c r="E331" s="1"/>
    </row>
    <row r="332">
      <c r="E332" s="1"/>
    </row>
    <row r="333">
      <c r="E333" s="1"/>
    </row>
    <row r="334">
      <c r="E334" s="1"/>
    </row>
    <row r="335">
      <c r="E335" s="1"/>
    </row>
    <row r="336">
      <c r="E336" s="1"/>
    </row>
    <row r="337">
      <c r="E337" s="1"/>
    </row>
    <row r="338">
      <c r="E338" s="1"/>
    </row>
    <row r="339">
      <c r="E339" s="1"/>
    </row>
    <row r="340">
      <c r="E340" s="1"/>
    </row>
    <row r="341">
      <c r="E341" s="1"/>
    </row>
    <row r="342">
      <c r="E342" s="1"/>
    </row>
    <row r="343">
      <c r="E343" s="1"/>
    </row>
    <row r="344">
      <c r="E344" s="1"/>
    </row>
    <row r="345">
      <c r="E345" s="1"/>
    </row>
    <row r="346">
      <c r="E346" s="1"/>
    </row>
    <row r="347">
      <c r="E347" s="1"/>
    </row>
    <row r="348">
      <c r="E348" s="1"/>
    </row>
    <row r="349">
      <c r="E349" s="1"/>
    </row>
    <row r="350">
      <c r="E350" s="1"/>
    </row>
    <row r="351">
      <c r="E351" s="1"/>
    </row>
    <row r="352">
      <c r="E352" s="1"/>
    </row>
    <row r="353">
      <c r="E353" s="1"/>
    </row>
    <row r="354">
      <c r="E354" s="1"/>
    </row>
    <row r="355">
      <c r="E355" s="1"/>
    </row>
    <row r="356">
      <c r="E356" s="1"/>
    </row>
    <row r="357">
      <c r="E357" s="1"/>
    </row>
    <row r="358">
      <c r="E358" s="1"/>
    </row>
    <row r="359">
      <c r="E359" s="1"/>
    </row>
    <row r="360">
      <c r="E360" s="1"/>
    </row>
    <row r="361">
      <c r="E361" s="1"/>
    </row>
    <row r="362">
      <c r="E362" s="1"/>
    </row>
    <row r="363">
      <c r="E363" s="1"/>
    </row>
    <row r="364">
      <c r="E364" s="1"/>
    </row>
    <row r="365">
      <c r="E365" s="1"/>
    </row>
    <row r="366">
      <c r="E366" s="1"/>
    </row>
    <row r="367">
      <c r="E367" s="1"/>
    </row>
    <row r="368">
      <c r="E368" s="1"/>
    </row>
    <row r="369">
      <c r="E369" s="1"/>
    </row>
    <row r="370">
      <c r="E370" s="1"/>
    </row>
    <row r="371">
      <c r="E371" s="1"/>
    </row>
    <row r="372">
      <c r="E372" s="1"/>
    </row>
    <row r="373">
      <c r="E373" s="1"/>
    </row>
    <row r="374">
      <c r="E374" s="1"/>
    </row>
    <row r="375">
      <c r="E375" s="1"/>
    </row>
    <row r="376">
      <c r="E376" s="1"/>
    </row>
    <row r="377">
      <c r="E377" s="1"/>
    </row>
    <row r="378">
      <c r="E378" s="1"/>
    </row>
    <row r="379">
      <c r="E379" s="1"/>
    </row>
    <row r="380">
      <c r="E380" s="1"/>
    </row>
    <row r="381">
      <c r="E381" s="1"/>
    </row>
    <row r="382">
      <c r="E382" s="1"/>
    </row>
    <row r="383">
      <c r="E383" s="1"/>
    </row>
    <row r="384">
      <c r="E384" s="1"/>
    </row>
    <row r="385">
      <c r="E385" s="1"/>
    </row>
    <row r="386">
      <c r="E386" s="1"/>
    </row>
    <row r="387">
      <c r="E387" s="1"/>
    </row>
    <row r="388">
      <c r="E388" s="1"/>
    </row>
    <row r="389">
      <c r="E389" s="1"/>
    </row>
    <row r="390">
      <c r="E390" s="1"/>
    </row>
    <row r="391">
      <c r="E391" s="1"/>
    </row>
    <row r="392">
      <c r="E392" s="1"/>
    </row>
    <row r="393">
      <c r="E393" s="1"/>
    </row>
    <row r="394">
      <c r="E394" s="1"/>
    </row>
    <row r="395">
      <c r="E395" s="1"/>
    </row>
    <row r="396">
      <c r="E396" s="1"/>
    </row>
    <row r="397">
      <c r="E397" s="1"/>
    </row>
    <row r="398">
      <c r="E398" s="1"/>
    </row>
    <row r="399">
      <c r="E399" s="1"/>
    </row>
    <row r="400">
      <c r="E400" s="1"/>
    </row>
    <row r="401">
      <c r="E401" s="1"/>
    </row>
    <row r="402">
      <c r="E402" s="1"/>
    </row>
    <row r="403">
      <c r="E403" s="1"/>
    </row>
    <row r="404">
      <c r="E404" s="1"/>
    </row>
    <row r="405">
      <c r="E405" s="1"/>
    </row>
    <row r="406">
      <c r="E406" s="1"/>
    </row>
    <row r="407">
      <c r="E407" s="1"/>
    </row>
    <row r="408">
      <c r="E408" s="1"/>
    </row>
    <row r="409">
      <c r="E409" s="1"/>
    </row>
    <row r="410">
      <c r="E410" s="1"/>
    </row>
    <row r="411">
      <c r="E411" s="1"/>
    </row>
    <row r="412">
      <c r="E412" s="1"/>
    </row>
    <row r="413">
      <c r="E413" s="1"/>
    </row>
    <row r="414">
      <c r="E414" s="1"/>
    </row>
    <row r="415">
      <c r="E415" s="1"/>
    </row>
    <row r="416">
      <c r="E416" s="1"/>
    </row>
    <row r="417">
      <c r="E417" s="1"/>
    </row>
    <row r="418">
      <c r="E418" s="1"/>
    </row>
    <row r="419">
      <c r="E419" s="1"/>
    </row>
    <row r="420">
      <c r="E420" s="1"/>
    </row>
    <row r="421">
      <c r="E421" s="1"/>
    </row>
    <row r="422">
      <c r="E422" s="1"/>
    </row>
    <row r="423">
      <c r="E423" s="1"/>
    </row>
    <row r="424">
      <c r="E424" s="1"/>
    </row>
    <row r="425">
      <c r="E425" s="1"/>
    </row>
    <row r="426">
      <c r="E426" s="1"/>
    </row>
    <row r="427">
      <c r="E427" s="1"/>
    </row>
    <row r="428">
      <c r="E428" s="1"/>
    </row>
    <row r="429">
      <c r="E429" s="1"/>
    </row>
    <row r="430">
      <c r="E430" s="1"/>
    </row>
    <row r="431">
      <c r="E431" s="1"/>
    </row>
    <row r="432">
      <c r="E432" s="1"/>
    </row>
    <row r="433">
      <c r="E433" s="1"/>
    </row>
    <row r="434">
      <c r="E434" s="1"/>
    </row>
    <row r="435">
      <c r="E435" s="1"/>
    </row>
    <row r="436">
      <c r="E436" s="1"/>
    </row>
    <row r="437">
      <c r="E437" s="1"/>
    </row>
    <row r="438">
      <c r="E438" s="1"/>
    </row>
    <row r="439">
      <c r="E439" s="1"/>
    </row>
    <row r="440">
      <c r="E440" s="1"/>
    </row>
    <row r="441">
      <c r="E441" s="1"/>
    </row>
    <row r="442">
      <c r="E442" s="1"/>
    </row>
    <row r="443">
      <c r="E443" s="1"/>
    </row>
    <row r="444">
      <c r="E444" s="1"/>
    </row>
    <row r="445">
      <c r="E445" s="1"/>
    </row>
    <row r="446">
      <c r="E446" s="1"/>
    </row>
    <row r="447">
      <c r="E447" s="1"/>
    </row>
    <row r="448">
      <c r="E448" s="1"/>
    </row>
    <row r="449">
      <c r="E449" s="1"/>
    </row>
    <row r="450">
      <c r="E450" s="1"/>
    </row>
    <row r="451">
      <c r="E451" s="1"/>
    </row>
    <row r="452">
      <c r="E452" s="1"/>
    </row>
    <row r="453">
      <c r="E453" s="1"/>
    </row>
    <row r="454">
      <c r="E454" s="1"/>
    </row>
    <row r="455">
      <c r="E455" s="1"/>
    </row>
    <row r="456">
      <c r="E456" s="1"/>
    </row>
    <row r="457">
      <c r="E457" s="1"/>
    </row>
    <row r="458">
      <c r="E458" s="1"/>
    </row>
    <row r="459">
      <c r="E459" s="1"/>
    </row>
    <row r="460">
      <c r="E460" s="1"/>
    </row>
    <row r="461">
      <c r="E461" s="1"/>
    </row>
    <row r="462">
      <c r="E462" s="1"/>
    </row>
    <row r="463">
      <c r="E463" s="1"/>
    </row>
    <row r="464">
      <c r="E464" s="1"/>
    </row>
    <row r="465">
      <c r="E465" s="1"/>
    </row>
    <row r="466">
      <c r="E466" s="1"/>
    </row>
    <row r="467">
      <c r="E467" s="1"/>
    </row>
    <row r="468">
      <c r="E468" s="1"/>
    </row>
    <row r="469">
      <c r="E469" s="1"/>
    </row>
    <row r="470">
      <c r="E470" s="1"/>
    </row>
    <row r="471">
      <c r="E471" s="1"/>
    </row>
    <row r="472">
      <c r="E472" s="1"/>
    </row>
    <row r="473">
      <c r="E473" s="1"/>
    </row>
    <row r="474">
      <c r="E474" s="1"/>
    </row>
    <row r="475">
      <c r="E475" s="1"/>
    </row>
    <row r="476">
      <c r="E476" s="1"/>
    </row>
    <row r="477">
      <c r="E477" s="1"/>
    </row>
    <row r="478">
      <c r="E478" s="1"/>
    </row>
    <row r="479">
      <c r="E479" s="1"/>
    </row>
    <row r="480">
      <c r="E480" s="1"/>
    </row>
    <row r="481">
      <c r="E481" s="1"/>
    </row>
    <row r="482">
      <c r="E482" s="1"/>
    </row>
    <row r="483">
      <c r="E483" s="1"/>
    </row>
    <row r="484">
      <c r="E484" s="1"/>
    </row>
    <row r="485">
      <c r="E485" s="1"/>
    </row>
    <row r="486">
      <c r="E486" s="1"/>
    </row>
    <row r="487">
      <c r="E487" s="1"/>
    </row>
    <row r="488">
      <c r="E488" s="1"/>
    </row>
    <row r="489">
      <c r="E489" s="1"/>
    </row>
    <row r="490">
      <c r="E490" s="1"/>
    </row>
    <row r="491">
      <c r="E491" s="1"/>
    </row>
    <row r="492">
      <c r="E492" s="1"/>
    </row>
    <row r="493">
      <c r="E493" s="1"/>
    </row>
    <row r="494">
      <c r="E494" s="1"/>
    </row>
    <row r="495">
      <c r="E495" s="1"/>
    </row>
    <row r="496">
      <c r="E496" s="1"/>
    </row>
    <row r="497">
      <c r="E497" s="1"/>
    </row>
    <row r="498">
      <c r="E498" s="1"/>
    </row>
    <row r="499">
      <c r="E499" s="1"/>
    </row>
    <row r="500">
      <c r="E500" s="1"/>
    </row>
    <row r="501">
      <c r="E501" s="1"/>
    </row>
    <row r="502">
      <c r="E502" s="1"/>
    </row>
    <row r="503">
      <c r="E503" s="1"/>
    </row>
    <row r="504">
      <c r="E504" s="1"/>
    </row>
    <row r="505">
      <c r="E505" s="1"/>
    </row>
    <row r="506">
      <c r="E506" s="1"/>
    </row>
    <row r="507">
      <c r="E507" s="1"/>
    </row>
    <row r="508">
      <c r="E508" s="1"/>
    </row>
    <row r="509">
      <c r="E509" s="1"/>
    </row>
    <row r="510">
      <c r="E510" s="1"/>
    </row>
    <row r="511">
      <c r="E511" s="1"/>
    </row>
    <row r="512">
      <c r="E512" s="1"/>
    </row>
    <row r="513">
      <c r="E513" s="1"/>
    </row>
    <row r="514">
      <c r="E514" s="1"/>
    </row>
    <row r="515">
      <c r="E515" s="1"/>
    </row>
    <row r="516">
      <c r="E516" s="1"/>
    </row>
    <row r="517">
      <c r="E517" s="1"/>
    </row>
    <row r="518">
      <c r="E518" s="1"/>
    </row>
    <row r="519">
      <c r="E519" s="1"/>
    </row>
    <row r="520">
      <c r="E520" s="1"/>
    </row>
    <row r="521">
      <c r="E521" s="1"/>
    </row>
    <row r="522">
      <c r="E522" s="1"/>
    </row>
    <row r="523">
      <c r="E523" s="1"/>
    </row>
    <row r="524">
      <c r="E524" s="1"/>
    </row>
    <row r="525">
      <c r="E525" s="1"/>
    </row>
    <row r="526">
      <c r="E526" s="1"/>
    </row>
    <row r="527">
      <c r="E527" s="1"/>
    </row>
    <row r="528">
      <c r="E528" s="1"/>
    </row>
    <row r="529">
      <c r="E529" s="1"/>
    </row>
    <row r="530">
      <c r="E530" s="1"/>
    </row>
    <row r="531">
      <c r="E531" s="1"/>
    </row>
    <row r="532">
      <c r="E532" s="1"/>
    </row>
    <row r="533">
      <c r="E533" s="1"/>
    </row>
    <row r="534">
      <c r="E534" s="1"/>
    </row>
    <row r="535">
      <c r="E535" s="1"/>
    </row>
    <row r="536">
      <c r="E536" s="1"/>
    </row>
    <row r="537">
      <c r="E537" s="1"/>
    </row>
    <row r="538">
      <c r="E538" s="1"/>
    </row>
    <row r="539">
      <c r="E539" s="1"/>
    </row>
    <row r="540">
      <c r="E540" s="1"/>
    </row>
    <row r="541">
      <c r="E541" s="1"/>
    </row>
    <row r="542">
      <c r="E542" s="1"/>
    </row>
    <row r="543">
      <c r="E543" s="1"/>
    </row>
    <row r="544">
      <c r="E544" s="1"/>
    </row>
    <row r="545">
      <c r="E545" s="1"/>
    </row>
    <row r="546">
      <c r="E546" s="1"/>
    </row>
    <row r="547">
      <c r="E547" s="1"/>
    </row>
    <row r="548">
      <c r="E548" s="1"/>
    </row>
    <row r="549">
      <c r="E549" s="1"/>
    </row>
    <row r="550">
      <c r="E550" s="1"/>
    </row>
    <row r="551">
      <c r="E551" s="1"/>
    </row>
    <row r="552">
      <c r="E552" s="1"/>
    </row>
    <row r="553">
      <c r="E553" s="1"/>
    </row>
    <row r="554">
      <c r="E554" s="1"/>
    </row>
    <row r="555">
      <c r="E555" s="1"/>
    </row>
    <row r="556">
      <c r="E556" s="1"/>
    </row>
    <row r="557">
      <c r="E557" s="1"/>
    </row>
    <row r="558">
      <c r="E558" s="1"/>
    </row>
    <row r="559">
      <c r="E559" s="1"/>
    </row>
    <row r="560">
      <c r="E560" s="1"/>
    </row>
    <row r="561">
      <c r="E561" s="1"/>
    </row>
    <row r="562">
      <c r="E562" s="1"/>
    </row>
    <row r="563">
      <c r="E563" s="1"/>
    </row>
    <row r="564">
      <c r="E564" s="1"/>
    </row>
    <row r="565">
      <c r="E565" s="1"/>
    </row>
    <row r="566">
      <c r="E566" s="1"/>
    </row>
    <row r="567">
      <c r="E567" s="1"/>
    </row>
    <row r="568">
      <c r="E568" s="1"/>
    </row>
    <row r="569">
      <c r="E569" s="1"/>
    </row>
    <row r="570">
      <c r="E570" s="1"/>
    </row>
    <row r="571">
      <c r="E571" s="1"/>
    </row>
    <row r="572">
      <c r="E572" s="1"/>
    </row>
    <row r="573">
      <c r="E573" s="1"/>
    </row>
    <row r="574">
      <c r="E574" s="1"/>
    </row>
    <row r="575">
      <c r="E575" s="1"/>
    </row>
    <row r="576">
      <c r="E576" s="1"/>
    </row>
    <row r="577">
      <c r="E577" s="1"/>
    </row>
    <row r="578">
      <c r="E578" s="1"/>
    </row>
    <row r="579">
      <c r="E579" s="1"/>
    </row>
    <row r="580">
      <c r="E580" s="1"/>
    </row>
    <row r="581">
      <c r="E581" s="1"/>
    </row>
    <row r="582">
      <c r="E582" s="1"/>
    </row>
    <row r="583">
      <c r="E583" s="1"/>
    </row>
    <row r="584">
      <c r="E584" s="1"/>
    </row>
    <row r="585">
      <c r="E585" s="1"/>
    </row>
    <row r="586">
      <c r="E586" s="1"/>
    </row>
    <row r="587">
      <c r="E587" s="1"/>
    </row>
    <row r="588">
      <c r="E588" s="1"/>
    </row>
    <row r="589">
      <c r="E589" s="1"/>
    </row>
    <row r="590">
      <c r="E590" s="1"/>
    </row>
    <row r="591">
      <c r="E591" s="1"/>
    </row>
    <row r="592">
      <c r="E592" s="1"/>
    </row>
    <row r="593">
      <c r="E593" s="1"/>
    </row>
    <row r="594">
      <c r="E594" s="1"/>
    </row>
    <row r="595">
      <c r="E595" s="1"/>
    </row>
    <row r="596">
      <c r="E596" s="1"/>
    </row>
    <row r="597">
      <c r="E597" s="1"/>
    </row>
    <row r="598">
      <c r="E598" s="1"/>
    </row>
    <row r="599">
      <c r="E599" s="1"/>
    </row>
    <row r="600">
      <c r="E600" s="1"/>
    </row>
    <row r="601">
      <c r="E601" s="1"/>
    </row>
    <row r="602">
      <c r="E602" s="1"/>
    </row>
    <row r="603">
      <c r="E603" s="1"/>
    </row>
    <row r="604">
      <c r="E604" s="1"/>
    </row>
    <row r="605">
      <c r="E605" s="1"/>
    </row>
    <row r="606">
      <c r="E606" s="1"/>
    </row>
    <row r="607">
      <c r="E607" s="1"/>
    </row>
    <row r="608">
      <c r="E608" s="1"/>
    </row>
    <row r="609">
      <c r="E609" s="1"/>
    </row>
    <row r="610">
      <c r="E610" s="1"/>
    </row>
    <row r="611">
      <c r="E611" s="1"/>
    </row>
    <row r="612">
      <c r="E612" s="1"/>
    </row>
    <row r="613">
      <c r="E613" s="1"/>
    </row>
    <row r="614">
      <c r="E614" s="1"/>
    </row>
    <row r="615">
      <c r="E615" s="1"/>
    </row>
    <row r="616">
      <c r="E616" s="1"/>
    </row>
    <row r="617">
      <c r="E617" s="1"/>
    </row>
    <row r="618">
      <c r="E618" s="1"/>
    </row>
    <row r="619">
      <c r="E619" s="1"/>
    </row>
    <row r="620">
      <c r="E620" s="1"/>
    </row>
    <row r="621">
      <c r="E621" s="1"/>
    </row>
    <row r="622">
      <c r="E622" s="1"/>
    </row>
    <row r="623">
      <c r="E623" s="1"/>
    </row>
    <row r="624">
      <c r="E624" s="1"/>
    </row>
    <row r="625">
      <c r="E625" s="1"/>
    </row>
    <row r="626">
      <c r="E626" s="1"/>
    </row>
    <row r="627">
      <c r="E627" s="1"/>
    </row>
    <row r="628">
      <c r="E628" s="1"/>
    </row>
    <row r="629">
      <c r="E629" s="1"/>
    </row>
    <row r="630">
      <c r="E630" s="1"/>
    </row>
    <row r="631">
      <c r="E631" s="1"/>
    </row>
    <row r="632">
      <c r="E632" s="1"/>
    </row>
    <row r="633">
      <c r="E633" s="1"/>
    </row>
    <row r="634">
      <c r="E634" s="1"/>
    </row>
    <row r="635">
      <c r="E635" s="1"/>
    </row>
    <row r="636">
      <c r="E636" s="1"/>
    </row>
    <row r="637">
      <c r="E637" s="1"/>
    </row>
    <row r="638">
      <c r="E638" s="1"/>
    </row>
    <row r="639">
      <c r="E639" s="1"/>
    </row>
    <row r="640">
      <c r="E640" s="1"/>
    </row>
    <row r="641">
      <c r="E641" s="1"/>
    </row>
    <row r="642">
      <c r="E642" s="1"/>
    </row>
    <row r="643">
      <c r="E643" s="1"/>
    </row>
    <row r="644">
      <c r="E644" s="1"/>
    </row>
    <row r="645">
      <c r="E645" s="1"/>
    </row>
    <row r="646">
      <c r="E646" s="1"/>
    </row>
    <row r="647">
      <c r="E647" s="1"/>
    </row>
    <row r="648">
      <c r="E648" s="1"/>
    </row>
    <row r="649">
      <c r="E649" s="1"/>
    </row>
    <row r="650">
      <c r="E650" s="1"/>
    </row>
    <row r="651">
      <c r="E651" s="1"/>
    </row>
    <row r="652">
      <c r="E652" s="1"/>
    </row>
    <row r="653">
      <c r="E653" s="1"/>
    </row>
    <row r="654">
      <c r="E654" s="1"/>
    </row>
    <row r="655">
      <c r="E655" s="1"/>
    </row>
    <row r="656">
      <c r="E656" s="1"/>
    </row>
    <row r="657">
      <c r="E657" s="1"/>
    </row>
    <row r="658">
      <c r="E658" s="1"/>
    </row>
    <row r="659">
      <c r="E659" s="1"/>
    </row>
    <row r="660">
      <c r="E660" s="1"/>
    </row>
    <row r="661">
      <c r="E661" s="1"/>
    </row>
    <row r="662">
      <c r="E662" s="1"/>
    </row>
    <row r="663">
      <c r="E663" s="1"/>
    </row>
    <row r="664">
      <c r="E664" s="1"/>
    </row>
    <row r="665">
      <c r="E665" s="1"/>
    </row>
    <row r="666">
      <c r="E666" s="1"/>
    </row>
    <row r="667">
      <c r="E667" s="1"/>
    </row>
    <row r="668">
      <c r="E668" s="1"/>
    </row>
    <row r="669">
      <c r="E669" s="1"/>
    </row>
    <row r="670">
      <c r="E670" s="1"/>
    </row>
    <row r="671">
      <c r="E671" s="1"/>
    </row>
    <row r="672">
      <c r="E672" s="1"/>
    </row>
    <row r="673">
      <c r="E673" s="1"/>
    </row>
    <row r="674">
      <c r="E674" s="1"/>
    </row>
    <row r="675">
      <c r="E675" s="1"/>
    </row>
    <row r="676">
      <c r="E676" s="1"/>
    </row>
    <row r="677">
      <c r="E677" s="1"/>
    </row>
    <row r="678">
      <c r="E678" s="1"/>
    </row>
    <row r="679">
      <c r="E679" s="1"/>
    </row>
    <row r="680">
      <c r="E680" s="1"/>
    </row>
    <row r="681">
      <c r="E681" s="1"/>
    </row>
    <row r="682">
      <c r="E682" s="1"/>
    </row>
    <row r="683">
      <c r="E683" s="1"/>
    </row>
    <row r="684">
      <c r="E684" s="1"/>
    </row>
    <row r="685">
      <c r="E685" s="1"/>
    </row>
    <row r="686">
      <c r="E686" s="1"/>
    </row>
    <row r="687">
      <c r="E687" s="1"/>
    </row>
    <row r="688">
      <c r="E688" s="1"/>
    </row>
    <row r="689">
      <c r="E689" s="1"/>
    </row>
    <row r="690">
      <c r="E690" s="1"/>
    </row>
    <row r="691">
      <c r="E691" s="1"/>
    </row>
    <row r="692">
      <c r="E692" s="1"/>
    </row>
    <row r="693">
      <c r="E693" s="1"/>
    </row>
    <row r="694">
      <c r="E694" s="1"/>
    </row>
    <row r="695">
      <c r="E695" s="1"/>
    </row>
    <row r="696">
      <c r="E696" s="1"/>
    </row>
    <row r="697">
      <c r="E697" s="1"/>
    </row>
    <row r="698">
      <c r="E698" s="1"/>
    </row>
    <row r="699">
      <c r="E699" s="1"/>
    </row>
    <row r="700">
      <c r="E700" s="1"/>
    </row>
    <row r="701">
      <c r="E701" s="1"/>
    </row>
    <row r="702">
      <c r="E702" s="1"/>
    </row>
    <row r="703">
      <c r="E703" s="1"/>
    </row>
    <row r="704">
      <c r="E704" s="1"/>
    </row>
    <row r="705">
      <c r="E705" s="1"/>
    </row>
    <row r="706">
      <c r="E706" s="1"/>
    </row>
    <row r="707">
      <c r="E707" s="1"/>
    </row>
    <row r="708">
      <c r="E708" s="1"/>
    </row>
    <row r="709">
      <c r="E709" s="1"/>
    </row>
    <row r="710">
      <c r="E710" s="1"/>
    </row>
    <row r="711">
      <c r="E711" s="1"/>
    </row>
    <row r="712">
      <c r="E712" s="1"/>
    </row>
    <row r="713">
      <c r="E713" s="1"/>
    </row>
    <row r="714">
      <c r="E714" s="1"/>
    </row>
    <row r="715">
      <c r="E715" s="1"/>
    </row>
    <row r="716">
      <c r="E716" s="1"/>
    </row>
    <row r="717">
      <c r="E717" s="1"/>
    </row>
    <row r="718">
      <c r="E718" s="1"/>
    </row>
    <row r="719">
      <c r="E719" s="1"/>
    </row>
    <row r="720">
      <c r="E720" s="1"/>
    </row>
    <row r="721">
      <c r="E721" s="1"/>
    </row>
    <row r="722">
      <c r="E722" s="1"/>
    </row>
    <row r="723">
      <c r="E723" s="1"/>
    </row>
    <row r="724">
      <c r="E724" s="1"/>
    </row>
    <row r="725">
      <c r="E725" s="1"/>
    </row>
    <row r="726">
      <c r="E726" s="1"/>
    </row>
    <row r="727">
      <c r="E727" s="1"/>
    </row>
    <row r="728">
      <c r="E728" s="1"/>
    </row>
    <row r="729">
      <c r="E729" s="1"/>
    </row>
    <row r="730">
      <c r="E730" s="1"/>
    </row>
    <row r="731">
      <c r="E731" s="1"/>
    </row>
    <row r="732">
      <c r="E732" s="1"/>
    </row>
    <row r="733">
      <c r="E733" s="1"/>
    </row>
    <row r="734">
      <c r="E734" s="1"/>
    </row>
    <row r="735">
      <c r="E735" s="1"/>
    </row>
    <row r="736">
      <c r="E736" s="1"/>
    </row>
    <row r="737">
      <c r="E737" s="1"/>
    </row>
    <row r="738">
      <c r="E738" s="1"/>
    </row>
    <row r="739">
      <c r="E739" s="1"/>
    </row>
    <row r="740">
      <c r="E740" s="1"/>
    </row>
    <row r="741">
      <c r="E741" s="1"/>
    </row>
    <row r="742">
      <c r="E742" s="1"/>
    </row>
    <row r="743">
      <c r="E743" s="1"/>
    </row>
    <row r="744">
      <c r="E744" s="1"/>
    </row>
    <row r="745">
      <c r="E745" s="1"/>
    </row>
    <row r="746">
      <c r="E746" s="1"/>
    </row>
    <row r="747">
      <c r="E747" s="1"/>
    </row>
    <row r="748">
      <c r="E748" s="1"/>
    </row>
    <row r="749">
      <c r="E749" s="1"/>
    </row>
    <row r="750">
      <c r="E750" s="1"/>
    </row>
    <row r="751">
      <c r="E751" s="1"/>
    </row>
    <row r="752">
      <c r="E752" s="1"/>
    </row>
    <row r="753">
      <c r="E753" s="1"/>
    </row>
    <row r="754">
      <c r="E754" s="1"/>
    </row>
    <row r="755">
      <c r="E755" s="1"/>
    </row>
    <row r="756">
      <c r="E756" s="1"/>
    </row>
    <row r="757">
      <c r="E757" s="1"/>
    </row>
    <row r="758">
      <c r="E758" s="1"/>
    </row>
    <row r="759">
      <c r="E759" s="1"/>
    </row>
    <row r="760">
      <c r="E760" s="1"/>
    </row>
    <row r="761">
      <c r="E761" s="1"/>
    </row>
    <row r="762">
      <c r="E762" s="1"/>
    </row>
    <row r="763">
      <c r="E763" s="1"/>
    </row>
    <row r="764">
      <c r="E764" s="1"/>
    </row>
    <row r="765">
      <c r="E765" s="1"/>
    </row>
    <row r="766">
      <c r="E766" s="1"/>
    </row>
    <row r="767">
      <c r="E767" s="1"/>
    </row>
    <row r="768">
      <c r="E768" s="1"/>
    </row>
    <row r="769">
      <c r="E769" s="1"/>
    </row>
    <row r="770">
      <c r="E770" s="1"/>
    </row>
    <row r="771">
      <c r="E771" s="1"/>
    </row>
    <row r="772">
      <c r="E772" s="1"/>
    </row>
    <row r="773">
      <c r="E773" s="1"/>
    </row>
    <row r="774">
      <c r="E774" s="1"/>
    </row>
    <row r="775">
      <c r="E775" s="1"/>
    </row>
    <row r="776">
      <c r="E776" s="1"/>
    </row>
    <row r="777">
      <c r="E777" s="1"/>
    </row>
    <row r="778">
      <c r="E778" s="1"/>
    </row>
    <row r="779">
      <c r="E779" s="1"/>
    </row>
    <row r="780">
      <c r="E780" s="1"/>
    </row>
    <row r="781">
      <c r="E781" s="1"/>
    </row>
    <row r="782">
      <c r="E782" s="1"/>
    </row>
    <row r="783">
      <c r="E783" s="1"/>
    </row>
    <row r="784">
      <c r="E784" s="1"/>
    </row>
    <row r="785">
      <c r="E785" s="1"/>
    </row>
    <row r="786">
      <c r="E786" s="1"/>
    </row>
    <row r="787">
      <c r="E787" s="1"/>
    </row>
    <row r="788">
      <c r="E788" s="1"/>
    </row>
    <row r="789">
      <c r="E789" s="1"/>
    </row>
    <row r="790">
      <c r="E790" s="1"/>
    </row>
    <row r="791">
      <c r="E791" s="1"/>
    </row>
    <row r="792">
      <c r="E792" s="1"/>
    </row>
    <row r="793">
      <c r="E793" s="1"/>
    </row>
    <row r="794">
      <c r="E794" s="1"/>
    </row>
    <row r="795">
      <c r="E795" s="1"/>
    </row>
    <row r="796">
      <c r="E796" s="1"/>
    </row>
    <row r="797">
      <c r="E797" s="1"/>
    </row>
    <row r="798">
      <c r="E798" s="1"/>
    </row>
    <row r="799">
      <c r="E799" s="1"/>
    </row>
    <row r="800">
      <c r="E800" s="1"/>
    </row>
    <row r="801">
      <c r="E801" s="1"/>
    </row>
    <row r="802">
      <c r="E802" s="1"/>
    </row>
    <row r="803">
      <c r="E803" s="1"/>
    </row>
    <row r="804">
      <c r="E804" s="1"/>
    </row>
    <row r="805">
      <c r="E805" s="1"/>
    </row>
    <row r="806">
      <c r="E806" s="1"/>
    </row>
    <row r="807">
      <c r="E807" s="1"/>
    </row>
    <row r="808">
      <c r="E808" s="1"/>
    </row>
    <row r="809">
      <c r="E809" s="1"/>
    </row>
    <row r="810">
      <c r="E810" s="1"/>
    </row>
    <row r="811">
      <c r="E811" s="1"/>
    </row>
    <row r="812">
      <c r="E812" s="1"/>
    </row>
    <row r="813">
      <c r="E813" s="1"/>
    </row>
    <row r="814">
      <c r="E814" s="1"/>
    </row>
    <row r="815">
      <c r="E815" s="1"/>
    </row>
    <row r="816">
      <c r="E816" s="1"/>
    </row>
    <row r="817">
      <c r="E817" s="1"/>
    </row>
    <row r="818">
      <c r="E818" s="1"/>
    </row>
    <row r="819">
      <c r="E819" s="1"/>
    </row>
    <row r="820">
      <c r="E820" s="1"/>
    </row>
    <row r="821">
      <c r="E821" s="1"/>
    </row>
    <row r="822">
      <c r="E822" s="1"/>
    </row>
    <row r="823">
      <c r="E823" s="1"/>
    </row>
    <row r="824">
      <c r="E824" s="1"/>
    </row>
    <row r="825">
      <c r="E825" s="1"/>
    </row>
    <row r="826">
      <c r="E826" s="1"/>
    </row>
    <row r="827">
      <c r="E827" s="1"/>
    </row>
    <row r="828">
      <c r="E828" s="1"/>
    </row>
    <row r="829">
      <c r="E829" s="1"/>
    </row>
    <row r="830">
      <c r="E830" s="1"/>
    </row>
    <row r="831">
      <c r="E831" s="1"/>
    </row>
    <row r="832">
      <c r="E832" s="1"/>
    </row>
    <row r="833">
      <c r="E833" s="1"/>
    </row>
    <row r="834">
      <c r="E834" s="1"/>
    </row>
    <row r="835">
      <c r="E835" s="1"/>
    </row>
    <row r="836">
      <c r="E836" s="1"/>
    </row>
    <row r="837">
      <c r="E837" s="1"/>
    </row>
    <row r="838">
      <c r="E838" s="1"/>
    </row>
    <row r="839">
      <c r="E839" s="1"/>
    </row>
    <row r="840">
      <c r="E840" s="1"/>
    </row>
    <row r="841">
      <c r="E841" s="1"/>
    </row>
    <row r="842">
      <c r="E842" s="1"/>
    </row>
    <row r="843">
      <c r="E843" s="1"/>
    </row>
    <row r="844">
      <c r="E844" s="1"/>
    </row>
    <row r="845">
      <c r="E845" s="1"/>
    </row>
    <row r="846">
      <c r="E846" s="1"/>
    </row>
    <row r="847">
      <c r="E847" s="1"/>
    </row>
    <row r="848">
      <c r="E848" s="1"/>
    </row>
    <row r="849">
      <c r="E849" s="1"/>
    </row>
    <row r="850">
      <c r="E850" s="1"/>
    </row>
    <row r="851">
      <c r="E851" s="1"/>
    </row>
    <row r="852">
      <c r="E852" s="1"/>
    </row>
    <row r="853">
      <c r="E853" s="1"/>
    </row>
    <row r="854">
      <c r="E854" s="1"/>
    </row>
    <row r="855">
      <c r="E855" s="1"/>
    </row>
    <row r="856">
      <c r="E856" s="1"/>
    </row>
    <row r="857">
      <c r="E857" s="1"/>
    </row>
    <row r="858">
      <c r="E858" s="1"/>
    </row>
    <row r="859">
      <c r="E859" s="1"/>
    </row>
    <row r="860">
      <c r="E860" s="1"/>
    </row>
    <row r="861">
      <c r="E861" s="1"/>
    </row>
    <row r="862">
      <c r="E862" s="1"/>
    </row>
    <row r="863">
      <c r="E863" s="1"/>
    </row>
    <row r="864">
      <c r="E864" s="1"/>
    </row>
    <row r="865">
      <c r="E865" s="1"/>
    </row>
    <row r="866">
      <c r="E866" s="1"/>
    </row>
    <row r="867">
      <c r="E867" s="1"/>
    </row>
    <row r="868">
      <c r="E868" s="1"/>
    </row>
    <row r="869">
      <c r="E869" s="1"/>
    </row>
    <row r="870">
      <c r="E870" s="1"/>
    </row>
    <row r="871">
      <c r="E871" s="1"/>
    </row>
    <row r="872">
      <c r="E872" s="1"/>
    </row>
    <row r="873">
      <c r="E873" s="1"/>
    </row>
    <row r="874">
      <c r="E874" s="1"/>
    </row>
    <row r="875">
      <c r="E875" s="1"/>
    </row>
    <row r="876">
      <c r="E876" s="1"/>
    </row>
    <row r="877">
      <c r="E877" s="1"/>
    </row>
    <row r="878">
      <c r="E878" s="1"/>
    </row>
    <row r="879">
      <c r="E879" s="1"/>
    </row>
    <row r="880">
      <c r="E880" s="1"/>
    </row>
    <row r="881">
      <c r="E881" s="1"/>
    </row>
    <row r="882">
      <c r="E882" s="1"/>
    </row>
    <row r="883">
      <c r="E883" s="1"/>
    </row>
    <row r="884">
      <c r="E884" s="1"/>
    </row>
    <row r="885">
      <c r="E885" s="1"/>
    </row>
    <row r="886">
      <c r="E886" s="1"/>
    </row>
    <row r="887">
      <c r="E887" s="1"/>
    </row>
    <row r="888">
      <c r="E888" s="1"/>
    </row>
    <row r="889">
      <c r="E889" s="1"/>
    </row>
    <row r="890">
      <c r="E890" s="1"/>
    </row>
    <row r="891">
      <c r="E891" s="1"/>
    </row>
    <row r="892">
      <c r="E892" s="1"/>
    </row>
    <row r="893">
      <c r="E893" s="1"/>
    </row>
    <row r="894">
      <c r="E894" s="1"/>
    </row>
    <row r="895">
      <c r="E895" s="1"/>
    </row>
    <row r="896">
      <c r="E896" s="1"/>
    </row>
    <row r="897">
      <c r="E897" s="1"/>
    </row>
    <row r="898">
      <c r="E898" s="1"/>
    </row>
    <row r="899">
      <c r="E899" s="1"/>
    </row>
    <row r="900">
      <c r="E900" s="1"/>
    </row>
    <row r="901">
      <c r="E901" s="1"/>
    </row>
    <row r="902">
      <c r="E902" s="1"/>
    </row>
    <row r="903">
      <c r="E903" s="1"/>
    </row>
    <row r="904">
      <c r="E904" s="1"/>
    </row>
    <row r="905">
      <c r="E905" s="1"/>
    </row>
    <row r="906">
      <c r="E906" s="1"/>
    </row>
    <row r="907">
      <c r="E907" s="1"/>
    </row>
    <row r="908">
      <c r="E908" s="1"/>
    </row>
    <row r="909">
      <c r="E909" s="1"/>
    </row>
    <row r="910">
      <c r="E910" s="1"/>
    </row>
    <row r="911">
      <c r="E911" s="1"/>
    </row>
    <row r="912">
      <c r="E912" s="1"/>
    </row>
    <row r="913">
      <c r="E913" s="1"/>
    </row>
    <row r="914">
      <c r="E914" s="1"/>
    </row>
    <row r="915">
      <c r="E915" s="1"/>
    </row>
    <row r="916">
      <c r="E916" s="1"/>
    </row>
    <row r="917">
      <c r="E917" s="1"/>
    </row>
    <row r="918">
      <c r="E918" s="1"/>
    </row>
    <row r="919">
      <c r="E919" s="1"/>
    </row>
    <row r="920">
      <c r="E920" s="1"/>
    </row>
    <row r="921">
      <c r="E921" s="1"/>
    </row>
    <row r="922">
      <c r="E922" s="1"/>
    </row>
    <row r="923">
      <c r="E923" s="1"/>
    </row>
    <row r="924">
      <c r="E924" s="1"/>
    </row>
    <row r="925">
      <c r="E925" s="1"/>
    </row>
    <row r="926">
      <c r="E926" s="1"/>
    </row>
    <row r="927">
      <c r="E927" s="1"/>
    </row>
    <row r="928">
      <c r="E928" s="1"/>
    </row>
    <row r="929">
      <c r="E929" s="1"/>
    </row>
    <row r="930">
      <c r="E930" s="1"/>
    </row>
    <row r="931">
      <c r="E931" s="1"/>
    </row>
  </sheetData>
  <conditionalFormatting sqref="G7:G37">
    <cfRule type="expression" dxfId="5" priority="1">
      <formula>$G7&gt;=$O$9</formula>
    </cfRule>
  </conditionalFormatting>
  <conditionalFormatting sqref="N3">
    <cfRule type="expression" dxfId="5" priority="2">
      <formula>N3&gt;=O8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4" max="4" width="22.0"/>
    <col customWidth="1" min="5" max="5" width="15.0"/>
    <col customWidth="1" min="9" max="9" width="18.38"/>
    <col customWidth="1" min="11" max="11" width="18.5"/>
    <col customWidth="1" min="14" max="14" width="18.38"/>
    <col customWidth="1" min="15" max="15" width="15.88"/>
    <col customWidth="1" min="16" max="16" width="18.5"/>
    <col customWidth="1" min="17" max="17" width="17.0"/>
    <col customWidth="1" min="22" max="22" width="19.38"/>
  </cols>
  <sheetData>
    <row r="1">
      <c r="E1" s="1"/>
    </row>
    <row r="2">
      <c r="E2" s="1"/>
      <c r="K2" s="2" t="s">
        <v>0</v>
      </c>
      <c r="L2" s="3" t="s">
        <v>1</v>
      </c>
      <c r="M2" s="4" t="s">
        <v>2</v>
      </c>
      <c r="N2" s="4" t="s">
        <v>3</v>
      </c>
    </row>
    <row r="3">
      <c r="E3" s="1"/>
      <c r="K3" s="5" t="s">
        <v>4</v>
      </c>
      <c r="L3" s="6">
        <f t="shared" ref="L3:M3" si="1">sum(E7:E37)</f>
        <v>0</v>
      </c>
      <c r="M3" s="3">
        <f t="shared" si="1"/>
        <v>606.31</v>
      </c>
      <c r="N3" s="7">
        <f>M3*Sumario!N4</f>
        <v>532.1097822</v>
      </c>
      <c r="O3" s="7">
        <f>Sumario!N4</f>
        <v>0.87762</v>
      </c>
    </row>
    <row r="4">
      <c r="B4" s="8" t="s">
        <v>72</v>
      </c>
      <c r="C4" s="10"/>
      <c r="D4" s="10"/>
      <c r="E4" s="11"/>
      <c r="F4" s="10"/>
      <c r="G4" s="10"/>
      <c r="H4" s="10"/>
      <c r="I4" s="10"/>
      <c r="J4" s="10"/>
      <c r="K4" s="10"/>
      <c r="L4" s="10"/>
    </row>
    <row r="5">
      <c r="B5" s="8" t="s">
        <v>8</v>
      </c>
      <c r="C5" s="8" t="s">
        <v>9</v>
      </c>
      <c r="D5" s="8" t="s">
        <v>11</v>
      </c>
      <c r="E5" s="8" t="s">
        <v>12</v>
      </c>
      <c r="F5" s="8" t="s">
        <v>13</v>
      </c>
      <c r="G5" s="12" t="s">
        <v>14</v>
      </c>
      <c r="H5" s="12"/>
      <c r="I5" s="13"/>
      <c r="J5" s="14"/>
      <c r="K5" s="15"/>
      <c r="L5" s="10"/>
    </row>
    <row r="6">
      <c r="B6" s="10"/>
      <c r="C6" s="10"/>
      <c r="D6" s="10"/>
      <c r="E6" s="10"/>
      <c r="F6" s="16"/>
      <c r="G6" s="10"/>
      <c r="H6" s="15" t="s">
        <v>15</v>
      </c>
      <c r="I6" s="10"/>
      <c r="J6" s="10"/>
      <c r="K6" s="10"/>
      <c r="L6" s="10"/>
    </row>
    <row r="7">
      <c r="B7" s="10"/>
      <c r="C7" s="15" t="s">
        <v>16</v>
      </c>
      <c r="D7" s="16"/>
      <c r="E7" s="17"/>
      <c r="F7" s="19">
        <f>2.61+2.68+4.62</f>
        <v>9.91</v>
      </c>
      <c r="G7" s="11">
        <f t="shared" ref="G7:G37" si="2">E7+(F7*$O$3)</f>
        <v>8.6972142</v>
      </c>
      <c r="H7" s="24">
        <f t="shared" ref="H7:H37" si="3">G7/$O$9</f>
        <v>0.07305659928</v>
      </c>
      <c r="I7" s="25">
        <f t="shared" ref="I7:I37" si="4">315+G7</f>
        <v>323.6972142</v>
      </c>
      <c r="J7" s="10"/>
      <c r="K7" s="10"/>
      <c r="L7" s="10"/>
    </row>
    <row r="8">
      <c r="B8" s="10"/>
      <c r="C8" s="15" t="s">
        <v>20</v>
      </c>
      <c r="D8" s="16"/>
      <c r="E8" s="17"/>
      <c r="F8" s="19"/>
      <c r="G8" s="11">
        <f t="shared" si="2"/>
        <v>0</v>
      </c>
      <c r="H8" s="24">
        <f t="shared" si="3"/>
        <v>0</v>
      </c>
      <c r="I8" s="25">
        <f t="shared" si="4"/>
        <v>315</v>
      </c>
      <c r="J8" s="10"/>
      <c r="K8" s="10"/>
      <c r="L8" s="10"/>
      <c r="N8" s="31" t="s">
        <v>15</v>
      </c>
      <c r="O8" s="31">
        <v>2500.0</v>
      </c>
      <c r="P8" s="34">
        <f>O8-Sumario!K11</f>
        <v>1957.85445</v>
      </c>
    </row>
    <row r="9">
      <c r="B9" s="10"/>
      <c r="C9" s="15" t="s">
        <v>27</v>
      </c>
      <c r="D9" s="16"/>
      <c r="E9" s="17"/>
      <c r="F9" s="19"/>
      <c r="G9" s="11">
        <f t="shared" si="2"/>
        <v>0</v>
      </c>
      <c r="H9" s="24">
        <f t="shared" si="3"/>
        <v>0</v>
      </c>
      <c r="I9" s="25">
        <f t="shared" si="4"/>
        <v>315</v>
      </c>
      <c r="J9" s="10"/>
      <c r="K9" s="10"/>
      <c r="L9" s="15">
        <v>6300.0</v>
      </c>
      <c r="N9" s="31" t="s">
        <v>28</v>
      </c>
      <c r="O9" s="4">
        <f>O8/21</f>
        <v>119.047619</v>
      </c>
      <c r="P9" s="36">
        <f>P8/O8</f>
        <v>0.7831417802</v>
      </c>
    </row>
    <row r="10">
      <c r="B10" s="10"/>
      <c r="C10" s="15" t="s">
        <v>29</v>
      </c>
      <c r="D10" s="16"/>
      <c r="E10" s="17"/>
      <c r="F10" s="19">
        <f>4.17+19.3+9.6</f>
        <v>33.07</v>
      </c>
      <c r="G10" s="11">
        <f t="shared" si="2"/>
        <v>29.0228934</v>
      </c>
      <c r="H10" s="24">
        <f t="shared" si="3"/>
        <v>0.2437923046</v>
      </c>
      <c r="I10" s="25">
        <f t="shared" si="4"/>
        <v>344.0228934</v>
      </c>
      <c r="J10" s="10"/>
      <c r="K10" s="10"/>
      <c r="L10" s="38">
        <f>L9+Sumario!K11</f>
        <v>6842.14555</v>
      </c>
    </row>
    <row r="11">
      <c r="B11" s="10"/>
      <c r="C11" s="15" t="s">
        <v>30</v>
      </c>
      <c r="D11" s="16"/>
      <c r="E11" s="17"/>
      <c r="F11" s="19"/>
      <c r="G11" s="11">
        <f t="shared" si="2"/>
        <v>0</v>
      </c>
      <c r="H11" s="24">
        <f t="shared" si="3"/>
        <v>0</v>
      </c>
      <c r="I11" s="25">
        <f t="shared" si="4"/>
        <v>315</v>
      </c>
      <c r="J11" s="10"/>
      <c r="K11" s="10"/>
      <c r="L11" s="10"/>
    </row>
    <row r="12">
      <c r="B12" s="15"/>
      <c r="C12" s="15" t="s">
        <v>31</v>
      </c>
      <c r="D12" s="20"/>
      <c r="E12" s="40"/>
      <c r="F12" s="41">
        <f>18.98+3.03+5.1</f>
        <v>27.11</v>
      </c>
      <c r="G12" s="11">
        <f t="shared" si="2"/>
        <v>23.7922782</v>
      </c>
      <c r="H12" s="24">
        <f t="shared" si="3"/>
        <v>0.1998551369</v>
      </c>
      <c r="I12" s="25">
        <f t="shared" si="4"/>
        <v>338.7922782</v>
      </c>
      <c r="J12" s="15"/>
      <c r="K12" s="15"/>
      <c r="L12" s="10"/>
    </row>
    <row r="13">
      <c r="B13" s="15"/>
      <c r="C13" s="15" t="s">
        <v>32</v>
      </c>
      <c r="D13" s="20"/>
      <c r="E13" s="40"/>
      <c r="F13" s="19">
        <f>7.6+8.87+7.74+9.36+4.68+8.11+4.52+4.86</f>
        <v>55.74</v>
      </c>
      <c r="G13" s="11">
        <f t="shared" si="2"/>
        <v>48.9185388</v>
      </c>
      <c r="H13" s="24">
        <f t="shared" si="3"/>
        <v>0.4109157259</v>
      </c>
      <c r="I13" s="25">
        <f t="shared" si="4"/>
        <v>363.9185388</v>
      </c>
      <c r="J13" s="15"/>
      <c r="K13" s="15"/>
      <c r="L13" s="10"/>
    </row>
    <row r="14">
      <c r="B14" s="15"/>
      <c r="C14" s="15" t="s">
        <v>33</v>
      </c>
      <c r="D14" s="20"/>
      <c r="E14" s="40"/>
      <c r="F14" s="41">
        <f>27.52</f>
        <v>27.52</v>
      </c>
      <c r="G14" s="11">
        <f t="shared" si="2"/>
        <v>24.1521024</v>
      </c>
      <c r="H14" s="24">
        <f t="shared" si="3"/>
        <v>0.2028776602</v>
      </c>
      <c r="I14" s="25">
        <f t="shared" si="4"/>
        <v>339.1521024</v>
      </c>
      <c r="J14" s="15"/>
      <c r="K14" s="15"/>
      <c r="L14" s="10"/>
    </row>
    <row r="15">
      <c r="B15" s="15"/>
      <c r="C15" s="15" t="s">
        <v>34</v>
      </c>
      <c r="D15" s="20"/>
      <c r="E15" s="40"/>
      <c r="F15" s="19"/>
      <c r="G15" s="11">
        <f t="shared" si="2"/>
        <v>0</v>
      </c>
      <c r="H15" s="24">
        <f t="shared" si="3"/>
        <v>0</v>
      </c>
      <c r="I15" s="25">
        <f t="shared" si="4"/>
        <v>315</v>
      </c>
      <c r="J15" s="15"/>
      <c r="K15" s="15"/>
      <c r="L15" s="10"/>
    </row>
    <row r="16">
      <c r="B16" s="15"/>
      <c r="C16" s="15" t="s">
        <v>36</v>
      </c>
      <c r="D16" s="20"/>
      <c r="E16" s="40"/>
      <c r="F16" s="41"/>
      <c r="G16" s="11">
        <f t="shared" si="2"/>
        <v>0</v>
      </c>
      <c r="H16" s="24">
        <f t="shared" si="3"/>
        <v>0</v>
      </c>
      <c r="I16" s="25">
        <f t="shared" si="4"/>
        <v>315</v>
      </c>
      <c r="J16" s="15"/>
      <c r="K16" s="15"/>
      <c r="L16" s="10"/>
    </row>
    <row r="17">
      <c r="B17" s="15"/>
      <c r="C17" s="15" t="s">
        <v>37</v>
      </c>
      <c r="D17" s="20"/>
      <c r="E17" s="40"/>
      <c r="F17" s="19">
        <f>111.5+8.89+22.35</f>
        <v>142.74</v>
      </c>
      <c r="G17" s="11">
        <f t="shared" si="2"/>
        <v>125.2714788</v>
      </c>
      <c r="H17" s="24">
        <f t="shared" si="3"/>
        <v>1.052280422</v>
      </c>
      <c r="I17" s="25">
        <f t="shared" si="4"/>
        <v>440.2714788</v>
      </c>
      <c r="J17" s="15"/>
      <c r="K17" s="15"/>
      <c r="L17" s="10"/>
    </row>
    <row r="18">
      <c r="B18" s="15"/>
      <c r="C18" s="15" t="s">
        <v>38</v>
      </c>
      <c r="D18" s="20"/>
      <c r="E18" s="40"/>
      <c r="F18" s="41">
        <f>6+4.79+1.07+1.16+10.25+7.67+2.11</f>
        <v>33.05</v>
      </c>
      <c r="G18" s="11">
        <f t="shared" si="2"/>
        <v>29.005341</v>
      </c>
      <c r="H18" s="24">
        <f t="shared" si="3"/>
        <v>0.2436448644</v>
      </c>
      <c r="I18" s="25">
        <f t="shared" si="4"/>
        <v>344.005341</v>
      </c>
      <c r="J18" s="15"/>
      <c r="K18" s="15"/>
      <c r="L18" s="10"/>
    </row>
    <row r="19">
      <c r="B19" s="15"/>
      <c r="C19" s="15" t="s">
        <v>39</v>
      </c>
      <c r="D19" s="20"/>
      <c r="E19" s="40"/>
      <c r="F19" s="19">
        <f>0.44+1.16+7.99+16.2</f>
        <v>25.79</v>
      </c>
      <c r="G19" s="11">
        <f t="shared" si="2"/>
        <v>22.6338198</v>
      </c>
      <c r="H19" s="24">
        <f t="shared" si="3"/>
        <v>0.1901240863</v>
      </c>
      <c r="I19" s="25">
        <f t="shared" si="4"/>
        <v>337.6338198</v>
      </c>
      <c r="J19" s="15"/>
      <c r="K19" s="15"/>
      <c r="L19" s="10"/>
    </row>
    <row r="20">
      <c r="B20" s="15"/>
      <c r="C20" s="15" t="s">
        <v>40</v>
      </c>
      <c r="D20" s="20"/>
      <c r="E20" s="40"/>
      <c r="F20" s="41">
        <f>4.42+7.84+6.07+11.4</f>
        <v>29.73</v>
      </c>
      <c r="G20" s="11">
        <f t="shared" si="2"/>
        <v>26.0916426</v>
      </c>
      <c r="H20" s="24">
        <f t="shared" si="3"/>
        <v>0.2191697978</v>
      </c>
      <c r="I20" s="25">
        <f t="shared" si="4"/>
        <v>341.0916426</v>
      </c>
      <c r="J20" s="15"/>
      <c r="K20" s="15"/>
      <c r="L20" s="10"/>
    </row>
    <row r="21">
      <c r="B21" s="15"/>
      <c r="C21" s="15" t="s">
        <v>41</v>
      </c>
      <c r="D21" s="20"/>
      <c r="E21" s="40"/>
      <c r="F21" s="19">
        <f>12.1+13.45+1.1+2.52+0.48</f>
        <v>29.65</v>
      </c>
      <c r="G21" s="11">
        <f t="shared" si="2"/>
        <v>26.021433</v>
      </c>
      <c r="H21" s="24">
        <f t="shared" si="3"/>
        <v>0.2185800372</v>
      </c>
      <c r="I21" s="25">
        <f t="shared" si="4"/>
        <v>341.021433</v>
      </c>
      <c r="J21" s="15"/>
      <c r="K21" s="15"/>
      <c r="L21" s="10"/>
    </row>
    <row r="22">
      <c r="B22" s="15"/>
      <c r="C22" s="15" t="s">
        <v>42</v>
      </c>
      <c r="D22" s="20"/>
      <c r="E22" s="40"/>
      <c r="F22" s="41"/>
      <c r="G22" s="11">
        <f t="shared" si="2"/>
        <v>0</v>
      </c>
      <c r="H22" s="24">
        <f t="shared" si="3"/>
        <v>0</v>
      </c>
      <c r="I22" s="25">
        <f t="shared" si="4"/>
        <v>315</v>
      </c>
      <c r="J22" s="15"/>
      <c r="K22" s="15"/>
      <c r="L22" s="10"/>
    </row>
    <row r="23">
      <c r="C23" s="15" t="s">
        <v>44</v>
      </c>
      <c r="E23" s="17"/>
      <c r="F23" s="46"/>
      <c r="G23" s="11">
        <f t="shared" si="2"/>
        <v>0</v>
      </c>
      <c r="H23" s="24">
        <f t="shared" si="3"/>
        <v>0</v>
      </c>
      <c r="I23" s="25">
        <f t="shared" si="4"/>
        <v>315</v>
      </c>
      <c r="J23" s="45"/>
      <c r="K23" s="45"/>
      <c r="L23" s="45"/>
      <c r="M23" s="45"/>
      <c r="N23" s="45"/>
      <c r="O23" s="45"/>
      <c r="P23" s="45"/>
      <c r="Q23" s="45"/>
    </row>
    <row r="24">
      <c r="C24" s="15" t="s">
        <v>45</v>
      </c>
      <c r="E24" s="40"/>
      <c r="F24" s="46">
        <f>9.19</f>
        <v>9.19</v>
      </c>
      <c r="G24" s="11">
        <f t="shared" si="2"/>
        <v>8.0653278</v>
      </c>
      <c r="H24" s="24">
        <f t="shared" si="3"/>
        <v>0.06774875352</v>
      </c>
      <c r="I24" s="25">
        <f t="shared" si="4"/>
        <v>323.0653278</v>
      </c>
      <c r="J24" s="45"/>
      <c r="K24" s="45"/>
      <c r="L24" s="45"/>
      <c r="M24" s="45"/>
      <c r="N24" s="45"/>
      <c r="O24" s="45"/>
      <c r="P24" s="45"/>
      <c r="Q24" s="45"/>
    </row>
    <row r="25">
      <c r="C25" s="15" t="s">
        <v>46</v>
      </c>
      <c r="E25" s="40"/>
      <c r="F25" s="46"/>
      <c r="G25" s="11">
        <f t="shared" si="2"/>
        <v>0</v>
      </c>
      <c r="H25" s="24">
        <f t="shared" si="3"/>
        <v>0</v>
      </c>
      <c r="I25" s="25">
        <f t="shared" si="4"/>
        <v>315</v>
      </c>
      <c r="J25" s="45"/>
      <c r="K25" s="45"/>
      <c r="L25" s="45"/>
      <c r="M25" s="45"/>
      <c r="N25" s="45"/>
      <c r="O25" s="45"/>
      <c r="P25" s="45"/>
      <c r="Q25" s="45"/>
    </row>
    <row r="26">
      <c r="C26" s="15" t="s">
        <v>47</v>
      </c>
      <c r="E26" s="40"/>
      <c r="F26" s="46"/>
      <c r="G26" s="11">
        <f t="shared" si="2"/>
        <v>0</v>
      </c>
      <c r="H26" s="24">
        <f t="shared" si="3"/>
        <v>0</v>
      </c>
      <c r="I26" s="25">
        <f t="shared" si="4"/>
        <v>315</v>
      </c>
      <c r="J26" s="45"/>
      <c r="K26" s="45"/>
      <c r="L26" s="45"/>
      <c r="M26" s="45"/>
      <c r="N26" s="45"/>
      <c r="O26" s="45"/>
      <c r="P26" s="45"/>
      <c r="Q26" s="45"/>
    </row>
    <row r="27">
      <c r="C27" s="15" t="s">
        <v>48</v>
      </c>
      <c r="E27" s="40"/>
      <c r="F27" s="46">
        <f>52.14</f>
        <v>52.14</v>
      </c>
      <c r="G27" s="11">
        <f t="shared" si="2"/>
        <v>45.7591068</v>
      </c>
      <c r="H27" s="24">
        <f t="shared" si="3"/>
        <v>0.3843764971</v>
      </c>
      <c r="I27" s="25">
        <f t="shared" si="4"/>
        <v>360.7591068</v>
      </c>
      <c r="J27" s="45"/>
      <c r="K27" s="45"/>
      <c r="L27" s="45"/>
      <c r="M27" s="45"/>
      <c r="N27" s="45"/>
      <c r="O27" s="45"/>
      <c r="P27" s="45"/>
      <c r="Q27" s="45"/>
    </row>
    <row r="28">
      <c r="C28" s="15" t="s">
        <v>49</v>
      </c>
      <c r="E28" s="17"/>
      <c r="F28" s="44">
        <f>7.93+15.81</f>
        <v>23.74</v>
      </c>
      <c r="G28" s="11">
        <f t="shared" si="2"/>
        <v>20.8346988</v>
      </c>
      <c r="H28" s="24">
        <f t="shared" si="3"/>
        <v>0.1750114699</v>
      </c>
      <c r="I28" s="25">
        <f t="shared" si="4"/>
        <v>335.8346988</v>
      </c>
      <c r="J28" s="45"/>
      <c r="K28" s="45"/>
      <c r="L28" s="45"/>
      <c r="M28" s="45"/>
      <c r="N28" s="45"/>
      <c r="O28" s="45"/>
      <c r="P28" s="45"/>
      <c r="Q28" s="45"/>
    </row>
    <row r="29">
      <c r="C29" s="15" t="s">
        <v>51</v>
      </c>
      <c r="E29" s="17"/>
      <c r="F29" s="46"/>
      <c r="G29" s="11">
        <f t="shared" si="2"/>
        <v>0</v>
      </c>
      <c r="H29" s="24">
        <f t="shared" si="3"/>
        <v>0</v>
      </c>
      <c r="I29" s="25">
        <f t="shared" si="4"/>
        <v>315</v>
      </c>
      <c r="J29" s="45"/>
      <c r="K29" s="45"/>
      <c r="L29" s="45"/>
      <c r="M29" s="45"/>
      <c r="N29" s="45"/>
      <c r="O29" s="45"/>
      <c r="P29" s="45"/>
      <c r="Q29" s="45"/>
    </row>
    <row r="30">
      <c r="C30" s="15" t="s">
        <v>52</v>
      </c>
      <c r="E30" s="40"/>
      <c r="F30" s="46"/>
      <c r="G30" s="11">
        <f t="shared" si="2"/>
        <v>0</v>
      </c>
      <c r="H30" s="24">
        <f t="shared" si="3"/>
        <v>0</v>
      </c>
      <c r="I30" s="25">
        <f t="shared" si="4"/>
        <v>315</v>
      </c>
      <c r="J30" s="45"/>
      <c r="K30" s="45"/>
      <c r="L30" s="45"/>
      <c r="M30" s="45"/>
      <c r="N30" s="45"/>
      <c r="O30" s="45"/>
      <c r="P30" s="45"/>
      <c r="Q30" s="45"/>
    </row>
    <row r="31">
      <c r="C31" s="15" t="s">
        <v>53</v>
      </c>
      <c r="E31" s="40"/>
      <c r="F31" s="46"/>
      <c r="G31" s="11">
        <f t="shared" si="2"/>
        <v>0</v>
      </c>
      <c r="H31" s="24">
        <f t="shared" si="3"/>
        <v>0</v>
      </c>
      <c r="I31" s="25">
        <f t="shared" si="4"/>
        <v>315</v>
      </c>
      <c r="J31" s="45"/>
      <c r="K31" s="45"/>
      <c r="L31" s="45"/>
      <c r="M31" s="45"/>
      <c r="N31" s="45"/>
      <c r="O31" s="45"/>
      <c r="P31" s="45"/>
      <c r="Q31" s="45"/>
    </row>
    <row r="32">
      <c r="C32" s="15" t="s">
        <v>54</v>
      </c>
      <c r="E32" s="40"/>
      <c r="F32" s="46">
        <f>18.68</f>
        <v>18.68</v>
      </c>
      <c r="G32" s="11">
        <f t="shared" si="2"/>
        <v>16.3939416</v>
      </c>
      <c r="H32" s="24">
        <f t="shared" si="3"/>
        <v>0.1377091094</v>
      </c>
      <c r="I32" s="25">
        <f t="shared" si="4"/>
        <v>331.3939416</v>
      </c>
      <c r="J32" s="45"/>
      <c r="K32" s="45"/>
      <c r="L32" s="45"/>
      <c r="M32" s="45"/>
      <c r="N32" s="45"/>
      <c r="O32" s="45"/>
      <c r="P32" s="45"/>
      <c r="Q32" s="45"/>
    </row>
    <row r="33">
      <c r="C33" s="15" t="s">
        <v>55</v>
      </c>
      <c r="E33" s="40"/>
      <c r="F33" s="46"/>
      <c r="G33" s="11">
        <f t="shared" si="2"/>
        <v>0</v>
      </c>
      <c r="H33" s="24">
        <f t="shared" si="3"/>
        <v>0</v>
      </c>
      <c r="I33" s="25">
        <f t="shared" si="4"/>
        <v>315</v>
      </c>
    </row>
    <row r="34">
      <c r="C34" s="15" t="s">
        <v>56</v>
      </c>
      <c r="E34" s="40"/>
      <c r="F34" s="46">
        <f>8.34+7.76+6.34+7.2+12.57+7.06+14.54</f>
        <v>63.81</v>
      </c>
      <c r="G34" s="11">
        <f t="shared" si="2"/>
        <v>56.0009322</v>
      </c>
      <c r="H34" s="24">
        <f t="shared" si="3"/>
        <v>0.4704078305</v>
      </c>
      <c r="I34" s="25">
        <f t="shared" si="4"/>
        <v>371.0009322</v>
      </c>
    </row>
    <row r="35">
      <c r="C35" s="15" t="s">
        <v>57</v>
      </c>
      <c r="E35" s="40"/>
      <c r="F35" s="46">
        <f>2.16+3.05+2.22+1.41+8.32+1.94+5.34</f>
        <v>24.44</v>
      </c>
      <c r="G35" s="11">
        <f t="shared" si="2"/>
        <v>21.4490328</v>
      </c>
      <c r="H35" s="24">
        <f t="shared" si="3"/>
        <v>0.1801718755</v>
      </c>
      <c r="I35" s="25">
        <f t="shared" si="4"/>
        <v>336.4490328</v>
      </c>
    </row>
    <row r="36">
      <c r="C36" s="15" t="s">
        <v>58</v>
      </c>
      <c r="E36" s="40"/>
      <c r="F36" s="46"/>
      <c r="G36" s="11">
        <f t="shared" si="2"/>
        <v>0</v>
      </c>
      <c r="H36" s="24">
        <f t="shared" si="3"/>
        <v>0</v>
      </c>
      <c r="I36" s="25">
        <f t="shared" si="4"/>
        <v>315</v>
      </c>
    </row>
    <row r="37">
      <c r="C37" s="15" t="s">
        <v>59</v>
      </c>
      <c r="E37" s="17"/>
      <c r="F37" s="44"/>
      <c r="G37" s="11">
        <f t="shared" si="2"/>
        <v>0</v>
      </c>
      <c r="H37" s="24">
        <f t="shared" si="3"/>
        <v>0</v>
      </c>
      <c r="I37" s="25">
        <f t="shared" si="4"/>
        <v>315</v>
      </c>
    </row>
    <row r="38">
      <c r="E38" s="1"/>
    </row>
    <row r="39">
      <c r="E39" s="1"/>
    </row>
    <row r="40">
      <c r="E40" s="1"/>
    </row>
    <row r="41">
      <c r="B41" s="48"/>
      <c r="C41" s="49"/>
      <c r="E41" s="1"/>
    </row>
    <row r="42">
      <c r="E42" s="1"/>
    </row>
    <row r="43">
      <c r="E43" s="1"/>
    </row>
    <row r="44">
      <c r="E44" s="1"/>
    </row>
    <row r="45">
      <c r="E45" s="1"/>
    </row>
    <row r="46">
      <c r="E46" s="1"/>
    </row>
    <row r="47">
      <c r="E47" s="1"/>
    </row>
    <row r="48">
      <c r="E48" s="1"/>
    </row>
    <row r="49">
      <c r="E49" s="1"/>
    </row>
    <row r="50">
      <c r="E50" s="1"/>
    </row>
    <row r="51">
      <c r="E51" s="1"/>
    </row>
    <row r="52">
      <c r="E52" s="1"/>
    </row>
    <row r="53">
      <c r="E53" s="1"/>
    </row>
    <row r="54">
      <c r="E54" s="1"/>
    </row>
    <row r="55">
      <c r="E55" s="1"/>
    </row>
    <row r="56">
      <c r="E56" s="1"/>
    </row>
    <row r="57">
      <c r="E57" s="1"/>
    </row>
    <row r="58">
      <c r="E58" s="1"/>
    </row>
    <row r="59">
      <c r="E59" s="1"/>
    </row>
    <row r="60">
      <c r="E60" s="1"/>
    </row>
    <row r="61">
      <c r="E61" s="1"/>
    </row>
    <row r="62">
      <c r="E62" s="1"/>
    </row>
    <row r="63">
      <c r="E63" s="1"/>
    </row>
    <row r="64">
      <c r="E64" s="1"/>
    </row>
    <row r="65">
      <c r="E65" s="1"/>
    </row>
    <row r="66">
      <c r="E66" s="1"/>
    </row>
    <row r="67">
      <c r="E67" s="1"/>
    </row>
    <row r="68">
      <c r="E68" s="1"/>
    </row>
    <row r="69">
      <c r="E69" s="1"/>
    </row>
    <row r="70">
      <c r="E70" s="1"/>
    </row>
    <row r="71">
      <c r="E71" s="1"/>
    </row>
    <row r="72">
      <c r="E72" s="1"/>
    </row>
    <row r="73">
      <c r="E73" s="1"/>
    </row>
    <row r="74">
      <c r="E74" s="1"/>
    </row>
    <row r="75">
      <c r="E75" s="1"/>
    </row>
    <row r="76">
      <c r="E76" s="1"/>
    </row>
    <row r="77">
      <c r="E77" s="1"/>
    </row>
    <row r="78">
      <c r="E78" s="1"/>
    </row>
    <row r="79">
      <c r="E79" s="1"/>
    </row>
    <row r="80">
      <c r="E80" s="1"/>
    </row>
    <row r="81">
      <c r="E81" s="1"/>
    </row>
    <row r="82">
      <c r="E82" s="1"/>
    </row>
    <row r="83">
      <c r="E83" s="1"/>
    </row>
    <row r="84">
      <c r="E84" s="1"/>
    </row>
    <row r="85">
      <c r="E85" s="1"/>
    </row>
    <row r="86">
      <c r="E86" s="1"/>
    </row>
    <row r="87">
      <c r="E87" s="1"/>
    </row>
    <row r="88">
      <c r="E88" s="1"/>
    </row>
    <row r="89">
      <c r="E89" s="1"/>
    </row>
    <row r="90">
      <c r="E90" s="1"/>
    </row>
    <row r="91">
      <c r="E91" s="1"/>
    </row>
    <row r="92">
      <c r="E92" s="1"/>
    </row>
    <row r="93">
      <c r="E93" s="1"/>
    </row>
    <row r="94">
      <c r="E94" s="1"/>
    </row>
    <row r="95">
      <c r="E95" s="1"/>
    </row>
    <row r="96">
      <c r="E96" s="1"/>
    </row>
    <row r="97">
      <c r="E97" s="1"/>
    </row>
    <row r="98">
      <c r="E98" s="1"/>
    </row>
    <row r="99">
      <c r="E99" s="1"/>
    </row>
    <row r="100">
      <c r="E100" s="1"/>
    </row>
    <row r="101">
      <c r="E101" s="1"/>
    </row>
    <row r="102">
      <c r="E102" s="1"/>
    </row>
    <row r="103">
      <c r="E103" s="1"/>
    </row>
    <row r="104">
      <c r="E104" s="1"/>
    </row>
    <row r="105">
      <c r="E105" s="1"/>
    </row>
    <row r="106">
      <c r="E106" s="1"/>
    </row>
    <row r="107">
      <c r="E107" s="1"/>
    </row>
    <row r="108">
      <c r="E108" s="1"/>
    </row>
    <row r="109">
      <c r="E109" s="1"/>
    </row>
    <row r="110">
      <c r="E110" s="1"/>
    </row>
    <row r="111">
      <c r="E111" s="1"/>
    </row>
    <row r="112">
      <c r="E112" s="1"/>
    </row>
    <row r="113">
      <c r="E113" s="1"/>
    </row>
    <row r="114">
      <c r="E114" s="1"/>
    </row>
    <row r="115">
      <c r="E115" s="1"/>
    </row>
    <row r="116">
      <c r="E116" s="1"/>
    </row>
    <row r="117">
      <c r="E117" s="1"/>
    </row>
    <row r="118">
      <c r="E118" s="1"/>
    </row>
    <row r="119">
      <c r="E119" s="1"/>
    </row>
    <row r="120">
      <c r="E120" s="1"/>
    </row>
    <row r="121">
      <c r="E121" s="1"/>
    </row>
    <row r="122">
      <c r="E122" s="1"/>
    </row>
    <row r="123">
      <c r="E123" s="1"/>
    </row>
    <row r="124">
      <c r="E124" s="1"/>
    </row>
    <row r="125">
      <c r="E125" s="1"/>
    </row>
    <row r="126">
      <c r="E126" s="1"/>
    </row>
    <row r="127">
      <c r="E127" s="1"/>
    </row>
    <row r="128">
      <c r="E128" s="1"/>
    </row>
    <row r="129">
      <c r="E129" s="1"/>
    </row>
    <row r="130">
      <c r="E130" s="1"/>
    </row>
    <row r="131">
      <c r="E131" s="1"/>
    </row>
    <row r="132">
      <c r="E132" s="1"/>
    </row>
    <row r="133">
      <c r="E133" s="1"/>
    </row>
    <row r="134">
      <c r="E134" s="1"/>
    </row>
    <row r="135">
      <c r="E135" s="1"/>
    </row>
    <row r="136">
      <c r="E136" s="1"/>
    </row>
    <row r="137">
      <c r="E137" s="1"/>
    </row>
    <row r="138">
      <c r="E138" s="1"/>
    </row>
    <row r="139">
      <c r="E139" s="1"/>
    </row>
    <row r="140">
      <c r="E140" s="1"/>
    </row>
    <row r="141">
      <c r="E141" s="1"/>
    </row>
    <row r="142">
      <c r="E142" s="1"/>
    </row>
    <row r="143">
      <c r="E143" s="1"/>
    </row>
    <row r="144">
      <c r="E144" s="1"/>
    </row>
    <row r="145">
      <c r="E145" s="1"/>
    </row>
    <row r="146">
      <c r="E146" s="1"/>
    </row>
    <row r="147">
      <c r="E147" s="1"/>
    </row>
    <row r="148">
      <c r="E148" s="1"/>
    </row>
    <row r="149">
      <c r="E149" s="1"/>
    </row>
    <row r="150">
      <c r="E150" s="1"/>
    </row>
    <row r="151">
      <c r="E151" s="1"/>
    </row>
    <row r="152">
      <c r="E152" s="1"/>
    </row>
    <row r="153">
      <c r="E153" s="1"/>
    </row>
    <row r="154">
      <c r="E154" s="1"/>
    </row>
    <row r="155">
      <c r="E155" s="1"/>
    </row>
    <row r="156">
      <c r="E156" s="1"/>
    </row>
    <row r="157">
      <c r="E157" s="1"/>
    </row>
    <row r="158">
      <c r="E158" s="1"/>
    </row>
    <row r="159">
      <c r="E159" s="1"/>
    </row>
    <row r="160">
      <c r="E160" s="1"/>
    </row>
    <row r="161">
      <c r="E161" s="1"/>
    </row>
    <row r="162">
      <c r="E162" s="1"/>
    </row>
    <row r="163">
      <c r="E163" s="1"/>
    </row>
    <row r="164">
      <c r="E164" s="1"/>
    </row>
    <row r="165">
      <c r="E165" s="1"/>
    </row>
    <row r="166">
      <c r="E166" s="1"/>
    </row>
    <row r="167">
      <c r="E167" s="1"/>
    </row>
    <row r="168">
      <c r="E168" s="1"/>
    </row>
    <row r="169">
      <c r="E169" s="1"/>
    </row>
    <row r="170">
      <c r="E170" s="1"/>
    </row>
    <row r="171">
      <c r="E171" s="1"/>
    </row>
    <row r="172">
      <c r="E172" s="1"/>
    </row>
    <row r="173">
      <c r="E173" s="1"/>
    </row>
    <row r="174">
      <c r="E174" s="1"/>
    </row>
    <row r="175">
      <c r="E175" s="1"/>
    </row>
    <row r="176">
      <c r="E176" s="1"/>
    </row>
    <row r="177">
      <c r="E177" s="1"/>
    </row>
    <row r="178">
      <c r="E178" s="1"/>
    </row>
    <row r="179">
      <c r="E179" s="1"/>
    </row>
    <row r="180">
      <c r="E180" s="1"/>
    </row>
    <row r="181">
      <c r="E181" s="1"/>
    </row>
    <row r="182">
      <c r="E182" s="1"/>
    </row>
    <row r="183">
      <c r="E183" s="1"/>
    </row>
    <row r="184">
      <c r="E184" s="1"/>
    </row>
    <row r="185">
      <c r="E185" s="1"/>
    </row>
    <row r="186">
      <c r="E186" s="1"/>
    </row>
    <row r="187">
      <c r="E187" s="1"/>
    </row>
    <row r="188">
      <c r="E188" s="1"/>
    </row>
    <row r="189">
      <c r="E189" s="1"/>
    </row>
    <row r="190">
      <c r="E190" s="1"/>
    </row>
    <row r="191">
      <c r="E191" s="1"/>
    </row>
    <row r="192">
      <c r="E192" s="1"/>
    </row>
    <row r="193">
      <c r="E193" s="1"/>
    </row>
    <row r="194">
      <c r="E194" s="1"/>
    </row>
    <row r="195">
      <c r="E195" s="1"/>
    </row>
    <row r="196">
      <c r="E196" s="1"/>
    </row>
    <row r="197">
      <c r="E197" s="1"/>
    </row>
    <row r="198">
      <c r="E198" s="1"/>
    </row>
    <row r="199">
      <c r="E199" s="1"/>
    </row>
    <row r="200">
      <c r="E200" s="1"/>
    </row>
    <row r="201">
      <c r="E201" s="1"/>
    </row>
    <row r="202">
      <c r="E202" s="1"/>
    </row>
    <row r="203">
      <c r="E203" s="1"/>
    </row>
    <row r="204">
      <c r="E204" s="1"/>
    </row>
    <row r="205">
      <c r="E205" s="1"/>
    </row>
    <row r="206">
      <c r="E206" s="1"/>
    </row>
    <row r="207">
      <c r="E207" s="1"/>
    </row>
    <row r="208">
      <c r="E208" s="1"/>
    </row>
    <row r="209">
      <c r="E209" s="1"/>
    </row>
    <row r="210">
      <c r="E210" s="1"/>
    </row>
    <row r="211">
      <c r="E211" s="1"/>
    </row>
    <row r="212">
      <c r="E212" s="1"/>
    </row>
    <row r="213">
      <c r="E213" s="1"/>
    </row>
    <row r="214">
      <c r="E214" s="1"/>
    </row>
    <row r="215">
      <c r="E215" s="1"/>
    </row>
    <row r="216">
      <c r="E216" s="1"/>
    </row>
    <row r="217">
      <c r="E217" s="1"/>
    </row>
    <row r="218">
      <c r="E218" s="1"/>
    </row>
    <row r="219">
      <c r="E219" s="1"/>
    </row>
    <row r="220">
      <c r="E220" s="1"/>
    </row>
    <row r="221">
      <c r="E221" s="1"/>
    </row>
    <row r="222">
      <c r="E222" s="1"/>
    </row>
    <row r="223">
      <c r="E223" s="1"/>
    </row>
    <row r="224">
      <c r="E224" s="1"/>
    </row>
    <row r="225">
      <c r="E225" s="1"/>
    </row>
    <row r="226">
      <c r="E226" s="1"/>
    </row>
    <row r="227">
      <c r="E227" s="1"/>
    </row>
    <row r="228">
      <c r="E228" s="1"/>
    </row>
    <row r="229">
      <c r="E229" s="1"/>
    </row>
    <row r="230">
      <c r="E230" s="1"/>
    </row>
    <row r="231">
      <c r="E231" s="1"/>
    </row>
    <row r="232">
      <c r="E232" s="1"/>
    </row>
    <row r="233">
      <c r="E233" s="1"/>
    </row>
    <row r="234">
      <c r="E234" s="1"/>
    </row>
    <row r="235">
      <c r="E235" s="1"/>
    </row>
    <row r="236">
      <c r="E236" s="1"/>
    </row>
    <row r="237">
      <c r="E237" s="1"/>
    </row>
    <row r="238">
      <c r="E238" s="1"/>
    </row>
    <row r="239">
      <c r="E239" s="1"/>
    </row>
    <row r="240">
      <c r="E240" s="1"/>
    </row>
    <row r="241">
      <c r="E241" s="1"/>
    </row>
    <row r="242">
      <c r="E242" s="1"/>
    </row>
    <row r="243">
      <c r="E243" s="1"/>
    </row>
    <row r="244">
      <c r="E244" s="1"/>
    </row>
    <row r="245">
      <c r="E245" s="1"/>
    </row>
    <row r="246">
      <c r="E246" s="1"/>
    </row>
    <row r="247">
      <c r="E247" s="1"/>
    </row>
    <row r="248">
      <c r="E248" s="1"/>
    </row>
    <row r="249">
      <c r="E249" s="1"/>
    </row>
    <row r="250">
      <c r="E250" s="1"/>
    </row>
    <row r="251">
      <c r="E251" s="1"/>
    </row>
    <row r="252">
      <c r="E252" s="1"/>
    </row>
    <row r="253">
      <c r="E253" s="1"/>
    </row>
    <row r="254">
      <c r="E254" s="1"/>
    </row>
    <row r="255">
      <c r="E255" s="1"/>
    </row>
    <row r="256">
      <c r="E256" s="1"/>
    </row>
    <row r="257">
      <c r="E257" s="1"/>
    </row>
    <row r="258">
      <c r="E258" s="1"/>
    </row>
    <row r="259">
      <c r="E259" s="1"/>
    </row>
    <row r="260">
      <c r="E260" s="1"/>
    </row>
    <row r="261">
      <c r="E261" s="1"/>
    </row>
    <row r="262">
      <c r="E262" s="1"/>
    </row>
    <row r="263">
      <c r="E263" s="1"/>
    </row>
    <row r="264">
      <c r="E264" s="1"/>
    </row>
    <row r="265">
      <c r="E265" s="1"/>
    </row>
    <row r="266">
      <c r="E266" s="1"/>
    </row>
    <row r="267">
      <c r="E267" s="1"/>
    </row>
    <row r="268">
      <c r="E268" s="1"/>
    </row>
    <row r="269">
      <c r="E269" s="1"/>
    </row>
    <row r="270">
      <c r="E270" s="1"/>
    </row>
    <row r="271">
      <c r="E271" s="1"/>
    </row>
    <row r="272">
      <c r="E272" s="1"/>
    </row>
    <row r="273">
      <c r="E273" s="1"/>
    </row>
    <row r="274">
      <c r="E274" s="1"/>
    </row>
    <row r="275">
      <c r="E275" s="1"/>
    </row>
    <row r="276">
      <c r="E276" s="1"/>
    </row>
    <row r="277">
      <c r="E277" s="1"/>
    </row>
    <row r="278">
      <c r="E278" s="1"/>
    </row>
    <row r="279">
      <c r="E279" s="1"/>
    </row>
    <row r="280">
      <c r="E280" s="1"/>
    </row>
    <row r="281">
      <c r="E281" s="1"/>
    </row>
    <row r="282">
      <c r="E282" s="1"/>
    </row>
    <row r="283">
      <c r="E283" s="1"/>
    </row>
    <row r="284">
      <c r="E284" s="1"/>
    </row>
    <row r="285">
      <c r="E285" s="1"/>
    </row>
    <row r="286">
      <c r="E286" s="1"/>
    </row>
    <row r="287">
      <c r="E287" s="1"/>
    </row>
    <row r="288">
      <c r="E288" s="1"/>
    </row>
    <row r="289">
      <c r="E289" s="1"/>
    </row>
    <row r="290">
      <c r="E290" s="1"/>
    </row>
    <row r="291">
      <c r="E291" s="1"/>
    </row>
    <row r="292">
      <c r="E292" s="1"/>
    </row>
    <row r="293">
      <c r="E293" s="1"/>
    </row>
    <row r="294">
      <c r="E294" s="1"/>
    </row>
    <row r="295">
      <c r="E295" s="1"/>
    </row>
    <row r="296">
      <c r="E296" s="1"/>
    </row>
    <row r="297">
      <c r="E297" s="1"/>
    </row>
    <row r="298">
      <c r="E298" s="1"/>
    </row>
    <row r="299">
      <c r="E299" s="1"/>
    </row>
    <row r="300">
      <c r="E300" s="1"/>
    </row>
    <row r="301">
      <c r="E301" s="1"/>
    </row>
    <row r="302">
      <c r="E302" s="1"/>
    </row>
    <row r="303">
      <c r="E303" s="1"/>
    </row>
    <row r="304">
      <c r="E304" s="1"/>
    </row>
    <row r="305">
      <c r="E305" s="1"/>
    </row>
    <row r="306">
      <c r="E306" s="1"/>
    </row>
    <row r="307">
      <c r="E307" s="1"/>
    </row>
    <row r="308">
      <c r="E308" s="1"/>
    </row>
    <row r="309">
      <c r="E309" s="1"/>
    </row>
    <row r="310">
      <c r="E310" s="1"/>
    </row>
    <row r="311">
      <c r="E311" s="1"/>
    </row>
    <row r="312">
      <c r="E312" s="1"/>
    </row>
    <row r="313">
      <c r="E313" s="1"/>
    </row>
    <row r="314">
      <c r="E314" s="1"/>
    </row>
    <row r="315">
      <c r="E315" s="1"/>
    </row>
    <row r="316">
      <c r="E316" s="1"/>
    </row>
    <row r="317">
      <c r="E317" s="1"/>
    </row>
    <row r="318">
      <c r="E318" s="1"/>
    </row>
    <row r="319">
      <c r="E319" s="1"/>
    </row>
    <row r="320">
      <c r="E320" s="1"/>
    </row>
    <row r="321">
      <c r="E321" s="1"/>
    </row>
    <row r="322">
      <c r="E322" s="1"/>
    </row>
    <row r="323">
      <c r="E323" s="1"/>
    </row>
    <row r="324">
      <c r="E324" s="1"/>
    </row>
    <row r="325">
      <c r="E325" s="1"/>
    </row>
    <row r="326">
      <c r="E326" s="1"/>
    </row>
    <row r="327">
      <c r="E327" s="1"/>
    </row>
    <row r="328">
      <c r="E328" s="1"/>
    </row>
    <row r="329">
      <c r="E329" s="1"/>
    </row>
    <row r="330">
      <c r="E330" s="1"/>
    </row>
    <row r="331">
      <c r="E331" s="1"/>
    </row>
    <row r="332">
      <c r="E332" s="1"/>
    </row>
    <row r="333">
      <c r="E333" s="1"/>
    </row>
    <row r="334">
      <c r="E334" s="1"/>
    </row>
    <row r="335">
      <c r="E335" s="1"/>
    </row>
    <row r="336">
      <c r="E336" s="1"/>
    </row>
    <row r="337">
      <c r="E337" s="1"/>
    </row>
    <row r="338">
      <c r="E338" s="1"/>
    </row>
    <row r="339">
      <c r="E339" s="1"/>
    </row>
    <row r="340">
      <c r="E340" s="1"/>
    </row>
    <row r="341">
      <c r="E341" s="1"/>
    </row>
    <row r="342">
      <c r="E342" s="1"/>
    </row>
    <row r="343">
      <c r="E343" s="1"/>
    </row>
    <row r="344">
      <c r="E344" s="1"/>
    </row>
    <row r="345">
      <c r="E345" s="1"/>
    </row>
    <row r="346">
      <c r="E346" s="1"/>
    </row>
    <row r="347">
      <c r="E347" s="1"/>
    </row>
    <row r="348">
      <c r="E348" s="1"/>
    </row>
    <row r="349">
      <c r="E349" s="1"/>
    </row>
    <row r="350">
      <c r="E350" s="1"/>
    </row>
    <row r="351">
      <c r="E351" s="1"/>
    </row>
    <row r="352">
      <c r="E352" s="1"/>
    </row>
    <row r="353">
      <c r="E353" s="1"/>
    </row>
    <row r="354">
      <c r="E354" s="1"/>
    </row>
    <row r="355">
      <c r="E355" s="1"/>
    </row>
    <row r="356">
      <c r="E356" s="1"/>
    </row>
    <row r="357">
      <c r="E357" s="1"/>
    </row>
    <row r="358">
      <c r="E358" s="1"/>
    </row>
    <row r="359">
      <c r="E359" s="1"/>
    </row>
    <row r="360">
      <c r="E360" s="1"/>
    </row>
    <row r="361">
      <c r="E361" s="1"/>
    </row>
    <row r="362">
      <c r="E362" s="1"/>
    </row>
    <row r="363">
      <c r="E363" s="1"/>
    </row>
    <row r="364">
      <c r="E364" s="1"/>
    </row>
    <row r="365">
      <c r="E365" s="1"/>
    </row>
    <row r="366">
      <c r="E366" s="1"/>
    </row>
    <row r="367">
      <c r="E367" s="1"/>
    </row>
    <row r="368">
      <c r="E368" s="1"/>
    </row>
    <row r="369">
      <c r="E369" s="1"/>
    </row>
    <row r="370">
      <c r="E370" s="1"/>
    </row>
    <row r="371">
      <c r="E371" s="1"/>
    </row>
    <row r="372">
      <c r="E372" s="1"/>
    </row>
    <row r="373">
      <c r="E373" s="1"/>
    </row>
    <row r="374">
      <c r="E374" s="1"/>
    </row>
    <row r="375">
      <c r="E375" s="1"/>
    </row>
    <row r="376">
      <c r="E376" s="1"/>
    </row>
    <row r="377">
      <c r="E377" s="1"/>
    </row>
    <row r="378">
      <c r="E378" s="1"/>
    </row>
    <row r="379">
      <c r="E379" s="1"/>
    </row>
    <row r="380">
      <c r="E380" s="1"/>
    </row>
    <row r="381">
      <c r="E381" s="1"/>
    </row>
    <row r="382">
      <c r="E382" s="1"/>
    </row>
    <row r="383">
      <c r="E383" s="1"/>
    </row>
    <row r="384">
      <c r="E384" s="1"/>
    </row>
    <row r="385">
      <c r="E385" s="1"/>
    </row>
    <row r="386">
      <c r="E386" s="1"/>
    </row>
    <row r="387">
      <c r="E387" s="1"/>
    </row>
    <row r="388">
      <c r="E388" s="1"/>
    </row>
    <row r="389">
      <c r="E389" s="1"/>
    </row>
    <row r="390">
      <c r="E390" s="1"/>
    </row>
    <row r="391">
      <c r="E391" s="1"/>
    </row>
    <row r="392">
      <c r="E392" s="1"/>
    </row>
    <row r="393">
      <c r="E393" s="1"/>
    </row>
    <row r="394">
      <c r="E394" s="1"/>
    </row>
    <row r="395">
      <c r="E395" s="1"/>
    </row>
    <row r="396">
      <c r="E396" s="1"/>
    </row>
    <row r="397">
      <c r="E397" s="1"/>
    </row>
    <row r="398">
      <c r="E398" s="1"/>
    </row>
    <row r="399">
      <c r="E399" s="1"/>
    </row>
    <row r="400">
      <c r="E400" s="1"/>
    </row>
    <row r="401">
      <c r="E401" s="1"/>
    </row>
    <row r="402">
      <c r="E402" s="1"/>
    </row>
    <row r="403">
      <c r="E403" s="1"/>
    </row>
    <row r="404">
      <c r="E404" s="1"/>
    </row>
    <row r="405">
      <c r="E405" s="1"/>
    </row>
    <row r="406">
      <c r="E406" s="1"/>
    </row>
    <row r="407">
      <c r="E407" s="1"/>
    </row>
    <row r="408">
      <c r="E408" s="1"/>
    </row>
    <row r="409">
      <c r="E409" s="1"/>
    </row>
    <row r="410">
      <c r="E410" s="1"/>
    </row>
    <row r="411">
      <c r="E411" s="1"/>
    </row>
    <row r="412">
      <c r="E412" s="1"/>
    </row>
    <row r="413">
      <c r="E413" s="1"/>
    </row>
    <row r="414">
      <c r="E414" s="1"/>
    </row>
    <row r="415">
      <c r="E415" s="1"/>
    </row>
    <row r="416">
      <c r="E416" s="1"/>
    </row>
    <row r="417">
      <c r="E417" s="1"/>
    </row>
    <row r="418">
      <c r="E418" s="1"/>
    </row>
    <row r="419">
      <c r="E419" s="1"/>
    </row>
    <row r="420">
      <c r="E420" s="1"/>
    </row>
    <row r="421">
      <c r="E421" s="1"/>
    </row>
    <row r="422">
      <c r="E422" s="1"/>
    </row>
    <row r="423">
      <c r="E423" s="1"/>
    </row>
    <row r="424">
      <c r="E424" s="1"/>
    </row>
    <row r="425">
      <c r="E425" s="1"/>
    </row>
    <row r="426">
      <c r="E426" s="1"/>
    </row>
    <row r="427">
      <c r="E427" s="1"/>
    </row>
    <row r="428">
      <c r="E428" s="1"/>
    </row>
    <row r="429">
      <c r="E429" s="1"/>
    </row>
    <row r="430">
      <c r="E430" s="1"/>
    </row>
    <row r="431">
      <c r="E431" s="1"/>
    </row>
    <row r="432">
      <c r="E432" s="1"/>
    </row>
    <row r="433">
      <c r="E433" s="1"/>
    </row>
    <row r="434">
      <c r="E434" s="1"/>
    </row>
    <row r="435">
      <c r="E435" s="1"/>
    </row>
    <row r="436">
      <c r="E436" s="1"/>
    </row>
    <row r="437">
      <c r="E437" s="1"/>
    </row>
    <row r="438">
      <c r="E438" s="1"/>
    </row>
    <row r="439">
      <c r="E439" s="1"/>
    </row>
    <row r="440">
      <c r="E440" s="1"/>
    </row>
    <row r="441">
      <c r="E441" s="1"/>
    </row>
    <row r="442">
      <c r="E442" s="1"/>
    </row>
    <row r="443">
      <c r="E443" s="1"/>
    </row>
    <row r="444">
      <c r="E444" s="1"/>
    </row>
    <row r="445">
      <c r="E445" s="1"/>
    </row>
    <row r="446">
      <c r="E446" s="1"/>
    </row>
    <row r="447">
      <c r="E447" s="1"/>
    </row>
    <row r="448">
      <c r="E448" s="1"/>
    </row>
    <row r="449">
      <c r="E449" s="1"/>
    </row>
    <row r="450">
      <c r="E450" s="1"/>
    </row>
    <row r="451">
      <c r="E451" s="1"/>
    </row>
    <row r="452">
      <c r="E452" s="1"/>
    </row>
    <row r="453">
      <c r="E453" s="1"/>
    </row>
    <row r="454">
      <c r="E454" s="1"/>
    </row>
    <row r="455">
      <c r="E455" s="1"/>
    </row>
    <row r="456">
      <c r="E456" s="1"/>
    </row>
    <row r="457">
      <c r="E457" s="1"/>
    </row>
    <row r="458">
      <c r="E458" s="1"/>
    </row>
    <row r="459">
      <c r="E459" s="1"/>
    </row>
    <row r="460">
      <c r="E460" s="1"/>
    </row>
    <row r="461">
      <c r="E461" s="1"/>
    </row>
    <row r="462">
      <c r="E462" s="1"/>
    </row>
    <row r="463">
      <c r="E463" s="1"/>
    </row>
    <row r="464">
      <c r="E464" s="1"/>
    </row>
    <row r="465">
      <c r="E465" s="1"/>
    </row>
    <row r="466">
      <c r="E466" s="1"/>
    </row>
    <row r="467">
      <c r="E467" s="1"/>
    </row>
    <row r="468">
      <c r="E468" s="1"/>
    </row>
    <row r="469">
      <c r="E469" s="1"/>
    </row>
    <row r="470">
      <c r="E470" s="1"/>
    </row>
    <row r="471">
      <c r="E471" s="1"/>
    </row>
    <row r="472">
      <c r="E472" s="1"/>
    </row>
    <row r="473">
      <c r="E473" s="1"/>
    </row>
    <row r="474">
      <c r="E474" s="1"/>
    </row>
    <row r="475">
      <c r="E475" s="1"/>
    </row>
    <row r="476">
      <c r="E476" s="1"/>
    </row>
    <row r="477">
      <c r="E477" s="1"/>
    </row>
    <row r="478">
      <c r="E478" s="1"/>
    </row>
    <row r="479">
      <c r="E479" s="1"/>
    </row>
    <row r="480">
      <c r="E480" s="1"/>
    </row>
    <row r="481">
      <c r="E481" s="1"/>
    </row>
    <row r="482">
      <c r="E482" s="1"/>
    </row>
    <row r="483">
      <c r="E483" s="1"/>
    </row>
    <row r="484">
      <c r="E484" s="1"/>
    </row>
    <row r="485">
      <c r="E485" s="1"/>
    </row>
    <row r="486">
      <c r="E486" s="1"/>
    </row>
    <row r="487">
      <c r="E487" s="1"/>
    </row>
    <row r="488">
      <c r="E488" s="1"/>
    </row>
    <row r="489">
      <c r="E489" s="1"/>
    </row>
    <row r="490">
      <c r="E490" s="1"/>
    </row>
    <row r="491">
      <c r="E491" s="1"/>
    </row>
    <row r="492">
      <c r="E492" s="1"/>
    </row>
    <row r="493">
      <c r="E493" s="1"/>
    </row>
    <row r="494">
      <c r="E494" s="1"/>
    </row>
    <row r="495">
      <c r="E495" s="1"/>
    </row>
    <row r="496">
      <c r="E496" s="1"/>
    </row>
    <row r="497">
      <c r="E497" s="1"/>
    </row>
    <row r="498">
      <c r="E498" s="1"/>
    </row>
    <row r="499">
      <c r="E499" s="1"/>
    </row>
    <row r="500">
      <c r="E500" s="1"/>
    </row>
    <row r="501">
      <c r="E501" s="1"/>
    </row>
    <row r="502">
      <c r="E502" s="1"/>
    </row>
    <row r="503">
      <c r="E503" s="1"/>
    </row>
    <row r="504">
      <c r="E504" s="1"/>
    </row>
    <row r="505">
      <c r="E505" s="1"/>
    </row>
    <row r="506">
      <c r="E506" s="1"/>
    </row>
    <row r="507">
      <c r="E507" s="1"/>
    </row>
    <row r="508">
      <c r="E508" s="1"/>
    </row>
    <row r="509">
      <c r="E509" s="1"/>
    </row>
    <row r="510">
      <c r="E510" s="1"/>
    </row>
    <row r="511">
      <c r="E511" s="1"/>
    </row>
    <row r="512">
      <c r="E512" s="1"/>
    </row>
    <row r="513">
      <c r="E513" s="1"/>
    </row>
    <row r="514">
      <c r="E514" s="1"/>
    </row>
    <row r="515">
      <c r="E515" s="1"/>
    </row>
    <row r="516">
      <c r="E516" s="1"/>
    </row>
    <row r="517">
      <c r="E517" s="1"/>
    </row>
    <row r="518">
      <c r="E518" s="1"/>
    </row>
    <row r="519">
      <c r="E519" s="1"/>
    </row>
    <row r="520">
      <c r="E520" s="1"/>
    </row>
    <row r="521">
      <c r="E521" s="1"/>
    </row>
    <row r="522">
      <c r="E522" s="1"/>
    </row>
    <row r="523">
      <c r="E523" s="1"/>
    </row>
    <row r="524">
      <c r="E524" s="1"/>
    </row>
    <row r="525">
      <c r="E525" s="1"/>
    </row>
    <row r="526">
      <c r="E526" s="1"/>
    </row>
    <row r="527">
      <c r="E527" s="1"/>
    </row>
    <row r="528">
      <c r="E528" s="1"/>
    </row>
    <row r="529">
      <c r="E529" s="1"/>
    </row>
    <row r="530">
      <c r="E530" s="1"/>
    </row>
    <row r="531">
      <c r="E531" s="1"/>
    </row>
    <row r="532">
      <c r="E532" s="1"/>
    </row>
    <row r="533">
      <c r="E533" s="1"/>
    </row>
    <row r="534">
      <c r="E534" s="1"/>
    </row>
    <row r="535">
      <c r="E535" s="1"/>
    </row>
    <row r="536">
      <c r="E536" s="1"/>
    </row>
    <row r="537">
      <c r="E537" s="1"/>
    </row>
    <row r="538">
      <c r="E538" s="1"/>
    </row>
    <row r="539">
      <c r="E539" s="1"/>
    </row>
    <row r="540">
      <c r="E540" s="1"/>
    </row>
    <row r="541">
      <c r="E541" s="1"/>
    </row>
    <row r="542">
      <c r="E542" s="1"/>
    </row>
    <row r="543">
      <c r="E543" s="1"/>
    </row>
    <row r="544">
      <c r="E544" s="1"/>
    </row>
    <row r="545">
      <c r="E545" s="1"/>
    </row>
    <row r="546">
      <c r="E546" s="1"/>
    </row>
    <row r="547">
      <c r="E547" s="1"/>
    </row>
    <row r="548">
      <c r="E548" s="1"/>
    </row>
    <row r="549">
      <c r="E549" s="1"/>
    </row>
    <row r="550">
      <c r="E550" s="1"/>
    </row>
    <row r="551">
      <c r="E551" s="1"/>
    </row>
    <row r="552">
      <c r="E552" s="1"/>
    </row>
    <row r="553">
      <c r="E553" s="1"/>
    </row>
    <row r="554">
      <c r="E554" s="1"/>
    </row>
    <row r="555">
      <c r="E555" s="1"/>
    </row>
    <row r="556">
      <c r="E556" s="1"/>
    </row>
    <row r="557">
      <c r="E557" s="1"/>
    </row>
    <row r="558">
      <c r="E558" s="1"/>
    </row>
    <row r="559">
      <c r="E559" s="1"/>
    </row>
    <row r="560">
      <c r="E560" s="1"/>
    </row>
    <row r="561">
      <c r="E561" s="1"/>
    </row>
    <row r="562">
      <c r="E562" s="1"/>
    </row>
    <row r="563">
      <c r="E563" s="1"/>
    </row>
    <row r="564">
      <c r="E564" s="1"/>
    </row>
    <row r="565">
      <c r="E565" s="1"/>
    </row>
    <row r="566">
      <c r="E566" s="1"/>
    </row>
    <row r="567">
      <c r="E567" s="1"/>
    </row>
    <row r="568">
      <c r="E568" s="1"/>
    </row>
    <row r="569">
      <c r="E569" s="1"/>
    </row>
    <row r="570">
      <c r="E570" s="1"/>
    </row>
    <row r="571">
      <c r="E571" s="1"/>
    </row>
    <row r="572">
      <c r="E572" s="1"/>
    </row>
    <row r="573">
      <c r="E573" s="1"/>
    </row>
    <row r="574">
      <c r="E574" s="1"/>
    </row>
    <row r="575">
      <c r="E575" s="1"/>
    </row>
    <row r="576">
      <c r="E576" s="1"/>
    </row>
    <row r="577">
      <c r="E577" s="1"/>
    </row>
    <row r="578">
      <c r="E578" s="1"/>
    </row>
    <row r="579">
      <c r="E579" s="1"/>
    </row>
    <row r="580">
      <c r="E580" s="1"/>
    </row>
    <row r="581">
      <c r="E581" s="1"/>
    </row>
    <row r="582">
      <c r="E582" s="1"/>
    </row>
    <row r="583">
      <c r="E583" s="1"/>
    </row>
    <row r="584">
      <c r="E584" s="1"/>
    </row>
    <row r="585">
      <c r="E585" s="1"/>
    </row>
    <row r="586">
      <c r="E586" s="1"/>
    </row>
    <row r="587">
      <c r="E587" s="1"/>
    </row>
    <row r="588">
      <c r="E588" s="1"/>
    </row>
    <row r="589">
      <c r="E589" s="1"/>
    </row>
    <row r="590">
      <c r="E590" s="1"/>
    </row>
    <row r="591">
      <c r="E591" s="1"/>
    </row>
    <row r="592">
      <c r="E592" s="1"/>
    </row>
    <row r="593">
      <c r="E593" s="1"/>
    </row>
    <row r="594">
      <c r="E594" s="1"/>
    </row>
    <row r="595">
      <c r="E595" s="1"/>
    </row>
    <row r="596">
      <c r="E596" s="1"/>
    </row>
    <row r="597">
      <c r="E597" s="1"/>
    </row>
    <row r="598">
      <c r="E598" s="1"/>
    </row>
    <row r="599">
      <c r="E599" s="1"/>
    </row>
    <row r="600">
      <c r="E600" s="1"/>
    </row>
    <row r="601">
      <c r="E601" s="1"/>
    </row>
    <row r="602">
      <c r="E602" s="1"/>
    </row>
    <row r="603">
      <c r="E603" s="1"/>
    </row>
    <row r="604">
      <c r="E604" s="1"/>
    </row>
    <row r="605">
      <c r="E605" s="1"/>
    </row>
    <row r="606">
      <c r="E606" s="1"/>
    </row>
    <row r="607">
      <c r="E607" s="1"/>
    </row>
    <row r="608">
      <c r="E608" s="1"/>
    </row>
    <row r="609">
      <c r="E609" s="1"/>
    </row>
    <row r="610">
      <c r="E610" s="1"/>
    </row>
    <row r="611">
      <c r="E611" s="1"/>
    </row>
    <row r="612">
      <c r="E612" s="1"/>
    </row>
    <row r="613">
      <c r="E613" s="1"/>
    </row>
    <row r="614">
      <c r="E614" s="1"/>
    </row>
    <row r="615">
      <c r="E615" s="1"/>
    </row>
    <row r="616">
      <c r="E616" s="1"/>
    </row>
    <row r="617">
      <c r="E617" s="1"/>
    </row>
    <row r="618">
      <c r="E618" s="1"/>
    </row>
    <row r="619">
      <c r="E619" s="1"/>
    </row>
    <row r="620">
      <c r="E620" s="1"/>
    </row>
    <row r="621">
      <c r="E621" s="1"/>
    </row>
    <row r="622">
      <c r="E622" s="1"/>
    </row>
    <row r="623">
      <c r="E623" s="1"/>
    </row>
    <row r="624">
      <c r="E624" s="1"/>
    </row>
    <row r="625">
      <c r="E625" s="1"/>
    </row>
    <row r="626">
      <c r="E626" s="1"/>
    </row>
    <row r="627">
      <c r="E627" s="1"/>
    </row>
    <row r="628">
      <c r="E628" s="1"/>
    </row>
    <row r="629">
      <c r="E629" s="1"/>
    </row>
    <row r="630">
      <c r="E630" s="1"/>
    </row>
    <row r="631">
      <c r="E631" s="1"/>
    </row>
    <row r="632">
      <c r="E632" s="1"/>
    </row>
    <row r="633">
      <c r="E633" s="1"/>
    </row>
    <row r="634">
      <c r="E634" s="1"/>
    </row>
    <row r="635">
      <c r="E635" s="1"/>
    </row>
    <row r="636">
      <c r="E636" s="1"/>
    </row>
    <row r="637">
      <c r="E637" s="1"/>
    </row>
    <row r="638">
      <c r="E638" s="1"/>
    </row>
    <row r="639">
      <c r="E639" s="1"/>
    </row>
    <row r="640">
      <c r="E640" s="1"/>
    </row>
    <row r="641">
      <c r="E641" s="1"/>
    </row>
    <row r="642">
      <c r="E642" s="1"/>
    </row>
    <row r="643">
      <c r="E643" s="1"/>
    </row>
    <row r="644">
      <c r="E644" s="1"/>
    </row>
    <row r="645">
      <c r="E645" s="1"/>
    </row>
    <row r="646">
      <c r="E646" s="1"/>
    </row>
    <row r="647">
      <c r="E647" s="1"/>
    </row>
    <row r="648">
      <c r="E648" s="1"/>
    </row>
    <row r="649">
      <c r="E649" s="1"/>
    </row>
    <row r="650">
      <c r="E650" s="1"/>
    </row>
    <row r="651">
      <c r="E651" s="1"/>
    </row>
    <row r="652">
      <c r="E652" s="1"/>
    </row>
    <row r="653">
      <c r="E653" s="1"/>
    </row>
    <row r="654">
      <c r="E654" s="1"/>
    </row>
    <row r="655">
      <c r="E655" s="1"/>
    </row>
    <row r="656">
      <c r="E656" s="1"/>
    </row>
    <row r="657">
      <c r="E657" s="1"/>
    </row>
    <row r="658">
      <c r="E658" s="1"/>
    </row>
    <row r="659">
      <c r="E659" s="1"/>
    </row>
    <row r="660">
      <c r="E660" s="1"/>
    </row>
    <row r="661">
      <c r="E661" s="1"/>
    </row>
    <row r="662">
      <c r="E662" s="1"/>
    </row>
    <row r="663">
      <c r="E663" s="1"/>
    </row>
    <row r="664">
      <c r="E664" s="1"/>
    </row>
    <row r="665">
      <c r="E665" s="1"/>
    </row>
    <row r="666">
      <c r="E666" s="1"/>
    </row>
    <row r="667">
      <c r="E667" s="1"/>
    </row>
    <row r="668">
      <c r="E668" s="1"/>
    </row>
    <row r="669">
      <c r="E669" s="1"/>
    </row>
    <row r="670">
      <c r="E670" s="1"/>
    </row>
    <row r="671">
      <c r="E671" s="1"/>
    </row>
    <row r="672">
      <c r="E672" s="1"/>
    </row>
    <row r="673">
      <c r="E673" s="1"/>
    </row>
    <row r="674">
      <c r="E674" s="1"/>
    </row>
    <row r="675">
      <c r="E675" s="1"/>
    </row>
    <row r="676">
      <c r="E676" s="1"/>
    </row>
    <row r="677">
      <c r="E677" s="1"/>
    </row>
    <row r="678">
      <c r="E678" s="1"/>
    </row>
    <row r="679">
      <c r="E679" s="1"/>
    </row>
    <row r="680">
      <c r="E680" s="1"/>
    </row>
    <row r="681">
      <c r="E681" s="1"/>
    </row>
    <row r="682">
      <c r="E682" s="1"/>
    </row>
    <row r="683">
      <c r="E683" s="1"/>
    </row>
    <row r="684">
      <c r="E684" s="1"/>
    </row>
    <row r="685">
      <c r="E685" s="1"/>
    </row>
    <row r="686">
      <c r="E686" s="1"/>
    </row>
    <row r="687">
      <c r="E687" s="1"/>
    </row>
    <row r="688">
      <c r="E688" s="1"/>
    </row>
    <row r="689">
      <c r="E689" s="1"/>
    </row>
    <row r="690">
      <c r="E690" s="1"/>
    </row>
    <row r="691">
      <c r="E691" s="1"/>
    </row>
    <row r="692">
      <c r="E692" s="1"/>
    </row>
    <row r="693">
      <c r="E693" s="1"/>
    </row>
    <row r="694">
      <c r="E694" s="1"/>
    </row>
    <row r="695">
      <c r="E695" s="1"/>
    </row>
    <row r="696">
      <c r="E696" s="1"/>
    </row>
    <row r="697">
      <c r="E697" s="1"/>
    </row>
    <row r="698">
      <c r="E698" s="1"/>
    </row>
    <row r="699">
      <c r="E699" s="1"/>
    </row>
    <row r="700">
      <c r="E700" s="1"/>
    </row>
    <row r="701">
      <c r="E701" s="1"/>
    </row>
    <row r="702">
      <c r="E702" s="1"/>
    </row>
    <row r="703">
      <c r="E703" s="1"/>
    </row>
    <row r="704">
      <c r="E704" s="1"/>
    </row>
    <row r="705">
      <c r="E705" s="1"/>
    </row>
    <row r="706">
      <c r="E706" s="1"/>
    </row>
    <row r="707">
      <c r="E707" s="1"/>
    </row>
    <row r="708">
      <c r="E708" s="1"/>
    </row>
    <row r="709">
      <c r="E709" s="1"/>
    </row>
    <row r="710">
      <c r="E710" s="1"/>
    </row>
    <row r="711">
      <c r="E711" s="1"/>
    </row>
    <row r="712">
      <c r="E712" s="1"/>
    </row>
    <row r="713">
      <c r="E713" s="1"/>
    </row>
    <row r="714">
      <c r="E714" s="1"/>
    </row>
    <row r="715">
      <c r="E715" s="1"/>
    </row>
    <row r="716">
      <c r="E716" s="1"/>
    </row>
    <row r="717">
      <c r="E717" s="1"/>
    </row>
    <row r="718">
      <c r="E718" s="1"/>
    </row>
    <row r="719">
      <c r="E719" s="1"/>
    </row>
    <row r="720">
      <c r="E720" s="1"/>
    </row>
    <row r="721">
      <c r="E721" s="1"/>
    </row>
    <row r="722">
      <c r="E722" s="1"/>
    </row>
    <row r="723">
      <c r="E723" s="1"/>
    </row>
    <row r="724">
      <c r="E724" s="1"/>
    </row>
    <row r="725">
      <c r="E725" s="1"/>
    </row>
    <row r="726">
      <c r="E726" s="1"/>
    </row>
    <row r="727">
      <c r="E727" s="1"/>
    </row>
    <row r="728">
      <c r="E728" s="1"/>
    </row>
    <row r="729">
      <c r="E729" s="1"/>
    </row>
    <row r="730">
      <c r="E730" s="1"/>
    </row>
    <row r="731">
      <c r="E731" s="1"/>
    </row>
    <row r="732">
      <c r="E732" s="1"/>
    </row>
    <row r="733">
      <c r="E733" s="1"/>
    </row>
    <row r="734">
      <c r="E734" s="1"/>
    </row>
    <row r="735">
      <c r="E735" s="1"/>
    </row>
    <row r="736">
      <c r="E736" s="1"/>
    </row>
    <row r="737">
      <c r="E737" s="1"/>
    </row>
    <row r="738">
      <c r="E738" s="1"/>
    </row>
    <row r="739">
      <c r="E739" s="1"/>
    </row>
    <row r="740">
      <c r="E740" s="1"/>
    </row>
    <row r="741">
      <c r="E741" s="1"/>
    </row>
    <row r="742">
      <c r="E742" s="1"/>
    </row>
    <row r="743">
      <c r="E743" s="1"/>
    </row>
    <row r="744">
      <c r="E744" s="1"/>
    </row>
    <row r="745">
      <c r="E745" s="1"/>
    </row>
    <row r="746">
      <c r="E746" s="1"/>
    </row>
    <row r="747">
      <c r="E747" s="1"/>
    </row>
    <row r="748">
      <c r="E748" s="1"/>
    </row>
    <row r="749">
      <c r="E749" s="1"/>
    </row>
    <row r="750">
      <c r="E750" s="1"/>
    </row>
    <row r="751">
      <c r="E751" s="1"/>
    </row>
    <row r="752">
      <c r="E752" s="1"/>
    </row>
    <row r="753">
      <c r="E753" s="1"/>
    </row>
    <row r="754">
      <c r="E754" s="1"/>
    </row>
    <row r="755">
      <c r="E755" s="1"/>
    </row>
    <row r="756">
      <c r="E756" s="1"/>
    </row>
    <row r="757">
      <c r="E757" s="1"/>
    </row>
    <row r="758">
      <c r="E758" s="1"/>
    </row>
    <row r="759">
      <c r="E759" s="1"/>
    </row>
    <row r="760">
      <c r="E760" s="1"/>
    </row>
    <row r="761">
      <c r="E761" s="1"/>
    </row>
    <row r="762">
      <c r="E762" s="1"/>
    </row>
    <row r="763">
      <c r="E763" s="1"/>
    </row>
    <row r="764">
      <c r="E764" s="1"/>
    </row>
    <row r="765">
      <c r="E765" s="1"/>
    </row>
    <row r="766">
      <c r="E766" s="1"/>
    </row>
    <row r="767">
      <c r="E767" s="1"/>
    </row>
    <row r="768">
      <c r="E768" s="1"/>
    </row>
    <row r="769">
      <c r="E769" s="1"/>
    </row>
    <row r="770">
      <c r="E770" s="1"/>
    </row>
    <row r="771">
      <c r="E771" s="1"/>
    </row>
    <row r="772">
      <c r="E772" s="1"/>
    </row>
    <row r="773">
      <c r="E773" s="1"/>
    </row>
    <row r="774">
      <c r="E774" s="1"/>
    </row>
    <row r="775">
      <c r="E775" s="1"/>
    </row>
    <row r="776">
      <c r="E776" s="1"/>
    </row>
    <row r="777">
      <c r="E777" s="1"/>
    </row>
    <row r="778">
      <c r="E778" s="1"/>
    </row>
    <row r="779">
      <c r="E779" s="1"/>
    </row>
    <row r="780">
      <c r="E780" s="1"/>
    </row>
    <row r="781">
      <c r="E781" s="1"/>
    </row>
    <row r="782">
      <c r="E782" s="1"/>
    </row>
    <row r="783">
      <c r="E783" s="1"/>
    </row>
    <row r="784">
      <c r="E784" s="1"/>
    </row>
    <row r="785">
      <c r="E785" s="1"/>
    </row>
    <row r="786">
      <c r="E786" s="1"/>
    </row>
    <row r="787">
      <c r="E787" s="1"/>
    </row>
    <row r="788">
      <c r="E788" s="1"/>
    </row>
    <row r="789">
      <c r="E789" s="1"/>
    </row>
    <row r="790">
      <c r="E790" s="1"/>
    </row>
    <row r="791">
      <c r="E791" s="1"/>
    </row>
    <row r="792">
      <c r="E792" s="1"/>
    </row>
    <row r="793">
      <c r="E793" s="1"/>
    </row>
    <row r="794">
      <c r="E794" s="1"/>
    </row>
    <row r="795">
      <c r="E795" s="1"/>
    </row>
    <row r="796">
      <c r="E796" s="1"/>
    </row>
    <row r="797">
      <c r="E797" s="1"/>
    </row>
    <row r="798">
      <c r="E798" s="1"/>
    </row>
    <row r="799">
      <c r="E799" s="1"/>
    </row>
    <row r="800">
      <c r="E800" s="1"/>
    </row>
    <row r="801">
      <c r="E801" s="1"/>
    </row>
    <row r="802">
      <c r="E802" s="1"/>
    </row>
    <row r="803">
      <c r="E803" s="1"/>
    </row>
    <row r="804">
      <c r="E804" s="1"/>
    </row>
    <row r="805">
      <c r="E805" s="1"/>
    </row>
    <row r="806">
      <c r="E806" s="1"/>
    </row>
    <row r="807">
      <c r="E807" s="1"/>
    </row>
    <row r="808">
      <c r="E808" s="1"/>
    </row>
    <row r="809">
      <c r="E809" s="1"/>
    </row>
    <row r="810">
      <c r="E810" s="1"/>
    </row>
    <row r="811">
      <c r="E811" s="1"/>
    </row>
    <row r="812">
      <c r="E812" s="1"/>
    </row>
    <row r="813">
      <c r="E813" s="1"/>
    </row>
    <row r="814">
      <c r="E814" s="1"/>
    </row>
    <row r="815">
      <c r="E815" s="1"/>
    </row>
    <row r="816">
      <c r="E816" s="1"/>
    </row>
    <row r="817">
      <c r="E817" s="1"/>
    </row>
    <row r="818">
      <c r="E818" s="1"/>
    </row>
    <row r="819">
      <c r="E819" s="1"/>
    </row>
    <row r="820">
      <c r="E820" s="1"/>
    </row>
    <row r="821">
      <c r="E821" s="1"/>
    </row>
    <row r="822">
      <c r="E822" s="1"/>
    </row>
    <row r="823">
      <c r="E823" s="1"/>
    </row>
    <row r="824">
      <c r="E824" s="1"/>
    </row>
    <row r="825">
      <c r="E825" s="1"/>
    </row>
    <row r="826">
      <c r="E826" s="1"/>
    </row>
    <row r="827">
      <c r="E827" s="1"/>
    </row>
    <row r="828">
      <c r="E828" s="1"/>
    </row>
    <row r="829">
      <c r="E829" s="1"/>
    </row>
    <row r="830">
      <c r="E830" s="1"/>
    </row>
    <row r="831">
      <c r="E831" s="1"/>
    </row>
    <row r="832">
      <c r="E832" s="1"/>
    </row>
    <row r="833">
      <c r="E833" s="1"/>
    </row>
    <row r="834">
      <c r="E834" s="1"/>
    </row>
    <row r="835">
      <c r="E835" s="1"/>
    </row>
    <row r="836">
      <c r="E836" s="1"/>
    </row>
    <row r="837">
      <c r="E837" s="1"/>
    </row>
    <row r="838">
      <c r="E838" s="1"/>
    </row>
    <row r="839">
      <c r="E839" s="1"/>
    </row>
    <row r="840">
      <c r="E840" s="1"/>
    </row>
    <row r="841">
      <c r="E841" s="1"/>
    </row>
    <row r="842">
      <c r="E842" s="1"/>
    </row>
    <row r="843">
      <c r="E843" s="1"/>
    </row>
    <row r="844">
      <c r="E844" s="1"/>
    </row>
    <row r="845">
      <c r="E845" s="1"/>
    </row>
    <row r="846">
      <c r="E846" s="1"/>
    </row>
    <row r="847">
      <c r="E847" s="1"/>
    </row>
    <row r="848">
      <c r="E848" s="1"/>
    </row>
    <row r="849">
      <c r="E849" s="1"/>
    </row>
    <row r="850">
      <c r="E850" s="1"/>
    </row>
    <row r="851">
      <c r="E851" s="1"/>
    </row>
    <row r="852">
      <c r="E852" s="1"/>
    </row>
    <row r="853">
      <c r="E853" s="1"/>
    </row>
    <row r="854">
      <c r="E854" s="1"/>
    </row>
    <row r="855">
      <c r="E855" s="1"/>
    </row>
    <row r="856">
      <c r="E856" s="1"/>
    </row>
    <row r="857">
      <c r="E857" s="1"/>
    </row>
    <row r="858">
      <c r="E858" s="1"/>
    </row>
    <row r="859">
      <c r="E859" s="1"/>
    </row>
    <row r="860">
      <c r="E860" s="1"/>
    </row>
    <row r="861">
      <c r="E861" s="1"/>
    </row>
    <row r="862">
      <c r="E862" s="1"/>
    </row>
    <row r="863">
      <c r="E863" s="1"/>
    </row>
    <row r="864">
      <c r="E864" s="1"/>
    </row>
    <row r="865">
      <c r="E865" s="1"/>
    </row>
    <row r="866">
      <c r="E866" s="1"/>
    </row>
    <row r="867">
      <c r="E867" s="1"/>
    </row>
    <row r="868">
      <c r="E868" s="1"/>
    </row>
    <row r="869">
      <c r="E869" s="1"/>
    </row>
    <row r="870">
      <c r="E870" s="1"/>
    </row>
    <row r="871">
      <c r="E871" s="1"/>
    </row>
    <row r="872">
      <c r="E872" s="1"/>
    </row>
    <row r="873">
      <c r="E873" s="1"/>
    </row>
    <row r="874">
      <c r="E874" s="1"/>
    </row>
    <row r="875">
      <c r="E875" s="1"/>
    </row>
    <row r="876">
      <c r="E876" s="1"/>
    </row>
    <row r="877">
      <c r="E877" s="1"/>
    </row>
    <row r="878">
      <c r="E878" s="1"/>
    </row>
    <row r="879">
      <c r="E879" s="1"/>
    </row>
    <row r="880">
      <c r="E880" s="1"/>
    </row>
    <row r="881">
      <c r="E881" s="1"/>
    </row>
    <row r="882">
      <c r="E882" s="1"/>
    </row>
    <row r="883">
      <c r="E883" s="1"/>
    </row>
    <row r="884">
      <c r="E884" s="1"/>
    </row>
    <row r="885">
      <c r="E885" s="1"/>
    </row>
    <row r="886">
      <c r="E886" s="1"/>
    </row>
    <row r="887">
      <c r="E887" s="1"/>
    </row>
    <row r="888">
      <c r="E888" s="1"/>
    </row>
    <row r="889">
      <c r="E889" s="1"/>
    </row>
    <row r="890">
      <c r="E890" s="1"/>
    </row>
    <row r="891">
      <c r="E891" s="1"/>
    </row>
    <row r="892">
      <c r="E892" s="1"/>
    </row>
    <row r="893">
      <c r="E893" s="1"/>
    </row>
    <row r="894">
      <c r="E894" s="1"/>
    </row>
    <row r="895">
      <c r="E895" s="1"/>
    </row>
    <row r="896">
      <c r="E896" s="1"/>
    </row>
    <row r="897">
      <c r="E897" s="1"/>
    </row>
    <row r="898">
      <c r="E898" s="1"/>
    </row>
    <row r="899">
      <c r="E899" s="1"/>
    </row>
    <row r="900">
      <c r="E900" s="1"/>
    </row>
    <row r="901">
      <c r="E901" s="1"/>
    </row>
    <row r="902">
      <c r="E902" s="1"/>
    </row>
    <row r="903">
      <c r="E903" s="1"/>
    </row>
    <row r="904">
      <c r="E904" s="1"/>
    </row>
    <row r="905">
      <c r="E905" s="1"/>
    </row>
    <row r="906">
      <c r="E906" s="1"/>
    </row>
    <row r="907">
      <c r="E907" s="1"/>
    </row>
    <row r="908">
      <c r="E908" s="1"/>
    </row>
    <row r="909">
      <c r="E909" s="1"/>
    </row>
    <row r="910">
      <c r="E910" s="1"/>
    </row>
    <row r="911">
      <c r="E911" s="1"/>
    </row>
    <row r="912">
      <c r="E912" s="1"/>
    </row>
    <row r="913">
      <c r="E913" s="1"/>
    </row>
    <row r="914">
      <c r="E914" s="1"/>
    </row>
    <row r="915">
      <c r="E915" s="1"/>
    </row>
    <row r="916">
      <c r="E916" s="1"/>
    </row>
    <row r="917">
      <c r="E917" s="1"/>
    </row>
    <row r="918">
      <c r="E918" s="1"/>
    </row>
    <row r="919">
      <c r="E919" s="1"/>
    </row>
    <row r="920">
      <c r="E920" s="1"/>
    </row>
    <row r="921">
      <c r="E921" s="1"/>
    </row>
    <row r="922">
      <c r="E922" s="1"/>
    </row>
    <row r="923">
      <c r="E923" s="1"/>
    </row>
    <row r="924">
      <c r="E924" s="1"/>
    </row>
    <row r="925">
      <c r="E925" s="1"/>
    </row>
    <row r="926">
      <c r="E926" s="1"/>
    </row>
    <row r="927">
      <c r="E927" s="1"/>
    </row>
    <row r="928">
      <c r="E928" s="1"/>
    </row>
    <row r="929">
      <c r="E929" s="1"/>
    </row>
    <row r="930">
      <c r="E930" s="1"/>
    </row>
    <row r="931">
      <c r="E931" s="1"/>
    </row>
  </sheetData>
  <conditionalFormatting sqref="G7:G37">
    <cfRule type="expression" dxfId="5" priority="1">
      <formula>$G7&gt;=$O$9</formula>
    </cfRule>
  </conditionalFormatting>
  <conditionalFormatting sqref="N3">
    <cfRule type="expression" dxfId="5" priority="2">
      <formula>N3&gt;=O8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4" max="4" width="22.0"/>
    <col customWidth="1" min="5" max="5" width="15.0"/>
    <col customWidth="1" min="9" max="9" width="18.38"/>
    <col customWidth="1" min="11" max="11" width="18.5"/>
    <col customWidth="1" min="14" max="14" width="18.38"/>
    <col customWidth="1" min="15" max="15" width="15.88"/>
    <col customWidth="1" min="16" max="16" width="18.5"/>
    <col customWidth="1" min="17" max="17" width="17.0"/>
    <col customWidth="1" min="22" max="22" width="19.38"/>
  </cols>
  <sheetData>
    <row r="1">
      <c r="E1" s="1"/>
    </row>
    <row r="2">
      <c r="E2" s="1"/>
      <c r="K2" s="2" t="s">
        <v>0</v>
      </c>
      <c r="L2" s="3" t="s">
        <v>1</v>
      </c>
      <c r="M2" s="4" t="s">
        <v>2</v>
      </c>
      <c r="N2" s="4" t="s">
        <v>3</v>
      </c>
    </row>
    <row r="3">
      <c r="E3" s="1"/>
      <c r="K3" s="5" t="s">
        <v>4</v>
      </c>
      <c r="L3" s="6">
        <f t="shared" ref="L3:M3" si="1">sum(E7:E37)</f>
        <v>0</v>
      </c>
      <c r="M3" s="3">
        <f t="shared" si="1"/>
        <v>127.55</v>
      </c>
      <c r="N3" s="7">
        <f>M3*Sumario!N4</f>
        <v>111.940431</v>
      </c>
      <c r="O3" s="7">
        <f>Sumario!N4</f>
        <v>0.87762</v>
      </c>
    </row>
    <row r="4">
      <c r="B4" s="8" t="s">
        <v>73</v>
      </c>
      <c r="C4" s="10"/>
      <c r="D4" s="10"/>
      <c r="E4" s="11"/>
      <c r="F4" s="10"/>
      <c r="G4" s="10"/>
      <c r="H4" s="10"/>
      <c r="I4" s="10"/>
      <c r="J4" s="10"/>
      <c r="K4" s="10"/>
      <c r="L4" s="10"/>
    </row>
    <row r="5">
      <c r="B5" s="8" t="s">
        <v>8</v>
      </c>
      <c r="C5" s="8" t="s">
        <v>9</v>
      </c>
      <c r="D5" s="8" t="s">
        <v>11</v>
      </c>
      <c r="E5" s="8" t="s">
        <v>12</v>
      </c>
      <c r="F5" s="8" t="s">
        <v>13</v>
      </c>
      <c r="G5" s="12" t="s">
        <v>14</v>
      </c>
      <c r="H5" s="12"/>
      <c r="I5" s="13"/>
      <c r="J5" s="14"/>
      <c r="K5" s="15"/>
      <c r="L5" s="10"/>
    </row>
    <row r="6">
      <c r="B6" s="10"/>
      <c r="C6" s="10"/>
      <c r="D6" s="10"/>
      <c r="E6" s="10"/>
      <c r="F6" s="16"/>
      <c r="G6" s="10"/>
      <c r="H6" s="15" t="s">
        <v>15</v>
      </c>
      <c r="I6" s="10"/>
      <c r="J6" s="10"/>
      <c r="K6" s="10"/>
      <c r="L6" s="10"/>
    </row>
    <row r="7">
      <c r="B7" s="10"/>
      <c r="C7" s="15" t="s">
        <v>16</v>
      </c>
      <c r="D7" s="16"/>
      <c r="E7" s="17"/>
      <c r="F7" s="19">
        <f>6.02+14.31+8.88+1.5</f>
        <v>30.71</v>
      </c>
      <c r="G7" s="11">
        <f t="shared" ref="G7:G37" si="2">E7+(F7*$O$3)</f>
        <v>26.9517102</v>
      </c>
      <c r="H7" s="24">
        <f t="shared" ref="H7:H37" si="3">G7/$O$9</f>
        <v>0.2263943657</v>
      </c>
      <c r="I7" s="25">
        <f t="shared" ref="I7:I37" si="4">315+G7</f>
        <v>341.9517102</v>
      </c>
      <c r="J7" s="10"/>
      <c r="K7" s="10"/>
      <c r="L7" s="10"/>
    </row>
    <row r="8">
      <c r="B8" s="10"/>
      <c r="C8" s="15" t="s">
        <v>20</v>
      </c>
      <c r="D8" s="16"/>
      <c r="E8" s="17"/>
      <c r="F8" s="19"/>
      <c r="G8" s="11">
        <f t="shared" si="2"/>
        <v>0</v>
      </c>
      <c r="H8" s="24">
        <f t="shared" si="3"/>
        <v>0</v>
      </c>
      <c r="I8" s="25">
        <f t="shared" si="4"/>
        <v>315</v>
      </c>
      <c r="J8" s="10"/>
      <c r="K8" s="10"/>
      <c r="L8" s="10"/>
      <c r="N8" s="31" t="s">
        <v>15</v>
      </c>
      <c r="O8" s="31">
        <v>2500.0</v>
      </c>
      <c r="P8" s="34">
        <f>O8-Sumario!K12</f>
        <v>2381.757716</v>
      </c>
    </row>
    <row r="9">
      <c r="B9" s="10"/>
      <c r="C9" s="15" t="s">
        <v>27</v>
      </c>
      <c r="D9" s="16"/>
      <c r="E9" s="17"/>
      <c r="F9" s="19"/>
      <c r="G9" s="11">
        <f t="shared" si="2"/>
        <v>0</v>
      </c>
      <c r="H9" s="24">
        <f t="shared" si="3"/>
        <v>0</v>
      </c>
      <c r="I9" s="25">
        <f t="shared" si="4"/>
        <v>315</v>
      </c>
      <c r="J9" s="10"/>
      <c r="K9" s="10"/>
      <c r="L9" s="15">
        <v>7245.0</v>
      </c>
      <c r="N9" s="31" t="s">
        <v>28</v>
      </c>
      <c r="O9" s="4">
        <f>O8/21</f>
        <v>119.047619</v>
      </c>
      <c r="P9" s="36">
        <f>P8/O8</f>
        <v>0.9527030866</v>
      </c>
    </row>
    <row r="10">
      <c r="B10" s="10"/>
      <c r="C10" s="15" t="s">
        <v>29</v>
      </c>
      <c r="D10" s="16"/>
      <c r="E10" s="17"/>
      <c r="F10" s="19"/>
      <c r="G10" s="11">
        <f t="shared" si="2"/>
        <v>0</v>
      </c>
      <c r="H10" s="24">
        <f t="shared" si="3"/>
        <v>0</v>
      </c>
      <c r="I10" s="25">
        <f t="shared" si="4"/>
        <v>315</v>
      </c>
      <c r="J10" s="10"/>
      <c r="K10" s="10"/>
      <c r="L10" s="38">
        <f>L9+Sumario!K12</f>
        <v>7363.242284</v>
      </c>
    </row>
    <row r="11">
      <c r="B11" s="10"/>
      <c r="C11" s="15" t="s">
        <v>30</v>
      </c>
      <c r="D11" s="16"/>
      <c r="E11" s="17"/>
      <c r="F11" s="19"/>
      <c r="G11" s="11">
        <f t="shared" si="2"/>
        <v>0</v>
      </c>
      <c r="H11" s="24">
        <f t="shared" si="3"/>
        <v>0</v>
      </c>
      <c r="I11" s="25">
        <f t="shared" si="4"/>
        <v>315</v>
      </c>
      <c r="J11" s="10"/>
      <c r="K11" s="10"/>
      <c r="L11" s="10"/>
    </row>
    <row r="12">
      <c r="B12" s="15"/>
      <c r="C12" s="15" t="s">
        <v>31</v>
      </c>
      <c r="D12" s="20"/>
      <c r="E12" s="40"/>
      <c r="F12" s="41"/>
      <c r="G12" s="11">
        <f t="shared" si="2"/>
        <v>0</v>
      </c>
      <c r="H12" s="24">
        <f t="shared" si="3"/>
        <v>0</v>
      </c>
      <c r="I12" s="25">
        <f t="shared" si="4"/>
        <v>315</v>
      </c>
      <c r="J12" s="15"/>
      <c r="K12" s="15"/>
      <c r="L12" s="10"/>
    </row>
    <row r="13">
      <c r="B13" s="15"/>
      <c r="C13" s="15" t="s">
        <v>32</v>
      </c>
      <c r="D13" s="20"/>
      <c r="E13" s="40"/>
      <c r="F13" s="19"/>
      <c r="G13" s="11">
        <f t="shared" si="2"/>
        <v>0</v>
      </c>
      <c r="H13" s="24">
        <f t="shared" si="3"/>
        <v>0</v>
      </c>
      <c r="I13" s="25">
        <f t="shared" si="4"/>
        <v>315</v>
      </c>
      <c r="J13" s="15"/>
      <c r="K13" s="15"/>
      <c r="L13" s="10"/>
    </row>
    <row r="14">
      <c r="B14" s="15"/>
      <c r="C14" s="15" t="s">
        <v>33</v>
      </c>
      <c r="D14" s="20"/>
      <c r="E14" s="40"/>
      <c r="F14" s="41"/>
      <c r="G14" s="11">
        <f t="shared" si="2"/>
        <v>0</v>
      </c>
      <c r="H14" s="24">
        <f t="shared" si="3"/>
        <v>0</v>
      </c>
      <c r="I14" s="25">
        <f t="shared" si="4"/>
        <v>315</v>
      </c>
      <c r="J14" s="15"/>
      <c r="K14" s="15"/>
      <c r="L14" s="10"/>
    </row>
    <row r="15">
      <c r="B15" s="15"/>
      <c r="C15" s="15" t="s">
        <v>34</v>
      </c>
      <c r="D15" s="20"/>
      <c r="E15" s="40"/>
      <c r="F15" s="19">
        <f>11.4</f>
        <v>11.4</v>
      </c>
      <c r="G15" s="11">
        <f t="shared" si="2"/>
        <v>10.004868</v>
      </c>
      <c r="H15" s="24">
        <f t="shared" si="3"/>
        <v>0.0840408912</v>
      </c>
      <c r="I15" s="25">
        <f t="shared" si="4"/>
        <v>325.004868</v>
      </c>
      <c r="J15" s="15"/>
      <c r="K15" s="15"/>
      <c r="L15" s="10"/>
    </row>
    <row r="16">
      <c r="B16" s="15"/>
      <c r="C16" s="15" t="s">
        <v>36</v>
      </c>
      <c r="D16" s="20"/>
      <c r="E16" s="40"/>
      <c r="F16" s="41">
        <f>28.49</f>
        <v>28.49</v>
      </c>
      <c r="G16" s="11">
        <f t="shared" si="2"/>
        <v>25.0033938</v>
      </c>
      <c r="H16" s="24">
        <f t="shared" si="3"/>
        <v>0.2100285079</v>
      </c>
      <c r="I16" s="25">
        <f t="shared" si="4"/>
        <v>340.0033938</v>
      </c>
      <c r="J16" s="15"/>
      <c r="K16" s="15"/>
      <c r="L16" s="10"/>
    </row>
    <row r="17">
      <c r="B17" s="15"/>
      <c r="C17" s="15" t="s">
        <v>37</v>
      </c>
      <c r="D17" s="20"/>
      <c r="E17" s="40"/>
      <c r="F17" s="19"/>
      <c r="G17" s="11">
        <f t="shared" si="2"/>
        <v>0</v>
      </c>
      <c r="H17" s="24">
        <f t="shared" si="3"/>
        <v>0</v>
      </c>
      <c r="I17" s="25">
        <f t="shared" si="4"/>
        <v>315</v>
      </c>
      <c r="J17" s="15"/>
      <c r="K17" s="15"/>
      <c r="L17" s="10"/>
    </row>
    <row r="18">
      <c r="B18" s="15"/>
      <c r="C18" s="15" t="s">
        <v>38</v>
      </c>
      <c r="D18" s="20"/>
      <c r="E18" s="40"/>
      <c r="F18" s="41">
        <f>9.78+1.97</f>
        <v>11.75</v>
      </c>
      <c r="G18" s="11">
        <f t="shared" si="2"/>
        <v>10.312035</v>
      </c>
      <c r="H18" s="24">
        <f t="shared" si="3"/>
        <v>0.086621094</v>
      </c>
      <c r="I18" s="25">
        <f t="shared" si="4"/>
        <v>325.312035</v>
      </c>
      <c r="J18" s="15"/>
      <c r="K18" s="15"/>
      <c r="L18" s="10"/>
    </row>
    <row r="19">
      <c r="B19" s="15"/>
      <c r="C19" s="15" t="s">
        <v>39</v>
      </c>
      <c r="D19" s="20"/>
      <c r="E19" s="40"/>
      <c r="F19" s="19"/>
      <c r="G19" s="11">
        <f t="shared" si="2"/>
        <v>0</v>
      </c>
      <c r="H19" s="24">
        <f t="shared" si="3"/>
        <v>0</v>
      </c>
      <c r="I19" s="25">
        <f t="shared" si="4"/>
        <v>315</v>
      </c>
      <c r="J19" s="15"/>
      <c r="K19" s="15"/>
      <c r="L19" s="10"/>
    </row>
    <row r="20">
      <c r="B20" s="15"/>
      <c r="C20" s="15" t="s">
        <v>40</v>
      </c>
      <c r="D20" s="20"/>
      <c r="E20" s="40"/>
      <c r="F20" s="41"/>
      <c r="G20" s="11">
        <f t="shared" si="2"/>
        <v>0</v>
      </c>
      <c r="H20" s="24">
        <f t="shared" si="3"/>
        <v>0</v>
      </c>
      <c r="I20" s="25">
        <f t="shared" si="4"/>
        <v>315</v>
      </c>
      <c r="J20" s="15"/>
      <c r="K20" s="15"/>
      <c r="L20" s="10"/>
    </row>
    <row r="21">
      <c r="B21" s="15"/>
      <c r="C21" s="15" t="s">
        <v>41</v>
      </c>
      <c r="D21" s="20"/>
      <c r="E21" s="40"/>
      <c r="F21" s="19">
        <f>3.3+7.01</f>
        <v>10.31</v>
      </c>
      <c r="G21" s="11">
        <f t="shared" si="2"/>
        <v>9.0482622</v>
      </c>
      <c r="H21" s="24">
        <f t="shared" si="3"/>
        <v>0.07600540248</v>
      </c>
      <c r="I21" s="25">
        <f t="shared" si="4"/>
        <v>324.0482622</v>
      </c>
      <c r="J21" s="15"/>
      <c r="K21" s="15"/>
      <c r="L21" s="10"/>
    </row>
    <row r="22">
      <c r="B22" s="15"/>
      <c r="C22" s="15" t="s">
        <v>42</v>
      </c>
      <c r="D22" s="20"/>
      <c r="E22" s="40"/>
      <c r="F22" s="41"/>
      <c r="G22" s="11">
        <f t="shared" si="2"/>
        <v>0</v>
      </c>
      <c r="H22" s="24">
        <f t="shared" si="3"/>
        <v>0</v>
      </c>
      <c r="I22" s="25">
        <f t="shared" si="4"/>
        <v>315</v>
      </c>
      <c r="J22" s="15"/>
      <c r="K22" s="15"/>
      <c r="L22" s="10"/>
    </row>
    <row r="23">
      <c r="C23" s="15" t="s">
        <v>44</v>
      </c>
      <c r="E23" s="17"/>
      <c r="F23" s="46">
        <f>7.42+20.45+3.9+0.76+2.36</f>
        <v>34.89</v>
      </c>
      <c r="G23" s="11">
        <f t="shared" si="2"/>
        <v>30.6201618</v>
      </c>
      <c r="H23" s="24">
        <f t="shared" si="3"/>
        <v>0.2572093591</v>
      </c>
      <c r="I23" s="25">
        <f t="shared" si="4"/>
        <v>345.6201618</v>
      </c>
      <c r="J23" s="45"/>
      <c r="K23" s="45"/>
      <c r="L23" s="45"/>
      <c r="M23" s="45"/>
      <c r="N23" s="45"/>
      <c r="O23" s="45"/>
      <c r="P23" s="45"/>
      <c r="Q23" s="45"/>
    </row>
    <row r="24">
      <c r="C24" s="15" t="s">
        <v>45</v>
      </c>
      <c r="E24" s="40"/>
      <c r="F24" s="46"/>
      <c r="G24" s="11">
        <f t="shared" si="2"/>
        <v>0</v>
      </c>
      <c r="H24" s="24">
        <f t="shared" si="3"/>
        <v>0</v>
      </c>
      <c r="I24" s="25">
        <f t="shared" si="4"/>
        <v>315</v>
      </c>
      <c r="J24" s="45"/>
      <c r="K24" s="45"/>
      <c r="L24" s="45"/>
      <c r="M24" s="45"/>
      <c r="N24" s="45"/>
      <c r="O24" s="45"/>
      <c r="P24" s="45"/>
      <c r="Q24" s="45"/>
    </row>
    <row r="25">
      <c r="C25" s="15" t="s">
        <v>46</v>
      </c>
      <c r="E25" s="40"/>
      <c r="F25" s="46"/>
      <c r="G25" s="11">
        <f t="shared" si="2"/>
        <v>0</v>
      </c>
      <c r="H25" s="24">
        <f t="shared" si="3"/>
        <v>0</v>
      </c>
      <c r="I25" s="25">
        <f t="shared" si="4"/>
        <v>315</v>
      </c>
      <c r="J25" s="45"/>
      <c r="K25" s="45"/>
      <c r="L25" s="45"/>
      <c r="M25" s="45"/>
      <c r="N25" s="45"/>
      <c r="O25" s="45"/>
      <c r="P25" s="45"/>
      <c r="Q25" s="45"/>
    </row>
    <row r="26">
      <c r="C26" s="15" t="s">
        <v>47</v>
      </c>
      <c r="E26" s="40"/>
      <c r="F26" s="46"/>
      <c r="G26" s="11">
        <f t="shared" si="2"/>
        <v>0</v>
      </c>
      <c r="H26" s="24">
        <f t="shared" si="3"/>
        <v>0</v>
      </c>
      <c r="I26" s="25">
        <f t="shared" si="4"/>
        <v>315</v>
      </c>
      <c r="J26" s="45"/>
      <c r="K26" s="45"/>
      <c r="L26" s="45"/>
      <c r="M26" s="45"/>
      <c r="N26" s="45"/>
      <c r="O26" s="45"/>
      <c r="P26" s="45"/>
      <c r="Q26" s="45"/>
    </row>
    <row r="27">
      <c r="C27" s="15" t="s">
        <v>48</v>
      </c>
      <c r="E27" s="40"/>
      <c r="F27" s="46"/>
      <c r="G27" s="11">
        <f t="shared" si="2"/>
        <v>0</v>
      </c>
      <c r="H27" s="24">
        <f t="shared" si="3"/>
        <v>0</v>
      </c>
      <c r="I27" s="25">
        <f t="shared" si="4"/>
        <v>315</v>
      </c>
      <c r="J27" s="45"/>
      <c r="K27" s="45"/>
      <c r="L27" s="45"/>
      <c r="M27" s="45"/>
      <c r="N27" s="45"/>
      <c r="O27" s="45"/>
      <c r="P27" s="45"/>
      <c r="Q27" s="45"/>
    </row>
    <row r="28">
      <c r="C28" s="15" t="s">
        <v>49</v>
      </c>
      <c r="E28" s="17"/>
      <c r="F28" s="44"/>
      <c r="G28" s="11">
        <f t="shared" si="2"/>
        <v>0</v>
      </c>
      <c r="H28" s="24">
        <f t="shared" si="3"/>
        <v>0</v>
      </c>
      <c r="I28" s="25">
        <f t="shared" si="4"/>
        <v>315</v>
      </c>
      <c r="J28" s="45"/>
      <c r="K28" s="45"/>
      <c r="L28" s="45"/>
      <c r="M28" s="45"/>
      <c r="N28" s="45"/>
      <c r="O28" s="45"/>
      <c r="P28" s="45"/>
      <c r="Q28" s="45"/>
    </row>
    <row r="29">
      <c r="C29" s="15" t="s">
        <v>51</v>
      </c>
      <c r="E29" s="17"/>
      <c r="F29" s="46"/>
      <c r="G29" s="11">
        <f t="shared" si="2"/>
        <v>0</v>
      </c>
      <c r="H29" s="24">
        <f t="shared" si="3"/>
        <v>0</v>
      </c>
      <c r="I29" s="25">
        <f t="shared" si="4"/>
        <v>315</v>
      </c>
      <c r="J29" s="45"/>
      <c r="K29" s="45"/>
      <c r="L29" s="45"/>
      <c r="M29" s="45"/>
      <c r="N29" s="45"/>
      <c r="O29" s="45"/>
      <c r="P29" s="45"/>
      <c r="Q29" s="45"/>
    </row>
    <row r="30">
      <c r="C30" s="15" t="s">
        <v>52</v>
      </c>
      <c r="E30" s="40"/>
      <c r="F30" s="46"/>
      <c r="G30" s="11">
        <f t="shared" si="2"/>
        <v>0</v>
      </c>
      <c r="H30" s="24">
        <f t="shared" si="3"/>
        <v>0</v>
      </c>
      <c r="I30" s="25">
        <f t="shared" si="4"/>
        <v>315</v>
      </c>
      <c r="J30" s="45"/>
      <c r="K30" s="45"/>
      <c r="L30" s="45"/>
      <c r="M30" s="45"/>
      <c r="N30" s="45"/>
      <c r="O30" s="45"/>
      <c r="P30" s="45"/>
      <c r="Q30" s="45"/>
    </row>
    <row r="31">
      <c r="C31" s="15" t="s">
        <v>53</v>
      </c>
      <c r="E31" s="40"/>
      <c r="F31" s="46"/>
      <c r="G31" s="11">
        <f t="shared" si="2"/>
        <v>0</v>
      </c>
      <c r="H31" s="24">
        <f t="shared" si="3"/>
        <v>0</v>
      </c>
      <c r="I31" s="25">
        <f t="shared" si="4"/>
        <v>315</v>
      </c>
      <c r="J31" s="45"/>
      <c r="K31" s="45"/>
      <c r="L31" s="45"/>
      <c r="M31" s="45"/>
      <c r="N31" s="45"/>
      <c r="O31" s="45"/>
      <c r="P31" s="45"/>
      <c r="Q31" s="45"/>
    </row>
    <row r="32">
      <c r="C32" s="15" t="s">
        <v>54</v>
      </c>
      <c r="E32" s="40"/>
      <c r="F32" s="46"/>
      <c r="G32" s="11">
        <f t="shared" si="2"/>
        <v>0</v>
      </c>
      <c r="H32" s="24">
        <f t="shared" si="3"/>
        <v>0</v>
      </c>
      <c r="I32" s="25">
        <f t="shared" si="4"/>
        <v>315</v>
      </c>
      <c r="J32" s="45"/>
      <c r="K32" s="45"/>
      <c r="L32" s="45"/>
      <c r="M32" s="45"/>
      <c r="N32" s="45"/>
      <c r="O32" s="45"/>
      <c r="P32" s="45"/>
      <c r="Q32" s="45"/>
    </row>
    <row r="33">
      <c r="C33" s="15" t="s">
        <v>55</v>
      </c>
      <c r="E33" s="40"/>
      <c r="F33" s="46"/>
      <c r="G33" s="11">
        <f t="shared" si="2"/>
        <v>0</v>
      </c>
      <c r="H33" s="24">
        <f t="shared" si="3"/>
        <v>0</v>
      </c>
      <c r="I33" s="25">
        <f t="shared" si="4"/>
        <v>315</v>
      </c>
    </row>
    <row r="34">
      <c r="C34" s="15" t="s">
        <v>56</v>
      </c>
      <c r="E34" s="40"/>
      <c r="F34" s="46"/>
      <c r="G34" s="11">
        <f t="shared" si="2"/>
        <v>0</v>
      </c>
      <c r="H34" s="24">
        <f t="shared" si="3"/>
        <v>0</v>
      </c>
      <c r="I34" s="25">
        <f t="shared" si="4"/>
        <v>315</v>
      </c>
    </row>
    <row r="35">
      <c r="C35" s="15" t="s">
        <v>57</v>
      </c>
      <c r="E35" s="40"/>
      <c r="F35" s="46"/>
      <c r="G35" s="11">
        <f t="shared" si="2"/>
        <v>0</v>
      </c>
      <c r="H35" s="24">
        <f t="shared" si="3"/>
        <v>0</v>
      </c>
      <c r="I35" s="25">
        <f t="shared" si="4"/>
        <v>315</v>
      </c>
    </row>
    <row r="36">
      <c r="C36" s="15" t="s">
        <v>58</v>
      </c>
      <c r="E36" s="40"/>
      <c r="F36" s="46"/>
      <c r="G36" s="11">
        <f t="shared" si="2"/>
        <v>0</v>
      </c>
      <c r="H36" s="24">
        <f t="shared" si="3"/>
        <v>0</v>
      </c>
      <c r="I36" s="25">
        <f t="shared" si="4"/>
        <v>315</v>
      </c>
    </row>
    <row r="37">
      <c r="C37" s="15" t="s">
        <v>59</v>
      </c>
      <c r="E37" s="17"/>
      <c r="F37" s="44"/>
      <c r="G37" s="11">
        <f t="shared" si="2"/>
        <v>0</v>
      </c>
      <c r="H37" s="24">
        <f t="shared" si="3"/>
        <v>0</v>
      </c>
      <c r="I37" s="25">
        <f t="shared" si="4"/>
        <v>315</v>
      </c>
    </row>
    <row r="38">
      <c r="E38" s="1"/>
    </row>
    <row r="39">
      <c r="E39" s="1"/>
    </row>
    <row r="40">
      <c r="E40" s="1"/>
    </row>
    <row r="41">
      <c r="B41" s="48"/>
      <c r="C41" s="49"/>
      <c r="E41" s="1"/>
    </row>
    <row r="42">
      <c r="E42" s="1"/>
    </row>
    <row r="43">
      <c r="E43" s="1"/>
    </row>
    <row r="44">
      <c r="E44" s="1"/>
    </row>
    <row r="45">
      <c r="E45" s="1"/>
    </row>
    <row r="46">
      <c r="E46" s="1"/>
    </row>
    <row r="47">
      <c r="E47" s="1"/>
    </row>
    <row r="48">
      <c r="E48" s="1"/>
    </row>
    <row r="49">
      <c r="E49" s="1"/>
    </row>
    <row r="50">
      <c r="E50" s="1"/>
    </row>
    <row r="51">
      <c r="E51" s="1"/>
    </row>
    <row r="52">
      <c r="E52" s="1"/>
    </row>
    <row r="53">
      <c r="E53" s="1"/>
    </row>
    <row r="54">
      <c r="E54" s="1"/>
    </row>
    <row r="55">
      <c r="E55" s="1"/>
    </row>
    <row r="56">
      <c r="E56" s="1"/>
    </row>
    <row r="57">
      <c r="E57" s="1"/>
    </row>
    <row r="58">
      <c r="E58" s="1"/>
    </row>
    <row r="59">
      <c r="E59" s="1"/>
    </row>
    <row r="60">
      <c r="E60" s="1"/>
    </row>
    <row r="61">
      <c r="E61" s="1"/>
    </row>
    <row r="62">
      <c r="E62" s="1"/>
    </row>
    <row r="63">
      <c r="E63" s="1"/>
    </row>
    <row r="64">
      <c r="E64" s="1"/>
    </row>
    <row r="65">
      <c r="E65" s="1"/>
    </row>
    <row r="66">
      <c r="E66" s="1"/>
    </row>
    <row r="67">
      <c r="E67" s="1"/>
    </row>
    <row r="68">
      <c r="E68" s="1"/>
    </row>
    <row r="69">
      <c r="E69" s="1"/>
    </row>
    <row r="70">
      <c r="E70" s="1"/>
    </row>
    <row r="71">
      <c r="E71" s="1"/>
    </row>
    <row r="72">
      <c r="E72" s="1"/>
    </row>
    <row r="73">
      <c r="E73" s="1"/>
    </row>
    <row r="74">
      <c r="E74" s="1"/>
    </row>
    <row r="75">
      <c r="E75" s="1"/>
    </row>
    <row r="76">
      <c r="E76" s="1"/>
    </row>
    <row r="77">
      <c r="E77" s="1"/>
    </row>
    <row r="78">
      <c r="E78" s="1"/>
    </row>
    <row r="79">
      <c r="E79" s="1"/>
    </row>
    <row r="80">
      <c r="E80" s="1"/>
    </row>
    <row r="81">
      <c r="E81" s="1"/>
    </row>
    <row r="82">
      <c r="E82" s="1"/>
    </row>
    <row r="83">
      <c r="E83" s="1"/>
    </row>
    <row r="84">
      <c r="E84" s="1"/>
    </row>
    <row r="85">
      <c r="E85" s="1"/>
    </row>
    <row r="86">
      <c r="E86" s="1"/>
    </row>
    <row r="87">
      <c r="E87" s="1"/>
    </row>
    <row r="88">
      <c r="E88" s="1"/>
    </row>
    <row r="89">
      <c r="E89" s="1"/>
    </row>
    <row r="90">
      <c r="E90" s="1"/>
    </row>
    <row r="91">
      <c r="E91" s="1"/>
    </row>
    <row r="92">
      <c r="E92" s="1"/>
    </row>
    <row r="93">
      <c r="E93" s="1"/>
    </row>
    <row r="94">
      <c r="E94" s="1"/>
    </row>
    <row r="95">
      <c r="E95" s="1"/>
    </row>
    <row r="96">
      <c r="E96" s="1"/>
    </row>
    <row r="97">
      <c r="E97" s="1"/>
    </row>
    <row r="98">
      <c r="E98" s="1"/>
    </row>
    <row r="99">
      <c r="E99" s="1"/>
    </row>
    <row r="100">
      <c r="E100" s="1"/>
    </row>
    <row r="101">
      <c r="E101" s="1"/>
    </row>
    <row r="102">
      <c r="E102" s="1"/>
    </row>
    <row r="103">
      <c r="E103" s="1"/>
    </row>
    <row r="104">
      <c r="E104" s="1"/>
    </row>
    <row r="105">
      <c r="E105" s="1"/>
    </row>
    <row r="106">
      <c r="E106" s="1"/>
    </row>
    <row r="107">
      <c r="E107" s="1"/>
    </row>
    <row r="108">
      <c r="E108" s="1"/>
    </row>
    <row r="109">
      <c r="E109" s="1"/>
    </row>
    <row r="110">
      <c r="E110" s="1"/>
    </row>
    <row r="111">
      <c r="E111" s="1"/>
    </row>
    <row r="112">
      <c r="E112" s="1"/>
    </row>
    <row r="113">
      <c r="E113" s="1"/>
    </row>
    <row r="114">
      <c r="E114" s="1"/>
    </row>
    <row r="115">
      <c r="E115" s="1"/>
    </row>
    <row r="116">
      <c r="E116" s="1"/>
    </row>
    <row r="117">
      <c r="E117" s="1"/>
    </row>
    <row r="118">
      <c r="E118" s="1"/>
    </row>
    <row r="119">
      <c r="E119" s="1"/>
    </row>
    <row r="120">
      <c r="E120" s="1"/>
    </row>
    <row r="121">
      <c r="E121" s="1"/>
    </row>
    <row r="122">
      <c r="E122" s="1"/>
    </row>
    <row r="123">
      <c r="E123" s="1"/>
    </row>
    <row r="124">
      <c r="E124" s="1"/>
    </row>
    <row r="125">
      <c r="E125" s="1"/>
    </row>
    <row r="126">
      <c r="E126" s="1"/>
    </row>
    <row r="127">
      <c r="E127" s="1"/>
    </row>
    <row r="128">
      <c r="E128" s="1"/>
    </row>
    <row r="129">
      <c r="E129" s="1"/>
    </row>
    <row r="130">
      <c r="E130" s="1"/>
    </row>
    <row r="131">
      <c r="E131" s="1"/>
    </row>
    <row r="132">
      <c r="E132" s="1"/>
    </row>
    <row r="133">
      <c r="E133" s="1"/>
    </row>
    <row r="134">
      <c r="E134" s="1"/>
    </row>
    <row r="135">
      <c r="E135" s="1"/>
    </row>
    <row r="136">
      <c r="E136" s="1"/>
    </row>
    <row r="137">
      <c r="E137" s="1"/>
    </row>
    <row r="138">
      <c r="E138" s="1"/>
    </row>
    <row r="139">
      <c r="E139" s="1"/>
    </row>
    <row r="140">
      <c r="E140" s="1"/>
    </row>
    <row r="141">
      <c r="E141" s="1"/>
    </row>
    <row r="142">
      <c r="E142" s="1"/>
    </row>
    <row r="143">
      <c r="E143" s="1"/>
    </row>
    <row r="144">
      <c r="E144" s="1"/>
    </row>
    <row r="145">
      <c r="E145" s="1"/>
    </row>
    <row r="146">
      <c r="E146" s="1"/>
    </row>
    <row r="147">
      <c r="E147" s="1"/>
    </row>
    <row r="148">
      <c r="E148" s="1"/>
    </row>
    <row r="149">
      <c r="E149" s="1"/>
    </row>
    <row r="150">
      <c r="E150" s="1"/>
    </row>
    <row r="151">
      <c r="E151" s="1"/>
    </row>
    <row r="152">
      <c r="E152" s="1"/>
    </row>
    <row r="153">
      <c r="E153" s="1"/>
    </row>
    <row r="154">
      <c r="E154" s="1"/>
    </row>
    <row r="155">
      <c r="E155" s="1"/>
    </row>
    <row r="156">
      <c r="E156" s="1"/>
    </row>
    <row r="157">
      <c r="E157" s="1"/>
    </row>
    <row r="158">
      <c r="E158" s="1"/>
    </row>
    <row r="159">
      <c r="E159" s="1"/>
    </row>
    <row r="160">
      <c r="E160" s="1"/>
    </row>
    <row r="161">
      <c r="E161" s="1"/>
    </row>
    <row r="162">
      <c r="E162" s="1"/>
    </row>
    <row r="163">
      <c r="E163" s="1"/>
    </row>
    <row r="164">
      <c r="E164" s="1"/>
    </row>
    <row r="165">
      <c r="E165" s="1"/>
    </row>
    <row r="166">
      <c r="E166" s="1"/>
    </row>
    <row r="167">
      <c r="E167" s="1"/>
    </row>
    <row r="168">
      <c r="E168" s="1"/>
    </row>
    <row r="169">
      <c r="E169" s="1"/>
    </row>
    <row r="170">
      <c r="E170" s="1"/>
    </row>
    <row r="171">
      <c r="E171" s="1"/>
    </row>
    <row r="172">
      <c r="E172" s="1"/>
    </row>
    <row r="173">
      <c r="E173" s="1"/>
    </row>
    <row r="174">
      <c r="E174" s="1"/>
    </row>
    <row r="175">
      <c r="E175" s="1"/>
    </row>
    <row r="176">
      <c r="E176" s="1"/>
    </row>
    <row r="177">
      <c r="E177" s="1"/>
    </row>
    <row r="178">
      <c r="E178" s="1"/>
    </row>
    <row r="179">
      <c r="E179" s="1"/>
    </row>
    <row r="180">
      <c r="E180" s="1"/>
    </row>
    <row r="181">
      <c r="E181" s="1"/>
    </row>
    <row r="182">
      <c r="E182" s="1"/>
    </row>
    <row r="183">
      <c r="E183" s="1"/>
    </row>
    <row r="184">
      <c r="E184" s="1"/>
    </row>
    <row r="185">
      <c r="E185" s="1"/>
    </row>
    <row r="186">
      <c r="E186" s="1"/>
    </row>
    <row r="187">
      <c r="E187" s="1"/>
    </row>
    <row r="188">
      <c r="E188" s="1"/>
    </row>
    <row r="189">
      <c r="E189" s="1"/>
    </row>
    <row r="190">
      <c r="E190" s="1"/>
    </row>
    <row r="191">
      <c r="E191" s="1"/>
    </row>
    <row r="192">
      <c r="E192" s="1"/>
    </row>
    <row r="193">
      <c r="E193" s="1"/>
    </row>
    <row r="194">
      <c r="E194" s="1"/>
    </row>
    <row r="195">
      <c r="E195" s="1"/>
    </row>
    <row r="196">
      <c r="E196" s="1"/>
    </row>
    <row r="197">
      <c r="E197" s="1"/>
    </row>
    <row r="198">
      <c r="E198" s="1"/>
    </row>
    <row r="199">
      <c r="E199" s="1"/>
    </row>
    <row r="200">
      <c r="E200" s="1"/>
    </row>
    <row r="201">
      <c r="E201" s="1"/>
    </row>
    <row r="202">
      <c r="E202" s="1"/>
    </row>
    <row r="203">
      <c r="E203" s="1"/>
    </row>
    <row r="204">
      <c r="E204" s="1"/>
    </row>
    <row r="205">
      <c r="E205" s="1"/>
    </row>
    <row r="206">
      <c r="E206" s="1"/>
    </row>
    <row r="207">
      <c r="E207" s="1"/>
    </row>
    <row r="208">
      <c r="E208" s="1"/>
    </row>
    <row r="209">
      <c r="E209" s="1"/>
    </row>
    <row r="210">
      <c r="E210" s="1"/>
    </row>
    <row r="211">
      <c r="E211" s="1"/>
    </row>
    <row r="212">
      <c r="E212" s="1"/>
    </row>
    <row r="213">
      <c r="E213" s="1"/>
    </row>
    <row r="214">
      <c r="E214" s="1"/>
    </row>
    <row r="215">
      <c r="E215" s="1"/>
    </row>
    <row r="216">
      <c r="E216" s="1"/>
    </row>
    <row r="217">
      <c r="E217" s="1"/>
    </row>
    <row r="218">
      <c r="E218" s="1"/>
    </row>
    <row r="219">
      <c r="E219" s="1"/>
    </row>
    <row r="220">
      <c r="E220" s="1"/>
    </row>
    <row r="221">
      <c r="E221" s="1"/>
    </row>
    <row r="222">
      <c r="E222" s="1"/>
    </row>
    <row r="223">
      <c r="E223" s="1"/>
    </row>
    <row r="224">
      <c r="E224" s="1"/>
    </row>
    <row r="225">
      <c r="E225" s="1"/>
    </row>
    <row r="226">
      <c r="E226" s="1"/>
    </row>
    <row r="227">
      <c r="E227" s="1"/>
    </row>
    <row r="228">
      <c r="E228" s="1"/>
    </row>
    <row r="229">
      <c r="E229" s="1"/>
    </row>
    <row r="230">
      <c r="E230" s="1"/>
    </row>
    <row r="231">
      <c r="E231" s="1"/>
    </row>
    <row r="232">
      <c r="E232" s="1"/>
    </row>
    <row r="233">
      <c r="E233" s="1"/>
    </row>
    <row r="234">
      <c r="E234" s="1"/>
    </row>
    <row r="235">
      <c r="E235" s="1"/>
    </row>
    <row r="236">
      <c r="E236" s="1"/>
    </row>
    <row r="237">
      <c r="E237" s="1"/>
    </row>
    <row r="238">
      <c r="E238" s="1"/>
    </row>
    <row r="239">
      <c r="E239" s="1"/>
    </row>
    <row r="240">
      <c r="E240" s="1"/>
    </row>
    <row r="241">
      <c r="E241" s="1"/>
    </row>
    <row r="242">
      <c r="E242" s="1"/>
    </row>
    <row r="243">
      <c r="E243" s="1"/>
    </row>
    <row r="244">
      <c r="E244" s="1"/>
    </row>
    <row r="245">
      <c r="E245" s="1"/>
    </row>
    <row r="246">
      <c r="E246" s="1"/>
    </row>
    <row r="247">
      <c r="E247" s="1"/>
    </row>
    <row r="248">
      <c r="E248" s="1"/>
    </row>
    <row r="249">
      <c r="E249" s="1"/>
    </row>
    <row r="250">
      <c r="E250" s="1"/>
    </row>
    <row r="251">
      <c r="E251" s="1"/>
    </row>
    <row r="252">
      <c r="E252" s="1"/>
    </row>
    <row r="253">
      <c r="E253" s="1"/>
    </row>
    <row r="254">
      <c r="E254" s="1"/>
    </row>
    <row r="255">
      <c r="E255" s="1"/>
    </row>
    <row r="256">
      <c r="E256" s="1"/>
    </row>
    <row r="257">
      <c r="E257" s="1"/>
    </row>
    <row r="258">
      <c r="E258" s="1"/>
    </row>
    <row r="259">
      <c r="E259" s="1"/>
    </row>
    <row r="260">
      <c r="E260" s="1"/>
    </row>
    <row r="261">
      <c r="E261" s="1"/>
    </row>
    <row r="262">
      <c r="E262" s="1"/>
    </row>
    <row r="263">
      <c r="E263" s="1"/>
    </row>
    <row r="264">
      <c r="E264" s="1"/>
    </row>
    <row r="265">
      <c r="E265" s="1"/>
    </row>
    <row r="266">
      <c r="E266" s="1"/>
    </row>
    <row r="267">
      <c r="E267" s="1"/>
    </row>
    <row r="268">
      <c r="E268" s="1"/>
    </row>
    <row r="269">
      <c r="E269" s="1"/>
    </row>
    <row r="270">
      <c r="E270" s="1"/>
    </row>
    <row r="271">
      <c r="E271" s="1"/>
    </row>
    <row r="272">
      <c r="E272" s="1"/>
    </row>
    <row r="273">
      <c r="E273" s="1"/>
    </row>
    <row r="274">
      <c r="E274" s="1"/>
    </row>
    <row r="275">
      <c r="E275" s="1"/>
    </row>
    <row r="276">
      <c r="E276" s="1"/>
    </row>
    <row r="277">
      <c r="E277" s="1"/>
    </row>
    <row r="278">
      <c r="E278" s="1"/>
    </row>
    <row r="279">
      <c r="E279" s="1"/>
    </row>
    <row r="280">
      <c r="E280" s="1"/>
    </row>
    <row r="281">
      <c r="E281" s="1"/>
    </row>
    <row r="282">
      <c r="E282" s="1"/>
    </row>
    <row r="283">
      <c r="E283" s="1"/>
    </row>
    <row r="284">
      <c r="E284" s="1"/>
    </row>
    <row r="285">
      <c r="E285" s="1"/>
    </row>
    <row r="286">
      <c r="E286" s="1"/>
    </row>
    <row r="287">
      <c r="E287" s="1"/>
    </row>
    <row r="288">
      <c r="E288" s="1"/>
    </row>
    <row r="289">
      <c r="E289" s="1"/>
    </row>
    <row r="290">
      <c r="E290" s="1"/>
    </row>
    <row r="291">
      <c r="E291" s="1"/>
    </row>
    <row r="292">
      <c r="E292" s="1"/>
    </row>
    <row r="293">
      <c r="E293" s="1"/>
    </row>
    <row r="294">
      <c r="E294" s="1"/>
    </row>
    <row r="295">
      <c r="E295" s="1"/>
    </row>
    <row r="296">
      <c r="E296" s="1"/>
    </row>
    <row r="297">
      <c r="E297" s="1"/>
    </row>
    <row r="298">
      <c r="E298" s="1"/>
    </row>
    <row r="299">
      <c r="E299" s="1"/>
    </row>
    <row r="300">
      <c r="E300" s="1"/>
    </row>
    <row r="301">
      <c r="E301" s="1"/>
    </row>
    <row r="302">
      <c r="E302" s="1"/>
    </row>
    <row r="303">
      <c r="E303" s="1"/>
    </row>
    <row r="304">
      <c r="E304" s="1"/>
    </row>
    <row r="305">
      <c r="E305" s="1"/>
    </row>
    <row r="306">
      <c r="E306" s="1"/>
    </row>
    <row r="307">
      <c r="E307" s="1"/>
    </row>
    <row r="308">
      <c r="E308" s="1"/>
    </row>
    <row r="309">
      <c r="E309" s="1"/>
    </row>
    <row r="310">
      <c r="E310" s="1"/>
    </row>
    <row r="311">
      <c r="E311" s="1"/>
    </row>
    <row r="312">
      <c r="E312" s="1"/>
    </row>
    <row r="313">
      <c r="E313" s="1"/>
    </row>
    <row r="314">
      <c r="E314" s="1"/>
    </row>
    <row r="315">
      <c r="E315" s="1"/>
    </row>
    <row r="316">
      <c r="E316" s="1"/>
    </row>
    <row r="317">
      <c r="E317" s="1"/>
    </row>
    <row r="318">
      <c r="E318" s="1"/>
    </row>
    <row r="319">
      <c r="E319" s="1"/>
    </row>
    <row r="320">
      <c r="E320" s="1"/>
    </row>
    <row r="321">
      <c r="E321" s="1"/>
    </row>
    <row r="322">
      <c r="E322" s="1"/>
    </row>
    <row r="323">
      <c r="E323" s="1"/>
    </row>
    <row r="324">
      <c r="E324" s="1"/>
    </row>
    <row r="325">
      <c r="E325" s="1"/>
    </row>
    <row r="326">
      <c r="E326" s="1"/>
    </row>
    <row r="327">
      <c r="E327" s="1"/>
    </row>
    <row r="328">
      <c r="E328" s="1"/>
    </row>
    <row r="329">
      <c r="E329" s="1"/>
    </row>
    <row r="330">
      <c r="E330" s="1"/>
    </row>
    <row r="331">
      <c r="E331" s="1"/>
    </row>
    <row r="332">
      <c r="E332" s="1"/>
    </row>
    <row r="333">
      <c r="E333" s="1"/>
    </row>
    <row r="334">
      <c r="E334" s="1"/>
    </row>
    <row r="335">
      <c r="E335" s="1"/>
    </row>
    <row r="336">
      <c r="E336" s="1"/>
    </row>
    <row r="337">
      <c r="E337" s="1"/>
    </row>
    <row r="338">
      <c r="E338" s="1"/>
    </row>
    <row r="339">
      <c r="E339" s="1"/>
    </row>
    <row r="340">
      <c r="E340" s="1"/>
    </row>
    <row r="341">
      <c r="E341" s="1"/>
    </row>
    <row r="342">
      <c r="E342" s="1"/>
    </row>
    <row r="343">
      <c r="E343" s="1"/>
    </row>
    <row r="344">
      <c r="E344" s="1"/>
    </row>
    <row r="345">
      <c r="E345" s="1"/>
    </row>
    <row r="346">
      <c r="E346" s="1"/>
    </row>
    <row r="347">
      <c r="E347" s="1"/>
    </row>
    <row r="348">
      <c r="E348" s="1"/>
    </row>
    <row r="349">
      <c r="E349" s="1"/>
    </row>
    <row r="350">
      <c r="E350" s="1"/>
    </row>
    <row r="351">
      <c r="E351" s="1"/>
    </row>
    <row r="352">
      <c r="E352" s="1"/>
    </row>
    <row r="353">
      <c r="E353" s="1"/>
    </row>
    <row r="354">
      <c r="E354" s="1"/>
    </row>
    <row r="355">
      <c r="E355" s="1"/>
    </row>
    <row r="356">
      <c r="E356" s="1"/>
    </row>
    <row r="357">
      <c r="E357" s="1"/>
    </row>
    <row r="358">
      <c r="E358" s="1"/>
    </row>
    <row r="359">
      <c r="E359" s="1"/>
    </row>
    <row r="360">
      <c r="E360" s="1"/>
    </row>
    <row r="361">
      <c r="E361" s="1"/>
    </row>
    <row r="362">
      <c r="E362" s="1"/>
    </row>
    <row r="363">
      <c r="E363" s="1"/>
    </row>
    <row r="364">
      <c r="E364" s="1"/>
    </row>
    <row r="365">
      <c r="E365" s="1"/>
    </row>
    <row r="366">
      <c r="E366" s="1"/>
    </row>
    <row r="367">
      <c r="E367" s="1"/>
    </row>
    <row r="368">
      <c r="E368" s="1"/>
    </row>
    <row r="369">
      <c r="E369" s="1"/>
    </row>
    <row r="370">
      <c r="E370" s="1"/>
    </row>
    <row r="371">
      <c r="E371" s="1"/>
    </row>
    <row r="372">
      <c r="E372" s="1"/>
    </row>
    <row r="373">
      <c r="E373" s="1"/>
    </row>
    <row r="374">
      <c r="E374" s="1"/>
    </row>
    <row r="375">
      <c r="E375" s="1"/>
    </row>
    <row r="376">
      <c r="E376" s="1"/>
    </row>
    <row r="377">
      <c r="E377" s="1"/>
    </row>
    <row r="378">
      <c r="E378" s="1"/>
    </row>
    <row r="379">
      <c r="E379" s="1"/>
    </row>
    <row r="380">
      <c r="E380" s="1"/>
    </row>
    <row r="381">
      <c r="E381" s="1"/>
    </row>
    <row r="382">
      <c r="E382" s="1"/>
    </row>
    <row r="383">
      <c r="E383" s="1"/>
    </row>
    <row r="384">
      <c r="E384" s="1"/>
    </row>
    <row r="385">
      <c r="E385" s="1"/>
    </row>
    <row r="386">
      <c r="E386" s="1"/>
    </row>
    <row r="387">
      <c r="E387" s="1"/>
    </row>
    <row r="388">
      <c r="E388" s="1"/>
    </row>
    <row r="389">
      <c r="E389" s="1"/>
    </row>
    <row r="390">
      <c r="E390" s="1"/>
    </row>
    <row r="391">
      <c r="E391" s="1"/>
    </row>
    <row r="392">
      <c r="E392" s="1"/>
    </row>
    <row r="393">
      <c r="E393" s="1"/>
    </row>
    <row r="394">
      <c r="E394" s="1"/>
    </row>
    <row r="395">
      <c r="E395" s="1"/>
    </row>
    <row r="396">
      <c r="E396" s="1"/>
    </row>
    <row r="397">
      <c r="E397" s="1"/>
    </row>
    <row r="398">
      <c r="E398" s="1"/>
    </row>
    <row r="399">
      <c r="E399" s="1"/>
    </row>
    <row r="400">
      <c r="E400" s="1"/>
    </row>
    <row r="401">
      <c r="E401" s="1"/>
    </row>
    <row r="402">
      <c r="E402" s="1"/>
    </row>
    <row r="403">
      <c r="E403" s="1"/>
    </row>
    <row r="404">
      <c r="E404" s="1"/>
    </row>
    <row r="405">
      <c r="E405" s="1"/>
    </row>
    <row r="406">
      <c r="E406" s="1"/>
    </row>
    <row r="407">
      <c r="E407" s="1"/>
    </row>
    <row r="408">
      <c r="E408" s="1"/>
    </row>
    <row r="409">
      <c r="E409" s="1"/>
    </row>
    <row r="410">
      <c r="E410" s="1"/>
    </row>
    <row r="411">
      <c r="E411" s="1"/>
    </row>
    <row r="412">
      <c r="E412" s="1"/>
    </row>
    <row r="413">
      <c r="E413" s="1"/>
    </row>
    <row r="414">
      <c r="E414" s="1"/>
    </row>
    <row r="415">
      <c r="E415" s="1"/>
    </row>
    <row r="416">
      <c r="E416" s="1"/>
    </row>
    <row r="417">
      <c r="E417" s="1"/>
    </row>
    <row r="418">
      <c r="E418" s="1"/>
    </row>
    <row r="419">
      <c r="E419" s="1"/>
    </row>
    <row r="420">
      <c r="E420" s="1"/>
    </row>
    <row r="421">
      <c r="E421" s="1"/>
    </row>
    <row r="422">
      <c r="E422" s="1"/>
    </row>
    <row r="423">
      <c r="E423" s="1"/>
    </row>
    <row r="424">
      <c r="E424" s="1"/>
    </row>
    <row r="425">
      <c r="E425" s="1"/>
    </row>
    <row r="426">
      <c r="E426" s="1"/>
    </row>
    <row r="427">
      <c r="E427" s="1"/>
    </row>
    <row r="428">
      <c r="E428" s="1"/>
    </row>
    <row r="429">
      <c r="E429" s="1"/>
    </row>
    <row r="430">
      <c r="E430" s="1"/>
    </row>
    <row r="431">
      <c r="E431" s="1"/>
    </row>
    <row r="432">
      <c r="E432" s="1"/>
    </row>
    <row r="433">
      <c r="E433" s="1"/>
    </row>
    <row r="434">
      <c r="E434" s="1"/>
    </row>
    <row r="435">
      <c r="E435" s="1"/>
    </row>
    <row r="436">
      <c r="E436" s="1"/>
    </row>
    <row r="437">
      <c r="E437" s="1"/>
    </row>
    <row r="438">
      <c r="E438" s="1"/>
    </row>
    <row r="439">
      <c r="E439" s="1"/>
    </row>
    <row r="440">
      <c r="E440" s="1"/>
    </row>
    <row r="441">
      <c r="E441" s="1"/>
    </row>
    <row r="442">
      <c r="E442" s="1"/>
    </row>
    <row r="443">
      <c r="E443" s="1"/>
    </row>
    <row r="444">
      <c r="E444" s="1"/>
    </row>
    <row r="445">
      <c r="E445" s="1"/>
    </row>
    <row r="446">
      <c r="E446" s="1"/>
    </row>
    <row r="447">
      <c r="E447" s="1"/>
    </row>
    <row r="448">
      <c r="E448" s="1"/>
    </row>
    <row r="449">
      <c r="E449" s="1"/>
    </row>
    <row r="450">
      <c r="E450" s="1"/>
    </row>
    <row r="451">
      <c r="E451" s="1"/>
    </row>
    <row r="452">
      <c r="E452" s="1"/>
    </row>
    <row r="453">
      <c r="E453" s="1"/>
    </row>
    <row r="454">
      <c r="E454" s="1"/>
    </row>
    <row r="455">
      <c r="E455" s="1"/>
    </row>
    <row r="456">
      <c r="E456" s="1"/>
    </row>
    <row r="457">
      <c r="E457" s="1"/>
    </row>
    <row r="458">
      <c r="E458" s="1"/>
    </row>
    <row r="459">
      <c r="E459" s="1"/>
    </row>
    <row r="460">
      <c r="E460" s="1"/>
    </row>
    <row r="461">
      <c r="E461" s="1"/>
    </row>
    <row r="462">
      <c r="E462" s="1"/>
    </row>
    <row r="463">
      <c r="E463" s="1"/>
    </row>
    <row r="464">
      <c r="E464" s="1"/>
    </row>
    <row r="465">
      <c r="E465" s="1"/>
    </row>
    <row r="466">
      <c r="E466" s="1"/>
    </row>
    <row r="467">
      <c r="E467" s="1"/>
    </row>
    <row r="468">
      <c r="E468" s="1"/>
    </row>
    <row r="469">
      <c r="E469" s="1"/>
    </row>
    <row r="470">
      <c r="E470" s="1"/>
    </row>
    <row r="471">
      <c r="E471" s="1"/>
    </row>
    <row r="472">
      <c r="E472" s="1"/>
    </row>
    <row r="473">
      <c r="E473" s="1"/>
    </row>
    <row r="474">
      <c r="E474" s="1"/>
    </row>
    <row r="475">
      <c r="E475" s="1"/>
    </row>
    <row r="476">
      <c r="E476" s="1"/>
    </row>
    <row r="477">
      <c r="E477" s="1"/>
    </row>
    <row r="478">
      <c r="E478" s="1"/>
    </row>
    <row r="479">
      <c r="E479" s="1"/>
    </row>
    <row r="480">
      <c r="E480" s="1"/>
    </row>
    <row r="481">
      <c r="E481" s="1"/>
    </row>
    <row r="482">
      <c r="E482" s="1"/>
    </row>
    <row r="483">
      <c r="E483" s="1"/>
    </row>
    <row r="484">
      <c r="E484" s="1"/>
    </row>
    <row r="485">
      <c r="E485" s="1"/>
    </row>
    <row r="486">
      <c r="E486" s="1"/>
    </row>
    <row r="487">
      <c r="E487" s="1"/>
    </row>
    <row r="488">
      <c r="E488" s="1"/>
    </row>
    <row r="489">
      <c r="E489" s="1"/>
    </row>
    <row r="490">
      <c r="E490" s="1"/>
    </row>
    <row r="491">
      <c r="E491" s="1"/>
    </row>
    <row r="492">
      <c r="E492" s="1"/>
    </row>
    <row r="493">
      <c r="E493" s="1"/>
    </row>
    <row r="494">
      <c r="E494" s="1"/>
    </row>
    <row r="495">
      <c r="E495" s="1"/>
    </row>
    <row r="496">
      <c r="E496" s="1"/>
    </row>
    <row r="497">
      <c r="E497" s="1"/>
    </row>
    <row r="498">
      <c r="E498" s="1"/>
    </row>
    <row r="499">
      <c r="E499" s="1"/>
    </row>
    <row r="500">
      <c r="E500" s="1"/>
    </row>
    <row r="501">
      <c r="E501" s="1"/>
    </row>
    <row r="502">
      <c r="E502" s="1"/>
    </row>
    <row r="503">
      <c r="E503" s="1"/>
    </row>
    <row r="504">
      <c r="E504" s="1"/>
    </row>
    <row r="505">
      <c r="E505" s="1"/>
    </row>
    <row r="506">
      <c r="E506" s="1"/>
    </row>
    <row r="507">
      <c r="E507" s="1"/>
    </row>
    <row r="508">
      <c r="E508" s="1"/>
    </row>
    <row r="509">
      <c r="E509" s="1"/>
    </row>
    <row r="510">
      <c r="E510" s="1"/>
    </row>
    <row r="511">
      <c r="E511" s="1"/>
    </row>
    <row r="512">
      <c r="E512" s="1"/>
    </row>
    <row r="513">
      <c r="E513" s="1"/>
    </row>
    <row r="514">
      <c r="E514" s="1"/>
    </row>
    <row r="515">
      <c r="E515" s="1"/>
    </row>
    <row r="516">
      <c r="E516" s="1"/>
    </row>
    <row r="517">
      <c r="E517" s="1"/>
    </row>
    <row r="518">
      <c r="E518" s="1"/>
    </row>
    <row r="519">
      <c r="E519" s="1"/>
    </row>
    <row r="520">
      <c r="E520" s="1"/>
    </row>
    <row r="521">
      <c r="E521" s="1"/>
    </row>
    <row r="522">
      <c r="E522" s="1"/>
    </row>
    <row r="523">
      <c r="E523" s="1"/>
    </row>
    <row r="524">
      <c r="E524" s="1"/>
    </row>
    <row r="525">
      <c r="E525" s="1"/>
    </row>
    <row r="526">
      <c r="E526" s="1"/>
    </row>
    <row r="527">
      <c r="E527" s="1"/>
    </row>
    <row r="528">
      <c r="E528" s="1"/>
    </row>
    <row r="529">
      <c r="E529" s="1"/>
    </row>
    <row r="530">
      <c r="E530" s="1"/>
    </row>
    <row r="531">
      <c r="E531" s="1"/>
    </row>
    <row r="532">
      <c r="E532" s="1"/>
    </row>
    <row r="533">
      <c r="E533" s="1"/>
    </row>
    <row r="534">
      <c r="E534" s="1"/>
    </row>
    <row r="535">
      <c r="E535" s="1"/>
    </row>
    <row r="536">
      <c r="E536" s="1"/>
    </row>
    <row r="537">
      <c r="E537" s="1"/>
    </row>
    <row r="538">
      <c r="E538" s="1"/>
    </row>
    <row r="539">
      <c r="E539" s="1"/>
    </row>
    <row r="540">
      <c r="E540" s="1"/>
    </row>
    <row r="541">
      <c r="E541" s="1"/>
    </row>
    <row r="542">
      <c r="E542" s="1"/>
    </row>
    <row r="543">
      <c r="E543" s="1"/>
    </row>
    <row r="544">
      <c r="E544" s="1"/>
    </row>
    <row r="545">
      <c r="E545" s="1"/>
    </row>
    <row r="546">
      <c r="E546" s="1"/>
    </row>
    <row r="547">
      <c r="E547" s="1"/>
    </row>
    <row r="548">
      <c r="E548" s="1"/>
    </row>
    <row r="549">
      <c r="E549" s="1"/>
    </row>
    <row r="550">
      <c r="E550" s="1"/>
    </row>
    <row r="551">
      <c r="E551" s="1"/>
    </row>
    <row r="552">
      <c r="E552" s="1"/>
    </row>
    <row r="553">
      <c r="E553" s="1"/>
    </row>
    <row r="554">
      <c r="E554" s="1"/>
    </row>
    <row r="555">
      <c r="E555" s="1"/>
    </row>
    <row r="556">
      <c r="E556" s="1"/>
    </row>
    <row r="557">
      <c r="E557" s="1"/>
    </row>
    <row r="558">
      <c r="E558" s="1"/>
    </row>
    <row r="559">
      <c r="E559" s="1"/>
    </row>
    <row r="560">
      <c r="E560" s="1"/>
    </row>
    <row r="561">
      <c r="E561" s="1"/>
    </row>
    <row r="562">
      <c r="E562" s="1"/>
    </row>
    <row r="563">
      <c r="E563" s="1"/>
    </row>
    <row r="564">
      <c r="E564" s="1"/>
    </row>
    <row r="565">
      <c r="E565" s="1"/>
    </row>
    <row r="566">
      <c r="E566" s="1"/>
    </row>
    <row r="567">
      <c r="E567" s="1"/>
    </row>
    <row r="568">
      <c r="E568" s="1"/>
    </row>
    <row r="569">
      <c r="E569" s="1"/>
    </row>
    <row r="570">
      <c r="E570" s="1"/>
    </row>
    <row r="571">
      <c r="E571" s="1"/>
    </row>
    <row r="572">
      <c r="E572" s="1"/>
    </row>
    <row r="573">
      <c r="E573" s="1"/>
    </row>
    <row r="574">
      <c r="E574" s="1"/>
    </row>
    <row r="575">
      <c r="E575" s="1"/>
    </row>
    <row r="576">
      <c r="E576" s="1"/>
    </row>
    <row r="577">
      <c r="E577" s="1"/>
    </row>
    <row r="578">
      <c r="E578" s="1"/>
    </row>
    <row r="579">
      <c r="E579" s="1"/>
    </row>
    <row r="580">
      <c r="E580" s="1"/>
    </row>
    <row r="581">
      <c r="E581" s="1"/>
    </row>
    <row r="582">
      <c r="E582" s="1"/>
    </row>
    <row r="583">
      <c r="E583" s="1"/>
    </row>
    <row r="584">
      <c r="E584" s="1"/>
    </row>
    <row r="585">
      <c r="E585" s="1"/>
    </row>
    <row r="586">
      <c r="E586" s="1"/>
    </row>
    <row r="587">
      <c r="E587" s="1"/>
    </row>
    <row r="588">
      <c r="E588" s="1"/>
    </row>
    <row r="589">
      <c r="E589" s="1"/>
    </row>
    <row r="590">
      <c r="E590" s="1"/>
    </row>
    <row r="591">
      <c r="E591" s="1"/>
    </row>
    <row r="592">
      <c r="E592" s="1"/>
    </row>
    <row r="593">
      <c r="E593" s="1"/>
    </row>
    <row r="594">
      <c r="E594" s="1"/>
    </row>
    <row r="595">
      <c r="E595" s="1"/>
    </row>
    <row r="596">
      <c r="E596" s="1"/>
    </row>
    <row r="597">
      <c r="E597" s="1"/>
    </row>
    <row r="598">
      <c r="E598" s="1"/>
    </row>
    <row r="599">
      <c r="E599" s="1"/>
    </row>
    <row r="600">
      <c r="E600" s="1"/>
    </row>
    <row r="601">
      <c r="E601" s="1"/>
    </row>
    <row r="602">
      <c r="E602" s="1"/>
    </row>
    <row r="603">
      <c r="E603" s="1"/>
    </row>
    <row r="604">
      <c r="E604" s="1"/>
    </row>
    <row r="605">
      <c r="E605" s="1"/>
    </row>
    <row r="606">
      <c r="E606" s="1"/>
    </row>
    <row r="607">
      <c r="E607" s="1"/>
    </row>
    <row r="608">
      <c r="E608" s="1"/>
    </row>
    <row r="609">
      <c r="E609" s="1"/>
    </row>
    <row r="610">
      <c r="E610" s="1"/>
    </row>
    <row r="611">
      <c r="E611" s="1"/>
    </row>
    <row r="612">
      <c r="E612" s="1"/>
    </row>
    <row r="613">
      <c r="E613" s="1"/>
    </row>
    <row r="614">
      <c r="E614" s="1"/>
    </row>
    <row r="615">
      <c r="E615" s="1"/>
    </row>
    <row r="616">
      <c r="E616" s="1"/>
    </row>
    <row r="617">
      <c r="E617" s="1"/>
    </row>
    <row r="618">
      <c r="E618" s="1"/>
    </row>
    <row r="619">
      <c r="E619" s="1"/>
    </row>
    <row r="620">
      <c r="E620" s="1"/>
    </row>
    <row r="621">
      <c r="E621" s="1"/>
    </row>
    <row r="622">
      <c r="E622" s="1"/>
    </row>
    <row r="623">
      <c r="E623" s="1"/>
    </row>
    <row r="624">
      <c r="E624" s="1"/>
    </row>
    <row r="625">
      <c r="E625" s="1"/>
    </row>
    <row r="626">
      <c r="E626" s="1"/>
    </row>
    <row r="627">
      <c r="E627" s="1"/>
    </row>
    <row r="628">
      <c r="E628" s="1"/>
    </row>
    <row r="629">
      <c r="E629" s="1"/>
    </row>
    <row r="630">
      <c r="E630" s="1"/>
    </row>
    <row r="631">
      <c r="E631" s="1"/>
    </row>
    <row r="632">
      <c r="E632" s="1"/>
    </row>
    <row r="633">
      <c r="E633" s="1"/>
    </row>
    <row r="634">
      <c r="E634" s="1"/>
    </row>
    <row r="635">
      <c r="E635" s="1"/>
    </row>
    <row r="636">
      <c r="E636" s="1"/>
    </row>
    <row r="637">
      <c r="E637" s="1"/>
    </row>
    <row r="638">
      <c r="E638" s="1"/>
    </row>
    <row r="639">
      <c r="E639" s="1"/>
    </row>
    <row r="640">
      <c r="E640" s="1"/>
    </row>
    <row r="641">
      <c r="E641" s="1"/>
    </row>
    <row r="642">
      <c r="E642" s="1"/>
    </row>
    <row r="643">
      <c r="E643" s="1"/>
    </row>
    <row r="644">
      <c r="E644" s="1"/>
    </row>
    <row r="645">
      <c r="E645" s="1"/>
    </row>
    <row r="646">
      <c r="E646" s="1"/>
    </row>
    <row r="647">
      <c r="E647" s="1"/>
    </row>
    <row r="648">
      <c r="E648" s="1"/>
    </row>
    <row r="649">
      <c r="E649" s="1"/>
    </row>
    <row r="650">
      <c r="E650" s="1"/>
    </row>
    <row r="651">
      <c r="E651" s="1"/>
    </row>
    <row r="652">
      <c r="E652" s="1"/>
    </row>
    <row r="653">
      <c r="E653" s="1"/>
    </row>
    <row r="654">
      <c r="E654" s="1"/>
    </row>
    <row r="655">
      <c r="E655" s="1"/>
    </row>
    <row r="656">
      <c r="E656" s="1"/>
    </row>
    <row r="657">
      <c r="E657" s="1"/>
    </row>
    <row r="658">
      <c r="E658" s="1"/>
    </row>
    <row r="659">
      <c r="E659" s="1"/>
    </row>
    <row r="660">
      <c r="E660" s="1"/>
    </row>
    <row r="661">
      <c r="E661" s="1"/>
    </row>
    <row r="662">
      <c r="E662" s="1"/>
    </row>
    <row r="663">
      <c r="E663" s="1"/>
    </row>
    <row r="664">
      <c r="E664" s="1"/>
    </row>
    <row r="665">
      <c r="E665" s="1"/>
    </row>
    <row r="666">
      <c r="E666" s="1"/>
    </row>
    <row r="667">
      <c r="E667" s="1"/>
    </row>
    <row r="668">
      <c r="E668" s="1"/>
    </row>
    <row r="669">
      <c r="E669" s="1"/>
    </row>
    <row r="670">
      <c r="E670" s="1"/>
    </row>
    <row r="671">
      <c r="E671" s="1"/>
    </row>
    <row r="672">
      <c r="E672" s="1"/>
    </row>
    <row r="673">
      <c r="E673" s="1"/>
    </row>
    <row r="674">
      <c r="E674" s="1"/>
    </row>
    <row r="675">
      <c r="E675" s="1"/>
    </row>
    <row r="676">
      <c r="E676" s="1"/>
    </row>
    <row r="677">
      <c r="E677" s="1"/>
    </row>
    <row r="678">
      <c r="E678" s="1"/>
    </row>
    <row r="679">
      <c r="E679" s="1"/>
    </row>
    <row r="680">
      <c r="E680" s="1"/>
    </row>
    <row r="681">
      <c r="E681" s="1"/>
    </row>
    <row r="682">
      <c r="E682" s="1"/>
    </row>
    <row r="683">
      <c r="E683" s="1"/>
    </row>
    <row r="684">
      <c r="E684" s="1"/>
    </row>
    <row r="685">
      <c r="E685" s="1"/>
    </row>
    <row r="686">
      <c r="E686" s="1"/>
    </row>
    <row r="687">
      <c r="E687" s="1"/>
    </row>
    <row r="688">
      <c r="E688" s="1"/>
    </row>
    <row r="689">
      <c r="E689" s="1"/>
    </row>
    <row r="690">
      <c r="E690" s="1"/>
    </row>
    <row r="691">
      <c r="E691" s="1"/>
    </row>
    <row r="692">
      <c r="E692" s="1"/>
    </row>
    <row r="693">
      <c r="E693" s="1"/>
    </row>
    <row r="694">
      <c r="E694" s="1"/>
    </row>
    <row r="695">
      <c r="E695" s="1"/>
    </row>
    <row r="696">
      <c r="E696" s="1"/>
    </row>
    <row r="697">
      <c r="E697" s="1"/>
    </row>
    <row r="698">
      <c r="E698" s="1"/>
    </row>
    <row r="699">
      <c r="E699" s="1"/>
    </row>
    <row r="700">
      <c r="E700" s="1"/>
    </row>
    <row r="701">
      <c r="E701" s="1"/>
    </row>
    <row r="702">
      <c r="E702" s="1"/>
    </row>
    <row r="703">
      <c r="E703" s="1"/>
    </row>
    <row r="704">
      <c r="E704" s="1"/>
    </row>
    <row r="705">
      <c r="E705" s="1"/>
    </row>
    <row r="706">
      <c r="E706" s="1"/>
    </row>
    <row r="707">
      <c r="E707" s="1"/>
    </row>
    <row r="708">
      <c r="E708" s="1"/>
    </row>
    <row r="709">
      <c r="E709" s="1"/>
    </row>
    <row r="710">
      <c r="E710" s="1"/>
    </row>
    <row r="711">
      <c r="E711" s="1"/>
    </row>
    <row r="712">
      <c r="E712" s="1"/>
    </row>
    <row r="713">
      <c r="E713" s="1"/>
    </row>
    <row r="714">
      <c r="E714" s="1"/>
    </row>
    <row r="715">
      <c r="E715" s="1"/>
    </row>
    <row r="716">
      <c r="E716" s="1"/>
    </row>
    <row r="717">
      <c r="E717" s="1"/>
    </row>
    <row r="718">
      <c r="E718" s="1"/>
    </row>
    <row r="719">
      <c r="E719" s="1"/>
    </row>
    <row r="720">
      <c r="E720" s="1"/>
    </row>
    <row r="721">
      <c r="E721" s="1"/>
    </row>
    <row r="722">
      <c r="E722" s="1"/>
    </row>
    <row r="723">
      <c r="E723" s="1"/>
    </row>
    <row r="724">
      <c r="E724" s="1"/>
    </row>
    <row r="725">
      <c r="E725" s="1"/>
    </row>
    <row r="726">
      <c r="E726" s="1"/>
    </row>
    <row r="727">
      <c r="E727" s="1"/>
    </row>
    <row r="728">
      <c r="E728" s="1"/>
    </row>
    <row r="729">
      <c r="E729" s="1"/>
    </row>
    <row r="730">
      <c r="E730" s="1"/>
    </row>
    <row r="731">
      <c r="E731" s="1"/>
    </row>
    <row r="732">
      <c r="E732" s="1"/>
    </row>
    <row r="733">
      <c r="E733" s="1"/>
    </row>
    <row r="734">
      <c r="E734" s="1"/>
    </row>
    <row r="735">
      <c r="E735" s="1"/>
    </row>
    <row r="736">
      <c r="E736" s="1"/>
    </row>
    <row r="737">
      <c r="E737" s="1"/>
    </row>
    <row r="738">
      <c r="E738" s="1"/>
    </row>
    <row r="739">
      <c r="E739" s="1"/>
    </row>
    <row r="740">
      <c r="E740" s="1"/>
    </row>
    <row r="741">
      <c r="E741" s="1"/>
    </row>
    <row r="742">
      <c r="E742" s="1"/>
    </row>
    <row r="743">
      <c r="E743" s="1"/>
    </row>
    <row r="744">
      <c r="E744" s="1"/>
    </row>
    <row r="745">
      <c r="E745" s="1"/>
    </row>
    <row r="746">
      <c r="E746" s="1"/>
    </row>
    <row r="747">
      <c r="E747" s="1"/>
    </row>
    <row r="748">
      <c r="E748" s="1"/>
    </row>
    <row r="749">
      <c r="E749" s="1"/>
    </row>
    <row r="750">
      <c r="E750" s="1"/>
    </row>
    <row r="751">
      <c r="E751" s="1"/>
    </row>
    <row r="752">
      <c r="E752" s="1"/>
    </row>
    <row r="753">
      <c r="E753" s="1"/>
    </row>
    <row r="754">
      <c r="E754" s="1"/>
    </row>
    <row r="755">
      <c r="E755" s="1"/>
    </row>
    <row r="756">
      <c r="E756" s="1"/>
    </row>
    <row r="757">
      <c r="E757" s="1"/>
    </row>
    <row r="758">
      <c r="E758" s="1"/>
    </row>
    <row r="759">
      <c r="E759" s="1"/>
    </row>
    <row r="760">
      <c r="E760" s="1"/>
    </row>
    <row r="761">
      <c r="E761" s="1"/>
    </row>
    <row r="762">
      <c r="E762" s="1"/>
    </row>
    <row r="763">
      <c r="E763" s="1"/>
    </row>
    <row r="764">
      <c r="E764" s="1"/>
    </row>
    <row r="765">
      <c r="E765" s="1"/>
    </row>
    <row r="766">
      <c r="E766" s="1"/>
    </row>
    <row r="767">
      <c r="E767" s="1"/>
    </row>
    <row r="768">
      <c r="E768" s="1"/>
    </row>
    <row r="769">
      <c r="E769" s="1"/>
    </row>
    <row r="770">
      <c r="E770" s="1"/>
    </row>
    <row r="771">
      <c r="E771" s="1"/>
    </row>
    <row r="772">
      <c r="E772" s="1"/>
    </row>
    <row r="773">
      <c r="E773" s="1"/>
    </row>
    <row r="774">
      <c r="E774" s="1"/>
    </row>
    <row r="775">
      <c r="E775" s="1"/>
    </row>
    <row r="776">
      <c r="E776" s="1"/>
    </row>
    <row r="777">
      <c r="E777" s="1"/>
    </row>
    <row r="778">
      <c r="E778" s="1"/>
    </row>
    <row r="779">
      <c r="E779" s="1"/>
    </row>
    <row r="780">
      <c r="E780" s="1"/>
    </row>
    <row r="781">
      <c r="E781" s="1"/>
    </row>
    <row r="782">
      <c r="E782" s="1"/>
    </row>
    <row r="783">
      <c r="E783" s="1"/>
    </row>
    <row r="784">
      <c r="E784" s="1"/>
    </row>
    <row r="785">
      <c r="E785" s="1"/>
    </row>
    <row r="786">
      <c r="E786" s="1"/>
    </row>
    <row r="787">
      <c r="E787" s="1"/>
    </row>
    <row r="788">
      <c r="E788" s="1"/>
    </row>
    <row r="789">
      <c r="E789" s="1"/>
    </row>
    <row r="790">
      <c r="E790" s="1"/>
    </row>
    <row r="791">
      <c r="E791" s="1"/>
    </row>
    <row r="792">
      <c r="E792" s="1"/>
    </row>
    <row r="793">
      <c r="E793" s="1"/>
    </row>
    <row r="794">
      <c r="E794" s="1"/>
    </row>
    <row r="795">
      <c r="E795" s="1"/>
    </row>
    <row r="796">
      <c r="E796" s="1"/>
    </row>
    <row r="797">
      <c r="E797" s="1"/>
    </row>
    <row r="798">
      <c r="E798" s="1"/>
    </row>
    <row r="799">
      <c r="E799" s="1"/>
    </row>
    <row r="800">
      <c r="E800" s="1"/>
    </row>
    <row r="801">
      <c r="E801" s="1"/>
    </row>
    <row r="802">
      <c r="E802" s="1"/>
    </row>
    <row r="803">
      <c r="E803" s="1"/>
    </row>
    <row r="804">
      <c r="E804" s="1"/>
    </row>
    <row r="805">
      <c r="E805" s="1"/>
    </row>
    <row r="806">
      <c r="E806" s="1"/>
    </row>
    <row r="807">
      <c r="E807" s="1"/>
    </row>
    <row r="808">
      <c r="E808" s="1"/>
    </row>
    <row r="809">
      <c r="E809" s="1"/>
    </row>
    <row r="810">
      <c r="E810" s="1"/>
    </row>
    <row r="811">
      <c r="E811" s="1"/>
    </row>
    <row r="812">
      <c r="E812" s="1"/>
    </row>
    <row r="813">
      <c r="E813" s="1"/>
    </row>
    <row r="814">
      <c r="E814" s="1"/>
    </row>
    <row r="815">
      <c r="E815" s="1"/>
    </row>
    <row r="816">
      <c r="E816" s="1"/>
    </row>
    <row r="817">
      <c r="E817" s="1"/>
    </row>
    <row r="818">
      <c r="E818" s="1"/>
    </row>
    <row r="819">
      <c r="E819" s="1"/>
    </row>
    <row r="820">
      <c r="E820" s="1"/>
    </row>
    <row r="821">
      <c r="E821" s="1"/>
    </row>
    <row r="822">
      <c r="E822" s="1"/>
    </row>
    <row r="823">
      <c r="E823" s="1"/>
    </row>
    <row r="824">
      <c r="E824" s="1"/>
    </row>
    <row r="825">
      <c r="E825" s="1"/>
    </row>
    <row r="826">
      <c r="E826" s="1"/>
    </row>
    <row r="827">
      <c r="E827" s="1"/>
    </row>
    <row r="828">
      <c r="E828" s="1"/>
    </row>
    <row r="829">
      <c r="E829" s="1"/>
    </row>
    <row r="830">
      <c r="E830" s="1"/>
    </row>
    <row r="831">
      <c r="E831" s="1"/>
    </row>
    <row r="832">
      <c r="E832" s="1"/>
    </row>
    <row r="833">
      <c r="E833" s="1"/>
    </row>
    <row r="834">
      <c r="E834" s="1"/>
    </row>
    <row r="835">
      <c r="E835" s="1"/>
    </row>
    <row r="836">
      <c r="E836" s="1"/>
    </row>
    <row r="837">
      <c r="E837" s="1"/>
    </row>
    <row r="838">
      <c r="E838" s="1"/>
    </row>
    <row r="839">
      <c r="E839" s="1"/>
    </row>
    <row r="840">
      <c r="E840" s="1"/>
    </row>
    <row r="841">
      <c r="E841" s="1"/>
    </row>
    <row r="842">
      <c r="E842" s="1"/>
    </row>
    <row r="843">
      <c r="E843" s="1"/>
    </row>
    <row r="844">
      <c r="E844" s="1"/>
    </row>
    <row r="845">
      <c r="E845" s="1"/>
    </row>
    <row r="846">
      <c r="E846" s="1"/>
    </row>
    <row r="847">
      <c r="E847" s="1"/>
    </row>
    <row r="848">
      <c r="E848" s="1"/>
    </row>
    <row r="849">
      <c r="E849" s="1"/>
    </row>
    <row r="850">
      <c r="E850" s="1"/>
    </row>
    <row r="851">
      <c r="E851" s="1"/>
    </row>
    <row r="852">
      <c r="E852" s="1"/>
    </row>
    <row r="853">
      <c r="E853" s="1"/>
    </row>
    <row r="854">
      <c r="E854" s="1"/>
    </row>
    <row r="855">
      <c r="E855" s="1"/>
    </row>
    <row r="856">
      <c r="E856" s="1"/>
    </row>
    <row r="857">
      <c r="E857" s="1"/>
    </row>
    <row r="858">
      <c r="E858" s="1"/>
    </row>
    <row r="859">
      <c r="E859" s="1"/>
    </row>
    <row r="860">
      <c r="E860" s="1"/>
    </row>
    <row r="861">
      <c r="E861" s="1"/>
    </row>
    <row r="862">
      <c r="E862" s="1"/>
    </row>
    <row r="863">
      <c r="E863" s="1"/>
    </row>
    <row r="864">
      <c r="E864" s="1"/>
    </row>
    <row r="865">
      <c r="E865" s="1"/>
    </row>
    <row r="866">
      <c r="E866" s="1"/>
    </row>
    <row r="867">
      <c r="E867" s="1"/>
    </row>
    <row r="868">
      <c r="E868" s="1"/>
    </row>
    <row r="869">
      <c r="E869" s="1"/>
    </row>
    <row r="870">
      <c r="E870" s="1"/>
    </row>
    <row r="871">
      <c r="E871" s="1"/>
    </row>
    <row r="872">
      <c r="E872" s="1"/>
    </row>
    <row r="873">
      <c r="E873" s="1"/>
    </row>
    <row r="874">
      <c r="E874" s="1"/>
    </row>
    <row r="875">
      <c r="E875" s="1"/>
    </row>
    <row r="876">
      <c r="E876" s="1"/>
    </row>
    <row r="877">
      <c r="E877" s="1"/>
    </row>
    <row r="878">
      <c r="E878" s="1"/>
    </row>
    <row r="879">
      <c r="E879" s="1"/>
    </row>
    <row r="880">
      <c r="E880" s="1"/>
    </row>
    <row r="881">
      <c r="E881" s="1"/>
    </row>
    <row r="882">
      <c r="E882" s="1"/>
    </row>
    <row r="883">
      <c r="E883" s="1"/>
    </row>
    <row r="884">
      <c r="E884" s="1"/>
    </row>
    <row r="885">
      <c r="E885" s="1"/>
    </row>
    <row r="886">
      <c r="E886" s="1"/>
    </row>
    <row r="887">
      <c r="E887" s="1"/>
    </row>
    <row r="888">
      <c r="E888" s="1"/>
    </row>
    <row r="889">
      <c r="E889" s="1"/>
    </row>
    <row r="890">
      <c r="E890" s="1"/>
    </row>
    <row r="891">
      <c r="E891" s="1"/>
    </row>
    <row r="892">
      <c r="E892" s="1"/>
    </row>
    <row r="893">
      <c r="E893" s="1"/>
    </row>
    <row r="894">
      <c r="E894" s="1"/>
    </row>
    <row r="895">
      <c r="E895" s="1"/>
    </row>
    <row r="896">
      <c r="E896" s="1"/>
    </row>
    <row r="897">
      <c r="E897" s="1"/>
    </row>
    <row r="898">
      <c r="E898" s="1"/>
    </row>
    <row r="899">
      <c r="E899" s="1"/>
    </row>
    <row r="900">
      <c r="E900" s="1"/>
    </row>
    <row r="901">
      <c r="E901" s="1"/>
    </row>
    <row r="902">
      <c r="E902" s="1"/>
    </row>
    <row r="903">
      <c r="E903" s="1"/>
    </row>
    <row r="904">
      <c r="E904" s="1"/>
    </row>
    <row r="905">
      <c r="E905" s="1"/>
    </row>
    <row r="906">
      <c r="E906" s="1"/>
    </row>
    <row r="907">
      <c r="E907" s="1"/>
    </row>
    <row r="908">
      <c r="E908" s="1"/>
    </row>
    <row r="909">
      <c r="E909" s="1"/>
    </row>
    <row r="910">
      <c r="E910" s="1"/>
    </row>
    <row r="911">
      <c r="E911" s="1"/>
    </row>
    <row r="912">
      <c r="E912" s="1"/>
    </row>
    <row r="913">
      <c r="E913" s="1"/>
    </row>
    <row r="914">
      <c r="E914" s="1"/>
    </row>
    <row r="915">
      <c r="E915" s="1"/>
    </row>
    <row r="916">
      <c r="E916" s="1"/>
    </row>
    <row r="917">
      <c r="E917" s="1"/>
    </row>
    <row r="918">
      <c r="E918" s="1"/>
    </row>
    <row r="919">
      <c r="E919" s="1"/>
    </row>
    <row r="920">
      <c r="E920" s="1"/>
    </row>
    <row r="921">
      <c r="E921" s="1"/>
    </row>
    <row r="922">
      <c r="E922" s="1"/>
    </row>
    <row r="923">
      <c r="E923" s="1"/>
    </row>
    <row r="924">
      <c r="E924" s="1"/>
    </row>
    <row r="925">
      <c r="E925" s="1"/>
    </row>
    <row r="926">
      <c r="E926" s="1"/>
    </row>
    <row r="927">
      <c r="E927" s="1"/>
    </row>
    <row r="928">
      <c r="E928" s="1"/>
    </row>
    <row r="929">
      <c r="E929" s="1"/>
    </row>
    <row r="930">
      <c r="E930" s="1"/>
    </row>
    <row r="931">
      <c r="E931" s="1"/>
    </row>
  </sheetData>
  <conditionalFormatting sqref="G7:G37">
    <cfRule type="expression" dxfId="5" priority="1">
      <formula>$G7&gt;=$O$9</formula>
    </cfRule>
  </conditionalFormatting>
  <conditionalFormatting sqref="N3">
    <cfRule type="expression" dxfId="5" priority="2">
      <formula>N3&gt;=O8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4" max="4" width="22.0"/>
    <col customWidth="1" min="5" max="5" width="15.0"/>
    <col customWidth="1" min="9" max="9" width="18.38"/>
    <col customWidth="1" min="11" max="11" width="18.5"/>
    <col customWidth="1" min="14" max="14" width="18.38"/>
    <col customWidth="1" min="15" max="15" width="15.88"/>
    <col customWidth="1" min="16" max="16" width="18.5"/>
    <col customWidth="1" min="17" max="17" width="17.0"/>
    <col customWidth="1" min="22" max="22" width="19.38"/>
  </cols>
  <sheetData>
    <row r="1">
      <c r="E1" s="1"/>
    </row>
    <row r="2">
      <c r="E2" s="1"/>
      <c r="K2" s="2" t="s">
        <v>0</v>
      </c>
      <c r="L2" s="3" t="s">
        <v>1</v>
      </c>
      <c r="M2" s="4" t="s">
        <v>2</v>
      </c>
      <c r="N2" s="4" t="s">
        <v>3</v>
      </c>
    </row>
    <row r="3">
      <c r="E3" s="1"/>
      <c r="K3" s="5" t="s">
        <v>4</v>
      </c>
      <c r="L3" s="6">
        <f t="shared" ref="L3:M3" si="1">sum(E7:E37)</f>
        <v>0</v>
      </c>
      <c r="M3" s="3">
        <f t="shared" si="1"/>
        <v>-429.78</v>
      </c>
      <c r="N3" s="7">
        <f>M3*Sumario!N4</f>
        <v>-377.1835236</v>
      </c>
      <c r="O3" s="7">
        <f>Sumario!N4</f>
        <v>0.87762</v>
      </c>
    </row>
    <row r="4">
      <c r="B4" s="8" t="s">
        <v>74</v>
      </c>
      <c r="C4" s="10"/>
      <c r="D4" s="10"/>
      <c r="E4" s="11"/>
      <c r="F4" s="10"/>
      <c r="G4" s="10"/>
      <c r="H4" s="10"/>
      <c r="I4" s="10"/>
      <c r="J4" s="10"/>
      <c r="K4" s="10"/>
      <c r="L4" s="10"/>
    </row>
    <row r="5">
      <c r="B5" s="8" t="s">
        <v>8</v>
      </c>
      <c r="C5" s="8" t="s">
        <v>9</v>
      </c>
      <c r="D5" s="8" t="s">
        <v>11</v>
      </c>
      <c r="E5" s="8" t="s">
        <v>12</v>
      </c>
      <c r="F5" s="8" t="s">
        <v>13</v>
      </c>
      <c r="G5" s="12" t="s">
        <v>14</v>
      </c>
      <c r="H5" s="12"/>
      <c r="I5" s="13"/>
      <c r="J5" s="14"/>
      <c r="K5" s="15"/>
      <c r="L5" s="10"/>
    </row>
    <row r="6">
      <c r="B6" s="10"/>
      <c r="C6" s="10"/>
      <c r="D6" s="10"/>
      <c r="E6" s="10"/>
      <c r="F6" s="16"/>
      <c r="G6" s="10"/>
      <c r="H6" s="15" t="s">
        <v>15</v>
      </c>
      <c r="I6" s="10"/>
      <c r="J6" s="10"/>
      <c r="K6" s="10"/>
      <c r="L6" s="10"/>
    </row>
    <row r="7">
      <c r="B7" s="10"/>
      <c r="C7" s="15" t="s">
        <v>16</v>
      </c>
      <c r="D7" s="16"/>
      <c r="E7" s="17"/>
      <c r="F7" s="19"/>
      <c r="G7" s="11">
        <f t="shared" ref="G7:G37" si="2">E7+(F7*$O$3)</f>
        <v>0</v>
      </c>
      <c r="H7" s="24">
        <f t="shared" ref="H7:H37" si="3">G7/$O$9</f>
        <v>0</v>
      </c>
      <c r="I7" s="25">
        <f t="shared" ref="I7:I37" si="4">315+G7</f>
        <v>315</v>
      </c>
      <c r="J7" s="10"/>
      <c r="K7" s="10"/>
      <c r="L7" s="10"/>
    </row>
    <row r="8">
      <c r="B8" s="10"/>
      <c r="C8" s="15" t="s">
        <v>20</v>
      </c>
      <c r="D8" s="16"/>
      <c r="E8" s="17"/>
      <c r="F8" s="19"/>
      <c r="G8" s="11">
        <f t="shared" si="2"/>
        <v>0</v>
      </c>
      <c r="H8" s="24">
        <f t="shared" si="3"/>
        <v>0</v>
      </c>
      <c r="I8" s="25">
        <f t="shared" si="4"/>
        <v>315</v>
      </c>
      <c r="J8" s="10"/>
      <c r="K8" s="10"/>
      <c r="L8" s="10"/>
      <c r="N8" s="31" t="s">
        <v>15</v>
      </c>
      <c r="O8" s="31">
        <v>2500.0</v>
      </c>
      <c r="P8" s="34">
        <f>O8-Sumario!K13</f>
        <v>2844.360035</v>
      </c>
    </row>
    <row r="9">
      <c r="B9" s="10"/>
      <c r="C9" s="15" t="s">
        <v>27</v>
      </c>
      <c r="D9" s="16"/>
      <c r="E9" s="17"/>
      <c r="F9" s="19"/>
      <c r="G9" s="11">
        <f t="shared" si="2"/>
        <v>0</v>
      </c>
      <c r="H9" s="24">
        <f t="shared" si="3"/>
        <v>0</v>
      </c>
      <c r="I9" s="25">
        <f t="shared" si="4"/>
        <v>315</v>
      </c>
      <c r="J9" s="10"/>
      <c r="K9" s="10"/>
      <c r="L9" s="15">
        <v>7245.0</v>
      </c>
      <c r="N9" s="31" t="s">
        <v>28</v>
      </c>
      <c r="O9" s="4">
        <f>O8/21</f>
        <v>119.047619</v>
      </c>
      <c r="P9" s="36">
        <f>P8/O8</f>
        <v>1.137744014</v>
      </c>
    </row>
    <row r="10">
      <c r="B10" s="10"/>
      <c r="C10" s="15" t="s">
        <v>29</v>
      </c>
      <c r="D10" s="16"/>
      <c r="E10" s="17"/>
      <c r="F10" s="19"/>
      <c r="G10" s="11">
        <f t="shared" si="2"/>
        <v>0</v>
      </c>
      <c r="H10" s="24">
        <f t="shared" si="3"/>
        <v>0</v>
      </c>
      <c r="I10" s="25">
        <f t="shared" si="4"/>
        <v>315</v>
      </c>
      <c r="J10" s="10"/>
      <c r="K10" s="10"/>
      <c r="L10" s="38">
        <f>L9+Sumario!K13</f>
        <v>6900.639965</v>
      </c>
    </row>
    <row r="11">
      <c r="B11" s="10"/>
      <c r="C11" s="15" t="s">
        <v>30</v>
      </c>
      <c r="D11" s="16"/>
      <c r="E11" s="17"/>
      <c r="F11" s="19"/>
      <c r="G11" s="11">
        <f t="shared" si="2"/>
        <v>0</v>
      </c>
      <c r="H11" s="24">
        <f t="shared" si="3"/>
        <v>0</v>
      </c>
      <c r="I11" s="25">
        <f t="shared" si="4"/>
        <v>315</v>
      </c>
      <c r="J11" s="10"/>
      <c r="K11" s="10"/>
      <c r="L11" s="10"/>
    </row>
    <row r="12">
      <c r="B12" s="15"/>
      <c r="C12" s="15" t="s">
        <v>31</v>
      </c>
      <c r="D12" s="20"/>
      <c r="E12" s="40"/>
      <c r="F12" s="41">
        <f>31.39+10.97</f>
        <v>42.36</v>
      </c>
      <c r="G12" s="11">
        <f t="shared" si="2"/>
        <v>37.1759832</v>
      </c>
      <c r="H12" s="24">
        <f t="shared" si="3"/>
        <v>0.3122782589</v>
      </c>
      <c r="I12" s="25">
        <f t="shared" si="4"/>
        <v>352.1759832</v>
      </c>
      <c r="J12" s="15"/>
      <c r="K12" s="15"/>
      <c r="L12" s="10"/>
    </row>
    <row r="13">
      <c r="B13" s="15"/>
      <c r="C13" s="15" t="s">
        <v>32</v>
      </c>
      <c r="D13" s="20"/>
      <c r="E13" s="40"/>
      <c r="F13" s="19"/>
      <c r="G13" s="11">
        <f t="shared" si="2"/>
        <v>0</v>
      </c>
      <c r="H13" s="24">
        <f t="shared" si="3"/>
        <v>0</v>
      </c>
      <c r="I13" s="25">
        <f t="shared" si="4"/>
        <v>315</v>
      </c>
      <c r="J13" s="15"/>
      <c r="K13" s="15"/>
      <c r="L13" s="10"/>
    </row>
    <row r="14">
      <c r="B14" s="15"/>
      <c r="C14" s="15" t="s">
        <v>33</v>
      </c>
      <c r="D14" s="20"/>
      <c r="E14" s="40"/>
      <c r="F14" s="41"/>
      <c r="G14" s="11">
        <f t="shared" si="2"/>
        <v>0</v>
      </c>
      <c r="H14" s="24">
        <f t="shared" si="3"/>
        <v>0</v>
      </c>
      <c r="I14" s="25">
        <f t="shared" si="4"/>
        <v>315</v>
      </c>
      <c r="J14" s="15"/>
      <c r="K14" s="15"/>
      <c r="L14" s="10"/>
    </row>
    <row r="15">
      <c r="B15" s="15"/>
      <c r="C15" s="15" t="s">
        <v>34</v>
      </c>
      <c r="D15" s="20"/>
      <c r="E15" s="40"/>
      <c r="F15" s="19"/>
      <c r="G15" s="11">
        <f t="shared" si="2"/>
        <v>0</v>
      </c>
      <c r="H15" s="24">
        <f t="shared" si="3"/>
        <v>0</v>
      </c>
      <c r="I15" s="25">
        <f t="shared" si="4"/>
        <v>315</v>
      </c>
      <c r="J15" s="15"/>
      <c r="K15" s="15"/>
      <c r="L15" s="10"/>
    </row>
    <row r="16">
      <c r="B16" s="15"/>
      <c r="C16" s="15" t="s">
        <v>36</v>
      </c>
      <c r="D16" s="20"/>
      <c r="E16" s="40"/>
      <c r="F16" s="41"/>
      <c r="G16" s="11">
        <f t="shared" si="2"/>
        <v>0</v>
      </c>
      <c r="H16" s="24">
        <f t="shared" si="3"/>
        <v>0</v>
      </c>
      <c r="I16" s="25">
        <f t="shared" si="4"/>
        <v>315</v>
      </c>
      <c r="J16" s="15"/>
      <c r="K16" s="15"/>
      <c r="L16" s="10"/>
    </row>
    <row r="17">
      <c r="B17" s="15"/>
      <c r="C17" s="15" t="s">
        <v>37</v>
      </c>
      <c r="D17" s="20"/>
      <c r="E17" s="40"/>
      <c r="F17" s="19"/>
      <c r="G17" s="11">
        <f t="shared" si="2"/>
        <v>0</v>
      </c>
      <c r="H17" s="24">
        <f t="shared" si="3"/>
        <v>0</v>
      </c>
      <c r="I17" s="25">
        <f t="shared" si="4"/>
        <v>315</v>
      </c>
      <c r="J17" s="15"/>
      <c r="K17" s="15"/>
      <c r="L17" s="10"/>
    </row>
    <row r="18">
      <c r="B18" s="15"/>
      <c r="C18" s="15" t="s">
        <v>38</v>
      </c>
      <c r="D18" s="20"/>
      <c r="E18" s="40"/>
      <c r="F18" s="41"/>
      <c r="G18" s="11">
        <f t="shared" si="2"/>
        <v>0</v>
      </c>
      <c r="H18" s="24">
        <f t="shared" si="3"/>
        <v>0</v>
      </c>
      <c r="I18" s="25">
        <f t="shared" si="4"/>
        <v>315</v>
      </c>
      <c r="J18" s="15"/>
      <c r="K18" s="15"/>
      <c r="L18" s="10"/>
    </row>
    <row r="19">
      <c r="B19" s="15"/>
      <c r="C19" s="15" t="s">
        <v>39</v>
      </c>
      <c r="D19" s="20"/>
      <c r="E19" s="40"/>
      <c r="F19" s="19"/>
      <c r="G19" s="11">
        <f t="shared" si="2"/>
        <v>0</v>
      </c>
      <c r="H19" s="24">
        <f t="shared" si="3"/>
        <v>0</v>
      </c>
      <c r="I19" s="25">
        <f t="shared" si="4"/>
        <v>315</v>
      </c>
      <c r="J19" s="15"/>
      <c r="K19" s="15"/>
      <c r="L19" s="10"/>
    </row>
    <row r="20">
      <c r="B20" s="15"/>
      <c r="C20" s="15" t="s">
        <v>40</v>
      </c>
      <c r="D20" s="20"/>
      <c r="E20" s="40"/>
      <c r="F20" s="41"/>
      <c r="G20" s="11">
        <f t="shared" si="2"/>
        <v>0</v>
      </c>
      <c r="H20" s="24">
        <f t="shared" si="3"/>
        <v>0</v>
      </c>
      <c r="I20" s="25">
        <f t="shared" si="4"/>
        <v>315</v>
      </c>
      <c r="J20" s="15"/>
      <c r="K20" s="15"/>
      <c r="L20" s="10"/>
    </row>
    <row r="21">
      <c r="B21" s="15"/>
      <c r="C21" s="15" t="s">
        <v>41</v>
      </c>
      <c r="D21" s="20"/>
      <c r="E21" s="40"/>
      <c r="F21" s="19"/>
      <c r="G21" s="11">
        <f t="shared" si="2"/>
        <v>0</v>
      </c>
      <c r="H21" s="24">
        <f t="shared" si="3"/>
        <v>0</v>
      </c>
      <c r="I21" s="25">
        <f t="shared" si="4"/>
        <v>315</v>
      </c>
      <c r="J21" s="15"/>
      <c r="K21" s="15"/>
      <c r="L21" s="10"/>
    </row>
    <row r="22">
      <c r="B22" s="15"/>
      <c r="C22" s="15" t="s">
        <v>42</v>
      </c>
      <c r="D22" s="20"/>
      <c r="E22" s="40"/>
      <c r="F22" s="41">
        <f>3.95-37.98</f>
        <v>-34.03</v>
      </c>
      <c r="G22" s="11">
        <f t="shared" si="2"/>
        <v>-29.8654086</v>
      </c>
      <c r="H22" s="24">
        <f t="shared" si="3"/>
        <v>-0.2508694322</v>
      </c>
      <c r="I22" s="25">
        <f t="shared" si="4"/>
        <v>285.1345914</v>
      </c>
      <c r="J22" s="15"/>
      <c r="K22" s="15"/>
      <c r="L22" s="10"/>
    </row>
    <row r="23">
      <c r="C23" s="15" t="s">
        <v>44</v>
      </c>
      <c r="E23" s="17"/>
      <c r="F23" s="46">
        <f>20.83+10.13+4.26-336.26</f>
        <v>-301.04</v>
      </c>
      <c r="G23" s="11">
        <f t="shared" si="2"/>
        <v>-264.1987248</v>
      </c>
      <c r="H23" s="24">
        <f t="shared" si="3"/>
        <v>-2.219269288</v>
      </c>
      <c r="I23" s="25">
        <f t="shared" si="4"/>
        <v>50.8012752</v>
      </c>
      <c r="J23" s="45"/>
      <c r="K23" s="45"/>
      <c r="L23" s="45"/>
      <c r="M23" s="45"/>
      <c r="N23" s="45"/>
      <c r="O23" s="45"/>
      <c r="P23" s="45"/>
      <c r="Q23" s="45"/>
    </row>
    <row r="24">
      <c r="C24" s="15" t="s">
        <v>45</v>
      </c>
      <c r="E24" s="40"/>
      <c r="F24" s="46"/>
      <c r="G24" s="11">
        <f t="shared" si="2"/>
        <v>0</v>
      </c>
      <c r="H24" s="24">
        <f t="shared" si="3"/>
        <v>0</v>
      </c>
      <c r="I24" s="25">
        <f t="shared" si="4"/>
        <v>315</v>
      </c>
      <c r="J24" s="45"/>
      <c r="K24" s="45"/>
      <c r="L24" s="45"/>
      <c r="M24" s="45"/>
      <c r="N24" s="45"/>
      <c r="O24" s="45"/>
      <c r="P24" s="45"/>
      <c r="Q24" s="45"/>
    </row>
    <row r="25">
      <c r="C25" s="15" t="s">
        <v>46</v>
      </c>
      <c r="E25" s="40"/>
      <c r="F25" s="46"/>
      <c r="G25" s="11">
        <f t="shared" si="2"/>
        <v>0</v>
      </c>
      <c r="H25" s="24">
        <f t="shared" si="3"/>
        <v>0</v>
      </c>
      <c r="I25" s="25">
        <f t="shared" si="4"/>
        <v>315</v>
      </c>
      <c r="J25" s="45"/>
      <c r="K25" s="45"/>
      <c r="L25" s="45"/>
      <c r="M25" s="45"/>
      <c r="N25" s="45"/>
      <c r="O25" s="45"/>
      <c r="P25" s="45"/>
      <c r="Q25" s="45"/>
    </row>
    <row r="26">
      <c r="C26" s="15" t="s">
        <v>47</v>
      </c>
      <c r="E26" s="40"/>
      <c r="F26" s="46"/>
      <c r="G26" s="11">
        <f t="shared" si="2"/>
        <v>0</v>
      </c>
      <c r="H26" s="24">
        <f t="shared" si="3"/>
        <v>0</v>
      </c>
      <c r="I26" s="25">
        <f t="shared" si="4"/>
        <v>315</v>
      </c>
      <c r="J26" s="45"/>
      <c r="K26" s="45"/>
      <c r="L26" s="45"/>
      <c r="M26" s="45"/>
      <c r="N26" s="45"/>
      <c r="O26" s="45"/>
      <c r="P26" s="45"/>
      <c r="Q26" s="45"/>
    </row>
    <row r="27">
      <c r="C27" s="15" t="s">
        <v>48</v>
      </c>
      <c r="E27" s="40"/>
      <c r="F27" s="46">
        <f>-31.29-41.74-42.07</f>
        <v>-115.1</v>
      </c>
      <c r="G27" s="11">
        <f t="shared" si="2"/>
        <v>-101.014062</v>
      </c>
      <c r="H27" s="24">
        <f t="shared" si="3"/>
        <v>-0.8485181208</v>
      </c>
      <c r="I27" s="25">
        <f t="shared" si="4"/>
        <v>213.985938</v>
      </c>
      <c r="J27" s="45"/>
      <c r="K27" s="45"/>
      <c r="L27" s="45"/>
      <c r="M27" s="45"/>
      <c r="N27" s="45"/>
      <c r="O27" s="45"/>
      <c r="P27" s="45"/>
      <c r="Q27" s="45"/>
    </row>
    <row r="28">
      <c r="C28" s="15" t="s">
        <v>49</v>
      </c>
      <c r="E28" s="17"/>
      <c r="F28" s="44">
        <f>-20.04-53.81-0.67</f>
        <v>-74.52</v>
      </c>
      <c r="G28" s="11">
        <f t="shared" si="2"/>
        <v>-65.4002424</v>
      </c>
      <c r="H28" s="24">
        <f t="shared" si="3"/>
        <v>-0.5493620362</v>
      </c>
      <c r="I28" s="25">
        <f t="shared" si="4"/>
        <v>249.5997576</v>
      </c>
      <c r="J28" s="45"/>
      <c r="K28" s="45"/>
      <c r="L28" s="45"/>
      <c r="M28" s="45"/>
      <c r="N28" s="45"/>
      <c r="O28" s="45"/>
      <c r="P28" s="45"/>
      <c r="Q28" s="45"/>
    </row>
    <row r="29">
      <c r="C29" s="15" t="s">
        <v>51</v>
      </c>
      <c r="E29" s="17"/>
      <c r="F29" s="46"/>
      <c r="G29" s="11">
        <f t="shared" si="2"/>
        <v>0</v>
      </c>
      <c r="H29" s="24">
        <f t="shared" si="3"/>
        <v>0</v>
      </c>
      <c r="I29" s="25">
        <f t="shared" si="4"/>
        <v>315</v>
      </c>
      <c r="J29" s="45"/>
      <c r="K29" s="45"/>
      <c r="L29" s="45"/>
      <c r="M29" s="45"/>
      <c r="N29" s="45"/>
      <c r="O29" s="45"/>
      <c r="P29" s="45"/>
      <c r="Q29" s="45"/>
    </row>
    <row r="30">
      <c r="C30" s="15" t="s">
        <v>52</v>
      </c>
      <c r="E30" s="40"/>
      <c r="F30" s="46">
        <f>2.73</f>
        <v>2.73</v>
      </c>
      <c r="G30" s="11">
        <f t="shared" si="2"/>
        <v>2.3959026</v>
      </c>
      <c r="H30" s="24">
        <f t="shared" si="3"/>
        <v>0.02012558184</v>
      </c>
      <c r="I30" s="25">
        <f t="shared" si="4"/>
        <v>317.3959026</v>
      </c>
      <c r="J30" s="45"/>
      <c r="K30" s="45"/>
      <c r="L30" s="45"/>
      <c r="M30" s="45"/>
      <c r="N30" s="45"/>
      <c r="O30" s="45"/>
      <c r="P30" s="45"/>
      <c r="Q30" s="45"/>
    </row>
    <row r="31">
      <c r="C31" s="15" t="s">
        <v>53</v>
      </c>
      <c r="E31" s="40"/>
      <c r="F31" s="46"/>
      <c r="G31" s="11">
        <f t="shared" si="2"/>
        <v>0</v>
      </c>
      <c r="H31" s="24">
        <f t="shared" si="3"/>
        <v>0</v>
      </c>
      <c r="I31" s="25">
        <f t="shared" si="4"/>
        <v>315</v>
      </c>
      <c r="J31" s="45"/>
      <c r="K31" s="45"/>
      <c r="L31" s="45"/>
      <c r="M31" s="45"/>
      <c r="N31" s="45"/>
      <c r="O31" s="45"/>
      <c r="P31" s="45"/>
      <c r="Q31" s="45"/>
    </row>
    <row r="32">
      <c r="C32" s="15" t="s">
        <v>54</v>
      </c>
      <c r="E32" s="40"/>
      <c r="F32" s="46"/>
      <c r="G32" s="11">
        <f t="shared" si="2"/>
        <v>0</v>
      </c>
      <c r="H32" s="24">
        <f t="shared" si="3"/>
        <v>0</v>
      </c>
      <c r="I32" s="25">
        <f t="shared" si="4"/>
        <v>315</v>
      </c>
      <c r="J32" s="45"/>
      <c r="K32" s="45"/>
      <c r="L32" s="45"/>
      <c r="M32" s="45"/>
      <c r="N32" s="45"/>
      <c r="O32" s="45"/>
      <c r="P32" s="45"/>
      <c r="Q32" s="45"/>
    </row>
    <row r="33">
      <c r="C33" s="15" t="s">
        <v>55</v>
      </c>
      <c r="E33" s="40"/>
      <c r="F33" s="46"/>
      <c r="G33" s="11">
        <f t="shared" si="2"/>
        <v>0</v>
      </c>
      <c r="H33" s="24">
        <f t="shared" si="3"/>
        <v>0</v>
      </c>
      <c r="I33" s="25">
        <f t="shared" si="4"/>
        <v>315</v>
      </c>
    </row>
    <row r="34">
      <c r="C34" s="15" t="s">
        <v>56</v>
      </c>
      <c r="E34" s="40"/>
      <c r="F34" s="46">
        <f>-48.16-24.64</f>
        <v>-72.8</v>
      </c>
      <c r="G34" s="11">
        <f t="shared" si="2"/>
        <v>-63.890736</v>
      </c>
      <c r="H34" s="24">
        <f t="shared" si="3"/>
        <v>-0.5366821824</v>
      </c>
      <c r="I34" s="25">
        <f t="shared" si="4"/>
        <v>251.109264</v>
      </c>
    </row>
    <row r="35">
      <c r="C35" s="15" t="s">
        <v>57</v>
      </c>
      <c r="E35" s="40"/>
      <c r="F35" s="46">
        <f>-45.15+79.7</f>
        <v>34.55</v>
      </c>
      <c r="G35" s="11">
        <f t="shared" si="2"/>
        <v>30.321771</v>
      </c>
      <c r="H35" s="24">
        <f t="shared" si="3"/>
        <v>0.2547028764</v>
      </c>
      <c r="I35" s="25">
        <f t="shared" si="4"/>
        <v>345.321771</v>
      </c>
    </row>
    <row r="36">
      <c r="C36" s="15" t="s">
        <v>58</v>
      </c>
      <c r="E36" s="40"/>
      <c r="F36" s="46"/>
      <c r="G36" s="11">
        <f t="shared" si="2"/>
        <v>0</v>
      </c>
      <c r="H36" s="24">
        <f t="shared" si="3"/>
        <v>0</v>
      </c>
      <c r="I36" s="25">
        <f t="shared" si="4"/>
        <v>315</v>
      </c>
    </row>
    <row r="37">
      <c r="C37" s="15" t="s">
        <v>59</v>
      </c>
      <c r="E37" s="17"/>
      <c r="F37" s="44">
        <f>88.07</f>
        <v>88.07</v>
      </c>
      <c r="G37" s="11">
        <f t="shared" si="2"/>
        <v>77.2919934</v>
      </c>
      <c r="H37" s="24">
        <f t="shared" si="3"/>
        <v>0.6492527446</v>
      </c>
      <c r="I37" s="25">
        <f t="shared" si="4"/>
        <v>392.2919934</v>
      </c>
    </row>
    <row r="38">
      <c r="E38" s="1"/>
    </row>
    <row r="39">
      <c r="E39" s="1"/>
    </row>
    <row r="40">
      <c r="E40" s="1"/>
    </row>
    <row r="41">
      <c r="B41" s="48"/>
      <c r="C41" s="49"/>
      <c r="E41" s="1"/>
    </row>
    <row r="42">
      <c r="E42" s="1"/>
    </row>
    <row r="43">
      <c r="E43" s="1"/>
    </row>
    <row r="44">
      <c r="E44" s="1"/>
    </row>
    <row r="45">
      <c r="E45" s="1"/>
    </row>
    <row r="46">
      <c r="E46" s="1"/>
    </row>
    <row r="47">
      <c r="E47" s="1"/>
    </row>
    <row r="48">
      <c r="E48" s="1"/>
    </row>
    <row r="49">
      <c r="E49" s="1"/>
    </row>
    <row r="50">
      <c r="E50" s="1"/>
    </row>
    <row r="51">
      <c r="E51" s="1"/>
    </row>
    <row r="52">
      <c r="E52" s="1"/>
    </row>
    <row r="53">
      <c r="E53" s="1"/>
    </row>
    <row r="54">
      <c r="E54" s="1"/>
    </row>
    <row r="55">
      <c r="E55" s="1"/>
    </row>
    <row r="56">
      <c r="E56" s="1"/>
    </row>
    <row r="57">
      <c r="E57" s="1"/>
    </row>
    <row r="58">
      <c r="E58" s="1"/>
    </row>
    <row r="59">
      <c r="E59" s="1"/>
    </row>
    <row r="60">
      <c r="E60" s="1"/>
    </row>
    <row r="61">
      <c r="E61" s="1"/>
    </row>
    <row r="62">
      <c r="E62" s="1"/>
    </row>
    <row r="63">
      <c r="E63" s="1"/>
    </row>
    <row r="64">
      <c r="E64" s="1"/>
    </row>
    <row r="65">
      <c r="E65" s="1"/>
    </row>
    <row r="66">
      <c r="E66" s="1"/>
    </row>
    <row r="67">
      <c r="E67" s="1"/>
    </row>
    <row r="68">
      <c r="E68" s="1"/>
    </row>
    <row r="69">
      <c r="E69" s="1"/>
    </row>
    <row r="70">
      <c r="E70" s="1"/>
    </row>
    <row r="71">
      <c r="E71" s="1"/>
    </row>
    <row r="72">
      <c r="E72" s="1"/>
    </row>
    <row r="73">
      <c r="E73" s="1"/>
    </row>
    <row r="74">
      <c r="E74" s="1"/>
    </row>
    <row r="75">
      <c r="E75" s="1"/>
    </row>
    <row r="76">
      <c r="E76" s="1"/>
    </row>
    <row r="77">
      <c r="E77" s="1"/>
    </row>
    <row r="78">
      <c r="E78" s="1"/>
    </row>
    <row r="79">
      <c r="E79" s="1"/>
    </row>
    <row r="80">
      <c r="E80" s="1"/>
    </row>
    <row r="81">
      <c r="E81" s="1"/>
    </row>
    <row r="82">
      <c r="E82" s="1"/>
    </row>
    <row r="83">
      <c r="E83" s="1"/>
    </row>
    <row r="84">
      <c r="E84" s="1"/>
    </row>
    <row r="85">
      <c r="E85" s="1"/>
    </row>
    <row r="86">
      <c r="E86" s="1"/>
    </row>
    <row r="87">
      <c r="E87" s="1"/>
    </row>
    <row r="88">
      <c r="E88" s="1"/>
    </row>
    <row r="89">
      <c r="E89" s="1"/>
    </row>
    <row r="90">
      <c r="E90" s="1"/>
    </row>
    <row r="91">
      <c r="E91" s="1"/>
    </row>
    <row r="92">
      <c r="E92" s="1"/>
    </row>
    <row r="93">
      <c r="E93" s="1"/>
    </row>
    <row r="94">
      <c r="E94" s="1"/>
    </row>
    <row r="95">
      <c r="E95" s="1"/>
    </row>
    <row r="96">
      <c r="E96" s="1"/>
    </row>
    <row r="97">
      <c r="E97" s="1"/>
    </row>
    <row r="98">
      <c r="E98" s="1"/>
    </row>
    <row r="99">
      <c r="E99" s="1"/>
    </row>
    <row r="100">
      <c r="E100" s="1"/>
    </row>
    <row r="101">
      <c r="E101" s="1"/>
    </row>
    <row r="102">
      <c r="E102" s="1"/>
    </row>
    <row r="103">
      <c r="E103" s="1"/>
    </row>
    <row r="104">
      <c r="E104" s="1"/>
    </row>
    <row r="105">
      <c r="E105" s="1"/>
    </row>
    <row r="106">
      <c r="E106" s="1"/>
    </row>
    <row r="107">
      <c r="E107" s="1"/>
    </row>
    <row r="108">
      <c r="E108" s="1"/>
    </row>
    <row r="109">
      <c r="E109" s="1"/>
    </row>
    <row r="110">
      <c r="E110" s="1"/>
    </row>
    <row r="111">
      <c r="E111" s="1"/>
    </row>
    <row r="112">
      <c r="E112" s="1"/>
    </row>
    <row r="113">
      <c r="E113" s="1"/>
    </row>
    <row r="114">
      <c r="E114" s="1"/>
    </row>
    <row r="115">
      <c r="E115" s="1"/>
    </row>
    <row r="116">
      <c r="E116" s="1"/>
    </row>
    <row r="117">
      <c r="E117" s="1"/>
    </row>
    <row r="118">
      <c r="E118" s="1"/>
    </row>
    <row r="119">
      <c r="E119" s="1"/>
    </row>
    <row r="120">
      <c r="E120" s="1"/>
    </row>
    <row r="121">
      <c r="E121" s="1"/>
    </row>
    <row r="122">
      <c r="E122" s="1"/>
    </row>
    <row r="123">
      <c r="E123" s="1"/>
    </row>
    <row r="124">
      <c r="E124" s="1"/>
    </row>
    <row r="125">
      <c r="E125" s="1"/>
    </row>
    <row r="126">
      <c r="E126" s="1"/>
    </row>
    <row r="127">
      <c r="E127" s="1"/>
    </row>
    <row r="128">
      <c r="E128" s="1"/>
    </row>
    <row r="129">
      <c r="E129" s="1"/>
    </row>
    <row r="130">
      <c r="E130" s="1"/>
    </row>
    <row r="131">
      <c r="E131" s="1"/>
    </row>
    <row r="132">
      <c r="E132" s="1"/>
    </row>
    <row r="133">
      <c r="E133" s="1"/>
    </row>
    <row r="134">
      <c r="E134" s="1"/>
    </row>
    <row r="135">
      <c r="E135" s="1"/>
    </row>
    <row r="136">
      <c r="E136" s="1"/>
    </row>
    <row r="137">
      <c r="E137" s="1"/>
    </row>
    <row r="138">
      <c r="E138" s="1"/>
    </row>
    <row r="139">
      <c r="E139" s="1"/>
    </row>
    <row r="140">
      <c r="E140" s="1"/>
    </row>
    <row r="141">
      <c r="E141" s="1"/>
    </row>
    <row r="142">
      <c r="E142" s="1"/>
    </row>
    <row r="143">
      <c r="E143" s="1"/>
    </row>
    <row r="144">
      <c r="E144" s="1"/>
    </row>
    <row r="145">
      <c r="E145" s="1"/>
    </row>
    <row r="146">
      <c r="E146" s="1"/>
    </row>
    <row r="147">
      <c r="E147" s="1"/>
    </row>
    <row r="148">
      <c r="E148" s="1"/>
    </row>
    <row r="149">
      <c r="E149" s="1"/>
    </row>
    <row r="150">
      <c r="E150" s="1"/>
    </row>
    <row r="151">
      <c r="E151" s="1"/>
    </row>
    <row r="152">
      <c r="E152" s="1"/>
    </row>
    <row r="153">
      <c r="E153" s="1"/>
    </row>
    <row r="154">
      <c r="E154" s="1"/>
    </row>
    <row r="155">
      <c r="E155" s="1"/>
    </row>
    <row r="156">
      <c r="E156" s="1"/>
    </row>
    <row r="157">
      <c r="E157" s="1"/>
    </row>
    <row r="158">
      <c r="E158" s="1"/>
    </row>
    <row r="159">
      <c r="E159" s="1"/>
    </row>
    <row r="160">
      <c r="E160" s="1"/>
    </row>
    <row r="161">
      <c r="E161" s="1"/>
    </row>
    <row r="162">
      <c r="E162" s="1"/>
    </row>
    <row r="163">
      <c r="E163" s="1"/>
    </row>
    <row r="164">
      <c r="E164" s="1"/>
    </row>
    <row r="165">
      <c r="E165" s="1"/>
    </row>
    <row r="166">
      <c r="E166" s="1"/>
    </row>
    <row r="167">
      <c r="E167" s="1"/>
    </row>
    <row r="168">
      <c r="E168" s="1"/>
    </row>
    <row r="169">
      <c r="E169" s="1"/>
    </row>
    <row r="170">
      <c r="E170" s="1"/>
    </row>
    <row r="171">
      <c r="E171" s="1"/>
    </row>
    <row r="172">
      <c r="E172" s="1"/>
    </row>
    <row r="173">
      <c r="E173" s="1"/>
    </row>
    <row r="174">
      <c r="E174" s="1"/>
    </row>
    <row r="175">
      <c r="E175" s="1"/>
    </row>
    <row r="176">
      <c r="E176" s="1"/>
    </row>
    <row r="177">
      <c r="E177" s="1"/>
    </row>
    <row r="178">
      <c r="E178" s="1"/>
    </row>
    <row r="179">
      <c r="E179" s="1"/>
    </row>
    <row r="180">
      <c r="E180" s="1"/>
    </row>
    <row r="181">
      <c r="E181" s="1"/>
    </row>
    <row r="182">
      <c r="E182" s="1"/>
    </row>
    <row r="183">
      <c r="E183" s="1"/>
    </row>
    <row r="184">
      <c r="E184" s="1"/>
    </row>
    <row r="185">
      <c r="E185" s="1"/>
    </row>
    <row r="186">
      <c r="E186" s="1"/>
    </row>
    <row r="187">
      <c r="E187" s="1"/>
    </row>
    <row r="188">
      <c r="E188" s="1"/>
    </row>
    <row r="189">
      <c r="E189" s="1"/>
    </row>
    <row r="190">
      <c r="E190" s="1"/>
    </row>
    <row r="191">
      <c r="E191" s="1"/>
    </row>
    <row r="192">
      <c r="E192" s="1"/>
    </row>
    <row r="193">
      <c r="E193" s="1"/>
    </row>
    <row r="194">
      <c r="E194" s="1"/>
    </row>
    <row r="195">
      <c r="E195" s="1"/>
    </row>
    <row r="196">
      <c r="E196" s="1"/>
    </row>
    <row r="197">
      <c r="E197" s="1"/>
    </row>
    <row r="198">
      <c r="E198" s="1"/>
    </row>
    <row r="199">
      <c r="E199" s="1"/>
    </row>
    <row r="200">
      <c r="E200" s="1"/>
    </row>
    <row r="201">
      <c r="E201" s="1"/>
    </row>
    <row r="202">
      <c r="E202" s="1"/>
    </row>
    <row r="203">
      <c r="E203" s="1"/>
    </row>
    <row r="204">
      <c r="E204" s="1"/>
    </row>
    <row r="205">
      <c r="E205" s="1"/>
    </row>
    <row r="206">
      <c r="E206" s="1"/>
    </row>
    <row r="207">
      <c r="E207" s="1"/>
    </row>
    <row r="208">
      <c r="E208" s="1"/>
    </row>
    <row r="209">
      <c r="E209" s="1"/>
    </row>
    <row r="210">
      <c r="E210" s="1"/>
    </row>
    <row r="211">
      <c r="E211" s="1"/>
    </row>
    <row r="212">
      <c r="E212" s="1"/>
    </row>
    <row r="213">
      <c r="E213" s="1"/>
    </row>
    <row r="214">
      <c r="E214" s="1"/>
    </row>
    <row r="215">
      <c r="E215" s="1"/>
    </row>
    <row r="216">
      <c r="E216" s="1"/>
    </row>
    <row r="217">
      <c r="E217" s="1"/>
    </row>
    <row r="218">
      <c r="E218" s="1"/>
    </row>
    <row r="219">
      <c r="E219" s="1"/>
    </row>
    <row r="220">
      <c r="E220" s="1"/>
    </row>
    <row r="221">
      <c r="E221" s="1"/>
    </row>
    <row r="222">
      <c r="E222" s="1"/>
    </row>
    <row r="223">
      <c r="E223" s="1"/>
    </row>
    <row r="224">
      <c r="E224" s="1"/>
    </row>
    <row r="225">
      <c r="E225" s="1"/>
    </row>
    <row r="226">
      <c r="E226" s="1"/>
    </row>
    <row r="227">
      <c r="E227" s="1"/>
    </row>
    <row r="228">
      <c r="E228" s="1"/>
    </row>
    <row r="229">
      <c r="E229" s="1"/>
    </row>
    <row r="230">
      <c r="E230" s="1"/>
    </row>
    <row r="231">
      <c r="E231" s="1"/>
    </row>
    <row r="232">
      <c r="E232" s="1"/>
    </row>
    <row r="233">
      <c r="E233" s="1"/>
    </row>
    <row r="234">
      <c r="E234" s="1"/>
    </row>
    <row r="235">
      <c r="E235" s="1"/>
    </row>
    <row r="236">
      <c r="E236" s="1"/>
    </row>
    <row r="237">
      <c r="E237" s="1"/>
    </row>
    <row r="238">
      <c r="E238" s="1"/>
    </row>
    <row r="239">
      <c r="E239" s="1"/>
    </row>
    <row r="240">
      <c r="E240" s="1"/>
    </row>
    <row r="241">
      <c r="E241" s="1"/>
    </row>
    <row r="242">
      <c r="E242" s="1"/>
    </row>
    <row r="243">
      <c r="E243" s="1"/>
    </row>
    <row r="244">
      <c r="E244" s="1"/>
    </row>
    <row r="245">
      <c r="E245" s="1"/>
    </row>
    <row r="246">
      <c r="E246" s="1"/>
    </row>
    <row r="247">
      <c r="E247" s="1"/>
    </row>
    <row r="248">
      <c r="E248" s="1"/>
    </row>
    <row r="249">
      <c r="E249" s="1"/>
    </row>
    <row r="250">
      <c r="E250" s="1"/>
    </row>
    <row r="251">
      <c r="E251" s="1"/>
    </row>
    <row r="252">
      <c r="E252" s="1"/>
    </row>
    <row r="253">
      <c r="E253" s="1"/>
    </row>
    <row r="254">
      <c r="E254" s="1"/>
    </row>
    <row r="255">
      <c r="E255" s="1"/>
    </row>
    <row r="256">
      <c r="E256" s="1"/>
    </row>
    <row r="257">
      <c r="E257" s="1"/>
    </row>
    <row r="258">
      <c r="E258" s="1"/>
    </row>
    <row r="259">
      <c r="E259" s="1"/>
    </row>
    <row r="260">
      <c r="E260" s="1"/>
    </row>
    <row r="261">
      <c r="E261" s="1"/>
    </row>
    <row r="262">
      <c r="E262" s="1"/>
    </row>
    <row r="263">
      <c r="E263" s="1"/>
    </row>
    <row r="264">
      <c r="E264" s="1"/>
    </row>
    <row r="265">
      <c r="E265" s="1"/>
    </row>
    <row r="266">
      <c r="E266" s="1"/>
    </row>
    <row r="267">
      <c r="E267" s="1"/>
    </row>
    <row r="268">
      <c r="E268" s="1"/>
    </row>
    <row r="269">
      <c r="E269" s="1"/>
    </row>
    <row r="270">
      <c r="E270" s="1"/>
    </row>
    <row r="271">
      <c r="E271" s="1"/>
    </row>
    <row r="272">
      <c r="E272" s="1"/>
    </row>
    <row r="273">
      <c r="E273" s="1"/>
    </row>
    <row r="274">
      <c r="E274" s="1"/>
    </row>
    <row r="275">
      <c r="E275" s="1"/>
    </row>
    <row r="276">
      <c r="E276" s="1"/>
    </row>
    <row r="277">
      <c r="E277" s="1"/>
    </row>
    <row r="278">
      <c r="E278" s="1"/>
    </row>
    <row r="279">
      <c r="E279" s="1"/>
    </row>
    <row r="280">
      <c r="E280" s="1"/>
    </row>
    <row r="281">
      <c r="E281" s="1"/>
    </row>
    <row r="282">
      <c r="E282" s="1"/>
    </row>
    <row r="283">
      <c r="E283" s="1"/>
    </row>
    <row r="284">
      <c r="E284" s="1"/>
    </row>
    <row r="285">
      <c r="E285" s="1"/>
    </row>
    <row r="286">
      <c r="E286" s="1"/>
    </row>
    <row r="287">
      <c r="E287" s="1"/>
    </row>
    <row r="288">
      <c r="E288" s="1"/>
    </row>
    <row r="289">
      <c r="E289" s="1"/>
    </row>
    <row r="290">
      <c r="E290" s="1"/>
    </row>
    <row r="291">
      <c r="E291" s="1"/>
    </row>
    <row r="292">
      <c r="E292" s="1"/>
    </row>
    <row r="293">
      <c r="E293" s="1"/>
    </row>
    <row r="294">
      <c r="E294" s="1"/>
    </row>
    <row r="295">
      <c r="E295" s="1"/>
    </row>
    <row r="296">
      <c r="E296" s="1"/>
    </row>
    <row r="297">
      <c r="E297" s="1"/>
    </row>
    <row r="298">
      <c r="E298" s="1"/>
    </row>
    <row r="299">
      <c r="E299" s="1"/>
    </row>
    <row r="300">
      <c r="E300" s="1"/>
    </row>
    <row r="301">
      <c r="E301" s="1"/>
    </row>
    <row r="302">
      <c r="E302" s="1"/>
    </row>
    <row r="303">
      <c r="E303" s="1"/>
    </row>
    <row r="304">
      <c r="E304" s="1"/>
    </row>
    <row r="305">
      <c r="E305" s="1"/>
    </row>
    <row r="306">
      <c r="E306" s="1"/>
    </row>
    <row r="307">
      <c r="E307" s="1"/>
    </row>
    <row r="308">
      <c r="E308" s="1"/>
    </row>
    <row r="309">
      <c r="E309" s="1"/>
    </row>
    <row r="310">
      <c r="E310" s="1"/>
    </row>
    <row r="311">
      <c r="E311" s="1"/>
    </row>
    <row r="312">
      <c r="E312" s="1"/>
    </row>
    <row r="313">
      <c r="E313" s="1"/>
    </row>
    <row r="314">
      <c r="E314" s="1"/>
    </row>
    <row r="315">
      <c r="E315" s="1"/>
    </row>
    <row r="316">
      <c r="E316" s="1"/>
    </row>
    <row r="317">
      <c r="E317" s="1"/>
    </row>
    <row r="318">
      <c r="E318" s="1"/>
    </row>
    <row r="319">
      <c r="E319" s="1"/>
    </row>
    <row r="320">
      <c r="E320" s="1"/>
    </row>
    <row r="321">
      <c r="E321" s="1"/>
    </row>
    <row r="322">
      <c r="E322" s="1"/>
    </row>
    <row r="323">
      <c r="E323" s="1"/>
    </row>
    <row r="324">
      <c r="E324" s="1"/>
    </row>
    <row r="325">
      <c r="E325" s="1"/>
    </row>
    <row r="326">
      <c r="E326" s="1"/>
    </row>
    <row r="327">
      <c r="E327" s="1"/>
    </row>
    <row r="328">
      <c r="E328" s="1"/>
    </row>
    <row r="329">
      <c r="E329" s="1"/>
    </row>
    <row r="330">
      <c r="E330" s="1"/>
    </row>
    <row r="331">
      <c r="E331" s="1"/>
    </row>
    <row r="332">
      <c r="E332" s="1"/>
    </row>
    <row r="333">
      <c r="E333" s="1"/>
    </row>
    <row r="334">
      <c r="E334" s="1"/>
    </row>
    <row r="335">
      <c r="E335" s="1"/>
    </row>
    <row r="336">
      <c r="E336" s="1"/>
    </row>
    <row r="337">
      <c r="E337" s="1"/>
    </row>
    <row r="338">
      <c r="E338" s="1"/>
    </row>
    <row r="339">
      <c r="E339" s="1"/>
    </row>
    <row r="340">
      <c r="E340" s="1"/>
    </row>
    <row r="341">
      <c r="E341" s="1"/>
    </row>
    <row r="342">
      <c r="E342" s="1"/>
    </row>
    <row r="343">
      <c r="E343" s="1"/>
    </row>
    <row r="344">
      <c r="E344" s="1"/>
    </row>
    <row r="345">
      <c r="E345" s="1"/>
    </row>
    <row r="346">
      <c r="E346" s="1"/>
    </row>
    <row r="347">
      <c r="E347" s="1"/>
    </row>
    <row r="348">
      <c r="E348" s="1"/>
    </row>
    <row r="349">
      <c r="E349" s="1"/>
    </row>
    <row r="350">
      <c r="E350" s="1"/>
    </row>
    <row r="351">
      <c r="E351" s="1"/>
    </row>
    <row r="352">
      <c r="E352" s="1"/>
    </row>
    <row r="353">
      <c r="E353" s="1"/>
    </row>
    <row r="354">
      <c r="E354" s="1"/>
    </row>
    <row r="355">
      <c r="E355" s="1"/>
    </row>
    <row r="356">
      <c r="E356" s="1"/>
    </row>
    <row r="357">
      <c r="E357" s="1"/>
    </row>
    <row r="358">
      <c r="E358" s="1"/>
    </row>
    <row r="359">
      <c r="E359" s="1"/>
    </row>
    <row r="360">
      <c r="E360" s="1"/>
    </row>
    <row r="361">
      <c r="E361" s="1"/>
    </row>
    <row r="362">
      <c r="E362" s="1"/>
    </row>
    <row r="363">
      <c r="E363" s="1"/>
    </row>
    <row r="364">
      <c r="E364" s="1"/>
    </row>
    <row r="365">
      <c r="E365" s="1"/>
    </row>
    <row r="366">
      <c r="E366" s="1"/>
    </row>
    <row r="367">
      <c r="E367" s="1"/>
    </row>
    <row r="368">
      <c r="E368" s="1"/>
    </row>
    <row r="369">
      <c r="E369" s="1"/>
    </row>
    <row r="370">
      <c r="E370" s="1"/>
    </row>
    <row r="371">
      <c r="E371" s="1"/>
    </row>
    <row r="372">
      <c r="E372" s="1"/>
    </row>
    <row r="373">
      <c r="E373" s="1"/>
    </row>
    <row r="374">
      <c r="E374" s="1"/>
    </row>
    <row r="375">
      <c r="E375" s="1"/>
    </row>
    <row r="376">
      <c r="E376" s="1"/>
    </row>
    <row r="377">
      <c r="E377" s="1"/>
    </row>
    <row r="378">
      <c r="E378" s="1"/>
    </row>
    <row r="379">
      <c r="E379" s="1"/>
    </row>
    <row r="380">
      <c r="E380" s="1"/>
    </row>
    <row r="381">
      <c r="E381" s="1"/>
    </row>
    <row r="382">
      <c r="E382" s="1"/>
    </row>
    <row r="383">
      <c r="E383" s="1"/>
    </row>
    <row r="384">
      <c r="E384" s="1"/>
    </row>
    <row r="385">
      <c r="E385" s="1"/>
    </row>
    <row r="386">
      <c r="E386" s="1"/>
    </row>
    <row r="387">
      <c r="E387" s="1"/>
    </row>
    <row r="388">
      <c r="E388" s="1"/>
    </row>
    <row r="389">
      <c r="E389" s="1"/>
    </row>
    <row r="390">
      <c r="E390" s="1"/>
    </row>
    <row r="391">
      <c r="E391" s="1"/>
    </row>
    <row r="392">
      <c r="E392" s="1"/>
    </row>
    <row r="393">
      <c r="E393" s="1"/>
    </row>
    <row r="394">
      <c r="E394" s="1"/>
    </row>
    <row r="395">
      <c r="E395" s="1"/>
    </row>
    <row r="396">
      <c r="E396" s="1"/>
    </row>
    <row r="397">
      <c r="E397" s="1"/>
    </row>
    <row r="398">
      <c r="E398" s="1"/>
    </row>
    <row r="399">
      <c r="E399" s="1"/>
    </row>
    <row r="400">
      <c r="E400" s="1"/>
    </row>
    <row r="401">
      <c r="E401" s="1"/>
    </row>
    <row r="402">
      <c r="E402" s="1"/>
    </row>
    <row r="403">
      <c r="E403" s="1"/>
    </row>
    <row r="404">
      <c r="E404" s="1"/>
    </row>
    <row r="405">
      <c r="E405" s="1"/>
    </row>
    <row r="406">
      <c r="E406" s="1"/>
    </row>
    <row r="407">
      <c r="E407" s="1"/>
    </row>
    <row r="408">
      <c r="E408" s="1"/>
    </row>
    <row r="409">
      <c r="E409" s="1"/>
    </row>
    <row r="410">
      <c r="E410" s="1"/>
    </row>
    <row r="411">
      <c r="E411" s="1"/>
    </row>
    <row r="412">
      <c r="E412" s="1"/>
    </row>
    <row r="413">
      <c r="E413" s="1"/>
    </row>
    <row r="414">
      <c r="E414" s="1"/>
    </row>
    <row r="415">
      <c r="E415" s="1"/>
    </row>
    <row r="416">
      <c r="E416" s="1"/>
    </row>
    <row r="417">
      <c r="E417" s="1"/>
    </row>
    <row r="418">
      <c r="E418" s="1"/>
    </row>
    <row r="419">
      <c r="E419" s="1"/>
    </row>
    <row r="420">
      <c r="E420" s="1"/>
    </row>
    <row r="421">
      <c r="E421" s="1"/>
    </row>
    <row r="422">
      <c r="E422" s="1"/>
    </row>
    <row r="423">
      <c r="E423" s="1"/>
    </row>
    <row r="424">
      <c r="E424" s="1"/>
    </row>
    <row r="425">
      <c r="E425" s="1"/>
    </row>
    <row r="426">
      <c r="E426" s="1"/>
    </row>
    <row r="427">
      <c r="E427" s="1"/>
    </row>
    <row r="428">
      <c r="E428" s="1"/>
    </row>
    <row r="429">
      <c r="E429" s="1"/>
    </row>
    <row r="430">
      <c r="E430" s="1"/>
    </row>
    <row r="431">
      <c r="E431" s="1"/>
    </row>
    <row r="432">
      <c r="E432" s="1"/>
    </row>
    <row r="433">
      <c r="E433" s="1"/>
    </row>
    <row r="434">
      <c r="E434" s="1"/>
    </row>
    <row r="435">
      <c r="E435" s="1"/>
    </row>
    <row r="436">
      <c r="E436" s="1"/>
    </row>
    <row r="437">
      <c r="E437" s="1"/>
    </row>
    <row r="438">
      <c r="E438" s="1"/>
    </row>
    <row r="439">
      <c r="E439" s="1"/>
    </row>
    <row r="440">
      <c r="E440" s="1"/>
    </row>
    <row r="441">
      <c r="E441" s="1"/>
    </row>
    <row r="442">
      <c r="E442" s="1"/>
    </row>
    <row r="443">
      <c r="E443" s="1"/>
    </row>
    <row r="444">
      <c r="E444" s="1"/>
    </row>
    <row r="445">
      <c r="E445" s="1"/>
    </row>
    <row r="446">
      <c r="E446" s="1"/>
    </row>
    <row r="447">
      <c r="E447" s="1"/>
    </row>
    <row r="448">
      <c r="E448" s="1"/>
    </row>
    <row r="449">
      <c r="E449" s="1"/>
    </row>
    <row r="450">
      <c r="E450" s="1"/>
    </row>
    <row r="451">
      <c r="E451" s="1"/>
    </row>
    <row r="452">
      <c r="E452" s="1"/>
    </row>
    <row r="453">
      <c r="E453" s="1"/>
    </row>
    <row r="454">
      <c r="E454" s="1"/>
    </row>
    <row r="455">
      <c r="E455" s="1"/>
    </row>
    <row r="456">
      <c r="E456" s="1"/>
    </row>
    <row r="457">
      <c r="E457" s="1"/>
    </row>
    <row r="458">
      <c r="E458" s="1"/>
    </row>
    <row r="459">
      <c r="E459" s="1"/>
    </row>
    <row r="460">
      <c r="E460" s="1"/>
    </row>
    <row r="461">
      <c r="E461" s="1"/>
    </row>
    <row r="462">
      <c r="E462" s="1"/>
    </row>
    <row r="463">
      <c r="E463" s="1"/>
    </row>
    <row r="464">
      <c r="E464" s="1"/>
    </row>
    <row r="465">
      <c r="E465" s="1"/>
    </row>
    <row r="466">
      <c r="E466" s="1"/>
    </row>
    <row r="467">
      <c r="E467" s="1"/>
    </row>
    <row r="468">
      <c r="E468" s="1"/>
    </row>
    <row r="469">
      <c r="E469" s="1"/>
    </row>
    <row r="470">
      <c r="E470" s="1"/>
    </row>
    <row r="471">
      <c r="E471" s="1"/>
    </row>
    <row r="472">
      <c r="E472" s="1"/>
    </row>
    <row r="473">
      <c r="E473" s="1"/>
    </row>
    <row r="474">
      <c r="E474" s="1"/>
    </row>
    <row r="475">
      <c r="E475" s="1"/>
    </row>
    <row r="476">
      <c r="E476" s="1"/>
    </row>
    <row r="477">
      <c r="E477" s="1"/>
    </row>
    <row r="478">
      <c r="E478" s="1"/>
    </row>
    <row r="479">
      <c r="E479" s="1"/>
    </row>
    <row r="480">
      <c r="E480" s="1"/>
    </row>
    <row r="481">
      <c r="E481" s="1"/>
    </row>
    <row r="482">
      <c r="E482" s="1"/>
    </row>
    <row r="483">
      <c r="E483" s="1"/>
    </row>
    <row r="484">
      <c r="E484" s="1"/>
    </row>
    <row r="485">
      <c r="E485" s="1"/>
    </row>
    <row r="486">
      <c r="E486" s="1"/>
    </row>
    <row r="487">
      <c r="E487" s="1"/>
    </row>
    <row r="488">
      <c r="E488" s="1"/>
    </row>
    <row r="489">
      <c r="E489" s="1"/>
    </row>
    <row r="490">
      <c r="E490" s="1"/>
    </row>
    <row r="491">
      <c r="E491" s="1"/>
    </row>
    <row r="492">
      <c r="E492" s="1"/>
    </row>
    <row r="493">
      <c r="E493" s="1"/>
    </row>
    <row r="494">
      <c r="E494" s="1"/>
    </row>
    <row r="495">
      <c r="E495" s="1"/>
    </row>
    <row r="496">
      <c r="E496" s="1"/>
    </row>
    <row r="497">
      <c r="E497" s="1"/>
    </row>
    <row r="498">
      <c r="E498" s="1"/>
    </row>
    <row r="499">
      <c r="E499" s="1"/>
    </row>
    <row r="500">
      <c r="E500" s="1"/>
    </row>
    <row r="501">
      <c r="E501" s="1"/>
    </row>
    <row r="502">
      <c r="E502" s="1"/>
    </row>
    <row r="503">
      <c r="E503" s="1"/>
    </row>
    <row r="504">
      <c r="E504" s="1"/>
    </row>
    <row r="505">
      <c r="E505" s="1"/>
    </row>
    <row r="506">
      <c r="E506" s="1"/>
    </row>
    <row r="507">
      <c r="E507" s="1"/>
    </row>
    <row r="508">
      <c r="E508" s="1"/>
    </row>
    <row r="509">
      <c r="E509" s="1"/>
    </row>
    <row r="510">
      <c r="E510" s="1"/>
    </row>
    <row r="511">
      <c r="E511" s="1"/>
    </row>
    <row r="512">
      <c r="E512" s="1"/>
    </row>
    <row r="513">
      <c r="E513" s="1"/>
    </row>
    <row r="514">
      <c r="E514" s="1"/>
    </row>
    <row r="515">
      <c r="E515" s="1"/>
    </row>
    <row r="516">
      <c r="E516" s="1"/>
    </row>
    <row r="517">
      <c r="E517" s="1"/>
    </row>
    <row r="518">
      <c r="E518" s="1"/>
    </row>
    <row r="519">
      <c r="E519" s="1"/>
    </row>
    <row r="520">
      <c r="E520" s="1"/>
    </row>
    <row r="521">
      <c r="E521" s="1"/>
    </row>
    <row r="522">
      <c r="E522" s="1"/>
    </row>
    <row r="523">
      <c r="E523" s="1"/>
    </row>
    <row r="524">
      <c r="E524" s="1"/>
    </row>
    <row r="525">
      <c r="E525" s="1"/>
    </row>
    <row r="526">
      <c r="E526" s="1"/>
    </row>
    <row r="527">
      <c r="E527" s="1"/>
    </row>
    <row r="528">
      <c r="E528" s="1"/>
    </row>
    <row r="529">
      <c r="E529" s="1"/>
    </row>
    <row r="530">
      <c r="E530" s="1"/>
    </row>
    <row r="531">
      <c r="E531" s="1"/>
    </row>
    <row r="532">
      <c r="E532" s="1"/>
    </row>
    <row r="533">
      <c r="E533" s="1"/>
    </row>
    <row r="534">
      <c r="E534" s="1"/>
    </row>
    <row r="535">
      <c r="E535" s="1"/>
    </row>
    <row r="536">
      <c r="E536" s="1"/>
    </row>
    <row r="537">
      <c r="E537" s="1"/>
    </row>
    <row r="538">
      <c r="E538" s="1"/>
    </row>
    <row r="539">
      <c r="E539" s="1"/>
    </row>
    <row r="540">
      <c r="E540" s="1"/>
    </row>
    <row r="541">
      <c r="E541" s="1"/>
    </row>
    <row r="542">
      <c r="E542" s="1"/>
    </row>
    <row r="543">
      <c r="E543" s="1"/>
    </row>
    <row r="544">
      <c r="E544" s="1"/>
    </row>
    <row r="545">
      <c r="E545" s="1"/>
    </row>
    <row r="546">
      <c r="E546" s="1"/>
    </row>
    <row r="547">
      <c r="E547" s="1"/>
    </row>
    <row r="548">
      <c r="E548" s="1"/>
    </row>
    <row r="549">
      <c r="E549" s="1"/>
    </row>
    <row r="550">
      <c r="E550" s="1"/>
    </row>
    <row r="551">
      <c r="E551" s="1"/>
    </row>
    <row r="552">
      <c r="E552" s="1"/>
    </row>
    <row r="553">
      <c r="E553" s="1"/>
    </row>
    <row r="554">
      <c r="E554" s="1"/>
    </row>
    <row r="555">
      <c r="E555" s="1"/>
    </row>
    <row r="556">
      <c r="E556" s="1"/>
    </row>
    <row r="557">
      <c r="E557" s="1"/>
    </row>
    <row r="558">
      <c r="E558" s="1"/>
    </row>
    <row r="559">
      <c r="E559" s="1"/>
    </row>
    <row r="560">
      <c r="E560" s="1"/>
    </row>
    <row r="561">
      <c r="E561" s="1"/>
    </row>
    <row r="562">
      <c r="E562" s="1"/>
    </row>
    <row r="563">
      <c r="E563" s="1"/>
    </row>
    <row r="564">
      <c r="E564" s="1"/>
    </row>
    <row r="565">
      <c r="E565" s="1"/>
    </row>
    <row r="566">
      <c r="E566" s="1"/>
    </row>
    <row r="567">
      <c r="E567" s="1"/>
    </row>
    <row r="568">
      <c r="E568" s="1"/>
    </row>
    <row r="569">
      <c r="E569" s="1"/>
    </row>
    <row r="570">
      <c r="E570" s="1"/>
    </row>
    <row r="571">
      <c r="E571" s="1"/>
    </row>
    <row r="572">
      <c r="E572" s="1"/>
    </row>
    <row r="573">
      <c r="E573" s="1"/>
    </row>
    <row r="574">
      <c r="E574" s="1"/>
    </row>
    <row r="575">
      <c r="E575" s="1"/>
    </row>
    <row r="576">
      <c r="E576" s="1"/>
    </row>
    <row r="577">
      <c r="E577" s="1"/>
    </row>
    <row r="578">
      <c r="E578" s="1"/>
    </row>
    <row r="579">
      <c r="E579" s="1"/>
    </row>
    <row r="580">
      <c r="E580" s="1"/>
    </row>
    <row r="581">
      <c r="E581" s="1"/>
    </row>
    <row r="582">
      <c r="E582" s="1"/>
    </row>
    <row r="583">
      <c r="E583" s="1"/>
    </row>
    <row r="584">
      <c r="E584" s="1"/>
    </row>
    <row r="585">
      <c r="E585" s="1"/>
    </row>
    <row r="586">
      <c r="E586" s="1"/>
    </row>
    <row r="587">
      <c r="E587" s="1"/>
    </row>
    <row r="588">
      <c r="E588" s="1"/>
    </row>
    <row r="589">
      <c r="E589" s="1"/>
    </row>
    <row r="590">
      <c r="E590" s="1"/>
    </row>
    <row r="591">
      <c r="E591" s="1"/>
    </row>
    <row r="592">
      <c r="E592" s="1"/>
    </row>
    <row r="593">
      <c r="E593" s="1"/>
    </row>
    <row r="594">
      <c r="E594" s="1"/>
    </row>
    <row r="595">
      <c r="E595" s="1"/>
    </row>
    <row r="596">
      <c r="E596" s="1"/>
    </row>
    <row r="597">
      <c r="E597" s="1"/>
    </row>
    <row r="598">
      <c r="E598" s="1"/>
    </row>
    <row r="599">
      <c r="E599" s="1"/>
    </row>
    <row r="600">
      <c r="E600" s="1"/>
    </row>
    <row r="601">
      <c r="E601" s="1"/>
    </row>
    <row r="602">
      <c r="E602" s="1"/>
    </row>
    <row r="603">
      <c r="E603" s="1"/>
    </row>
    <row r="604">
      <c r="E604" s="1"/>
    </row>
    <row r="605">
      <c r="E605" s="1"/>
    </row>
    <row r="606">
      <c r="E606" s="1"/>
    </row>
    <row r="607">
      <c r="E607" s="1"/>
    </row>
    <row r="608">
      <c r="E608" s="1"/>
    </row>
    <row r="609">
      <c r="E609" s="1"/>
    </row>
    <row r="610">
      <c r="E610" s="1"/>
    </row>
    <row r="611">
      <c r="E611" s="1"/>
    </row>
    <row r="612">
      <c r="E612" s="1"/>
    </row>
    <row r="613">
      <c r="E613" s="1"/>
    </row>
    <row r="614">
      <c r="E614" s="1"/>
    </row>
    <row r="615">
      <c r="E615" s="1"/>
    </row>
    <row r="616">
      <c r="E616" s="1"/>
    </row>
    <row r="617">
      <c r="E617" s="1"/>
    </row>
    <row r="618">
      <c r="E618" s="1"/>
    </row>
    <row r="619">
      <c r="E619" s="1"/>
    </row>
    <row r="620">
      <c r="E620" s="1"/>
    </row>
    <row r="621">
      <c r="E621" s="1"/>
    </row>
    <row r="622">
      <c r="E622" s="1"/>
    </row>
    <row r="623">
      <c r="E623" s="1"/>
    </row>
    <row r="624">
      <c r="E624" s="1"/>
    </row>
    <row r="625">
      <c r="E625" s="1"/>
    </row>
    <row r="626">
      <c r="E626" s="1"/>
    </row>
    <row r="627">
      <c r="E627" s="1"/>
    </row>
    <row r="628">
      <c r="E628" s="1"/>
    </row>
    <row r="629">
      <c r="E629" s="1"/>
    </row>
    <row r="630">
      <c r="E630" s="1"/>
    </row>
    <row r="631">
      <c r="E631" s="1"/>
    </row>
    <row r="632">
      <c r="E632" s="1"/>
    </row>
    <row r="633">
      <c r="E633" s="1"/>
    </row>
    <row r="634">
      <c r="E634" s="1"/>
    </row>
    <row r="635">
      <c r="E635" s="1"/>
    </row>
    <row r="636">
      <c r="E636" s="1"/>
    </row>
    <row r="637">
      <c r="E637" s="1"/>
    </row>
    <row r="638">
      <c r="E638" s="1"/>
    </row>
    <row r="639">
      <c r="E639" s="1"/>
    </row>
    <row r="640">
      <c r="E640" s="1"/>
    </row>
    <row r="641">
      <c r="E641" s="1"/>
    </row>
    <row r="642">
      <c r="E642" s="1"/>
    </row>
    <row r="643">
      <c r="E643" s="1"/>
    </row>
    <row r="644">
      <c r="E644" s="1"/>
    </row>
    <row r="645">
      <c r="E645" s="1"/>
    </row>
    <row r="646">
      <c r="E646" s="1"/>
    </row>
    <row r="647">
      <c r="E647" s="1"/>
    </row>
    <row r="648">
      <c r="E648" s="1"/>
    </row>
    <row r="649">
      <c r="E649" s="1"/>
    </row>
    <row r="650">
      <c r="E650" s="1"/>
    </row>
    <row r="651">
      <c r="E651" s="1"/>
    </row>
    <row r="652">
      <c r="E652" s="1"/>
    </row>
    <row r="653">
      <c r="E653" s="1"/>
    </row>
    <row r="654">
      <c r="E654" s="1"/>
    </row>
    <row r="655">
      <c r="E655" s="1"/>
    </row>
    <row r="656">
      <c r="E656" s="1"/>
    </row>
    <row r="657">
      <c r="E657" s="1"/>
    </row>
    <row r="658">
      <c r="E658" s="1"/>
    </row>
    <row r="659">
      <c r="E659" s="1"/>
    </row>
    <row r="660">
      <c r="E660" s="1"/>
    </row>
    <row r="661">
      <c r="E661" s="1"/>
    </row>
    <row r="662">
      <c r="E662" s="1"/>
    </row>
    <row r="663">
      <c r="E663" s="1"/>
    </row>
    <row r="664">
      <c r="E664" s="1"/>
    </row>
    <row r="665">
      <c r="E665" s="1"/>
    </row>
    <row r="666">
      <c r="E666" s="1"/>
    </row>
    <row r="667">
      <c r="E667" s="1"/>
    </row>
    <row r="668">
      <c r="E668" s="1"/>
    </row>
    <row r="669">
      <c r="E669" s="1"/>
    </row>
    <row r="670">
      <c r="E670" s="1"/>
    </row>
    <row r="671">
      <c r="E671" s="1"/>
    </row>
    <row r="672">
      <c r="E672" s="1"/>
    </row>
    <row r="673">
      <c r="E673" s="1"/>
    </row>
    <row r="674">
      <c r="E674" s="1"/>
    </row>
    <row r="675">
      <c r="E675" s="1"/>
    </row>
    <row r="676">
      <c r="E676" s="1"/>
    </row>
    <row r="677">
      <c r="E677" s="1"/>
    </row>
    <row r="678">
      <c r="E678" s="1"/>
    </row>
    <row r="679">
      <c r="E679" s="1"/>
    </row>
    <row r="680">
      <c r="E680" s="1"/>
    </row>
    <row r="681">
      <c r="E681" s="1"/>
    </row>
    <row r="682">
      <c r="E682" s="1"/>
    </row>
    <row r="683">
      <c r="E683" s="1"/>
    </row>
    <row r="684">
      <c r="E684" s="1"/>
    </row>
    <row r="685">
      <c r="E685" s="1"/>
    </row>
    <row r="686">
      <c r="E686" s="1"/>
    </row>
    <row r="687">
      <c r="E687" s="1"/>
    </row>
    <row r="688">
      <c r="E688" s="1"/>
    </row>
    <row r="689">
      <c r="E689" s="1"/>
    </row>
    <row r="690">
      <c r="E690" s="1"/>
    </row>
    <row r="691">
      <c r="E691" s="1"/>
    </row>
    <row r="692">
      <c r="E692" s="1"/>
    </row>
    <row r="693">
      <c r="E693" s="1"/>
    </row>
    <row r="694">
      <c r="E694" s="1"/>
    </row>
    <row r="695">
      <c r="E695" s="1"/>
    </row>
    <row r="696">
      <c r="E696" s="1"/>
    </row>
    <row r="697">
      <c r="E697" s="1"/>
    </row>
    <row r="698">
      <c r="E698" s="1"/>
    </row>
    <row r="699">
      <c r="E699" s="1"/>
    </row>
    <row r="700">
      <c r="E700" s="1"/>
    </row>
    <row r="701">
      <c r="E701" s="1"/>
    </row>
    <row r="702">
      <c r="E702" s="1"/>
    </row>
    <row r="703">
      <c r="E703" s="1"/>
    </row>
    <row r="704">
      <c r="E704" s="1"/>
    </row>
    <row r="705">
      <c r="E705" s="1"/>
    </row>
    <row r="706">
      <c r="E706" s="1"/>
    </row>
    <row r="707">
      <c r="E707" s="1"/>
    </row>
    <row r="708">
      <c r="E708" s="1"/>
    </row>
    <row r="709">
      <c r="E709" s="1"/>
    </row>
    <row r="710">
      <c r="E710" s="1"/>
    </row>
    <row r="711">
      <c r="E711" s="1"/>
    </row>
    <row r="712">
      <c r="E712" s="1"/>
    </row>
    <row r="713">
      <c r="E713" s="1"/>
    </row>
    <row r="714">
      <c r="E714" s="1"/>
    </row>
    <row r="715">
      <c r="E715" s="1"/>
    </row>
    <row r="716">
      <c r="E716" s="1"/>
    </row>
    <row r="717">
      <c r="E717" s="1"/>
    </row>
    <row r="718">
      <c r="E718" s="1"/>
    </row>
    <row r="719">
      <c r="E719" s="1"/>
    </row>
    <row r="720">
      <c r="E720" s="1"/>
    </row>
    <row r="721">
      <c r="E721" s="1"/>
    </row>
    <row r="722">
      <c r="E722" s="1"/>
    </row>
    <row r="723">
      <c r="E723" s="1"/>
    </row>
    <row r="724">
      <c r="E724" s="1"/>
    </row>
    <row r="725">
      <c r="E725" s="1"/>
    </row>
    <row r="726">
      <c r="E726" s="1"/>
    </row>
    <row r="727">
      <c r="E727" s="1"/>
    </row>
    <row r="728">
      <c r="E728" s="1"/>
    </row>
    <row r="729">
      <c r="E729" s="1"/>
    </row>
    <row r="730">
      <c r="E730" s="1"/>
    </row>
    <row r="731">
      <c r="E731" s="1"/>
    </row>
    <row r="732">
      <c r="E732" s="1"/>
    </row>
    <row r="733">
      <c r="E733" s="1"/>
    </row>
    <row r="734">
      <c r="E734" s="1"/>
    </row>
    <row r="735">
      <c r="E735" s="1"/>
    </row>
    <row r="736">
      <c r="E736" s="1"/>
    </row>
    <row r="737">
      <c r="E737" s="1"/>
    </row>
    <row r="738">
      <c r="E738" s="1"/>
    </row>
    <row r="739">
      <c r="E739" s="1"/>
    </row>
    <row r="740">
      <c r="E740" s="1"/>
    </row>
    <row r="741">
      <c r="E741" s="1"/>
    </row>
    <row r="742">
      <c r="E742" s="1"/>
    </row>
    <row r="743">
      <c r="E743" s="1"/>
    </row>
    <row r="744">
      <c r="E744" s="1"/>
    </row>
    <row r="745">
      <c r="E745" s="1"/>
    </row>
    <row r="746">
      <c r="E746" s="1"/>
    </row>
    <row r="747">
      <c r="E747" s="1"/>
    </row>
    <row r="748">
      <c r="E748" s="1"/>
    </row>
    <row r="749">
      <c r="E749" s="1"/>
    </row>
    <row r="750">
      <c r="E750" s="1"/>
    </row>
    <row r="751">
      <c r="E751" s="1"/>
    </row>
    <row r="752">
      <c r="E752" s="1"/>
    </row>
    <row r="753">
      <c r="E753" s="1"/>
    </row>
    <row r="754">
      <c r="E754" s="1"/>
    </row>
    <row r="755">
      <c r="E755" s="1"/>
    </row>
    <row r="756">
      <c r="E756" s="1"/>
    </row>
    <row r="757">
      <c r="E757" s="1"/>
    </row>
    <row r="758">
      <c r="E758" s="1"/>
    </row>
    <row r="759">
      <c r="E759" s="1"/>
    </row>
    <row r="760">
      <c r="E760" s="1"/>
    </row>
    <row r="761">
      <c r="E761" s="1"/>
    </row>
    <row r="762">
      <c r="E762" s="1"/>
    </row>
    <row r="763">
      <c r="E763" s="1"/>
    </row>
    <row r="764">
      <c r="E764" s="1"/>
    </row>
    <row r="765">
      <c r="E765" s="1"/>
    </row>
    <row r="766">
      <c r="E766" s="1"/>
    </row>
    <row r="767">
      <c r="E767" s="1"/>
    </row>
    <row r="768">
      <c r="E768" s="1"/>
    </row>
    <row r="769">
      <c r="E769" s="1"/>
    </row>
    <row r="770">
      <c r="E770" s="1"/>
    </row>
    <row r="771">
      <c r="E771" s="1"/>
    </row>
    <row r="772">
      <c r="E772" s="1"/>
    </row>
    <row r="773">
      <c r="E773" s="1"/>
    </row>
    <row r="774">
      <c r="E774" s="1"/>
    </row>
    <row r="775">
      <c r="E775" s="1"/>
    </row>
    <row r="776">
      <c r="E776" s="1"/>
    </row>
    <row r="777">
      <c r="E777" s="1"/>
    </row>
    <row r="778">
      <c r="E778" s="1"/>
    </row>
    <row r="779">
      <c r="E779" s="1"/>
    </row>
    <row r="780">
      <c r="E780" s="1"/>
    </row>
    <row r="781">
      <c r="E781" s="1"/>
    </row>
    <row r="782">
      <c r="E782" s="1"/>
    </row>
    <row r="783">
      <c r="E783" s="1"/>
    </row>
    <row r="784">
      <c r="E784" s="1"/>
    </row>
    <row r="785">
      <c r="E785" s="1"/>
    </row>
    <row r="786">
      <c r="E786" s="1"/>
    </row>
    <row r="787">
      <c r="E787" s="1"/>
    </row>
    <row r="788">
      <c r="E788" s="1"/>
    </row>
    <row r="789">
      <c r="E789" s="1"/>
    </row>
    <row r="790">
      <c r="E790" s="1"/>
    </row>
    <row r="791">
      <c r="E791" s="1"/>
    </row>
    <row r="792">
      <c r="E792" s="1"/>
    </row>
    <row r="793">
      <c r="E793" s="1"/>
    </row>
    <row r="794">
      <c r="E794" s="1"/>
    </row>
    <row r="795">
      <c r="E795" s="1"/>
    </row>
    <row r="796">
      <c r="E796" s="1"/>
    </row>
    <row r="797">
      <c r="E797" s="1"/>
    </row>
    <row r="798">
      <c r="E798" s="1"/>
    </row>
    <row r="799">
      <c r="E799" s="1"/>
    </row>
    <row r="800">
      <c r="E800" s="1"/>
    </row>
    <row r="801">
      <c r="E801" s="1"/>
    </row>
    <row r="802">
      <c r="E802" s="1"/>
    </row>
    <row r="803">
      <c r="E803" s="1"/>
    </row>
    <row r="804">
      <c r="E804" s="1"/>
    </row>
    <row r="805">
      <c r="E805" s="1"/>
    </row>
    <row r="806">
      <c r="E806" s="1"/>
    </row>
    <row r="807">
      <c r="E807" s="1"/>
    </row>
    <row r="808">
      <c r="E808" s="1"/>
    </row>
    <row r="809">
      <c r="E809" s="1"/>
    </row>
    <row r="810">
      <c r="E810" s="1"/>
    </row>
    <row r="811">
      <c r="E811" s="1"/>
    </row>
    <row r="812">
      <c r="E812" s="1"/>
    </row>
    <row r="813">
      <c r="E813" s="1"/>
    </row>
    <row r="814">
      <c r="E814" s="1"/>
    </row>
    <row r="815">
      <c r="E815" s="1"/>
    </row>
    <row r="816">
      <c r="E816" s="1"/>
    </row>
    <row r="817">
      <c r="E817" s="1"/>
    </row>
    <row r="818">
      <c r="E818" s="1"/>
    </row>
    <row r="819">
      <c r="E819" s="1"/>
    </row>
    <row r="820">
      <c r="E820" s="1"/>
    </row>
    <row r="821">
      <c r="E821" s="1"/>
    </row>
    <row r="822">
      <c r="E822" s="1"/>
    </row>
    <row r="823">
      <c r="E823" s="1"/>
    </row>
    <row r="824">
      <c r="E824" s="1"/>
    </row>
    <row r="825">
      <c r="E825" s="1"/>
    </row>
    <row r="826">
      <c r="E826" s="1"/>
    </row>
    <row r="827">
      <c r="E827" s="1"/>
    </row>
    <row r="828">
      <c r="E828" s="1"/>
    </row>
    <row r="829">
      <c r="E829" s="1"/>
    </row>
    <row r="830">
      <c r="E830" s="1"/>
    </row>
    <row r="831">
      <c r="E831" s="1"/>
    </row>
    <row r="832">
      <c r="E832" s="1"/>
    </row>
    <row r="833">
      <c r="E833" s="1"/>
    </row>
    <row r="834">
      <c r="E834" s="1"/>
    </row>
    <row r="835">
      <c r="E835" s="1"/>
    </row>
    <row r="836">
      <c r="E836" s="1"/>
    </row>
    <row r="837">
      <c r="E837" s="1"/>
    </row>
    <row r="838">
      <c r="E838" s="1"/>
    </row>
    <row r="839">
      <c r="E839" s="1"/>
    </row>
    <row r="840">
      <c r="E840" s="1"/>
    </row>
    <row r="841">
      <c r="E841" s="1"/>
    </row>
    <row r="842">
      <c r="E842" s="1"/>
    </row>
    <row r="843">
      <c r="E843" s="1"/>
    </row>
    <row r="844">
      <c r="E844" s="1"/>
    </row>
    <row r="845">
      <c r="E845" s="1"/>
    </row>
    <row r="846">
      <c r="E846" s="1"/>
    </row>
    <row r="847">
      <c r="E847" s="1"/>
    </row>
    <row r="848">
      <c r="E848" s="1"/>
    </row>
    <row r="849">
      <c r="E849" s="1"/>
    </row>
    <row r="850">
      <c r="E850" s="1"/>
    </row>
    <row r="851">
      <c r="E851" s="1"/>
    </row>
    <row r="852">
      <c r="E852" s="1"/>
    </row>
    <row r="853">
      <c r="E853" s="1"/>
    </row>
    <row r="854">
      <c r="E854" s="1"/>
    </row>
    <row r="855">
      <c r="E855" s="1"/>
    </row>
    <row r="856">
      <c r="E856" s="1"/>
    </row>
    <row r="857">
      <c r="E857" s="1"/>
    </row>
    <row r="858">
      <c r="E858" s="1"/>
    </row>
    <row r="859">
      <c r="E859" s="1"/>
    </row>
    <row r="860">
      <c r="E860" s="1"/>
    </row>
    <row r="861">
      <c r="E861" s="1"/>
    </row>
    <row r="862">
      <c r="E862" s="1"/>
    </row>
    <row r="863">
      <c r="E863" s="1"/>
    </row>
    <row r="864">
      <c r="E864" s="1"/>
    </row>
    <row r="865">
      <c r="E865" s="1"/>
    </row>
    <row r="866">
      <c r="E866" s="1"/>
    </row>
    <row r="867">
      <c r="E867" s="1"/>
    </row>
    <row r="868">
      <c r="E868" s="1"/>
    </row>
    <row r="869">
      <c r="E869" s="1"/>
    </row>
    <row r="870">
      <c r="E870" s="1"/>
    </row>
    <row r="871">
      <c r="E871" s="1"/>
    </row>
    <row r="872">
      <c r="E872" s="1"/>
    </row>
    <row r="873">
      <c r="E873" s="1"/>
    </row>
    <row r="874">
      <c r="E874" s="1"/>
    </row>
    <row r="875">
      <c r="E875" s="1"/>
    </row>
    <row r="876">
      <c r="E876" s="1"/>
    </row>
    <row r="877">
      <c r="E877" s="1"/>
    </row>
    <row r="878">
      <c r="E878" s="1"/>
    </row>
    <row r="879">
      <c r="E879" s="1"/>
    </row>
    <row r="880">
      <c r="E880" s="1"/>
    </row>
    <row r="881">
      <c r="E881" s="1"/>
    </row>
    <row r="882">
      <c r="E882" s="1"/>
    </row>
    <row r="883">
      <c r="E883" s="1"/>
    </row>
    <row r="884">
      <c r="E884" s="1"/>
    </row>
    <row r="885">
      <c r="E885" s="1"/>
    </row>
    <row r="886">
      <c r="E886" s="1"/>
    </row>
    <row r="887">
      <c r="E887" s="1"/>
    </row>
    <row r="888">
      <c r="E888" s="1"/>
    </row>
    <row r="889">
      <c r="E889" s="1"/>
    </row>
    <row r="890">
      <c r="E890" s="1"/>
    </row>
    <row r="891">
      <c r="E891" s="1"/>
    </row>
    <row r="892">
      <c r="E892" s="1"/>
    </row>
    <row r="893">
      <c r="E893" s="1"/>
    </row>
    <row r="894">
      <c r="E894" s="1"/>
    </row>
    <row r="895">
      <c r="E895" s="1"/>
    </row>
    <row r="896">
      <c r="E896" s="1"/>
    </row>
    <row r="897">
      <c r="E897" s="1"/>
    </row>
    <row r="898">
      <c r="E898" s="1"/>
    </row>
    <row r="899">
      <c r="E899" s="1"/>
    </row>
    <row r="900">
      <c r="E900" s="1"/>
    </row>
    <row r="901">
      <c r="E901" s="1"/>
    </row>
    <row r="902">
      <c r="E902" s="1"/>
    </row>
    <row r="903">
      <c r="E903" s="1"/>
    </row>
    <row r="904">
      <c r="E904" s="1"/>
    </row>
    <row r="905">
      <c r="E905" s="1"/>
    </row>
    <row r="906">
      <c r="E906" s="1"/>
    </row>
    <row r="907">
      <c r="E907" s="1"/>
    </row>
    <row r="908">
      <c r="E908" s="1"/>
    </row>
    <row r="909">
      <c r="E909" s="1"/>
    </row>
    <row r="910">
      <c r="E910" s="1"/>
    </row>
    <row r="911">
      <c r="E911" s="1"/>
    </row>
    <row r="912">
      <c r="E912" s="1"/>
    </row>
    <row r="913">
      <c r="E913" s="1"/>
    </row>
    <row r="914">
      <c r="E914" s="1"/>
    </row>
    <row r="915">
      <c r="E915" s="1"/>
    </row>
    <row r="916">
      <c r="E916" s="1"/>
    </row>
    <row r="917">
      <c r="E917" s="1"/>
    </row>
    <row r="918">
      <c r="E918" s="1"/>
    </row>
    <row r="919">
      <c r="E919" s="1"/>
    </row>
    <row r="920">
      <c r="E920" s="1"/>
    </row>
    <row r="921">
      <c r="E921" s="1"/>
    </row>
    <row r="922">
      <c r="E922" s="1"/>
    </row>
    <row r="923">
      <c r="E923" s="1"/>
    </row>
    <row r="924">
      <c r="E924" s="1"/>
    </row>
    <row r="925">
      <c r="E925" s="1"/>
    </row>
    <row r="926">
      <c r="E926" s="1"/>
    </row>
    <row r="927">
      <c r="E927" s="1"/>
    </row>
    <row r="928">
      <c r="E928" s="1"/>
    </row>
    <row r="929">
      <c r="E929" s="1"/>
    </row>
    <row r="930">
      <c r="E930" s="1"/>
    </row>
    <row r="931">
      <c r="E931" s="1"/>
    </row>
  </sheetData>
  <conditionalFormatting sqref="G7:G37">
    <cfRule type="expression" dxfId="5" priority="1">
      <formula>$G7&gt;=$O$9</formula>
    </cfRule>
  </conditionalFormatting>
  <conditionalFormatting sqref="N3">
    <cfRule type="expression" dxfId="5" priority="2">
      <formula>N3&gt;=O8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4" max="4" width="22.0"/>
    <col customWidth="1" min="5" max="5" width="15.0"/>
    <col customWidth="1" min="9" max="9" width="18.38"/>
    <col customWidth="1" min="11" max="11" width="18.5"/>
    <col customWidth="1" min="14" max="14" width="18.38"/>
    <col customWidth="1" min="15" max="15" width="15.88"/>
    <col customWidth="1" min="16" max="16" width="18.5"/>
    <col customWidth="1" min="17" max="17" width="17.0"/>
    <col customWidth="1" min="22" max="22" width="19.38"/>
  </cols>
  <sheetData>
    <row r="1">
      <c r="E1" s="1"/>
    </row>
    <row r="2">
      <c r="E2" s="1"/>
      <c r="K2" s="2" t="s">
        <v>0</v>
      </c>
      <c r="L2" s="3" t="s">
        <v>1</v>
      </c>
      <c r="M2" s="4" t="s">
        <v>2</v>
      </c>
      <c r="N2" s="4" t="s">
        <v>3</v>
      </c>
    </row>
    <row r="3">
      <c r="E3" s="1"/>
      <c r="K3" s="5" t="s">
        <v>4</v>
      </c>
      <c r="L3" s="6">
        <f t="shared" ref="L3:M3" si="1">sum(E7:E37)</f>
        <v>76.77</v>
      </c>
      <c r="M3" s="3">
        <f t="shared" si="1"/>
        <v>-1446.55</v>
      </c>
      <c r="N3" s="7">
        <f>M3*Sumario!N4</f>
        <v>-1269.521211</v>
      </c>
      <c r="O3" s="7">
        <f>Sumario!N4</f>
        <v>0.87762</v>
      </c>
    </row>
    <row r="4">
      <c r="B4" s="8" t="s">
        <v>75</v>
      </c>
      <c r="C4" s="10"/>
      <c r="D4" s="10"/>
      <c r="E4" s="11"/>
      <c r="F4" s="10"/>
      <c r="G4" s="10"/>
      <c r="H4" s="10"/>
      <c r="I4" s="10"/>
      <c r="J4" s="10"/>
      <c r="K4" s="10"/>
      <c r="L4" s="10"/>
    </row>
    <row r="5">
      <c r="B5" s="8" t="s">
        <v>8</v>
      </c>
      <c r="C5" s="8" t="s">
        <v>9</v>
      </c>
      <c r="D5" s="8" t="s">
        <v>11</v>
      </c>
      <c r="E5" s="8" t="s">
        <v>12</v>
      </c>
      <c r="F5" s="8" t="s">
        <v>13</v>
      </c>
      <c r="G5" s="12" t="s">
        <v>14</v>
      </c>
      <c r="H5" s="12"/>
      <c r="I5" s="13"/>
      <c r="J5" s="14"/>
      <c r="K5" s="15"/>
      <c r="L5" s="10"/>
    </row>
    <row r="6">
      <c r="B6" s="10"/>
      <c r="C6" s="10"/>
      <c r="D6" s="10"/>
      <c r="E6" s="10"/>
      <c r="F6" s="16"/>
      <c r="G6" s="10"/>
      <c r="H6" s="15" t="s">
        <v>15</v>
      </c>
      <c r="I6" s="10"/>
      <c r="J6" s="10"/>
      <c r="K6" s="10"/>
      <c r="L6" s="10"/>
    </row>
    <row r="7">
      <c r="B7" s="10"/>
      <c r="C7" s="15" t="s">
        <v>16</v>
      </c>
      <c r="D7" s="16"/>
      <c r="E7" s="17"/>
      <c r="F7" s="19"/>
      <c r="G7" s="11">
        <f t="shared" ref="G7:G37" si="2">E7+(F7*$O$3)</f>
        <v>0</v>
      </c>
      <c r="H7" s="24">
        <f t="shared" ref="H7:H37" si="3">G7/$O$9</f>
        <v>0</v>
      </c>
      <c r="I7" s="25">
        <f t="shared" ref="I7:I37" si="4">315+G7</f>
        <v>315</v>
      </c>
      <c r="J7" s="10"/>
      <c r="K7" s="10"/>
      <c r="L7" s="10"/>
    </row>
    <row r="8">
      <c r="B8" s="10"/>
      <c r="C8" s="15" t="s">
        <v>20</v>
      </c>
      <c r="D8" s="16"/>
      <c r="E8" s="17"/>
      <c r="F8" s="19"/>
      <c r="G8" s="11">
        <f t="shared" si="2"/>
        <v>0</v>
      </c>
      <c r="H8" s="24">
        <f t="shared" si="3"/>
        <v>0</v>
      </c>
      <c r="I8" s="25">
        <f t="shared" si="4"/>
        <v>315</v>
      </c>
      <c r="J8" s="10"/>
      <c r="K8" s="10"/>
      <c r="L8" s="10"/>
      <c r="N8" s="31" t="s">
        <v>15</v>
      </c>
      <c r="O8" s="31">
        <v>1000.0</v>
      </c>
      <c r="P8" s="34">
        <f>O8-Sumario!K14</f>
        <v>2187.024301</v>
      </c>
    </row>
    <row r="9">
      <c r="B9" s="10"/>
      <c r="C9" s="15" t="s">
        <v>27</v>
      </c>
      <c r="D9" s="16"/>
      <c r="E9" s="17"/>
      <c r="F9" s="19"/>
      <c r="G9" s="11">
        <f t="shared" si="2"/>
        <v>0</v>
      </c>
      <c r="H9" s="24">
        <f t="shared" si="3"/>
        <v>0</v>
      </c>
      <c r="I9" s="25">
        <f t="shared" si="4"/>
        <v>315</v>
      </c>
      <c r="J9" s="10"/>
      <c r="K9" s="10"/>
      <c r="L9" s="15">
        <v>6615.0</v>
      </c>
      <c r="N9" s="31" t="s">
        <v>28</v>
      </c>
      <c r="O9" s="4">
        <f>O8/21</f>
        <v>47.61904762</v>
      </c>
      <c r="P9" s="36">
        <f>P8/O8</f>
        <v>2.187024301</v>
      </c>
    </row>
    <row r="10">
      <c r="B10" s="10"/>
      <c r="C10" s="15" t="s">
        <v>29</v>
      </c>
      <c r="D10" s="16"/>
      <c r="E10" s="17"/>
      <c r="F10" s="19">
        <f>9.43+0.27+6.82+0.08+0.06+185.87</f>
        <v>202.53</v>
      </c>
      <c r="G10" s="11">
        <f t="shared" si="2"/>
        <v>177.7443786</v>
      </c>
      <c r="H10" s="24">
        <f t="shared" si="3"/>
        <v>3.732631951</v>
      </c>
      <c r="I10" s="25">
        <f t="shared" si="4"/>
        <v>492.7443786</v>
      </c>
      <c r="J10" s="10"/>
      <c r="K10" s="10"/>
      <c r="L10" s="38">
        <f>L9+Sumario!K14</f>
        <v>5427.975699</v>
      </c>
    </row>
    <row r="11">
      <c r="B11" s="10"/>
      <c r="C11" s="15" t="s">
        <v>30</v>
      </c>
      <c r="D11" s="16"/>
      <c r="E11" s="17"/>
      <c r="F11" s="19">
        <f>-20.95-16.82-3.44</f>
        <v>-41.21</v>
      </c>
      <c r="G11" s="11">
        <f t="shared" si="2"/>
        <v>-36.1667202</v>
      </c>
      <c r="H11" s="24">
        <f t="shared" si="3"/>
        <v>-0.7595011242</v>
      </c>
      <c r="I11" s="25">
        <f t="shared" si="4"/>
        <v>278.8332798</v>
      </c>
      <c r="J11" s="10"/>
      <c r="K11" s="10"/>
      <c r="L11" s="10"/>
    </row>
    <row r="12">
      <c r="B12" s="15"/>
      <c r="C12" s="15" t="s">
        <v>31</v>
      </c>
      <c r="D12" s="20"/>
      <c r="E12" s="40"/>
      <c r="F12" s="41">
        <f>-10.15-637.02+2.69+3.74+3.74+3.74+3.91+24.73</f>
        <v>-604.62</v>
      </c>
      <c r="G12" s="11">
        <f t="shared" si="2"/>
        <v>-530.6266044</v>
      </c>
      <c r="H12" s="24">
        <f t="shared" si="3"/>
        <v>-11.14315869</v>
      </c>
      <c r="I12" s="25">
        <f t="shared" si="4"/>
        <v>-215.6266044</v>
      </c>
      <c r="J12" s="15"/>
      <c r="K12" s="15"/>
      <c r="L12" s="10"/>
    </row>
    <row r="13">
      <c r="B13" s="15"/>
      <c r="C13" s="15" t="s">
        <v>32</v>
      </c>
      <c r="D13" s="20"/>
      <c r="E13" s="40"/>
      <c r="F13" s="19"/>
      <c r="G13" s="11">
        <f t="shared" si="2"/>
        <v>0</v>
      </c>
      <c r="H13" s="24">
        <f t="shared" si="3"/>
        <v>0</v>
      </c>
      <c r="I13" s="25">
        <f t="shared" si="4"/>
        <v>315</v>
      </c>
      <c r="J13" s="15"/>
      <c r="K13" s="15"/>
      <c r="L13" s="10"/>
    </row>
    <row r="14">
      <c r="B14" s="15"/>
      <c r="C14" s="15" t="s">
        <v>33</v>
      </c>
      <c r="D14" s="20"/>
      <c r="E14" s="40"/>
      <c r="F14" s="41"/>
      <c r="G14" s="11">
        <f t="shared" si="2"/>
        <v>0</v>
      </c>
      <c r="H14" s="24">
        <f t="shared" si="3"/>
        <v>0</v>
      </c>
      <c r="I14" s="25">
        <f t="shared" si="4"/>
        <v>315</v>
      </c>
      <c r="J14" s="15"/>
      <c r="K14" s="15"/>
      <c r="L14" s="10"/>
    </row>
    <row r="15">
      <c r="B15" s="15"/>
      <c r="C15" s="15" t="s">
        <v>34</v>
      </c>
      <c r="D15" s="20"/>
      <c r="E15" s="40"/>
      <c r="F15" s="19"/>
      <c r="G15" s="11">
        <f t="shared" si="2"/>
        <v>0</v>
      </c>
      <c r="H15" s="24">
        <f t="shared" si="3"/>
        <v>0</v>
      </c>
      <c r="I15" s="25">
        <f t="shared" si="4"/>
        <v>315</v>
      </c>
      <c r="J15" s="15"/>
      <c r="K15" s="15"/>
      <c r="L15" s="10"/>
    </row>
    <row r="16">
      <c r="B16" s="15"/>
      <c r="C16" s="15" t="s">
        <v>36</v>
      </c>
      <c r="D16" s="20"/>
      <c r="E16" s="40"/>
      <c r="F16" s="41">
        <f>15.46+54.92-31.81</f>
        <v>38.57</v>
      </c>
      <c r="G16" s="11">
        <f t="shared" si="2"/>
        <v>33.8498034</v>
      </c>
      <c r="H16" s="24">
        <f t="shared" si="3"/>
        <v>0.7108458714</v>
      </c>
      <c r="I16" s="25">
        <f t="shared" si="4"/>
        <v>348.8498034</v>
      </c>
      <c r="J16" s="15"/>
      <c r="K16" s="15"/>
      <c r="L16" s="10"/>
    </row>
    <row r="17">
      <c r="B17" s="15"/>
      <c r="C17" s="15" t="s">
        <v>37</v>
      </c>
      <c r="D17" s="20"/>
      <c r="E17" s="40"/>
      <c r="F17" s="19">
        <f>-246.04-11.35</f>
        <v>-257.39</v>
      </c>
      <c r="G17" s="11">
        <f t="shared" si="2"/>
        <v>-225.8906118</v>
      </c>
      <c r="H17" s="24">
        <f t="shared" si="3"/>
        <v>-4.743702848</v>
      </c>
      <c r="I17" s="25">
        <f t="shared" si="4"/>
        <v>89.1093882</v>
      </c>
      <c r="J17" s="15"/>
      <c r="K17" s="63">
        <v>4200.0</v>
      </c>
      <c r="L17" s="15"/>
    </row>
    <row r="18">
      <c r="B18" s="15"/>
      <c r="C18" s="15" t="s">
        <v>38</v>
      </c>
      <c r="D18" s="20"/>
      <c r="E18" s="40"/>
      <c r="F18" s="41">
        <f>-90.15</f>
        <v>-90.15</v>
      </c>
      <c r="G18" s="11">
        <f t="shared" si="2"/>
        <v>-79.117443</v>
      </c>
      <c r="H18" s="24">
        <f t="shared" si="3"/>
        <v>-1.661466303</v>
      </c>
      <c r="I18" s="25">
        <f t="shared" si="4"/>
        <v>235.882557</v>
      </c>
      <c r="J18" s="15"/>
      <c r="K18" s="15"/>
      <c r="L18" s="10"/>
    </row>
    <row r="19">
      <c r="B19" s="15"/>
      <c r="C19" s="15" t="s">
        <v>39</v>
      </c>
      <c r="D19" s="20"/>
      <c r="E19" s="40"/>
      <c r="F19" s="19"/>
      <c r="G19" s="11">
        <f t="shared" si="2"/>
        <v>0</v>
      </c>
      <c r="H19" s="24">
        <f t="shared" si="3"/>
        <v>0</v>
      </c>
      <c r="I19" s="25">
        <f t="shared" si="4"/>
        <v>315</v>
      </c>
      <c r="J19" s="15"/>
      <c r="K19" s="63">
        <v>3292.0</v>
      </c>
      <c r="L19" s="15" t="s">
        <v>77</v>
      </c>
    </row>
    <row r="20">
      <c r="B20" s="15"/>
      <c r="C20" s="15" t="s">
        <v>40</v>
      </c>
      <c r="D20" s="20"/>
      <c r="E20" s="40"/>
      <c r="F20" s="41"/>
      <c r="G20" s="11">
        <f t="shared" si="2"/>
        <v>0</v>
      </c>
      <c r="H20" s="24">
        <f t="shared" si="3"/>
        <v>0</v>
      </c>
      <c r="I20" s="25">
        <f t="shared" si="4"/>
        <v>315</v>
      </c>
      <c r="J20" s="15"/>
      <c r="K20" s="15"/>
      <c r="L20" s="10"/>
    </row>
    <row r="21">
      <c r="B21" s="15"/>
      <c r="C21" s="15" t="s">
        <v>41</v>
      </c>
      <c r="D21" s="20"/>
      <c r="E21" s="40"/>
      <c r="F21" s="19"/>
      <c r="G21" s="11">
        <f t="shared" si="2"/>
        <v>0</v>
      </c>
      <c r="H21" s="24">
        <f t="shared" si="3"/>
        <v>0</v>
      </c>
      <c r="I21" s="25">
        <f t="shared" si="4"/>
        <v>315</v>
      </c>
      <c r="J21" s="15"/>
      <c r="K21" s="15"/>
      <c r="L21" s="10"/>
    </row>
    <row r="22">
      <c r="B22" s="15"/>
      <c r="C22" s="15" t="s">
        <v>42</v>
      </c>
      <c r="D22" s="20"/>
      <c r="E22" s="40"/>
      <c r="F22" s="41"/>
      <c r="G22" s="11">
        <f t="shared" si="2"/>
        <v>0</v>
      </c>
      <c r="H22" s="24">
        <f t="shared" si="3"/>
        <v>0</v>
      </c>
      <c r="I22" s="25">
        <f t="shared" si="4"/>
        <v>315</v>
      </c>
      <c r="J22" s="15"/>
      <c r="K22" s="15"/>
      <c r="L22" s="10"/>
    </row>
    <row r="23">
      <c r="C23" s="15" t="s">
        <v>44</v>
      </c>
      <c r="E23" s="17">
        <f>76.77</f>
        <v>76.77</v>
      </c>
      <c r="F23" s="46">
        <f>-20.91+8.25-126</f>
        <v>-138.66</v>
      </c>
      <c r="G23" s="11">
        <f t="shared" si="2"/>
        <v>-44.9207892</v>
      </c>
      <c r="H23" s="24">
        <f t="shared" si="3"/>
        <v>-0.9433365732</v>
      </c>
      <c r="I23" s="25">
        <f t="shared" si="4"/>
        <v>270.0792108</v>
      </c>
      <c r="J23" s="45"/>
      <c r="K23" s="45"/>
      <c r="L23" s="45"/>
      <c r="M23" s="45"/>
      <c r="N23" s="45"/>
      <c r="O23" s="45"/>
      <c r="P23" s="45"/>
      <c r="Q23" s="45"/>
    </row>
    <row r="24">
      <c r="C24" s="15" t="s">
        <v>45</v>
      </c>
      <c r="E24" s="40"/>
      <c r="F24" s="46">
        <f>-617.57-7.21</f>
        <v>-624.78</v>
      </c>
      <c r="G24" s="11">
        <f t="shared" si="2"/>
        <v>-548.3194236</v>
      </c>
      <c r="H24" s="24">
        <f t="shared" si="3"/>
        <v>-11.5147079</v>
      </c>
      <c r="I24" s="25">
        <f t="shared" si="4"/>
        <v>-233.3194236</v>
      </c>
      <c r="J24" s="45"/>
      <c r="K24" s="45"/>
      <c r="L24" s="45"/>
      <c r="M24" s="45"/>
      <c r="N24" s="45"/>
      <c r="O24" s="45"/>
      <c r="P24" s="45"/>
      <c r="Q24" s="45"/>
    </row>
    <row r="25">
      <c r="C25" s="15" t="s">
        <v>46</v>
      </c>
      <c r="E25" s="40"/>
      <c r="F25" s="46"/>
      <c r="G25" s="11">
        <f t="shared" si="2"/>
        <v>0</v>
      </c>
      <c r="H25" s="24">
        <f t="shared" si="3"/>
        <v>0</v>
      </c>
      <c r="I25" s="25">
        <f t="shared" si="4"/>
        <v>315</v>
      </c>
      <c r="J25" s="45"/>
      <c r="K25" s="45"/>
      <c r="L25" s="45"/>
      <c r="M25" s="45"/>
      <c r="N25" s="45"/>
      <c r="O25" s="45"/>
      <c r="P25" s="45"/>
      <c r="Q25" s="45"/>
    </row>
    <row r="26">
      <c r="C26" s="15" t="s">
        <v>47</v>
      </c>
      <c r="E26" s="40"/>
      <c r="F26" s="46">
        <f>155.7+16.33</f>
        <v>172.03</v>
      </c>
      <c r="G26" s="11">
        <f t="shared" si="2"/>
        <v>150.9769686</v>
      </c>
      <c r="H26" s="24">
        <f t="shared" si="3"/>
        <v>3.170516341</v>
      </c>
      <c r="I26" s="25">
        <f t="shared" si="4"/>
        <v>465.9769686</v>
      </c>
      <c r="J26" s="45"/>
      <c r="K26" s="45"/>
      <c r="M26" s="45"/>
      <c r="N26" s="45"/>
      <c r="O26" s="45"/>
      <c r="P26" s="45"/>
      <c r="Q26" s="45"/>
    </row>
    <row r="27">
      <c r="C27" s="15" t="s">
        <v>48</v>
      </c>
      <c r="E27" s="40"/>
      <c r="F27" s="44">
        <f>-163.12</f>
        <v>-163.12</v>
      </c>
      <c r="G27" s="11">
        <f t="shared" si="2"/>
        <v>-143.1573744</v>
      </c>
      <c r="H27" s="24">
        <f t="shared" si="3"/>
        <v>-3.006304862</v>
      </c>
      <c r="I27" s="25">
        <f t="shared" si="4"/>
        <v>171.8426256</v>
      </c>
      <c r="J27" s="45"/>
      <c r="K27" s="45"/>
      <c r="L27" s="45"/>
      <c r="M27" s="45"/>
      <c r="N27" s="45"/>
      <c r="O27" s="45"/>
      <c r="P27" s="45"/>
      <c r="Q27" s="45"/>
    </row>
    <row r="28">
      <c r="C28" s="15" t="s">
        <v>49</v>
      </c>
      <c r="E28" s="17"/>
      <c r="F28" s="44"/>
      <c r="G28" s="11">
        <f t="shared" si="2"/>
        <v>0</v>
      </c>
      <c r="H28" s="24">
        <f t="shared" si="3"/>
        <v>0</v>
      </c>
      <c r="I28" s="25">
        <f t="shared" si="4"/>
        <v>315</v>
      </c>
      <c r="J28" s="45"/>
      <c r="K28" s="45"/>
      <c r="L28" s="45"/>
      <c r="M28" s="45"/>
      <c r="N28" s="45"/>
      <c r="O28" s="45"/>
      <c r="P28" s="45"/>
      <c r="Q28" s="45"/>
    </row>
    <row r="29">
      <c r="C29" s="15" t="s">
        <v>51</v>
      </c>
      <c r="E29" s="17"/>
      <c r="F29" s="46"/>
      <c r="G29" s="11">
        <f t="shared" si="2"/>
        <v>0</v>
      </c>
      <c r="H29" s="24">
        <f t="shared" si="3"/>
        <v>0</v>
      </c>
      <c r="I29" s="25">
        <f t="shared" si="4"/>
        <v>315</v>
      </c>
      <c r="J29" s="45"/>
      <c r="K29" s="45"/>
      <c r="L29" s="45"/>
      <c r="M29" s="45"/>
      <c r="N29" s="45"/>
      <c r="O29" s="45"/>
      <c r="P29" s="45"/>
      <c r="Q29" s="45"/>
    </row>
    <row r="30">
      <c r="C30" s="15" t="s">
        <v>52</v>
      </c>
      <c r="E30" s="40"/>
      <c r="F30" s="46"/>
      <c r="G30" s="11">
        <f t="shared" si="2"/>
        <v>0</v>
      </c>
      <c r="H30" s="24">
        <f t="shared" si="3"/>
        <v>0</v>
      </c>
      <c r="I30" s="25">
        <f t="shared" si="4"/>
        <v>315</v>
      </c>
      <c r="J30" s="45"/>
      <c r="K30" s="45"/>
      <c r="L30" s="45"/>
      <c r="M30" s="45"/>
      <c r="N30" s="45"/>
      <c r="O30" s="45"/>
      <c r="P30" s="45"/>
      <c r="Q30" s="45"/>
    </row>
    <row r="31">
      <c r="C31" s="15" t="s">
        <v>53</v>
      </c>
      <c r="E31" s="40"/>
      <c r="F31" s="46">
        <f>27.13+179.31</f>
        <v>206.44</v>
      </c>
      <c r="G31" s="11">
        <f t="shared" si="2"/>
        <v>181.1758728</v>
      </c>
      <c r="H31" s="24">
        <f t="shared" si="3"/>
        <v>3.804693329</v>
      </c>
      <c r="I31" s="25">
        <f t="shared" si="4"/>
        <v>496.1758728</v>
      </c>
      <c r="J31" s="45"/>
      <c r="K31" s="45"/>
      <c r="L31" s="45"/>
      <c r="M31" s="45"/>
      <c r="N31" s="45"/>
      <c r="O31" s="45"/>
      <c r="P31" s="45"/>
      <c r="Q31" s="45"/>
    </row>
    <row r="32">
      <c r="C32" s="15" t="s">
        <v>54</v>
      </c>
      <c r="E32" s="40"/>
      <c r="F32" s="46"/>
      <c r="G32" s="11">
        <f t="shared" si="2"/>
        <v>0</v>
      </c>
      <c r="H32" s="24">
        <f t="shared" si="3"/>
        <v>0</v>
      </c>
      <c r="I32" s="25">
        <f t="shared" si="4"/>
        <v>315</v>
      </c>
      <c r="J32" s="45"/>
      <c r="K32" s="45"/>
      <c r="L32" s="45"/>
      <c r="M32" s="45"/>
      <c r="N32" s="45"/>
      <c r="O32" s="45"/>
      <c r="P32" s="45"/>
      <c r="Q32" s="45"/>
    </row>
    <row r="33">
      <c r="C33" s="15" t="s">
        <v>55</v>
      </c>
      <c r="E33" s="40"/>
      <c r="F33" s="46">
        <f>-98.78-0.05</f>
        <v>-98.83</v>
      </c>
      <c r="G33" s="11">
        <f t="shared" si="2"/>
        <v>-86.7351846</v>
      </c>
      <c r="H33" s="24">
        <f t="shared" si="3"/>
        <v>-1.821438877</v>
      </c>
      <c r="I33" s="25">
        <f t="shared" si="4"/>
        <v>228.2648154</v>
      </c>
    </row>
    <row r="34">
      <c r="C34" s="15" t="s">
        <v>56</v>
      </c>
      <c r="E34" s="40"/>
      <c r="F34" s="46"/>
      <c r="G34" s="11">
        <f t="shared" si="2"/>
        <v>0</v>
      </c>
      <c r="H34" s="24">
        <f t="shared" si="3"/>
        <v>0</v>
      </c>
      <c r="I34" s="25">
        <f t="shared" si="4"/>
        <v>315</v>
      </c>
    </row>
    <row r="35">
      <c r="C35" s="15" t="s">
        <v>57</v>
      </c>
      <c r="E35" s="40"/>
      <c r="F35" s="46"/>
      <c r="G35" s="11">
        <f t="shared" si="2"/>
        <v>0</v>
      </c>
      <c r="H35" s="24">
        <f t="shared" si="3"/>
        <v>0</v>
      </c>
      <c r="I35" s="25">
        <f t="shared" si="4"/>
        <v>315</v>
      </c>
    </row>
    <row r="36">
      <c r="C36" s="15" t="s">
        <v>58</v>
      </c>
      <c r="E36" s="40"/>
      <c r="F36" s="46"/>
      <c r="G36" s="11">
        <f t="shared" si="2"/>
        <v>0</v>
      </c>
      <c r="H36" s="24">
        <f t="shared" si="3"/>
        <v>0</v>
      </c>
      <c r="I36" s="25">
        <f t="shared" si="4"/>
        <v>315</v>
      </c>
    </row>
    <row r="37">
      <c r="C37" s="15" t="s">
        <v>59</v>
      </c>
      <c r="E37" s="17"/>
      <c r="F37" s="44">
        <f>-47.36</f>
        <v>-47.36</v>
      </c>
      <c r="G37" s="11">
        <f t="shared" si="2"/>
        <v>-41.5640832</v>
      </c>
      <c r="H37" s="24">
        <f t="shared" si="3"/>
        <v>-0.8728457472</v>
      </c>
      <c r="I37" s="25">
        <f t="shared" si="4"/>
        <v>273.4359168</v>
      </c>
    </row>
    <row r="38">
      <c r="E38" s="1"/>
    </row>
    <row r="39">
      <c r="E39" s="1"/>
    </row>
    <row r="40">
      <c r="E40" s="1"/>
    </row>
    <row r="41">
      <c r="B41" s="48"/>
      <c r="C41" s="49"/>
      <c r="E41" s="1"/>
    </row>
    <row r="42">
      <c r="E42" s="1"/>
    </row>
    <row r="43">
      <c r="E43" s="1"/>
    </row>
    <row r="44">
      <c r="E44" s="1"/>
    </row>
    <row r="45">
      <c r="E45" s="1"/>
    </row>
    <row r="46">
      <c r="E46" s="1"/>
    </row>
    <row r="47">
      <c r="E47" s="1"/>
    </row>
    <row r="48">
      <c r="E48" s="1"/>
    </row>
    <row r="49">
      <c r="E49" s="1"/>
    </row>
    <row r="50">
      <c r="E50" s="1"/>
    </row>
    <row r="51">
      <c r="E51" s="1"/>
    </row>
    <row r="52">
      <c r="E52" s="1"/>
    </row>
    <row r="53">
      <c r="E53" s="1"/>
    </row>
    <row r="54">
      <c r="E54" s="1"/>
    </row>
    <row r="55">
      <c r="E55" s="1"/>
    </row>
    <row r="56">
      <c r="E56" s="1"/>
    </row>
    <row r="57">
      <c r="E57" s="1"/>
    </row>
    <row r="58">
      <c r="E58" s="1"/>
    </row>
    <row r="59">
      <c r="E59" s="1"/>
    </row>
    <row r="60">
      <c r="E60" s="1"/>
    </row>
    <row r="61">
      <c r="E61" s="1"/>
    </row>
    <row r="62">
      <c r="E62" s="1"/>
    </row>
    <row r="63">
      <c r="E63" s="1"/>
    </row>
    <row r="64">
      <c r="E64" s="1"/>
    </row>
    <row r="65">
      <c r="E65" s="1"/>
    </row>
    <row r="66">
      <c r="E66" s="1"/>
    </row>
    <row r="67">
      <c r="E67" s="1"/>
    </row>
    <row r="68">
      <c r="E68" s="1"/>
    </row>
    <row r="69">
      <c r="E69" s="1"/>
    </row>
    <row r="70">
      <c r="E70" s="1"/>
    </row>
    <row r="71">
      <c r="E71" s="1"/>
    </row>
    <row r="72">
      <c r="E72" s="1"/>
    </row>
    <row r="73">
      <c r="E73" s="1"/>
    </row>
    <row r="74">
      <c r="E74" s="1"/>
    </row>
    <row r="75">
      <c r="E75" s="1"/>
    </row>
    <row r="76">
      <c r="E76" s="1"/>
    </row>
    <row r="77">
      <c r="E77" s="1"/>
    </row>
    <row r="78">
      <c r="E78" s="1"/>
    </row>
    <row r="79">
      <c r="E79" s="1"/>
    </row>
    <row r="80">
      <c r="E80" s="1"/>
    </row>
    <row r="81">
      <c r="E81" s="1"/>
    </row>
    <row r="82">
      <c r="E82" s="1"/>
    </row>
    <row r="83">
      <c r="E83" s="1"/>
    </row>
    <row r="84">
      <c r="E84" s="1"/>
    </row>
    <row r="85">
      <c r="E85" s="1"/>
    </row>
    <row r="86">
      <c r="E86" s="1"/>
    </row>
    <row r="87">
      <c r="E87" s="1"/>
    </row>
    <row r="88">
      <c r="E88" s="1"/>
    </row>
    <row r="89">
      <c r="E89" s="1"/>
    </row>
    <row r="90">
      <c r="E90" s="1"/>
    </row>
    <row r="91">
      <c r="E91" s="1"/>
    </row>
    <row r="92">
      <c r="E92" s="1"/>
    </row>
    <row r="93">
      <c r="E93" s="1"/>
    </row>
    <row r="94">
      <c r="E94" s="1"/>
    </row>
    <row r="95">
      <c r="E95" s="1"/>
    </row>
    <row r="96">
      <c r="E96" s="1"/>
    </row>
    <row r="97">
      <c r="E97" s="1"/>
    </row>
    <row r="98">
      <c r="E98" s="1"/>
    </row>
    <row r="99">
      <c r="E99" s="1"/>
    </row>
    <row r="100">
      <c r="E100" s="1"/>
    </row>
    <row r="101">
      <c r="E101" s="1"/>
    </row>
    <row r="102">
      <c r="E102" s="1"/>
    </row>
    <row r="103">
      <c r="E103" s="1"/>
    </row>
    <row r="104">
      <c r="E104" s="1"/>
    </row>
    <row r="105">
      <c r="E105" s="1"/>
    </row>
    <row r="106">
      <c r="E106" s="1"/>
    </row>
    <row r="107">
      <c r="E107" s="1"/>
    </row>
    <row r="108">
      <c r="E108" s="1"/>
    </row>
    <row r="109">
      <c r="E109" s="1"/>
    </row>
    <row r="110">
      <c r="E110" s="1"/>
    </row>
    <row r="111">
      <c r="E111" s="1"/>
    </row>
    <row r="112">
      <c r="E112" s="1"/>
    </row>
    <row r="113">
      <c r="E113" s="1"/>
    </row>
    <row r="114">
      <c r="E114" s="1"/>
    </row>
    <row r="115">
      <c r="E115" s="1"/>
    </row>
    <row r="116">
      <c r="E116" s="1"/>
    </row>
    <row r="117">
      <c r="E117" s="1"/>
    </row>
    <row r="118">
      <c r="E118" s="1"/>
    </row>
    <row r="119">
      <c r="E119" s="1"/>
    </row>
    <row r="120">
      <c r="E120" s="1"/>
    </row>
    <row r="121">
      <c r="E121" s="1"/>
    </row>
    <row r="122">
      <c r="E122" s="1"/>
    </row>
    <row r="123">
      <c r="E123" s="1"/>
    </row>
    <row r="124">
      <c r="E124" s="1"/>
    </row>
    <row r="125">
      <c r="E125" s="1"/>
    </row>
    <row r="126">
      <c r="E126" s="1"/>
    </row>
    <row r="127">
      <c r="E127" s="1"/>
    </row>
    <row r="128">
      <c r="E128" s="1"/>
    </row>
    <row r="129">
      <c r="E129" s="1"/>
    </row>
    <row r="130">
      <c r="E130" s="1"/>
    </row>
    <row r="131">
      <c r="E131" s="1"/>
    </row>
    <row r="132">
      <c r="E132" s="1"/>
    </row>
    <row r="133">
      <c r="E133" s="1"/>
    </row>
    <row r="134">
      <c r="E134" s="1"/>
    </row>
    <row r="135">
      <c r="E135" s="1"/>
    </row>
    <row r="136">
      <c r="E136" s="1"/>
    </row>
    <row r="137">
      <c r="E137" s="1"/>
    </row>
    <row r="138">
      <c r="E138" s="1"/>
    </row>
    <row r="139">
      <c r="E139" s="1"/>
    </row>
    <row r="140">
      <c r="E140" s="1"/>
    </row>
    <row r="141">
      <c r="E141" s="1"/>
    </row>
    <row r="142">
      <c r="E142" s="1"/>
    </row>
    <row r="143">
      <c r="E143" s="1"/>
    </row>
    <row r="144">
      <c r="E144" s="1"/>
    </row>
    <row r="145">
      <c r="E145" s="1"/>
    </row>
    <row r="146">
      <c r="E146" s="1"/>
    </row>
    <row r="147">
      <c r="E147" s="1"/>
    </row>
    <row r="148">
      <c r="E148" s="1"/>
    </row>
    <row r="149">
      <c r="E149" s="1"/>
    </row>
    <row r="150">
      <c r="E150" s="1"/>
    </row>
    <row r="151">
      <c r="E151" s="1"/>
    </row>
    <row r="152">
      <c r="E152" s="1"/>
    </row>
    <row r="153">
      <c r="E153" s="1"/>
    </row>
    <row r="154">
      <c r="E154" s="1"/>
    </row>
    <row r="155">
      <c r="E155" s="1"/>
    </row>
    <row r="156">
      <c r="E156" s="1"/>
    </row>
    <row r="157">
      <c r="E157" s="1"/>
    </row>
    <row r="158">
      <c r="E158" s="1"/>
    </row>
    <row r="159">
      <c r="E159" s="1"/>
    </row>
    <row r="160">
      <c r="E160" s="1"/>
    </row>
    <row r="161">
      <c r="E161" s="1"/>
    </row>
    <row r="162">
      <c r="E162" s="1"/>
    </row>
    <row r="163">
      <c r="E163" s="1"/>
    </row>
    <row r="164">
      <c r="E164" s="1"/>
    </row>
    <row r="165">
      <c r="E165" s="1"/>
    </row>
    <row r="166">
      <c r="E166" s="1"/>
    </row>
    <row r="167">
      <c r="E167" s="1"/>
    </row>
    <row r="168">
      <c r="E168" s="1"/>
    </row>
    <row r="169">
      <c r="E169" s="1"/>
    </row>
    <row r="170">
      <c r="E170" s="1"/>
    </row>
    <row r="171">
      <c r="E171" s="1"/>
    </row>
    <row r="172">
      <c r="E172" s="1"/>
    </row>
    <row r="173">
      <c r="E173" s="1"/>
    </row>
    <row r="174">
      <c r="E174" s="1"/>
    </row>
    <row r="175">
      <c r="E175" s="1"/>
    </row>
    <row r="176">
      <c r="E176" s="1"/>
    </row>
    <row r="177">
      <c r="E177" s="1"/>
    </row>
    <row r="178">
      <c r="E178" s="1"/>
    </row>
    <row r="179">
      <c r="E179" s="1"/>
    </row>
    <row r="180">
      <c r="E180" s="1"/>
    </row>
    <row r="181">
      <c r="E181" s="1"/>
    </row>
    <row r="182">
      <c r="E182" s="1"/>
    </row>
    <row r="183">
      <c r="E183" s="1"/>
    </row>
    <row r="184">
      <c r="E184" s="1"/>
    </row>
    <row r="185">
      <c r="E185" s="1"/>
    </row>
    <row r="186">
      <c r="E186" s="1"/>
    </row>
    <row r="187">
      <c r="E187" s="1"/>
    </row>
    <row r="188">
      <c r="E188" s="1"/>
    </row>
    <row r="189">
      <c r="E189" s="1"/>
    </row>
    <row r="190">
      <c r="E190" s="1"/>
    </row>
    <row r="191">
      <c r="E191" s="1"/>
    </row>
    <row r="192">
      <c r="E192" s="1"/>
    </row>
    <row r="193">
      <c r="E193" s="1"/>
    </row>
    <row r="194">
      <c r="E194" s="1"/>
    </row>
    <row r="195">
      <c r="E195" s="1"/>
    </row>
    <row r="196">
      <c r="E196" s="1"/>
    </row>
    <row r="197">
      <c r="E197" s="1"/>
    </row>
    <row r="198">
      <c r="E198" s="1"/>
    </row>
    <row r="199">
      <c r="E199" s="1"/>
    </row>
    <row r="200">
      <c r="E200" s="1"/>
    </row>
    <row r="201">
      <c r="E201" s="1"/>
    </row>
    <row r="202">
      <c r="E202" s="1"/>
    </row>
    <row r="203">
      <c r="E203" s="1"/>
    </row>
    <row r="204">
      <c r="E204" s="1"/>
    </row>
    <row r="205">
      <c r="E205" s="1"/>
    </row>
    <row r="206">
      <c r="E206" s="1"/>
    </row>
    <row r="207">
      <c r="E207" s="1"/>
    </row>
    <row r="208">
      <c r="E208" s="1"/>
    </row>
    <row r="209">
      <c r="E209" s="1"/>
    </row>
    <row r="210">
      <c r="E210" s="1"/>
    </row>
    <row r="211">
      <c r="E211" s="1"/>
    </row>
    <row r="212">
      <c r="E212" s="1"/>
    </row>
    <row r="213">
      <c r="E213" s="1"/>
    </row>
    <row r="214">
      <c r="E214" s="1"/>
    </row>
    <row r="215">
      <c r="E215" s="1"/>
    </row>
    <row r="216">
      <c r="E216" s="1"/>
    </row>
    <row r="217">
      <c r="E217" s="1"/>
    </row>
    <row r="218">
      <c r="E218" s="1"/>
    </row>
    <row r="219">
      <c r="E219" s="1"/>
    </row>
    <row r="220">
      <c r="E220" s="1"/>
    </row>
    <row r="221">
      <c r="E221" s="1"/>
    </row>
    <row r="222">
      <c r="E222" s="1"/>
    </row>
    <row r="223">
      <c r="E223" s="1"/>
    </row>
    <row r="224">
      <c r="E224" s="1"/>
    </row>
    <row r="225">
      <c r="E225" s="1"/>
    </row>
    <row r="226">
      <c r="E226" s="1"/>
    </row>
    <row r="227">
      <c r="E227" s="1"/>
    </row>
    <row r="228">
      <c r="E228" s="1"/>
    </row>
    <row r="229">
      <c r="E229" s="1"/>
    </row>
    <row r="230">
      <c r="E230" s="1"/>
    </row>
    <row r="231">
      <c r="E231" s="1"/>
    </row>
    <row r="232">
      <c r="E232" s="1"/>
    </row>
    <row r="233">
      <c r="E233" s="1"/>
    </row>
    <row r="234">
      <c r="E234" s="1"/>
    </row>
    <row r="235">
      <c r="E235" s="1"/>
    </row>
    <row r="236">
      <c r="E236" s="1"/>
    </row>
    <row r="237">
      <c r="E237" s="1"/>
    </row>
    <row r="238">
      <c r="E238" s="1"/>
    </row>
    <row r="239">
      <c r="E239" s="1"/>
    </row>
    <row r="240">
      <c r="E240" s="1"/>
    </row>
    <row r="241">
      <c r="E241" s="1"/>
    </row>
    <row r="242">
      <c r="E242" s="1"/>
    </row>
    <row r="243">
      <c r="E243" s="1"/>
    </row>
    <row r="244">
      <c r="E244" s="1"/>
    </row>
    <row r="245">
      <c r="E245" s="1"/>
    </row>
    <row r="246">
      <c r="E246" s="1"/>
    </row>
    <row r="247">
      <c r="E247" s="1"/>
    </row>
    <row r="248">
      <c r="E248" s="1"/>
    </row>
    <row r="249">
      <c r="E249" s="1"/>
    </row>
    <row r="250">
      <c r="E250" s="1"/>
    </row>
    <row r="251">
      <c r="E251" s="1"/>
    </row>
    <row r="252">
      <c r="E252" s="1"/>
    </row>
    <row r="253">
      <c r="E253" s="1"/>
    </row>
    <row r="254">
      <c r="E254" s="1"/>
    </row>
    <row r="255">
      <c r="E255" s="1"/>
    </row>
    <row r="256">
      <c r="E256" s="1"/>
    </row>
    <row r="257">
      <c r="E257" s="1"/>
    </row>
    <row r="258">
      <c r="E258" s="1"/>
    </row>
    <row r="259">
      <c r="E259" s="1"/>
    </row>
    <row r="260">
      <c r="E260" s="1"/>
    </row>
    <row r="261">
      <c r="E261" s="1"/>
    </row>
    <row r="262">
      <c r="E262" s="1"/>
    </row>
    <row r="263">
      <c r="E263" s="1"/>
    </row>
    <row r="264">
      <c r="E264" s="1"/>
    </row>
    <row r="265">
      <c r="E265" s="1"/>
    </row>
    <row r="266">
      <c r="E266" s="1"/>
    </row>
    <row r="267">
      <c r="E267" s="1"/>
    </row>
    <row r="268">
      <c r="E268" s="1"/>
    </row>
    <row r="269">
      <c r="E269" s="1"/>
    </row>
    <row r="270">
      <c r="E270" s="1"/>
    </row>
    <row r="271">
      <c r="E271" s="1"/>
    </row>
    <row r="272">
      <c r="E272" s="1"/>
    </row>
    <row r="273">
      <c r="E273" s="1"/>
    </row>
    <row r="274">
      <c r="E274" s="1"/>
    </row>
    <row r="275">
      <c r="E275" s="1"/>
    </row>
    <row r="276">
      <c r="E276" s="1"/>
    </row>
    <row r="277">
      <c r="E277" s="1"/>
    </row>
    <row r="278">
      <c r="E278" s="1"/>
    </row>
    <row r="279">
      <c r="E279" s="1"/>
    </row>
    <row r="280">
      <c r="E280" s="1"/>
    </row>
    <row r="281">
      <c r="E281" s="1"/>
    </row>
    <row r="282">
      <c r="E282" s="1"/>
    </row>
    <row r="283">
      <c r="E283" s="1"/>
    </row>
    <row r="284">
      <c r="E284" s="1"/>
    </row>
    <row r="285">
      <c r="E285" s="1"/>
    </row>
    <row r="286">
      <c r="E286" s="1"/>
    </row>
    <row r="287">
      <c r="E287" s="1"/>
    </row>
    <row r="288">
      <c r="E288" s="1"/>
    </row>
    <row r="289">
      <c r="E289" s="1"/>
    </row>
    <row r="290">
      <c r="E290" s="1"/>
    </row>
    <row r="291">
      <c r="E291" s="1"/>
    </row>
    <row r="292">
      <c r="E292" s="1"/>
    </row>
    <row r="293">
      <c r="E293" s="1"/>
    </row>
    <row r="294">
      <c r="E294" s="1"/>
    </row>
    <row r="295">
      <c r="E295" s="1"/>
    </row>
    <row r="296">
      <c r="E296" s="1"/>
    </row>
    <row r="297">
      <c r="E297" s="1"/>
    </row>
    <row r="298">
      <c r="E298" s="1"/>
    </row>
    <row r="299">
      <c r="E299" s="1"/>
    </row>
    <row r="300">
      <c r="E300" s="1"/>
    </row>
    <row r="301">
      <c r="E301" s="1"/>
    </row>
    <row r="302">
      <c r="E302" s="1"/>
    </row>
    <row r="303">
      <c r="E303" s="1"/>
    </row>
    <row r="304">
      <c r="E304" s="1"/>
    </row>
    <row r="305">
      <c r="E305" s="1"/>
    </row>
    <row r="306">
      <c r="E306" s="1"/>
    </row>
    <row r="307">
      <c r="E307" s="1"/>
    </row>
    <row r="308">
      <c r="E308" s="1"/>
    </row>
    <row r="309">
      <c r="E309" s="1"/>
    </row>
    <row r="310">
      <c r="E310" s="1"/>
    </row>
    <row r="311">
      <c r="E311" s="1"/>
    </row>
    <row r="312">
      <c r="E312" s="1"/>
    </row>
    <row r="313">
      <c r="E313" s="1"/>
    </row>
    <row r="314">
      <c r="E314" s="1"/>
    </row>
    <row r="315">
      <c r="E315" s="1"/>
    </row>
    <row r="316">
      <c r="E316" s="1"/>
    </row>
    <row r="317">
      <c r="E317" s="1"/>
    </row>
    <row r="318">
      <c r="E318" s="1"/>
    </row>
    <row r="319">
      <c r="E319" s="1"/>
    </row>
    <row r="320">
      <c r="E320" s="1"/>
    </row>
    <row r="321">
      <c r="E321" s="1"/>
    </row>
    <row r="322">
      <c r="E322" s="1"/>
    </row>
    <row r="323">
      <c r="E323" s="1"/>
    </row>
    <row r="324">
      <c r="E324" s="1"/>
    </row>
    <row r="325">
      <c r="E325" s="1"/>
    </row>
    <row r="326">
      <c r="E326" s="1"/>
    </row>
    <row r="327">
      <c r="E327" s="1"/>
    </row>
    <row r="328">
      <c r="E328" s="1"/>
    </row>
    <row r="329">
      <c r="E329" s="1"/>
    </row>
    <row r="330">
      <c r="E330" s="1"/>
    </row>
    <row r="331">
      <c r="E331" s="1"/>
    </row>
    <row r="332">
      <c r="E332" s="1"/>
    </row>
    <row r="333">
      <c r="E333" s="1"/>
    </row>
    <row r="334">
      <c r="E334" s="1"/>
    </row>
    <row r="335">
      <c r="E335" s="1"/>
    </row>
    <row r="336">
      <c r="E336" s="1"/>
    </row>
    <row r="337">
      <c r="E337" s="1"/>
    </row>
    <row r="338">
      <c r="E338" s="1"/>
    </row>
    <row r="339">
      <c r="E339" s="1"/>
    </row>
    <row r="340">
      <c r="E340" s="1"/>
    </row>
    <row r="341">
      <c r="E341" s="1"/>
    </row>
    <row r="342">
      <c r="E342" s="1"/>
    </row>
    <row r="343">
      <c r="E343" s="1"/>
    </row>
    <row r="344">
      <c r="E344" s="1"/>
    </row>
    <row r="345">
      <c r="E345" s="1"/>
    </row>
    <row r="346">
      <c r="E346" s="1"/>
    </row>
    <row r="347">
      <c r="E347" s="1"/>
    </row>
    <row r="348">
      <c r="E348" s="1"/>
    </row>
    <row r="349">
      <c r="E349" s="1"/>
    </row>
    <row r="350">
      <c r="E350" s="1"/>
    </row>
    <row r="351">
      <c r="E351" s="1"/>
    </row>
    <row r="352">
      <c r="E352" s="1"/>
    </row>
    <row r="353">
      <c r="E353" s="1"/>
    </row>
    <row r="354">
      <c r="E354" s="1"/>
    </row>
    <row r="355">
      <c r="E355" s="1"/>
    </row>
    <row r="356">
      <c r="E356" s="1"/>
    </row>
    <row r="357">
      <c r="E357" s="1"/>
    </row>
    <row r="358">
      <c r="E358" s="1"/>
    </row>
    <row r="359">
      <c r="E359" s="1"/>
    </row>
    <row r="360">
      <c r="E360" s="1"/>
    </row>
    <row r="361">
      <c r="E361" s="1"/>
    </row>
    <row r="362">
      <c r="E362" s="1"/>
    </row>
    <row r="363">
      <c r="E363" s="1"/>
    </row>
    <row r="364">
      <c r="E364" s="1"/>
    </row>
    <row r="365">
      <c r="E365" s="1"/>
    </row>
    <row r="366">
      <c r="E366" s="1"/>
    </row>
    <row r="367">
      <c r="E367" s="1"/>
    </row>
    <row r="368">
      <c r="E368" s="1"/>
    </row>
    <row r="369">
      <c r="E369" s="1"/>
    </row>
    <row r="370">
      <c r="E370" s="1"/>
    </row>
    <row r="371">
      <c r="E371" s="1"/>
    </row>
    <row r="372">
      <c r="E372" s="1"/>
    </row>
    <row r="373">
      <c r="E373" s="1"/>
    </row>
    <row r="374">
      <c r="E374" s="1"/>
    </row>
    <row r="375">
      <c r="E375" s="1"/>
    </row>
    <row r="376">
      <c r="E376" s="1"/>
    </row>
    <row r="377">
      <c r="E377" s="1"/>
    </row>
    <row r="378">
      <c r="E378" s="1"/>
    </row>
    <row r="379">
      <c r="E379" s="1"/>
    </row>
    <row r="380">
      <c r="E380" s="1"/>
    </row>
    <row r="381">
      <c r="E381" s="1"/>
    </row>
    <row r="382">
      <c r="E382" s="1"/>
    </row>
    <row r="383">
      <c r="E383" s="1"/>
    </row>
    <row r="384">
      <c r="E384" s="1"/>
    </row>
    <row r="385">
      <c r="E385" s="1"/>
    </row>
    <row r="386">
      <c r="E386" s="1"/>
    </row>
    <row r="387">
      <c r="E387" s="1"/>
    </row>
    <row r="388">
      <c r="E388" s="1"/>
    </row>
    <row r="389">
      <c r="E389" s="1"/>
    </row>
    <row r="390">
      <c r="E390" s="1"/>
    </row>
    <row r="391">
      <c r="E391" s="1"/>
    </row>
    <row r="392">
      <c r="E392" s="1"/>
    </row>
    <row r="393">
      <c r="E393" s="1"/>
    </row>
    <row r="394">
      <c r="E394" s="1"/>
    </row>
    <row r="395">
      <c r="E395" s="1"/>
    </row>
    <row r="396">
      <c r="E396" s="1"/>
    </row>
    <row r="397">
      <c r="E397" s="1"/>
    </row>
    <row r="398">
      <c r="E398" s="1"/>
    </row>
    <row r="399">
      <c r="E399" s="1"/>
    </row>
    <row r="400">
      <c r="E400" s="1"/>
    </row>
    <row r="401">
      <c r="E401" s="1"/>
    </row>
    <row r="402">
      <c r="E402" s="1"/>
    </row>
    <row r="403">
      <c r="E403" s="1"/>
    </row>
    <row r="404">
      <c r="E404" s="1"/>
    </row>
    <row r="405">
      <c r="E405" s="1"/>
    </row>
    <row r="406">
      <c r="E406" s="1"/>
    </row>
    <row r="407">
      <c r="E407" s="1"/>
    </row>
    <row r="408">
      <c r="E408" s="1"/>
    </row>
    <row r="409">
      <c r="E409" s="1"/>
    </row>
    <row r="410">
      <c r="E410" s="1"/>
    </row>
    <row r="411">
      <c r="E411" s="1"/>
    </row>
    <row r="412">
      <c r="E412" s="1"/>
    </row>
    <row r="413">
      <c r="E413" s="1"/>
    </row>
    <row r="414">
      <c r="E414" s="1"/>
    </row>
    <row r="415">
      <c r="E415" s="1"/>
    </row>
    <row r="416">
      <c r="E416" s="1"/>
    </row>
    <row r="417">
      <c r="E417" s="1"/>
    </row>
    <row r="418">
      <c r="E418" s="1"/>
    </row>
    <row r="419">
      <c r="E419" s="1"/>
    </row>
    <row r="420">
      <c r="E420" s="1"/>
    </row>
    <row r="421">
      <c r="E421" s="1"/>
    </row>
    <row r="422">
      <c r="E422" s="1"/>
    </row>
    <row r="423">
      <c r="E423" s="1"/>
    </row>
    <row r="424">
      <c r="E424" s="1"/>
    </row>
    <row r="425">
      <c r="E425" s="1"/>
    </row>
    <row r="426">
      <c r="E426" s="1"/>
    </row>
    <row r="427">
      <c r="E427" s="1"/>
    </row>
    <row r="428">
      <c r="E428" s="1"/>
    </row>
    <row r="429">
      <c r="E429" s="1"/>
    </row>
    <row r="430">
      <c r="E430" s="1"/>
    </row>
    <row r="431">
      <c r="E431" s="1"/>
    </row>
    <row r="432">
      <c r="E432" s="1"/>
    </row>
    <row r="433">
      <c r="E433" s="1"/>
    </row>
    <row r="434">
      <c r="E434" s="1"/>
    </row>
    <row r="435">
      <c r="E435" s="1"/>
    </row>
    <row r="436">
      <c r="E436" s="1"/>
    </row>
    <row r="437">
      <c r="E437" s="1"/>
    </row>
    <row r="438">
      <c r="E438" s="1"/>
    </row>
    <row r="439">
      <c r="E439" s="1"/>
    </row>
    <row r="440">
      <c r="E440" s="1"/>
    </row>
    <row r="441">
      <c r="E441" s="1"/>
    </row>
    <row r="442">
      <c r="E442" s="1"/>
    </row>
    <row r="443">
      <c r="E443" s="1"/>
    </row>
    <row r="444">
      <c r="E444" s="1"/>
    </row>
    <row r="445">
      <c r="E445" s="1"/>
    </row>
    <row r="446">
      <c r="E446" s="1"/>
    </row>
    <row r="447">
      <c r="E447" s="1"/>
    </row>
    <row r="448">
      <c r="E448" s="1"/>
    </row>
    <row r="449">
      <c r="E449" s="1"/>
    </row>
    <row r="450">
      <c r="E450" s="1"/>
    </row>
    <row r="451">
      <c r="E451" s="1"/>
    </row>
    <row r="452">
      <c r="E452" s="1"/>
    </row>
    <row r="453">
      <c r="E453" s="1"/>
    </row>
    <row r="454">
      <c r="E454" s="1"/>
    </row>
    <row r="455">
      <c r="E455" s="1"/>
    </row>
    <row r="456">
      <c r="E456" s="1"/>
    </row>
    <row r="457">
      <c r="E457" s="1"/>
    </row>
    <row r="458">
      <c r="E458" s="1"/>
    </row>
    <row r="459">
      <c r="E459" s="1"/>
    </row>
    <row r="460">
      <c r="E460" s="1"/>
    </row>
    <row r="461">
      <c r="E461" s="1"/>
    </row>
    <row r="462">
      <c r="E462" s="1"/>
    </row>
    <row r="463">
      <c r="E463" s="1"/>
    </row>
    <row r="464">
      <c r="E464" s="1"/>
    </row>
    <row r="465">
      <c r="E465" s="1"/>
    </row>
    <row r="466">
      <c r="E466" s="1"/>
    </row>
    <row r="467">
      <c r="E467" s="1"/>
    </row>
    <row r="468">
      <c r="E468" s="1"/>
    </row>
    <row r="469">
      <c r="E469" s="1"/>
    </row>
    <row r="470">
      <c r="E470" s="1"/>
    </row>
    <row r="471">
      <c r="E471" s="1"/>
    </row>
    <row r="472">
      <c r="E472" s="1"/>
    </row>
    <row r="473">
      <c r="E473" s="1"/>
    </row>
    <row r="474">
      <c r="E474" s="1"/>
    </row>
    <row r="475">
      <c r="E475" s="1"/>
    </row>
    <row r="476">
      <c r="E476" s="1"/>
    </row>
    <row r="477">
      <c r="E477" s="1"/>
    </row>
    <row r="478">
      <c r="E478" s="1"/>
    </row>
    <row r="479">
      <c r="E479" s="1"/>
    </row>
    <row r="480">
      <c r="E480" s="1"/>
    </row>
    <row r="481">
      <c r="E481" s="1"/>
    </row>
    <row r="482">
      <c r="E482" s="1"/>
    </row>
    <row r="483">
      <c r="E483" s="1"/>
    </row>
    <row r="484">
      <c r="E484" s="1"/>
    </row>
    <row r="485">
      <c r="E485" s="1"/>
    </row>
    <row r="486">
      <c r="E486" s="1"/>
    </row>
    <row r="487">
      <c r="E487" s="1"/>
    </row>
    <row r="488">
      <c r="E488" s="1"/>
    </row>
    <row r="489">
      <c r="E489" s="1"/>
    </row>
    <row r="490">
      <c r="E490" s="1"/>
    </row>
    <row r="491">
      <c r="E491" s="1"/>
    </row>
    <row r="492">
      <c r="E492" s="1"/>
    </row>
    <row r="493">
      <c r="E493" s="1"/>
    </row>
    <row r="494">
      <c r="E494" s="1"/>
    </row>
    <row r="495">
      <c r="E495" s="1"/>
    </row>
    <row r="496">
      <c r="E496" s="1"/>
    </row>
    <row r="497">
      <c r="E497" s="1"/>
    </row>
    <row r="498">
      <c r="E498" s="1"/>
    </row>
    <row r="499">
      <c r="E499" s="1"/>
    </row>
    <row r="500">
      <c r="E500" s="1"/>
    </row>
    <row r="501">
      <c r="E501" s="1"/>
    </row>
    <row r="502">
      <c r="E502" s="1"/>
    </row>
    <row r="503">
      <c r="E503" s="1"/>
    </row>
    <row r="504">
      <c r="E504" s="1"/>
    </row>
    <row r="505">
      <c r="E505" s="1"/>
    </row>
    <row r="506">
      <c r="E506" s="1"/>
    </row>
    <row r="507">
      <c r="E507" s="1"/>
    </row>
    <row r="508">
      <c r="E508" s="1"/>
    </row>
    <row r="509">
      <c r="E509" s="1"/>
    </row>
    <row r="510">
      <c r="E510" s="1"/>
    </row>
    <row r="511">
      <c r="E511" s="1"/>
    </row>
    <row r="512">
      <c r="E512" s="1"/>
    </row>
    <row r="513">
      <c r="E513" s="1"/>
    </row>
    <row r="514">
      <c r="E514" s="1"/>
    </row>
    <row r="515">
      <c r="E515" s="1"/>
    </row>
    <row r="516">
      <c r="E516" s="1"/>
    </row>
    <row r="517">
      <c r="E517" s="1"/>
    </row>
    <row r="518">
      <c r="E518" s="1"/>
    </row>
    <row r="519">
      <c r="E519" s="1"/>
    </row>
    <row r="520">
      <c r="E520" s="1"/>
    </row>
    <row r="521">
      <c r="E521" s="1"/>
    </row>
    <row r="522">
      <c r="E522" s="1"/>
    </row>
    <row r="523">
      <c r="E523" s="1"/>
    </row>
    <row r="524">
      <c r="E524" s="1"/>
    </row>
    <row r="525">
      <c r="E525" s="1"/>
    </row>
    <row r="526">
      <c r="E526" s="1"/>
    </row>
    <row r="527">
      <c r="E527" s="1"/>
    </row>
    <row r="528">
      <c r="E528" s="1"/>
    </row>
    <row r="529">
      <c r="E529" s="1"/>
    </row>
    <row r="530">
      <c r="E530" s="1"/>
    </row>
    <row r="531">
      <c r="E531" s="1"/>
    </row>
    <row r="532">
      <c r="E532" s="1"/>
    </row>
    <row r="533">
      <c r="E533" s="1"/>
    </row>
    <row r="534">
      <c r="E534" s="1"/>
    </row>
    <row r="535">
      <c r="E535" s="1"/>
    </row>
    <row r="536">
      <c r="E536" s="1"/>
    </row>
    <row r="537">
      <c r="E537" s="1"/>
    </row>
    <row r="538">
      <c r="E538" s="1"/>
    </row>
    <row r="539">
      <c r="E539" s="1"/>
    </row>
    <row r="540">
      <c r="E540" s="1"/>
    </row>
    <row r="541">
      <c r="E541" s="1"/>
    </row>
    <row r="542">
      <c r="E542" s="1"/>
    </row>
    <row r="543">
      <c r="E543" s="1"/>
    </row>
    <row r="544">
      <c r="E544" s="1"/>
    </row>
    <row r="545">
      <c r="E545" s="1"/>
    </row>
    <row r="546">
      <c r="E546" s="1"/>
    </row>
    <row r="547">
      <c r="E547" s="1"/>
    </row>
    <row r="548">
      <c r="E548" s="1"/>
    </row>
    <row r="549">
      <c r="E549" s="1"/>
    </row>
    <row r="550">
      <c r="E550" s="1"/>
    </row>
    <row r="551">
      <c r="E551" s="1"/>
    </row>
    <row r="552">
      <c r="E552" s="1"/>
    </row>
    <row r="553">
      <c r="E553" s="1"/>
    </row>
    <row r="554">
      <c r="E554" s="1"/>
    </row>
    <row r="555">
      <c r="E555" s="1"/>
    </row>
    <row r="556">
      <c r="E556" s="1"/>
    </row>
    <row r="557">
      <c r="E557" s="1"/>
    </row>
    <row r="558">
      <c r="E558" s="1"/>
    </row>
    <row r="559">
      <c r="E559" s="1"/>
    </row>
    <row r="560">
      <c r="E560" s="1"/>
    </row>
    <row r="561">
      <c r="E561" s="1"/>
    </row>
    <row r="562">
      <c r="E562" s="1"/>
    </row>
    <row r="563">
      <c r="E563" s="1"/>
    </row>
    <row r="564">
      <c r="E564" s="1"/>
    </row>
    <row r="565">
      <c r="E565" s="1"/>
    </row>
    <row r="566">
      <c r="E566" s="1"/>
    </row>
    <row r="567">
      <c r="E567" s="1"/>
    </row>
    <row r="568">
      <c r="E568" s="1"/>
    </row>
    <row r="569">
      <c r="E569" s="1"/>
    </row>
    <row r="570">
      <c r="E570" s="1"/>
    </row>
    <row r="571">
      <c r="E571" s="1"/>
    </row>
    <row r="572">
      <c r="E572" s="1"/>
    </row>
    <row r="573">
      <c r="E573" s="1"/>
    </row>
    <row r="574">
      <c r="E574" s="1"/>
    </row>
    <row r="575">
      <c r="E575" s="1"/>
    </row>
    <row r="576">
      <c r="E576" s="1"/>
    </row>
    <row r="577">
      <c r="E577" s="1"/>
    </row>
    <row r="578">
      <c r="E578" s="1"/>
    </row>
    <row r="579">
      <c r="E579" s="1"/>
    </row>
    <row r="580">
      <c r="E580" s="1"/>
    </row>
    <row r="581">
      <c r="E581" s="1"/>
    </row>
    <row r="582">
      <c r="E582" s="1"/>
    </row>
    <row r="583">
      <c r="E583" s="1"/>
    </row>
    <row r="584">
      <c r="E584" s="1"/>
    </row>
    <row r="585">
      <c r="E585" s="1"/>
    </row>
    <row r="586">
      <c r="E586" s="1"/>
    </row>
    <row r="587">
      <c r="E587" s="1"/>
    </row>
    <row r="588">
      <c r="E588" s="1"/>
    </row>
    <row r="589">
      <c r="E589" s="1"/>
    </row>
    <row r="590">
      <c r="E590" s="1"/>
    </row>
    <row r="591">
      <c r="E591" s="1"/>
    </row>
    <row r="592">
      <c r="E592" s="1"/>
    </row>
    <row r="593">
      <c r="E593" s="1"/>
    </row>
    <row r="594">
      <c r="E594" s="1"/>
    </row>
    <row r="595">
      <c r="E595" s="1"/>
    </row>
    <row r="596">
      <c r="E596" s="1"/>
    </row>
    <row r="597">
      <c r="E597" s="1"/>
    </row>
    <row r="598">
      <c r="E598" s="1"/>
    </row>
    <row r="599">
      <c r="E599" s="1"/>
    </row>
    <row r="600">
      <c r="E600" s="1"/>
    </row>
    <row r="601">
      <c r="E601" s="1"/>
    </row>
    <row r="602">
      <c r="E602" s="1"/>
    </row>
    <row r="603">
      <c r="E603" s="1"/>
    </row>
    <row r="604">
      <c r="E604" s="1"/>
    </row>
    <row r="605">
      <c r="E605" s="1"/>
    </row>
    <row r="606">
      <c r="E606" s="1"/>
    </row>
    <row r="607">
      <c r="E607" s="1"/>
    </row>
    <row r="608">
      <c r="E608" s="1"/>
    </row>
    <row r="609">
      <c r="E609" s="1"/>
    </row>
    <row r="610">
      <c r="E610" s="1"/>
    </row>
    <row r="611">
      <c r="E611" s="1"/>
    </row>
    <row r="612">
      <c r="E612" s="1"/>
    </row>
    <row r="613">
      <c r="E613" s="1"/>
    </row>
    <row r="614">
      <c r="E614" s="1"/>
    </row>
    <row r="615">
      <c r="E615" s="1"/>
    </row>
    <row r="616">
      <c r="E616" s="1"/>
    </row>
    <row r="617">
      <c r="E617" s="1"/>
    </row>
    <row r="618">
      <c r="E618" s="1"/>
    </row>
    <row r="619">
      <c r="E619" s="1"/>
    </row>
    <row r="620">
      <c r="E620" s="1"/>
    </row>
    <row r="621">
      <c r="E621" s="1"/>
    </row>
    <row r="622">
      <c r="E622" s="1"/>
    </row>
    <row r="623">
      <c r="E623" s="1"/>
    </row>
    <row r="624">
      <c r="E624" s="1"/>
    </row>
    <row r="625">
      <c r="E625" s="1"/>
    </row>
    <row r="626">
      <c r="E626" s="1"/>
    </row>
    <row r="627">
      <c r="E627" s="1"/>
    </row>
    <row r="628">
      <c r="E628" s="1"/>
    </row>
    <row r="629">
      <c r="E629" s="1"/>
    </row>
    <row r="630">
      <c r="E630" s="1"/>
    </row>
    <row r="631">
      <c r="E631" s="1"/>
    </row>
    <row r="632">
      <c r="E632" s="1"/>
    </row>
    <row r="633">
      <c r="E633" s="1"/>
    </row>
    <row r="634">
      <c r="E634" s="1"/>
    </row>
    <row r="635">
      <c r="E635" s="1"/>
    </row>
    <row r="636">
      <c r="E636" s="1"/>
    </row>
    <row r="637">
      <c r="E637" s="1"/>
    </row>
    <row r="638">
      <c r="E638" s="1"/>
    </row>
    <row r="639">
      <c r="E639" s="1"/>
    </row>
    <row r="640">
      <c r="E640" s="1"/>
    </row>
    <row r="641">
      <c r="E641" s="1"/>
    </row>
    <row r="642">
      <c r="E642" s="1"/>
    </row>
    <row r="643">
      <c r="E643" s="1"/>
    </row>
    <row r="644">
      <c r="E644" s="1"/>
    </row>
    <row r="645">
      <c r="E645" s="1"/>
    </row>
    <row r="646">
      <c r="E646" s="1"/>
    </row>
    <row r="647">
      <c r="E647" s="1"/>
    </row>
    <row r="648">
      <c r="E648" s="1"/>
    </row>
    <row r="649">
      <c r="E649" s="1"/>
    </row>
    <row r="650">
      <c r="E650" s="1"/>
    </row>
    <row r="651">
      <c r="E651" s="1"/>
    </row>
    <row r="652">
      <c r="E652" s="1"/>
    </row>
    <row r="653">
      <c r="E653" s="1"/>
    </row>
    <row r="654">
      <c r="E654" s="1"/>
    </row>
    <row r="655">
      <c r="E655" s="1"/>
    </row>
    <row r="656">
      <c r="E656" s="1"/>
    </row>
    <row r="657">
      <c r="E657" s="1"/>
    </row>
    <row r="658">
      <c r="E658" s="1"/>
    </row>
    <row r="659">
      <c r="E659" s="1"/>
    </row>
    <row r="660">
      <c r="E660" s="1"/>
    </row>
    <row r="661">
      <c r="E661" s="1"/>
    </row>
    <row r="662">
      <c r="E662" s="1"/>
    </row>
    <row r="663">
      <c r="E663" s="1"/>
    </row>
    <row r="664">
      <c r="E664" s="1"/>
    </row>
    <row r="665">
      <c r="E665" s="1"/>
    </row>
    <row r="666">
      <c r="E666" s="1"/>
    </row>
    <row r="667">
      <c r="E667" s="1"/>
    </row>
    <row r="668">
      <c r="E668" s="1"/>
    </row>
    <row r="669">
      <c r="E669" s="1"/>
    </row>
    <row r="670">
      <c r="E670" s="1"/>
    </row>
    <row r="671">
      <c r="E671" s="1"/>
    </row>
    <row r="672">
      <c r="E672" s="1"/>
    </row>
    <row r="673">
      <c r="E673" s="1"/>
    </row>
    <row r="674">
      <c r="E674" s="1"/>
    </row>
    <row r="675">
      <c r="E675" s="1"/>
    </row>
    <row r="676">
      <c r="E676" s="1"/>
    </row>
    <row r="677">
      <c r="E677" s="1"/>
    </row>
    <row r="678">
      <c r="E678" s="1"/>
    </row>
    <row r="679">
      <c r="E679" s="1"/>
    </row>
    <row r="680">
      <c r="E680" s="1"/>
    </row>
    <row r="681">
      <c r="E681" s="1"/>
    </row>
    <row r="682">
      <c r="E682" s="1"/>
    </row>
    <row r="683">
      <c r="E683" s="1"/>
    </row>
    <row r="684">
      <c r="E684" s="1"/>
    </row>
    <row r="685">
      <c r="E685" s="1"/>
    </row>
    <row r="686">
      <c r="E686" s="1"/>
    </row>
    <row r="687">
      <c r="E687" s="1"/>
    </row>
    <row r="688">
      <c r="E688" s="1"/>
    </row>
    <row r="689">
      <c r="E689" s="1"/>
    </row>
    <row r="690">
      <c r="E690" s="1"/>
    </row>
    <row r="691">
      <c r="E691" s="1"/>
    </row>
    <row r="692">
      <c r="E692" s="1"/>
    </row>
    <row r="693">
      <c r="E693" s="1"/>
    </row>
    <row r="694">
      <c r="E694" s="1"/>
    </row>
    <row r="695">
      <c r="E695" s="1"/>
    </row>
    <row r="696">
      <c r="E696" s="1"/>
    </row>
    <row r="697">
      <c r="E697" s="1"/>
    </row>
    <row r="698">
      <c r="E698" s="1"/>
    </row>
    <row r="699">
      <c r="E699" s="1"/>
    </row>
    <row r="700">
      <c r="E700" s="1"/>
    </row>
    <row r="701">
      <c r="E701" s="1"/>
    </row>
    <row r="702">
      <c r="E702" s="1"/>
    </row>
    <row r="703">
      <c r="E703" s="1"/>
    </row>
    <row r="704">
      <c r="E704" s="1"/>
    </row>
    <row r="705">
      <c r="E705" s="1"/>
    </row>
    <row r="706">
      <c r="E706" s="1"/>
    </row>
    <row r="707">
      <c r="E707" s="1"/>
    </row>
    <row r="708">
      <c r="E708" s="1"/>
    </row>
    <row r="709">
      <c r="E709" s="1"/>
    </row>
    <row r="710">
      <c r="E710" s="1"/>
    </row>
    <row r="711">
      <c r="E711" s="1"/>
    </row>
    <row r="712">
      <c r="E712" s="1"/>
    </row>
    <row r="713">
      <c r="E713" s="1"/>
    </row>
    <row r="714">
      <c r="E714" s="1"/>
    </row>
    <row r="715">
      <c r="E715" s="1"/>
    </row>
    <row r="716">
      <c r="E716" s="1"/>
    </row>
    <row r="717">
      <c r="E717" s="1"/>
    </row>
    <row r="718">
      <c r="E718" s="1"/>
    </row>
    <row r="719">
      <c r="E719" s="1"/>
    </row>
    <row r="720">
      <c r="E720" s="1"/>
    </row>
    <row r="721">
      <c r="E721" s="1"/>
    </row>
    <row r="722">
      <c r="E722" s="1"/>
    </row>
    <row r="723">
      <c r="E723" s="1"/>
    </row>
    <row r="724">
      <c r="E724" s="1"/>
    </row>
    <row r="725">
      <c r="E725" s="1"/>
    </row>
    <row r="726">
      <c r="E726" s="1"/>
    </row>
    <row r="727">
      <c r="E727" s="1"/>
    </row>
    <row r="728">
      <c r="E728" s="1"/>
    </row>
    <row r="729">
      <c r="E729" s="1"/>
    </row>
    <row r="730">
      <c r="E730" s="1"/>
    </row>
    <row r="731">
      <c r="E731" s="1"/>
    </row>
    <row r="732">
      <c r="E732" s="1"/>
    </row>
    <row r="733">
      <c r="E733" s="1"/>
    </row>
    <row r="734">
      <c r="E734" s="1"/>
    </row>
    <row r="735">
      <c r="E735" s="1"/>
    </row>
    <row r="736">
      <c r="E736" s="1"/>
    </row>
    <row r="737">
      <c r="E737" s="1"/>
    </row>
    <row r="738">
      <c r="E738" s="1"/>
    </row>
    <row r="739">
      <c r="E739" s="1"/>
    </row>
    <row r="740">
      <c r="E740" s="1"/>
    </row>
    <row r="741">
      <c r="E741" s="1"/>
    </row>
    <row r="742">
      <c r="E742" s="1"/>
    </row>
    <row r="743">
      <c r="E743" s="1"/>
    </row>
    <row r="744">
      <c r="E744" s="1"/>
    </row>
    <row r="745">
      <c r="E745" s="1"/>
    </row>
    <row r="746">
      <c r="E746" s="1"/>
    </row>
    <row r="747">
      <c r="E747" s="1"/>
    </row>
    <row r="748">
      <c r="E748" s="1"/>
    </row>
    <row r="749">
      <c r="E749" s="1"/>
    </row>
    <row r="750">
      <c r="E750" s="1"/>
    </row>
    <row r="751">
      <c r="E751" s="1"/>
    </row>
    <row r="752">
      <c r="E752" s="1"/>
    </row>
    <row r="753">
      <c r="E753" s="1"/>
    </row>
    <row r="754">
      <c r="E754" s="1"/>
    </row>
    <row r="755">
      <c r="E755" s="1"/>
    </row>
    <row r="756">
      <c r="E756" s="1"/>
    </row>
    <row r="757">
      <c r="E757" s="1"/>
    </row>
    <row r="758">
      <c r="E758" s="1"/>
    </row>
    <row r="759">
      <c r="E759" s="1"/>
    </row>
    <row r="760">
      <c r="E760" s="1"/>
    </row>
    <row r="761">
      <c r="E761" s="1"/>
    </row>
    <row r="762">
      <c r="E762" s="1"/>
    </row>
    <row r="763">
      <c r="E763" s="1"/>
    </row>
    <row r="764">
      <c r="E764" s="1"/>
    </row>
    <row r="765">
      <c r="E765" s="1"/>
    </row>
    <row r="766">
      <c r="E766" s="1"/>
    </row>
    <row r="767">
      <c r="E767" s="1"/>
    </row>
    <row r="768">
      <c r="E768" s="1"/>
    </row>
    <row r="769">
      <c r="E769" s="1"/>
    </row>
    <row r="770">
      <c r="E770" s="1"/>
    </row>
    <row r="771">
      <c r="E771" s="1"/>
    </row>
    <row r="772">
      <c r="E772" s="1"/>
    </row>
    <row r="773">
      <c r="E773" s="1"/>
    </row>
    <row r="774">
      <c r="E774" s="1"/>
    </row>
    <row r="775">
      <c r="E775" s="1"/>
    </row>
    <row r="776">
      <c r="E776" s="1"/>
    </row>
    <row r="777">
      <c r="E777" s="1"/>
    </row>
    <row r="778">
      <c r="E778" s="1"/>
    </row>
    <row r="779">
      <c r="E779" s="1"/>
    </row>
    <row r="780">
      <c r="E780" s="1"/>
    </row>
    <row r="781">
      <c r="E781" s="1"/>
    </row>
    <row r="782">
      <c r="E782" s="1"/>
    </row>
    <row r="783">
      <c r="E783" s="1"/>
    </row>
    <row r="784">
      <c r="E784" s="1"/>
    </row>
    <row r="785">
      <c r="E785" s="1"/>
    </row>
    <row r="786">
      <c r="E786" s="1"/>
    </row>
    <row r="787">
      <c r="E787" s="1"/>
    </row>
    <row r="788">
      <c r="E788" s="1"/>
    </row>
    <row r="789">
      <c r="E789" s="1"/>
    </row>
    <row r="790">
      <c r="E790" s="1"/>
    </row>
    <row r="791">
      <c r="E791" s="1"/>
    </row>
    <row r="792">
      <c r="E792" s="1"/>
    </row>
    <row r="793">
      <c r="E793" s="1"/>
    </row>
    <row r="794">
      <c r="E794" s="1"/>
    </row>
    <row r="795">
      <c r="E795" s="1"/>
    </row>
    <row r="796">
      <c r="E796" s="1"/>
    </row>
    <row r="797">
      <c r="E797" s="1"/>
    </row>
    <row r="798">
      <c r="E798" s="1"/>
    </row>
    <row r="799">
      <c r="E799" s="1"/>
    </row>
    <row r="800">
      <c r="E800" s="1"/>
    </row>
    <row r="801">
      <c r="E801" s="1"/>
    </row>
    <row r="802">
      <c r="E802" s="1"/>
    </row>
    <row r="803">
      <c r="E803" s="1"/>
    </row>
    <row r="804">
      <c r="E804" s="1"/>
    </row>
    <row r="805">
      <c r="E805" s="1"/>
    </row>
    <row r="806">
      <c r="E806" s="1"/>
    </row>
    <row r="807">
      <c r="E807" s="1"/>
    </row>
    <row r="808">
      <c r="E808" s="1"/>
    </row>
    <row r="809">
      <c r="E809" s="1"/>
    </row>
    <row r="810">
      <c r="E810" s="1"/>
    </row>
    <row r="811">
      <c r="E811" s="1"/>
    </row>
    <row r="812">
      <c r="E812" s="1"/>
    </row>
    <row r="813">
      <c r="E813" s="1"/>
    </row>
    <row r="814">
      <c r="E814" s="1"/>
    </row>
    <row r="815">
      <c r="E815" s="1"/>
    </row>
    <row r="816">
      <c r="E816" s="1"/>
    </row>
    <row r="817">
      <c r="E817" s="1"/>
    </row>
    <row r="818">
      <c r="E818" s="1"/>
    </row>
    <row r="819">
      <c r="E819" s="1"/>
    </row>
    <row r="820">
      <c r="E820" s="1"/>
    </row>
    <row r="821">
      <c r="E821" s="1"/>
    </row>
    <row r="822">
      <c r="E822" s="1"/>
    </row>
    <row r="823">
      <c r="E823" s="1"/>
    </row>
    <row r="824">
      <c r="E824" s="1"/>
    </row>
    <row r="825">
      <c r="E825" s="1"/>
    </row>
    <row r="826">
      <c r="E826" s="1"/>
    </row>
    <row r="827">
      <c r="E827" s="1"/>
    </row>
    <row r="828">
      <c r="E828" s="1"/>
    </row>
    <row r="829">
      <c r="E829" s="1"/>
    </row>
    <row r="830">
      <c r="E830" s="1"/>
    </row>
    <row r="831">
      <c r="E831" s="1"/>
    </row>
    <row r="832">
      <c r="E832" s="1"/>
    </row>
    <row r="833">
      <c r="E833" s="1"/>
    </row>
    <row r="834">
      <c r="E834" s="1"/>
    </row>
    <row r="835">
      <c r="E835" s="1"/>
    </row>
    <row r="836">
      <c r="E836" s="1"/>
    </row>
    <row r="837">
      <c r="E837" s="1"/>
    </row>
    <row r="838">
      <c r="E838" s="1"/>
    </row>
    <row r="839">
      <c r="E839" s="1"/>
    </row>
    <row r="840">
      <c r="E840" s="1"/>
    </row>
    <row r="841">
      <c r="E841" s="1"/>
    </row>
    <row r="842">
      <c r="E842" s="1"/>
    </row>
    <row r="843">
      <c r="E843" s="1"/>
    </row>
    <row r="844">
      <c r="E844" s="1"/>
    </row>
    <row r="845">
      <c r="E845" s="1"/>
    </row>
    <row r="846">
      <c r="E846" s="1"/>
    </row>
    <row r="847">
      <c r="E847" s="1"/>
    </row>
    <row r="848">
      <c r="E848" s="1"/>
    </row>
    <row r="849">
      <c r="E849" s="1"/>
    </row>
    <row r="850">
      <c r="E850" s="1"/>
    </row>
    <row r="851">
      <c r="E851" s="1"/>
    </row>
    <row r="852">
      <c r="E852" s="1"/>
    </row>
    <row r="853">
      <c r="E853" s="1"/>
    </row>
    <row r="854">
      <c r="E854" s="1"/>
    </row>
    <row r="855">
      <c r="E855" s="1"/>
    </row>
    <row r="856">
      <c r="E856" s="1"/>
    </row>
    <row r="857">
      <c r="E857" s="1"/>
    </row>
    <row r="858">
      <c r="E858" s="1"/>
    </row>
    <row r="859">
      <c r="E859" s="1"/>
    </row>
    <row r="860">
      <c r="E860" s="1"/>
    </row>
    <row r="861">
      <c r="E861" s="1"/>
    </row>
    <row r="862">
      <c r="E862" s="1"/>
    </row>
    <row r="863">
      <c r="E863" s="1"/>
    </row>
    <row r="864">
      <c r="E864" s="1"/>
    </row>
    <row r="865">
      <c r="E865" s="1"/>
    </row>
    <row r="866">
      <c r="E866" s="1"/>
    </row>
    <row r="867">
      <c r="E867" s="1"/>
    </row>
    <row r="868">
      <c r="E868" s="1"/>
    </row>
    <row r="869">
      <c r="E869" s="1"/>
    </row>
    <row r="870">
      <c r="E870" s="1"/>
    </row>
    <row r="871">
      <c r="E871" s="1"/>
    </row>
    <row r="872">
      <c r="E872" s="1"/>
    </row>
    <row r="873">
      <c r="E873" s="1"/>
    </row>
    <row r="874">
      <c r="E874" s="1"/>
    </row>
    <row r="875">
      <c r="E875" s="1"/>
    </row>
    <row r="876">
      <c r="E876" s="1"/>
    </row>
    <row r="877">
      <c r="E877" s="1"/>
    </row>
    <row r="878">
      <c r="E878" s="1"/>
    </row>
    <row r="879">
      <c r="E879" s="1"/>
    </row>
    <row r="880">
      <c r="E880" s="1"/>
    </row>
    <row r="881">
      <c r="E881" s="1"/>
    </row>
    <row r="882">
      <c r="E882" s="1"/>
    </row>
    <row r="883">
      <c r="E883" s="1"/>
    </row>
    <row r="884">
      <c r="E884" s="1"/>
    </row>
    <row r="885">
      <c r="E885" s="1"/>
    </row>
    <row r="886">
      <c r="E886" s="1"/>
    </row>
    <row r="887">
      <c r="E887" s="1"/>
    </row>
    <row r="888">
      <c r="E888" s="1"/>
    </row>
    <row r="889">
      <c r="E889" s="1"/>
    </row>
    <row r="890">
      <c r="E890" s="1"/>
    </row>
    <row r="891">
      <c r="E891" s="1"/>
    </row>
    <row r="892">
      <c r="E892" s="1"/>
    </row>
    <row r="893">
      <c r="E893" s="1"/>
    </row>
    <row r="894">
      <c r="E894" s="1"/>
    </row>
    <row r="895">
      <c r="E895" s="1"/>
    </row>
    <row r="896">
      <c r="E896" s="1"/>
    </row>
    <row r="897">
      <c r="E897" s="1"/>
    </row>
    <row r="898">
      <c r="E898" s="1"/>
    </row>
    <row r="899">
      <c r="E899" s="1"/>
    </row>
    <row r="900">
      <c r="E900" s="1"/>
    </row>
    <row r="901">
      <c r="E901" s="1"/>
    </row>
    <row r="902">
      <c r="E902" s="1"/>
    </row>
    <row r="903">
      <c r="E903" s="1"/>
    </row>
    <row r="904">
      <c r="E904" s="1"/>
    </row>
    <row r="905">
      <c r="E905" s="1"/>
    </row>
    <row r="906">
      <c r="E906" s="1"/>
    </row>
    <row r="907">
      <c r="E907" s="1"/>
    </row>
    <row r="908">
      <c r="E908" s="1"/>
    </row>
    <row r="909">
      <c r="E909" s="1"/>
    </row>
    <row r="910">
      <c r="E910" s="1"/>
    </row>
    <row r="911">
      <c r="E911" s="1"/>
    </row>
    <row r="912">
      <c r="E912" s="1"/>
    </row>
    <row r="913">
      <c r="E913" s="1"/>
    </row>
    <row r="914">
      <c r="E914" s="1"/>
    </row>
    <row r="915">
      <c r="E915" s="1"/>
    </row>
    <row r="916">
      <c r="E916" s="1"/>
    </row>
    <row r="917">
      <c r="E917" s="1"/>
    </row>
    <row r="918">
      <c r="E918" s="1"/>
    </row>
    <row r="919">
      <c r="E919" s="1"/>
    </row>
    <row r="920">
      <c r="E920" s="1"/>
    </row>
    <row r="921">
      <c r="E921" s="1"/>
    </row>
    <row r="922">
      <c r="E922" s="1"/>
    </row>
    <row r="923">
      <c r="E923" s="1"/>
    </row>
    <row r="924">
      <c r="E924" s="1"/>
    </row>
    <row r="925">
      <c r="E925" s="1"/>
    </row>
    <row r="926">
      <c r="E926" s="1"/>
    </row>
    <row r="927">
      <c r="E927" s="1"/>
    </row>
    <row r="928">
      <c r="E928" s="1"/>
    </row>
    <row r="929">
      <c r="E929" s="1"/>
    </row>
    <row r="930">
      <c r="E930" s="1"/>
    </row>
    <row r="931">
      <c r="E931" s="1"/>
    </row>
  </sheetData>
  <conditionalFormatting sqref="G7:G37">
    <cfRule type="expression" dxfId="5" priority="1">
      <formula>$G7&gt;=$O$9</formula>
    </cfRule>
  </conditionalFormatting>
  <conditionalFormatting sqref="N3">
    <cfRule type="expression" dxfId="5" priority="2">
      <formula>N3&gt;=O8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4" max="4" width="22.0"/>
    <col customWidth="1" min="5" max="5" width="15.0"/>
    <col customWidth="1" min="9" max="9" width="18.38"/>
    <col customWidth="1" min="11" max="11" width="18.5"/>
    <col customWidth="1" min="14" max="14" width="18.38"/>
    <col customWidth="1" min="15" max="15" width="15.88"/>
    <col customWidth="1" min="16" max="16" width="18.5"/>
    <col customWidth="1" min="17" max="17" width="17.0"/>
    <col customWidth="1" min="22" max="22" width="19.38"/>
  </cols>
  <sheetData>
    <row r="1">
      <c r="E1" s="1"/>
    </row>
    <row r="2">
      <c r="E2" s="1"/>
      <c r="K2" s="2" t="s">
        <v>0</v>
      </c>
      <c r="L2" s="3" t="s">
        <v>1</v>
      </c>
      <c r="M2" s="4" t="s">
        <v>2</v>
      </c>
      <c r="N2" s="4" t="s">
        <v>3</v>
      </c>
    </row>
    <row r="3">
      <c r="E3" s="1"/>
      <c r="K3" s="5" t="s">
        <v>4</v>
      </c>
      <c r="L3" s="6">
        <f>sum(E7:E37)</f>
        <v>0</v>
      </c>
      <c r="M3" s="3">
        <f>sum(F7:F36)</f>
        <v>-675.07</v>
      </c>
      <c r="N3" s="7">
        <f>M3*Sumario!N4</f>
        <v>-592.4549334</v>
      </c>
      <c r="O3" s="7">
        <f>Sumario!N4</f>
        <v>0.87762</v>
      </c>
    </row>
    <row r="4">
      <c r="B4" s="60" t="s">
        <v>76</v>
      </c>
      <c r="C4" s="10"/>
      <c r="D4" s="10"/>
      <c r="E4" s="11"/>
      <c r="F4" s="10"/>
      <c r="G4" s="10"/>
      <c r="H4" s="10"/>
      <c r="I4" s="10"/>
      <c r="J4" s="10"/>
      <c r="K4" s="10"/>
      <c r="L4" s="10"/>
    </row>
    <row r="5">
      <c r="B5" s="61" t="s">
        <v>8</v>
      </c>
      <c r="C5" s="61" t="s">
        <v>9</v>
      </c>
      <c r="D5" s="61" t="s">
        <v>11</v>
      </c>
      <c r="E5" s="62" t="s">
        <v>12</v>
      </c>
      <c r="F5" s="62" t="s">
        <v>13</v>
      </c>
      <c r="G5" s="12" t="s">
        <v>14</v>
      </c>
      <c r="H5" s="12"/>
      <c r="I5" s="13"/>
      <c r="J5" s="14"/>
      <c r="K5" s="15"/>
      <c r="L5" s="10"/>
    </row>
    <row r="6">
      <c r="B6" s="10"/>
      <c r="C6" s="10"/>
      <c r="D6" s="10"/>
      <c r="E6" s="10"/>
      <c r="F6" s="16"/>
      <c r="G6" s="10"/>
      <c r="H6" s="15" t="s">
        <v>15</v>
      </c>
      <c r="I6" s="10"/>
      <c r="J6" s="10"/>
      <c r="K6" s="10"/>
      <c r="L6" s="10"/>
    </row>
    <row r="7">
      <c r="B7" s="10"/>
      <c r="C7" s="15" t="s">
        <v>16</v>
      </c>
      <c r="D7" s="16"/>
      <c r="E7" s="17"/>
      <c r="F7" s="19">
        <f>-52.82-45.27-44.16-49.7</f>
        <v>-191.95</v>
      </c>
      <c r="G7" s="11">
        <f t="shared" ref="G7:G37" si="1">E7+(F7*$O$3)</f>
        <v>-168.459159</v>
      </c>
      <c r="H7" s="24">
        <f t="shared" ref="H7:H37" si="2">G7/$O$9</f>
        <v>-1.415056936</v>
      </c>
      <c r="I7" s="25">
        <f t="shared" ref="I7:I37" si="3">315+G7</f>
        <v>146.540841</v>
      </c>
      <c r="J7" s="10"/>
      <c r="K7" s="63">
        <f>-321-501</f>
        <v>-822</v>
      </c>
      <c r="L7" s="10"/>
    </row>
    <row r="8">
      <c r="B8" s="10"/>
      <c r="C8" s="15" t="s">
        <v>20</v>
      </c>
      <c r="D8" s="16"/>
      <c r="E8" s="17"/>
      <c r="F8" s="19">
        <f>-49.97</f>
        <v>-49.97</v>
      </c>
      <c r="G8" s="11">
        <f t="shared" si="1"/>
        <v>-43.8546714</v>
      </c>
      <c r="H8" s="24">
        <f t="shared" si="2"/>
        <v>-0.3683792398</v>
      </c>
      <c r="I8" s="25">
        <f t="shared" si="3"/>
        <v>271.1453286</v>
      </c>
      <c r="J8" s="10"/>
      <c r="K8" s="10"/>
      <c r="L8" s="10"/>
      <c r="N8" s="31" t="s">
        <v>15</v>
      </c>
      <c r="O8" s="31">
        <v>2500.0</v>
      </c>
      <c r="P8" s="34">
        <f>O8-Sumario!K15</f>
        <v>3075.433892</v>
      </c>
    </row>
    <row r="9">
      <c r="B9" s="10"/>
      <c r="C9" s="15" t="s">
        <v>27</v>
      </c>
      <c r="D9" s="16"/>
      <c r="E9" s="40"/>
      <c r="F9" s="41">
        <f>-85.9</f>
        <v>-85.9</v>
      </c>
      <c r="G9" s="11">
        <f t="shared" si="1"/>
        <v>-75.387558</v>
      </c>
      <c r="H9" s="24">
        <f t="shared" si="2"/>
        <v>-0.6332554872</v>
      </c>
      <c r="I9" s="25">
        <f t="shared" si="3"/>
        <v>239.612442</v>
      </c>
      <c r="J9" s="10"/>
      <c r="K9" s="10"/>
      <c r="L9" s="15">
        <v>6930.0</v>
      </c>
      <c r="N9" s="31" t="s">
        <v>28</v>
      </c>
      <c r="O9" s="4">
        <f>O8/21</f>
        <v>119.047619</v>
      </c>
      <c r="P9" s="36">
        <f>P8/O8</f>
        <v>1.230173557</v>
      </c>
    </row>
    <row r="10">
      <c r="B10" s="10"/>
      <c r="C10" s="15" t="s">
        <v>29</v>
      </c>
      <c r="D10" s="16"/>
      <c r="E10" s="17"/>
      <c r="F10" s="41">
        <f>-46.48-94.04</f>
        <v>-140.52</v>
      </c>
      <c r="G10" s="11">
        <f t="shared" si="1"/>
        <v>-123.3231624</v>
      </c>
      <c r="H10" s="24">
        <f t="shared" si="2"/>
        <v>-1.035914564</v>
      </c>
      <c r="I10" s="25">
        <f t="shared" si="3"/>
        <v>191.6768376</v>
      </c>
      <c r="J10" s="10"/>
      <c r="K10" s="10"/>
      <c r="L10" s="38">
        <f>L9+Sumario!K15</f>
        <v>6354.566108</v>
      </c>
    </row>
    <row r="11">
      <c r="B11" s="10"/>
      <c r="C11" s="15" t="s">
        <v>30</v>
      </c>
      <c r="D11" s="16"/>
      <c r="E11" s="40"/>
      <c r="F11" s="19"/>
      <c r="G11" s="11">
        <f t="shared" si="1"/>
        <v>0</v>
      </c>
      <c r="H11" s="24">
        <f t="shared" si="2"/>
        <v>0</v>
      </c>
      <c r="I11" s="25">
        <f t="shared" si="3"/>
        <v>315</v>
      </c>
      <c r="J11" s="10"/>
      <c r="K11" s="10"/>
      <c r="L11" s="10"/>
    </row>
    <row r="12">
      <c r="B12" s="15"/>
      <c r="C12" s="15" t="s">
        <v>31</v>
      </c>
      <c r="D12" s="20"/>
      <c r="E12" s="40"/>
      <c r="F12" s="41"/>
      <c r="G12" s="11">
        <f t="shared" si="1"/>
        <v>0</v>
      </c>
      <c r="H12" s="24">
        <f t="shared" si="2"/>
        <v>0</v>
      </c>
      <c r="I12" s="25">
        <f t="shared" si="3"/>
        <v>315</v>
      </c>
      <c r="J12" s="15"/>
      <c r="K12" s="15"/>
      <c r="L12" s="10"/>
    </row>
    <row r="13">
      <c r="B13" s="15"/>
      <c r="C13" s="15" t="s">
        <v>32</v>
      </c>
      <c r="D13" s="20"/>
      <c r="E13" s="40"/>
      <c r="F13" s="41"/>
      <c r="G13" s="11">
        <f t="shared" si="1"/>
        <v>0</v>
      </c>
      <c r="H13" s="24">
        <f t="shared" si="2"/>
        <v>0</v>
      </c>
      <c r="I13" s="25">
        <f t="shared" si="3"/>
        <v>315</v>
      </c>
      <c r="J13" s="15"/>
      <c r="K13" s="15"/>
      <c r="L13" s="10"/>
    </row>
    <row r="14">
      <c r="B14" s="15"/>
      <c r="C14" s="15" t="s">
        <v>33</v>
      </c>
      <c r="D14" s="20"/>
      <c r="E14" s="40"/>
      <c r="F14" s="41">
        <f>-58.29</f>
        <v>-58.29</v>
      </c>
      <c r="G14" s="11">
        <f t="shared" si="1"/>
        <v>-51.1564698</v>
      </c>
      <c r="H14" s="24">
        <f t="shared" si="2"/>
        <v>-0.4297143463</v>
      </c>
      <c r="I14" s="25">
        <f t="shared" si="3"/>
        <v>263.8435302</v>
      </c>
      <c r="J14" s="15"/>
      <c r="K14" s="15"/>
      <c r="L14" s="10"/>
    </row>
    <row r="15">
      <c r="B15" s="15"/>
      <c r="C15" s="15" t="s">
        <v>34</v>
      </c>
      <c r="D15" s="20"/>
      <c r="E15" s="40"/>
      <c r="F15" s="19"/>
      <c r="G15" s="11">
        <f t="shared" si="1"/>
        <v>0</v>
      </c>
      <c r="H15" s="24">
        <f t="shared" si="2"/>
        <v>0</v>
      </c>
      <c r="I15" s="25">
        <f t="shared" si="3"/>
        <v>315</v>
      </c>
      <c r="J15" s="15"/>
      <c r="K15" s="15"/>
      <c r="L15" s="10"/>
    </row>
    <row r="16">
      <c r="B16" s="15"/>
      <c r="C16" s="15" t="s">
        <v>36</v>
      </c>
      <c r="D16" s="20"/>
      <c r="E16" s="40"/>
      <c r="F16" s="19"/>
      <c r="G16" s="11">
        <f t="shared" si="1"/>
        <v>0</v>
      </c>
      <c r="H16" s="24">
        <f t="shared" si="2"/>
        <v>0</v>
      </c>
      <c r="I16" s="25">
        <f t="shared" si="3"/>
        <v>315</v>
      </c>
      <c r="J16" s="15"/>
      <c r="K16" s="15"/>
      <c r="L16" s="10"/>
    </row>
    <row r="17">
      <c r="B17" s="15"/>
      <c r="C17" s="15" t="s">
        <v>37</v>
      </c>
      <c r="D17" s="20"/>
      <c r="E17" s="40"/>
      <c r="F17" s="19"/>
      <c r="G17" s="11">
        <f t="shared" si="1"/>
        <v>0</v>
      </c>
      <c r="H17" s="24">
        <f t="shared" si="2"/>
        <v>0</v>
      </c>
      <c r="I17" s="25">
        <f t="shared" si="3"/>
        <v>315</v>
      </c>
      <c r="J17" s="15"/>
      <c r="K17" s="15"/>
      <c r="L17" s="10"/>
    </row>
    <row r="18">
      <c r="B18" s="15"/>
      <c r="C18" s="15" t="s">
        <v>38</v>
      </c>
      <c r="D18" s="20"/>
      <c r="E18" s="40"/>
      <c r="F18" s="41"/>
      <c r="G18" s="11">
        <f t="shared" si="1"/>
        <v>0</v>
      </c>
      <c r="H18" s="24">
        <f t="shared" si="2"/>
        <v>0</v>
      </c>
      <c r="I18" s="25">
        <f t="shared" si="3"/>
        <v>315</v>
      </c>
      <c r="J18" s="15"/>
      <c r="K18" s="15"/>
      <c r="L18" s="10"/>
    </row>
    <row r="19">
      <c r="B19" s="15"/>
      <c r="C19" s="15" t="s">
        <v>39</v>
      </c>
      <c r="D19" s="20"/>
      <c r="E19" s="40"/>
      <c r="F19" s="19"/>
      <c r="G19" s="11">
        <f t="shared" si="1"/>
        <v>0</v>
      </c>
      <c r="H19" s="24">
        <f t="shared" si="2"/>
        <v>0</v>
      </c>
      <c r="I19" s="25">
        <f t="shared" si="3"/>
        <v>315</v>
      </c>
      <c r="J19" s="15"/>
      <c r="K19" s="15"/>
      <c r="L19" s="10"/>
    </row>
    <row r="20">
      <c r="B20" s="15"/>
      <c r="C20" s="15" t="s">
        <v>40</v>
      </c>
      <c r="D20" s="20"/>
      <c r="E20" s="40"/>
      <c r="F20" s="41"/>
      <c r="G20" s="11">
        <f t="shared" si="1"/>
        <v>0</v>
      </c>
      <c r="H20" s="24">
        <f t="shared" si="2"/>
        <v>0</v>
      </c>
      <c r="I20" s="25">
        <f t="shared" si="3"/>
        <v>315</v>
      </c>
      <c r="J20" s="15"/>
      <c r="K20" s="15"/>
      <c r="L20" s="10"/>
    </row>
    <row r="21">
      <c r="B21" s="15"/>
      <c r="C21" s="15" t="s">
        <v>41</v>
      </c>
      <c r="D21" s="20"/>
      <c r="E21" s="40"/>
      <c r="F21" s="19"/>
      <c r="G21" s="11">
        <f t="shared" si="1"/>
        <v>0</v>
      </c>
      <c r="H21" s="24">
        <f t="shared" si="2"/>
        <v>0</v>
      </c>
      <c r="I21" s="25">
        <f t="shared" si="3"/>
        <v>315</v>
      </c>
      <c r="J21" s="15"/>
      <c r="K21" s="15"/>
      <c r="L21" s="10"/>
    </row>
    <row r="22">
      <c r="B22" s="15"/>
      <c r="C22" s="15" t="s">
        <v>42</v>
      </c>
      <c r="D22" s="20"/>
      <c r="E22" s="40"/>
      <c r="F22" s="41"/>
      <c r="G22" s="11">
        <f t="shared" si="1"/>
        <v>0</v>
      </c>
      <c r="H22" s="24">
        <f t="shared" si="2"/>
        <v>0</v>
      </c>
      <c r="I22" s="25">
        <f t="shared" si="3"/>
        <v>315</v>
      </c>
      <c r="J22" s="15"/>
      <c r="K22" s="15"/>
      <c r="L22" s="10"/>
    </row>
    <row r="23">
      <c r="C23" s="15" t="s">
        <v>44</v>
      </c>
      <c r="E23" s="17"/>
      <c r="F23" s="46">
        <f>-44.91</f>
        <v>-44.91</v>
      </c>
      <c r="G23" s="11">
        <f t="shared" si="1"/>
        <v>-39.4139142</v>
      </c>
      <c r="H23" s="24">
        <f t="shared" si="2"/>
        <v>-0.3310768793</v>
      </c>
      <c r="I23" s="25">
        <f t="shared" si="3"/>
        <v>275.5860858</v>
      </c>
      <c r="J23" s="45"/>
      <c r="K23" s="45"/>
      <c r="L23" s="45"/>
      <c r="M23" s="45"/>
      <c r="N23" s="45"/>
      <c r="O23" s="45"/>
      <c r="P23" s="45"/>
      <c r="Q23" s="45"/>
    </row>
    <row r="24">
      <c r="C24" s="15" t="s">
        <v>45</v>
      </c>
      <c r="E24" s="40"/>
      <c r="F24" s="46">
        <f>-0.75+68.64</f>
        <v>67.89</v>
      </c>
      <c r="G24" s="11">
        <f t="shared" si="1"/>
        <v>59.5816218</v>
      </c>
      <c r="H24" s="24">
        <f t="shared" si="2"/>
        <v>0.5004856231</v>
      </c>
      <c r="I24" s="25">
        <f t="shared" si="3"/>
        <v>374.5816218</v>
      </c>
      <c r="J24" s="45"/>
      <c r="K24" s="45"/>
      <c r="L24" s="45"/>
      <c r="M24" s="45"/>
      <c r="N24" s="45"/>
      <c r="O24" s="45"/>
      <c r="P24" s="45"/>
      <c r="Q24" s="45"/>
    </row>
    <row r="25">
      <c r="C25" s="15" t="s">
        <v>46</v>
      </c>
      <c r="E25" s="40"/>
      <c r="F25" s="46"/>
      <c r="G25" s="11">
        <f t="shared" si="1"/>
        <v>0</v>
      </c>
      <c r="H25" s="24">
        <f t="shared" si="2"/>
        <v>0</v>
      </c>
      <c r="I25" s="25">
        <f t="shared" si="3"/>
        <v>315</v>
      </c>
      <c r="J25" s="45"/>
      <c r="K25" s="45"/>
      <c r="L25" s="45"/>
      <c r="M25" s="45"/>
      <c r="N25" s="45"/>
      <c r="O25" s="45"/>
      <c r="P25" s="45"/>
      <c r="Q25" s="45"/>
    </row>
    <row r="26">
      <c r="C26" s="15" t="s">
        <v>47</v>
      </c>
      <c r="E26" s="40"/>
      <c r="F26" s="46"/>
      <c r="G26" s="11">
        <f t="shared" si="1"/>
        <v>0</v>
      </c>
      <c r="H26" s="24">
        <f t="shared" si="2"/>
        <v>0</v>
      </c>
      <c r="I26" s="25">
        <f t="shared" si="3"/>
        <v>315</v>
      </c>
      <c r="J26" s="45"/>
      <c r="K26" s="45"/>
      <c r="L26" s="45"/>
      <c r="M26" s="45"/>
      <c r="N26" s="45"/>
      <c r="O26" s="45"/>
      <c r="P26" s="45"/>
      <c r="Q26" s="45"/>
    </row>
    <row r="27">
      <c r="C27" s="15" t="s">
        <v>48</v>
      </c>
      <c r="E27" s="40"/>
      <c r="F27" s="46">
        <f>-48.29-48.97</f>
        <v>-97.26</v>
      </c>
      <c r="G27" s="11">
        <f t="shared" si="1"/>
        <v>-85.3573212</v>
      </c>
      <c r="H27" s="24">
        <f t="shared" si="2"/>
        <v>-0.7170014981</v>
      </c>
      <c r="I27" s="25">
        <f t="shared" si="3"/>
        <v>229.6426788</v>
      </c>
      <c r="J27" s="45"/>
      <c r="K27" s="45"/>
      <c r="L27" s="45"/>
      <c r="M27" s="45"/>
      <c r="N27" s="45"/>
      <c r="O27" s="45"/>
      <c r="P27" s="45"/>
      <c r="Q27" s="45"/>
    </row>
    <row r="28">
      <c r="C28" s="15" t="s">
        <v>49</v>
      </c>
      <c r="E28" s="17"/>
      <c r="F28" s="44">
        <f>0.96+1.12+1.14</f>
        <v>3.22</v>
      </c>
      <c r="G28" s="11">
        <f t="shared" si="1"/>
        <v>2.8259364</v>
      </c>
      <c r="H28" s="24">
        <f t="shared" si="2"/>
        <v>0.02373786576</v>
      </c>
      <c r="I28" s="25">
        <f t="shared" si="3"/>
        <v>317.8259364</v>
      </c>
      <c r="J28" s="45"/>
      <c r="K28" s="45"/>
      <c r="L28" s="45"/>
      <c r="M28" s="45"/>
      <c r="N28" s="45"/>
      <c r="O28" s="45"/>
      <c r="P28" s="45"/>
      <c r="Q28" s="45"/>
    </row>
    <row r="29">
      <c r="C29" s="15" t="s">
        <v>51</v>
      </c>
      <c r="E29" s="17"/>
      <c r="F29" s="46">
        <f>-27.59-49.79</f>
        <v>-77.38</v>
      </c>
      <c r="G29" s="11">
        <f t="shared" si="1"/>
        <v>-67.9102356</v>
      </c>
      <c r="H29" s="24">
        <f t="shared" si="2"/>
        <v>-0.570445979</v>
      </c>
      <c r="I29" s="25">
        <f t="shared" si="3"/>
        <v>247.0897644</v>
      </c>
      <c r="J29" s="45"/>
      <c r="K29" s="45"/>
      <c r="L29" s="45"/>
      <c r="M29" s="45"/>
      <c r="N29" s="45"/>
      <c r="O29" s="45"/>
      <c r="P29" s="45"/>
      <c r="Q29" s="45"/>
    </row>
    <row r="30">
      <c r="C30" s="15" t="s">
        <v>52</v>
      </c>
      <c r="E30" s="40"/>
      <c r="F30" s="46"/>
      <c r="G30" s="11">
        <f t="shared" si="1"/>
        <v>0</v>
      </c>
      <c r="H30" s="24">
        <f t="shared" si="2"/>
        <v>0</v>
      </c>
      <c r="I30" s="25">
        <f t="shared" si="3"/>
        <v>315</v>
      </c>
      <c r="J30" s="45"/>
      <c r="K30" s="45"/>
      <c r="L30" s="45"/>
      <c r="M30" s="45"/>
      <c r="N30" s="45"/>
      <c r="O30" s="45"/>
      <c r="P30" s="45"/>
      <c r="Q30" s="45"/>
    </row>
    <row r="31">
      <c r="C31" s="15" t="s">
        <v>53</v>
      </c>
      <c r="E31" s="40"/>
      <c r="F31" s="46"/>
      <c r="G31" s="11">
        <f t="shared" si="1"/>
        <v>0</v>
      </c>
      <c r="H31" s="24">
        <f t="shared" si="2"/>
        <v>0</v>
      </c>
      <c r="I31" s="25">
        <f t="shared" si="3"/>
        <v>315</v>
      </c>
      <c r="J31" s="45"/>
      <c r="K31" s="45"/>
      <c r="L31" s="45"/>
      <c r="M31" s="45"/>
      <c r="N31" s="45"/>
      <c r="O31" s="45"/>
      <c r="P31" s="45"/>
      <c r="Q31" s="45"/>
    </row>
    <row r="32">
      <c r="C32" s="15" t="s">
        <v>54</v>
      </c>
      <c r="E32" s="40"/>
      <c r="F32" s="46"/>
      <c r="G32" s="11">
        <f t="shared" si="1"/>
        <v>0</v>
      </c>
      <c r="H32" s="24">
        <f t="shared" si="2"/>
        <v>0</v>
      </c>
      <c r="I32" s="25">
        <f t="shared" si="3"/>
        <v>315</v>
      </c>
      <c r="J32" s="45"/>
      <c r="K32" s="45"/>
      <c r="L32" s="45"/>
      <c r="M32" s="45"/>
      <c r="N32" s="45"/>
      <c r="O32" s="45"/>
      <c r="P32" s="45"/>
      <c r="Q32" s="45"/>
    </row>
    <row r="33">
      <c r="C33" s="15" t="s">
        <v>55</v>
      </c>
      <c r="E33" s="40"/>
      <c r="F33" s="46"/>
      <c r="G33" s="11">
        <f t="shared" si="1"/>
        <v>0</v>
      </c>
      <c r="H33" s="24">
        <f t="shared" si="2"/>
        <v>0</v>
      </c>
      <c r="I33" s="25">
        <f t="shared" si="3"/>
        <v>315</v>
      </c>
    </row>
    <row r="34">
      <c r="C34" s="15" t="s">
        <v>56</v>
      </c>
      <c r="E34" s="40"/>
      <c r="F34" s="46"/>
      <c r="G34" s="11">
        <f t="shared" si="1"/>
        <v>0</v>
      </c>
      <c r="H34" s="24">
        <f t="shared" si="2"/>
        <v>0</v>
      </c>
      <c r="I34" s="25">
        <f t="shared" si="3"/>
        <v>315</v>
      </c>
    </row>
    <row r="35">
      <c r="C35" s="15" t="s">
        <v>57</v>
      </c>
      <c r="E35" s="40"/>
      <c r="F35" s="46"/>
      <c r="G35" s="11">
        <f t="shared" si="1"/>
        <v>0</v>
      </c>
      <c r="H35" s="24">
        <f t="shared" si="2"/>
        <v>0</v>
      </c>
      <c r="I35" s="25">
        <f t="shared" si="3"/>
        <v>315</v>
      </c>
    </row>
    <row r="36">
      <c r="C36" s="15" t="s">
        <v>58</v>
      </c>
      <c r="E36" s="40"/>
      <c r="F36" s="46"/>
      <c r="G36" s="11">
        <f t="shared" si="1"/>
        <v>0</v>
      </c>
      <c r="H36" s="24">
        <f t="shared" si="2"/>
        <v>0</v>
      </c>
      <c r="I36" s="25">
        <f t="shared" si="3"/>
        <v>315</v>
      </c>
    </row>
    <row r="37">
      <c r="C37" s="15" t="s">
        <v>59</v>
      </c>
      <c r="E37" s="40"/>
      <c r="F37" s="46"/>
      <c r="G37" s="11">
        <f t="shared" si="1"/>
        <v>0</v>
      </c>
      <c r="H37" s="24">
        <f t="shared" si="2"/>
        <v>0</v>
      </c>
      <c r="I37" s="25">
        <f t="shared" si="3"/>
        <v>315</v>
      </c>
    </row>
    <row r="38">
      <c r="E38" s="1"/>
    </row>
    <row r="39">
      <c r="E39" s="1"/>
    </row>
    <row r="40">
      <c r="E40" s="1"/>
    </row>
    <row r="41">
      <c r="B41" s="48"/>
      <c r="C41" s="49"/>
      <c r="E41" s="1"/>
    </row>
    <row r="42">
      <c r="E42" s="1"/>
    </row>
    <row r="43">
      <c r="E43" s="1"/>
    </row>
    <row r="44">
      <c r="E44" s="1"/>
    </row>
    <row r="45">
      <c r="E45" s="1"/>
    </row>
    <row r="46">
      <c r="E46" s="1"/>
    </row>
    <row r="47">
      <c r="E47" s="1"/>
    </row>
    <row r="48">
      <c r="E48" s="1"/>
    </row>
    <row r="49">
      <c r="E49" s="1"/>
    </row>
    <row r="50">
      <c r="E50" s="1"/>
    </row>
    <row r="51">
      <c r="E51" s="1"/>
    </row>
    <row r="52">
      <c r="E52" s="1"/>
    </row>
    <row r="53">
      <c r="E53" s="1"/>
    </row>
    <row r="54">
      <c r="E54" s="1"/>
    </row>
    <row r="55">
      <c r="E55" s="1"/>
    </row>
    <row r="56">
      <c r="E56" s="1"/>
    </row>
    <row r="57">
      <c r="E57" s="1"/>
    </row>
    <row r="58">
      <c r="E58" s="1"/>
    </row>
    <row r="59">
      <c r="E59" s="1"/>
    </row>
    <row r="60">
      <c r="E60" s="1"/>
    </row>
    <row r="61">
      <c r="E61" s="1"/>
    </row>
    <row r="62">
      <c r="E62" s="1"/>
    </row>
    <row r="63">
      <c r="E63" s="1"/>
    </row>
    <row r="64">
      <c r="E64" s="1"/>
    </row>
    <row r="65">
      <c r="E65" s="1"/>
    </row>
    <row r="66">
      <c r="E66" s="1"/>
    </row>
    <row r="67">
      <c r="E67" s="1"/>
    </row>
    <row r="68">
      <c r="E68" s="1"/>
    </row>
    <row r="69">
      <c r="E69" s="1"/>
    </row>
    <row r="70">
      <c r="E70" s="1"/>
    </row>
    <row r="71">
      <c r="E71" s="1"/>
    </row>
    <row r="72">
      <c r="E72" s="1"/>
    </row>
    <row r="73">
      <c r="E73" s="1"/>
    </row>
    <row r="74">
      <c r="E74" s="1"/>
    </row>
    <row r="75">
      <c r="E75" s="1"/>
    </row>
    <row r="76">
      <c r="E76" s="1"/>
    </row>
    <row r="77">
      <c r="E77" s="1"/>
    </row>
    <row r="78">
      <c r="E78" s="1"/>
    </row>
    <row r="79">
      <c r="E79" s="1"/>
    </row>
    <row r="80">
      <c r="E80" s="1"/>
    </row>
    <row r="81">
      <c r="E81" s="1"/>
    </row>
    <row r="82">
      <c r="E82" s="1"/>
    </row>
    <row r="83">
      <c r="E83" s="1"/>
    </row>
    <row r="84">
      <c r="E84" s="1"/>
    </row>
    <row r="85">
      <c r="E85" s="1"/>
    </row>
    <row r="86">
      <c r="E86" s="1"/>
    </row>
    <row r="87">
      <c r="E87" s="1"/>
    </row>
    <row r="88">
      <c r="E88" s="1"/>
    </row>
    <row r="89">
      <c r="E89" s="1"/>
    </row>
    <row r="90">
      <c r="E90" s="1"/>
    </row>
    <row r="91">
      <c r="E91" s="1"/>
    </row>
    <row r="92">
      <c r="E92" s="1"/>
    </row>
    <row r="93">
      <c r="E93" s="1"/>
    </row>
    <row r="94">
      <c r="E94" s="1"/>
    </row>
    <row r="95">
      <c r="E95" s="1"/>
    </row>
    <row r="96">
      <c r="E96" s="1"/>
    </row>
    <row r="97">
      <c r="E97" s="1"/>
    </row>
    <row r="98">
      <c r="E98" s="1"/>
    </row>
    <row r="99">
      <c r="E99" s="1"/>
    </row>
    <row r="100">
      <c r="E100" s="1"/>
    </row>
    <row r="101">
      <c r="E101" s="1"/>
    </row>
    <row r="102">
      <c r="E102" s="1"/>
    </row>
    <row r="103">
      <c r="E103" s="1"/>
    </row>
    <row r="104">
      <c r="E104" s="1"/>
    </row>
    <row r="105">
      <c r="E105" s="1"/>
    </row>
    <row r="106">
      <c r="E106" s="1"/>
    </row>
    <row r="107">
      <c r="E107" s="1"/>
    </row>
    <row r="108">
      <c r="E108" s="1"/>
    </row>
    <row r="109">
      <c r="E109" s="1"/>
    </row>
    <row r="110">
      <c r="E110" s="1"/>
    </row>
    <row r="111">
      <c r="E111" s="1"/>
    </row>
    <row r="112">
      <c r="E112" s="1"/>
    </row>
    <row r="113">
      <c r="E113" s="1"/>
    </row>
    <row r="114">
      <c r="E114" s="1"/>
    </row>
    <row r="115">
      <c r="E115" s="1"/>
    </row>
    <row r="116">
      <c r="E116" s="1"/>
    </row>
    <row r="117">
      <c r="E117" s="1"/>
    </row>
    <row r="118">
      <c r="E118" s="1"/>
    </row>
    <row r="119">
      <c r="E119" s="1"/>
    </row>
    <row r="120">
      <c r="E120" s="1"/>
    </row>
    <row r="121">
      <c r="E121" s="1"/>
    </row>
    <row r="122">
      <c r="E122" s="1"/>
    </row>
    <row r="123">
      <c r="E123" s="1"/>
    </row>
    <row r="124">
      <c r="E124" s="1"/>
    </row>
    <row r="125">
      <c r="E125" s="1"/>
    </row>
    <row r="126">
      <c r="E126" s="1"/>
    </row>
    <row r="127">
      <c r="E127" s="1"/>
    </row>
    <row r="128">
      <c r="E128" s="1"/>
    </row>
    <row r="129">
      <c r="E129" s="1"/>
    </row>
    <row r="130">
      <c r="E130" s="1"/>
    </row>
    <row r="131">
      <c r="E131" s="1"/>
    </row>
    <row r="132">
      <c r="E132" s="1"/>
    </row>
    <row r="133">
      <c r="E133" s="1"/>
    </row>
    <row r="134">
      <c r="E134" s="1"/>
    </row>
    <row r="135">
      <c r="E135" s="1"/>
    </row>
    <row r="136">
      <c r="E136" s="1"/>
    </row>
    <row r="137">
      <c r="E137" s="1"/>
    </row>
    <row r="138">
      <c r="E138" s="1"/>
    </row>
    <row r="139">
      <c r="E139" s="1"/>
    </row>
    <row r="140">
      <c r="E140" s="1"/>
    </row>
    <row r="141">
      <c r="E141" s="1"/>
    </row>
    <row r="142">
      <c r="E142" s="1"/>
    </row>
    <row r="143">
      <c r="E143" s="1"/>
    </row>
    <row r="144">
      <c r="E144" s="1"/>
    </row>
    <row r="145">
      <c r="E145" s="1"/>
    </row>
    <row r="146">
      <c r="E146" s="1"/>
    </row>
    <row r="147">
      <c r="E147" s="1"/>
    </row>
    <row r="148">
      <c r="E148" s="1"/>
    </row>
    <row r="149">
      <c r="E149" s="1"/>
    </row>
    <row r="150">
      <c r="E150" s="1"/>
    </row>
    <row r="151">
      <c r="E151" s="1"/>
    </row>
    <row r="152">
      <c r="E152" s="1"/>
    </row>
    <row r="153">
      <c r="E153" s="1"/>
    </row>
    <row r="154">
      <c r="E154" s="1"/>
    </row>
    <row r="155">
      <c r="E155" s="1"/>
    </row>
    <row r="156">
      <c r="E156" s="1"/>
    </row>
    <row r="157">
      <c r="E157" s="1"/>
    </row>
    <row r="158">
      <c r="E158" s="1"/>
    </row>
    <row r="159">
      <c r="E159" s="1"/>
    </row>
    <row r="160">
      <c r="E160" s="1"/>
    </row>
    <row r="161">
      <c r="E161" s="1"/>
    </row>
    <row r="162">
      <c r="E162" s="1"/>
    </row>
    <row r="163">
      <c r="E163" s="1"/>
    </row>
    <row r="164">
      <c r="E164" s="1"/>
    </row>
    <row r="165">
      <c r="E165" s="1"/>
    </row>
    <row r="166">
      <c r="E166" s="1"/>
    </row>
    <row r="167">
      <c r="E167" s="1"/>
    </row>
    <row r="168">
      <c r="E168" s="1"/>
    </row>
    <row r="169">
      <c r="E169" s="1"/>
    </row>
    <row r="170">
      <c r="E170" s="1"/>
    </row>
    <row r="171">
      <c r="E171" s="1"/>
    </row>
    <row r="172">
      <c r="E172" s="1"/>
    </row>
    <row r="173">
      <c r="E173" s="1"/>
    </row>
    <row r="174">
      <c r="E174" s="1"/>
    </row>
    <row r="175">
      <c r="E175" s="1"/>
    </row>
    <row r="176">
      <c r="E176" s="1"/>
    </row>
    <row r="177">
      <c r="E177" s="1"/>
    </row>
    <row r="178">
      <c r="E178" s="1"/>
    </row>
    <row r="179">
      <c r="E179" s="1"/>
    </row>
    <row r="180">
      <c r="E180" s="1"/>
    </row>
    <row r="181">
      <c r="E181" s="1"/>
    </row>
    <row r="182">
      <c r="E182" s="1"/>
    </row>
    <row r="183">
      <c r="E183" s="1"/>
    </row>
    <row r="184">
      <c r="E184" s="1"/>
    </row>
    <row r="185">
      <c r="E185" s="1"/>
    </row>
    <row r="186">
      <c r="E186" s="1"/>
    </row>
    <row r="187">
      <c r="E187" s="1"/>
    </row>
    <row r="188">
      <c r="E188" s="1"/>
    </row>
    <row r="189">
      <c r="E189" s="1"/>
    </row>
    <row r="190">
      <c r="E190" s="1"/>
    </row>
    <row r="191">
      <c r="E191" s="1"/>
    </row>
    <row r="192">
      <c r="E192" s="1"/>
    </row>
    <row r="193">
      <c r="E193" s="1"/>
    </row>
    <row r="194">
      <c r="E194" s="1"/>
    </row>
    <row r="195">
      <c r="E195" s="1"/>
    </row>
    <row r="196">
      <c r="E196" s="1"/>
    </row>
    <row r="197">
      <c r="E197" s="1"/>
    </row>
    <row r="198">
      <c r="E198" s="1"/>
    </row>
    <row r="199">
      <c r="E199" s="1"/>
    </row>
    <row r="200">
      <c r="E200" s="1"/>
    </row>
    <row r="201">
      <c r="E201" s="1"/>
    </row>
    <row r="202">
      <c r="E202" s="1"/>
    </row>
    <row r="203">
      <c r="E203" s="1"/>
    </row>
    <row r="204">
      <c r="E204" s="1"/>
    </row>
    <row r="205">
      <c r="E205" s="1"/>
    </row>
    <row r="206">
      <c r="E206" s="1"/>
    </row>
    <row r="207">
      <c r="E207" s="1"/>
    </row>
    <row r="208">
      <c r="E208" s="1"/>
    </row>
    <row r="209">
      <c r="E209" s="1"/>
    </row>
    <row r="210">
      <c r="E210" s="1"/>
    </row>
    <row r="211">
      <c r="E211" s="1"/>
    </row>
    <row r="212">
      <c r="E212" s="1"/>
    </row>
    <row r="213">
      <c r="E213" s="1"/>
    </row>
    <row r="214">
      <c r="E214" s="1"/>
    </row>
    <row r="215">
      <c r="E215" s="1"/>
    </row>
    <row r="216">
      <c r="E216" s="1"/>
    </row>
    <row r="217">
      <c r="E217" s="1"/>
    </row>
    <row r="218">
      <c r="E218" s="1"/>
    </row>
    <row r="219">
      <c r="E219" s="1"/>
    </row>
    <row r="220">
      <c r="E220" s="1"/>
    </row>
    <row r="221">
      <c r="E221" s="1"/>
    </row>
    <row r="222">
      <c r="E222" s="1"/>
    </row>
    <row r="223">
      <c r="E223" s="1"/>
    </row>
    <row r="224">
      <c r="E224" s="1"/>
    </row>
    <row r="225">
      <c r="E225" s="1"/>
    </row>
    <row r="226">
      <c r="E226" s="1"/>
    </row>
    <row r="227">
      <c r="E227" s="1"/>
    </row>
    <row r="228">
      <c r="E228" s="1"/>
    </row>
    <row r="229">
      <c r="E229" s="1"/>
    </row>
    <row r="230">
      <c r="E230" s="1"/>
    </row>
    <row r="231">
      <c r="E231" s="1"/>
    </row>
    <row r="232">
      <c r="E232" s="1"/>
    </row>
    <row r="233">
      <c r="E233" s="1"/>
    </row>
    <row r="234">
      <c r="E234" s="1"/>
    </row>
    <row r="235">
      <c r="E235" s="1"/>
    </row>
    <row r="236">
      <c r="E236" s="1"/>
    </row>
    <row r="237">
      <c r="E237" s="1"/>
    </row>
    <row r="238">
      <c r="E238" s="1"/>
    </row>
    <row r="239">
      <c r="E239" s="1"/>
    </row>
    <row r="240">
      <c r="E240" s="1"/>
    </row>
    <row r="241">
      <c r="E241" s="1"/>
    </row>
    <row r="242">
      <c r="E242" s="1"/>
    </row>
    <row r="243">
      <c r="E243" s="1"/>
    </row>
    <row r="244">
      <c r="E244" s="1"/>
    </row>
    <row r="245">
      <c r="E245" s="1"/>
    </row>
    <row r="246">
      <c r="E246" s="1"/>
    </row>
    <row r="247">
      <c r="E247" s="1"/>
    </row>
    <row r="248">
      <c r="E248" s="1"/>
    </row>
    <row r="249">
      <c r="E249" s="1"/>
    </row>
    <row r="250">
      <c r="E250" s="1"/>
    </row>
    <row r="251">
      <c r="E251" s="1"/>
    </row>
    <row r="252">
      <c r="E252" s="1"/>
    </row>
    <row r="253">
      <c r="E253" s="1"/>
    </row>
    <row r="254">
      <c r="E254" s="1"/>
    </row>
    <row r="255">
      <c r="E255" s="1"/>
    </row>
    <row r="256">
      <c r="E256" s="1"/>
    </row>
    <row r="257">
      <c r="E257" s="1"/>
    </row>
    <row r="258">
      <c r="E258" s="1"/>
    </row>
    <row r="259">
      <c r="E259" s="1"/>
    </row>
    <row r="260">
      <c r="E260" s="1"/>
    </row>
    <row r="261">
      <c r="E261" s="1"/>
    </row>
    <row r="262">
      <c r="E262" s="1"/>
    </row>
    <row r="263">
      <c r="E263" s="1"/>
    </row>
    <row r="264">
      <c r="E264" s="1"/>
    </row>
    <row r="265">
      <c r="E265" s="1"/>
    </row>
    <row r="266">
      <c r="E266" s="1"/>
    </row>
    <row r="267">
      <c r="E267" s="1"/>
    </row>
    <row r="268">
      <c r="E268" s="1"/>
    </row>
    <row r="269">
      <c r="E269" s="1"/>
    </row>
    <row r="270">
      <c r="E270" s="1"/>
    </row>
    <row r="271">
      <c r="E271" s="1"/>
    </row>
    <row r="272">
      <c r="E272" s="1"/>
    </row>
    <row r="273">
      <c r="E273" s="1"/>
    </row>
    <row r="274">
      <c r="E274" s="1"/>
    </row>
    <row r="275">
      <c r="E275" s="1"/>
    </row>
    <row r="276">
      <c r="E276" s="1"/>
    </row>
    <row r="277">
      <c r="E277" s="1"/>
    </row>
    <row r="278">
      <c r="E278" s="1"/>
    </row>
    <row r="279">
      <c r="E279" s="1"/>
    </row>
    <row r="280">
      <c r="E280" s="1"/>
    </row>
    <row r="281">
      <c r="E281" s="1"/>
    </row>
    <row r="282">
      <c r="E282" s="1"/>
    </row>
    <row r="283">
      <c r="E283" s="1"/>
    </row>
    <row r="284">
      <c r="E284" s="1"/>
    </row>
    <row r="285">
      <c r="E285" s="1"/>
    </row>
    <row r="286">
      <c r="E286" s="1"/>
    </row>
    <row r="287">
      <c r="E287" s="1"/>
    </row>
    <row r="288">
      <c r="E288" s="1"/>
    </row>
    <row r="289">
      <c r="E289" s="1"/>
    </row>
    <row r="290">
      <c r="E290" s="1"/>
    </row>
    <row r="291">
      <c r="E291" s="1"/>
    </row>
    <row r="292">
      <c r="E292" s="1"/>
    </row>
    <row r="293">
      <c r="E293" s="1"/>
    </row>
    <row r="294">
      <c r="E294" s="1"/>
    </row>
    <row r="295">
      <c r="E295" s="1"/>
    </row>
    <row r="296">
      <c r="E296" s="1"/>
    </row>
    <row r="297">
      <c r="E297" s="1"/>
    </row>
    <row r="298">
      <c r="E298" s="1"/>
    </row>
    <row r="299">
      <c r="E299" s="1"/>
    </row>
    <row r="300">
      <c r="E300" s="1"/>
    </row>
    <row r="301">
      <c r="E301" s="1"/>
    </row>
    <row r="302">
      <c r="E302" s="1"/>
    </row>
    <row r="303">
      <c r="E303" s="1"/>
    </row>
    <row r="304">
      <c r="E304" s="1"/>
    </row>
    <row r="305">
      <c r="E305" s="1"/>
    </row>
    <row r="306">
      <c r="E306" s="1"/>
    </row>
    <row r="307">
      <c r="E307" s="1"/>
    </row>
    <row r="308">
      <c r="E308" s="1"/>
    </row>
    <row r="309">
      <c r="E309" s="1"/>
    </row>
    <row r="310">
      <c r="E310" s="1"/>
    </row>
    <row r="311">
      <c r="E311" s="1"/>
    </row>
    <row r="312">
      <c r="E312" s="1"/>
    </row>
    <row r="313">
      <c r="E313" s="1"/>
    </row>
    <row r="314">
      <c r="E314" s="1"/>
    </row>
    <row r="315">
      <c r="E315" s="1"/>
    </row>
    <row r="316">
      <c r="E316" s="1"/>
    </row>
    <row r="317">
      <c r="E317" s="1"/>
    </row>
    <row r="318">
      <c r="E318" s="1"/>
    </row>
    <row r="319">
      <c r="E319" s="1"/>
    </row>
    <row r="320">
      <c r="E320" s="1"/>
    </row>
    <row r="321">
      <c r="E321" s="1"/>
    </row>
    <row r="322">
      <c r="E322" s="1"/>
    </row>
    <row r="323">
      <c r="E323" s="1"/>
    </row>
    <row r="324">
      <c r="E324" s="1"/>
    </row>
    <row r="325">
      <c r="E325" s="1"/>
    </row>
    <row r="326">
      <c r="E326" s="1"/>
    </row>
    <row r="327">
      <c r="E327" s="1"/>
    </row>
    <row r="328">
      <c r="E328" s="1"/>
    </row>
    <row r="329">
      <c r="E329" s="1"/>
    </row>
    <row r="330">
      <c r="E330" s="1"/>
    </row>
    <row r="331">
      <c r="E331" s="1"/>
    </row>
    <row r="332">
      <c r="E332" s="1"/>
    </row>
    <row r="333">
      <c r="E333" s="1"/>
    </row>
    <row r="334">
      <c r="E334" s="1"/>
    </row>
    <row r="335">
      <c r="E335" s="1"/>
    </row>
    <row r="336">
      <c r="E336" s="1"/>
    </row>
    <row r="337">
      <c r="E337" s="1"/>
    </row>
    <row r="338">
      <c r="E338" s="1"/>
    </row>
    <row r="339">
      <c r="E339" s="1"/>
    </row>
    <row r="340">
      <c r="E340" s="1"/>
    </row>
    <row r="341">
      <c r="E341" s="1"/>
    </row>
    <row r="342">
      <c r="E342" s="1"/>
    </row>
    <row r="343">
      <c r="E343" s="1"/>
    </row>
    <row r="344">
      <c r="E344" s="1"/>
    </row>
    <row r="345">
      <c r="E345" s="1"/>
    </row>
    <row r="346">
      <c r="E346" s="1"/>
    </row>
    <row r="347">
      <c r="E347" s="1"/>
    </row>
    <row r="348">
      <c r="E348" s="1"/>
    </row>
    <row r="349">
      <c r="E349" s="1"/>
    </row>
    <row r="350">
      <c r="E350" s="1"/>
    </row>
    <row r="351">
      <c r="E351" s="1"/>
    </row>
    <row r="352">
      <c r="E352" s="1"/>
    </row>
    <row r="353">
      <c r="E353" s="1"/>
    </row>
    <row r="354">
      <c r="E354" s="1"/>
    </row>
    <row r="355">
      <c r="E355" s="1"/>
    </row>
    <row r="356">
      <c r="E356" s="1"/>
    </row>
    <row r="357">
      <c r="E357" s="1"/>
    </row>
    <row r="358">
      <c r="E358" s="1"/>
    </row>
    <row r="359">
      <c r="E359" s="1"/>
    </row>
    <row r="360">
      <c r="E360" s="1"/>
    </row>
    <row r="361">
      <c r="E361" s="1"/>
    </row>
    <row r="362">
      <c r="E362" s="1"/>
    </row>
    <row r="363">
      <c r="E363" s="1"/>
    </row>
    <row r="364">
      <c r="E364" s="1"/>
    </row>
    <row r="365">
      <c r="E365" s="1"/>
    </row>
    <row r="366">
      <c r="E366" s="1"/>
    </row>
    <row r="367">
      <c r="E367" s="1"/>
    </row>
    <row r="368">
      <c r="E368" s="1"/>
    </row>
    <row r="369">
      <c r="E369" s="1"/>
    </row>
    <row r="370">
      <c r="E370" s="1"/>
    </row>
    <row r="371">
      <c r="E371" s="1"/>
    </row>
    <row r="372">
      <c r="E372" s="1"/>
    </row>
    <row r="373">
      <c r="E373" s="1"/>
    </row>
    <row r="374">
      <c r="E374" s="1"/>
    </row>
    <row r="375">
      <c r="E375" s="1"/>
    </row>
    <row r="376">
      <c r="E376" s="1"/>
    </row>
    <row r="377">
      <c r="E377" s="1"/>
    </row>
    <row r="378">
      <c r="E378" s="1"/>
    </row>
    <row r="379">
      <c r="E379" s="1"/>
    </row>
    <row r="380">
      <c r="E380" s="1"/>
    </row>
    <row r="381">
      <c r="E381" s="1"/>
    </row>
    <row r="382">
      <c r="E382" s="1"/>
    </row>
    <row r="383">
      <c r="E383" s="1"/>
    </row>
    <row r="384">
      <c r="E384" s="1"/>
    </row>
    <row r="385">
      <c r="E385" s="1"/>
    </row>
    <row r="386">
      <c r="E386" s="1"/>
    </row>
    <row r="387">
      <c r="E387" s="1"/>
    </row>
    <row r="388">
      <c r="E388" s="1"/>
    </row>
    <row r="389">
      <c r="E389" s="1"/>
    </row>
    <row r="390">
      <c r="E390" s="1"/>
    </row>
    <row r="391">
      <c r="E391" s="1"/>
    </row>
    <row r="392">
      <c r="E392" s="1"/>
    </row>
    <row r="393">
      <c r="E393" s="1"/>
    </row>
    <row r="394">
      <c r="E394" s="1"/>
    </row>
    <row r="395">
      <c r="E395" s="1"/>
    </row>
    <row r="396">
      <c r="E396" s="1"/>
    </row>
    <row r="397">
      <c r="E397" s="1"/>
    </row>
    <row r="398">
      <c r="E398" s="1"/>
    </row>
    <row r="399">
      <c r="E399" s="1"/>
    </row>
    <row r="400">
      <c r="E400" s="1"/>
    </row>
    <row r="401">
      <c r="E401" s="1"/>
    </row>
    <row r="402">
      <c r="E402" s="1"/>
    </row>
    <row r="403">
      <c r="E403" s="1"/>
    </row>
    <row r="404">
      <c r="E404" s="1"/>
    </row>
    <row r="405">
      <c r="E405" s="1"/>
    </row>
    <row r="406">
      <c r="E406" s="1"/>
    </row>
    <row r="407">
      <c r="E407" s="1"/>
    </row>
    <row r="408">
      <c r="E408" s="1"/>
    </row>
    <row r="409">
      <c r="E409" s="1"/>
    </row>
    <row r="410">
      <c r="E410" s="1"/>
    </row>
    <row r="411">
      <c r="E411" s="1"/>
    </row>
    <row r="412">
      <c r="E412" s="1"/>
    </row>
    <row r="413">
      <c r="E413" s="1"/>
    </row>
    <row r="414">
      <c r="E414" s="1"/>
    </row>
    <row r="415">
      <c r="E415" s="1"/>
    </row>
    <row r="416">
      <c r="E416" s="1"/>
    </row>
    <row r="417">
      <c r="E417" s="1"/>
    </row>
    <row r="418">
      <c r="E418" s="1"/>
    </row>
    <row r="419">
      <c r="E419" s="1"/>
    </row>
    <row r="420">
      <c r="E420" s="1"/>
    </row>
    <row r="421">
      <c r="E421" s="1"/>
    </row>
    <row r="422">
      <c r="E422" s="1"/>
    </row>
    <row r="423">
      <c r="E423" s="1"/>
    </row>
    <row r="424">
      <c r="E424" s="1"/>
    </row>
    <row r="425">
      <c r="E425" s="1"/>
    </row>
    <row r="426">
      <c r="E426" s="1"/>
    </row>
    <row r="427">
      <c r="E427" s="1"/>
    </row>
    <row r="428">
      <c r="E428" s="1"/>
    </row>
    <row r="429">
      <c r="E429" s="1"/>
    </row>
    <row r="430">
      <c r="E430" s="1"/>
    </row>
    <row r="431">
      <c r="E431" s="1"/>
    </row>
    <row r="432">
      <c r="E432" s="1"/>
    </row>
    <row r="433">
      <c r="E433" s="1"/>
    </row>
    <row r="434">
      <c r="E434" s="1"/>
    </row>
    <row r="435">
      <c r="E435" s="1"/>
    </row>
    <row r="436">
      <c r="E436" s="1"/>
    </row>
    <row r="437">
      <c r="E437" s="1"/>
    </row>
    <row r="438">
      <c r="E438" s="1"/>
    </row>
    <row r="439">
      <c r="E439" s="1"/>
    </row>
    <row r="440">
      <c r="E440" s="1"/>
    </row>
    <row r="441">
      <c r="E441" s="1"/>
    </row>
    <row r="442">
      <c r="E442" s="1"/>
    </row>
    <row r="443">
      <c r="E443" s="1"/>
    </row>
    <row r="444">
      <c r="E444" s="1"/>
    </row>
    <row r="445">
      <c r="E445" s="1"/>
    </row>
    <row r="446">
      <c r="E446" s="1"/>
    </row>
    <row r="447">
      <c r="E447" s="1"/>
    </row>
    <row r="448">
      <c r="E448" s="1"/>
    </row>
    <row r="449">
      <c r="E449" s="1"/>
    </row>
    <row r="450">
      <c r="E450" s="1"/>
    </row>
    <row r="451">
      <c r="E451" s="1"/>
    </row>
    <row r="452">
      <c r="E452" s="1"/>
    </row>
    <row r="453">
      <c r="E453" s="1"/>
    </row>
    <row r="454">
      <c r="E454" s="1"/>
    </row>
    <row r="455">
      <c r="E455" s="1"/>
    </row>
    <row r="456">
      <c r="E456" s="1"/>
    </row>
    <row r="457">
      <c r="E457" s="1"/>
    </row>
    <row r="458">
      <c r="E458" s="1"/>
    </row>
    <row r="459">
      <c r="E459" s="1"/>
    </row>
    <row r="460">
      <c r="E460" s="1"/>
    </row>
    <row r="461">
      <c r="E461" s="1"/>
    </row>
    <row r="462">
      <c r="E462" s="1"/>
    </row>
    <row r="463">
      <c r="E463" s="1"/>
    </row>
    <row r="464">
      <c r="E464" s="1"/>
    </row>
    <row r="465">
      <c r="E465" s="1"/>
    </row>
    <row r="466">
      <c r="E466" s="1"/>
    </row>
    <row r="467">
      <c r="E467" s="1"/>
    </row>
    <row r="468">
      <c r="E468" s="1"/>
    </row>
    <row r="469">
      <c r="E469" s="1"/>
    </row>
    <row r="470">
      <c r="E470" s="1"/>
    </row>
    <row r="471">
      <c r="E471" s="1"/>
    </row>
    <row r="472">
      <c r="E472" s="1"/>
    </row>
    <row r="473">
      <c r="E473" s="1"/>
    </row>
    <row r="474">
      <c r="E474" s="1"/>
    </row>
    <row r="475">
      <c r="E475" s="1"/>
    </row>
    <row r="476">
      <c r="E476" s="1"/>
    </row>
    <row r="477">
      <c r="E477" s="1"/>
    </row>
    <row r="478">
      <c r="E478" s="1"/>
    </row>
    <row r="479">
      <c r="E479" s="1"/>
    </row>
    <row r="480">
      <c r="E480" s="1"/>
    </row>
    <row r="481">
      <c r="E481" s="1"/>
    </row>
    <row r="482">
      <c r="E482" s="1"/>
    </row>
    <row r="483">
      <c r="E483" s="1"/>
    </row>
    <row r="484">
      <c r="E484" s="1"/>
    </row>
    <row r="485">
      <c r="E485" s="1"/>
    </row>
    <row r="486">
      <c r="E486" s="1"/>
    </row>
    <row r="487">
      <c r="E487" s="1"/>
    </row>
    <row r="488">
      <c r="E488" s="1"/>
    </row>
    <row r="489">
      <c r="E489" s="1"/>
    </row>
    <row r="490">
      <c r="E490" s="1"/>
    </row>
    <row r="491">
      <c r="E491" s="1"/>
    </row>
    <row r="492">
      <c r="E492" s="1"/>
    </row>
    <row r="493">
      <c r="E493" s="1"/>
    </row>
    <row r="494">
      <c r="E494" s="1"/>
    </row>
    <row r="495">
      <c r="E495" s="1"/>
    </row>
    <row r="496">
      <c r="E496" s="1"/>
    </row>
    <row r="497">
      <c r="E497" s="1"/>
    </row>
    <row r="498">
      <c r="E498" s="1"/>
    </row>
    <row r="499">
      <c r="E499" s="1"/>
    </row>
    <row r="500">
      <c r="E500" s="1"/>
    </row>
    <row r="501">
      <c r="E501" s="1"/>
    </row>
    <row r="502">
      <c r="E502" s="1"/>
    </row>
    <row r="503">
      <c r="E503" s="1"/>
    </row>
    <row r="504">
      <c r="E504" s="1"/>
    </row>
    <row r="505">
      <c r="E505" s="1"/>
    </row>
    <row r="506">
      <c r="E506" s="1"/>
    </row>
    <row r="507">
      <c r="E507" s="1"/>
    </row>
    <row r="508">
      <c r="E508" s="1"/>
    </row>
    <row r="509">
      <c r="E509" s="1"/>
    </row>
    <row r="510">
      <c r="E510" s="1"/>
    </row>
    <row r="511">
      <c r="E511" s="1"/>
    </row>
    <row r="512">
      <c r="E512" s="1"/>
    </row>
    <row r="513">
      <c r="E513" s="1"/>
    </row>
    <row r="514">
      <c r="E514" s="1"/>
    </row>
    <row r="515">
      <c r="E515" s="1"/>
    </row>
    <row r="516">
      <c r="E516" s="1"/>
    </row>
    <row r="517">
      <c r="E517" s="1"/>
    </row>
    <row r="518">
      <c r="E518" s="1"/>
    </row>
    <row r="519">
      <c r="E519" s="1"/>
    </row>
    <row r="520">
      <c r="E520" s="1"/>
    </row>
    <row r="521">
      <c r="E521" s="1"/>
    </row>
    <row r="522">
      <c r="E522" s="1"/>
    </row>
    <row r="523">
      <c r="E523" s="1"/>
    </row>
    <row r="524">
      <c r="E524" s="1"/>
    </row>
    <row r="525">
      <c r="E525" s="1"/>
    </row>
    <row r="526">
      <c r="E526" s="1"/>
    </row>
    <row r="527">
      <c r="E527" s="1"/>
    </row>
    <row r="528">
      <c r="E528" s="1"/>
    </row>
    <row r="529">
      <c r="E529" s="1"/>
    </row>
    <row r="530">
      <c r="E530" s="1"/>
    </row>
    <row r="531">
      <c r="E531" s="1"/>
    </row>
    <row r="532">
      <c r="E532" s="1"/>
    </row>
    <row r="533">
      <c r="E533" s="1"/>
    </row>
    <row r="534">
      <c r="E534" s="1"/>
    </row>
    <row r="535">
      <c r="E535" s="1"/>
    </row>
    <row r="536">
      <c r="E536" s="1"/>
    </row>
    <row r="537">
      <c r="E537" s="1"/>
    </row>
    <row r="538">
      <c r="E538" s="1"/>
    </row>
    <row r="539">
      <c r="E539" s="1"/>
    </row>
    <row r="540">
      <c r="E540" s="1"/>
    </row>
    <row r="541">
      <c r="E541" s="1"/>
    </row>
    <row r="542">
      <c r="E542" s="1"/>
    </row>
    <row r="543">
      <c r="E543" s="1"/>
    </row>
    <row r="544">
      <c r="E544" s="1"/>
    </row>
    <row r="545">
      <c r="E545" s="1"/>
    </row>
    <row r="546">
      <c r="E546" s="1"/>
    </row>
    <row r="547">
      <c r="E547" s="1"/>
    </row>
    <row r="548">
      <c r="E548" s="1"/>
    </row>
    <row r="549">
      <c r="E549" s="1"/>
    </row>
    <row r="550">
      <c r="E550" s="1"/>
    </row>
    <row r="551">
      <c r="E551" s="1"/>
    </row>
    <row r="552">
      <c r="E552" s="1"/>
    </row>
    <row r="553">
      <c r="E553" s="1"/>
    </row>
    <row r="554">
      <c r="E554" s="1"/>
    </row>
    <row r="555">
      <c r="E555" s="1"/>
    </row>
    <row r="556">
      <c r="E556" s="1"/>
    </row>
    <row r="557">
      <c r="E557" s="1"/>
    </row>
    <row r="558">
      <c r="E558" s="1"/>
    </row>
    <row r="559">
      <c r="E559" s="1"/>
    </row>
    <row r="560">
      <c r="E560" s="1"/>
    </row>
    <row r="561">
      <c r="E561" s="1"/>
    </row>
    <row r="562">
      <c r="E562" s="1"/>
    </row>
    <row r="563">
      <c r="E563" s="1"/>
    </row>
    <row r="564">
      <c r="E564" s="1"/>
    </row>
    <row r="565">
      <c r="E565" s="1"/>
    </row>
    <row r="566">
      <c r="E566" s="1"/>
    </row>
    <row r="567">
      <c r="E567" s="1"/>
    </row>
    <row r="568">
      <c r="E568" s="1"/>
    </row>
    <row r="569">
      <c r="E569" s="1"/>
    </row>
    <row r="570">
      <c r="E570" s="1"/>
    </row>
    <row r="571">
      <c r="E571" s="1"/>
    </row>
    <row r="572">
      <c r="E572" s="1"/>
    </row>
    <row r="573">
      <c r="E573" s="1"/>
    </row>
    <row r="574">
      <c r="E574" s="1"/>
    </row>
    <row r="575">
      <c r="E575" s="1"/>
    </row>
    <row r="576">
      <c r="E576" s="1"/>
    </row>
    <row r="577">
      <c r="E577" s="1"/>
    </row>
    <row r="578">
      <c r="E578" s="1"/>
    </row>
    <row r="579">
      <c r="E579" s="1"/>
    </row>
    <row r="580">
      <c r="E580" s="1"/>
    </row>
    <row r="581">
      <c r="E581" s="1"/>
    </row>
    <row r="582">
      <c r="E582" s="1"/>
    </row>
    <row r="583">
      <c r="E583" s="1"/>
    </row>
    <row r="584">
      <c r="E584" s="1"/>
    </row>
    <row r="585">
      <c r="E585" s="1"/>
    </row>
    <row r="586">
      <c r="E586" s="1"/>
    </row>
    <row r="587">
      <c r="E587" s="1"/>
    </row>
    <row r="588">
      <c r="E588" s="1"/>
    </row>
    <row r="589">
      <c r="E589" s="1"/>
    </row>
    <row r="590">
      <c r="E590" s="1"/>
    </row>
    <row r="591">
      <c r="E591" s="1"/>
    </row>
    <row r="592">
      <c r="E592" s="1"/>
    </row>
    <row r="593">
      <c r="E593" s="1"/>
    </row>
    <row r="594">
      <c r="E594" s="1"/>
    </row>
    <row r="595">
      <c r="E595" s="1"/>
    </row>
    <row r="596">
      <c r="E596" s="1"/>
    </row>
    <row r="597">
      <c r="E597" s="1"/>
    </row>
    <row r="598">
      <c r="E598" s="1"/>
    </row>
    <row r="599">
      <c r="E599" s="1"/>
    </row>
    <row r="600">
      <c r="E600" s="1"/>
    </row>
    <row r="601">
      <c r="E601" s="1"/>
    </row>
    <row r="602">
      <c r="E602" s="1"/>
    </row>
    <row r="603">
      <c r="E603" s="1"/>
    </row>
    <row r="604">
      <c r="E604" s="1"/>
    </row>
    <row r="605">
      <c r="E605" s="1"/>
    </row>
    <row r="606">
      <c r="E606" s="1"/>
    </row>
    <row r="607">
      <c r="E607" s="1"/>
    </row>
    <row r="608">
      <c r="E608" s="1"/>
    </row>
    <row r="609">
      <c r="E609" s="1"/>
    </row>
    <row r="610">
      <c r="E610" s="1"/>
    </row>
    <row r="611">
      <c r="E611" s="1"/>
    </row>
    <row r="612">
      <c r="E612" s="1"/>
    </row>
    <row r="613">
      <c r="E613" s="1"/>
    </row>
    <row r="614">
      <c r="E614" s="1"/>
    </row>
    <row r="615">
      <c r="E615" s="1"/>
    </row>
    <row r="616">
      <c r="E616" s="1"/>
    </row>
    <row r="617">
      <c r="E617" s="1"/>
    </row>
    <row r="618">
      <c r="E618" s="1"/>
    </row>
    <row r="619">
      <c r="E619" s="1"/>
    </row>
    <row r="620">
      <c r="E620" s="1"/>
    </row>
    <row r="621">
      <c r="E621" s="1"/>
    </row>
    <row r="622">
      <c r="E622" s="1"/>
    </row>
    <row r="623">
      <c r="E623" s="1"/>
    </row>
    <row r="624">
      <c r="E624" s="1"/>
    </row>
    <row r="625">
      <c r="E625" s="1"/>
    </row>
    <row r="626">
      <c r="E626" s="1"/>
    </row>
    <row r="627">
      <c r="E627" s="1"/>
    </row>
    <row r="628">
      <c r="E628" s="1"/>
    </row>
    <row r="629">
      <c r="E629" s="1"/>
    </row>
    <row r="630">
      <c r="E630" s="1"/>
    </row>
    <row r="631">
      <c r="E631" s="1"/>
    </row>
    <row r="632">
      <c r="E632" s="1"/>
    </row>
    <row r="633">
      <c r="E633" s="1"/>
    </row>
    <row r="634">
      <c r="E634" s="1"/>
    </row>
    <row r="635">
      <c r="E635" s="1"/>
    </row>
    <row r="636">
      <c r="E636" s="1"/>
    </row>
    <row r="637">
      <c r="E637" s="1"/>
    </row>
    <row r="638">
      <c r="E638" s="1"/>
    </row>
    <row r="639">
      <c r="E639" s="1"/>
    </row>
    <row r="640">
      <c r="E640" s="1"/>
    </row>
    <row r="641">
      <c r="E641" s="1"/>
    </row>
    <row r="642">
      <c r="E642" s="1"/>
    </row>
    <row r="643">
      <c r="E643" s="1"/>
    </row>
    <row r="644">
      <c r="E644" s="1"/>
    </row>
    <row r="645">
      <c r="E645" s="1"/>
    </row>
    <row r="646">
      <c r="E646" s="1"/>
    </row>
    <row r="647">
      <c r="E647" s="1"/>
    </row>
    <row r="648">
      <c r="E648" s="1"/>
    </row>
    <row r="649">
      <c r="E649" s="1"/>
    </row>
    <row r="650">
      <c r="E650" s="1"/>
    </row>
    <row r="651">
      <c r="E651" s="1"/>
    </row>
    <row r="652">
      <c r="E652" s="1"/>
    </row>
    <row r="653">
      <c r="E653" s="1"/>
    </row>
    <row r="654">
      <c r="E654" s="1"/>
    </row>
    <row r="655">
      <c r="E655" s="1"/>
    </row>
    <row r="656">
      <c r="E656" s="1"/>
    </row>
    <row r="657">
      <c r="E657" s="1"/>
    </row>
    <row r="658">
      <c r="E658" s="1"/>
    </row>
    <row r="659">
      <c r="E659" s="1"/>
    </row>
    <row r="660">
      <c r="E660" s="1"/>
    </row>
    <row r="661">
      <c r="E661" s="1"/>
    </row>
    <row r="662">
      <c r="E662" s="1"/>
    </row>
    <row r="663">
      <c r="E663" s="1"/>
    </row>
    <row r="664">
      <c r="E664" s="1"/>
    </row>
    <row r="665">
      <c r="E665" s="1"/>
    </row>
    <row r="666">
      <c r="E666" s="1"/>
    </row>
    <row r="667">
      <c r="E667" s="1"/>
    </row>
    <row r="668">
      <c r="E668" s="1"/>
    </row>
    <row r="669">
      <c r="E669" s="1"/>
    </row>
    <row r="670">
      <c r="E670" s="1"/>
    </row>
    <row r="671">
      <c r="E671" s="1"/>
    </row>
    <row r="672">
      <c r="E672" s="1"/>
    </row>
    <row r="673">
      <c r="E673" s="1"/>
    </row>
    <row r="674">
      <c r="E674" s="1"/>
    </row>
    <row r="675">
      <c r="E675" s="1"/>
    </row>
    <row r="676">
      <c r="E676" s="1"/>
    </row>
    <row r="677">
      <c r="E677" s="1"/>
    </row>
    <row r="678">
      <c r="E678" s="1"/>
    </row>
    <row r="679">
      <c r="E679" s="1"/>
    </row>
    <row r="680">
      <c r="E680" s="1"/>
    </row>
    <row r="681">
      <c r="E681" s="1"/>
    </row>
    <row r="682">
      <c r="E682" s="1"/>
    </row>
    <row r="683">
      <c r="E683" s="1"/>
    </row>
    <row r="684">
      <c r="E684" s="1"/>
    </row>
    <row r="685">
      <c r="E685" s="1"/>
    </row>
    <row r="686">
      <c r="E686" s="1"/>
    </row>
    <row r="687">
      <c r="E687" s="1"/>
    </row>
    <row r="688">
      <c r="E688" s="1"/>
    </row>
    <row r="689">
      <c r="E689" s="1"/>
    </row>
    <row r="690">
      <c r="E690" s="1"/>
    </row>
    <row r="691">
      <c r="E691" s="1"/>
    </row>
    <row r="692">
      <c r="E692" s="1"/>
    </row>
    <row r="693">
      <c r="E693" s="1"/>
    </row>
    <row r="694">
      <c r="E694" s="1"/>
    </row>
    <row r="695">
      <c r="E695" s="1"/>
    </row>
    <row r="696">
      <c r="E696" s="1"/>
    </row>
    <row r="697">
      <c r="E697" s="1"/>
    </row>
    <row r="698">
      <c r="E698" s="1"/>
    </row>
    <row r="699">
      <c r="E699" s="1"/>
    </row>
    <row r="700">
      <c r="E700" s="1"/>
    </row>
    <row r="701">
      <c r="E701" s="1"/>
    </row>
    <row r="702">
      <c r="E702" s="1"/>
    </row>
    <row r="703">
      <c r="E703" s="1"/>
    </row>
    <row r="704">
      <c r="E704" s="1"/>
    </row>
    <row r="705">
      <c r="E705" s="1"/>
    </row>
    <row r="706">
      <c r="E706" s="1"/>
    </row>
    <row r="707">
      <c r="E707" s="1"/>
    </row>
    <row r="708">
      <c r="E708" s="1"/>
    </row>
    <row r="709">
      <c r="E709" s="1"/>
    </row>
    <row r="710">
      <c r="E710" s="1"/>
    </row>
    <row r="711">
      <c r="E711" s="1"/>
    </row>
    <row r="712">
      <c r="E712" s="1"/>
    </row>
    <row r="713">
      <c r="E713" s="1"/>
    </row>
    <row r="714">
      <c r="E714" s="1"/>
    </row>
    <row r="715">
      <c r="E715" s="1"/>
    </row>
    <row r="716">
      <c r="E716" s="1"/>
    </row>
    <row r="717">
      <c r="E717" s="1"/>
    </row>
    <row r="718">
      <c r="E718" s="1"/>
    </row>
    <row r="719">
      <c r="E719" s="1"/>
    </row>
    <row r="720">
      <c r="E720" s="1"/>
    </row>
    <row r="721">
      <c r="E721" s="1"/>
    </row>
    <row r="722">
      <c r="E722" s="1"/>
    </row>
    <row r="723">
      <c r="E723" s="1"/>
    </row>
    <row r="724">
      <c r="E724" s="1"/>
    </row>
    <row r="725">
      <c r="E725" s="1"/>
    </row>
    <row r="726">
      <c r="E726" s="1"/>
    </row>
    <row r="727">
      <c r="E727" s="1"/>
    </row>
    <row r="728">
      <c r="E728" s="1"/>
    </row>
    <row r="729">
      <c r="E729" s="1"/>
    </row>
    <row r="730">
      <c r="E730" s="1"/>
    </row>
    <row r="731">
      <c r="E731" s="1"/>
    </row>
    <row r="732">
      <c r="E732" s="1"/>
    </row>
    <row r="733">
      <c r="E733" s="1"/>
    </row>
    <row r="734">
      <c r="E734" s="1"/>
    </row>
    <row r="735">
      <c r="E735" s="1"/>
    </row>
    <row r="736">
      <c r="E736" s="1"/>
    </row>
    <row r="737">
      <c r="E737" s="1"/>
    </row>
    <row r="738">
      <c r="E738" s="1"/>
    </row>
    <row r="739">
      <c r="E739" s="1"/>
    </row>
    <row r="740">
      <c r="E740" s="1"/>
    </row>
    <row r="741">
      <c r="E741" s="1"/>
    </row>
    <row r="742">
      <c r="E742" s="1"/>
    </row>
    <row r="743">
      <c r="E743" s="1"/>
    </row>
    <row r="744">
      <c r="E744" s="1"/>
    </row>
    <row r="745">
      <c r="E745" s="1"/>
    </row>
    <row r="746">
      <c r="E746" s="1"/>
    </row>
    <row r="747">
      <c r="E747" s="1"/>
    </row>
    <row r="748">
      <c r="E748" s="1"/>
    </row>
    <row r="749">
      <c r="E749" s="1"/>
    </row>
    <row r="750">
      <c r="E750" s="1"/>
    </row>
    <row r="751">
      <c r="E751" s="1"/>
    </row>
    <row r="752">
      <c r="E752" s="1"/>
    </row>
    <row r="753">
      <c r="E753" s="1"/>
    </row>
    <row r="754">
      <c r="E754" s="1"/>
    </row>
    <row r="755">
      <c r="E755" s="1"/>
    </row>
    <row r="756">
      <c r="E756" s="1"/>
    </row>
    <row r="757">
      <c r="E757" s="1"/>
    </row>
    <row r="758">
      <c r="E758" s="1"/>
    </row>
    <row r="759">
      <c r="E759" s="1"/>
    </row>
    <row r="760">
      <c r="E760" s="1"/>
    </row>
    <row r="761">
      <c r="E761" s="1"/>
    </row>
    <row r="762">
      <c r="E762" s="1"/>
    </row>
    <row r="763">
      <c r="E763" s="1"/>
    </row>
    <row r="764">
      <c r="E764" s="1"/>
    </row>
    <row r="765">
      <c r="E765" s="1"/>
    </row>
    <row r="766">
      <c r="E766" s="1"/>
    </row>
    <row r="767">
      <c r="E767" s="1"/>
    </row>
    <row r="768">
      <c r="E768" s="1"/>
    </row>
    <row r="769">
      <c r="E769" s="1"/>
    </row>
    <row r="770">
      <c r="E770" s="1"/>
    </row>
    <row r="771">
      <c r="E771" s="1"/>
    </row>
    <row r="772">
      <c r="E772" s="1"/>
    </row>
    <row r="773">
      <c r="E773" s="1"/>
    </row>
    <row r="774">
      <c r="E774" s="1"/>
    </row>
    <row r="775">
      <c r="E775" s="1"/>
    </row>
    <row r="776">
      <c r="E776" s="1"/>
    </row>
    <row r="777">
      <c r="E777" s="1"/>
    </row>
    <row r="778">
      <c r="E778" s="1"/>
    </row>
    <row r="779">
      <c r="E779" s="1"/>
    </row>
    <row r="780">
      <c r="E780" s="1"/>
    </row>
    <row r="781">
      <c r="E781" s="1"/>
    </row>
    <row r="782">
      <c r="E782" s="1"/>
    </row>
    <row r="783">
      <c r="E783" s="1"/>
    </row>
    <row r="784">
      <c r="E784" s="1"/>
    </row>
    <row r="785">
      <c r="E785" s="1"/>
    </row>
    <row r="786">
      <c r="E786" s="1"/>
    </row>
    <row r="787">
      <c r="E787" s="1"/>
    </row>
    <row r="788">
      <c r="E788" s="1"/>
    </row>
    <row r="789">
      <c r="E789" s="1"/>
    </row>
    <row r="790">
      <c r="E790" s="1"/>
    </row>
    <row r="791">
      <c r="E791" s="1"/>
    </row>
    <row r="792">
      <c r="E792" s="1"/>
    </row>
    <row r="793">
      <c r="E793" s="1"/>
    </row>
    <row r="794">
      <c r="E794" s="1"/>
    </row>
    <row r="795">
      <c r="E795" s="1"/>
    </row>
    <row r="796">
      <c r="E796" s="1"/>
    </row>
    <row r="797">
      <c r="E797" s="1"/>
    </row>
    <row r="798">
      <c r="E798" s="1"/>
    </row>
    <row r="799">
      <c r="E799" s="1"/>
    </row>
    <row r="800">
      <c r="E800" s="1"/>
    </row>
    <row r="801">
      <c r="E801" s="1"/>
    </row>
    <row r="802">
      <c r="E802" s="1"/>
    </row>
    <row r="803">
      <c r="E803" s="1"/>
    </row>
    <row r="804">
      <c r="E804" s="1"/>
    </row>
    <row r="805">
      <c r="E805" s="1"/>
    </row>
    <row r="806">
      <c r="E806" s="1"/>
    </row>
    <row r="807">
      <c r="E807" s="1"/>
    </row>
    <row r="808">
      <c r="E808" s="1"/>
    </row>
    <row r="809">
      <c r="E809" s="1"/>
    </row>
    <row r="810">
      <c r="E810" s="1"/>
    </row>
    <row r="811">
      <c r="E811" s="1"/>
    </row>
    <row r="812">
      <c r="E812" s="1"/>
    </row>
    <row r="813">
      <c r="E813" s="1"/>
    </row>
    <row r="814">
      <c r="E814" s="1"/>
    </row>
    <row r="815">
      <c r="E815" s="1"/>
    </row>
    <row r="816">
      <c r="E816" s="1"/>
    </row>
    <row r="817">
      <c r="E817" s="1"/>
    </row>
    <row r="818">
      <c r="E818" s="1"/>
    </row>
    <row r="819">
      <c r="E819" s="1"/>
    </row>
    <row r="820">
      <c r="E820" s="1"/>
    </row>
    <row r="821">
      <c r="E821" s="1"/>
    </row>
    <row r="822">
      <c r="E822" s="1"/>
    </row>
    <row r="823">
      <c r="E823" s="1"/>
    </row>
    <row r="824">
      <c r="E824" s="1"/>
    </row>
    <row r="825">
      <c r="E825" s="1"/>
    </row>
    <row r="826">
      <c r="E826" s="1"/>
    </row>
    <row r="827">
      <c r="E827" s="1"/>
    </row>
    <row r="828">
      <c r="E828" s="1"/>
    </row>
    <row r="829">
      <c r="E829" s="1"/>
    </row>
    <row r="830">
      <c r="E830" s="1"/>
    </row>
    <row r="831">
      <c r="E831" s="1"/>
    </row>
    <row r="832">
      <c r="E832" s="1"/>
    </row>
    <row r="833">
      <c r="E833" s="1"/>
    </row>
    <row r="834">
      <c r="E834" s="1"/>
    </row>
    <row r="835">
      <c r="E835" s="1"/>
    </row>
    <row r="836">
      <c r="E836" s="1"/>
    </row>
    <row r="837">
      <c r="E837" s="1"/>
    </row>
    <row r="838">
      <c r="E838" s="1"/>
    </row>
    <row r="839">
      <c r="E839" s="1"/>
    </row>
    <row r="840">
      <c r="E840" s="1"/>
    </row>
    <row r="841">
      <c r="E841" s="1"/>
    </row>
    <row r="842">
      <c r="E842" s="1"/>
    </row>
    <row r="843">
      <c r="E843" s="1"/>
    </row>
    <row r="844">
      <c r="E844" s="1"/>
    </row>
    <row r="845">
      <c r="E845" s="1"/>
    </row>
    <row r="846">
      <c r="E846" s="1"/>
    </row>
    <row r="847">
      <c r="E847" s="1"/>
    </row>
    <row r="848">
      <c r="E848" s="1"/>
    </row>
    <row r="849">
      <c r="E849" s="1"/>
    </row>
    <row r="850">
      <c r="E850" s="1"/>
    </row>
    <row r="851">
      <c r="E851" s="1"/>
    </row>
    <row r="852">
      <c r="E852" s="1"/>
    </row>
    <row r="853">
      <c r="E853" s="1"/>
    </row>
    <row r="854">
      <c r="E854" s="1"/>
    </row>
    <row r="855">
      <c r="E855" s="1"/>
    </row>
    <row r="856">
      <c r="E856" s="1"/>
    </row>
    <row r="857">
      <c r="E857" s="1"/>
    </row>
    <row r="858">
      <c r="E858" s="1"/>
    </row>
    <row r="859">
      <c r="E859" s="1"/>
    </row>
    <row r="860">
      <c r="E860" s="1"/>
    </row>
    <row r="861">
      <c r="E861" s="1"/>
    </row>
    <row r="862">
      <c r="E862" s="1"/>
    </row>
    <row r="863">
      <c r="E863" s="1"/>
    </row>
    <row r="864">
      <c r="E864" s="1"/>
    </row>
    <row r="865">
      <c r="E865" s="1"/>
    </row>
    <row r="866">
      <c r="E866" s="1"/>
    </row>
    <row r="867">
      <c r="E867" s="1"/>
    </row>
    <row r="868">
      <c r="E868" s="1"/>
    </row>
    <row r="869">
      <c r="E869" s="1"/>
    </row>
    <row r="870">
      <c r="E870" s="1"/>
    </row>
    <row r="871">
      <c r="E871" s="1"/>
    </row>
    <row r="872">
      <c r="E872" s="1"/>
    </row>
    <row r="873">
      <c r="E873" s="1"/>
    </row>
    <row r="874">
      <c r="E874" s="1"/>
    </row>
    <row r="875">
      <c r="E875" s="1"/>
    </row>
    <row r="876">
      <c r="E876" s="1"/>
    </row>
    <row r="877">
      <c r="E877" s="1"/>
    </row>
    <row r="878">
      <c r="E878" s="1"/>
    </row>
    <row r="879">
      <c r="E879" s="1"/>
    </row>
    <row r="880">
      <c r="E880" s="1"/>
    </row>
    <row r="881">
      <c r="E881" s="1"/>
    </row>
    <row r="882">
      <c r="E882" s="1"/>
    </row>
    <row r="883">
      <c r="E883" s="1"/>
    </row>
    <row r="884">
      <c r="E884" s="1"/>
    </row>
    <row r="885">
      <c r="E885" s="1"/>
    </row>
    <row r="886">
      <c r="E886" s="1"/>
    </row>
    <row r="887">
      <c r="E887" s="1"/>
    </row>
    <row r="888">
      <c r="E888" s="1"/>
    </row>
    <row r="889">
      <c r="E889" s="1"/>
    </row>
    <row r="890">
      <c r="E890" s="1"/>
    </row>
    <row r="891">
      <c r="E891" s="1"/>
    </row>
    <row r="892">
      <c r="E892" s="1"/>
    </row>
    <row r="893">
      <c r="E893" s="1"/>
    </row>
    <row r="894">
      <c r="E894" s="1"/>
    </row>
    <row r="895">
      <c r="E895" s="1"/>
    </row>
    <row r="896">
      <c r="E896" s="1"/>
    </row>
    <row r="897">
      <c r="E897" s="1"/>
    </row>
    <row r="898">
      <c r="E898" s="1"/>
    </row>
    <row r="899">
      <c r="E899" s="1"/>
    </row>
    <row r="900">
      <c r="E900" s="1"/>
    </row>
    <row r="901">
      <c r="E901" s="1"/>
    </row>
    <row r="902">
      <c r="E902" s="1"/>
    </row>
    <row r="903">
      <c r="E903" s="1"/>
    </row>
    <row r="904">
      <c r="E904" s="1"/>
    </row>
    <row r="905">
      <c r="E905" s="1"/>
    </row>
    <row r="906">
      <c r="E906" s="1"/>
    </row>
    <row r="907">
      <c r="E907" s="1"/>
    </row>
    <row r="908">
      <c r="E908" s="1"/>
    </row>
    <row r="909">
      <c r="E909" s="1"/>
    </row>
    <row r="910">
      <c r="E910" s="1"/>
    </row>
    <row r="911">
      <c r="E911" s="1"/>
    </row>
    <row r="912">
      <c r="E912" s="1"/>
    </row>
    <row r="913">
      <c r="E913" s="1"/>
    </row>
    <row r="914">
      <c r="E914" s="1"/>
    </row>
    <row r="915">
      <c r="E915" s="1"/>
    </row>
    <row r="916">
      <c r="E916" s="1"/>
    </row>
    <row r="917">
      <c r="E917" s="1"/>
    </row>
    <row r="918">
      <c r="E918" s="1"/>
    </row>
    <row r="919">
      <c r="E919" s="1"/>
    </row>
    <row r="920">
      <c r="E920" s="1"/>
    </row>
    <row r="921">
      <c r="E921" s="1"/>
    </row>
    <row r="922">
      <c r="E922" s="1"/>
    </row>
    <row r="923">
      <c r="E923" s="1"/>
    </row>
    <row r="924">
      <c r="E924" s="1"/>
    </row>
    <row r="925">
      <c r="E925" s="1"/>
    </row>
    <row r="926">
      <c r="E926" s="1"/>
    </row>
    <row r="927">
      <c r="E927" s="1"/>
    </row>
    <row r="928">
      <c r="E928" s="1"/>
    </row>
    <row r="929">
      <c r="E929" s="1"/>
    </row>
    <row r="930">
      <c r="E930" s="1"/>
    </row>
    <row r="931">
      <c r="E931" s="1"/>
    </row>
  </sheetData>
  <conditionalFormatting sqref="G7:G37">
    <cfRule type="expression" dxfId="5" priority="1">
      <formula>$G7&gt;=$O$9</formula>
    </cfRule>
  </conditionalFormatting>
  <conditionalFormatting sqref="N3">
    <cfRule type="expression" dxfId="5" priority="2">
      <formula>N3&gt;=O8</formula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4" max="4" width="22.0"/>
    <col customWidth="1" min="5" max="5" width="15.0"/>
    <col customWidth="1" min="9" max="9" width="18.38"/>
    <col customWidth="1" min="11" max="11" width="18.5"/>
    <col customWidth="1" min="14" max="14" width="18.38"/>
    <col customWidth="1" min="15" max="15" width="15.88"/>
    <col customWidth="1" min="16" max="16" width="18.5"/>
    <col customWidth="1" min="17" max="17" width="17.0"/>
    <col customWidth="1" min="22" max="22" width="19.38"/>
  </cols>
  <sheetData>
    <row r="1">
      <c r="E1" s="1"/>
    </row>
    <row r="2">
      <c r="E2" s="1"/>
      <c r="K2" s="2" t="s">
        <v>0</v>
      </c>
      <c r="L2" s="3" t="s">
        <v>1</v>
      </c>
      <c r="M2" s="4" t="s">
        <v>2</v>
      </c>
      <c r="N2" s="4" t="s">
        <v>3</v>
      </c>
    </row>
    <row r="3">
      <c r="E3" s="1"/>
      <c r="K3" s="5" t="s">
        <v>4</v>
      </c>
      <c r="L3" s="6">
        <f t="shared" ref="L3:M3" si="1">sum(E7:E37)</f>
        <v>0</v>
      </c>
      <c r="M3" s="3">
        <f t="shared" si="1"/>
        <v>0</v>
      </c>
      <c r="N3" s="7">
        <f>M3*Sumario!N4</f>
        <v>0</v>
      </c>
      <c r="O3" s="7">
        <f>Sumario!N4</f>
        <v>0.87762</v>
      </c>
    </row>
    <row r="4">
      <c r="B4" s="64" t="s">
        <v>78</v>
      </c>
      <c r="C4" s="10"/>
      <c r="D4" s="10"/>
      <c r="E4" s="11"/>
      <c r="F4" s="10"/>
      <c r="G4" s="10"/>
      <c r="H4" s="10"/>
      <c r="I4" s="10"/>
      <c r="J4" s="10"/>
      <c r="K4" s="10"/>
      <c r="L4" s="10"/>
    </row>
    <row r="5">
      <c r="B5" s="64" t="s">
        <v>8</v>
      </c>
      <c r="C5" s="64" t="s">
        <v>9</v>
      </c>
      <c r="D5" s="64" t="s">
        <v>11</v>
      </c>
      <c r="E5" s="64" t="s">
        <v>12</v>
      </c>
      <c r="F5" s="64" t="s">
        <v>13</v>
      </c>
      <c r="G5" s="12" t="s">
        <v>14</v>
      </c>
      <c r="H5" s="12"/>
      <c r="I5" s="13"/>
      <c r="J5" s="14"/>
      <c r="K5" s="15"/>
      <c r="L5" s="10"/>
    </row>
    <row r="6">
      <c r="B6" s="10"/>
      <c r="C6" s="10"/>
      <c r="D6" s="10"/>
      <c r="E6" s="10"/>
      <c r="F6" s="16"/>
      <c r="G6" s="10"/>
      <c r="H6" s="15" t="s">
        <v>15</v>
      </c>
      <c r="I6" s="10"/>
      <c r="J6" s="10"/>
      <c r="K6" s="10"/>
      <c r="L6" s="10"/>
    </row>
    <row r="7">
      <c r="B7" s="10"/>
      <c r="C7" s="15" t="s">
        <v>16</v>
      </c>
      <c r="D7" s="16"/>
      <c r="E7" s="17"/>
      <c r="F7" s="19"/>
      <c r="G7" s="11">
        <f t="shared" ref="G7:G37" si="2">E7+(F7*$O$3)</f>
        <v>0</v>
      </c>
      <c r="H7" s="24">
        <f t="shared" ref="H7:H37" si="3">G7/$O$9</f>
        <v>0</v>
      </c>
      <c r="I7" s="25">
        <f t="shared" ref="I7:I37" si="4">315+G7</f>
        <v>315</v>
      </c>
      <c r="J7" s="10"/>
      <c r="K7" s="10"/>
      <c r="L7" s="10"/>
    </row>
    <row r="8">
      <c r="B8" s="10"/>
      <c r="C8" s="15" t="s">
        <v>20</v>
      </c>
      <c r="D8" s="16"/>
      <c r="E8" s="17"/>
      <c r="F8" s="19"/>
      <c r="G8" s="11">
        <f t="shared" si="2"/>
        <v>0</v>
      </c>
      <c r="H8" s="24">
        <f t="shared" si="3"/>
        <v>0</v>
      </c>
      <c r="I8" s="25">
        <f t="shared" si="4"/>
        <v>315</v>
      </c>
      <c r="J8" s="10"/>
      <c r="K8" s="10"/>
      <c r="L8" s="10"/>
      <c r="N8" s="31" t="s">
        <v>15</v>
      </c>
      <c r="O8" s="31">
        <v>2500.0</v>
      </c>
      <c r="P8" s="34">
        <f>O8-Sumario!K16</f>
        <v>2500</v>
      </c>
    </row>
    <row r="9">
      <c r="B9" s="10"/>
      <c r="C9" s="15" t="s">
        <v>27</v>
      </c>
      <c r="D9" s="16"/>
      <c r="E9" s="40"/>
      <c r="F9" s="41"/>
      <c r="G9" s="11">
        <f t="shared" si="2"/>
        <v>0</v>
      </c>
      <c r="H9" s="24">
        <f t="shared" si="3"/>
        <v>0</v>
      </c>
      <c r="I9" s="25">
        <f t="shared" si="4"/>
        <v>315</v>
      </c>
      <c r="J9" s="10"/>
      <c r="K9" s="10"/>
      <c r="L9" s="15">
        <v>7245.0</v>
      </c>
      <c r="N9" s="31" t="s">
        <v>28</v>
      </c>
      <c r="O9" s="4">
        <f>O8/21</f>
        <v>119.047619</v>
      </c>
      <c r="P9" s="36">
        <f>P8/O8</f>
        <v>1</v>
      </c>
    </row>
    <row r="10">
      <c r="B10" s="10"/>
      <c r="C10" s="15" t="s">
        <v>29</v>
      </c>
      <c r="D10" s="16"/>
      <c r="E10" s="17"/>
      <c r="F10" s="41"/>
      <c r="G10" s="11">
        <f t="shared" si="2"/>
        <v>0</v>
      </c>
      <c r="H10" s="24">
        <f t="shared" si="3"/>
        <v>0</v>
      </c>
      <c r="I10" s="25">
        <f t="shared" si="4"/>
        <v>315</v>
      </c>
      <c r="J10" s="10"/>
      <c r="K10" s="10"/>
      <c r="L10" s="38">
        <f>L9+Sumario!K16</f>
        <v>7245</v>
      </c>
    </row>
    <row r="11">
      <c r="B11" s="10"/>
      <c r="C11" s="15" t="s">
        <v>30</v>
      </c>
      <c r="D11" s="16"/>
      <c r="E11" s="40"/>
      <c r="F11" s="19"/>
      <c r="G11" s="11">
        <f t="shared" si="2"/>
        <v>0</v>
      </c>
      <c r="H11" s="24">
        <f t="shared" si="3"/>
        <v>0</v>
      </c>
      <c r="I11" s="25">
        <f t="shared" si="4"/>
        <v>315</v>
      </c>
      <c r="J11" s="10"/>
      <c r="K11" s="10"/>
      <c r="L11" s="10"/>
    </row>
    <row r="12">
      <c r="B12" s="15"/>
      <c r="C12" s="15" t="s">
        <v>31</v>
      </c>
      <c r="D12" s="20"/>
      <c r="E12" s="40"/>
      <c r="F12" s="41"/>
      <c r="G12" s="11">
        <f t="shared" si="2"/>
        <v>0</v>
      </c>
      <c r="H12" s="24">
        <f t="shared" si="3"/>
        <v>0</v>
      </c>
      <c r="I12" s="25">
        <f t="shared" si="4"/>
        <v>315</v>
      </c>
      <c r="J12" s="15"/>
      <c r="K12" s="15"/>
      <c r="L12" s="10"/>
    </row>
    <row r="13">
      <c r="B13" s="15"/>
      <c r="C13" s="15" t="s">
        <v>32</v>
      </c>
      <c r="D13" s="20"/>
      <c r="E13" s="40"/>
      <c r="F13" s="19"/>
      <c r="G13" s="11">
        <f t="shared" si="2"/>
        <v>0</v>
      </c>
      <c r="H13" s="24">
        <f t="shared" si="3"/>
        <v>0</v>
      </c>
      <c r="I13" s="25">
        <f t="shared" si="4"/>
        <v>315</v>
      </c>
      <c r="J13" s="15"/>
      <c r="K13" s="15"/>
      <c r="L13" s="10"/>
    </row>
    <row r="14">
      <c r="B14" s="15"/>
      <c r="C14" s="15" t="s">
        <v>33</v>
      </c>
      <c r="D14" s="20"/>
      <c r="E14" s="40"/>
      <c r="F14" s="41"/>
      <c r="G14" s="11">
        <f t="shared" si="2"/>
        <v>0</v>
      </c>
      <c r="H14" s="24">
        <f t="shared" si="3"/>
        <v>0</v>
      </c>
      <c r="I14" s="25">
        <f t="shared" si="4"/>
        <v>315</v>
      </c>
      <c r="J14" s="15"/>
      <c r="K14" s="15"/>
      <c r="L14" s="10"/>
    </row>
    <row r="15">
      <c r="B15" s="15"/>
      <c r="C15" s="15" t="s">
        <v>34</v>
      </c>
      <c r="D15" s="20"/>
      <c r="E15" s="40"/>
      <c r="F15" s="19"/>
      <c r="G15" s="11">
        <f t="shared" si="2"/>
        <v>0</v>
      </c>
      <c r="H15" s="24">
        <f t="shared" si="3"/>
        <v>0</v>
      </c>
      <c r="I15" s="25">
        <f t="shared" si="4"/>
        <v>315</v>
      </c>
      <c r="J15" s="15"/>
      <c r="K15" s="15"/>
      <c r="L15" s="10"/>
    </row>
    <row r="16">
      <c r="B16" s="15"/>
      <c r="C16" s="15" t="s">
        <v>36</v>
      </c>
      <c r="D16" s="20"/>
      <c r="E16" s="40"/>
      <c r="F16" s="41"/>
      <c r="G16" s="11">
        <f t="shared" si="2"/>
        <v>0</v>
      </c>
      <c r="H16" s="24">
        <f t="shared" si="3"/>
        <v>0</v>
      </c>
      <c r="I16" s="25">
        <f t="shared" si="4"/>
        <v>315</v>
      </c>
      <c r="J16" s="15"/>
      <c r="K16" s="15"/>
      <c r="L16" s="10"/>
    </row>
    <row r="17">
      <c r="B17" s="15"/>
      <c r="C17" s="15" t="s">
        <v>37</v>
      </c>
      <c r="D17" s="20"/>
      <c r="E17" s="40"/>
      <c r="F17" s="19"/>
      <c r="G17" s="11">
        <f t="shared" si="2"/>
        <v>0</v>
      </c>
      <c r="H17" s="24">
        <f t="shared" si="3"/>
        <v>0</v>
      </c>
      <c r="I17" s="25">
        <f t="shared" si="4"/>
        <v>315</v>
      </c>
      <c r="J17" s="15"/>
      <c r="K17" s="15"/>
      <c r="L17" s="10"/>
    </row>
    <row r="18">
      <c r="B18" s="15"/>
      <c r="C18" s="15" t="s">
        <v>38</v>
      </c>
      <c r="D18" s="20"/>
      <c r="E18" s="40"/>
      <c r="F18" s="41"/>
      <c r="G18" s="11">
        <f t="shared" si="2"/>
        <v>0</v>
      </c>
      <c r="H18" s="24">
        <f t="shared" si="3"/>
        <v>0</v>
      </c>
      <c r="I18" s="25">
        <f t="shared" si="4"/>
        <v>315</v>
      </c>
      <c r="J18" s="15"/>
      <c r="K18" s="15"/>
      <c r="L18" s="10"/>
    </row>
    <row r="19">
      <c r="B19" s="15"/>
      <c r="C19" s="15" t="s">
        <v>39</v>
      </c>
      <c r="D19" s="20"/>
      <c r="E19" s="40"/>
      <c r="F19" s="19"/>
      <c r="G19" s="11">
        <f t="shared" si="2"/>
        <v>0</v>
      </c>
      <c r="H19" s="24">
        <f t="shared" si="3"/>
        <v>0</v>
      </c>
      <c r="I19" s="25">
        <f t="shared" si="4"/>
        <v>315</v>
      </c>
      <c r="J19" s="15"/>
      <c r="K19" s="15"/>
      <c r="L19" s="10"/>
    </row>
    <row r="20">
      <c r="B20" s="15"/>
      <c r="C20" s="15" t="s">
        <v>40</v>
      </c>
      <c r="D20" s="20"/>
      <c r="E20" s="40"/>
      <c r="F20" s="41"/>
      <c r="G20" s="11">
        <f t="shared" si="2"/>
        <v>0</v>
      </c>
      <c r="H20" s="24">
        <f t="shared" si="3"/>
        <v>0</v>
      </c>
      <c r="I20" s="25">
        <f t="shared" si="4"/>
        <v>315</v>
      </c>
      <c r="J20" s="15"/>
      <c r="K20" s="15"/>
      <c r="L20" s="10"/>
    </row>
    <row r="21">
      <c r="B21" s="15"/>
      <c r="C21" s="15" t="s">
        <v>41</v>
      </c>
      <c r="D21" s="20"/>
      <c r="E21" s="40"/>
      <c r="F21" s="19"/>
      <c r="G21" s="11">
        <f t="shared" si="2"/>
        <v>0</v>
      </c>
      <c r="H21" s="24">
        <f t="shared" si="3"/>
        <v>0</v>
      </c>
      <c r="I21" s="25">
        <f t="shared" si="4"/>
        <v>315</v>
      </c>
      <c r="J21" s="15"/>
      <c r="K21" s="15"/>
      <c r="L21" s="10"/>
    </row>
    <row r="22">
      <c r="B22" s="15"/>
      <c r="C22" s="15" t="s">
        <v>42</v>
      </c>
      <c r="D22" s="20"/>
      <c r="E22" s="40"/>
      <c r="F22" s="41"/>
      <c r="G22" s="11">
        <f t="shared" si="2"/>
        <v>0</v>
      </c>
      <c r="H22" s="24">
        <f t="shared" si="3"/>
        <v>0</v>
      </c>
      <c r="I22" s="25">
        <f t="shared" si="4"/>
        <v>315</v>
      </c>
      <c r="J22" s="15"/>
      <c r="K22" s="15"/>
      <c r="L22" s="10"/>
    </row>
    <row r="23">
      <c r="C23" s="15" t="s">
        <v>44</v>
      </c>
      <c r="E23" s="17"/>
      <c r="F23" s="46"/>
      <c r="G23" s="11">
        <f t="shared" si="2"/>
        <v>0</v>
      </c>
      <c r="H23" s="24">
        <f t="shared" si="3"/>
        <v>0</v>
      </c>
      <c r="I23" s="25">
        <f t="shared" si="4"/>
        <v>315</v>
      </c>
      <c r="J23" s="45"/>
      <c r="K23" s="45"/>
      <c r="L23" s="45"/>
      <c r="M23" s="45"/>
      <c r="N23" s="45"/>
      <c r="O23" s="45"/>
      <c r="P23" s="45"/>
      <c r="Q23" s="45"/>
    </row>
    <row r="24">
      <c r="C24" s="15" t="s">
        <v>45</v>
      </c>
      <c r="E24" s="40"/>
      <c r="F24" s="46"/>
      <c r="G24" s="11">
        <f t="shared" si="2"/>
        <v>0</v>
      </c>
      <c r="H24" s="24">
        <f t="shared" si="3"/>
        <v>0</v>
      </c>
      <c r="I24" s="25">
        <f t="shared" si="4"/>
        <v>315</v>
      </c>
      <c r="J24" s="45"/>
      <c r="K24" s="45"/>
      <c r="L24" s="45"/>
      <c r="M24" s="45"/>
      <c r="N24" s="45"/>
      <c r="O24" s="45"/>
      <c r="P24" s="45"/>
      <c r="Q24" s="45"/>
    </row>
    <row r="25">
      <c r="C25" s="15" t="s">
        <v>46</v>
      </c>
      <c r="E25" s="40"/>
      <c r="F25" s="46"/>
      <c r="G25" s="11">
        <f t="shared" si="2"/>
        <v>0</v>
      </c>
      <c r="H25" s="24">
        <f t="shared" si="3"/>
        <v>0</v>
      </c>
      <c r="I25" s="25">
        <f t="shared" si="4"/>
        <v>315</v>
      </c>
      <c r="J25" s="45"/>
      <c r="K25" s="45"/>
      <c r="L25" s="45"/>
      <c r="M25" s="45"/>
      <c r="N25" s="45"/>
      <c r="O25" s="45"/>
      <c r="P25" s="45"/>
      <c r="Q25" s="45"/>
    </row>
    <row r="26">
      <c r="C26" s="15" t="s">
        <v>47</v>
      </c>
      <c r="E26" s="40"/>
      <c r="F26" s="46"/>
      <c r="G26" s="11">
        <f t="shared" si="2"/>
        <v>0</v>
      </c>
      <c r="H26" s="24">
        <f t="shared" si="3"/>
        <v>0</v>
      </c>
      <c r="I26" s="25">
        <f t="shared" si="4"/>
        <v>315</v>
      </c>
      <c r="J26" s="45"/>
      <c r="K26" s="45"/>
      <c r="L26" s="45"/>
      <c r="M26" s="45"/>
      <c r="N26" s="45"/>
      <c r="O26" s="45"/>
      <c r="P26" s="45"/>
      <c r="Q26" s="45"/>
    </row>
    <row r="27">
      <c r="C27" s="15" t="s">
        <v>48</v>
      </c>
      <c r="E27" s="40"/>
      <c r="F27" s="46"/>
      <c r="G27" s="11">
        <f t="shared" si="2"/>
        <v>0</v>
      </c>
      <c r="H27" s="24">
        <f t="shared" si="3"/>
        <v>0</v>
      </c>
      <c r="I27" s="25">
        <f t="shared" si="4"/>
        <v>315</v>
      </c>
      <c r="J27" s="45"/>
      <c r="K27" s="45"/>
      <c r="L27" s="45"/>
      <c r="M27" s="45"/>
      <c r="N27" s="45"/>
      <c r="O27" s="45"/>
      <c r="P27" s="45"/>
      <c r="Q27" s="45"/>
    </row>
    <row r="28">
      <c r="C28" s="15" t="s">
        <v>49</v>
      </c>
      <c r="E28" s="17"/>
      <c r="F28" s="44"/>
      <c r="G28" s="11">
        <f t="shared" si="2"/>
        <v>0</v>
      </c>
      <c r="H28" s="24">
        <f t="shared" si="3"/>
        <v>0</v>
      </c>
      <c r="I28" s="25">
        <f t="shared" si="4"/>
        <v>315</v>
      </c>
      <c r="J28" s="45"/>
      <c r="K28" s="45"/>
      <c r="L28" s="45"/>
      <c r="M28" s="45"/>
      <c r="N28" s="45"/>
      <c r="O28" s="45"/>
      <c r="P28" s="45"/>
      <c r="Q28" s="45"/>
    </row>
    <row r="29">
      <c r="C29" s="15" t="s">
        <v>51</v>
      </c>
      <c r="E29" s="17"/>
      <c r="F29" s="46"/>
      <c r="G29" s="11">
        <f t="shared" si="2"/>
        <v>0</v>
      </c>
      <c r="H29" s="24">
        <f t="shared" si="3"/>
        <v>0</v>
      </c>
      <c r="I29" s="25">
        <f t="shared" si="4"/>
        <v>315</v>
      </c>
      <c r="J29" s="45"/>
      <c r="K29" s="45"/>
      <c r="L29" s="45"/>
      <c r="M29" s="45"/>
      <c r="N29" s="45"/>
      <c r="O29" s="45"/>
      <c r="P29" s="45"/>
      <c r="Q29" s="45"/>
    </row>
    <row r="30">
      <c r="C30" s="15" t="s">
        <v>52</v>
      </c>
      <c r="E30" s="40"/>
      <c r="F30" s="46"/>
      <c r="G30" s="11">
        <f t="shared" si="2"/>
        <v>0</v>
      </c>
      <c r="H30" s="24">
        <f t="shared" si="3"/>
        <v>0</v>
      </c>
      <c r="I30" s="25">
        <f t="shared" si="4"/>
        <v>315</v>
      </c>
      <c r="J30" s="45"/>
      <c r="K30" s="45"/>
      <c r="L30" s="45"/>
      <c r="M30" s="45"/>
      <c r="N30" s="45"/>
      <c r="O30" s="45"/>
      <c r="P30" s="45"/>
      <c r="Q30" s="45"/>
    </row>
    <row r="31">
      <c r="C31" s="15" t="s">
        <v>53</v>
      </c>
      <c r="E31" s="40"/>
      <c r="F31" s="46"/>
      <c r="G31" s="11">
        <f t="shared" si="2"/>
        <v>0</v>
      </c>
      <c r="H31" s="24">
        <f t="shared" si="3"/>
        <v>0</v>
      </c>
      <c r="I31" s="25">
        <f t="shared" si="4"/>
        <v>315</v>
      </c>
      <c r="J31" s="45"/>
      <c r="K31" s="45"/>
      <c r="L31" s="45"/>
      <c r="M31" s="45"/>
      <c r="N31" s="45"/>
      <c r="O31" s="45"/>
      <c r="P31" s="45"/>
      <c r="Q31" s="45"/>
    </row>
    <row r="32">
      <c r="C32" s="15" t="s">
        <v>54</v>
      </c>
      <c r="E32" s="40"/>
      <c r="F32" s="46"/>
      <c r="G32" s="11">
        <f t="shared" si="2"/>
        <v>0</v>
      </c>
      <c r="H32" s="24">
        <f t="shared" si="3"/>
        <v>0</v>
      </c>
      <c r="I32" s="25">
        <f t="shared" si="4"/>
        <v>315</v>
      </c>
      <c r="J32" s="45"/>
      <c r="K32" s="45"/>
      <c r="L32" s="45"/>
      <c r="M32" s="45"/>
      <c r="N32" s="45"/>
      <c r="O32" s="45"/>
      <c r="P32" s="45"/>
      <c r="Q32" s="45"/>
    </row>
    <row r="33">
      <c r="C33" s="15" t="s">
        <v>55</v>
      </c>
      <c r="E33" s="40"/>
      <c r="F33" s="46"/>
      <c r="G33" s="11">
        <f t="shared" si="2"/>
        <v>0</v>
      </c>
      <c r="H33" s="24">
        <f t="shared" si="3"/>
        <v>0</v>
      </c>
      <c r="I33" s="25">
        <f t="shared" si="4"/>
        <v>315</v>
      </c>
    </row>
    <row r="34">
      <c r="C34" s="15" t="s">
        <v>56</v>
      </c>
      <c r="E34" s="40"/>
      <c r="F34" s="46"/>
      <c r="G34" s="11">
        <f t="shared" si="2"/>
        <v>0</v>
      </c>
      <c r="H34" s="24">
        <f t="shared" si="3"/>
        <v>0</v>
      </c>
      <c r="I34" s="25">
        <f t="shared" si="4"/>
        <v>315</v>
      </c>
    </row>
    <row r="35">
      <c r="C35" s="15" t="s">
        <v>57</v>
      </c>
      <c r="E35" s="40"/>
      <c r="F35" s="46"/>
      <c r="G35" s="11">
        <f t="shared" si="2"/>
        <v>0</v>
      </c>
      <c r="H35" s="24">
        <f t="shared" si="3"/>
        <v>0</v>
      </c>
      <c r="I35" s="25">
        <f t="shared" si="4"/>
        <v>315</v>
      </c>
    </row>
    <row r="36">
      <c r="C36" s="15" t="s">
        <v>58</v>
      </c>
      <c r="E36" s="40"/>
      <c r="F36" s="46"/>
      <c r="G36" s="11">
        <f t="shared" si="2"/>
        <v>0</v>
      </c>
      <c r="H36" s="24">
        <f t="shared" si="3"/>
        <v>0</v>
      </c>
      <c r="I36" s="25">
        <f t="shared" si="4"/>
        <v>315</v>
      </c>
    </row>
    <row r="37">
      <c r="C37" s="15" t="s">
        <v>59</v>
      </c>
      <c r="E37" s="40"/>
      <c r="F37" s="46"/>
      <c r="G37" s="11">
        <f t="shared" si="2"/>
        <v>0</v>
      </c>
      <c r="H37" s="24">
        <f t="shared" si="3"/>
        <v>0</v>
      </c>
      <c r="I37" s="25">
        <f t="shared" si="4"/>
        <v>315</v>
      </c>
    </row>
    <row r="38">
      <c r="E38" s="1"/>
    </row>
    <row r="39">
      <c r="E39" s="1"/>
    </row>
    <row r="40">
      <c r="E40" s="1"/>
    </row>
    <row r="41">
      <c r="B41" s="48"/>
      <c r="C41" s="49"/>
      <c r="E41" s="1"/>
    </row>
    <row r="42">
      <c r="E42" s="1"/>
    </row>
    <row r="43">
      <c r="E43" s="1"/>
    </row>
    <row r="44">
      <c r="E44" s="1"/>
    </row>
    <row r="45">
      <c r="E45" s="1"/>
    </row>
    <row r="46">
      <c r="E46" s="1"/>
    </row>
    <row r="47">
      <c r="E47" s="1"/>
    </row>
    <row r="48">
      <c r="E48" s="1"/>
    </row>
    <row r="49">
      <c r="E49" s="1"/>
    </row>
    <row r="50">
      <c r="E50" s="1"/>
    </row>
    <row r="51">
      <c r="E51" s="1"/>
    </row>
    <row r="52">
      <c r="E52" s="1"/>
    </row>
    <row r="53">
      <c r="E53" s="1"/>
    </row>
    <row r="54">
      <c r="E54" s="1"/>
    </row>
    <row r="55">
      <c r="E55" s="1"/>
    </row>
    <row r="56">
      <c r="E56" s="1"/>
    </row>
    <row r="57">
      <c r="E57" s="1"/>
    </row>
    <row r="58">
      <c r="E58" s="1"/>
    </row>
    <row r="59">
      <c r="E59" s="1"/>
    </row>
    <row r="60">
      <c r="E60" s="1"/>
    </row>
    <row r="61">
      <c r="E61" s="1"/>
    </row>
    <row r="62">
      <c r="E62" s="1"/>
    </row>
    <row r="63">
      <c r="E63" s="1"/>
    </row>
    <row r="64">
      <c r="E64" s="1"/>
    </row>
    <row r="65">
      <c r="E65" s="1"/>
    </row>
    <row r="66">
      <c r="E66" s="1"/>
    </row>
    <row r="67">
      <c r="E67" s="1"/>
    </row>
    <row r="68">
      <c r="E68" s="1"/>
    </row>
    <row r="69">
      <c r="E69" s="1"/>
    </row>
    <row r="70">
      <c r="E70" s="1"/>
    </row>
    <row r="71">
      <c r="E71" s="1"/>
    </row>
    <row r="72">
      <c r="E72" s="1"/>
    </row>
    <row r="73">
      <c r="E73" s="1"/>
    </row>
    <row r="74">
      <c r="E74" s="1"/>
    </row>
    <row r="75">
      <c r="E75" s="1"/>
    </row>
    <row r="76">
      <c r="E76" s="1"/>
    </row>
    <row r="77">
      <c r="E77" s="1"/>
    </row>
    <row r="78">
      <c r="E78" s="1"/>
    </row>
    <row r="79">
      <c r="E79" s="1"/>
    </row>
    <row r="80">
      <c r="E80" s="1"/>
    </row>
    <row r="81">
      <c r="E81" s="1"/>
    </row>
    <row r="82">
      <c r="E82" s="1"/>
    </row>
    <row r="83">
      <c r="E83" s="1"/>
    </row>
    <row r="84">
      <c r="E84" s="1"/>
    </row>
    <row r="85">
      <c r="E85" s="1"/>
    </row>
    <row r="86">
      <c r="E86" s="1"/>
    </row>
    <row r="87">
      <c r="E87" s="1"/>
    </row>
    <row r="88">
      <c r="E88" s="1"/>
    </row>
    <row r="89">
      <c r="E89" s="1"/>
    </row>
    <row r="90">
      <c r="E90" s="1"/>
    </row>
    <row r="91">
      <c r="E91" s="1"/>
    </row>
    <row r="92">
      <c r="E92" s="1"/>
    </row>
    <row r="93">
      <c r="E93" s="1"/>
    </row>
    <row r="94">
      <c r="E94" s="1"/>
    </row>
    <row r="95">
      <c r="E95" s="1"/>
    </row>
    <row r="96">
      <c r="E96" s="1"/>
    </row>
    <row r="97">
      <c r="E97" s="1"/>
    </row>
    <row r="98">
      <c r="E98" s="1"/>
    </row>
    <row r="99">
      <c r="E99" s="1"/>
    </row>
    <row r="100">
      <c r="E100" s="1"/>
    </row>
    <row r="101">
      <c r="E101" s="1"/>
    </row>
    <row r="102">
      <c r="E102" s="1"/>
    </row>
    <row r="103">
      <c r="E103" s="1"/>
    </row>
    <row r="104">
      <c r="E104" s="1"/>
    </row>
    <row r="105">
      <c r="E105" s="1"/>
    </row>
    <row r="106">
      <c r="E106" s="1"/>
    </row>
    <row r="107">
      <c r="E107" s="1"/>
    </row>
    <row r="108">
      <c r="E108" s="1"/>
    </row>
    <row r="109">
      <c r="E109" s="1"/>
    </row>
    <row r="110">
      <c r="E110" s="1"/>
    </row>
    <row r="111">
      <c r="E111" s="1"/>
    </row>
    <row r="112">
      <c r="E112" s="1"/>
    </row>
    <row r="113">
      <c r="E113" s="1"/>
    </row>
    <row r="114">
      <c r="E114" s="1"/>
    </row>
    <row r="115">
      <c r="E115" s="1"/>
    </row>
    <row r="116">
      <c r="E116" s="1"/>
    </row>
    <row r="117">
      <c r="E117" s="1"/>
    </row>
    <row r="118">
      <c r="E118" s="1"/>
    </row>
    <row r="119">
      <c r="E119" s="1"/>
    </row>
    <row r="120">
      <c r="E120" s="1"/>
    </row>
    <row r="121">
      <c r="E121" s="1"/>
    </row>
    <row r="122">
      <c r="E122" s="1"/>
    </row>
    <row r="123">
      <c r="E123" s="1"/>
    </row>
    <row r="124">
      <c r="E124" s="1"/>
    </row>
    <row r="125">
      <c r="E125" s="1"/>
    </row>
    <row r="126">
      <c r="E126" s="1"/>
    </row>
    <row r="127">
      <c r="E127" s="1"/>
    </row>
    <row r="128">
      <c r="E128" s="1"/>
    </row>
    <row r="129">
      <c r="E129" s="1"/>
    </row>
    <row r="130">
      <c r="E130" s="1"/>
    </row>
    <row r="131">
      <c r="E131" s="1"/>
    </row>
    <row r="132">
      <c r="E132" s="1"/>
    </row>
    <row r="133">
      <c r="E133" s="1"/>
    </row>
    <row r="134">
      <c r="E134" s="1"/>
    </row>
    <row r="135">
      <c r="E135" s="1"/>
    </row>
    <row r="136">
      <c r="E136" s="1"/>
    </row>
    <row r="137">
      <c r="E137" s="1"/>
    </row>
    <row r="138">
      <c r="E138" s="1"/>
    </row>
    <row r="139">
      <c r="E139" s="1"/>
    </row>
    <row r="140">
      <c r="E140" s="1"/>
    </row>
    <row r="141">
      <c r="E141" s="1"/>
    </row>
    <row r="142">
      <c r="E142" s="1"/>
    </row>
    <row r="143">
      <c r="E143" s="1"/>
    </row>
    <row r="144">
      <c r="E144" s="1"/>
    </row>
    <row r="145">
      <c r="E145" s="1"/>
    </row>
    <row r="146">
      <c r="E146" s="1"/>
    </row>
    <row r="147">
      <c r="E147" s="1"/>
    </row>
    <row r="148">
      <c r="E148" s="1"/>
    </row>
    <row r="149">
      <c r="E149" s="1"/>
    </row>
    <row r="150">
      <c r="E150" s="1"/>
    </row>
    <row r="151">
      <c r="E151" s="1"/>
    </row>
    <row r="152">
      <c r="E152" s="1"/>
    </row>
    <row r="153">
      <c r="E153" s="1"/>
    </row>
    <row r="154">
      <c r="E154" s="1"/>
    </row>
    <row r="155">
      <c r="E155" s="1"/>
    </row>
    <row r="156">
      <c r="E156" s="1"/>
    </row>
    <row r="157">
      <c r="E157" s="1"/>
    </row>
    <row r="158">
      <c r="E158" s="1"/>
    </row>
    <row r="159">
      <c r="E159" s="1"/>
    </row>
    <row r="160">
      <c r="E160" s="1"/>
    </row>
    <row r="161">
      <c r="E161" s="1"/>
    </row>
    <row r="162">
      <c r="E162" s="1"/>
    </row>
    <row r="163">
      <c r="E163" s="1"/>
    </row>
    <row r="164">
      <c r="E164" s="1"/>
    </row>
    <row r="165">
      <c r="E165" s="1"/>
    </row>
    <row r="166">
      <c r="E166" s="1"/>
    </row>
    <row r="167">
      <c r="E167" s="1"/>
    </row>
    <row r="168">
      <c r="E168" s="1"/>
    </row>
    <row r="169">
      <c r="E169" s="1"/>
    </row>
    <row r="170">
      <c r="E170" s="1"/>
    </row>
    <row r="171">
      <c r="E171" s="1"/>
    </row>
    <row r="172">
      <c r="E172" s="1"/>
    </row>
    <row r="173">
      <c r="E173" s="1"/>
    </row>
    <row r="174">
      <c r="E174" s="1"/>
    </row>
    <row r="175">
      <c r="E175" s="1"/>
    </row>
    <row r="176">
      <c r="E176" s="1"/>
    </row>
    <row r="177">
      <c r="E177" s="1"/>
    </row>
    <row r="178">
      <c r="E178" s="1"/>
    </row>
    <row r="179">
      <c r="E179" s="1"/>
    </row>
    <row r="180">
      <c r="E180" s="1"/>
    </row>
    <row r="181">
      <c r="E181" s="1"/>
    </row>
    <row r="182">
      <c r="E182" s="1"/>
    </row>
    <row r="183">
      <c r="E183" s="1"/>
    </row>
    <row r="184">
      <c r="E184" s="1"/>
    </row>
    <row r="185">
      <c r="E185" s="1"/>
    </row>
    <row r="186">
      <c r="E186" s="1"/>
    </row>
    <row r="187">
      <c r="E187" s="1"/>
    </row>
    <row r="188">
      <c r="E188" s="1"/>
    </row>
    <row r="189">
      <c r="E189" s="1"/>
    </row>
    <row r="190">
      <c r="E190" s="1"/>
    </row>
    <row r="191">
      <c r="E191" s="1"/>
    </row>
    <row r="192">
      <c r="E192" s="1"/>
    </row>
    <row r="193">
      <c r="E193" s="1"/>
    </row>
    <row r="194">
      <c r="E194" s="1"/>
    </row>
    <row r="195">
      <c r="E195" s="1"/>
    </row>
    <row r="196">
      <c r="E196" s="1"/>
    </row>
    <row r="197">
      <c r="E197" s="1"/>
    </row>
    <row r="198">
      <c r="E198" s="1"/>
    </row>
    <row r="199">
      <c r="E199" s="1"/>
    </row>
    <row r="200">
      <c r="E200" s="1"/>
    </row>
    <row r="201">
      <c r="E201" s="1"/>
    </row>
    <row r="202">
      <c r="E202" s="1"/>
    </row>
    <row r="203">
      <c r="E203" s="1"/>
    </row>
    <row r="204">
      <c r="E204" s="1"/>
    </row>
    <row r="205">
      <c r="E205" s="1"/>
    </row>
    <row r="206">
      <c r="E206" s="1"/>
    </row>
    <row r="207">
      <c r="E207" s="1"/>
    </row>
    <row r="208">
      <c r="E208" s="1"/>
    </row>
    <row r="209">
      <c r="E209" s="1"/>
    </row>
    <row r="210">
      <c r="E210" s="1"/>
    </row>
    <row r="211">
      <c r="E211" s="1"/>
    </row>
    <row r="212">
      <c r="E212" s="1"/>
    </row>
    <row r="213">
      <c r="E213" s="1"/>
    </row>
    <row r="214">
      <c r="E214" s="1"/>
    </row>
    <row r="215">
      <c r="E215" s="1"/>
    </row>
    <row r="216">
      <c r="E216" s="1"/>
    </row>
    <row r="217">
      <c r="E217" s="1"/>
    </row>
    <row r="218">
      <c r="E218" s="1"/>
    </row>
    <row r="219">
      <c r="E219" s="1"/>
    </row>
    <row r="220">
      <c r="E220" s="1"/>
    </row>
    <row r="221">
      <c r="E221" s="1"/>
    </row>
    <row r="222">
      <c r="E222" s="1"/>
    </row>
    <row r="223">
      <c r="E223" s="1"/>
    </row>
    <row r="224">
      <c r="E224" s="1"/>
    </row>
    <row r="225">
      <c r="E225" s="1"/>
    </row>
    <row r="226">
      <c r="E226" s="1"/>
    </row>
    <row r="227">
      <c r="E227" s="1"/>
    </row>
    <row r="228">
      <c r="E228" s="1"/>
    </row>
    <row r="229">
      <c r="E229" s="1"/>
    </row>
    <row r="230">
      <c r="E230" s="1"/>
    </row>
    <row r="231">
      <c r="E231" s="1"/>
    </row>
    <row r="232">
      <c r="E232" s="1"/>
    </row>
    <row r="233">
      <c r="E233" s="1"/>
    </row>
    <row r="234">
      <c r="E234" s="1"/>
    </row>
    <row r="235">
      <c r="E235" s="1"/>
    </row>
    <row r="236">
      <c r="E236" s="1"/>
    </row>
    <row r="237">
      <c r="E237" s="1"/>
    </row>
    <row r="238">
      <c r="E238" s="1"/>
    </row>
    <row r="239">
      <c r="E239" s="1"/>
    </row>
    <row r="240">
      <c r="E240" s="1"/>
    </row>
    <row r="241">
      <c r="E241" s="1"/>
    </row>
    <row r="242">
      <c r="E242" s="1"/>
    </row>
    <row r="243">
      <c r="E243" s="1"/>
    </row>
    <row r="244">
      <c r="E244" s="1"/>
    </row>
    <row r="245">
      <c r="E245" s="1"/>
    </row>
    <row r="246">
      <c r="E246" s="1"/>
    </row>
    <row r="247">
      <c r="E247" s="1"/>
    </row>
    <row r="248">
      <c r="E248" s="1"/>
    </row>
    <row r="249">
      <c r="E249" s="1"/>
    </row>
    <row r="250">
      <c r="E250" s="1"/>
    </row>
    <row r="251">
      <c r="E251" s="1"/>
    </row>
    <row r="252">
      <c r="E252" s="1"/>
    </row>
    <row r="253">
      <c r="E253" s="1"/>
    </row>
    <row r="254">
      <c r="E254" s="1"/>
    </row>
    <row r="255">
      <c r="E255" s="1"/>
    </row>
    <row r="256">
      <c r="E256" s="1"/>
    </row>
    <row r="257">
      <c r="E257" s="1"/>
    </row>
    <row r="258">
      <c r="E258" s="1"/>
    </row>
    <row r="259">
      <c r="E259" s="1"/>
    </row>
    <row r="260">
      <c r="E260" s="1"/>
    </row>
    <row r="261">
      <c r="E261" s="1"/>
    </row>
    <row r="262">
      <c r="E262" s="1"/>
    </row>
    <row r="263">
      <c r="E263" s="1"/>
    </row>
    <row r="264">
      <c r="E264" s="1"/>
    </row>
    <row r="265">
      <c r="E265" s="1"/>
    </row>
    <row r="266">
      <c r="E266" s="1"/>
    </row>
    <row r="267">
      <c r="E267" s="1"/>
    </row>
    <row r="268">
      <c r="E268" s="1"/>
    </row>
    <row r="269">
      <c r="E269" s="1"/>
    </row>
    <row r="270">
      <c r="E270" s="1"/>
    </row>
    <row r="271">
      <c r="E271" s="1"/>
    </row>
    <row r="272">
      <c r="E272" s="1"/>
    </row>
    <row r="273">
      <c r="E273" s="1"/>
    </row>
    <row r="274">
      <c r="E274" s="1"/>
    </row>
    <row r="275">
      <c r="E275" s="1"/>
    </row>
    <row r="276">
      <c r="E276" s="1"/>
    </row>
    <row r="277">
      <c r="E277" s="1"/>
    </row>
    <row r="278">
      <c r="E278" s="1"/>
    </row>
    <row r="279">
      <c r="E279" s="1"/>
    </row>
    <row r="280">
      <c r="E280" s="1"/>
    </row>
    <row r="281">
      <c r="E281" s="1"/>
    </row>
    <row r="282">
      <c r="E282" s="1"/>
    </row>
    <row r="283">
      <c r="E283" s="1"/>
    </row>
    <row r="284">
      <c r="E284" s="1"/>
    </row>
    <row r="285">
      <c r="E285" s="1"/>
    </row>
    <row r="286">
      <c r="E286" s="1"/>
    </row>
    <row r="287">
      <c r="E287" s="1"/>
    </row>
    <row r="288">
      <c r="E288" s="1"/>
    </row>
    <row r="289">
      <c r="E289" s="1"/>
    </row>
    <row r="290">
      <c r="E290" s="1"/>
    </row>
    <row r="291">
      <c r="E291" s="1"/>
    </row>
    <row r="292">
      <c r="E292" s="1"/>
    </row>
    <row r="293">
      <c r="E293" s="1"/>
    </row>
    <row r="294">
      <c r="E294" s="1"/>
    </row>
    <row r="295">
      <c r="E295" s="1"/>
    </row>
    <row r="296">
      <c r="E296" s="1"/>
    </row>
    <row r="297">
      <c r="E297" s="1"/>
    </row>
    <row r="298">
      <c r="E298" s="1"/>
    </row>
    <row r="299">
      <c r="E299" s="1"/>
    </row>
    <row r="300">
      <c r="E300" s="1"/>
    </row>
    <row r="301">
      <c r="E301" s="1"/>
    </row>
    <row r="302">
      <c r="E302" s="1"/>
    </row>
    <row r="303">
      <c r="E303" s="1"/>
    </row>
    <row r="304">
      <c r="E304" s="1"/>
    </row>
    <row r="305">
      <c r="E305" s="1"/>
    </row>
    <row r="306">
      <c r="E306" s="1"/>
    </row>
    <row r="307">
      <c r="E307" s="1"/>
    </row>
    <row r="308">
      <c r="E308" s="1"/>
    </row>
    <row r="309">
      <c r="E309" s="1"/>
    </row>
    <row r="310">
      <c r="E310" s="1"/>
    </row>
    <row r="311">
      <c r="E311" s="1"/>
    </row>
    <row r="312">
      <c r="E312" s="1"/>
    </row>
    <row r="313">
      <c r="E313" s="1"/>
    </row>
    <row r="314">
      <c r="E314" s="1"/>
    </row>
    <row r="315">
      <c r="E315" s="1"/>
    </row>
    <row r="316">
      <c r="E316" s="1"/>
    </row>
    <row r="317">
      <c r="E317" s="1"/>
    </row>
    <row r="318">
      <c r="E318" s="1"/>
    </row>
    <row r="319">
      <c r="E319" s="1"/>
    </row>
    <row r="320">
      <c r="E320" s="1"/>
    </row>
    <row r="321">
      <c r="E321" s="1"/>
    </row>
    <row r="322">
      <c r="E322" s="1"/>
    </row>
    <row r="323">
      <c r="E323" s="1"/>
    </row>
    <row r="324">
      <c r="E324" s="1"/>
    </row>
    <row r="325">
      <c r="E325" s="1"/>
    </row>
    <row r="326">
      <c r="E326" s="1"/>
    </row>
    <row r="327">
      <c r="E327" s="1"/>
    </row>
    <row r="328">
      <c r="E328" s="1"/>
    </row>
    <row r="329">
      <c r="E329" s="1"/>
    </row>
    <row r="330">
      <c r="E330" s="1"/>
    </row>
    <row r="331">
      <c r="E331" s="1"/>
    </row>
    <row r="332">
      <c r="E332" s="1"/>
    </row>
    <row r="333">
      <c r="E333" s="1"/>
    </row>
    <row r="334">
      <c r="E334" s="1"/>
    </row>
    <row r="335">
      <c r="E335" s="1"/>
    </row>
    <row r="336">
      <c r="E336" s="1"/>
    </row>
    <row r="337">
      <c r="E337" s="1"/>
    </row>
    <row r="338">
      <c r="E338" s="1"/>
    </row>
    <row r="339">
      <c r="E339" s="1"/>
    </row>
    <row r="340">
      <c r="E340" s="1"/>
    </row>
    <row r="341">
      <c r="E341" s="1"/>
    </row>
    <row r="342">
      <c r="E342" s="1"/>
    </row>
    <row r="343">
      <c r="E343" s="1"/>
    </row>
    <row r="344">
      <c r="E344" s="1"/>
    </row>
    <row r="345">
      <c r="E345" s="1"/>
    </row>
    <row r="346">
      <c r="E346" s="1"/>
    </row>
    <row r="347">
      <c r="E347" s="1"/>
    </row>
    <row r="348">
      <c r="E348" s="1"/>
    </row>
    <row r="349">
      <c r="E349" s="1"/>
    </row>
    <row r="350">
      <c r="E350" s="1"/>
    </row>
    <row r="351">
      <c r="E351" s="1"/>
    </row>
    <row r="352">
      <c r="E352" s="1"/>
    </row>
    <row r="353">
      <c r="E353" s="1"/>
    </row>
    <row r="354">
      <c r="E354" s="1"/>
    </row>
    <row r="355">
      <c r="E355" s="1"/>
    </row>
    <row r="356">
      <c r="E356" s="1"/>
    </row>
    <row r="357">
      <c r="E357" s="1"/>
    </row>
    <row r="358">
      <c r="E358" s="1"/>
    </row>
    <row r="359">
      <c r="E359" s="1"/>
    </row>
    <row r="360">
      <c r="E360" s="1"/>
    </row>
    <row r="361">
      <c r="E361" s="1"/>
    </row>
    <row r="362">
      <c r="E362" s="1"/>
    </row>
    <row r="363">
      <c r="E363" s="1"/>
    </row>
    <row r="364">
      <c r="E364" s="1"/>
    </row>
    <row r="365">
      <c r="E365" s="1"/>
    </row>
    <row r="366">
      <c r="E366" s="1"/>
    </row>
    <row r="367">
      <c r="E367" s="1"/>
    </row>
    <row r="368">
      <c r="E368" s="1"/>
    </row>
    <row r="369">
      <c r="E369" s="1"/>
    </row>
    <row r="370">
      <c r="E370" s="1"/>
    </row>
    <row r="371">
      <c r="E371" s="1"/>
    </row>
    <row r="372">
      <c r="E372" s="1"/>
    </row>
    <row r="373">
      <c r="E373" s="1"/>
    </row>
    <row r="374">
      <c r="E374" s="1"/>
    </row>
    <row r="375">
      <c r="E375" s="1"/>
    </row>
    <row r="376">
      <c r="E376" s="1"/>
    </row>
    <row r="377">
      <c r="E377" s="1"/>
    </row>
    <row r="378">
      <c r="E378" s="1"/>
    </row>
    <row r="379">
      <c r="E379" s="1"/>
    </row>
    <row r="380">
      <c r="E380" s="1"/>
    </row>
    <row r="381">
      <c r="E381" s="1"/>
    </row>
    <row r="382">
      <c r="E382" s="1"/>
    </row>
    <row r="383">
      <c r="E383" s="1"/>
    </row>
    <row r="384">
      <c r="E384" s="1"/>
    </row>
    <row r="385">
      <c r="E385" s="1"/>
    </row>
    <row r="386">
      <c r="E386" s="1"/>
    </row>
    <row r="387">
      <c r="E387" s="1"/>
    </row>
    <row r="388">
      <c r="E388" s="1"/>
    </row>
    <row r="389">
      <c r="E389" s="1"/>
    </row>
    <row r="390">
      <c r="E390" s="1"/>
    </row>
    <row r="391">
      <c r="E391" s="1"/>
    </row>
    <row r="392">
      <c r="E392" s="1"/>
    </row>
    <row r="393">
      <c r="E393" s="1"/>
    </row>
    <row r="394">
      <c r="E394" s="1"/>
    </row>
    <row r="395">
      <c r="E395" s="1"/>
    </row>
    <row r="396">
      <c r="E396" s="1"/>
    </row>
    <row r="397">
      <c r="E397" s="1"/>
    </row>
    <row r="398">
      <c r="E398" s="1"/>
    </row>
    <row r="399">
      <c r="E399" s="1"/>
    </row>
    <row r="400">
      <c r="E400" s="1"/>
    </row>
    <row r="401">
      <c r="E401" s="1"/>
    </row>
    <row r="402">
      <c r="E402" s="1"/>
    </row>
    <row r="403">
      <c r="E403" s="1"/>
    </row>
    <row r="404">
      <c r="E404" s="1"/>
    </row>
    <row r="405">
      <c r="E405" s="1"/>
    </row>
    <row r="406">
      <c r="E406" s="1"/>
    </row>
    <row r="407">
      <c r="E407" s="1"/>
    </row>
    <row r="408">
      <c r="E408" s="1"/>
    </row>
    <row r="409">
      <c r="E409" s="1"/>
    </row>
    <row r="410">
      <c r="E410" s="1"/>
    </row>
    <row r="411">
      <c r="E411" s="1"/>
    </row>
    <row r="412">
      <c r="E412" s="1"/>
    </row>
    <row r="413">
      <c r="E413" s="1"/>
    </row>
    <row r="414">
      <c r="E414" s="1"/>
    </row>
    <row r="415">
      <c r="E415" s="1"/>
    </row>
    <row r="416">
      <c r="E416" s="1"/>
    </row>
    <row r="417">
      <c r="E417" s="1"/>
    </row>
    <row r="418">
      <c r="E418" s="1"/>
    </row>
    <row r="419">
      <c r="E419" s="1"/>
    </row>
    <row r="420">
      <c r="E420" s="1"/>
    </row>
    <row r="421">
      <c r="E421" s="1"/>
    </row>
    <row r="422">
      <c r="E422" s="1"/>
    </row>
    <row r="423">
      <c r="E423" s="1"/>
    </row>
    <row r="424">
      <c r="E424" s="1"/>
    </row>
    <row r="425">
      <c r="E425" s="1"/>
    </row>
    <row r="426">
      <c r="E426" s="1"/>
    </row>
    <row r="427">
      <c r="E427" s="1"/>
    </row>
    <row r="428">
      <c r="E428" s="1"/>
    </row>
    <row r="429">
      <c r="E429" s="1"/>
    </row>
    <row r="430">
      <c r="E430" s="1"/>
    </row>
    <row r="431">
      <c r="E431" s="1"/>
    </row>
    <row r="432">
      <c r="E432" s="1"/>
    </row>
    <row r="433">
      <c r="E433" s="1"/>
    </row>
    <row r="434">
      <c r="E434" s="1"/>
    </row>
    <row r="435">
      <c r="E435" s="1"/>
    </row>
    <row r="436">
      <c r="E436" s="1"/>
    </row>
    <row r="437">
      <c r="E437" s="1"/>
    </row>
    <row r="438">
      <c r="E438" s="1"/>
    </row>
    <row r="439">
      <c r="E439" s="1"/>
    </row>
    <row r="440">
      <c r="E440" s="1"/>
    </row>
    <row r="441">
      <c r="E441" s="1"/>
    </row>
    <row r="442">
      <c r="E442" s="1"/>
    </row>
    <row r="443">
      <c r="E443" s="1"/>
    </row>
    <row r="444">
      <c r="E444" s="1"/>
    </row>
    <row r="445">
      <c r="E445" s="1"/>
    </row>
    <row r="446">
      <c r="E446" s="1"/>
    </row>
    <row r="447">
      <c r="E447" s="1"/>
    </row>
    <row r="448">
      <c r="E448" s="1"/>
    </row>
    <row r="449">
      <c r="E449" s="1"/>
    </row>
    <row r="450">
      <c r="E450" s="1"/>
    </row>
    <row r="451">
      <c r="E451" s="1"/>
    </row>
    <row r="452">
      <c r="E452" s="1"/>
    </row>
    <row r="453">
      <c r="E453" s="1"/>
    </row>
    <row r="454">
      <c r="E454" s="1"/>
    </row>
    <row r="455">
      <c r="E455" s="1"/>
    </row>
    <row r="456">
      <c r="E456" s="1"/>
    </row>
    <row r="457">
      <c r="E457" s="1"/>
    </row>
    <row r="458">
      <c r="E458" s="1"/>
    </row>
    <row r="459">
      <c r="E459" s="1"/>
    </row>
    <row r="460">
      <c r="E460" s="1"/>
    </row>
    <row r="461">
      <c r="E461" s="1"/>
    </row>
    <row r="462">
      <c r="E462" s="1"/>
    </row>
    <row r="463">
      <c r="E463" s="1"/>
    </row>
    <row r="464">
      <c r="E464" s="1"/>
    </row>
    <row r="465">
      <c r="E465" s="1"/>
    </row>
    <row r="466">
      <c r="E466" s="1"/>
    </row>
    <row r="467">
      <c r="E467" s="1"/>
    </row>
    <row r="468">
      <c r="E468" s="1"/>
    </row>
    <row r="469">
      <c r="E469" s="1"/>
    </row>
    <row r="470">
      <c r="E470" s="1"/>
    </row>
    <row r="471">
      <c r="E471" s="1"/>
    </row>
    <row r="472">
      <c r="E472" s="1"/>
    </row>
    <row r="473">
      <c r="E473" s="1"/>
    </row>
    <row r="474">
      <c r="E474" s="1"/>
    </row>
    <row r="475">
      <c r="E475" s="1"/>
    </row>
    <row r="476">
      <c r="E476" s="1"/>
    </row>
    <row r="477">
      <c r="E477" s="1"/>
    </row>
    <row r="478">
      <c r="E478" s="1"/>
    </row>
    <row r="479">
      <c r="E479" s="1"/>
    </row>
    <row r="480">
      <c r="E480" s="1"/>
    </row>
    <row r="481">
      <c r="E481" s="1"/>
    </row>
    <row r="482">
      <c r="E482" s="1"/>
    </row>
    <row r="483">
      <c r="E483" s="1"/>
    </row>
    <row r="484">
      <c r="E484" s="1"/>
    </row>
    <row r="485">
      <c r="E485" s="1"/>
    </row>
    <row r="486">
      <c r="E486" s="1"/>
    </row>
    <row r="487">
      <c r="E487" s="1"/>
    </row>
    <row r="488">
      <c r="E488" s="1"/>
    </row>
    <row r="489">
      <c r="E489" s="1"/>
    </row>
    <row r="490">
      <c r="E490" s="1"/>
    </row>
    <row r="491">
      <c r="E491" s="1"/>
    </row>
    <row r="492">
      <c r="E492" s="1"/>
    </row>
    <row r="493">
      <c r="E493" s="1"/>
    </row>
    <row r="494">
      <c r="E494" s="1"/>
    </row>
    <row r="495">
      <c r="E495" s="1"/>
    </row>
    <row r="496">
      <c r="E496" s="1"/>
    </row>
    <row r="497">
      <c r="E497" s="1"/>
    </row>
    <row r="498">
      <c r="E498" s="1"/>
    </row>
    <row r="499">
      <c r="E499" s="1"/>
    </row>
    <row r="500">
      <c r="E500" s="1"/>
    </row>
    <row r="501">
      <c r="E501" s="1"/>
    </row>
    <row r="502">
      <c r="E502" s="1"/>
    </row>
    <row r="503">
      <c r="E503" s="1"/>
    </row>
    <row r="504">
      <c r="E504" s="1"/>
    </row>
    <row r="505">
      <c r="E505" s="1"/>
    </row>
    <row r="506">
      <c r="E506" s="1"/>
    </row>
    <row r="507">
      <c r="E507" s="1"/>
    </row>
    <row r="508">
      <c r="E508" s="1"/>
    </row>
    <row r="509">
      <c r="E509" s="1"/>
    </row>
    <row r="510">
      <c r="E510" s="1"/>
    </row>
    <row r="511">
      <c r="E511" s="1"/>
    </row>
    <row r="512">
      <c r="E512" s="1"/>
    </row>
    <row r="513">
      <c r="E513" s="1"/>
    </row>
    <row r="514">
      <c r="E514" s="1"/>
    </row>
    <row r="515">
      <c r="E515" s="1"/>
    </row>
    <row r="516">
      <c r="E516" s="1"/>
    </row>
    <row r="517">
      <c r="E517" s="1"/>
    </row>
    <row r="518">
      <c r="E518" s="1"/>
    </row>
    <row r="519">
      <c r="E519" s="1"/>
    </row>
    <row r="520">
      <c r="E520" s="1"/>
    </row>
    <row r="521">
      <c r="E521" s="1"/>
    </row>
    <row r="522">
      <c r="E522" s="1"/>
    </row>
    <row r="523">
      <c r="E523" s="1"/>
    </row>
    <row r="524">
      <c r="E524" s="1"/>
    </row>
    <row r="525">
      <c r="E525" s="1"/>
    </row>
    <row r="526">
      <c r="E526" s="1"/>
    </row>
    <row r="527">
      <c r="E527" s="1"/>
    </row>
    <row r="528">
      <c r="E528" s="1"/>
    </row>
    <row r="529">
      <c r="E529" s="1"/>
    </row>
    <row r="530">
      <c r="E530" s="1"/>
    </row>
    <row r="531">
      <c r="E531" s="1"/>
    </row>
    <row r="532">
      <c r="E532" s="1"/>
    </row>
    <row r="533">
      <c r="E533" s="1"/>
    </row>
    <row r="534">
      <c r="E534" s="1"/>
    </row>
    <row r="535">
      <c r="E535" s="1"/>
    </row>
    <row r="536">
      <c r="E536" s="1"/>
    </row>
    <row r="537">
      <c r="E537" s="1"/>
    </row>
    <row r="538">
      <c r="E538" s="1"/>
    </row>
    <row r="539">
      <c r="E539" s="1"/>
    </row>
    <row r="540">
      <c r="E540" s="1"/>
    </row>
    <row r="541">
      <c r="E541" s="1"/>
    </row>
    <row r="542">
      <c r="E542" s="1"/>
    </row>
    <row r="543">
      <c r="E543" s="1"/>
    </row>
    <row r="544">
      <c r="E544" s="1"/>
    </row>
    <row r="545">
      <c r="E545" s="1"/>
    </row>
    <row r="546">
      <c r="E546" s="1"/>
    </row>
    <row r="547">
      <c r="E547" s="1"/>
    </row>
    <row r="548">
      <c r="E548" s="1"/>
    </row>
    <row r="549">
      <c r="E549" s="1"/>
    </row>
    <row r="550">
      <c r="E550" s="1"/>
    </row>
    <row r="551">
      <c r="E551" s="1"/>
    </row>
    <row r="552">
      <c r="E552" s="1"/>
    </row>
    <row r="553">
      <c r="E553" s="1"/>
    </row>
    <row r="554">
      <c r="E554" s="1"/>
    </row>
    <row r="555">
      <c r="E555" s="1"/>
    </row>
    <row r="556">
      <c r="E556" s="1"/>
    </row>
    <row r="557">
      <c r="E557" s="1"/>
    </row>
    <row r="558">
      <c r="E558" s="1"/>
    </row>
    <row r="559">
      <c r="E559" s="1"/>
    </row>
    <row r="560">
      <c r="E560" s="1"/>
    </row>
    <row r="561">
      <c r="E561" s="1"/>
    </row>
    <row r="562">
      <c r="E562" s="1"/>
    </row>
    <row r="563">
      <c r="E563" s="1"/>
    </row>
    <row r="564">
      <c r="E564" s="1"/>
    </row>
    <row r="565">
      <c r="E565" s="1"/>
    </row>
    <row r="566">
      <c r="E566" s="1"/>
    </row>
    <row r="567">
      <c r="E567" s="1"/>
    </row>
    <row r="568">
      <c r="E568" s="1"/>
    </row>
    <row r="569">
      <c r="E569" s="1"/>
    </row>
    <row r="570">
      <c r="E570" s="1"/>
    </row>
    <row r="571">
      <c r="E571" s="1"/>
    </row>
    <row r="572">
      <c r="E572" s="1"/>
    </row>
    <row r="573">
      <c r="E573" s="1"/>
    </row>
    <row r="574">
      <c r="E574" s="1"/>
    </row>
    <row r="575">
      <c r="E575" s="1"/>
    </row>
    <row r="576">
      <c r="E576" s="1"/>
    </row>
    <row r="577">
      <c r="E577" s="1"/>
    </row>
    <row r="578">
      <c r="E578" s="1"/>
    </row>
    <row r="579">
      <c r="E579" s="1"/>
    </row>
    <row r="580">
      <c r="E580" s="1"/>
    </row>
    <row r="581">
      <c r="E581" s="1"/>
    </row>
    <row r="582">
      <c r="E582" s="1"/>
    </row>
    <row r="583">
      <c r="E583" s="1"/>
    </row>
    <row r="584">
      <c r="E584" s="1"/>
    </row>
    <row r="585">
      <c r="E585" s="1"/>
    </row>
    <row r="586">
      <c r="E586" s="1"/>
    </row>
    <row r="587">
      <c r="E587" s="1"/>
    </row>
    <row r="588">
      <c r="E588" s="1"/>
    </row>
    <row r="589">
      <c r="E589" s="1"/>
    </row>
    <row r="590">
      <c r="E590" s="1"/>
    </row>
    <row r="591">
      <c r="E591" s="1"/>
    </row>
    <row r="592">
      <c r="E592" s="1"/>
    </row>
    <row r="593">
      <c r="E593" s="1"/>
    </row>
    <row r="594">
      <c r="E594" s="1"/>
    </row>
    <row r="595">
      <c r="E595" s="1"/>
    </row>
    <row r="596">
      <c r="E596" s="1"/>
    </row>
    <row r="597">
      <c r="E597" s="1"/>
    </row>
    <row r="598">
      <c r="E598" s="1"/>
    </row>
    <row r="599">
      <c r="E599" s="1"/>
    </row>
    <row r="600">
      <c r="E600" s="1"/>
    </row>
    <row r="601">
      <c r="E601" s="1"/>
    </row>
    <row r="602">
      <c r="E602" s="1"/>
    </row>
    <row r="603">
      <c r="E603" s="1"/>
    </row>
    <row r="604">
      <c r="E604" s="1"/>
    </row>
    <row r="605">
      <c r="E605" s="1"/>
    </row>
    <row r="606">
      <c r="E606" s="1"/>
    </row>
    <row r="607">
      <c r="E607" s="1"/>
    </row>
    <row r="608">
      <c r="E608" s="1"/>
    </row>
    <row r="609">
      <c r="E609" s="1"/>
    </row>
    <row r="610">
      <c r="E610" s="1"/>
    </row>
    <row r="611">
      <c r="E611" s="1"/>
    </row>
    <row r="612">
      <c r="E612" s="1"/>
    </row>
    <row r="613">
      <c r="E613" s="1"/>
    </row>
    <row r="614">
      <c r="E614" s="1"/>
    </row>
    <row r="615">
      <c r="E615" s="1"/>
    </row>
    <row r="616">
      <c r="E616" s="1"/>
    </row>
    <row r="617">
      <c r="E617" s="1"/>
    </row>
    <row r="618">
      <c r="E618" s="1"/>
    </row>
    <row r="619">
      <c r="E619" s="1"/>
    </row>
    <row r="620">
      <c r="E620" s="1"/>
    </row>
    <row r="621">
      <c r="E621" s="1"/>
    </row>
    <row r="622">
      <c r="E622" s="1"/>
    </row>
    <row r="623">
      <c r="E623" s="1"/>
    </row>
    <row r="624">
      <c r="E624" s="1"/>
    </row>
    <row r="625">
      <c r="E625" s="1"/>
    </row>
    <row r="626">
      <c r="E626" s="1"/>
    </row>
    <row r="627">
      <c r="E627" s="1"/>
    </row>
    <row r="628">
      <c r="E628" s="1"/>
    </row>
    <row r="629">
      <c r="E629" s="1"/>
    </row>
    <row r="630">
      <c r="E630" s="1"/>
    </row>
    <row r="631">
      <c r="E631" s="1"/>
    </row>
    <row r="632">
      <c r="E632" s="1"/>
    </row>
    <row r="633">
      <c r="E633" s="1"/>
    </row>
    <row r="634">
      <c r="E634" s="1"/>
    </row>
    <row r="635">
      <c r="E635" s="1"/>
    </row>
    <row r="636">
      <c r="E636" s="1"/>
    </row>
    <row r="637">
      <c r="E637" s="1"/>
    </row>
    <row r="638">
      <c r="E638" s="1"/>
    </row>
    <row r="639">
      <c r="E639" s="1"/>
    </row>
    <row r="640">
      <c r="E640" s="1"/>
    </row>
    <row r="641">
      <c r="E641" s="1"/>
    </row>
    <row r="642">
      <c r="E642" s="1"/>
    </row>
    <row r="643">
      <c r="E643" s="1"/>
    </row>
    <row r="644">
      <c r="E644" s="1"/>
    </row>
    <row r="645">
      <c r="E645" s="1"/>
    </row>
    <row r="646">
      <c r="E646" s="1"/>
    </row>
    <row r="647">
      <c r="E647" s="1"/>
    </row>
    <row r="648">
      <c r="E648" s="1"/>
    </row>
    <row r="649">
      <c r="E649" s="1"/>
    </row>
    <row r="650">
      <c r="E650" s="1"/>
    </row>
    <row r="651">
      <c r="E651" s="1"/>
    </row>
    <row r="652">
      <c r="E652" s="1"/>
    </row>
    <row r="653">
      <c r="E653" s="1"/>
    </row>
    <row r="654">
      <c r="E654" s="1"/>
    </row>
    <row r="655">
      <c r="E655" s="1"/>
    </row>
    <row r="656">
      <c r="E656" s="1"/>
    </row>
    <row r="657">
      <c r="E657" s="1"/>
    </row>
    <row r="658">
      <c r="E658" s="1"/>
    </row>
    <row r="659">
      <c r="E659" s="1"/>
    </row>
    <row r="660">
      <c r="E660" s="1"/>
    </row>
    <row r="661">
      <c r="E661" s="1"/>
    </row>
    <row r="662">
      <c r="E662" s="1"/>
    </row>
    <row r="663">
      <c r="E663" s="1"/>
    </row>
    <row r="664">
      <c r="E664" s="1"/>
    </row>
    <row r="665">
      <c r="E665" s="1"/>
    </row>
    <row r="666">
      <c r="E666" s="1"/>
    </row>
    <row r="667">
      <c r="E667" s="1"/>
    </row>
    <row r="668">
      <c r="E668" s="1"/>
    </row>
    <row r="669">
      <c r="E669" s="1"/>
    </row>
    <row r="670">
      <c r="E670" s="1"/>
    </row>
    <row r="671">
      <c r="E671" s="1"/>
    </row>
    <row r="672">
      <c r="E672" s="1"/>
    </row>
    <row r="673">
      <c r="E673" s="1"/>
    </row>
    <row r="674">
      <c r="E674" s="1"/>
    </row>
    <row r="675">
      <c r="E675" s="1"/>
    </row>
    <row r="676">
      <c r="E676" s="1"/>
    </row>
    <row r="677">
      <c r="E677" s="1"/>
    </row>
    <row r="678">
      <c r="E678" s="1"/>
    </row>
    <row r="679">
      <c r="E679" s="1"/>
    </row>
    <row r="680">
      <c r="E680" s="1"/>
    </row>
    <row r="681">
      <c r="E681" s="1"/>
    </row>
    <row r="682">
      <c r="E682" s="1"/>
    </row>
    <row r="683">
      <c r="E683" s="1"/>
    </row>
    <row r="684">
      <c r="E684" s="1"/>
    </row>
    <row r="685">
      <c r="E685" s="1"/>
    </row>
    <row r="686">
      <c r="E686" s="1"/>
    </row>
    <row r="687">
      <c r="E687" s="1"/>
    </row>
    <row r="688">
      <c r="E688" s="1"/>
    </row>
    <row r="689">
      <c r="E689" s="1"/>
    </row>
    <row r="690">
      <c r="E690" s="1"/>
    </row>
    <row r="691">
      <c r="E691" s="1"/>
    </row>
    <row r="692">
      <c r="E692" s="1"/>
    </row>
    <row r="693">
      <c r="E693" s="1"/>
    </row>
    <row r="694">
      <c r="E694" s="1"/>
    </row>
    <row r="695">
      <c r="E695" s="1"/>
    </row>
    <row r="696">
      <c r="E696" s="1"/>
    </row>
    <row r="697">
      <c r="E697" s="1"/>
    </row>
    <row r="698">
      <c r="E698" s="1"/>
    </row>
    <row r="699">
      <c r="E699" s="1"/>
    </row>
    <row r="700">
      <c r="E700" s="1"/>
    </row>
    <row r="701">
      <c r="E701" s="1"/>
    </row>
    <row r="702">
      <c r="E702" s="1"/>
    </row>
    <row r="703">
      <c r="E703" s="1"/>
    </row>
    <row r="704">
      <c r="E704" s="1"/>
    </row>
    <row r="705">
      <c r="E705" s="1"/>
    </row>
    <row r="706">
      <c r="E706" s="1"/>
    </row>
    <row r="707">
      <c r="E707" s="1"/>
    </row>
    <row r="708">
      <c r="E708" s="1"/>
    </row>
    <row r="709">
      <c r="E709" s="1"/>
    </row>
    <row r="710">
      <c r="E710" s="1"/>
    </row>
    <row r="711">
      <c r="E711" s="1"/>
    </row>
    <row r="712">
      <c r="E712" s="1"/>
    </row>
    <row r="713">
      <c r="E713" s="1"/>
    </row>
    <row r="714">
      <c r="E714" s="1"/>
    </row>
    <row r="715">
      <c r="E715" s="1"/>
    </row>
    <row r="716">
      <c r="E716" s="1"/>
    </row>
    <row r="717">
      <c r="E717" s="1"/>
    </row>
    <row r="718">
      <c r="E718" s="1"/>
    </row>
    <row r="719">
      <c r="E719" s="1"/>
    </row>
    <row r="720">
      <c r="E720" s="1"/>
    </row>
    <row r="721">
      <c r="E721" s="1"/>
    </row>
    <row r="722">
      <c r="E722" s="1"/>
    </row>
    <row r="723">
      <c r="E723" s="1"/>
    </row>
    <row r="724">
      <c r="E724" s="1"/>
    </row>
    <row r="725">
      <c r="E725" s="1"/>
    </row>
    <row r="726">
      <c r="E726" s="1"/>
    </row>
    <row r="727">
      <c r="E727" s="1"/>
    </row>
    <row r="728">
      <c r="E728" s="1"/>
    </row>
    <row r="729">
      <c r="E729" s="1"/>
    </row>
    <row r="730">
      <c r="E730" s="1"/>
    </row>
    <row r="731">
      <c r="E731" s="1"/>
    </row>
    <row r="732">
      <c r="E732" s="1"/>
    </row>
    <row r="733">
      <c r="E733" s="1"/>
    </row>
    <row r="734">
      <c r="E734" s="1"/>
    </row>
    <row r="735">
      <c r="E735" s="1"/>
    </row>
    <row r="736">
      <c r="E736" s="1"/>
    </row>
    <row r="737">
      <c r="E737" s="1"/>
    </row>
    <row r="738">
      <c r="E738" s="1"/>
    </row>
    <row r="739">
      <c r="E739" s="1"/>
    </row>
    <row r="740">
      <c r="E740" s="1"/>
    </row>
    <row r="741">
      <c r="E741" s="1"/>
    </row>
    <row r="742">
      <c r="E742" s="1"/>
    </row>
    <row r="743">
      <c r="E743" s="1"/>
    </row>
    <row r="744">
      <c r="E744" s="1"/>
    </row>
    <row r="745">
      <c r="E745" s="1"/>
    </row>
    <row r="746">
      <c r="E746" s="1"/>
    </row>
    <row r="747">
      <c r="E747" s="1"/>
    </row>
    <row r="748">
      <c r="E748" s="1"/>
    </row>
    <row r="749">
      <c r="E749" s="1"/>
    </row>
    <row r="750">
      <c r="E750" s="1"/>
    </row>
    <row r="751">
      <c r="E751" s="1"/>
    </row>
    <row r="752">
      <c r="E752" s="1"/>
    </row>
    <row r="753">
      <c r="E753" s="1"/>
    </row>
    <row r="754">
      <c r="E754" s="1"/>
    </row>
    <row r="755">
      <c r="E755" s="1"/>
    </row>
    <row r="756">
      <c r="E756" s="1"/>
    </row>
    <row r="757">
      <c r="E757" s="1"/>
    </row>
    <row r="758">
      <c r="E758" s="1"/>
    </row>
    <row r="759">
      <c r="E759" s="1"/>
    </row>
    <row r="760">
      <c r="E760" s="1"/>
    </row>
    <row r="761">
      <c r="E761" s="1"/>
    </row>
    <row r="762">
      <c r="E762" s="1"/>
    </row>
    <row r="763">
      <c r="E763" s="1"/>
    </row>
    <row r="764">
      <c r="E764" s="1"/>
    </row>
    <row r="765">
      <c r="E765" s="1"/>
    </row>
    <row r="766">
      <c r="E766" s="1"/>
    </row>
    <row r="767">
      <c r="E767" s="1"/>
    </row>
    <row r="768">
      <c r="E768" s="1"/>
    </row>
    <row r="769">
      <c r="E769" s="1"/>
    </row>
    <row r="770">
      <c r="E770" s="1"/>
    </row>
    <row r="771">
      <c r="E771" s="1"/>
    </row>
    <row r="772">
      <c r="E772" s="1"/>
    </row>
    <row r="773">
      <c r="E773" s="1"/>
    </row>
    <row r="774">
      <c r="E774" s="1"/>
    </row>
    <row r="775">
      <c r="E775" s="1"/>
    </row>
    <row r="776">
      <c r="E776" s="1"/>
    </row>
    <row r="777">
      <c r="E777" s="1"/>
    </row>
    <row r="778">
      <c r="E778" s="1"/>
    </row>
    <row r="779">
      <c r="E779" s="1"/>
    </row>
    <row r="780">
      <c r="E780" s="1"/>
    </row>
    <row r="781">
      <c r="E781" s="1"/>
    </row>
    <row r="782">
      <c r="E782" s="1"/>
    </row>
    <row r="783">
      <c r="E783" s="1"/>
    </row>
    <row r="784">
      <c r="E784" s="1"/>
    </row>
    <row r="785">
      <c r="E785" s="1"/>
    </row>
    <row r="786">
      <c r="E786" s="1"/>
    </row>
    <row r="787">
      <c r="E787" s="1"/>
    </row>
    <row r="788">
      <c r="E788" s="1"/>
    </row>
    <row r="789">
      <c r="E789" s="1"/>
    </row>
    <row r="790">
      <c r="E790" s="1"/>
    </row>
    <row r="791">
      <c r="E791" s="1"/>
    </row>
    <row r="792">
      <c r="E792" s="1"/>
    </row>
    <row r="793">
      <c r="E793" s="1"/>
    </row>
    <row r="794">
      <c r="E794" s="1"/>
    </row>
    <row r="795">
      <c r="E795" s="1"/>
    </row>
    <row r="796">
      <c r="E796" s="1"/>
    </row>
    <row r="797">
      <c r="E797" s="1"/>
    </row>
    <row r="798">
      <c r="E798" s="1"/>
    </row>
    <row r="799">
      <c r="E799" s="1"/>
    </row>
    <row r="800">
      <c r="E800" s="1"/>
    </row>
    <row r="801">
      <c r="E801" s="1"/>
    </row>
    <row r="802">
      <c r="E802" s="1"/>
    </row>
    <row r="803">
      <c r="E803" s="1"/>
    </row>
    <row r="804">
      <c r="E804" s="1"/>
    </row>
    <row r="805">
      <c r="E805" s="1"/>
    </row>
    <row r="806">
      <c r="E806" s="1"/>
    </row>
    <row r="807">
      <c r="E807" s="1"/>
    </row>
    <row r="808">
      <c r="E808" s="1"/>
    </row>
    <row r="809">
      <c r="E809" s="1"/>
    </row>
    <row r="810">
      <c r="E810" s="1"/>
    </row>
    <row r="811">
      <c r="E811" s="1"/>
    </row>
    <row r="812">
      <c r="E812" s="1"/>
    </row>
    <row r="813">
      <c r="E813" s="1"/>
    </row>
    <row r="814">
      <c r="E814" s="1"/>
    </row>
    <row r="815">
      <c r="E815" s="1"/>
    </row>
    <row r="816">
      <c r="E816" s="1"/>
    </row>
    <row r="817">
      <c r="E817" s="1"/>
    </row>
    <row r="818">
      <c r="E818" s="1"/>
    </row>
    <row r="819">
      <c r="E819" s="1"/>
    </row>
    <row r="820">
      <c r="E820" s="1"/>
    </row>
    <row r="821">
      <c r="E821" s="1"/>
    </row>
    <row r="822">
      <c r="E822" s="1"/>
    </row>
    <row r="823">
      <c r="E823" s="1"/>
    </row>
    <row r="824">
      <c r="E824" s="1"/>
    </row>
    <row r="825">
      <c r="E825" s="1"/>
    </row>
    <row r="826">
      <c r="E826" s="1"/>
    </row>
    <row r="827">
      <c r="E827" s="1"/>
    </row>
    <row r="828">
      <c r="E828" s="1"/>
    </row>
    <row r="829">
      <c r="E829" s="1"/>
    </row>
    <row r="830">
      <c r="E830" s="1"/>
    </row>
    <row r="831">
      <c r="E831" s="1"/>
    </row>
    <row r="832">
      <c r="E832" s="1"/>
    </row>
    <row r="833">
      <c r="E833" s="1"/>
    </row>
    <row r="834">
      <c r="E834" s="1"/>
    </row>
    <row r="835">
      <c r="E835" s="1"/>
    </row>
    <row r="836">
      <c r="E836" s="1"/>
    </row>
    <row r="837">
      <c r="E837" s="1"/>
    </row>
    <row r="838">
      <c r="E838" s="1"/>
    </row>
    <row r="839">
      <c r="E839" s="1"/>
    </row>
    <row r="840">
      <c r="E840" s="1"/>
    </row>
    <row r="841">
      <c r="E841" s="1"/>
    </row>
    <row r="842">
      <c r="E842" s="1"/>
    </row>
    <row r="843">
      <c r="E843" s="1"/>
    </row>
    <row r="844">
      <c r="E844" s="1"/>
    </row>
    <row r="845">
      <c r="E845" s="1"/>
    </row>
    <row r="846">
      <c r="E846" s="1"/>
    </row>
    <row r="847">
      <c r="E847" s="1"/>
    </row>
    <row r="848">
      <c r="E848" s="1"/>
    </row>
    <row r="849">
      <c r="E849" s="1"/>
    </row>
    <row r="850">
      <c r="E850" s="1"/>
    </row>
    <row r="851">
      <c r="E851" s="1"/>
    </row>
    <row r="852">
      <c r="E852" s="1"/>
    </row>
    <row r="853">
      <c r="E853" s="1"/>
    </row>
    <row r="854">
      <c r="E854" s="1"/>
    </row>
    <row r="855">
      <c r="E855" s="1"/>
    </row>
    <row r="856">
      <c r="E856" s="1"/>
    </row>
    <row r="857">
      <c r="E857" s="1"/>
    </row>
    <row r="858">
      <c r="E858" s="1"/>
    </row>
    <row r="859">
      <c r="E859" s="1"/>
    </row>
    <row r="860">
      <c r="E860" s="1"/>
    </row>
    <row r="861">
      <c r="E861" s="1"/>
    </row>
    <row r="862">
      <c r="E862" s="1"/>
    </row>
    <row r="863">
      <c r="E863" s="1"/>
    </row>
    <row r="864">
      <c r="E864" s="1"/>
    </row>
    <row r="865">
      <c r="E865" s="1"/>
    </row>
    <row r="866">
      <c r="E866" s="1"/>
    </row>
    <row r="867">
      <c r="E867" s="1"/>
    </row>
    <row r="868">
      <c r="E868" s="1"/>
    </row>
    <row r="869">
      <c r="E869" s="1"/>
    </row>
    <row r="870">
      <c r="E870" s="1"/>
    </row>
    <row r="871">
      <c r="E871" s="1"/>
    </row>
    <row r="872">
      <c r="E872" s="1"/>
    </row>
    <row r="873">
      <c r="E873" s="1"/>
    </row>
    <row r="874">
      <c r="E874" s="1"/>
    </row>
    <row r="875">
      <c r="E875" s="1"/>
    </row>
    <row r="876">
      <c r="E876" s="1"/>
    </row>
    <row r="877">
      <c r="E877" s="1"/>
    </row>
    <row r="878">
      <c r="E878" s="1"/>
    </row>
    <row r="879">
      <c r="E879" s="1"/>
    </row>
    <row r="880">
      <c r="E880" s="1"/>
    </row>
    <row r="881">
      <c r="E881" s="1"/>
    </row>
    <row r="882">
      <c r="E882" s="1"/>
    </row>
    <row r="883">
      <c r="E883" s="1"/>
    </row>
    <row r="884">
      <c r="E884" s="1"/>
    </row>
    <row r="885">
      <c r="E885" s="1"/>
    </row>
    <row r="886">
      <c r="E886" s="1"/>
    </row>
    <row r="887">
      <c r="E887" s="1"/>
    </row>
    <row r="888">
      <c r="E888" s="1"/>
    </row>
    <row r="889">
      <c r="E889" s="1"/>
    </row>
    <row r="890">
      <c r="E890" s="1"/>
    </row>
    <row r="891">
      <c r="E891" s="1"/>
    </row>
    <row r="892">
      <c r="E892" s="1"/>
    </row>
    <row r="893">
      <c r="E893" s="1"/>
    </row>
    <row r="894">
      <c r="E894" s="1"/>
    </row>
    <row r="895">
      <c r="E895" s="1"/>
    </row>
    <row r="896">
      <c r="E896" s="1"/>
    </row>
    <row r="897">
      <c r="E897" s="1"/>
    </row>
    <row r="898">
      <c r="E898" s="1"/>
    </row>
    <row r="899">
      <c r="E899" s="1"/>
    </row>
    <row r="900">
      <c r="E900" s="1"/>
    </row>
    <row r="901">
      <c r="E901" s="1"/>
    </row>
    <row r="902">
      <c r="E902" s="1"/>
    </row>
    <row r="903">
      <c r="E903" s="1"/>
    </row>
    <row r="904">
      <c r="E904" s="1"/>
    </row>
    <row r="905">
      <c r="E905" s="1"/>
    </row>
    <row r="906">
      <c r="E906" s="1"/>
    </row>
    <row r="907">
      <c r="E907" s="1"/>
    </row>
    <row r="908">
      <c r="E908" s="1"/>
    </row>
    <row r="909">
      <c r="E909" s="1"/>
    </row>
    <row r="910">
      <c r="E910" s="1"/>
    </row>
    <row r="911">
      <c r="E911" s="1"/>
    </row>
    <row r="912">
      <c r="E912" s="1"/>
    </row>
    <row r="913">
      <c r="E913" s="1"/>
    </row>
    <row r="914">
      <c r="E914" s="1"/>
    </row>
    <row r="915">
      <c r="E915" s="1"/>
    </row>
    <row r="916">
      <c r="E916" s="1"/>
    </row>
    <row r="917">
      <c r="E917" s="1"/>
    </row>
    <row r="918">
      <c r="E918" s="1"/>
    </row>
    <row r="919">
      <c r="E919" s="1"/>
    </row>
    <row r="920">
      <c r="E920" s="1"/>
    </row>
    <row r="921">
      <c r="E921" s="1"/>
    </row>
    <row r="922">
      <c r="E922" s="1"/>
    </row>
    <row r="923">
      <c r="E923" s="1"/>
    </row>
    <row r="924">
      <c r="E924" s="1"/>
    </row>
    <row r="925">
      <c r="E925" s="1"/>
    </row>
    <row r="926">
      <c r="E926" s="1"/>
    </row>
    <row r="927">
      <c r="E927" s="1"/>
    </row>
    <row r="928">
      <c r="E928" s="1"/>
    </row>
    <row r="929">
      <c r="E929" s="1"/>
    </row>
    <row r="930">
      <c r="E930" s="1"/>
    </row>
    <row r="931">
      <c r="E931" s="1"/>
    </row>
  </sheetData>
  <conditionalFormatting sqref="G7:G37">
    <cfRule type="expression" dxfId="5" priority="1">
      <formula>$G7&gt;=$O$9</formula>
    </cfRule>
  </conditionalFormatting>
  <conditionalFormatting sqref="N3">
    <cfRule type="expression" dxfId="5" priority="2">
      <formula>N3&gt;=O8</formula>
    </cfRule>
  </conditionalFormatting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4" max="4" width="22.0"/>
    <col customWidth="1" min="5" max="5" width="15.0"/>
    <col customWidth="1" min="9" max="9" width="18.38"/>
    <col customWidth="1" min="11" max="11" width="18.5"/>
    <col customWidth="1" min="14" max="14" width="18.38"/>
    <col customWidth="1" min="15" max="15" width="15.88"/>
    <col customWidth="1" min="16" max="16" width="18.5"/>
    <col customWidth="1" min="17" max="17" width="17.0"/>
    <col customWidth="1" min="22" max="22" width="19.38"/>
  </cols>
  <sheetData>
    <row r="1">
      <c r="E1" s="1"/>
    </row>
    <row r="2">
      <c r="E2" s="1"/>
      <c r="K2" s="2" t="s">
        <v>0</v>
      </c>
      <c r="L2" s="3" t="s">
        <v>1</v>
      </c>
      <c r="M2" s="4" t="s">
        <v>2</v>
      </c>
      <c r="N2" s="4" t="s">
        <v>3</v>
      </c>
    </row>
    <row r="3">
      <c r="E3" s="1"/>
      <c r="K3" s="5" t="s">
        <v>4</v>
      </c>
      <c r="L3" s="6">
        <f t="shared" ref="L3:M3" si="1">sum(E7:E37)</f>
        <v>0</v>
      </c>
      <c r="M3" s="3">
        <f t="shared" si="1"/>
        <v>0</v>
      </c>
      <c r="N3" s="7">
        <f>M3*Sumario!N4</f>
        <v>0</v>
      </c>
      <c r="O3" s="7">
        <f>Sumario!N4</f>
        <v>0.87762</v>
      </c>
    </row>
    <row r="4">
      <c r="B4" s="65" t="s">
        <v>79</v>
      </c>
      <c r="C4" s="10"/>
      <c r="D4" s="10"/>
      <c r="E4" s="11"/>
      <c r="F4" s="10"/>
      <c r="G4" s="10"/>
      <c r="H4" s="10"/>
      <c r="I4" s="10"/>
      <c r="J4" s="10"/>
      <c r="K4" s="10"/>
      <c r="L4" s="10"/>
    </row>
    <row r="5">
      <c r="B5" s="65" t="s">
        <v>8</v>
      </c>
      <c r="C5" s="65" t="s">
        <v>9</v>
      </c>
      <c r="D5" s="65" t="s">
        <v>11</v>
      </c>
      <c r="E5" s="65" t="s">
        <v>12</v>
      </c>
      <c r="F5" s="65" t="s">
        <v>13</v>
      </c>
      <c r="G5" s="12" t="s">
        <v>14</v>
      </c>
      <c r="H5" s="12"/>
      <c r="I5" s="13"/>
      <c r="J5" s="14"/>
      <c r="K5" s="15"/>
      <c r="L5" s="10"/>
    </row>
    <row r="6">
      <c r="B6" s="10"/>
      <c r="C6" s="10"/>
      <c r="D6" s="10"/>
      <c r="E6" s="10"/>
      <c r="F6" s="16"/>
      <c r="G6" s="10"/>
      <c r="H6" s="15" t="s">
        <v>15</v>
      </c>
      <c r="I6" s="10"/>
      <c r="J6" s="10"/>
      <c r="K6" s="10"/>
      <c r="L6" s="10"/>
    </row>
    <row r="7">
      <c r="B7" s="10"/>
      <c r="C7" s="15" t="s">
        <v>16</v>
      </c>
      <c r="D7" s="16"/>
      <c r="E7" s="17"/>
      <c r="F7" s="19"/>
      <c r="G7" s="11">
        <f t="shared" ref="G7:G37" si="2">E7+(F7*$O$3)</f>
        <v>0</v>
      </c>
      <c r="H7" s="24">
        <f t="shared" ref="H7:H37" si="3">G7/$O$9</f>
        <v>0</v>
      </c>
      <c r="I7" s="25">
        <f t="shared" ref="I7:I37" si="4">315+G7</f>
        <v>315</v>
      </c>
      <c r="J7" s="10"/>
      <c r="K7" s="10"/>
      <c r="L7" s="10"/>
    </row>
    <row r="8">
      <c r="B8" s="10"/>
      <c r="C8" s="15" t="s">
        <v>20</v>
      </c>
      <c r="D8" s="16"/>
      <c r="E8" s="17"/>
      <c r="F8" s="19"/>
      <c r="G8" s="11">
        <f t="shared" si="2"/>
        <v>0</v>
      </c>
      <c r="H8" s="24">
        <f t="shared" si="3"/>
        <v>0</v>
      </c>
      <c r="I8" s="25">
        <f t="shared" si="4"/>
        <v>315</v>
      </c>
      <c r="J8" s="10"/>
      <c r="K8" s="10"/>
      <c r="L8" s="10"/>
      <c r="N8" s="31" t="s">
        <v>15</v>
      </c>
      <c r="O8" s="31">
        <v>2500.0</v>
      </c>
      <c r="P8" s="34">
        <f>O8-Sumario!K17</f>
        <v>2500</v>
      </c>
    </row>
    <row r="9">
      <c r="B9" s="10"/>
      <c r="C9" s="15" t="s">
        <v>27</v>
      </c>
      <c r="D9" s="16"/>
      <c r="E9" s="17"/>
      <c r="F9" s="41"/>
      <c r="G9" s="11">
        <f t="shared" si="2"/>
        <v>0</v>
      </c>
      <c r="H9" s="24">
        <f t="shared" si="3"/>
        <v>0</v>
      </c>
      <c r="I9" s="25">
        <f t="shared" si="4"/>
        <v>315</v>
      </c>
      <c r="J9" s="10"/>
      <c r="K9" s="10"/>
      <c r="L9" s="15">
        <v>7245.0</v>
      </c>
      <c r="N9" s="31" t="s">
        <v>28</v>
      </c>
      <c r="O9" s="4">
        <f>O8/21</f>
        <v>119.047619</v>
      </c>
      <c r="P9" s="36">
        <f>P8/O8</f>
        <v>1</v>
      </c>
    </row>
    <row r="10">
      <c r="B10" s="10"/>
      <c r="C10" s="15" t="s">
        <v>29</v>
      </c>
      <c r="D10" s="16"/>
      <c r="E10" s="17"/>
      <c r="F10" s="41"/>
      <c r="G10" s="11">
        <f t="shared" si="2"/>
        <v>0</v>
      </c>
      <c r="H10" s="24">
        <f t="shared" si="3"/>
        <v>0</v>
      </c>
      <c r="I10" s="25">
        <f t="shared" si="4"/>
        <v>315</v>
      </c>
      <c r="J10" s="10"/>
      <c r="K10" s="10"/>
      <c r="L10" s="38">
        <f>L9+Sumario!K16</f>
        <v>7245</v>
      </c>
    </row>
    <row r="11">
      <c r="B11" s="10"/>
      <c r="C11" s="15" t="s">
        <v>30</v>
      </c>
      <c r="D11" s="16"/>
      <c r="E11" s="17"/>
      <c r="F11" s="19"/>
      <c r="G11" s="11">
        <f t="shared" si="2"/>
        <v>0</v>
      </c>
      <c r="H11" s="24">
        <f t="shared" si="3"/>
        <v>0</v>
      </c>
      <c r="I11" s="25">
        <f t="shared" si="4"/>
        <v>315</v>
      </c>
      <c r="J11" s="10"/>
      <c r="K11" s="10"/>
      <c r="L11" s="10"/>
    </row>
    <row r="12">
      <c r="B12" s="15"/>
      <c r="C12" s="15" t="s">
        <v>31</v>
      </c>
      <c r="D12" s="20"/>
      <c r="E12" s="40"/>
      <c r="F12" s="41"/>
      <c r="G12" s="11">
        <f t="shared" si="2"/>
        <v>0</v>
      </c>
      <c r="H12" s="24">
        <f t="shared" si="3"/>
        <v>0</v>
      </c>
      <c r="I12" s="25">
        <f t="shared" si="4"/>
        <v>315</v>
      </c>
      <c r="J12" s="15"/>
      <c r="K12" s="15"/>
      <c r="L12" s="10"/>
    </row>
    <row r="13">
      <c r="B13" s="15"/>
      <c r="C13" s="15" t="s">
        <v>32</v>
      </c>
      <c r="D13" s="20"/>
      <c r="E13" s="40"/>
      <c r="F13" s="19"/>
      <c r="G13" s="11">
        <f t="shared" si="2"/>
        <v>0</v>
      </c>
      <c r="H13" s="24">
        <f t="shared" si="3"/>
        <v>0</v>
      </c>
      <c r="I13" s="25">
        <f t="shared" si="4"/>
        <v>315</v>
      </c>
      <c r="J13" s="15"/>
      <c r="K13" s="15"/>
      <c r="L13" s="10"/>
    </row>
    <row r="14">
      <c r="B14" s="15"/>
      <c r="C14" s="15" t="s">
        <v>33</v>
      </c>
      <c r="D14" s="20"/>
      <c r="E14" s="40"/>
      <c r="F14" s="41"/>
      <c r="G14" s="11">
        <f t="shared" si="2"/>
        <v>0</v>
      </c>
      <c r="H14" s="24">
        <f t="shared" si="3"/>
        <v>0</v>
      </c>
      <c r="I14" s="25">
        <f t="shared" si="4"/>
        <v>315</v>
      </c>
      <c r="J14" s="15"/>
      <c r="K14" s="15"/>
      <c r="L14" s="10"/>
    </row>
    <row r="15">
      <c r="B15" s="15"/>
      <c r="C15" s="15" t="s">
        <v>34</v>
      </c>
      <c r="D15" s="20"/>
      <c r="E15" s="40"/>
      <c r="F15" s="19"/>
      <c r="G15" s="11">
        <f t="shared" si="2"/>
        <v>0</v>
      </c>
      <c r="H15" s="24">
        <f t="shared" si="3"/>
        <v>0</v>
      </c>
      <c r="I15" s="25">
        <f t="shared" si="4"/>
        <v>315</v>
      </c>
      <c r="J15" s="15"/>
      <c r="K15" s="15"/>
      <c r="L15" s="10"/>
    </row>
    <row r="16">
      <c r="B16" s="15"/>
      <c r="C16" s="15" t="s">
        <v>36</v>
      </c>
      <c r="D16" s="20"/>
      <c r="E16" s="40"/>
      <c r="F16" s="41"/>
      <c r="G16" s="11">
        <f t="shared" si="2"/>
        <v>0</v>
      </c>
      <c r="H16" s="24">
        <f t="shared" si="3"/>
        <v>0</v>
      </c>
      <c r="I16" s="25">
        <f t="shared" si="4"/>
        <v>315</v>
      </c>
      <c r="J16" s="15"/>
      <c r="K16" s="15"/>
      <c r="L16" s="10"/>
    </row>
    <row r="17">
      <c r="B17" s="15"/>
      <c r="C17" s="15" t="s">
        <v>37</v>
      </c>
      <c r="D17" s="20"/>
      <c r="E17" s="40"/>
      <c r="F17" s="19"/>
      <c r="G17" s="11">
        <f t="shared" si="2"/>
        <v>0</v>
      </c>
      <c r="H17" s="24">
        <f t="shared" si="3"/>
        <v>0</v>
      </c>
      <c r="I17" s="25">
        <f t="shared" si="4"/>
        <v>315</v>
      </c>
      <c r="J17" s="15"/>
      <c r="K17" s="15"/>
      <c r="L17" s="10"/>
    </row>
    <row r="18">
      <c r="B18" s="15"/>
      <c r="C18" s="15" t="s">
        <v>38</v>
      </c>
      <c r="D18" s="20"/>
      <c r="E18" s="40"/>
      <c r="F18" s="41"/>
      <c r="G18" s="11">
        <f t="shared" si="2"/>
        <v>0</v>
      </c>
      <c r="H18" s="24">
        <f t="shared" si="3"/>
        <v>0</v>
      </c>
      <c r="I18" s="25">
        <f t="shared" si="4"/>
        <v>315</v>
      </c>
      <c r="J18" s="15"/>
      <c r="K18" s="15"/>
      <c r="L18" s="10"/>
    </row>
    <row r="19">
      <c r="B19" s="15"/>
      <c r="C19" s="15" t="s">
        <v>39</v>
      </c>
      <c r="D19" s="20"/>
      <c r="E19" s="40"/>
      <c r="F19" s="19"/>
      <c r="G19" s="11">
        <f t="shared" si="2"/>
        <v>0</v>
      </c>
      <c r="H19" s="24">
        <f t="shared" si="3"/>
        <v>0</v>
      </c>
      <c r="I19" s="25">
        <f t="shared" si="4"/>
        <v>315</v>
      </c>
      <c r="J19" s="15"/>
      <c r="K19" s="15"/>
      <c r="L19" s="10"/>
    </row>
    <row r="20">
      <c r="B20" s="15"/>
      <c r="C20" s="15" t="s">
        <v>40</v>
      </c>
      <c r="D20" s="20"/>
      <c r="E20" s="40"/>
      <c r="F20" s="41"/>
      <c r="G20" s="11">
        <f t="shared" si="2"/>
        <v>0</v>
      </c>
      <c r="H20" s="24">
        <f t="shared" si="3"/>
        <v>0</v>
      </c>
      <c r="I20" s="25">
        <f t="shared" si="4"/>
        <v>315</v>
      </c>
      <c r="J20" s="15"/>
      <c r="K20" s="15"/>
      <c r="L20" s="10"/>
    </row>
    <row r="21">
      <c r="B21" s="15"/>
      <c r="C21" s="15" t="s">
        <v>41</v>
      </c>
      <c r="D21" s="20"/>
      <c r="E21" s="40"/>
      <c r="F21" s="19"/>
      <c r="G21" s="11">
        <f t="shared" si="2"/>
        <v>0</v>
      </c>
      <c r="H21" s="24">
        <f t="shared" si="3"/>
        <v>0</v>
      </c>
      <c r="I21" s="25">
        <f t="shared" si="4"/>
        <v>315</v>
      </c>
      <c r="J21" s="15"/>
      <c r="K21" s="15"/>
      <c r="L21" s="10"/>
    </row>
    <row r="22">
      <c r="B22" s="15"/>
      <c r="C22" s="15" t="s">
        <v>42</v>
      </c>
      <c r="D22" s="20"/>
      <c r="E22" s="40"/>
      <c r="F22" s="41"/>
      <c r="G22" s="11">
        <f t="shared" si="2"/>
        <v>0</v>
      </c>
      <c r="H22" s="24">
        <f t="shared" si="3"/>
        <v>0</v>
      </c>
      <c r="I22" s="25">
        <f t="shared" si="4"/>
        <v>315</v>
      </c>
      <c r="J22" s="15"/>
      <c r="K22" s="15"/>
      <c r="L22" s="10"/>
    </row>
    <row r="23">
      <c r="C23" s="15" t="s">
        <v>44</v>
      </c>
      <c r="E23" s="17"/>
      <c r="F23" s="46"/>
      <c r="G23" s="11">
        <f t="shared" si="2"/>
        <v>0</v>
      </c>
      <c r="H23" s="24">
        <f t="shared" si="3"/>
        <v>0</v>
      </c>
      <c r="I23" s="25">
        <f t="shared" si="4"/>
        <v>315</v>
      </c>
      <c r="J23" s="45"/>
      <c r="K23" s="45"/>
      <c r="L23" s="45"/>
      <c r="M23" s="45"/>
      <c r="N23" s="45"/>
      <c r="O23" s="45"/>
      <c r="P23" s="45"/>
      <c r="Q23" s="45"/>
    </row>
    <row r="24">
      <c r="C24" s="15" t="s">
        <v>45</v>
      </c>
      <c r="E24" s="40"/>
      <c r="F24" s="46"/>
      <c r="G24" s="11">
        <f t="shared" si="2"/>
        <v>0</v>
      </c>
      <c r="H24" s="24">
        <f t="shared" si="3"/>
        <v>0</v>
      </c>
      <c r="I24" s="25">
        <f t="shared" si="4"/>
        <v>315</v>
      </c>
      <c r="J24" s="45"/>
      <c r="K24" s="45"/>
      <c r="L24" s="45"/>
      <c r="M24" s="45"/>
      <c r="N24" s="45"/>
      <c r="O24" s="45"/>
      <c r="P24" s="45"/>
      <c r="Q24" s="45"/>
    </row>
    <row r="25">
      <c r="C25" s="15" t="s">
        <v>46</v>
      </c>
      <c r="E25" s="40"/>
      <c r="F25" s="46"/>
      <c r="G25" s="11">
        <f t="shared" si="2"/>
        <v>0</v>
      </c>
      <c r="H25" s="24">
        <f t="shared" si="3"/>
        <v>0</v>
      </c>
      <c r="I25" s="25">
        <f t="shared" si="4"/>
        <v>315</v>
      </c>
      <c r="J25" s="45"/>
      <c r="K25" s="45"/>
      <c r="L25" s="45"/>
      <c r="M25" s="45"/>
      <c r="N25" s="45"/>
      <c r="O25" s="45"/>
      <c r="P25" s="45"/>
      <c r="Q25" s="45"/>
    </row>
    <row r="26">
      <c r="C26" s="15" t="s">
        <v>47</v>
      </c>
      <c r="E26" s="40"/>
      <c r="F26" s="46"/>
      <c r="G26" s="11">
        <f t="shared" si="2"/>
        <v>0</v>
      </c>
      <c r="H26" s="24">
        <f t="shared" si="3"/>
        <v>0</v>
      </c>
      <c r="I26" s="25">
        <f t="shared" si="4"/>
        <v>315</v>
      </c>
      <c r="J26" s="45"/>
      <c r="K26" s="45"/>
      <c r="L26" s="45"/>
      <c r="M26" s="45"/>
      <c r="N26" s="45"/>
      <c r="O26" s="45"/>
      <c r="P26" s="45"/>
      <c r="Q26" s="45"/>
    </row>
    <row r="27">
      <c r="C27" s="15" t="s">
        <v>48</v>
      </c>
      <c r="E27" s="40"/>
      <c r="F27" s="46"/>
      <c r="G27" s="11">
        <f t="shared" si="2"/>
        <v>0</v>
      </c>
      <c r="H27" s="24">
        <f t="shared" si="3"/>
        <v>0</v>
      </c>
      <c r="I27" s="25">
        <f t="shared" si="4"/>
        <v>315</v>
      </c>
      <c r="J27" s="45"/>
      <c r="K27" s="45"/>
      <c r="L27" s="45"/>
      <c r="M27" s="45"/>
      <c r="N27" s="45"/>
      <c r="O27" s="45"/>
      <c r="P27" s="45"/>
      <c r="Q27" s="45"/>
    </row>
    <row r="28">
      <c r="C28" s="15" t="s">
        <v>49</v>
      </c>
      <c r="E28" s="17"/>
      <c r="F28" s="44"/>
      <c r="G28" s="11">
        <f t="shared" si="2"/>
        <v>0</v>
      </c>
      <c r="H28" s="24">
        <f t="shared" si="3"/>
        <v>0</v>
      </c>
      <c r="I28" s="25">
        <f t="shared" si="4"/>
        <v>315</v>
      </c>
      <c r="J28" s="45"/>
      <c r="K28" s="45"/>
      <c r="L28" s="45"/>
      <c r="M28" s="45"/>
      <c r="N28" s="45"/>
      <c r="O28" s="45"/>
      <c r="P28" s="45"/>
      <c r="Q28" s="45"/>
    </row>
    <row r="29">
      <c r="C29" s="15" t="s">
        <v>51</v>
      </c>
      <c r="E29" s="17"/>
      <c r="F29" s="46"/>
      <c r="G29" s="11">
        <f t="shared" si="2"/>
        <v>0</v>
      </c>
      <c r="H29" s="24">
        <f t="shared" si="3"/>
        <v>0</v>
      </c>
      <c r="I29" s="25">
        <f t="shared" si="4"/>
        <v>315</v>
      </c>
      <c r="J29" s="45"/>
      <c r="K29" s="45"/>
      <c r="L29" s="45"/>
      <c r="M29" s="45"/>
      <c r="N29" s="45"/>
      <c r="O29" s="45"/>
      <c r="P29" s="45"/>
      <c r="Q29" s="45"/>
    </row>
    <row r="30">
      <c r="C30" s="15" t="s">
        <v>52</v>
      </c>
      <c r="E30" s="40"/>
      <c r="F30" s="46"/>
      <c r="G30" s="11">
        <f t="shared" si="2"/>
        <v>0</v>
      </c>
      <c r="H30" s="24">
        <f t="shared" si="3"/>
        <v>0</v>
      </c>
      <c r="I30" s="25">
        <f t="shared" si="4"/>
        <v>315</v>
      </c>
      <c r="J30" s="45"/>
      <c r="K30" s="45"/>
      <c r="L30" s="45"/>
      <c r="M30" s="45"/>
      <c r="N30" s="45"/>
      <c r="O30" s="45"/>
      <c r="P30" s="45"/>
      <c r="Q30" s="45"/>
    </row>
    <row r="31">
      <c r="C31" s="15" t="s">
        <v>53</v>
      </c>
      <c r="E31" s="40"/>
      <c r="F31" s="46"/>
      <c r="G31" s="11">
        <f t="shared" si="2"/>
        <v>0</v>
      </c>
      <c r="H31" s="24">
        <f t="shared" si="3"/>
        <v>0</v>
      </c>
      <c r="I31" s="25">
        <f t="shared" si="4"/>
        <v>315</v>
      </c>
      <c r="J31" s="45"/>
      <c r="K31" s="45"/>
      <c r="L31" s="45"/>
      <c r="M31" s="45"/>
      <c r="N31" s="45"/>
      <c r="O31" s="45"/>
      <c r="P31" s="45"/>
      <c r="Q31" s="45"/>
    </row>
    <row r="32">
      <c r="C32" s="15" t="s">
        <v>54</v>
      </c>
      <c r="E32" s="40"/>
      <c r="F32" s="46"/>
      <c r="G32" s="11">
        <f t="shared" si="2"/>
        <v>0</v>
      </c>
      <c r="H32" s="24">
        <f t="shared" si="3"/>
        <v>0</v>
      </c>
      <c r="I32" s="25">
        <f t="shared" si="4"/>
        <v>315</v>
      </c>
      <c r="J32" s="45"/>
      <c r="K32" s="45"/>
      <c r="L32" s="45"/>
      <c r="M32" s="45"/>
      <c r="N32" s="45"/>
      <c r="O32" s="45"/>
      <c r="P32" s="45"/>
      <c r="Q32" s="45"/>
    </row>
    <row r="33">
      <c r="C33" s="15" t="s">
        <v>55</v>
      </c>
      <c r="E33" s="40"/>
      <c r="F33" s="46"/>
      <c r="G33" s="11">
        <f t="shared" si="2"/>
        <v>0</v>
      </c>
      <c r="H33" s="24">
        <f t="shared" si="3"/>
        <v>0</v>
      </c>
      <c r="I33" s="25">
        <f t="shared" si="4"/>
        <v>315</v>
      </c>
    </row>
    <row r="34">
      <c r="C34" s="15" t="s">
        <v>56</v>
      </c>
      <c r="E34" s="40"/>
      <c r="F34" s="46"/>
      <c r="G34" s="11">
        <f t="shared" si="2"/>
        <v>0</v>
      </c>
      <c r="H34" s="24">
        <f t="shared" si="3"/>
        <v>0</v>
      </c>
      <c r="I34" s="25">
        <f t="shared" si="4"/>
        <v>315</v>
      </c>
    </row>
    <row r="35">
      <c r="C35" s="15" t="s">
        <v>57</v>
      </c>
      <c r="E35" s="40"/>
      <c r="F35" s="46"/>
      <c r="G35" s="11">
        <f t="shared" si="2"/>
        <v>0</v>
      </c>
      <c r="H35" s="24">
        <f t="shared" si="3"/>
        <v>0</v>
      </c>
      <c r="I35" s="25">
        <f t="shared" si="4"/>
        <v>315</v>
      </c>
    </row>
    <row r="36">
      <c r="C36" s="15" t="s">
        <v>58</v>
      </c>
      <c r="E36" s="40"/>
      <c r="F36" s="46"/>
      <c r="G36" s="11">
        <f t="shared" si="2"/>
        <v>0</v>
      </c>
      <c r="H36" s="24">
        <f t="shared" si="3"/>
        <v>0</v>
      </c>
      <c r="I36" s="25">
        <f t="shared" si="4"/>
        <v>315</v>
      </c>
    </row>
    <row r="37">
      <c r="C37" s="15" t="s">
        <v>59</v>
      </c>
      <c r="E37" s="17"/>
      <c r="F37" s="44"/>
      <c r="G37" s="11">
        <f t="shared" si="2"/>
        <v>0</v>
      </c>
      <c r="H37" s="24">
        <f t="shared" si="3"/>
        <v>0</v>
      </c>
      <c r="I37" s="25">
        <f t="shared" si="4"/>
        <v>315</v>
      </c>
    </row>
    <row r="38">
      <c r="E38" s="1"/>
    </row>
    <row r="39">
      <c r="E39" s="1"/>
    </row>
    <row r="40">
      <c r="E40" s="1"/>
    </row>
    <row r="41">
      <c r="B41" s="48"/>
      <c r="C41" s="49"/>
      <c r="E41" s="1"/>
    </row>
    <row r="42">
      <c r="E42" s="1"/>
    </row>
    <row r="43">
      <c r="E43" s="1"/>
    </row>
    <row r="44">
      <c r="E44" s="1"/>
    </row>
    <row r="45">
      <c r="E45" s="1"/>
    </row>
    <row r="46">
      <c r="E46" s="1"/>
    </row>
    <row r="47">
      <c r="E47" s="1"/>
    </row>
    <row r="48">
      <c r="E48" s="1"/>
    </row>
    <row r="49">
      <c r="E49" s="1"/>
    </row>
    <row r="50">
      <c r="E50" s="1"/>
    </row>
    <row r="51">
      <c r="E51" s="1"/>
    </row>
    <row r="52">
      <c r="E52" s="1"/>
    </row>
    <row r="53">
      <c r="E53" s="1"/>
    </row>
    <row r="54">
      <c r="E54" s="1"/>
    </row>
    <row r="55">
      <c r="E55" s="1"/>
    </row>
    <row r="56">
      <c r="E56" s="1"/>
    </row>
    <row r="57">
      <c r="E57" s="1"/>
    </row>
    <row r="58">
      <c r="E58" s="1"/>
    </row>
    <row r="59">
      <c r="E59" s="1"/>
    </row>
    <row r="60">
      <c r="E60" s="1"/>
    </row>
    <row r="61">
      <c r="E61" s="1"/>
    </row>
    <row r="62">
      <c r="E62" s="1"/>
    </row>
    <row r="63">
      <c r="E63" s="1"/>
    </row>
    <row r="64">
      <c r="E64" s="1"/>
    </row>
    <row r="65">
      <c r="E65" s="1"/>
    </row>
    <row r="66">
      <c r="E66" s="1"/>
    </row>
    <row r="67">
      <c r="E67" s="1"/>
    </row>
    <row r="68">
      <c r="E68" s="1"/>
    </row>
    <row r="69">
      <c r="E69" s="1"/>
    </row>
    <row r="70">
      <c r="E70" s="1"/>
    </row>
    <row r="71">
      <c r="E71" s="1"/>
    </row>
    <row r="72">
      <c r="E72" s="1"/>
    </row>
    <row r="73">
      <c r="E73" s="1"/>
    </row>
    <row r="74">
      <c r="E74" s="1"/>
    </row>
    <row r="75">
      <c r="E75" s="1"/>
    </row>
    <row r="76">
      <c r="E76" s="1"/>
    </row>
    <row r="77">
      <c r="E77" s="1"/>
    </row>
    <row r="78">
      <c r="E78" s="1"/>
    </row>
    <row r="79">
      <c r="E79" s="1"/>
    </row>
    <row r="80">
      <c r="E80" s="1"/>
    </row>
    <row r="81">
      <c r="E81" s="1"/>
    </row>
    <row r="82">
      <c r="E82" s="1"/>
    </row>
    <row r="83">
      <c r="E83" s="1"/>
    </row>
    <row r="84">
      <c r="E84" s="1"/>
    </row>
    <row r="85">
      <c r="E85" s="1"/>
    </row>
    <row r="86">
      <c r="E86" s="1"/>
    </row>
    <row r="87">
      <c r="E87" s="1"/>
    </row>
    <row r="88">
      <c r="E88" s="1"/>
    </row>
    <row r="89">
      <c r="E89" s="1"/>
    </row>
    <row r="90">
      <c r="E90" s="1"/>
    </row>
    <row r="91">
      <c r="E91" s="1"/>
    </row>
    <row r="92">
      <c r="E92" s="1"/>
    </row>
    <row r="93">
      <c r="E93" s="1"/>
    </row>
    <row r="94">
      <c r="E94" s="1"/>
    </row>
    <row r="95">
      <c r="E95" s="1"/>
    </row>
    <row r="96">
      <c r="E96" s="1"/>
    </row>
    <row r="97">
      <c r="E97" s="1"/>
    </row>
    <row r="98">
      <c r="E98" s="1"/>
    </row>
    <row r="99">
      <c r="E99" s="1"/>
    </row>
    <row r="100">
      <c r="E100" s="1"/>
    </row>
    <row r="101">
      <c r="E101" s="1"/>
    </row>
    <row r="102">
      <c r="E102" s="1"/>
    </row>
    <row r="103">
      <c r="E103" s="1"/>
    </row>
    <row r="104">
      <c r="E104" s="1"/>
    </row>
    <row r="105">
      <c r="E105" s="1"/>
    </row>
    <row r="106">
      <c r="E106" s="1"/>
    </row>
    <row r="107">
      <c r="E107" s="1"/>
    </row>
    <row r="108">
      <c r="E108" s="1"/>
    </row>
    <row r="109">
      <c r="E109" s="1"/>
    </row>
    <row r="110">
      <c r="E110" s="1"/>
    </row>
    <row r="111">
      <c r="E111" s="1"/>
    </row>
    <row r="112">
      <c r="E112" s="1"/>
    </row>
    <row r="113">
      <c r="E113" s="1"/>
    </row>
    <row r="114">
      <c r="E114" s="1"/>
    </row>
    <row r="115">
      <c r="E115" s="1"/>
    </row>
    <row r="116">
      <c r="E116" s="1"/>
    </row>
    <row r="117">
      <c r="E117" s="1"/>
    </row>
    <row r="118">
      <c r="E118" s="1"/>
    </row>
    <row r="119">
      <c r="E119" s="1"/>
    </row>
    <row r="120">
      <c r="E120" s="1"/>
    </row>
    <row r="121">
      <c r="E121" s="1"/>
    </row>
    <row r="122">
      <c r="E122" s="1"/>
    </row>
    <row r="123">
      <c r="E123" s="1"/>
    </row>
    <row r="124">
      <c r="E124" s="1"/>
    </row>
    <row r="125">
      <c r="E125" s="1"/>
    </row>
    <row r="126">
      <c r="E126" s="1"/>
    </row>
    <row r="127">
      <c r="E127" s="1"/>
    </row>
    <row r="128">
      <c r="E128" s="1"/>
    </row>
    <row r="129">
      <c r="E129" s="1"/>
    </row>
    <row r="130">
      <c r="E130" s="1"/>
    </row>
    <row r="131">
      <c r="E131" s="1"/>
    </row>
    <row r="132">
      <c r="E132" s="1"/>
    </row>
    <row r="133">
      <c r="E133" s="1"/>
    </row>
    <row r="134">
      <c r="E134" s="1"/>
    </row>
    <row r="135">
      <c r="E135" s="1"/>
    </row>
    <row r="136">
      <c r="E136" s="1"/>
    </row>
    <row r="137">
      <c r="E137" s="1"/>
    </row>
    <row r="138">
      <c r="E138" s="1"/>
    </row>
    <row r="139">
      <c r="E139" s="1"/>
    </row>
    <row r="140">
      <c r="E140" s="1"/>
    </row>
    <row r="141">
      <c r="E141" s="1"/>
    </row>
    <row r="142">
      <c r="E142" s="1"/>
    </row>
    <row r="143">
      <c r="E143" s="1"/>
    </row>
    <row r="144">
      <c r="E144" s="1"/>
    </row>
    <row r="145">
      <c r="E145" s="1"/>
    </row>
    <row r="146">
      <c r="E146" s="1"/>
    </row>
    <row r="147">
      <c r="E147" s="1"/>
    </row>
    <row r="148">
      <c r="E148" s="1"/>
    </row>
    <row r="149">
      <c r="E149" s="1"/>
    </row>
    <row r="150">
      <c r="E150" s="1"/>
    </row>
    <row r="151">
      <c r="E151" s="1"/>
    </row>
    <row r="152">
      <c r="E152" s="1"/>
    </row>
    <row r="153">
      <c r="E153" s="1"/>
    </row>
    <row r="154">
      <c r="E154" s="1"/>
    </row>
    <row r="155">
      <c r="E155" s="1"/>
    </row>
    <row r="156">
      <c r="E156" s="1"/>
    </row>
    <row r="157">
      <c r="E157" s="1"/>
    </row>
    <row r="158">
      <c r="E158" s="1"/>
    </row>
    <row r="159">
      <c r="E159" s="1"/>
    </row>
    <row r="160">
      <c r="E160" s="1"/>
    </row>
    <row r="161">
      <c r="E161" s="1"/>
    </row>
    <row r="162">
      <c r="E162" s="1"/>
    </row>
    <row r="163">
      <c r="E163" s="1"/>
    </row>
    <row r="164">
      <c r="E164" s="1"/>
    </row>
    <row r="165">
      <c r="E165" s="1"/>
    </row>
    <row r="166">
      <c r="E166" s="1"/>
    </row>
    <row r="167">
      <c r="E167" s="1"/>
    </row>
    <row r="168">
      <c r="E168" s="1"/>
    </row>
    <row r="169">
      <c r="E169" s="1"/>
    </row>
    <row r="170">
      <c r="E170" s="1"/>
    </row>
    <row r="171">
      <c r="E171" s="1"/>
    </row>
    <row r="172">
      <c r="E172" s="1"/>
    </row>
    <row r="173">
      <c r="E173" s="1"/>
    </row>
    <row r="174">
      <c r="E174" s="1"/>
    </row>
    <row r="175">
      <c r="E175" s="1"/>
    </row>
    <row r="176">
      <c r="E176" s="1"/>
    </row>
    <row r="177">
      <c r="E177" s="1"/>
    </row>
    <row r="178">
      <c r="E178" s="1"/>
    </row>
    <row r="179">
      <c r="E179" s="1"/>
    </row>
    <row r="180">
      <c r="E180" s="1"/>
    </row>
    <row r="181">
      <c r="E181" s="1"/>
    </row>
    <row r="182">
      <c r="E182" s="1"/>
    </row>
    <row r="183">
      <c r="E183" s="1"/>
    </row>
    <row r="184">
      <c r="E184" s="1"/>
    </row>
    <row r="185">
      <c r="E185" s="1"/>
    </row>
    <row r="186">
      <c r="E186" s="1"/>
    </row>
    <row r="187">
      <c r="E187" s="1"/>
    </row>
    <row r="188">
      <c r="E188" s="1"/>
    </row>
    <row r="189">
      <c r="E189" s="1"/>
    </row>
    <row r="190">
      <c r="E190" s="1"/>
    </row>
    <row r="191">
      <c r="E191" s="1"/>
    </row>
    <row r="192">
      <c r="E192" s="1"/>
    </row>
    <row r="193">
      <c r="E193" s="1"/>
    </row>
    <row r="194">
      <c r="E194" s="1"/>
    </row>
    <row r="195">
      <c r="E195" s="1"/>
    </row>
    <row r="196">
      <c r="E196" s="1"/>
    </row>
    <row r="197">
      <c r="E197" s="1"/>
    </row>
    <row r="198">
      <c r="E198" s="1"/>
    </row>
    <row r="199">
      <c r="E199" s="1"/>
    </row>
    <row r="200">
      <c r="E200" s="1"/>
    </row>
    <row r="201">
      <c r="E201" s="1"/>
    </row>
    <row r="202">
      <c r="E202" s="1"/>
    </row>
    <row r="203">
      <c r="E203" s="1"/>
    </row>
    <row r="204">
      <c r="E204" s="1"/>
    </row>
    <row r="205">
      <c r="E205" s="1"/>
    </row>
    <row r="206">
      <c r="E206" s="1"/>
    </row>
    <row r="207">
      <c r="E207" s="1"/>
    </row>
    <row r="208">
      <c r="E208" s="1"/>
    </row>
    <row r="209">
      <c r="E209" s="1"/>
    </row>
    <row r="210">
      <c r="E210" s="1"/>
    </row>
    <row r="211">
      <c r="E211" s="1"/>
    </row>
    <row r="212">
      <c r="E212" s="1"/>
    </row>
    <row r="213">
      <c r="E213" s="1"/>
    </row>
    <row r="214">
      <c r="E214" s="1"/>
    </row>
    <row r="215">
      <c r="E215" s="1"/>
    </row>
    <row r="216">
      <c r="E216" s="1"/>
    </row>
    <row r="217">
      <c r="E217" s="1"/>
    </row>
    <row r="218">
      <c r="E218" s="1"/>
    </row>
    <row r="219">
      <c r="E219" s="1"/>
    </row>
    <row r="220">
      <c r="E220" s="1"/>
    </row>
    <row r="221">
      <c r="E221" s="1"/>
    </row>
    <row r="222">
      <c r="E222" s="1"/>
    </row>
    <row r="223">
      <c r="E223" s="1"/>
    </row>
    <row r="224">
      <c r="E224" s="1"/>
    </row>
    <row r="225">
      <c r="E225" s="1"/>
    </row>
    <row r="226">
      <c r="E226" s="1"/>
    </row>
    <row r="227">
      <c r="E227" s="1"/>
    </row>
    <row r="228">
      <c r="E228" s="1"/>
    </row>
    <row r="229">
      <c r="E229" s="1"/>
    </row>
    <row r="230">
      <c r="E230" s="1"/>
    </row>
    <row r="231">
      <c r="E231" s="1"/>
    </row>
    <row r="232">
      <c r="E232" s="1"/>
    </row>
    <row r="233">
      <c r="E233" s="1"/>
    </row>
    <row r="234">
      <c r="E234" s="1"/>
    </row>
    <row r="235">
      <c r="E235" s="1"/>
    </row>
    <row r="236">
      <c r="E236" s="1"/>
    </row>
    <row r="237">
      <c r="E237" s="1"/>
    </row>
    <row r="238">
      <c r="E238" s="1"/>
    </row>
    <row r="239">
      <c r="E239" s="1"/>
    </row>
    <row r="240">
      <c r="E240" s="1"/>
    </row>
    <row r="241">
      <c r="E241" s="1"/>
    </row>
    <row r="242">
      <c r="E242" s="1"/>
    </row>
    <row r="243">
      <c r="E243" s="1"/>
    </row>
    <row r="244">
      <c r="E244" s="1"/>
    </row>
    <row r="245">
      <c r="E245" s="1"/>
    </row>
    <row r="246">
      <c r="E246" s="1"/>
    </row>
    <row r="247">
      <c r="E247" s="1"/>
    </row>
    <row r="248">
      <c r="E248" s="1"/>
    </row>
    <row r="249">
      <c r="E249" s="1"/>
    </row>
    <row r="250">
      <c r="E250" s="1"/>
    </row>
    <row r="251">
      <c r="E251" s="1"/>
    </row>
    <row r="252">
      <c r="E252" s="1"/>
    </row>
    <row r="253">
      <c r="E253" s="1"/>
    </row>
    <row r="254">
      <c r="E254" s="1"/>
    </row>
    <row r="255">
      <c r="E255" s="1"/>
    </row>
    <row r="256">
      <c r="E256" s="1"/>
    </row>
    <row r="257">
      <c r="E257" s="1"/>
    </row>
    <row r="258">
      <c r="E258" s="1"/>
    </row>
    <row r="259">
      <c r="E259" s="1"/>
    </row>
    <row r="260">
      <c r="E260" s="1"/>
    </row>
    <row r="261">
      <c r="E261" s="1"/>
    </row>
    <row r="262">
      <c r="E262" s="1"/>
    </row>
    <row r="263">
      <c r="E263" s="1"/>
    </row>
    <row r="264">
      <c r="E264" s="1"/>
    </row>
    <row r="265">
      <c r="E265" s="1"/>
    </row>
    <row r="266">
      <c r="E266" s="1"/>
    </row>
    <row r="267">
      <c r="E267" s="1"/>
    </row>
    <row r="268">
      <c r="E268" s="1"/>
    </row>
    <row r="269">
      <c r="E269" s="1"/>
    </row>
    <row r="270">
      <c r="E270" s="1"/>
    </row>
    <row r="271">
      <c r="E271" s="1"/>
    </row>
    <row r="272">
      <c r="E272" s="1"/>
    </row>
    <row r="273">
      <c r="E273" s="1"/>
    </row>
    <row r="274">
      <c r="E274" s="1"/>
    </row>
    <row r="275">
      <c r="E275" s="1"/>
    </row>
    <row r="276">
      <c r="E276" s="1"/>
    </row>
    <row r="277">
      <c r="E277" s="1"/>
    </row>
    <row r="278">
      <c r="E278" s="1"/>
    </row>
    <row r="279">
      <c r="E279" s="1"/>
    </row>
    <row r="280">
      <c r="E280" s="1"/>
    </row>
    <row r="281">
      <c r="E281" s="1"/>
    </row>
    <row r="282">
      <c r="E282" s="1"/>
    </row>
    <row r="283">
      <c r="E283" s="1"/>
    </row>
    <row r="284">
      <c r="E284" s="1"/>
    </row>
    <row r="285">
      <c r="E285" s="1"/>
    </row>
    <row r="286">
      <c r="E286" s="1"/>
    </row>
    <row r="287">
      <c r="E287" s="1"/>
    </row>
    <row r="288">
      <c r="E288" s="1"/>
    </row>
    <row r="289">
      <c r="E289" s="1"/>
    </row>
    <row r="290">
      <c r="E290" s="1"/>
    </row>
    <row r="291">
      <c r="E291" s="1"/>
    </row>
    <row r="292">
      <c r="E292" s="1"/>
    </row>
    <row r="293">
      <c r="E293" s="1"/>
    </row>
    <row r="294">
      <c r="E294" s="1"/>
    </row>
    <row r="295">
      <c r="E295" s="1"/>
    </row>
    <row r="296">
      <c r="E296" s="1"/>
    </row>
    <row r="297">
      <c r="E297" s="1"/>
    </row>
    <row r="298">
      <c r="E298" s="1"/>
    </row>
    <row r="299">
      <c r="E299" s="1"/>
    </row>
    <row r="300">
      <c r="E300" s="1"/>
    </row>
    <row r="301">
      <c r="E301" s="1"/>
    </row>
    <row r="302">
      <c r="E302" s="1"/>
    </row>
    <row r="303">
      <c r="E303" s="1"/>
    </row>
    <row r="304">
      <c r="E304" s="1"/>
    </row>
    <row r="305">
      <c r="E305" s="1"/>
    </row>
    <row r="306">
      <c r="E306" s="1"/>
    </row>
    <row r="307">
      <c r="E307" s="1"/>
    </row>
    <row r="308">
      <c r="E308" s="1"/>
    </row>
    <row r="309">
      <c r="E309" s="1"/>
    </row>
    <row r="310">
      <c r="E310" s="1"/>
    </row>
    <row r="311">
      <c r="E311" s="1"/>
    </row>
    <row r="312">
      <c r="E312" s="1"/>
    </row>
    <row r="313">
      <c r="E313" s="1"/>
    </row>
    <row r="314">
      <c r="E314" s="1"/>
    </row>
    <row r="315">
      <c r="E315" s="1"/>
    </row>
    <row r="316">
      <c r="E316" s="1"/>
    </row>
    <row r="317">
      <c r="E317" s="1"/>
    </row>
    <row r="318">
      <c r="E318" s="1"/>
    </row>
    <row r="319">
      <c r="E319" s="1"/>
    </row>
    <row r="320">
      <c r="E320" s="1"/>
    </row>
    <row r="321">
      <c r="E321" s="1"/>
    </row>
    <row r="322">
      <c r="E322" s="1"/>
    </row>
    <row r="323">
      <c r="E323" s="1"/>
    </row>
    <row r="324">
      <c r="E324" s="1"/>
    </row>
    <row r="325">
      <c r="E325" s="1"/>
    </row>
    <row r="326">
      <c r="E326" s="1"/>
    </row>
    <row r="327">
      <c r="E327" s="1"/>
    </row>
    <row r="328">
      <c r="E328" s="1"/>
    </row>
    <row r="329">
      <c r="E329" s="1"/>
    </row>
    <row r="330">
      <c r="E330" s="1"/>
    </row>
    <row r="331">
      <c r="E331" s="1"/>
    </row>
    <row r="332">
      <c r="E332" s="1"/>
    </row>
    <row r="333">
      <c r="E333" s="1"/>
    </row>
    <row r="334">
      <c r="E334" s="1"/>
    </row>
    <row r="335">
      <c r="E335" s="1"/>
    </row>
    <row r="336">
      <c r="E336" s="1"/>
    </row>
    <row r="337">
      <c r="E337" s="1"/>
    </row>
    <row r="338">
      <c r="E338" s="1"/>
    </row>
    <row r="339">
      <c r="E339" s="1"/>
    </row>
    <row r="340">
      <c r="E340" s="1"/>
    </row>
    <row r="341">
      <c r="E341" s="1"/>
    </row>
    <row r="342">
      <c r="E342" s="1"/>
    </row>
    <row r="343">
      <c r="E343" s="1"/>
    </row>
    <row r="344">
      <c r="E344" s="1"/>
    </row>
    <row r="345">
      <c r="E345" s="1"/>
    </row>
    <row r="346">
      <c r="E346" s="1"/>
    </row>
    <row r="347">
      <c r="E347" s="1"/>
    </row>
    <row r="348">
      <c r="E348" s="1"/>
    </row>
    <row r="349">
      <c r="E349" s="1"/>
    </row>
    <row r="350">
      <c r="E350" s="1"/>
    </row>
    <row r="351">
      <c r="E351" s="1"/>
    </row>
    <row r="352">
      <c r="E352" s="1"/>
    </row>
    <row r="353">
      <c r="E353" s="1"/>
    </row>
    <row r="354">
      <c r="E354" s="1"/>
    </row>
    <row r="355">
      <c r="E355" s="1"/>
    </row>
    <row r="356">
      <c r="E356" s="1"/>
    </row>
    <row r="357">
      <c r="E357" s="1"/>
    </row>
    <row r="358">
      <c r="E358" s="1"/>
    </row>
    <row r="359">
      <c r="E359" s="1"/>
    </row>
    <row r="360">
      <c r="E360" s="1"/>
    </row>
    <row r="361">
      <c r="E361" s="1"/>
    </row>
    <row r="362">
      <c r="E362" s="1"/>
    </row>
    <row r="363">
      <c r="E363" s="1"/>
    </row>
    <row r="364">
      <c r="E364" s="1"/>
    </row>
    <row r="365">
      <c r="E365" s="1"/>
    </row>
    <row r="366">
      <c r="E366" s="1"/>
    </row>
    <row r="367">
      <c r="E367" s="1"/>
    </row>
    <row r="368">
      <c r="E368" s="1"/>
    </row>
    <row r="369">
      <c r="E369" s="1"/>
    </row>
    <row r="370">
      <c r="E370" s="1"/>
    </row>
    <row r="371">
      <c r="E371" s="1"/>
    </row>
    <row r="372">
      <c r="E372" s="1"/>
    </row>
    <row r="373">
      <c r="E373" s="1"/>
    </row>
    <row r="374">
      <c r="E374" s="1"/>
    </row>
    <row r="375">
      <c r="E375" s="1"/>
    </row>
    <row r="376">
      <c r="E376" s="1"/>
    </row>
    <row r="377">
      <c r="E377" s="1"/>
    </row>
    <row r="378">
      <c r="E378" s="1"/>
    </row>
    <row r="379">
      <c r="E379" s="1"/>
    </row>
    <row r="380">
      <c r="E380" s="1"/>
    </row>
    <row r="381">
      <c r="E381" s="1"/>
    </row>
    <row r="382">
      <c r="E382" s="1"/>
    </row>
    <row r="383">
      <c r="E383" s="1"/>
    </row>
    <row r="384">
      <c r="E384" s="1"/>
    </row>
    <row r="385">
      <c r="E385" s="1"/>
    </row>
    <row r="386">
      <c r="E386" s="1"/>
    </row>
    <row r="387">
      <c r="E387" s="1"/>
    </row>
    <row r="388">
      <c r="E388" s="1"/>
    </row>
    <row r="389">
      <c r="E389" s="1"/>
    </row>
    <row r="390">
      <c r="E390" s="1"/>
    </row>
    <row r="391">
      <c r="E391" s="1"/>
    </row>
    <row r="392">
      <c r="E392" s="1"/>
    </row>
    <row r="393">
      <c r="E393" s="1"/>
    </row>
    <row r="394">
      <c r="E394" s="1"/>
    </row>
    <row r="395">
      <c r="E395" s="1"/>
    </row>
    <row r="396">
      <c r="E396" s="1"/>
    </row>
    <row r="397">
      <c r="E397" s="1"/>
    </row>
    <row r="398">
      <c r="E398" s="1"/>
    </row>
    <row r="399">
      <c r="E399" s="1"/>
    </row>
    <row r="400">
      <c r="E400" s="1"/>
    </row>
    <row r="401">
      <c r="E401" s="1"/>
    </row>
    <row r="402">
      <c r="E402" s="1"/>
    </row>
    <row r="403">
      <c r="E403" s="1"/>
    </row>
    <row r="404">
      <c r="E404" s="1"/>
    </row>
    <row r="405">
      <c r="E405" s="1"/>
    </row>
    <row r="406">
      <c r="E406" s="1"/>
    </row>
    <row r="407">
      <c r="E407" s="1"/>
    </row>
    <row r="408">
      <c r="E408" s="1"/>
    </row>
    <row r="409">
      <c r="E409" s="1"/>
    </row>
    <row r="410">
      <c r="E410" s="1"/>
    </row>
    <row r="411">
      <c r="E411" s="1"/>
    </row>
    <row r="412">
      <c r="E412" s="1"/>
    </row>
    <row r="413">
      <c r="E413" s="1"/>
    </row>
    <row r="414">
      <c r="E414" s="1"/>
    </row>
    <row r="415">
      <c r="E415" s="1"/>
    </row>
    <row r="416">
      <c r="E416" s="1"/>
    </row>
    <row r="417">
      <c r="E417" s="1"/>
    </row>
    <row r="418">
      <c r="E418" s="1"/>
    </row>
    <row r="419">
      <c r="E419" s="1"/>
    </row>
    <row r="420">
      <c r="E420" s="1"/>
    </row>
    <row r="421">
      <c r="E421" s="1"/>
    </row>
    <row r="422">
      <c r="E422" s="1"/>
    </row>
    <row r="423">
      <c r="E423" s="1"/>
    </row>
    <row r="424">
      <c r="E424" s="1"/>
    </row>
    <row r="425">
      <c r="E425" s="1"/>
    </row>
    <row r="426">
      <c r="E426" s="1"/>
    </row>
    <row r="427">
      <c r="E427" s="1"/>
    </row>
    <row r="428">
      <c r="E428" s="1"/>
    </row>
    <row r="429">
      <c r="E429" s="1"/>
    </row>
    <row r="430">
      <c r="E430" s="1"/>
    </row>
    <row r="431">
      <c r="E431" s="1"/>
    </row>
    <row r="432">
      <c r="E432" s="1"/>
    </row>
    <row r="433">
      <c r="E433" s="1"/>
    </row>
    <row r="434">
      <c r="E434" s="1"/>
    </row>
    <row r="435">
      <c r="E435" s="1"/>
    </row>
    <row r="436">
      <c r="E436" s="1"/>
    </row>
    <row r="437">
      <c r="E437" s="1"/>
    </row>
    <row r="438">
      <c r="E438" s="1"/>
    </row>
    <row r="439">
      <c r="E439" s="1"/>
    </row>
    <row r="440">
      <c r="E440" s="1"/>
    </row>
    <row r="441">
      <c r="E441" s="1"/>
    </row>
    <row r="442">
      <c r="E442" s="1"/>
    </row>
    <row r="443">
      <c r="E443" s="1"/>
    </row>
    <row r="444">
      <c r="E444" s="1"/>
    </row>
    <row r="445">
      <c r="E445" s="1"/>
    </row>
    <row r="446">
      <c r="E446" s="1"/>
    </row>
    <row r="447">
      <c r="E447" s="1"/>
    </row>
    <row r="448">
      <c r="E448" s="1"/>
    </row>
    <row r="449">
      <c r="E449" s="1"/>
    </row>
    <row r="450">
      <c r="E450" s="1"/>
    </row>
    <row r="451">
      <c r="E451" s="1"/>
    </row>
    <row r="452">
      <c r="E452" s="1"/>
    </row>
    <row r="453">
      <c r="E453" s="1"/>
    </row>
    <row r="454">
      <c r="E454" s="1"/>
    </row>
    <row r="455">
      <c r="E455" s="1"/>
    </row>
    <row r="456">
      <c r="E456" s="1"/>
    </row>
    <row r="457">
      <c r="E457" s="1"/>
    </row>
    <row r="458">
      <c r="E458" s="1"/>
    </row>
    <row r="459">
      <c r="E459" s="1"/>
    </row>
    <row r="460">
      <c r="E460" s="1"/>
    </row>
    <row r="461">
      <c r="E461" s="1"/>
    </row>
    <row r="462">
      <c r="E462" s="1"/>
    </row>
    <row r="463">
      <c r="E463" s="1"/>
    </row>
    <row r="464">
      <c r="E464" s="1"/>
    </row>
    <row r="465">
      <c r="E465" s="1"/>
    </row>
    <row r="466">
      <c r="E466" s="1"/>
    </row>
    <row r="467">
      <c r="E467" s="1"/>
    </row>
    <row r="468">
      <c r="E468" s="1"/>
    </row>
    <row r="469">
      <c r="E469" s="1"/>
    </row>
    <row r="470">
      <c r="E470" s="1"/>
    </row>
    <row r="471">
      <c r="E471" s="1"/>
    </row>
    <row r="472">
      <c r="E472" s="1"/>
    </row>
    <row r="473">
      <c r="E473" s="1"/>
    </row>
    <row r="474">
      <c r="E474" s="1"/>
    </row>
    <row r="475">
      <c r="E475" s="1"/>
    </row>
    <row r="476">
      <c r="E476" s="1"/>
    </row>
    <row r="477">
      <c r="E477" s="1"/>
    </row>
    <row r="478">
      <c r="E478" s="1"/>
    </row>
    <row r="479">
      <c r="E479" s="1"/>
    </row>
    <row r="480">
      <c r="E480" s="1"/>
    </row>
    <row r="481">
      <c r="E481" s="1"/>
    </row>
    <row r="482">
      <c r="E482" s="1"/>
    </row>
    <row r="483">
      <c r="E483" s="1"/>
    </row>
    <row r="484">
      <c r="E484" s="1"/>
    </row>
    <row r="485">
      <c r="E485" s="1"/>
    </row>
    <row r="486">
      <c r="E486" s="1"/>
    </row>
    <row r="487">
      <c r="E487" s="1"/>
    </row>
    <row r="488">
      <c r="E488" s="1"/>
    </row>
    <row r="489">
      <c r="E489" s="1"/>
    </row>
    <row r="490">
      <c r="E490" s="1"/>
    </row>
    <row r="491">
      <c r="E491" s="1"/>
    </row>
    <row r="492">
      <c r="E492" s="1"/>
    </row>
    <row r="493">
      <c r="E493" s="1"/>
    </row>
    <row r="494">
      <c r="E494" s="1"/>
    </row>
    <row r="495">
      <c r="E495" s="1"/>
    </row>
    <row r="496">
      <c r="E496" s="1"/>
    </row>
    <row r="497">
      <c r="E497" s="1"/>
    </row>
    <row r="498">
      <c r="E498" s="1"/>
    </row>
    <row r="499">
      <c r="E499" s="1"/>
    </row>
    <row r="500">
      <c r="E500" s="1"/>
    </row>
    <row r="501">
      <c r="E501" s="1"/>
    </row>
    <row r="502">
      <c r="E502" s="1"/>
    </row>
    <row r="503">
      <c r="E503" s="1"/>
    </row>
    <row r="504">
      <c r="E504" s="1"/>
    </row>
    <row r="505">
      <c r="E505" s="1"/>
    </row>
    <row r="506">
      <c r="E506" s="1"/>
    </row>
    <row r="507">
      <c r="E507" s="1"/>
    </row>
    <row r="508">
      <c r="E508" s="1"/>
    </row>
    <row r="509">
      <c r="E509" s="1"/>
    </row>
    <row r="510">
      <c r="E510" s="1"/>
    </row>
    <row r="511">
      <c r="E511" s="1"/>
    </row>
    <row r="512">
      <c r="E512" s="1"/>
    </row>
    <row r="513">
      <c r="E513" s="1"/>
    </row>
    <row r="514">
      <c r="E514" s="1"/>
    </row>
    <row r="515">
      <c r="E515" s="1"/>
    </row>
    <row r="516">
      <c r="E516" s="1"/>
    </row>
    <row r="517">
      <c r="E517" s="1"/>
    </row>
    <row r="518">
      <c r="E518" s="1"/>
    </row>
    <row r="519">
      <c r="E519" s="1"/>
    </row>
    <row r="520">
      <c r="E520" s="1"/>
    </row>
    <row r="521">
      <c r="E521" s="1"/>
    </row>
    <row r="522">
      <c r="E522" s="1"/>
    </row>
    <row r="523">
      <c r="E523" s="1"/>
    </row>
    <row r="524">
      <c r="E524" s="1"/>
    </row>
    <row r="525">
      <c r="E525" s="1"/>
    </row>
    <row r="526">
      <c r="E526" s="1"/>
    </row>
    <row r="527">
      <c r="E527" s="1"/>
    </row>
    <row r="528">
      <c r="E528" s="1"/>
    </row>
    <row r="529">
      <c r="E529" s="1"/>
    </row>
    <row r="530">
      <c r="E530" s="1"/>
    </row>
    <row r="531">
      <c r="E531" s="1"/>
    </row>
    <row r="532">
      <c r="E532" s="1"/>
    </row>
    <row r="533">
      <c r="E533" s="1"/>
    </row>
    <row r="534">
      <c r="E534" s="1"/>
    </row>
    <row r="535">
      <c r="E535" s="1"/>
    </row>
    <row r="536">
      <c r="E536" s="1"/>
    </row>
    <row r="537">
      <c r="E537" s="1"/>
    </row>
    <row r="538">
      <c r="E538" s="1"/>
    </row>
    <row r="539">
      <c r="E539" s="1"/>
    </row>
    <row r="540">
      <c r="E540" s="1"/>
    </row>
    <row r="541">
      <c r="E541" s="1"/>
    </row>
    <row r="542">
      <c r="E542" s="1"/>
    </row>
    <row r="543">
      <c r="E543" s="1"/>
    </row>
    <row r="544">
      <c r="E544" s="1"/>
    </row>
    <row r="545">
      <c r="E545" s="1"/>
    </row>
    <row r="546">
      <c r="E546" s="1"/>
    </row>
    <row r="547">
      <c r="E547" s="1"/>
    </row>
    <row r="548">
      <c r="E548" s="1"/>
    </row>
    <row r="549">
      <c r="E549" s="1"/>
    </row>
    <row r="550">
      <c r="E550" s="1"/>
    </row>
    <row r="551">
      <c r="E551" s="1"/>
    </row>
    <row r="552">
      <c r="E552" s="1"/>
    </row>
    <row r="553">
      <c r="E553" s="1"/>
    </row>
    <row r="554">
      <c r="E554" s="1"/>
    </row>
    <row r="555">
      <c r="E555" s="1"/>
    </row>
    <row r="556">
      <c r="E556" s="1"/>
    </row>
    <row r="557">
      <c r="E557" s="1"/>
    </row>
    <row r="558">
      <c r="E558" s="1"/>
    </row>
    <row r="559">
      <c r="E559" s="1"/>
    </row>
    <row r="560">
      <c r="E560" s="1"/>
    </row>
    <row r="561">
      <c r="E561" s="1"/>
    </row>
    <row r="562">
      <c r="E562" s="1"/>
    </row>
    <row r="563">
      <c r="E563" s="1"/>
    </row>
    <row r="564">
      <c r="E564" s="1"/>
    </row>
    <row r="565">
      <c r="E565" s="1"/>
    </row>
    <row r="566">
      <c r="E566" s="1"/>
    </row>
    <row r="567">
      <c r="E567" s="1"/>
    </row>
    <row r="568">
      <c r="E568" s="1"/>
    </row>
    <row r="569">
      <c r="E569" s="1"/>
    </row>
    <row r="570">
      <c r="E570" s="1"/>
    </row>
    <row r="571">
      <c r="E571" s="1"/>
    </row>
    <row r="572">
      <c r="E572" s="1"/>
    </row>
    <row r="573">
      <c r="E573" s="1"/>
    </row>
    <row r="574">
      <c r="E574" s="1"/>
    </row>
    <row r="575">
      <c r="E575" s="1"/>
    </row>
    <row r="576">
      <c r="E576" s="1"/>
    </row>
    <row r="577">
      <c r="E577" s="1"/>
    </row>
    <row r="578">
      <c r="E578" s="1"/>
    </row>
    <row r="579">
      <c r="E579" s="1"/>
    </row>
    <row r="580">
      <c r="E580" s="1"/>
    </row>
    <row r="581">
      <c r="E581" s="1"/>
    </row>
    <row r="582">
      <c r="E582" s="1"/>
    </row>
    <row r="583">
      <c r="E583" s="1"/>
    </row>
    <row r="584">
      <c r="E584" s="1"/>
    </row>
    <row r="585">
      <c r="E585" s="1"/>
    </row>
    <row r="586">
      <c r="E586" s="1"/>
    </row>
    <row r="587">
      <c r="E587" s="1"/>
    </row>
    <row r="588">
      <c r="E588" s="1"/>
    </row>
    <row r="589">
      <c r="E589" s="1"/>
    </row>
    <row r="590">
      <c r="E590" s="1"/>
    </row>
    <row r="591">
      <c r="E591" s="1"/>
    </row>
    <row r="592">
      <c r="E592" s="1"/>
    </row>
    <row r="593">
      <c r="E593" s="1"/>
    </row>
    <row r="594">
      <c r="E594" s="1"/>
    </row>
    <row r="595">
      <c r="E595" s="1"/>
    </row>
    <row r="596">
      <c r="E596" s="1"/>
    </row>
    <row r="597">
      <c r="E597" s="1"/>
    </row>
    <row r="598">
      <c r="E598" s="1"/>
    </row>
    <row r="599">
      <c r="E599" s="1"/>
    </row>
    <row r="600">
      <c r="E600" s="1"/>
    </row>
    <row r="601">
      <c r="E601" s="1"/>
    </row>
    <row r="602">
      <c r="E602" s="1"/>
    </row>
    <row r="603">
      <c r="E603" s="1"/>
    </row>
    <row r="604">
      <c r="E604" s="1"/>
    </row>
    <row r="605">
      <c r="E605" s="1"/>
    </row>
    <row r="606">
      <c r="E606" s="1"/>
    </row>
    <row r="607">
      <c r="E607" s="1"/>
    </row>
    <row r="608">
      <c r="E608" s="1"/>
    </row>
    <row r="609">
      <c r="E609" s="1"/>
    </row>
    <row r="610">
      <c r="E610" s="1"/>
    </row>
    <row r="611">
      <c r="E611" s="1"/>
    </row>
    <row r="612">
      <c r="E612" s="1"/>
    </row>
    <row r="613">
      <c r="E613" s="1"/>
    </row>
    <row r="614">
      <c r="E614" s="1"/>
    </row>
    <row r="615">
      <c r="E615" s="1"/>
    </row>
    <row r="616">
      <c r="E616" s="1"/>
    </row>
    <row r="617">
      <c r="E617" s="1"/>
    </row>
    <row r="618">
      <c r="E618" s="1"/>
    </row>
    <row r="619">
      <c r="E619" s="1"/>
    </row>
    <row r="620">
      <c r="E620" s="1"/>
    </row>
    <row r="621">
      <c r="E621" s="1"/>
    </row>
    <row r="622">
      <c r="E622" s="1"/>
    </row>
    <row r="623">
      <c r="E623" s="1"/>
    </row>
    <row r="624">
      <c r="E624" s="1"/>
    </row>
    <row r="625">
      <c r="E625" s="1"/>
    </row>
    <row r="626">
      <c r="E626" s="1"/>
    </row>
    <row r="627">
      <c r="E627" s="1"/>
    </row>
    <row r="628">
      <c r="E628" s="1"/>
    </row>
    <row r="629">
      <c r="E629" s="1"/>
    </row>
    <row r="630">
      <c r="E630" s="1"/>
    </row>
    <row r="631">
      <c r="E631" s="1"/>
    </row>
    <row r="632">
      <c r="E632" s="1"/>
    </row>
    <row r="633">
      <c r="E633" s="1"/>
    </row>
    <row r="634">
      <c r="E634" s="1"/>
    </row>
    <row r="635">
      <c r="E635" s="1"/>
    </row>
    <row r="636">
      <c r="E636" s="1"/>
    </row>
    <row r="637">
      <c r="E637" s="1"/>
    </row>
    <row r="638">
      <c r="E638" s="1"/>
    </row>
    <row r="639">
      <c r="E639" s="1"/>
    </row>
    <row r="640">
      <c r="E640" s="1"/>
    </row>
    <row r="641">
      <c r="E641" s="1"/>
    </row>
    <row r="642">
      <c r="E642" s="1"/>
    </row>
    <row r="643">
      <c r="E643" s="1"/>
    </row>
    <row r="644">
      <c r="E644" s="1"/>
    </row>
    <row r="645">
      <c r="E645" s="1"/>
    </row>
    <row r="646">
      <c r="E646" s="1"/>
    </row>
    <row r="647">
      <c r="E647" s="1"/>
    </row>
    <row r="648">
      <c r="E648" s="1"/>
    </row>
    <row r="649">
      <c r="E649" s="1"/>
    </row>
    <row r="650">
      <c r="E650" s="1"/>
    </row>
    <row r="651">
      <c r="E651" s="1"/>
    </row>
    <row r="652">
      <c r="E652" s="1"/>
    </row>
    <row r="653">
      <c r="E653" s="1"/>
    </row>
    <row r="654">
      <c r="E654" s="1"/>
    </row>
    <row r="655">
      <c r="E655" s="1"/>
    </row>
    <row r="656">
      <c r="E656" s="1"/>
    </row>
    <row r="657">
      <c r="E657" s="1"/>
    </row>
    <row r="658">
      <c r="E658" s="1"/>
    </row>
    <row r="659">
      <c r="E659" s="1"/>
    </row>
    <row r="660">
      <c r="E660" s="1"/>
    </row>
    <row r="661">
      <c r="E661" s="1"/>
    </row>
    <row r="662">
      <c r="E662" s="1"/>
    </row>
    <row r="663">
      <c r="E663" s="1"/>
    </row>
    <row r="664">
      <c r="E664" s="1"/>
    </row>
    <row r="665">
      <c r="E665" s="1"/>
    </row>
    <row r="666">
      <c r="E666" s="1"/>
    </row>
    <row r="667">
      <c r="E667" s="1"/>
    </row>
    <row r="668">
      <c r="E668" s="1"/>
    </row>
    <row r="669">
      <c r="E669" s="1"/>
    </row>
    <row r="670">
      <c r="E670" s="1"/>
    </row>
    <row r="671">
      <c r="E671" s="1"/>
    </row>
    <row r="672">
      <c r="E672" s="1"/>
    </row>
    <row r="673">
      <c r="E673" s="1"/>
    </row>
    <row r="674">
      <c r="E674" s="1"/>
    </row>
    <row r="675">
      <c r="E675" s="1"/>
    </row>
    <row r="676">
      <c r="E676" s="1"/>
    </row>
    <row r="677">
      <c r="E677" s="1"/>
    </row>
    <row r="678">
      <c r="E678" s="1"/>
    </row>
    <row r="679">
      <c r="E679" s="1"/>
    </row>
    <row r="680">
      <c r="E680" s="1"/>
    </row>
    <row r="681">
      <c r="E681" s="1"/>
    </row>
    <row r="682">
      <c r="E682" s="1"/>
    </row>
    <row r="683">
      <c r="E683" s="1"/>
    </row>
    <row r="684">
      <c r="E684" s="1"/>
    </row>
    <row r="685">
      <c r="E685" s="1"/>
    </row>
    <row r="686">
      <c r="E686" s="1"/>
    </row>
    <row r="687">
      <c r="E687" s="1"/>
    </row>
    <row r="688">
      <c r="E688" s="1"/>
    </row>
    <row r="689">
      <c r="E689" s="1"/>
    </row>
    <row r="690">
      <c r="E690" s="1"/>
    </row>
    <row r="691">
      <c r="E691" s="1"/>
    </row>
    <row r="692">
      <c r="E692" s="1"/>
    </row>
    <row r="693">
      <c r="E693" s="1"/>
    </row>
    <row r="694">
      <c r="E694" s="1"/>
    </row>
    <row r="695">
      <c r="E695" s="1"/>
    </row>
    <row r="696">
      <c r="E696" s="1"/>
    </row>
    <row r="697">
      <c r="E697" s="1"/>
    </row>
    <row r="698">
      <c r="E698" s="1"/>
    </row>
    <row r="699">
      <c r="E699" s="1"/>
    </row>
    <row r="700">
      <c r="E700" s="1"/>
    </row>
    <row r="701">
      <c r="E701" s="1"/>
    </row>
    <row r="702">
      <c r="E702" s="1"/>
    </row>
    <row r="703">
      <c r="E703" s="1"/>
    </row>
    <row r="704">
      <c r="E704" s="1"/>
    </row>
    <row r="705">
      <c r="E705" s="1"/>
    </row>
    <row r="706">
      <c r="E706" s="1"/>
    </row>
    <row r="707">
      <c r="E707" s="1"/>
    </row>
    <row r="708">
      <c r="E708" s="1"/>
    </row>
    <row r="709">
      <c r="E709" s="1"/>
    </row>
    <row r="710">
      <c r="E710" s="1"/>
    </row>
    <row r="711">
      <c r="E711" s="1"/>
    </row>
    <row r="712">
      <c r="E712" s="1"/>
    </row>
    <row r="713">
      <c r="E713" s="1"/>
    </row>
    <row r="714">
      <c r="E714" s="1"/>
    </row>
    <row r="715">
      <c r="E715" s="1"/>
    </row>
    <row r="716">
      <c r="E716" s="1"/>
    </row>
    <row r="717">
      <c r="E717" s="1"/>
    </row>
    <row r="718">
      <c r="E718" s="1"/>
    </row>
    <row r="719">
      <c r="E719" s="1"/>
    </row>
    <row r="720">
      <c r="E720" s="1"/>
    </row>
    <row r="721">
      <c r="E721" s="1"/>
    </row>
    <row r="722">
      <c r="E722" s="1"/>
    </row>
    <row r="723">
      <c r="E723" s="1"/>
    </row>
    <row r="724">
      <c r="E724" s="1"/>
    </row>
    <row r="725">
      <c r="E725" s="1"/>
    </row>
    <row r="726">
      <c r="E726" s="1"/>
    </row>
    <row r="727">
      <c r="E727" s="1"/>
    </row>
    <row r="728">
      <c r="E728" s="1"/>
    </row>
    <row r="729">
      <c r="E729" s="1"/>
    </row>
    <row r="730">
      <c r="E730" s="1"/>
    </row>
    <row r="731">
      <c r="E731" s="1"/>
    </row>
    <row r="732">
      <c r="E732" s="1"/>
    </row>
    <row r="733">
      <c r="E733" s="1"/>
    </row>
    <row r="734">
      <c r="E734" s="1"/>
    </row>
    <row r="735">
      <c r="E735" s="1"/>
    </row>
    <row r="736">
      <c r="E736" s="1"/>
    </row>
    <row r="737">
      <c r="E737" s="1"/>
    </row>
    <row r="738">
      <c r="E738" s="1"/>
    </row>
    <row r="739">
      <c r="E739" s="1"/>
    </row>
    <row r="740">
      <c r="E740" s="1"/>
    </row>
    <row r="741">
      <c r="E741" s="1"/>
    </row>
    <row r="742">
      <c r="E742" s="1"/>
    </row>
    <row r="743">
      <c r="E743" s="1"/>
    </row>
    <row r="744">
      <c r="E744" s="1"/>
    </row>
    <row r="745">
      <c r="E745" s="1"/>
    </row>
    <row r="746">
      <c r="E746" s="1"/>
    </row>
    <row r="747">
      <c r="E747" s="1"/>
    </row>
    <row r="748">
      <c r="E748" s="1"/>
    </row>
    <row r="749">
      <c r="E749" s="1"/>
    </row>
    <row r="750">
      <c r="E750" s="1"/>
    </row>
    <row r="751">
      <c r="E751" s="1"/>
    </row>
    <row r="752">
      <c r="E752" s="1"/>
    </row>
    <row r="753">
      <c r="E753" s="1"/>
    </row>
    <row r="754">
      <c r="E754" s="1"/>
    </row>
    <row r="755">
      <c r="E755" s="1"/>
    </row>
    <row r="756">
      <c r="E756" s="1"/>
    </row>
    <row r="757">
      <c r="E757" s="1"/>
    </row>
    <row r="758">
      <c r="E758" s="1"/>
    </row>
    <row r="759">
      <c r="E759" s="1"/>
    </row>
    <row r="760">
      <c r="E760" s="1"/>
    </row>
    <row r="761">
      <c r="E761" s="1"/>
    </row>
    <row r="762">
      <c r="E762" s="1"/>
    </row>
    <row r="763">
      <c r="E763" s="1"/>
    </row>
    <row r="764">
      <c r="E764" s="1"/>
    </row>
    <row r="765">
      <c r="E765" s="1"/>
    </row>
    <row r="766">
      <c r="E766" s="1"/>
    </row>
    <row r="767">
      <c r="E767" s="1"/>
    </row>
    <row r="768">
      <c r="E768" s="1"/>
    </row>
    <row r="769">
      <c r="E769" s="1"/>
    </row>
    <row r="770">
      <c r="E770" s="1"/>
    </row>
    <row r="771">
      <c r="E771" s="1"/>
    </row>
    <row r="772">
      <c r="E772" s="1"/>
    </row>
    <row r="773">
      <c r="E773" s="1"/>
    </row>
    <row r="774">
      <c r="E774" s="1"/>
    </row>
    <row r="775">
      <c r="E775" s="1"/>
    </row>
    <row r="776">
      <c r="E776" s="1"/>
    </row>
    <row r="777">
      <c r="E777" s="1"/>
    </row>
    <row r="778">
      <c r="E778" s="1"/>
    </row>
    <row r="779">
      <c r="E779" s="1"/>
    </row>
    <row r="780">
      <c r="E780" s="1"/>
    </row>
    <row r="781">
      <c r="E781" s="1"/>
    </row>
    <row r="782">
      <c r="E782" s="1"/>
    </row>
    <row r="783">
      <c r="E783" s="1"/>
    </row>
    <row r="784">
      <c r="E784" s="1"/>
    </row>
    <row r="785">
      <c r="E785" s="1"/>
    </row>
    <row r="786">
      <c r="E786" s="1"/>
    </row>
    <row r="787">
      <c r="E787" s="1"/>
    </row>
    <row r="788">
      <c r="E788" s="1"/>
    </row>
    <row r="789">
      <c r="E789" s="1"/>
    </row>
    <row r="790">
      <c r="E790" s="1"/>
    </row>
    <row r="791">
      <c r="E791" s="1"/>
    </row>
    <row r="792">
      <c r="E792" s="1"/>
    </row>
    <row r="793">
      <c r="E793" s="1"/>
    </row>
    <row r="794">
      <c r="E794" s="1"/>
    </row>
    <row r="795">
      <c r="E795" s="1"/>
    </row>
    <row r="796">
      <c r="E796" s="1"/>
    </row>
    <row r="797">
      <c r="E797" s="1"/>
    </row>
    <row r="798">
      <c r="E798" s="1"/>
    </row>
    <row r="799">
      <c r="E799" s="1"/>
    </row>
    <row r="800">
      <c r="E800" s="1"/>
    </row>
    <row r="801">
      <c r="E801" s="1"/>
    </row>
    <row r="802">
      <c r="E802" s="1"/>
    </row>
    <row r="803">
      <c r="E803" s="1"/>
    </row>
    <row r="804">
      <c r="E804" s="1"/>
    </row>
    <row r="805">
      <c r="E805" s="1"/>
    </row>
    <row r="806">
      <c r="E806" s="1"/>
    </row>
    <row r="807">
      <c r="E807" s="1"/>
    </row>
    <row r="808">
      <c r="E808" s="1"/>
    </row>
    <row r="809">
      <c r="E809" s="1"/>
    </row>
    <row r="810">
      <c r="E810" s="1"/>
    </row>
    <row r="811">
      <c r="E811" s="1"/>
    </row>
    <row r="812">
      <c r="E812" s="1"/>
    </row>
    <row r="813">
      <c r="E813" s="1"/>
    </row>
    <row r="814">
      <c r="E814" s="1"/>
    </row>
    <row r="815">
      <c r="E815" s="1"/>
    </row>
    <row r="816">
      <c r="E816" s="1"/>
    </row>
    <row r="817">
      <c r="E817" s="1"/>
    </row>
    <row r="818">
      <c r="E818" s="1"/>
    </row>
    <row r="819">
      <c r="E819" s="1"/>
    </row>
    <row r="820">
      <c r="E820" s="1"/>
    </row>
    <row r="821">
      <c r="E821" s="1"/>
    </row>
    <row r="822">
      <c r="E822" s="1"/>
    </row>
    <row r="823">
      <c r="E823" s="1"/>
    </row>
    <row r="824">
      <c r="E824" s="1"/>
    </row>
    <row r="825">
      <c r="E825" s="1"/>
    </row>
    <row r="826">
      <c r="E826" s="1"/>
    </row>
    <row r="827">
      <c r="E827" s="1"/>
    </row>
    <row r="828">
      <c r="E828" s="1"/>
    </row>
    <row r="829">
      <c r="E829" s="1"/>
    </row>
    <row r="830">
      <c r="E830" s="1"/>
    </row>
    <row r="831">
      <c r="E831" s="1"/>
    </row>
    <row r="832">
      <c r="E832" s="1"/>
    </row>
    <row r="833">
      <c r="E833" s="1"/>
    </row>
    <row r="834">
      <c r="E834" s="1"/>
    </row>
    <row r="835">
      <c r="E835" s="1"/>
    </row>
    <row r="836">
      <c r="E836" s="1"/>
    </row>
    <row r="837">
      <c r="E837" s="1"/>
    </row>
    <row r="838">
      <c r="E838" s="1"/>
    </row>
    <row r="839">
      <c r="E839" s="1"/>
    </row>
    <row r="840">
      <c r="E840" s="1"/>
    </row>
    <row r="841">
      <c r="E841" s="1"/>
    </row>
    <row r="842">
      <c r="E842" s="1"/>
    </row>
    <row r="843">
      <c r="E843" s="1"/>
    </row>
    <row r="844">
      <c r="E844" s="1"/>
    </row>
    <row r="845">
      <c r="E845" s="1"/>
    </row>
    <row r="846">
      <c r="E846" s="1"/>
    </row>
    <row r="847">
      <c r="E847" s="1"/>
    </row>
    <row r="848">
      <c r="E848" s="1"/>
    </row>
    <row r="849">
      <c r="E849" s="1"/>
    </row>
    <row r="850">
      <c r="E850" s="1"/>
    </row>
    <row r="851">
      <c r="E851" s="1"/>
    </row>
    <row r="852">
      <c r="E852" s="1"/>
    </row>
    <row r="853">
      <c r="E853" s="1"/>
    </row>
    <row r="854">
      <c r="E854" s="1"/>
    </row>
    <row r="855">
      <c r="E855" s="1"/>
    </row>
    <row r="856">
      <c r="E856" s="1"/>
    </row>
    <row r="857">
      <c r="E857" s="1"/>
    </row>
    <row r="858">
      <c r="E858" s="1"/>
    </row>
    <row r="859">
      <c r="E859" s="1"/>
    </row>
    <row r="860">
      <c r="E860" s="1"/>
    </row>
    <row r="861">
      <c r="E861" s="1"/>
    </row>
    <row r="862">
      <c r="E862" s="1"/>
    </row>
    <row r="863">
      <c r="E863" s="1"/>
    </row>
    <row r="864">
      <c r="E864" s="1"/>
    </row>
    <row r="865">
      <c r="E865" s="1"/>
    </row>
    <row r="866">
      <c r="E866" s="1"/>
    </row>
    <row r="867">
      <c r="E867" s="1"/>
    </row>
    <row r="868">
      <c r="E868" s="1"/>
    </row>
    <row r="869">
      <c r="E869" s="1"/>
    </row>
    <row r="870">
      <c r="E870" s="1"/>
    </row>
    <row r="871">
      <c r="E871" s="1"/>
    </row>
    <row r="872">
      <c r="E872" s="1"/>
    </row>
    <row r="873">
      <c r="E873" s="1"/>
    </row>
    <row r="874">
      <c r="E874" s="1"/>
    </row>
    <row r="875">
      <c r="E875" s="1"/>
    </row>
    <row r="876">
      <c r="E876" s="1"/>
    </row>
    <row r="877">
      <c r="E877" s="1"/>
    </row>
    <row r="878">
      <c r="E878" s="1"/>
    </row>
    <row r="879">
      <c r="E879" s="1"/>
    </row>
    <row r="880">
      <c r="E880" s="1"/>
    </row>
    <row r="881">
      <c r="E881" s="1"/>
    </row>
    <row r="882">
      <c r="E882" s="1"/>
    </row>
    <row r="883">
      <c r="E883" s="1"/>
    </row>
    <row r="884">
      <c r="E884" s="1"/>
    </row>
    <row r="885">
      <c r="E885" s="1"/>
    </row>
    <row r="886">
      <c r="E886" s="1"/>
    </row>
    <row r="887">
      <c r="E887" s="1"/>
    </row>
    <row r="888">
      <c r="E888" s="1"/>
    </row>
    <row r="889">
      <c r="E889" s="1"/>
    </row>
    <row r="890">
      <c r="E890" s="1"/>
    </row>
    <row r="891">
      <c r="E891" s="1"/>
    </row>
    <row r="892">
      <c r="E892" s="1"/>
    </row>
    <row r="893">
      <c r="E893" s="1"/>
    </row>
    <row r="894">
      <c r="E894" s="1"/>
    </row>
    <row r="895">
      <c r="E895" s="1"/>
    </row>
    <row r="896">
      <c r="E896" s="1"/>
    </row>
    <row r="897">
      <c r="E897" s="1"/>
    </row>
    <row r="898">
      <c r="E898" s="1"/>
    </row>
    <row r="899">
      <c r="E899" s="1"/>
    </row>
    <row r="900">
      <c r="E900" s="1"/>
    </row>
    <row r="901">
      <c r="E901" s="1"/>
    </row>
    <row r="902">
      <c r="E902" s="1"/>
    </row>
    <row r="903">
      <c r="E903" s="1"/>
    </row>
    <row r="904">
      <c r="E904" s="1"/>
    </row>
    <row r="905">
      <c r="E905" s="1"/>
    </row>
    <row r="906">
      <c r="E906" s="1"/>
    </row>
    <row r="907">
      <c r="E907" s="1"/>
    </row>
    <row r="908">
      <c r="E908" s="1"/>
    </row>
    <row r="909">
      <c r="E909" s="1"/>
    </row>
    <row r="910">
      <c r="E910" s="1"/>
    </row>
    <row r="911">
      <c r="E911" s="1"/>
    </row>
    <row r="912">
      <c r="E912" s="1"/>
    </row>
    <row r="913">
      <c r="E913" s="1"/>
    </row>
    <row r="914">
      <c r="E914" s="1"/>
    </row>
    <row r="915">
      <c r="E915" s="1"/>
    </row>
    <row r="916">
      <c r="E916" s="1"/>
    </row>
    <row r="917">
      <c r="E917" s="1"/>
    </row>
    <row r="918">
      <c r="E918" s="1"/>
    </row>
    <row r="919">
      <c r="E919" s="1"/>
    </row>
    <row r="920">
      <c r="E920" s="1"/>
    </row>
    <row r="921">
      <c r="E921" s="1"/>
    </row>
    <row r="922">
      <c r="E922" s="1"/>
    </row>
    <row r="923">
      <c r="E923" s="1"/>
    </row>
    <row r="924">
      <c r="E924" s="1"/>
    </row>
    <row r="925">
      <c r="E925" s="1"/>
    </row>
    <row r="926">
      <c r="E926" s="1"/>
    </row>
    <row r="927">
      <c r="E927" s="1"/>
    </row>
    <row r="928">
      <c r="E928" s="1"/>
    </row>
    <row r="929">
      <c r="E929" s="1"/>
    </row>
    <row r="930">
      <c r="E930" s="1"/>
    </row>
    <row r="931">
      <c r="E931" s="1"/>
    </row>
  </sheetData>
  <conditionalFormatting sqref="G7:G37">
    <cfRule type="expression" dxfId="5" priority="1">
      <formula>$G7&gt;=$O$9</formula>
    </cfRule>
  </conditionalFormatting>
  <conditionalFormatting sqref="N3">
    <cfRule type="expression" dxfId="5" priority="2">
      <formula>N3&gt;=O8</formula>
    </cfRule>
  </conditionalFormatting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4" max="4" width="22.0"/>
    <col customWidth="1" min="5" max="5" width="15.0"/>
    <col customWidth="1" min="9" max="9" width="18.38"/>
    <col customWidth="1" min="11" max="11" width="18.5"/>
    <col customWidth="1" min="14" max="14" width="18.38"/>
    <col customWidth="1" min="15" max="15" width="15.88"/>
    <col customWidth="1" min="16" max="16" width="18.5"/>
    <col customWidth="1" min="17" max="17" width="17.0"/>
    <col customWidth="1" min="22" max="22" width="19.38"/>
  </cols>
  <sheetData>
    <row r="1">
      <c r="E1" s="1"/>
    </row>
    <row r="2">
      <c r="E2" s="1"/>
      <c r="K2" s="2" t="s">
        <v>0</v>
      </c>
      <c r="L2" s="3" t="s">
        <v>1</v>
      </c>
      <c r="M2" s="4" t="s">
        <v>2</v>
      </c>
      <c r="N2" s="4" t="s">
        <v>3</v>
      </c>
    </row>
    <row r="3">
      <c r="E3" s="1"/>
      <c r="K3" s="5" t="s">
        <v>4</v>
      </c>
      <c r="L3" s="6">
        <f t="shared" ref="L3:M3" si="1">sum(E7:E37)</f>
        <v>0</v>
      </c>
      <c r="M3" s="3">
        <f t="shared" si="1"/>
        <v>0</v>
      </c>
      <c r="N3" s="7">
        <f>M3*Sumario!N4</f>
        <v>0</v>
      </c>
      <c r="O3" s="7">
        <f>Sumario!N4</f>
        <v>0.87762</v>
      </c>
    </row>
    <row r="4">
      <c r="B4" s="8" t="s">
        <v>80</v>
      </c>
      <c r="C4" s="10"/>
      <c r="D4" s="10"/>
      <c r="E4" s="11"/>
      <c r="F4" s="10"/>
      <c r="G4" s="10"/>
      <c r="H4" s="10"/>
      <c r="I4" s="10"/>
      <c r="J4" s="10"/>
      <c r="K4" s="10"/>
      <c r="L4" s="10"/>
    </row>
    <row r="5">
      <c r="B5" s="8" t="s">
        <v>8</v>
      </c>
      <c r="C5" s="8" t="s">
        <v>9</v>
      </c>
      <c r="D5" s="8" t="s">
        <v>11</v>
      </c>
      <c r="E5" s="8" t="s">
        <v>12</v>
      </c>
      <c r="F5" s="8" t="s">
        <v>13</v>
      </c>
      <c r="G5" s="12" t="s">
        <v>14</v>
      </c>
      <c r="H5" s="12"/>
      <c r="I5" s="13"/>
      <c r="J5" s="14"/>
      <c r="K5" s="15"/>
      <c r="L5" s="10"/>
    </row>
    <row r="6">
      <c r="B6" s="10"/>
      <c r="C6" s="10"/>
      <c r="D6" s="10"/>
      <c r="E6" s="10"/>
      <c r="F6" s="16"/>
      <c r="G6" s="10"/>
      <c r="H6" s="15" t="s">
        <v>15</v>
      </c>
      <c r="I6" s="10"/>
      <c r="J6" s="10"/>
      <c r="K6" s="10"/>
      <c r="L6" s="10"/>
    </row>
    <row r="7">
      <c r="B7" s="10"/>
      <c r="C7" s="15" t="s">
        <v>16</v>
      </c>
      <c r="D7" s="16"/>
      <c r="E7" s="17"/>
      <c r="F7" s="19"/>
      <c r="G7" s="11">
        <f t="shared" ref="G7:G37" si="2">E7+(F7*$O$3)</f>
        <v>0</v>
      </c>
      <c r="H7" s="24">
        <f t="shared" ref="H7:H37" si="3">G7/$O$9</f>
        <v>0</v>
      </c>
      <c r="I7" s="25">
        <f t="shared" ref="I7:I37" si="4">315+G7</f>
        <v>315</v>
      </c>
      <c r="J7" s="10"/>
      <c r="K7" s="10"/>
      <c r="L7" s="10"/>
    </row>
    <row r="8">
      <c r="B8" s="10"/>
      <c r="C8" s="15" t="s">
        <v>20</v>
      </c>
      <c r="D8" s="16"/>
      <c r="E8" s="17"/>
      <c r="F8" s="19"/>
      <c r="G8" s="11">
        <f t="shared" si="2"/>
        <v>0</v>
      </c>
      <c r="H8" s="24">
        <f t="shared" si="3"/>
        <v>0</v>
      </c>
      <c r="I8" s="25">
        <f t="shared" si="4"/>
        <v>315</v>
      </c>
      <c r="J8" s="10"/>
      <c r="K8" s="10"/>
      <c r="L8" s="10"/>
      <c r="N8" s="31" t="s">
        <v>15</v>
      </c>
      <c r="O8" s="31">
        <v>2500.0</v>
      </c>
      <c r="P8" s="34">
        <f>O8-Sumario!K18</f>
        <v>2500</v>
      </c>
    </row>
    <row r="9">
      <c r="B9" s="10"/>
      <c r="C9" s="15" t="s">
        <v>27</v>
      </c>
      <c r="D9" s="16"/>
      <c r="E9" s="17"/>
      <c r="F9" s="19"/>
      <c r="G9" s="11">
        <f t="shared" si="2"/>
        <v>0</v>
      </c>
      <c r="H9" s="24">
        <f t="shared" si="3"/>
        <v>0</v>
      </c>
      <c r="I9" s="25">
        <f t="shared" si="4"/>
        <v>315</v>
      </c>
      <c r="J9" s="10"/>
      <c r="K9" s="10"/>
      <c r="L9" s="15">
        <v>7245.0</v>
      </c>
      <c r="N9" s="31" t="s">
        <v>28</v>
      </c>
      <c r="O9" s="4">
        <f>O8/21</f>
        <v>119.047619</v>
      </c>
      <c r="P9" s="36">
        <f>P8/O8</f>
        <v>1</v>
      </c>
    </row>
    <row r="10">
      <c r="B10" s="10"/>
      <c r="C10" s="15" t="s">
        <v>29</v>
      </c>
      <c r="D10" s="16"/>
      <c r="E10" s="17"/>
      <c r="F10" s="19"/>
      <c r="G10" s="11">
        <f t="shared" si="2"/>
        <v>0</v>
      </c>
      <c r="H10" s="24">
        <f t="shared" si="3"/>
        <v>0</v>
      </c>
      <c r="I10" s="25">
        <f t="shared" si="4"/>
        <v>315</v>
      </c>
      <c r="J10" s="10"/>
      <c r="K10" s="10"/>
      <c r="L10" s="38">
        <f>L9+Sumario!K16</f>
        <v>7245</v>
      </c>
    </row>
    <row r="11">
      <c r="B11" s="10"/>
      <c r="C11" s="15" t="s">
        <v>30</v>
      </c>
      <c r="D11" s="16"/>
      <c r="E11" s="17"/>
      <c r="F11" s="19"/>
      <c r="G11" s="11">
        <f t="shared" si="2"/>
        <v>0</v>
      </c>
      <c r="H11" s="24">
        <f t="shared" si="3"/>
        <v>0</v>
      </c>
      <c r="I11" s="25">
        <f t="shared" si="4"/>
        <v>315</v>
      </c>
      <c r="J11" s="10"/>
      <c r="K11" s="10"/>
      <c r="L11" s="10"/>
    </row>
    <row r="12">
      <c r="B12" s="15"/>
      <c r="C12" s="15" t="s">
        <v>31</v>
      </c>
      <c r="D12" s="20"/>
      <c r="E12" s="40"/>
      <c r="F12" s="41"/>
      <c r="G12" s="11">
        <f t="shared" si="2"/>
        <v>0</v>
      </c>
      <c r="H12" s="24">
        <f t="shared" si="3"/>
        <v>0</v>
      </c>
      <c r="I12" s="25">
        <f t="shared" si="4"/>
        <v>315</v>
      </c>
      <c r="J12" s="15"/>
      <c r="K12" s="15"/>
      <c r="L12" s="10"/>
    </row>
    <row r="13">
      <c r="B13" s="15"/>
      <c r="C13" s="15" t="s">
        <v>32</v>
      </c>
      <c r="D13" s="20"/>
      <c r="E13" s="40"/>
      <c r="F13" s="19"/>
      <c r="G13" s="11">
        <f t="shared" si="2"/>
        <v>0</v>
      </c>
      <c r="H13" s="24">
        <f t="shared" si="3"/>
        <v>0</v>
      </c>
      <c r="I13" s="25">
        <f t="shared" si="4"/>
        <v>315</v>
      </c>
      <c r="J13" s="15"/>
      <c r="K13" s="15"/>
      <c r="L13" s="10"/>
    </row>
    <row r="14">
      <c r="B14" s="15"/>
      <c r="C14" s="15" t="s">
        <v>33</v>
      </c>
      <c r="D14" s="20"/>
      <c r="E14" s="40"/>
      <c r="F14" s="41"/>
      <c r="G14" s="11">
        <f t="shared" si="2"/>
        <v>0</v>
      </c>
      <c r="H14" s="24">
        <f t="shared" si="3"/>
        <v>0</v>
      </c>
      <c r="I14" s="25">
        <f t="shared" si="4"/>
        <v>315</v>
      </c>
      <c r="J14" s="15"/>
      <c r="K14" s="15"/>
      <c r="L14" s="10"/>
    </row>
    <row r="15">
      <c r="B15" s="15"/>
      <c r="C15" s="15" t="s">
        <v>34</v>
      </c>
      <c r="D15" s="20"/>
      <c r="E15" s="40"/>
      <c r="F15" s="19"/>
      <c r="G15" s="11">
        <f t="shared" si="2"/>
        <v>0</v>
      </c>
      <c r="H15" s="24">
        <f t="shared" si="3"/>
        <v>0</v>
      </c>
      <c r="I15" s="25">
        <f t="shared" si="4"/>
        <v>315</v>
      </c>
      <c r="J15" s="15"/>
      <c r="K15" s="15"/>
      <c r="L15" s="10"/>
    </row>
    <row r="16">
      <c r="B16" s="15"/>
      <c r="C16" s="15" t="s">
        <v>36</v>
      </c>
      <c r="D16" s="20"/>
      <c r="E16" s="40"/>
      <c r="F16" s="41"/>
      <c r="G16" s="11">
        <f t="shared" si="2"/>
        <v>0</v>
      </c>
      <c r="H16" s="24">
        <f t="shared" si="3"/>
        <v>0</v>
      </c>
      <c r="I16" s="25">
        <f t="shared" si="4"/>
        <v>315</v>
      </c>
      <c r="J16" s="15"/>
      <c r="K16" s="15"/>
      <c r="L16" s="10"/>
    </row>
    <row r="17">
      <c r="B17" s="15"/>
      <c r="C17" s="15" t="s">
        <v>37</v>
      </c>
      <c r="D17" s="20"/>
      <c r="E17" s="40"/>
      <c r="F17" s="19"/>
      <c r="G17" s="11">
        <f t="shared" si="2"/>
        <v>0</v>
      </c>
      <c r="H17" s="24">
        <f t="shared" si="3"/>
        <v>0</v>
      </c>
      <c r="I17" s="25">
        <f t="shared" si="4"/>
        <v>315</v>
      </c>
      <c r="J17" s="15"/>
      <c r="K17" s="15"/>
      <c r="L17" s="10"/>
    </row>
    <row r="18">
      <c r="B18" s="15"/>
      <c r="C18" s="15" t="s">
        <v>38</v>
      </c>
      <c r="D18" s="20"/>
      <c r="E18" s="40"/>
      <c r="F18" s="41"/>
      <c r="G18" s="11">
        <f t="shared" si="2"/>
        <v>0</v>
      </c>
      <c r="H18" s="24">
        <f t="shared" si="3"/>
        <v>0</v>
      </c>
      <c r="I18" s="25">
        <f t="shared" si="4"/>
        <v>315</v>
      </c>
      <c r="J18" s="15"/>
      <c r="K18" s="15"/>
      <c r="L18" s="10"/>
    </row>
    <row r="19">
      <c r="B19" s="15"/>
      <c r="C19" s="15" t="s">
        <v>39</v>
      </c>
      <c r="D19" s="20"/>
      <c r="E19" s="40"/>
      <c r="F19" s="19"/>
      <c r="G19" s="11">
        <f t="shared" si="2"/>
        <v>0</v>
      </c>
      <c r="H19" s="24">
        <f t="shared" si="3"/>
        <v>0</v>
      </c>
      <c r="I19" s="25">
        <f t="shared" si="4"/>
        <v>315</v>
      </c>
      <c r="J19" s="15"/>
      <c r="K19" s="15"/>
      <c r="L19" s="10"/>
    </row>
    <row r="20">
      <c r="B20" s="15"/>
      <c r="C20" s="15" t="s">
        <v>40</v>
      </c>
      <c r="D20" s="20"/>
      <c r="E20" s="40"/>
      <c r="F20" s="41"/>
      <c r="G20" s="11">
        <f t="shared" si="2"/>
        <v>0</v>
      </c>
      <c r="H20" s="24">
        <f t="shared" si="3"/>
        <v>0</v>
      </c>
      <c r="I20" s="25">
        <f t="shared" si="4"/>
        <v>315</v>
      </c>
      <c r="J20" s="15"/>
      <c r="K20" s="15"/>
      <c r="L20" s="10"/>
    </row>
    <row r="21">
      <c r="B21" s="15"/>
      <c r="C21" s="15" t="s">
        <v>41</v>
      </c>
      <c r="D21" s="20"/>
      <c r="E21" s="40"/>
      <c r="F21" s="19"/>
      <c r="G21" s="11">
        <f t="shared" si="2"/>
        <v>0</v>
      </c>
      <c r="H21" s="24">
        <f t="shared" si="3"/>
        <v>0</v>
      </c>
      <c r="I21" s="25">
        <f t="shared" si="4"/>
        <v>315</v>
      </c>
      <c r="J21" s="15"/>
      <c r="K21" s="15"/>
      <c r="L21" s="10"/>
    </row>
    <row r="22">
      <c r="B22" s="15"/>
      <c r="C22" s="15" t="s">
        <v>42</v>
      </c>
      <c r="D22" s="20"/>
      <c r="E22" s="17"/>
      <c r="F22" s="19"/>
      <c r="G22" s="11">
        <f t="shared" si="2"/>
        <v>0</v>
      </c>
      <c r="H22" s="24">
        <f t="shared" si="3"/>
        <v>0</v>
      </c>
      <c r="I22" s="25">
        <f t="shared" si="4"/>
        <v>315</v>
      </c>
      <c r="J22" s="15"/>
      <c r="K22" s="15"/>
      <c r="L22" s="10"/>
    </row>
    <row r="23">
      <c r="C23" s="15" t="s">
        <v>44</v>
      </c>
      <c r="E23" s="17"/>
      <c r="F23" s="46"/>
      <c r="G23" s="11">
        <f t="shared" si="2"/>
        <v>0</v>
      </c>
      <c r="H23" s="24">
        <f t="shared" si="3"/>
        <v>0</v>
      </c>
      <c r="I23" s="25">
        <f t="shared" si="4"/>
        <v>315</v>
      </c>
      <c r="J23" s="45"/>
      <c r="K23" s="45"/>
      <c r="L23" s="45"/>
      <c r="M23" s="45"/>
      <c r="N23" s="45"/>
      <c r="O23" s="45"/>
      <c r="P23" s="45"/>
      <c r="Q23" s="45"/>
    </row>
    <row r="24">
      <c r="C24" s="15" t="s">
        <v>45</v>
      </c>
      <c r="E24" s="40"/>
      <c r="F24" s="46"/>
      <c r="G24" s="11">
        <f t="shared" si="2"/>
        <v>0</v>
      </c>
      <c r="H24" s="24">
        <f t="shared" si="3"/>
        <v>0</v>
      </c>
      <c r="I24" s="25">
        <f t="shared" si="4"/>
        <v>315</v>
      </c>
      <c r="J24" s="45"/>
      <c r="K24" s="45"/>
      <c r="L24" s="45"/>
      <c r="M24" s="45"/>
      <c r="N24" s="45"/>
      <c r="O24" s="45"/>
      <c r="P24" s="45"/>
      <c r="Q24" s="45"/>
    </row>
    <row r="25">
      <c r="C25" s="15" t="s">
        <v>46</v>
      </c>
      <c r="E25" s="40"/>
      <c r="F25" s="46"/>
      <c r="G25" s="11">
        <f t="shared" si="2"/>
        <v>0</v>
      </c>
      <c r="H25" s="24">
        <f t="shared" si="3"/>
        <v>0</v>
      </c>
      <c r="I25" s="25">
        <f t="shared" si="4"/>
        <v>315</v>
      </c>
      <c r="J25" s="45"/>
      <c r="K25" s="45"/>
      <c r="L25" s="45"/>
      <c r="M25" s="45"/>
      <c r="N25" s="45"/>
      <c r="O25" s="45"/>
      <c r="P25" s="45"/>
      <c r="Q25" s="45"/>
    </row>
    <row r="26">
      <c r="C26" s="15" t="s">
        <v>47</v>
      </c>
      <c r="E26" s="40"/>
      <c r="F26" s="46"/>
      <c r="G26" s="11">
        <f t="shared" si="2"/>
        <v>0</v>
      </c>
      <c r="H26" s="24">
        <f t="shared" si="3"/>
        <v>0</v>
      </c>
      <c r="I26" s="25">
        <f t="shared" si="4"/>
        <v>315</v>
      </c>
      <c r="J26" s="45"/>
      <c r="K26" s="45"/>
      <c r="L26" s="45"/>
      <c r="M26" s="45"/>
      <c r="N26" s="45"/>
      <c r="O26" s="45"/>
      <c r="P26" s="45"/>
      <c r="Q26" s="45"/>
    </row>
    <row r="27">
      <c r="C27" s="15" t="s">
        <v>48</v>
      </c>
      <c r="E27" s="40"/>
      <c r="F27" s="46"/>
      <c r="G27" s="11">
        <f t="shared" si="2"/>
        <v>0</v>
      </c>
      <c r="H27" s="24">
        <f t="shared" si="3"/>
        <v>0</v>
      </c>
      <c r="I27" s="25">
        <f t="shared" si="4"/>
        <v>315</v>
      </c>
      <c r="J27" s="45"/>
      <c r="K27" s="45"/>
      <c r="L27" s="45"/>
      <c r="M27" s="45"/>
      <c r="N27" s="45"/>
      <c r="O27" s="45"/>
      <c r="P27" s="45"/>
      <c r="Q27" s="45"/>
    </row>
    <row r="28">
      <c r="C28" s="15" t="s">
        <v>49</v>
      </c>
      <c r="E28" s="17"/>
      <c r="F28" s="44"/>
      <c r="G28" s="11">
        <f t="shared" si="2"/>
        <v>0</v>
      </c>
      <c r="H28" s="24">
        <f t="shared" si="3"/>
        <v>0</v>
      </c>
      <c r="I28" s="25">
        <f t="shared" si="4"/>
        <v>315</v>
      </c>
      <c r="J28" s="45"/>
      <c r="K28" s="45"/>
      <c r="L28" s="45"/>
      <c r="M28" s="45"/>
      <c r="N28" s="45"/>
      <c r="O28" s="45"/>
      <c r="P28" s="45"/>
      <c r="Q28" s="45"/>
    </row>
    <row r="29">
      <c r="C29" s="15" t="s">
        <v>51</v>
      </c>
      <c r="E29" s="17"/>
      <c r="F29" s="46"/>
      <c r="G29" s="11">
        <f t="shared" si="2"/>
        <v>0</v>
      </c>
      <c r="H29" s="24">
        <f t="shared" si="3"/>
        <v>0</v>
      </c>
      <c r="I29" s="25">
        <f t="shared" si="4"/>
        <v>315</v>
      </c>
      <c r="J29" s="45"/>
      <c r="K29" s="45"/>
      <c r="L29" s="45"/>
      <c r="M29" s="45"/>
      <c r="N29" s="45"/>
      <c r="O29" s="45"/>
      <c r="P29" s="45"/>
      <c r="Q29" s="45"/>
    </row>
    <row r="30">
      <c r="C30" s="15" t="s">
        <v>52</v>
      </c>
      <c r="E30" s="40"/>
      <c r="F30" s="46"/>
      <c r="G30" s="11">
        <f t="shared" si="2"/>
        <v>0</v>
      </c>
      <c r="H30" s="24">
        <f t="shared" si="3"/>
        <v>0</v>
      </c>
      <c r="I30" s="25">
        <f t="shared" si="4"/>
        <v>315</v>
      </c>
      <c r="J30" s="45"/>
      <c r="K30" s="45"/>
      <c r="L30" s="45"/>
      <c r="M30" s="45"/>
      <c r="N30" s="45"/>
      <c r="O30" s="45"/>
      <c r="P30" s="45"/>
      <c r="Q30" s="45"/>
    </row>
    <row r="31">
      <c r="C31" s="15" t="s">
        <v>53</v>
      </c>
      <c r="E31" s="40"/>
      <c r="F31" s="46"/>
      <c r="G31" s="11">
        <f t="shared" si="2"/>
        <v>0</v>
      </c>
      <c r="H31" s="24">
        <f t="shared" si="3"/>
        <v>0</v>
      </c>
      <c r="I31" s="25">
        <f t="shared" si="4"/>
        <v>315</v>
      </c>
      <c r="J31" s="45"/>
      <c r="K31" s="45"/>
      <c r="L31" s="45"/>
      <c r="M31" s="45"/>
      <c r="N31" s="45"/>
      <c r="O31" s="45"/>
      <c r="P31" s="45"/>
      <c r="Q31" s="45"/>
    </row>
    <row r="32">
      <c r="C32" s="15" t="s">
        <v>54</v>
      </c>
      <c r="E32" s="40"/>
      <c r="F32" s="46"/>
      <c r="G32" s="11">
        <f t="shared" si="2"/>
        <v>0</v>
      </c>
      <c r="H32" s="24">
        <f t="shared" si="3"/>
        <v>0</v>
      </c>
      <c r="I32" s="25">
        <f t="shared" si="4"/>
        <v>315</v>
      </c>
      <c r="J32" s="45"/>
      <c r="K32" s="45"/>
      <c r="L32" s="45"/>
      <c r="M32" s="45"/>
      <c r="N32" s="45"/>
      <c r="O32" s="45"/>
      <c r="P32" s="45"/>
      <c r="Q32" s="45"/>
    </row>
    <row r="33">
      <c r="C33" s="15" t="s">
        <v>55</v>
      </c>
      <c r="E33" s="40"/>
      <c r="F33" s="46"/>
      <c r="G33" s="11">
        <f t="shared" si="2"/>
        <v>0</v>
      </c>
      <c r="H33" s="24">
        <f t="shared" si="3"/>
        <v>0</v>
      </c>
      <c r="I33" s="25">
        <f t="shared" si="4"/>
        <v>315</v>
      </c>
    </row>
    <row r="34">
      <c r="C34" s="15" t="s">
        <v>56</v>
      </c>
      <c r="E34" s="40"/>
      <c r="F34" s="46"/>
      <c r="G34" s="11">
        <f t="shared" si="2"/>
        <v>0</v>
      </c>
      <c r="H34" s="24">
        <f t="shared" si="3"/>
        <v>0</v>
      </c>
      <c r="I34" s="25">
        <f t="shared" si="4"/>
        <v>315</v>
      </c>
    </row>
    <row r="35">
      <c r="C35" s="15" t="s">
        <v>57</v>
      </c>
      <c r="E35" s="40"/>
      <c r="F35" s="46"/>
      <c r="G35" s="11">
        <f t="shared" si="2"/>
        <v>0</v>
      </c>
      <c r="H35" s="24">
        <f t="shared" si="3"/>
        <v>0</v>
      </c>
      <c r="I35" s="25">
        <f t="shared" si="4"/>
        <v>315</v>
      </c>
    </row>
    <row r="36">
      <c r="C36" s="15" t="s">
        <v>58</v>
      </c>
      <c r="E36" s="40"/>
      <c r="F36" s="46"/>
      <c r="G36" s="11">
        <f t="shared" si="2"/>
        <v>0</v>
      </c>
      <c r="H36" s="24">
        <f t="shared" si="3"/>
        <v>0</v>
      </c>
      <c r="I36" s="25">
        <f t="shared" si="4"/>
        <v>315</v>
      </c>
    </row>
    <row r="37">
      <c r="C37" s="15" t="s">
        <v>59</v>
      </c>
      <c r="E37" s="17"/>
      <c r="F37" s="44"/>
      <c r="G37" s="11">
        <f t="shared" si="2"/>
        <v>0</v>
      </c>
      <c r="H37" s="24">
        <f t="shared" si="3"/>
        <v>0</v>
      </c>
      <c r="I37" s="25">
        <f t="shared" si="4"/>
        <v>315</v>
      </c>
    </row>
    <row r="38">
      <c r="E38" s="1"/>
    </row>
    <row r="39">
      <c r="E39" s="1"/>
    </row>
    <row r="40">
      <c r="E40" s="1"/>
    </row>
    <row r="41">
      <c r="B41" s="48"/>
      <c r="C41" s="49"/>
      <c r="E41" s="1"/>
    </row>
    <row r="42">
      <c r="E42" s="1"/>
    </row>
    <row r="43">
      <c r="E43" s="1"/>
    </row>
    <row r="44">
      <c r="E44" s="1"/>
    </row>
    <row r="45">
      <c r="E45" s="1"/>
    </row>
    <row r="46">
      <c r="E46" s="1"/>
    </row>
    <row r="47">
      <c r="E47" s="1"/>
    </row>
    <row r="48">
      <c r="E48" s="1"/>
    </row>
    <row r="49">
      <c r="E49" s="1"/>
    </row>
    <row r="50">
      <c r="E50" s="1"/>
    </row>
    <row r="51">
      <c r="E51" s="1"/>
    </row>
    <row r="52">
      <c r="E52" s="1"/>
    </row>
    <row r="53">
      <c r="E53" s="1"/>
    </row>
    <row r="54">
      <c r="E54" s="1"/>
    </row>
    <row r="55">
      <c r="E55" s="1"/>
    </row>
    <row r="56">
      <c r="E56" s="1"/>
    </row>
    <row r="57">
      <c r="E57" s="1"/>
    </row>
    <row r="58">
      <c r="E58" s="1"/>
    </row>
    <row r="59">
      <c r="E59" s="1"/>
    </row>
    <row r="60">
      <c r="E60" s="1"/>
    </row>
    <row r="61">
      <c r="E61" s="1"/>
    </row>
    <row r="62">
      <c r="E62" s="1"/>
    </row>
    <row r="63">
      <c r="E63" s="1"/>
    </row>
    <row r="64">
      <c r="E64" s="1"/>
    </row>
    <row r="65">
      <c r="E65" s="1"/>
    </row>
    <row r="66">
      <c r="E66" s="1"/>
    </row>
    <row r="67">
      <c r="E67" s="1"/>
    </row>
    <row r="68">
      <c r="E68" s="1"/>
    </row>
    <row r="69">
      <c r="E69" s="1"/>
    </row>
    <row r="70">
      <c r="E70" s="1"/>
    </row>
    <row r="71">
      <c r="E71" s="1"/>
    </row>
    <row r="72">
      <c r="E72" s="1"/>
    </row>
    <row r="73">
      <c r="E73" s="1"/>
    </row>
    <row r="74">
      <c r="E74" s="1"/>
    </row>
    <row r="75">
      <c r="E75" s="1"/>
    </row>
    <row r="76">
      <c r="E76" s="1"/>
    </row>
    <row r="77">
      <c r="E77" s="1"/>
    </row>
    <row r="78">
      <c r="E78" s="1"/>
    </row>
    <row r="79">
      <c r="E79" s="1"/>
    </row>
    <row r="80">
      <c r="E80" s="1"/>
    </row>
    <row r="81">
      <c r="E81" s="1"/>
    </row>
    <row r="82">
      <c r="E82" s="1"/>
    </row>
    <row r="83">
      <c r="E83" s="1"/>
    </row>
    <row r="84">
      <c r="E84" s="1"/>
    </row>
    <row r="85">
      <c r="E85" s="1"/>
    </row>
    <row r="86">
      <c r="E86" s="1"/>
    </row>
    <row r="87">
      <c r="E87" s="1"/>
    </row>
    <row r="88">
      <c r="E88" s="1"/>
    </row>
    <row r="89">
      <c r="E89" s="1"/>
    </row>
    <row r="90">
      <c r="E90" s="1"/>
    </row>
    <row r="91">
      <c r="E91" s="1"/>
    </row>
    <row r="92">
      <c r="E92" s="1"/>
    </row>
    <row r="93">
      <c r="E93" s="1"/>
    </row>
    <row r="94">
      <c r="E94" s="1"/>
    </row>
    <row r="95">
      <c r="E95" s="1"/>
    </row>
    <row r="96">
      <c r="E96" s="1"/>
    </row>
    <row r="97">
      <c r="E97" s="1"/>
    </row>
    <row r="98">
      <c r="E98" s="1"/>
    </row>
    <row r="99">
      <c r="E99" s="1"/>
    </row>
    <row r="100">
      <c r="E100" s="1"/>
    </row>
    <row r="101">
      <c r="E101" s="1"/>
    </row>
    <row r="102">
      <c r="E102" s="1"/>
    </row>
    <row r="103">
      <c r="E103" s="1"/>
    </row>
    <row r="104">
      <c r="E104" s="1"/>
    </row>
    <row r="105">
      <c r="E105" s="1"/>
    </row>
    <row r="106">
      <c r="E106" s="1"/>
    </row>
    <row r="107">
      <c r="E107" s="1"/>
    </row>
    <row r="108">
      <c r="E108" s="1"/>
    </row>
    <row r="109">
      <c r="E109" s="1"/>
    </row>
    <row r="110">
      <c r="E110" s="1"/>
    </row>
    <row r="111">
      <c r="E111" s="1"/>
    </row>
    <row r="112">
      <c r="E112" s="1"/>
    </row>
    <row r="113">
      <c r="E113" s="1"/>
    </row>
    <row r="114">
      <c r="E114" s="1"/>
    </row>
    <row r="115">
      <c r="E115" s="1"/>
    </row>
    <row r="116">
      <c r="E116" s="1"/>
    </row>
    <row r="117">
      <c r="E117" s="1"/>
    </row>
    <row r="118">
      <c r="E118" s="1"/>
    </row>
    <row r="119">
      <c r="E119" s="1"/>
    </row>
    <row r="120">
      <c r="E120" s="1"/>
    </row>
    <row r="121">
      <c r="E121" s="1"/>
    </row>
    <row r="122">
      <c r="E122" s="1"/>
    </row>
    <row r="123">
      <c r="E123" s="1"/>
    </row>
    <row r="124">
      <c r="E124" s="1"/>
    </row>
    <row r="125">
      <c r="E125" s="1"/>
    </row>
    <row r="126">
      <c r="E126" s="1"/>
    </row>
    <row r="127">
      <c r="E127" s="1"/>
    </row>
    <row r="128">
      <c r="E128" s="1"/>
    </row>
    <row r="129">
      <c r="E129" s="1"/>
    </row>
    <row r="130">
      <c r="E130" s="1"/>
    </row>
    <row r="131">
      <c r="E131" s="1"/>
    </row>
    <row r="132">
      <c r="E132" s="1"/>
    </row>
    <row r="133">
      <c r="E133" s="1"/>
    </row>
    <row r="134">
      <c r="E134" s="1"/>
    </row>
    <row r="135">
      <c r="E135" s="1"/>
    </row>
    <row r="136">
      <c r="E136" s="1"/>
    </row>
    <row r="137">
      <c r="E137" s="1"/>
    </row>
    <row r="138">
      <c r="E138" s="1"/>
    </row>
    <row r="139">
      <c r="E139" s="1"/>
    </row>
    <row r="140">
      <c r="E140" s="1"/>
    </row>
    <row r="141">
      <c r="E141" s="1"/>
    </row>
    <row r="142">
      <c r="E142" s="1"/>
    </row>
    <row r="143">
      <c r="E143" s="1"/>
    </row>
    <row r="144">
      <c r="E144" s="1"/>
    </row>
    <row r="145">
      <c r="E145" s="1"/>
    </row>
    <row r="146">
      <c r="E146" s="1"/>
    </row>
    <row r="147">
      <c r="E147" s="1"/>
    </row>
    <row r="148">
      <c r="E148" s="1"/>
    </row>
    <row r="149">
      <c r="E149" s="1"/>
    </row>
    <row r="150">
      <c r="E150" s="1"/>
    </row>
    <row r="151">
      <c r="E151" s="1"/>
    </row>
    <row r="152">
      <c r="E152" s="1"/>
    </row>
    <row r="153">
      <c r="E153" s="1"/>
    </row>
    <row r="154">
      <c r="E154" s="1"/>
    </row>
    <row r="155">
      <c r="E155" s="1"/>
    </row>
    <row r="156">
      <c r="E156" s="1"/>
    </row>
    <row r="157">
      <c r="E157" s="1"/>
    </row>
    <row r="158">
      <c r="E158" s="1"/>
    </row>
    <row r="159">
      <c r="E159" s="1"/>
    </row>
    <row r="160">
      <c r="E160" s="1"/>
    </row>
    <row r="161">
      <c r="E161" s="1"/>
    </row>
    <row r="162">
      <c r="E162" s="1"/>
    </row>
    <row r="163">
      <c r="E163" s="1"/>
    </row>
    <row r="164">
      <c r="E164" s="1"/>
    </row>
    <row r="165">
      <c r="E165" s="1"/>
    </row>
    <row r="166">
      <c r="E166" s="1"/>
    </row>
    <row r="167">
      <c r="E167" s="1"/>
    </row>
    <row r="168">
      <c r="E168" s="1"/>
    </row>
    <row r="169">
      <c r="E169" s="1"/>
    </row>
    <row r="170">
      <c r="E170" s="1"/>
    </row>
    <row r="171">
      <c r="E171" s="1"/>
    </row>
    <row r="172">
      <c r="E172" s="1"/>
    </row>
    <row r="173">
      <c r="E173" s="1"/>
    </row>
    <row r="174">
      <c r="E174" s="1"/>
    </row>
    <row r="175">
      <c r="E175" s="1"/>
    </row>
    <row r="176">
      <c r="E176" s="1"/>
    </row>
    <row r="177">
      <c r="E177" s="1"/>
    </row>
    <row r="178">
      <c r="E178" s="1"/>
    </row>
    <row r="179">
      <c r="E179" s="1"/>
    </row>
    <row r="180">
      <c r="E180" s="1"/>
    </row>
    <row r="181">
      <c r="E181" s="1"/>
    </row>
    <row r="182">
      <c r="E182" s="1"/>
    </row>
    <row r="183">
      <c r="E183" s="1"/>
    </row>
    <row r="184">
      <c r="E184" s="1"/>
    </row>
    <row r="185">
      <c r="E185" s="1"/>
    </row>
    <row r="186">
      <c r="E186" s="1"/>
    </row>
    <row r="187">
      <c r="E187" s="1"/>
    </row>
    <row r="188">
      <c r="E188" s="1"/>
    </row>
    <row r="189">
      <c r="E189" s="1"/>
    </row>
    <row r="190">
      <c r="E190" s="1"/>
    </row>
    <row r="191">
      <c r="E191" s="1"/>
    </row>
    <row r="192">
      <c r="E192" s="1"/>
    </row>
    <row r="193">
      <c r="E193" s="1"/>
    </row>
    <row r="194">
      <c r="E194" s="1"/>
    </row>
    <row r="195">
      <c r="E195" s="1"/>
    </row>
    <row r="196">
      <c r="E196" s="1"/>
    </row>
    <row r="197">
      <c r="E197" s="1"/>
    </row>
    <row r="198">
      <c r="E198" s="1"/>
    </row>
    <row r="199">
      <c r="E199" s="1"/>
    </row>
    <row r="200">
      <c r="E200" s="1"/>
    </row>
    <row r="201">
      <c r="E201" s="1"/>
    </row>
    <row r="202">
      <c r="E202" s="1"/>
    </row>
    <row r="203">
      <c r="E203" s="1"/>
    </row>
    <row r="204">
      <c r="E204" s="1"/>
    </row>
    <row r="205">
      <c r="E205" s="1"/>
    </row>
    <row r="206">
      <c r="E206" s="1"/>
    </row>
    <row r="207">
      <c r="E207" s="1"/>
    </row>
    <row r="208">
      <c r="E208" s="1"/>
    </row>
    <row r="209">
      <c r="E209" s="1"/>
    </row>
    <row r="210">
      <c r="E210" s="1"/>
    </row>
    <row r="211">
      <c r="E211" s="1"/>
    </row>
    <row r="212">
      <c r="E212" s="1"/>
    </row>
    <row r="213">
      <c r="E213" s="1"/>
    </row>
    <row r="214">
      <c r="E214" s="1"/>
    </row>
    <row r="215">
      <c r="E215" s="1"/>
    </row>
    <row r="216">
      <c r="E216" s="1"/>
    </row>
    <row r="217">
      <c r="E217" s="1"/>
    </row>
    <row r="218">
      <c r="E218" s="1"/>
    </row>
    <row r="219">
      <c r="E219" s="1"/>
    </row>
    <row r="220">
      <c r="E220" s="1"/>
    </row>
    <row r="221">
      <c r="E221" s="1"/>
    </row>
    <row r="222">
      <c r="E222" s="1"/>
    </row>
    <row r="223">
      <c r="E223" s="1"/>
    </row>
    <row r="224">
      <c r="E224" s="1"/>
    </row>
    <row r="225">
      <c r="E225" s="1"/>
    </row>
    <row r="226">
      <c r="E226" s="1"/>
    </row>
    <row r="227">
      <c r="E227" s="1"/>
    </row>
    <row r="228">
      <c r="E228" s="1"/>
    </row>
    <row r="229">
      <c r="E229" s="1"/>
    </row>
    <row r="230">
      <c r="E230" s="1"/>
    </row>
    <row r="231">
      <c r="E231" s="1"/>
    </row>
    <row r="232">
      <c r="E232" s="1"/>
    </row>
    <row r="233">
      <c r="E233" s="1"/>
    </row>
    <row r="234">
      <c r="E234" s="1"/>
    </row>
    <row r="235">
      <c r="E235" s="1"/>
    </row>
    <row r="236">
      <c r="E236" s="1"/>
    </row>
    <row r="237">
      <c r="E237" s="1"/>
    </row>
    <row r="238">
      <c r="E238" s="1"/>
    </row>
    <row r="239">
      <c r="E239" s="1"/>
    </row>
    <row r="240">
      <c r="E240" s="1"/>
    </row>
    <row r="241">
      <c r="E241" s="1"/>
    </row>
    <row r="242">
      <c r="E242" s="1"/>
    </row>
    <row r="243">
      <c r="E243" s="1"/>
    </row>
    <row r="244">
      <c r="E244" s="1"/>
    </row>
    <row r="245">
      <c r="E245" s="1"/>
    </row>
    <row r="246">
      <c r="E246" s="1"/>
    </row>
    <row r="247">
      <c r="E247" s="1"/>
    </row>
    <row r="248">
      <c r="E248" s="1"/>
    </row>
    <row r="249">
      <c r="E249" s="1"/>
    </row>
    <row r="250">
      <c r="E250" s="1"/>
    </row>
    <row r="251">
      <c r="E251" s="1"/>
    </row>
    <row r="252">
      <c r="E252" s="1"/>
    </row>
    <row r="253">
      <c r="E253" s="1"/>
    </row>
    <row r="254">
      <c r="E254" s="1"/>
    </row>
    <row r="255">
      <c r="E255" s="1"/>
    </row>
    <row r="256">
      <c r="E256" s="1"/>
    </row>
    <row r="257">
      <c r="E257" s="1"/>
    </row>
    <row r="258">
      <c r="E258" s="1"/>
    </row>
    <row r="259">
      <c r="E259" s="1"/>
    </row>
    <row r="260">
      <c r="E260" s="1"/>
    </row>
    <row r="261">
      <c r="E261" s="1"/>
    </row>
    <row r="262">
      <c r="E262" s="1"/>
    </row>
    <row r="263">
      <c r="E263" s="1"/>
    </row>
    <row r="264">
      <c r="E264" s="1"/>
    </row>
    <row r="265">
      <c r="E265" s="1"/>
    </row>
    <row r="266">
      <c r="E266" s="1"/>
    </row>
    <row r="267">
      <c r="E267" s="1"/>
    </row>
    <row r="268">
      <c r="E268" s="1"/>
    </row>
    <row r="269">
      <c r="E269" s="1"/>
    </row>
    <row r="270">
      <c r="E270" s="1"/>
    </row>
    <row r="271">
      <c r="E271" s="1"/>
    </row>
    <row r="272">
      <c r="E272" s="1"/>
    </row>
    <row r="273">
      <c r="E273" s="1"/>
    </row>
    <row r="274">
      <c r="E274" s="1"/>
    </row>
    <row r="275">
      <c r="E275" s="1"/>
    </row>
    <row r="276">
      <c r="E276" s="1"/>
    </row>
    <row r="277">
      <c r="E277" s="1"/>
    </row>
    <row r="278">
      <c r="E278" s="1"/>
    </row>
    <row r="279">
      <c r="E279" s="1"/>
    </row>
    <row r="280">
      <c r="E280" s="1"/>
    </row>
    <row r="281">
      <c r="E281" s="1"/>
    </row>
    <row r="282">
      <c r="E282" s="1"/>
    </row>
    <row r="283">
      <c r="E283" s="1"/>
    </row>
    <row r="284">
      <c r="E284" s="1"/>
    </row>
    <row r="285">
      <c r="E285" s="1"/>
    </row>
    <row r="286">
      <c r="E286" s="1"/>
    </row>
    <row r="287">
      <c r="E287" s="1"/>
    </row>
    <row r="288">
      <c r="E288" s="1"/>
    </row>
    <row r="289">
      <c r="E289" s="1"/>
    </row>
    <row r="290">
      <c r="E290" s="1"/>
    </row>
    <row r="291">
      <c r="E291" s="1"/>
    </row>
    <row r="292">
      <c r="E292" s="1"/>
    </row>
    <row r="293">
      <c r="E293" s="1"/>
    </row>
    <row r="294">
      <c r="E294" s="1"/>
    </row>
    <row r="295">
      <c r="E295" s="1"/>
    </row>
    <row r="296">
      <c r="E296" s="1"/>
    </row>
    <row r="297">
      <c r="E297" s="1"/>
    </row>
    <row r="298">
      <c r="E298" s="1"/>
    </row>
    <row r="299">
      <c r="E299" s="1"/>
    </row>
    <row r="300">
      <c r="E300" s="1"/>
    </row>
    <row r="301">
      <c r="E301" s="1"/>
    </row>
    <row r="302">
      <c r="E302" s="1"/>
    </row>
    <row r="303">
      <c r="E303" s="1"/>
    </row>
    <row r="304">
      <c r="E304" s="1"/>
    </row>
    <row r="305">
      <c r="E305" s="1"/>
    </row>
    <row r="306">
      <c r="E306" s="1"/>
    </row>
    <row r="307">
      <c r="E307" s="1"/>
    </row>
    <row r="308">
      <c r="E308" s="1"/>
    </row>
    <row r="309">
      <c r="E309" s="1"/>
    </row>
    <row r="310">
      <c r="E310" s="1"/>
    </row>
    <row r="311">
      <c r="E311" s="1"/>
    </row>
    <row r="312">
      <c r="E312" s="1"/>
    </row>
    <row r="313">
      <c r="E313" s="1"/>
    </row>
    <row r="314">
      <c r="E314" s="1"/>
    </row>
    <row r="315">
      <c r="E315" s="1"/>
    </row>
    <row r="316">
      <c r="E316" s="1"/>
    </row>
    <row r="317">
      <c r="E317" s="1"/>
    </row>
    <row r="318">
      <c r="E318" s="1"/>
    </row>
    <row r="319">
      <c r="E319" s="1"/>
    </row>
    <row r="320">
      <c r="E320" s="1"/>
    </row>
    <row r="321">
      <c r="E321" s="1"/>
    </row>
    <row r="322">
      <c r="E322" s="1"/>
    </row>
    <row r="323">
      <c r="E323" s="1"/>
    </row>
    <row r="324">
      <c r="E324" s="1"/>
    </row>
    <row r="325">
      <c r="E325" s="1"/>
    </row>
    <row r="326">
      <c r="E326" s="1"/>
    </row>
    <row r="327">
      <c r="E327" s="1"/>
    </row>
    <row r="328">
      <c r="E328" s="1"/>
    </row>
    <row r="329">
      <c r="E329" s="1"/>
    </row>
    <row r="330">
      <c r="E330" s="1"/>
    </row>
    <row r="331">
      <c r="E331" s="1"/>
    </row>
    <row r="332">
      <c r="E332" s="1"/>
    </row>
    <row r="333">
      <c r="E333" s="1"/>
    </row>
    <row r="334">
      <c r="E334" s="1"/>
    </row>
    <row r="335">
      <c r="E335" s="1"/>
    </row>
    <row r="336">
      <c r="E336" s="1"/>
    </row>
    <row r="337">
      <c r="E337" s="1"/>
    </row>
    <row r="338">
      <c r="E338" s="1"/>
    </row>
    <row r="339">
      <c r="E339" s="1"/>
    </row>
    <row r="340">
      <c r="E340" s="1"/>
    </row>
    <row r="341">
      <c r="E341" s="1"/>
    </row>
    <row r="342">
      <c r="E342" s="1"/>
    </row>
    <row r="343">
      <c r="E343" s="1"/>
    </row>
    <row r="344">
      <c r="E344" s="1"/>
    </row>
    <row r="345">
      <c r="E345" s="1"/>
    </row>
    <row r="346">
      <c r="E346" s="1"/>
    </row>
    <row r="347">
      <c r="E347" s="1"/>
    </row>
    <row r="348">
      <c r="E348" s="1"/>
    </row>
    <row r="349">
      <c r="E349" s="1"/>
    </row>
    <row r="350">
      <c r="E350" s="1"/>
    </row>
    <row r="351">
      <c r="E351" s="1"/>
    </row>
    <row r="352">
      <c r="E352" s="1"/>
    </row>
    <row r="353">
      <c r="E353" s="1"/>
    </row>
    <row r="354">
      <c r="E354" s="1"/>
    </row>
    <row r="355">
      <c r="E355" s="1"/>
    </row>
    <row r="356">
      <c r="E356" s="1"/>
    </row>
    <row r="357">
      <c r="E357" s="1"/>
    </row>
    <row r="358">
      <c r="E358" s="1"/>
    </row>
    <row r="359">
      <c r="E359" s="1"/>
    </row>
    <row r="360">
      <c r="E360" s="1"/>
    </row>
    <row r="361">
      <c r="E361" s="1"/>
    </row>
    <row r="362">
      <c r="E362" s="1"/>
    </row>
    <row r="363">
      <c r="E363" s="1"/>
    </row>
    <row r="364">
      <c r="E364" s="1"/>
    </row>
    <row r="365">
      <c r="E365" s="1"/>
    </row>
    <row r="366">
      <c r="E366" s="1"/>
    </row>
    <row r="367">
      <c r="E367" s="1"/>
    </row>
    <row r="368">
      <c r="E368" s="1"/>
    </row>
    <row r="369">
      <c r="E369" s="1"/>
    </row>
    <row r="370">
      <c r="E370" s="1"/>
    </row>
    <row r="371">
      <c r="E371" s="1"/>
    </row>
    <row r="372">
      <c r="E372" s="1"/>
    </row>
    <row r="373">
      <c r="E373" s="1"/>
    </row>
    <row r="374">
      <c r="E374" s="1"/>
    </row>
    <row r="375">
      <c r="E375" s="1"/>
    </row>
    <row r="376">
      <c r="E376" s="1"/>
    </row>
    <row r="377">
      <c r="E377" s="1"/>
    </row>
    <row r="378">
      <c r="E378" s="1"/>
    </row>
    <row r="379">
      <c r="E379" s="1"/>
    </row>
    <row r="380">
      <c r="E380" s="1"/>
    </row>
    <row r="381">
      <c r="E381" s="1"/>
    </row>
    <row r="382">
      <c r="E382" s="1"/>
    </row>
    <row r="383">
      <c r="E383" s="1"/>
    </row>
    <row r="384">
      <c r="E384" s="1"/>
    </row>
    <row r="385">
      <c r="E385" s="1"/>
    </row>
    <row r="386">
      <c r="E386" s="1"/>
    </row>
    <row r="387">
      <c r="E387" s="1"/>
    </row>
    <row r="388">
      <c r="E388" s="1"/>
    </row>
    <row r="389">
      <c r="E389" s="1"/>
    </row>
    <row r="390">
      <c r="E390" s="1"/>
    </row>
    <row r="391">
      <c r="E391" s="1"/>
    </row>
    <row r="392">
      <c r="E392" s="1"/>
    </row>
    <row r="393">
      <c r="E393" s="1"/>
    </row>
    <row r="394">
      <c r="E394" s="1"/>
    </row>
    <row r="395">
      <c r="E395" s="1"/>
    </row>
    <row r="396">
      <c r="E396" s="1"/>
    </row>
    <row r="397">
      <c r="E397" s="1"/>
    </row>
    <row r="398">
      <c r="E398" s="1"/>
    </row>
    <row r="399">
      <c r="E399" s="1"/>
    </row>
    <row r="400">
      <c r="E400" s="1"/>
    </row>
    <row r="401">
      <c r="E401" s="1"/>
    </row>
    <row r="402">
      <c r="E402" s="1"/>
    </row>
    <row r="403">
      <c r="E403" s="1"/>
    </row>
    <row r="404">
      <c r="E404" s="1"/>
    </row>
    <row r="405">
      <c r="E405" s="1"/>
    </row>
    <row r="406">
      <c r="E406" s="1"/>
    </row>
    <row r="407">
      <c r="E407" s="1"/>
    </row>
    <row r="408">
      <c r="E408" s="1"/>
    </row>
    <row r="409">
      <c r="E409" s="1"/>
    </row>
    <row r="410">
      <c r="E410" s="1"/>
    </row>
    <row r="411">
      <c r="E411" s="1"/>
    </row>
    <row r="412">
      <c r="E412" s="1"/>
    </row>
    <row r="413">
      <c r="E413" s="1"/>
    </row>
    <row r="414">
      <c r="E414" s="1"/>
    </row>
    <row r="415">
      <c r="E415" s="1"/>
    </row>
    <row r="416">
      <c r="E416" s="1"/>
    </row>
    <row r="417">
      <c r="E417" s="1"/>
    </row>
    <row r="418">
      <c r="E418" s="1"/>
    </row>
    <row r="419">
      <c r="E419" s="1"/>
    </row>
    <row r="420">
      <c r="E420" s="1"/>
    </row>
    <row r="421">
      <c r="E421" s="1"/>
    </row>
    <row r="422">
      <c r="E422" s="1"/>
    </row>
    <row r="423">
      <c r="E423" s="1"/>
    </row>
    <row r="424">
      <c r="E424" s="1"/>
    </row>
    <row r="425">
      <c r="E425" s="1"/>
    </row>
    <row r="426">
      <c r="E426" s="1"/>
    </row>
    <row r="427">
      <c r="E427" s="1"/>
    </row>
    <row r="428">
      <c r="E428" s="1"/>
    </row>
    <row r="429">
      <c r="E429" s="1"/>
    </row>
    <row r="430">
      <c r="E430" s="1"/>
    </row>
    <row r="431">
      <c r="E431" s="1"/>
    </row>
    <row r="432">
      <c r="E432" s="1"/>
    </row>
    <row r="433">
      <c r="E433" s="1"/>
    </row>
    <row r="434">
      <c r="E434" s="1"/>
    </row>
    <row r="435">
      <c r="E435" s="1"/>
    </row>
    <row r="436">
      <c r="E436" s="1"/>
    </row>
    <row r="437">
      <c r="E437" s="1"/>
    </row>
    <row r="438">
      <c r="E438" s="1"/>
    </row>
    <row r="439">
      <c r="E439" s="1"/>
    </row>
    <row r="440">
      <c r="E440" s="1"/>
    </row>
    <row r="441">
      <c r="E441" s="1"/>
    </row>
    <row r="442">
      <c r="E442" s="1"/>
    </row>
    <row r="443">
      <c r="E443" s="1"/>
    </row>
    <row r="444">
      <c r="E444" s="1"/>
    </row>
    <row r="445">
      <c r="E445" s="1"/>
    </row>
    <row r="446">
      <c r="E446" s="1"/>
    </row>
    <row r="447">
      <c r="E447" s="1"/>
    </row>
    <row r="448">
      <c r="E448" s="1"/>
    </row>
    <row r="449">
      <c r="E449" s="1"/>
    </row>
    <row r="450">
      <c r="E450" s="1"/>
    </row>
    <row r="451">
      <c r="E451" s="1"/>
    </row>
    <row r="452">
      <c r="E452" s="1"/>
    </row>
    <row r="453">
      <c r="E453" s="1"/>
    </row>
    <row r="454">
      <c r="E454" s="1"/>
    </row>
    <row r="455">
      <c r="E455" s="1"/>
    </row>
    <row r="456">
      <c r="E456" s="1"/>
    </row>
    <row r="457">
      <c r="E457" s="1"/>
    </row>
    <row r="458">
      <c r="E458" s="1"/>
    </row>
    <row r="459">
      <c r="E459" s="1"/>
    </row>
    <row r="460">
      <c r="E460" s="1"/>
    </row>
    <row r="461">
      <c r="E461" s="1"/>
    </row>
    <row r="462">
      <c r="E462" s="1"/>
    </row>
    <row r="463">
      <c r="E463" s="1"/>
    </row>
    <row r="464">
      <c r="E464" s="1"/>
    </row>
    <row r="465">
      <c r="E465" s="1"/>
    </row>
    <row r="466">
      <c r="E466" s="1"/>
    </row>
    <row r="467">
      <c r="E467" s="1"/>
    </row>
    <row r="468">
      <c r="E468" s="1"/>
    </row>
    <row r="469">
      <c r="E469" s="1"/>
    </row>
    <row r="470">
      <c r="E470" s="1"/>
    </row>
    <row r="471">
      <c r="E471" s="1"/>
    </row>
    <row r="472">
      <c r="E472" s="1"/>
    </row>
    <row r="473">
      <c r="E473" s="1"/>
    </row>
    <row r="474">
      <c r="E474" s="1"/>
    </row>
    <row r="475">
      <c r="E475" s="1"/>
    </row>
    <row r="476">
      <c r="E476" s="1"/>
    </row>
    <row r="477">
      <c r="E477" s="1"/>
    </row>
    <row r="478">
      <c r="E478" s="1"/>
    </row>
    <row r="479">
      <c r="E479" s="1"/>
    </row>
    <row r="480">
      <c r="E480" s="1"/>
    </row>
    <row r="481">
      <c r="E481" s="1"/>
    </row>
    <row r="482">
      <c r="E482" s="1"/>
    </row>
    <row r="483">
      <c r="E483" s="1"/>
    </row>
    <row r="484">
      <c r="E484" s="1"/>
    </row>
    <row r="485">
      <c r="E485" s="1"/>
    </row>
    <row r="486">
      <c r="E486" s="1"/>
    </row>
    <row r="487">
      <c r="E487" s="1"/>
    </row>
    <row r="488">
      <c r="E488" s="1"/>
    </row>
    <row r="489">
      <c r="E489" s="1"/>
    </row>
    <row r="490">
      <c r="E490" s="1"/>
    </row>
    <row r="491">
      <c r="E491" s="1"/>
    </row>
    <row r="492">
      <c r="E492" s="1"/>
    </row>
    <row r="493">
      <c r="E493" s="1"/>
    </row>
    <row r="494">
      <c r="E494" s="1"/>
    </row>
    <row r="495">
      <c r="E495" s="1"/>
    </row>
    <row r="496">
      <c r="E496" s="1"/>
    </row>
    <row r="497">
      <c r="E497" s="1"/>
    </row>
    <row r="498">
      <c r="E498" s="1"/>
    </row>
    <row r="499">
      <c r="E499" s="1"/>
    </row>
    <row r="500">
      <c r="E500" s="1"/>
    </row>
    <row r="501">
      <c r="E501" s="1"/>
    </row>
    <row r="502">
      <c r="E502" s="1"/>
    </row>
    <row r="503">
      <c r="E503" s="1"/>
    </row>
    <row r="504">
      <c r="E504" s="1"/>
    </row>
    <row r="505">
      <c r="E505" s="1"/>
    </row>
    <row r="506">
      <c r="E506" s="1"/>
    </row>
    <row r="507">
      <c r="E507" s="1"/>
    </row>
    <row r="508">
      <c r="E508" s="1"/>
    </row>
    <row r="509">
      <c r="E509" s="1"/>
    </row>
    <row r="510">
      <c r="E510" s="1"/>
    </row>
    <row r="511">
      <c r="E511" s="1"/>
    </row>
    <row r="512">
      <c r="E512" s="1"/>
    </row>
    <row r="513">
      <c r="E513" s="1"/>
    </row>
    <row r="514">
      <c r="E514" s="1"/>
    </row>
    <row r="515">
      <c r="E515" s="1"/>
    </row>
    <row r="516">
      <c r="E516" s="1"/>
    </row>
    <row r="517">
      <c r="E517" s="1"/>
    </row>
    <row r="518">
      <c r="E518" s="1"/>
    </row>
    <row r="519">
      <c r="E519" s="1"/>
    </row>
    <row r="520">
      <c r="E520" s="1"/>
    </row>
    <row r="521">
      <c r="E521" s="1"/>
    </row>
    <row r="522">
      <c r="E522" s="1"/>
    </row>
    <row r="523">
      <c r="E523" s="1"/>
    </row>
    <row r="524">
      <c r="E524" s="1"/>
    </row>
    <row r="525">
      <c r="E525" s="1"/>
    </row>
    <row r="526">
      <c r="E526" s="1"/>
    </row>
    <row r="527">
      <c r="E527" s="1"/>
    </row>
    <row r="528">
      <c r="E528" s="1"/>
    </row>
    <row r="529">
      <c r="E529" s="1"/>
    </row>
    <row r="530">
      <c r="E530" s="1"/>
    </row>
    <row r="531">
      <c r="E531" s="1"/>
    </row>
    <row r="532">
      <c r="E532" s="1"/>
    </row>
    <row r="533">
      <c r="E533" s="1"/>
    </row>
    <row r="534">
      <c r="E534" s="1"/>
    </row>
    <row r="535">
      <c r="E535" s="1"/>
    </row>
    <row r="536">
      <c r="E536" s="1"/>
    </row>
    <row r="537">
      <c r="E537" s="1"/>
    </row>
    <row r="538">
      <c r="E538" s="1"/>
    </row>
    <row r="539">
      <c r="E539" s="1"/>
    </row>
    <row r="540">
      <c r="E540" s="1"/>
    </row>
    <row r="541">
      <c r="E541" s="1"/>
    </row>
    <row r="542">
      <c r="E542" s="1"/>
    </row>
    <row r="543">
      <c r="E543" s="1"/>
    </row>
    <row r="544">
      <c r="E544" s="1"/>
    </row>
    <row r="545">
      <c r="E545" s="1"/>
    </row>
    <row r="546">
      <c r="E546" s="1"/>
    </row>
    <row r="547">
      <c r="E547" s="1"/>
    </row>
    <row r="548">
      <c r="E548" s="1"/>
    </row>
    <row r="549">
      <c r="E549" s="1"/>
    </row>
    <row r="550">
      <c r="E550" s="1"/>
    </row>
    <row r="551">
      <c r="E551" s="1"/>
    </row>
    <row r="552">
      <c r="E552" s="1"/>
    </row>
    <row r="553">
      <c r="E553" s="1"/>
    </row>
    <row r="554">
      <c r="E554" s="1"/>
    </row>
    <row r="555">
      <c r="E555" s="1"/>
    </row>
    <row r="556">
      <c r="E556" s="1"/>
    </row>
    <row r="557">
      <c r="E557" s="1"/>
    </row>
    <row r="558">
      <c r="E558" s="1"/>
    </row>
    <row r="559">
      <c r="E559" s="1"/>
    </row>
    <row r="560">
      <c r="E560" s="1"/>
    </row>
    <row r="561">
      <c r="E561" s="1"/>
    </row>
    <row r="562">
      <c r="E562" s="1"/>
    </row>
    <row r="563">
      <c r="E563" s="1"/>
    </row>
    <row r="564">
      <c r="E564" s="1"/>
    </row>
    <row r="565">
      <c r="E565" s="1"/>
    </row>
    <row r="566">
      <c r="E566" s="1"/>
    </row>
    <row r="567">
      <c r="E567" s="1"/>
    </row>
    <row r="568">
      <c r="E568" s="1"/>
    </row>
    <row r="569">
      <c r="E569" s="1"/>
    </row>
    <row r="570">
      <c r="E570" s="1"/>
    </row>
    <row r="571">
      <c r="E571" s="1"/>
    </row>
    <row r="572">
      <c r="E572" s="1"/>
    </row>
    <row r="573">
      <c r="E573" s="1"/>
    </row>
    <row r="574">
      <c r="E574" s="1"/>
    </row>
    <row r="575">
      <c r="E575" s="1"/>
    </row>
    <row r="576">
      <c r="E576" s="1"/>
    </row>
    <row r="577">
      <c r="E577" s="1"/>
    </row>
    <row r="578">
      <c r="E578" s="1"/>
    </row>
    <row r="579">
      <c r="E579" s="1"/>
    </row>
    <row r="580">
      <c r="E580" s="1"/>
    </row>
    <row r="581">
      <c r="E581" s="1"/>
    </row>
    <row r="582">
      <c r="E582" s="1"/>
    </row>
    <row r="583">
      <c r="E583" s="1"/>
    </row>
    <row r="584">
      <c r="E584" s="1"/>
    </row>
    <row r="585">
      <c r="E585" s="1"/>
    </row>
    <row r="586">
      <c r="E586" s="1"/>
    </row>
    <row r="587">
      <c r="E587" s="1"/>
    </row>
    <row r="588">
      <c r="E588" s="1"/>
    </row>
    <row r="589">
      <c r="E589" s="1"/>
    </row>
    <row r="590">
      <c r="E590" s="1"/>
    </row>
    <row r="591">
      <c r="E591" s="1"/>
    </row>
    <row r="592">
      <c r="E592" s="1"/>
    </row>
    <row r="593">
      <c r="E593" s="1"/>
    </row>
    <row r="594">
      <c r="E594" s="1"/>
    </row>
    <row r="595">
      <c r="E595" s="1"/>
    </row>
    <row r="596">
      <c r="E596" s="1"/>
    </row>
    <row r="597">
      <c r="E597" s="1"/>
    </row>
    <row r="598">
      <c r="E598" s="1"/>
    </row>
    <row r="599">
      <c r="E599" s="1"/>
    </row>
    <row r="600">
      <c r="E600" s="1"/>
    </row>
    <row r="601">
      <c r="E601" s="1"/>
    </row>
    <row r="602">
      <c r="E602" s="1"/>
    </row>
    <row r="603">
      <c r="E603" s="1"/>
    </row>
    <row r="604">
      <c r="E604" s="1"/>
    </row>
    <row r="605">
      <c r="E605" s="1"/>
    </row>
    <row r="606">
      <c r="E606" s="1"/>
    </row>
    <row r="607">
      <c r="E607" s="1"/>
    </row>
    <row r="608">
      <c r="E608" s="1"/>
    </row>
    <row r="609">
      <c r="E609" s="1"/>
    </row>
    <row r="610">
      <c r="E610" s="1"/>
    </row>
    <row r="611">
      <c r="E611" s="1"/>
    </row>
    <row r="612">
      <c r="E612" s="1"/>
    </row>
    <row r="613">
      <c r="E613" s="1"/>
    </row>
    <row r="614">
      <c r="E614" s="1"/>
    </row>
    <row r="615">
      <c r="E615" s="1"/>
    </row>
    <row r="616">
      <c r="E616" s="1"/>
    </row>
    <row r="617">
      <c r="E617" s="1"/>
    </row>
    <row r="618">
      <c r="E618" s="1"/>
    </row>
    <row r="619">
      <c r="E619" s="1"/>
    </row>
    <row r="620">
      <c r="E620" s="1"/>
    </row>
    <row r="621">
      <c r="E621" s="1"/>
    </row>
    <row r="622">
      <c r="E622" s="1"/>
    </row>
    <row r="623">
      <c r="E623" s="1"/>
    </row>
    <row r="624">
      <c r="E624" s="1"/>
    </row>
    <row r="625">
      <c r="E625" s="1"/>
    </row>
    <row r="626">
      <c r="E626" s="1"/>
    </row>
    <row r="627">
      <c r="E627" s="1"/>
    </row>
    <row r="628">
      <c r="E628" s="1"/>
    </row>
    <row r="629">
      <c r="E629" s="1"/>
    </row>
    <row r="630">
      <c r="E630" s="1"/>
    </row>
    <row r="631">
      <c r="E631" s="1"/>
    </row>
    <row r="632">
      <c r="E632" s="1"/>
    </row>
    <row r="633">
      <c r="E633" s="1"/>
    </row>
    <row r="634">
      <c r="E634" s="1"/>
    </row>
    <row r="635">
      <c r="E635" s="1"/>
    </row>
    <row r="636">
      <c r="E636" s="1"/>
    </row>
    <row r="637">
      <c r="E637" s="1"/>
    </row>
    <row r="638">
      <c r="E638" s="1"/>
    </row>
    <row r="639">
      <c r="E639" s="1"/>
    </row>
    <row r="640">
      <c r="E640" s="1"/>
    </row>
    <row r="641">
      <c r="E641" s="1"/>
    </row>
    <row r="642">
      <c r="E642" s="1"/>
    </row>
    <row r="643">
      <c r="E643" s="1"/>
    </row>
    <row r="644">
      <c r="E644" s="1"/>
    </row>
    <row r="645">
      <c r="E645" s="1"/>
    </row>
    <row r="646">
      <c r="E646" s="1"/>
    </row>
    <row r="647">
      <c r="E647" s="1"/>
    </row>
    <row r="648">
      <c r="E648" s="1"/>
    </row>
    <row r="649">
      <c r="E649" s="1"/>
    </row>
    <row r="650">
      <c r="E650" s="1"/>
    </row>
    <row r="651">
      <c r="E651" s="1"/>
    </row>
    <row r="652">
      <c r="E652" s="1"/>
    </row>
    <row r="653">
      <c r="E653" s="1"/>
    </row>
    <row r="654">
      <c r="E654" s="1"/>
    </row>
    <row r="655">
      <c r="E655" s="1"/>
    </row>
    <row r="656">
      <c r="E656" s="1"/>
    </row>
    <row r="657">
      <c r="E657" s="1"/>
    </row>
    <row r="658">
      <c r="E658" s="1"/>
    </row>
    <row r="659">
      <c r="E659" s="1"/>
    </row>
    <row r="660">
      <c r="E660" s="1"/>
    </row>
    <row r="661">
      <c r="E661" s="1"/>
    </row>
    <row r="662">
      <c r="E662" s="1"/>
    </row>
    <row r="663">
      <c r="E663" s="1"/>
    </row>
    <row r="664">
      <c r="E664" s="1"/>
    </row>
    <row r="665">
      <c r="E665" s="1"/>
    </row>
    <row r="666">
      <c r="E666" s="1"/>
    </row>
    <row r="667">
      <c r="E667" s="1"/>
    </row>
    <row r="668">
      <c r="E668" s="1"/>
    </row>
    <row r="669">
      <c r="E669" s="1"/>
    </row>
    <row r="670">
      <c r="E670" s="1"/>
    </row>
    <row r="671">
      <c r="E671" s="1"/>
    </row>
    <row r="672">
      <c r="E672" s="1"/>
    </row>
    <row r="673">
      <c r="E673" s="1"/>
    </row>
    <row r="674">
      <c r="E674" s="1"/>
    </row>
    <row r="675">
      <c r="E675" s="1"/>
    </row>
    <row r="676">
      <c r="E676" s="1"/>
    </row>
    <row r="677">
      <c r="E677" s="1"/>
    </row>
    <row r="678">
      <c r="E678" s="1"/>
    </row>
    <row r="679">
      <c r="E679" s="1"/>
    </row>
    <row r="680">
      <c r="E680" s="1"/>
    </row>
    <row r="681">
      <c r="E681" s="1"/>
    </row>
    <row r="682">
      <c r="E682" s="1"/>
    </row>
    <row r="683">
      <c r="E683" s="1"/>
    </row>
    <row r="684">
      <c r="E684" s="1"/>
    </row>
    <row r="685">
      <c r="E685" s="1"/>
    </row>
    <row r="686">
      <c r="E686" s="1"/>
    </row>
    <row r="687">
      <c r="E687" s="1"/>
    </row>
    <row r="688">
      <c r="E688" s="1"/>
    </row>
    <row r="689">
      <c r="E689" s="1"/>
    </row>
    <row r="690">
      <c r="E690" s="1"/>
    </row>
    <row r="691">
      <c r="E691" s="1"/>
    </row>
    <row r="692">
      <c r="E692" s="1"/>
    </row>
    <row r="693">
      <c r="E693" s="1"/>
    </row>
    <row r="694">
      <c r="E694" s="1"/>
    </row>
    <row r="695">
      <c r="E695" s="1"/>
    </row>
    <row r="696">
      <c r="E696" s="1"/>
    </row>
    <row r="697">
      <c r="E697" s="1"/>
    </row>
    <row r="698">
      <c r="E698" s="1"/>
    </row>
    <row r="699">
      <c r="E699" s="1"/>
    </row>
    <row r="700">
      <c r="E700" s="1"/>
    </row>
    <row r="701">
      <c r="E701" s="1"/>
    </row>
    <row r="702">
      <c r="E702" s="1"/>
    </row>
    <row r="703">
      <c r="E703" s="1"/>
    </row>
    <row r="704">
      <c r="E704" s="1"/>
    </row>
    <row r="705">
      <c r="E705" s="1"/>
    </row>
    <row r="706">
      <c r="E706" s="1"/>
    </row>
    <row r="707">
      <c r="E707" s="1"/>
    </row>
    <row r="708">
      <c r="E708" s="1"/>
    </row>
    <row r="709">
      <c r="E709" s="1"/>
    </row>
    <row r="710">
      <c r="E710" s="1"/>
    </row>
    <row r="711">
      <c r="E711" s="1"/>
    </row>
    <row r="712">
      <c r="E712" s="1"/>
    </row>
    <row r="713">
      <c r="E713" s="1"/>
    </row>
    <row r="714">
      <c r="E714" s="1"/>
    </row>
    <row r="715">
      <c r="E715" s="1"/>
    </row>
    <row r="716">
      <c r="E716" s="1"/>
    </row>
    <row r="717">
      <c r="E717" s="1"/>
    </row>
    <row r="718">
      <c r="E718" s="1"/>
    </row>
    <row r="719">
      <c r="E719" s="1"/>
    </row>
    <row r="720">
      <c r="E720" s="1"/>
    </row>
    <row r="721">
      <c r="E721" s="1"/>
    </row>
    <row r="722">
      <c r="E722" s="1"/>
    </row>
    <row r="723">
      <c r="E723" s="1"/>
    </row>
    <row r="724">
      <c r="E724" s="1"/>
    </row>
    <row r="725">
      <c r="E725" s="1"/>
    </row>
    <row r="726">
      <c r="E726" s="1"/>
    </row>
    <row r="727">
      <c r="E727" s="1"/>
    </row>
    <row r="728">
      <c r="E728" s="1"/>
    </row>
    <row r="729">
      <c r="E729" s="1"/>
    </row>
    <row r="730">
      <c r="E730" s="1"/>
    </row>
    <row r="731">
      <c r="E731" s="1"/>
    </row>
    <row r="732">
      <c r="E732" s="1"/>
    </row>
    <row r="733">
      <c r="E733" s="1"/>
    </row>
    <row r="734">
      <c r="E734" s="1"/>
    </row>
    <row r="735">
      <c r="E735" s="1"/>
    </row>
    <row r="736">
      <c r="E736" s="1"/>
    </row>
    <row r="737">
      <c r="E737" s="1"/>
    </row>
    <row r="738">
      <c r="E738" s="1"/>
    </row>
    <row r="739">
      <c r="E739" s="1"/>
    </row>
    <row r="740">
      <c r="E740" s="1"/>
    </row>
    <row r="741">
      <c r="E741" s="1"/>
    </row>
    <row r="742">
      <c r="E742" s="1"/>
    </row>
    <row r="743">
      <c r="E743" s="1"/>
    </row>
    <row r="744">
      <c r="E744" s="1"/>
    </row>
    <row r="745">
      <c r="E745" s="1"/>
    </row>
    <row r="746">
      <c r="E746" s="1"/>
    </row>
    <row r="747">
      <c r="E747" s="1"/>
    </row>
    <row r="748">
      <c r="E748" s="1"/>
    </row>
    <row r="749">
      <c r="E749" s="1"/>
    </row>
    <row r="750">
      <c r="E750" s="1"/>
    </row>
    <row r="751">
      <c r="E751" s="1"/>
    </row>
    <row r="752">
      <c r="E752" s="1"/>
    </row>
    <row r="753">
      <c r="E753" s="1"/>
    </row>
    <row r="754">
      <c r="E754" s="1"/>
    </row>
    <row r="755">
      <c r="E755" s="1"/>
    </row>
    <row r="756">
      <c r="E756" s="1"/>
    </row>
    <row r="757">
      <c r="E757" s="1"/>
    </row>
    <row r="758">
      <c r="E758" s="1"/>
    </row>
    <row r="759">
      <c r="E759" s="1"/>
    </row>
    <row r="760">
      <c r="E760" s="1"/>
    </row>
    <row r="761">
      <c r="E761" s="1"/>
    </row>
    <row r="762">
      <c r="E762" s="1"/>
    </row>
    <row r="763">
      <c r="E763" s="1"/>
    </row>
    <row r="764">
      <c r="E764" s="1"/>
    </row>
    <row r="765">
      <c r="E765" s="1"/>
    </row>
    <row r="766">
      <c r="E766" s="1"/>
    </row>
    <row r="767">
      <c r="E767" s="1"/>
    </row>
    <row r="768">
      <c r="E768" s="1"/>
    </row>
    <row r="769">
      <c r="E769" s="1"/>
    </row>
    <row r="770">
      <c r="E770" s="1"/>
    </row>
    <row r="771">
      <c r="E771" s="1"/>
    </row>
    <row r="772">
      <c r="E772" s="1"/>
    </row>
    <row r="773">
      <c r="E773" s="1"/>
    </row>
    <row r="774">
      <c r="E774" s="1"/>
    </row>
    <row r="775">
      <c r="E775" s="1"/>
    </row>
    <row r="776">
      <c r="E776" s="1"/>
    </row>
    <row r="777">
      <c r="E777" s="1"/>
    </row>
    <row r="778">
      <c r="E778" s="1"/>
    </row>
    <row r="779">
      <c r="E779" s="1"/>
    </row>
    <row r="780">
      <c r="E780" s="1"/>
    </row>
    <row r="781">
      <c r="E781" s="1"/>
    </row>
    <row r="782">
      <c r="E782" s="1"/>
    </row>
    <row r="783">
      <c r="E783" s="1"/>
    </row>
    <row r="784">
      <c r="E784" s="1"/>
    </row>
    <row r="785">
      <c r="E785" s="1"/>
    </row>
    <row r="786">
      <c r="E786" s="1"/>
    </row>
    <row r="787">
      <c r="E787" s="1"/>
    </row>
    <row r="788">
      <c r="E788" s="1"/>
    </row>
    <row r="789">
      <c r="E789" s="1"/>
    </row>
    <row r="790">
      <c r="E790" s="1"/>
    </row>
    <row r="791">
      <c r="E791" s="1"/>
    </row>
    <row r="792">
      <c r="E792" s="1"/>
    </row>
    <row r="793">
      <c r="E793" s="1"/>
    </row>
    <row r="794">
      <c r="E794" s="1"/>
    </row>
    <row r="795">
      <c r="E795" s="1"/>
    </row>
    <row r="796">
      <c r="E796" s="1"/>
    </row>
    <row r="797">
      <c r="E797" s="1"/>
    </row>
    <row r="798">
      <c r="E798" s="1"/>
    </row>
    <row r="799">
      <c r="E799" s="1"/>
    </row>
    <row r="800">
      <c r="E800" s="1"/>
    </row>
    <row r="801">
      <c r="E801" s="1"/>
    </row>
    <row r="802">
      <c r="E802" s="1"/>
    </row>
    <row r="803">
      <c r="E803" s="1"/>
    </row>
    <row r="804">
      <c r="E804" s="1"/>
    </row>
    <row r="805">
      <c r="E805" s="1"/>
    </row>
    <row r="806">
      <c r="E806" s="1"/>
    </row>
    <row r="807">
      <c r="E807" s="1"/>
    </row>
    <row r="808">
      <c r="E808" s="1"/>
    </row>
    <row r="809">
      <c r="E809" s="1"/>
    </row>
    <row r="810">
      <c r="E810" s="1"/>
    </row>
    <row r="811">
      <c r="E811" s="1"/>
    </row>
    <row r="812">
      <c r="E812" s="1"/>
    </row>
    <row r="813">
      <c r="E813" s="1"/>
    </row>
    <row r="814">
      <c r="E814" s="1"/>
    </row>
    <row r="815">
      <c r="E815" s="1"/>
    </row>
    <row r="816">
      <c r="E816" s="1"/>
    </row>
    <row r="817">
      <c r="E817" s="1"/>
    </row>
    <row r="818">
      <c r="E818" s="1"/>
    </row>
    <row r="819">
      <c r="E819" s="1"/>
    </row>
    <row r="820">
      <c r="E820" s="1"/>
    </row>
    <row r="821">
      <c r="E821" s="1"/>
    </row>
    <row r="822">
      <c r="E822" s="1"/>
    </row>
    <row r="823">
      <c r="E823" s="1"/>
    </row>
    <row r="824">
      <c r="E824" s="1"/>
    </row>
    <row r="825">
      <c r="E825" s="1"/>
    </row>
    <row r="826">
      <c r="E826" s="1"/>
    </row>
    <row r="827">
      <c r="E827" s="1"/>
    </row>
    <row r="828">
      <c r="E828" s="1"/>
    </row>
    <row r="829">
      <c r="E829" s="1"/>
    </row>
    <row r="830">
      <c r="E830" s="1"/>
    </row>
    <row r="831">
      <c r="E831" s="1"/>
    </row>
    <row r="832">
      <c r="E832" s="1"/>
    </row>
    <row r="833">
      <c r="E833" s="1"/>
    </row>
    <row r="834">
      <c r="E834" s="1"/>
    </row>
    <row r="835">
      <c r="E835" s="1"/>
    </row>
    <row r="836">
      <c r="E836" s="1"/>
    </row>
    <row r="837">
      <c r="E837" s="1"/>
    </row>
    <row r="838">
      <c r="E838" s="1"/>
    </row>
    <row r="839">
      <c r="E839" s="1"/>
    </row>
    <row r="840">
      <c r="E840" s="1"/>
    </row>
    <row r="841">
      <c r="E841" s="1"/>
    </row>
    <row r="842">
      <c r="E842" s="1"/>
    </row>
    <row r="843">
      <c r="E843" s="1"/>
    </row>
    <row r="844">
      <c r="E844" s="1"/>
    </row>
    <row r="845">
      <c r="E845" s="1"/>
    </row>
    <row r="846">
      <c r="E846" s="1"/>
    </row>
    <row r="847">
      <c r="E847" s="1"/>
    </row>
    <row r="848">
      <c r="E848" s="1"/>
    </row>
    <row r="849">
      <c r="E849" s="1"/>
    </row>
    <row r="850">
      <c r="E850" s="1"/>
    </row>
    <row r="851">
      <c r="E851" s="1"/>
    </row>
    <row r="852">
      <c r="E852" s="1"/>
    </row>
    <row r="853">
      <c r="E853" s="1"/>
    </row>
    <row r="854">
      <c r="E854" s="1"/>
    </row>
    <row r="855">
      <c r="E855" s="1"/>
    </row>
    <row r="856">
      <c r="E856" s="1"/>
    </row>
    <row r="857">
      <c r="E857" s="1"/>
    </row>
    <row r="858">
      <c r="E858" s="1"/>
    </row>
    <row r="859">
      <c r="E859" s="1"/>
    </row>
    <row r="860">
      <c r="E860" s="1"/>
    </row>
    <row r="861">
      <c r="E861" s="1"/>
    </row>
    <row r="862">
      <c r="E862" s="1"/>
    </row>
    <row r="863">
      <c r="E863" s="1"/>
    </row>
    <row r="864">
      <c r="E864" s="1"/>
    </row>
    <row r="865">
      <c r="E865" s="1"/>
    </row>
    <row r="866">
      <c r="E866" s="1"/>
    </row>
    <row r="867">
      <c r="E867" s="1"/>
    </row>
    <row r="868">
      <c r="E868" s="1"/>
    </row>
    <row r="869">
      <c r="E869" s="1"/>
    </row>
    <row r="870">
      <c r="E870" s="1"/>
    </row>
    <row r="871">
      <c r="E871" s="1"/>
    </row>
    <row r="872">
      <c r="E872" s="1"/>
    </row>
    <row r="873">
      <c r="E873" s="1"/>
    </row>
    <row r="874">
      <c r="E874" s="1"/>
    </row>
    <row r="875">
      <c r="E875" s="1"/>
    </row>
    <row r="876">
      <c r="E876" s="1"/>
    </row>
    <row r="877">
      <c r="E877" s="1"/>
    </row>
    <row r="878">
      <c r="E878" s="1"/>
    </row>
    <row r="879">
      <c r="E879" s="1"/>
    </row>
    <row r="880">
      <c r="E880" s="1"/>
    </row>
    <row r="881">
      <c r="E881" s="1"/>
    </row>
    <row r="882">
      <c r="E882" s="1"/>
    </row>
    <row r="883">
      <c r="E883" s="1"/>
    </row>
    <row r="884">
      <c r="E884" s="1"/>
    </row>
    <row r="885">
      <c r="E885" s="1"/>
    </row>
    <row r="886">
      <c r="E886" s="1"/>
    </row>
    <row r="887">
      <c r="E887" s="1"/>
    </row>
    <row r="888">
      <c r="E888" s="1"/>
    </row>
    <row r="889">
      <c r="E889" s="1"/>
    </row>
    <row r="890">
      <c r="E890" s="1"/>
    </row>
    <row r="891">
      <c r="E891" s="1"/>
    </row>
    <row r="892">
      <c r="E892" s="1"/>
    </row>
    <row r="893">
      <c r="E893" s="1"/>
    </row>
    <row r="894">
      <c r="E894" s="1"/>
    </row>
    <row r="895">
      <c r="E895" s="1"/>
    </row>
    <row r="896">
      <c r="E896" s="1"/>
    </row>
    <row r="897">
      <c r="E897" s="1"/>
    </row>
    <row r="898">
      <c r="E898" s="1"/>
    </row>
    <row r="899">
      <c r="E899" s="1"/>
    </row>
    <row r="900">
      <c r="E900" s="1"/>
    </row>
    <row r="901">
      <c r="E901" s="1"/>
    </row>
    <row r="902">
      <c r="E902" s="1"/>
    </row>
    <row r="903">
      <c r="E903" s="1"/>
    </row>
    <row r="904">
      <c r="E904" s="1"/>
    </row>
    <row r="905">
      <c r="E905" s="1"/>
    </row>
    <row r="906">
      <c r="E906" s="1"/>
    </row>
    <row r="907">
      <c r="E907" s="1"/>
    </row>
    <row r="908">
      <c r="E908" s="1"/>
    </row>
    <row r="909">
      <c r="E909" s="1"/>
    </row>
    <row r="910">
      <c r="E910" s="1"/>
    </row>
    <row r="911">
      <c r="E911" s="1"/>
    </row>
    <row r="912">
      <c r="E912" s="1"/>
    </row>
    <row r="913">
      <c r="E913" s="1"/>
    </row>
    <row r="914">
      <c r="E914" s="1"/>
    </row>
    <row r="915">
      <c r="E915" s="1"/>
    </row>
    <row r="916">
      <c r="E916" s="1"/>
    </row>
    <row r="917">
      <c r="E917" s="1"/>
    </row>
    <row r="918">
      <c r="E918" s="1"/>
    </row>
    <row r="919">
      <c r="E919" s="1"/>
    </row>
    <row r="920">
      <c r="E920" s="1"/>
    </row>
    <row r="921">
      <c r="E921" s="1"/>
    </row>
    <row r="922">
      <c r="E922" s="1"/>
    </row>
    <row r="923">
      <c r="E923" s="1"/>
    </row>
    <row r="924">
      <c r="E924" s="1"/>
    </row>
    <row r="925">
      <c r="E925" s="1"/>
    </row>
    <row r="926">
      <c r="E926" s="1"/>
    </row>
    <row r="927">
      <c r="E927" s="1"/>
    </row>
    <row r="928">
      <c r="E928" s="1"/>
    </row>
    <row r="929">
      <c r="E929" s="1"/>
    </row>
    <row r="930">
      <c r="E930" s="1"/>
    </row>
    <row r="931">
      <c r="E931" s="1"/>
    </row>
  </sheetData>
  <conditionalFormatting sqref="G7:G37">
    <cfRule type="expression" dxfId="5" priority="1">
      <formula>$G7&gt;=$O$9</formula>
    </cfRule>
  </conditionalFormatting>
  <conditionalFormatting sqref="N3">
    <cfRule type="expression" dxfId="5" priority="2">
      <formula>N3&gt;=O8</formula>
    </cfRule>
  </conditionalFormatting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25"/>
    <col customWidth="1" min="2" max="2" width="18.5"/>
    <col customWidth="1" min="3" max="3" width="68.75"/>
    <col customWidth="1" min="6" max="6" width="53.5"/>
  </cols>
  <sheetData>
    <row r="1">
      <c r="A1" s="66" t="s">
        <v>81</v>
      </c>
    </row>
    <row r="2">
      <c r="A2" s="4" t="s">
        <v>82</v>
      </c>
      <c r="B2" s="4" t="b">
        <v>0</v>
      </c>
      <c r="C2" s="4" t="s">
        <v>83</v>
      </c>
    </row>
    <row r="3">
      <c r="A3" s="67" t="s">
        <v>84</v>
      </c>
      <c r="B3" s="4" t="b">
        <v>0</v>
      </c>
    </row>
    <row r="4">
      <c r="A4" s="67" t="s">
        <v>85</v>
      </c>
      <c r="B4" s="4" t="b">
        <v>0</v>
      </c>
    </row>
    <row r="5" ht="22.5" customHeight="1">
      <c r="A5" s="68" t="s">
        <v>86</v>
      </c>
      <c r="B5" s="4" t="b">
        <v>0</v>
      </c>
      <c r="C5" s="4"/>
    </row>
    <row r="6" ht="22.5" customHeight="1">
      <c r="A6" s="69" t="s">
        <v>87</v>
      </c>
      <c r="B6" s="4">
        <v>25.0</v>
      </c>
      <c r="C6" s="4"/>
    </row>
    <row r="7" ht="22.5" customHeight="1">
      <c r="A7" s="4" t="s">
        <v>88</v>
      </c>
      <c r="C7" s="4" t="s">
        <v>89</v>
      </c>
    </row>
    <row r="8" ht="71.25" customHeight="1">
      <c r="A8" s="4" t="s">
        <v>90</v>
      </c>
      <c r="B8" s="4">
        <v>2.0</v>
      </c>
      <c r="C8" s="4" t="s">
        <v>91</v>
      </c>
      <c r="D8" s="4">
        <v>0.0</v>
      </c>
    </row>
    <row r="9" ht="22.5" customHeight="1">
      <c r="A9" s="4" t="s">
        <v>92</v>
      </c>
      <c r="B9" s="4" t="b">
        <v>0</v>
      </c>
      <c r="C9" s="4"/>
    </row>
    <row r="10" ht="151.5" customHeight="1">
      <c r="A10" s="4" t="s">
        <v>93</v>
      </c>
      <c r="B10" s="48" t="s">
        <v>94</v>
      </c>
      <c r="C10" s="4" t="s">
        <v>95</v>
      </c>
      <c r="D10" s="7">
        <f>IFERROR(__xludf.DUMMYFUNCTION("IF(B10="""", 0, COUNTA(SPLIT(B10, "","")))"),71.0)</f>
        <v>71</v>
      </c>
    </row>
    <row r="11" ht="125.25" customHeight="1">
      <c r="A11" s="4" t="s">
        <v>96</v>
      </c>
      <c r="B11" s="7" t="s">
        <v>97</v>
      </c>
      <c r="C11" s="4" t="s">
        <v>98</v>
      </c>
      <c r="D11" s="7">
        <f>IFERROR(__xludf.DUMMYFUNCTION("IF(B11="""", 0, COUNTA(SPLIT(B11, "","")))"),147.0)</f>
        <v>147</v>
      </c>
    </row>
    <row r="12">
      <c r="A12" s="4" t="s">
        <v>99</v>
      </c>
      <c r="B12" s="4" t="s">
        <v>100</v>
      </c>
      <c r="C12" s="4" t="s">
        <v>101</v>
      </c>
      <c r="D12" s="7">
        <f>IFERROR(__xludf.DUMMYFUNCTION("IF(B12="""", 0, COUNTA(SPLIT(B12, "","")))"),62.0)</f>
        <v>62</v>
      </c>
    </row>
    <row r="16">
      <c r="E16" s="70" t="s">
        <v>102</v>
      </c>
    </row>
    <row r="17">
      <c r="E17" s="4" t="s">
        <v>103</v>
      </c>
      <c r="F17" s="71" t="s">
        <v>104</v>
      </c>
    </row>
    <row r="18">
      <c r="E18" s="4" t="s">
        <v>105</v>
      </c>
      <c r="F18" s="71" t="s">
        <v>106</v>
      </c>
    </row>
    <row r="19">
      <c r="E19" s="4" t="s">
        <v>107</v>
      </c>
      <c r="F19" s="4" t="s">
        <v>108</v>
      </c>
    </row>
    <row r="20">
      <c r="E20" s="4" t="s">
        <v>109</v>
      </c>
      <c r="F20" s="4" t="s">
        <v>110</v>
      </c>
    </row>
    <row r="21">
      <c r="E21" s="4" t="s">
        <v>111</v>
      </c>
      <c r="F21" s="4" t="s">
        <v>112</v>
      </c>
    </row>
    <row r="22">
      <c r="E22" s="4" t="s">
        <v>113</v>
      </c>
      <c r="F22" s="71" t="s">
        <v>114</v>
      </c>
    </row>
    <row r="23">
      <c r="E23" s="4" t="s">
        <v>115</v>
      </c>
    </row>
  </sheetData>
  <conditionalFormatting sqref="B2:B5">
    <cfRule type="notContainsBlanks" dxfId="5" priority="1">
      <formula>LEN(TRIM(B2))&gt;0</formula>
    </cfRule>
  </conditionalFormatting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31412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.63"/>
    <col customWidth="1" min="2" max="2" width="4.13"/>
    <col customWidth="1" min="3" max="3" width="3.25"/>
    <col customWidth="1" min="4" max="4" width="3.63"/>
    <col customWidth="1" min="5" max="5" width="17.38"/>
    <col customWidth="1" min="6" max="6" width="20.13"/>
    <col customWidth="1" min="7" max="7" width="14.88"/>
    <col customWidth="1" min="8" max="8" width="7.38"/>
    <col customWidth="1" min="9" max="9" width="6.75"/>
    <col customWidth="1" min="11" max="11" width="14.88"/>
    <col customWidth="1" min="17" max="17" width="20.5"/>
    <col customWidth="1" min="18" max="18" width="16.5"/>
    <col customWidth="1" min="19" max="19" width="74.5"/>
    <col customWidth="1" min="20" max="20" width="18.0"/>
    <col customWidth="1" min="29" max="29" width="18.0"/>
    <col customWidth="1" min="30" max="30" width="32.25"/>
  </cols>
  <sheetData>
    <row r="1">
      <c r="A1" s="72"/>
      <c r="D1" s="73"/>
      <c r="E1" s="72"/>
      <c r="F1" s="72"/>
      <c r="G1" s="72"/>
      <c r="H1" s="72"/>
      <c r="I1" s="72"/>
      <c r="J1" s="72"/>
      <c r="K1" s="74"/>
      <c r="L1" s="74"/>
      <c r="M1" s="74"/>
      <c r="N1" s="75"/>
      <c r="O1" s="72"/>
      <c r="P1" s="72"/>
      <c r="Q1" s="72"/>
      <c r="R1" s="73"/>
      <c r="S1" s="73"/>
      <c r="T1" s="73"/>
      <c r="U1" s="73"/>
      <c r="V1" s="73"/>
      <c r="Y1" s="73"/>
      <c r="Z1" s="73"/>
      <c r="AA1" s="73"/>
      <c r="AB1" s="73"/>
      <c r="AC1" s="73"/>
      <c r="AD1" s="73"/>
      <c r="AE1" s="73"/>
      <c r="AF1" s="73"/>
      <c r="AG1" s="73"/>
      <c r="AH1" s="73"/>
    </row>
    <row r="2" ht="22.5" customHeight="1">
      <c r="A2" s="73"/>
      <c r="D2" s="73"/>
      <c r="E2" s="79" t="s">
        <v>116</v>
      </c>
      <c r="F2" s="80" t="s">
        <v>118</v>
      </c>
      <c r="G2" s="80" t="s">
        <v>119</v>
      </c>
      <c r="H2" s="80" t="s">
        <v>120</v>
      </c>
      <c r="I2" s="80" t="s">
        <v>121</v>
      </c>
      <c r="J2" s="79" t="s">
        <v>122</v>
      </c>
      <c r="K2" s="82" t="s">
        <v>123</v>
      </c>
      <c r="L2" s="82" t="s">
        <v>124</v>
      </c>
      <c r="M2" s="82" t="s">
        <v>125</v>
      </c>
      <c r="N2" s="85" t="s">
        <v>126</v>
      </c>
      <c r="O2" s="86" t="s">
        <v>127</v>
      </c>
      <c r="P2" s="79" t="s">
        <v>128</v>
      </c>
      <c r="Q2" s="79" t="s">
        <v>129</v>
      </c>
      <c r="R2" s="87" t="s">
        <v>130</v>
      </c>
      <c r="S2" s="89" t="s">
        <v>145</v>
      </c>
      <c r="T2" s="87" t="s">
        <v>149</v>
      </c>
      <c r="U2" s="89" t="s">
        <v>151</v>
      </c>
      <c r="V2" s="89" t="s">
        <v>152</v>
      </c>
      <c r="W2" s="89" t="s">
        <v>153</v>
      </c>
      <c r="X2" s="89" t="s">
        <v>154</v>
      </c>
      <c r="Y2" s="89" t="s">
        <v>155</v>
      </c>
      <c r="Z2" s="89" t="s">
        <v>159</v>
      </c>
      <c r="AA2" s="89" t="s">
        <v>163</v>
      </c>
      <c r="AB2" s="89" t="s">
        <v>165</v>
      </c>
      <c r="AC2" s="89" t="s">
        <v>168</v>
      </c>
      <c r="AD2" s="89" t="s">
        <v>171</v>
      </c>
      <c r="AE2" s="89" t="s">
        <v>174</v>
      </c>
      <c r="AF2" s="89" t="s">
        <v>178</v>
      </c>
      <c r="AG2" s="89" t="s">
        <v>181</v>
      </c>
      <c r="AH2" s="89" t="s">
        <v>186</v>
      </c>
    </row>
    <row r="3" ht="22.5" customHeight="1">
      <c r="A3" s="73"/>
      <c r="D3" s="73"/>
      <c r="E3" s="93" t="s">
        <v>193</v>
      </c>
      <c r="F3" s="95" t="s">
        <v>199</v>
      </c>
      <c r="G3" s="96">
        <f>IFERROR(__xludf.DUMMYFUNCTION("GOOGLEFINANCE(E3, ""price"")"),336.89)</f>
        <v>336.89</v>
      </c>
      <c r="H3" s="97">
        <f>IFERROR(__xludf.DUMMYFUNCTION("GOOGLEFINANCE(E3, ""low"")"),335.91)</f>
        <v>335.91</v>
      </c>
      <c r="I3" s="99">
        <f>IFERROR(__xludf.DUMMYFUNCTION("GOOGLEFINANCE(E3, ""high"")"),341.8)</f>
        <v>341.8</v>
      </c>
      <c r="J3" s="100"/>
      <c r="K3" s="102">
        <v>11.27</v>
      </c>
      <c r="L3" s="104">
        <v>59.69</v>
      </c>
      <c r="M3" s="104">
        <v>19.99</v>
      </c>
      <c r="N3" s="104">
        <v>5.47</v>
      </c>
      <c r="O3" s="105" t="s">
        <v>245</v>
      </c>
      <c r="P3" s="106">
        <v>205.2</v>
      </c>
      <c r="Q3" s="108">
        <v>45761.64357159722</v>
      </c>
      <c r="R3" s="109" t="b">
        <v>1</v>
      </c>
      <c r="S3" s="110" t="s">
        <v>260</v>
      </c>
      <c r="T3" s="110">
        <v>0.0</v>
      </c>
      <c r="U3" s="111" t="s">
        <v>193</v>
      </c>
      <c r="V3" s="111" t="s">
        <v>274</v>
      </c>
      <c r="W3" s="111" t="s">
        <v>278</v>
      </c>
      <c r="X3" s="111" t="s">
        <v>281</v>
      </c>
      <c r="Y3" s="111" t="s">
        <v>285</v>
      </c>
      <c r="Z3" s="111" t="s">
        <v>287</v>
      </c>
      <c r="AA3" s="111" t="s">
        <v>291</v>
      </c>
      <c r="AB3" s="111" t="s">
        <v>295</v>
      </c>
      <c r="AC3" s="111" t="s">
        <v>298</v>
      </c>
      <c r="AD3" s="112">
        <v>46030.37144675926</v>
      </c>
      <c r="AE3" s="111" t="s">
        <v>307</v>
      </c>
      <c r="AF3" s="111"/>
      <c r="AG3" s="111"/>
      <c r="AH3" s="111"/>
    </row>
    <row r="4" ht="22.5" customHeight="1">
      <c r="A4" s="73"/>
      <c r="B4" s="115" t="s">
        <v>327</v>
      </c>
      <c r="C4" s="116">
        <f>now()</f>
        <v>46288.71545</v>
      </c>
      <c r="D4" s="73"/>
      <c r="E4" s="117" t="s">
        <v>334</v>
      </c>
      <c r="F4" s="111" t="s">
        <v>339</v>
      </c>
      <c r="G4" s="96">
        <f>IFERROR(__xludf.DUMMYFUNCTION("GOOGLEFINANCE(E4, ""price"")"),152.37)</f>
        <v>152.37</v>
      </c>
      <c r="H4" s="118"/>
      <c r="I4" s="118"/>
      <c r="J4" s="119"/>
      <c r="K4" s="120"/>
      <c r="L4" s="120"/>
      <c r="M4" s="120"/>
      <c r="N4" s="120"/>
      <c r="O4" s="118"/>
      <c r="P4" s="120"/>
      <c r="Q4" s="121"/>
      <c r="R4" s="109" t="b">
        <v>1</v>
      </c>
      <c r="S4" s="110" t="s">
        <v>379</v>
      </c>
      <c r="T4" s="110">
        <v>0.0</v>
      </c>
      <c r="U4" s="111" t="s">
        <v>334</v>
      </c>
      <c r="V4" s="111" t="s">
        <v>384</v>
      </c>
      <c r="W4" s="111" t="s">
        <v>387</v>
      </c>
      <c r="X4" s="111" t="s">
        <v>390</v>
      </c>
      <c r="Y4" s="111" t="s">
        <v>393</v>
      </c>
      <c r="Z4" s="111" t="s">
        <v>396</v>
      </c>
      <c r="AA4" s="111" t="s">
        <v>399</v>
      </c>
      <c r="AB4" s="111" t="s">
        <v>403</v>
      </c>
      <c r="AC4" s="111" t="s">
        <v>405</v>
      </c>
      <c r="AD4" s="112">
        <v>46030.37144675926</v>
      </c>
      <c r="AE4" s="111" t="s">
        <v>408</v>
      </c>
      <c r="AF4" s="122"/>
      <c r="AG4" s="122"/>
      <c r="AH4" s="122"/>
    </row>
    <row r="5" ht="22.5" customHeight="1">
      <c r="A5" s="73"/>
      <c r="B5" s="123"/>
      <c r="C5" s="73"/>
      <c r="D5" s="73"/>
      <c r="E5" s="124" t="s">
        <v>364</v>
      </c>
      <c r="F5" s="125" t="s">
        <v>365</v>
      </c>
      <c r="G5" s="96">
        <f>IFERROR(__xludf.DUMMYFUNCTION("GOOGLEFINANCE(E5, ""price"")"),104.05)</f>
        <v>104.05</v>
      </c>
      <c r="H5" s="97">
        <f>IFERROR(__xludf.DUMMYFUNCTION("GOOGLEFINANCE(E5, ""low"")"),102.85)</f>
        <v>102.85</v>
      </c>
      <c r="I5" s="99">
        <f>IFERROR(__xludf.DUMMYFUNCTION("GOOGLEFINANCE(E5, ""high"")"),104.29)</f>
        <v>104.29</v>
      </c>
      <c r="J5" s="126"/>
      <c r="K5" s="104">
        <v>7.93</v>
      </c>
      <c r="L5" s="104">
        <v>0.0</v>
      </c>
      <c r="M5" s="104">
        <v>21.44</v>
      </c>
      <c r="N5" s="104">
        <v>3.13</v>
      </c>
      <c r="O5" s="105"/>
      <c r="P5" s="106"/>
      <c r="Q5" s="108"/>
      <c r="R5" s="109" t="b">
        <v>1</v>
      </c>
      <c r="S5" s="110" t="s">
        <v>464</v>
      </c>
      <c r="T5" s="110">
        <v>0.0</v>
      </c>
      <c r="U5" s="111" t="s">
        <v>364</v>
      </c>
      <c r="V5" s="111" t="s">
        <v>479</v>
      </c>
      <c r="W5" s="111" t="s">
        <v>480</v>
      </c>
      <c r="X5" s="111" t="s">
        <v>484</v>
      </c>
      <c r="Y5" s="111" t="s">
        <v>487</v>
      </c>
      <c r="Z5" s="111" t="s">
        <v>490</v>
      </c>
      <c r="AA5" s="111" t="s">
        <v>492</v>
      </c>
      <c r="AB5" s="111" t="s">
        <v>495</v>
      </c>
      <c r="AC5" s="111" t="s">
        <v>498</v>
      </c>
      <c r="AD5" s="112">
        <v>46030.37144675926</v>
      </c>
      <c r="AE5" s="111" t="s">
        <v>503</v>
      </c>
      <c r="AF5" s="122"/>
      <c r="AG5" s="122"/>
      <c r="AH5" s="122"/>
    </row>
    <row r="6" ht="22.5" customHeight="1">
      <c r="A6" s="73"/>
      <c r="B6" s="123"/>
      <c r="C6" s="73"/>
      <c r="D6" s="73"/>
      <c r="E6" s="127" t="s">
        <v>519</v>
      </c>
      <c r="F6" s="110" t="s">
        <v>524</v>
      </c>
      <c r="G6" s="96">
        <f>IFERROR(__xludf.DUMMYFUNCTION("GOOGLEFINANCE(E6, ""price"")"),185.3)</f>
        <v>185.3</v>
      </c>
      <c r="H6" s="97">
        <f>IFERROR(__xludf.DUMMYFUNCTION("GOOGLEFINANCE(E6, ""low"")"),182.56)</f>
        <v>182.56</v>
      </c>
      <c r="I6" s="99">
        <f>IFERROR(__xludf.DUMMYFUNCTION("GOOGLEFINANCE(E6, ""high"")"),188.28)</f>
        <v>188.28</v>
      </c>
      <c r="J6" s="128"/>
      <c r="K6" s="129">
        <v>-4.31</v>
      </c>
      <c r="L6" s="129">
        <v>47.14</v>
      </c>
      <c r="M6" s="129">
        <v>13.93</v>
      </c>
      <c r="N6" s="129">
        <v>5.42</v>
      </c>
      <c r="O6" s="110" t="s">
        <v>197</v>
      </c>
      <c r="P6" s="129">
        <v>311.07</v>
      </c>
      <c r="Q6" s="130">
        <v>45828.33428734954</v>
      </c>
      <c r="R6" s="131" t="b">
        <v>1</v>
      </c>
      <c r="S6" s="110" t="s">
        <v>547</v>
      </c>
      <c r="T6" s="110">
        <v>0.0</v>
      </c>
      <c r="U6" s="110" t="s">
        <v>519</v>
      </c>
      <c r="V6" s="110" t="s">
        <v>552</v>
      </c>
      <c r="W6" s="110" t="s">
        <v>554</v>
      </c>
      <c r="X6" s="110" t="s">
        <v>556</v>
      </c>
      <c r="Y6" s="110" t="s">
        <v>559</v>
      </c>
      <c r="Z6" s="110" t="s">
        <v>561</v>
      </c>
      <c r="AA6" s="110" t="s">
        <v>564</v>
      </c>
      <c r="AB6" s="110" t="s">
        <v>569</v>
      </c>
      <c r="AC6" s="110" t="s">
        <v>576</v>
      </c>
      <c r="AD6" s="132">
        <v>46030.37144675926</v>
      </c>
      <c r="AE6" s="110" t="s">
        <v>582</v>
      </c>
      <c r="AF6" s="133"/>
      <c r="AG6" s="133"/>
      <c r="AH6" s="133"/>
    </row>
    <row r="7" ht="22.5" customHeight="1">
      <c r="A7" s="73"/>
      <c r="B7" s="123"/>
      <c r="C7" s="73"/>
      <c r="D7" s="73"/>
      <c r="E7" s="134" t="s">
        <v>424</v>
      </c>
      <c r="F7" s="125" t="s">
        <v>425</v>
      </c>
      <c r="G7" s="96">
        <f>IFERROR(__xludf.DUMMYFUNCTION("GOOGLEFINANCE(E7, ""price"")"),240.71)</f>
        <v>240.71</v>
      </c>
      <c r="H7" s="97">
        <f>IFERROR(__xludf.DUMMYFUNCTION("GOOGLEFINANCE(E7, ""low"")"),237.51)</f>
        <v>237.51</v>
      </c>
      <c r="I7" s="99">
        <f>IFERROR(__xludf.DUMMYFUNCTION("GOOGLEFINANCE(E7, ""high"")"),241.69)</f>
        <v>241.69</v>
      </c>
      <c r="J7" s="126"/>
      <c r="K7" s="106"/>
      <c r="L7" s="106"/>
      <c r="M7" s="106"/>
      <c r="N7" s="106"/>
      <c r="O7" s="105"/>
      <c r="P7" s="106"/>
      <c r="Q7" s="108"/>
      <c r="R7" s="109" t="b">
        <v>1</v>
      </c>
      <c r="S7" s="110" t="s">
        <v>621</v>
      </c>
      <c r="T7" s="110">
        <v>0.0</v>
      </c>
      <c r="U7" s="111" t="s">
        <v>424</v>
      </c>
      <c r="V7" s="111" t="s">
        <v>625</v>
      </c>
      <c r="W7" s="111" t="s">
        <v>628</v>
      </c>
      <c r="X7" s="111" t="s">
        <v>630</v>
      </c>
      <c r="Y7" s="111" t="s">
        <v>633</v>
      </c>
      <c r="Z7" s="111" t="s">
        <v>636</v>
      </c>
      <c r="AA7" s="111" t="s">
        <v>639</v>
      </c>
      <c r="AB7" s="111" t="s">
        <v>641</v>
      </c>
      <c r="AC7" s="111" t="s">
        <v>644</v>
      </c>
      <c r="AD7" s="112">
        <v>46030.37144675926</v>
      </c>
      <c r="AE7" s="111" t="s">
        <v>649</v>
      </c>
      <c r="AF7" s="122"/>
      <c r="AG7" s="122"/>
      <c r="AH7" s="122"/>
    </row>
    <row r="8" ht="22.5" customHeight="1">
      <c r="A8" s="73"/>
      <c r="B8" s="123"/>
      <c r="C8" s="73"/>
      <c r="D8" s="73"/>
      <c r="E8" s="117" t="s">
        <v>324</v>
      </c>
      <c r="F8" s="111" t="s">
        <v>325</v>
      </c>
      <c r="G8" s="96">
        <f>IFERROR(__xludf.DUMMYFUNCTION("GOOGLEFINANCE(E8, ""price"")"),267.39)</f>
        <v>267.39</v>
      </c>
      <c r="H8" s="118"/>
      <c r="I8" s="118"/>
      <c r="J8" s="135"/>
      <c r="K8" s="120"/>
      <c r="L8" s="120"/>
      <c r="M8" s="120"/>
      <c r="N8" s="120"/>
      <c r="O8" s="118"/>
      <c r="P8" s="120"/>
      <c r="Q8" s="121"/>
      <c r="R8" s="109" t="b">
        <v>1</v>
      </c>
      <c r="S8" s="110" t="s">
        <v>690</v>
      </c>
      <c r="T8" s="110">
        <v>0.0</v>
      </c>
      <c r="U8" s="111" t="s">
        <v>324</v>
      </c>
      <c r="V8" s="111" t="s">
        <v>697</v>
      </c>
      <c r="W8" s="111" t="s">
        <v>699</v>
      </c>
      <c r="X8" s="111" t="s">
        <v>701</v>
      </c>
      <c r="Y8" s="111" t="s">
        <v>706</v>
      </c>
      <c r="Z8" s="111" t="s">
        <v>707</v>
      </c>
      <c r="AA8" s="111" t="s">
        <v>711</v>
      </c>
      <c r="AB8" s="111" t="s">
        <v>714</v>
      </c>
      <c r="AC8" s="111" t="s">
        <v>716</v>
      </c>
      <c r="AD8" s="112">
        <v>46150.444386574076</v>
      </c>
      <c r="AE8" s="111" t="s">
        <v>721</v>
      </c>
      <c r="AF8" s="122"/>
      <c r="AG8" s="122"/>
      <c r="AH8" s="122"/>
    </row>
    <row r="9" ht="22.5" customHeight="1">
      <c r="A9" s="73"/>
      <c r="B9" s="123"/>
      <c r="C9" s="73"/>
      <c r="D9" s="73"/>
      <c r="E9" s="117" t="s">
        <v>342</v>
      </c>
      <c r="F9" s="111" t="s">
        <v>483</v>
      </c>
      <c r="G9" s="96">
        <f>IFERROR(__xludf.DUMMYFUNCTION("GOOGLEFINANCE(E9, ""price"")"),219.03)</f>
        <v>219.03</v>
      </c>
      <c r="H9" s="96" t="str">
        <f>IFERROR(__xludf.DUMMYFUNCTION("GOOGLEFINANCE(F9, ""price"")"),"#N/A")</f>
        <v>#N/A</v>
      </c>
      <c r="I9" s="96" t="str">
        <f>IFERROR(__xludf.DUMMYFUNCTION("GOOGLEFINANCE(G9, ""price"")"),"#N/A")</f>
        <v>#N/A</v>
      </c>
      <c r="J9" s="135"/>
      <c r="K9" s="120"/>
      <c r="L9" s="120"/>
      <c r="M9" s="120"/>
      <c r="N9" s="120"/>
      <c r="O9" s="118"/>
      <c r="P9" s="120"/>
      <c r="Q9" s="121"/>
      <c r="R9" s="109" t="b">
        <v>1</v>
      </c>
      <c r="S9" s="110" t="s">
        <v>768</v>
      </c>
      <c r="T9" s="110">
        <v>0.0</v>
      </c>
      <c r="U9" s="111" t="s">
        <v>342</v>
      </c>
      <c r="V9" s="111" t="s">
        <v>769</v>
      </c>
      <c r="W9" s="111" t="s">
        <v>771</v>
      </c>
      <c r="X9" s="111" t="s">
        <v>775</v>
      </c>
      <c r="Y9" s="111" t="s">
        <v>777</v>
      </c>
      <c r="Z9" s="111" t="s">
        <v>636</v>
      </c>
      <c r="AA9" s="111" t="s">
        <v>781</v>
      </c>
      <c r="AB9" s="111" t="s">
        <v>783</v>
      </c>
      <c r="AC9" s="111" t="s">
        <v>786</v>
      </c>
      <c r="AD9" s="112">
        <v>46030.37144675926</v>
      </c>
      <c r="AE9" s="111" t="s">
        <v>788</v>
      </c>
      <c r="AF9" s="122"/>
      <c r="AG9" s="122"/>
      <c r="AH9" s="122"/>
    </row>
    <row r="10" ht="22.5" customHeight="1">
      <c r="A10" s="73"/>
      <c r="B10" s="73"/>
      <c r="C10" s="73"/>
      <c r="D10" s="73"/>
      <c r="E10" s="139" t="s">
        <v>808</v>
      </c>
      <c r="F10" s="95" t="s">
        <v>811</v>
      </c>
      <c r="G10" s="96">
        <f>IFERROR(__xludf.DUMMYFUNCTION("GOOGLEFINANCE(E10, ""price"")"),860.1)</f>
        <v>860.1</v>
      </c>
      <c r="H10" s="97">
        <f>IFERROR(__xludf.DUMMYFUNCTION("GOOGLEFINANCE(E10, ""low"")"),856.0)</f>
        <v>856</v>
      </c>
      <c r="I10" s="99">
        <f>IFERROR(__xludf.DUMMYFUNCTION("GOOGLEFINANCE(E10, ""high"")"),899.6)</f>
        <v>899.6</v>
      </c>
      <c r="J10" s="140"/>
      <c r="K10" s="104">
        <v>246.4</v>
      </c>
      <c r="L10" s="104">
        <v>80.15</v>
      </c>
      <c r="M10" s="104">
        <v>24.54</v>
      </c>
      <c r="N10" s="104">
        <v>51.6</v>
      </c>
      <c r="O10" s="105" t="s">
        <v>213</v>
      </c>
      <c r="P10" s="104">
        <v>1835.8</v>
      </c>
      <c r="Q10" s="108">
        <v>45707.81391524305</v>
      </c>
      <c r="R10" s="109" t="b">
        <v>1</v>
      </c>
      <c r="S10" s="110" t="s">
        <v>836</v>
      </c>
      <c r="T10" s="110">
        <v>0.0</v>
      </c>
      <c r="U10" s="111" t="s">
        <v>808</v>
      </c>
      <c r="V10" s="111" t="s">
        <v>842</v>
      </c>
      <c r="W10" s="111" t="s">
        <v>843</v>
      </c>
      <c r="X10" s="111" t="s">
        <v>845</v>
      </c>
      <c r="Y10" s="111" t="s">
        <v>848</v>
      </c>
      <c r="Z10" s="111" t="s">
        <v>849</v>
      </c>
      <c r="AA10" s="111" t="s">
        <v>851</v>
      </c>
      <c r="AB10" s="111" t="s">
        <v>429</v>
      </c>
      <c r="AC10" s="111" t="s">
        <v>852</v>
      </c>
      <c r="AD10" s="112">
        <v>46030.37144675926</v>
      </c>
      <c r="AE10" s="111" t="s">
        <v>857</v>
      </c>
      <c r="AF10" s="122"/>
      <c r="AG10" s="122"/>
      <c r="AH10" s="122"/>
    </row>
    <row r="11" ht="22.5" customHeight="1">
      <c r="A11" s="73"/>
      <c r="B11" s="73"/>
      <c r="C11" s="73"/>
      <c r="D11" s="73"/>
      <c r="E11" s="117" t="s">
        <v>867</v>
      </c>
      <c r="F11" s="111" t="s">
        <v>870</v>
      </c>
      <c r="G11" s="96">
        <f>IFERROR(__xludf.DUMMYFUNCTION("GOOGLEFINANCE(E11, ""price"")"),118.06)</f>
        <v>118.06</v>
      </c>
      <c r="H11" s="118"/>
      <c r="I11" s="118"/>
      <c r="J11" s="119"/>
      <c r="K11" s="120"/>
      <c r="L11" s="120"/>
      <c r="M11" s="120"/>
      <c r="N11" s="120"/>
      <c r="O11" s="118"/>
      <c r="P11" s="120"/>
      <c r="Q11" s="121"/>
      <c r="R11" s="109" t="b">
        <v>1</v>
      </c>
      <c r="S11" s="110" t="s">
        <v>889</v>
      </c>
      <c r="T11" s="110">
        <v>0.0</v>
      </c>
      <c r="U11" s="111" t="s">
        <v>867</v>
      </c>
      <c r="V11" s="111" t="s">
        <v>891</v>
      </c>
      <c r="W11" s="111" t="s">
        <v>894</v>
      </c>
      <c r="X11" s="111" t="s">
        <v>897</v>
      </c>
      <c r="Y11" s="111" t="s">
        <v>899</v>
      </c>
      <c r="Z11" s="111" t="s">
        <v>900</v>
      </c>
      <c r="AA11" s="111" t="s">
        <v>902</v>
      </c>
      <c r="AB11" s="111" t="s">
        <v>905</v>
      </c>
      <c r="AC11" s="111" t="s">
        <v>907</v>
      </c>
      <c r="AD11" s="112">
        <v>46030.37144675926</v>
      </c>
      <c r="AE11" s="111" t="s">
        <v>910</v>
      </c>
      <c r="AF11" s="122"/>
      <c r="AG11" s="122"/>
      <c r="AH11" s="122"/>
    </row>
    <row r="12" ht="22.5" customHeight="1">
      <c r="A12" s="73"/>
      <c r="B12" s="73"/>
      <c r="C12" s="73"/>
      <c r="D12" s="73"/>
      <c r="E12" s="117" t="s">
        <v>924</v>
      </c>
      <c r="F12" s="111" t="s">
        <v>928</v>
      </c>
      <c r="G12" s="96">
        <f>IFERROR(__xludf.DUMMYFUNCTION("GOOGLEFINANCE(E12, ""price"")"),9.95)</f>
        <v>9.95</v>
      </c>
      <c r="H12" s="118"/>
      <c r="I12" s="118"/>
      <c r="J12" s="119"/>
      <c r="K12" s="120"/>
      <c r="L12" s="120"/>
      <c r="M12" s="120"/>
      <c r="N12" s="120"/>
      <c r="O12" s="118"/>
      <c r="P12" s="120"/>
      <c r="Q12" s="121"/>
      <c r="R12" s="109" t="b">
        <v>1</v>
      </c>
      <c r="S12" s="110" t="s">
        <v>951</v>
      </c>
      <c r="T12" s="110">
        <v>0.0</v>
      </c>
      <c r="U12" s="111" t="s">
        <v>924</v>
      </c>
      <c r="V12" s="111" t="s">
        <v>959</v>
      </c>
      <c r="W12" s="111" t="s">
        <v>962</v>
      </c>
      <c r="X12" s="111" t="s">
        <v>964</v>
      </c>
      <c r="Y12" s="111" t="s">
        <v>967</v>
      </c>
      <c r="Z12" s="111" t="s">
        <v>970</v>
      </c>
      <c r="AA12" s="111" t="s">
        <v>973</v>
      </c>
      <c r="AB12" s="111" t="s">
        <v>468</v>
      </c>
      <c r="AC12" s="111" t="s">
        <v>979</v>
      </c>
      <c r="AD12" s="112">
        <v>46150.444386574076</v>
      </c>
      <c r="AE12" s="111" t="s">
        <v>983</v>
      </c>
      <c r="AF12" s="122"/>
      <c r="AG12" s="122"/>
      <c r="AH12" s="122"/>
    </row>
    <row r="13" ht="22.5" customHeight="1">
      <c r="A13" s="73"/>
      <c r="B13" s="73"/>
      <c r="C13" s="73"/>
      <c r="D13" s="73"/>
      <c r="E13" s="127" t="s">
        <v>665</v>
      </c>
      <c r="F13" s="141" t="s">
        <v>1009</v>
      </c>
      <c r="G13" s="96">
        <f>IFERROR(__xludf.DUMMYFUNCTION("GOOGLEFINANCE(E13, ""price"")"),10.89)</f>
        <v>10.89</v>
      </c>
      <c r="H13" s="143"/>
      <c r="I13" s="143"/>
      <c r="J13" s="128"/>
      <c r="K13" s="129">
        <v>2.45</v>
      </c>
      <c r="L13" s="129">
        <v>58.0</v>
      </c>
      <c r="M13" s="129">
        <v>27.5</v>
      </c>
      <c r="N13" s="129">
        <v>1.61</v>
      </c>
      <c r="O13" s="110" t="s">
        <v>197</v>
      </c>
      <c r="P13" s="129">
        <v>25.85</v>
      </c>
      <c r="Q13" s="130">
        <v>45812.51162340278</v>
      </c>
      <c r="R13" s="131" t="b">
        <v>1</v>
      </c>
      <c r="S13" s="110" t="s">
        <v>1055</v>
      </c>
      <c r="T13" s="110">
        <v>0.0</v>
      </c>
      <c r="U13" s="110" t="s">
        <v>665</v>
      </c>
      <c r="V13" s="110" t="s">
        <v>1061</v>
      </c>
      <c r="W13" s="110" t="s">
        <v>1063</v>
      </c>
      <c r="X13" s="110" t="s">
        <v>1068</v>
      </c>
      <c r="Y13" s="110" t="s">
        <v>1071</v>
      </c>
      <c r="Z13" s="110" t="s">
        <v>1074</v>
      </c>
      <c r="AA13" s="110" t="s">
        <v>1078</v>
      </c>
      <c r="AB13" s="110" t="s">
        <v>1081</v>
      </c>
      <c r="AC13" s="110" t="s">
        <v>1084</v>
      </c>
      <c r="AD13" s="132">
        <v>46030.37144675926</v>
      </c>
      <c r="AE13" s="110" t="s">
        <v>1087</v>
      </c>
      <c r="AF13" s="133"/>
      <c r="AG13" s="133"/>
      <c r="AH13" s="133"/>
    </row>
    <row r="14" ht="22.5" customHeight="1">
      <c r="A14" s="73"/>
      <c r="B14" s="73"/>
      <c r="C14" s="73"/>
      <c r="D14" s="73"/>
      <c r="E14" s="117" t="s">
        <v>626</v>
      </c>
      <c r="F14" s="111" t="s">
        <v>1103</v>
      </c>
      <c r="G14" s="96">
        <f>IFERROR(__xludf.DUMMYFUNCTION("GOOGLEFINANCE(E14, ""price"")"),6.19)</f>
        <v>6.19</v>
      </c>
      <c r="H14" s="118"/>
      <c r="I14" s="118"/>
      <c r="J14" s="119"/>
      <c r="K14" s="120"/>
      <c r="L14" s="120"/>
      <c r="M14" s="120"/>
      <c r="N14" s="120"/>
      <c r="O14" s="118"/>
      <c r="P14" s="120"/>
      <c r="Q14" s="121"/>
      <c r="R14" s="109" t="b">
        <v>1</v>
      </c>
      <c r="S14" s="110" t="s">
        <v>1131</v>
      </c>
      <c r="T14" s="110">
        <v>0.0</v>
      </c>
      <c r="U14" s="111" t="s">
        <v>626</v>
      </c>
      <c r="V14" s="111" t="s">
        <v>1137</v>
      </c>
      <c r="W14" s="111" t="s">
        <v>1139</v>
      </c>
      <c r="X14" s="111" t="s">
        <v>1141</v>
      </c>
      <c r="Y14" s="111" t="s">
        <v>1144</v>
      </c>
      <c r="Z14" s="111" t="s">
        <v>1148</v>
      </c>
      <c r="AA14" s="111" t="s">
        <v>1149</v>
      </c>
      <c r="AB14" s="111" t="s">
        <v>1154</v>
      </c>
      <c r="AC14" s="111" t="s">
        <v>1157</v>
      </c>
      <c r="AD14" s="112">
        <v>46030.37144675926</v>
      </c>
      <c r="AE14" s="111" t="s">
        <v>1162</v>
      </c>
      <c r="AF14" s="122"/>
      <c r="AG14" s="122"/>
      <c r="AH14" s="122"/>
    </row>
    <row r="15" ht="22.5" customHeight="1">
      <c r="A15" s="73"/>
      <c r="B15" s="115" t="s">
        <v>327</v>
      </c>
      <c r="C15" s="116">
        <f>now()</f>
        <v>46288.71545</v>
      </c>
      <c r="D15" s="73"/>
      <c r="E15" s="125" t="s">
        <v>1180</v>
      </c>
      <c r="F15" s="125" t="s">
        <v>1182</v>
      </c>
      <c r="G15" s="96">
        <f>IFERROR(__xludf.DUMMYFUNCTION("GOOGLEFINANCE(E15, ""price"")"),612.95)</f>
        <v>612.95</v>
      </c>
      <c r="H15" s="97">
        <f>IFERROR(__xludf.DUMMYFUNCTION("GOOGLEFINANCE(E15, ""low"")"),608.08)</f>
        <v>608.08</v>
      </c>
      <c r="I15" s="99">
        <f>IFERROR(__xludf.DUMMYFUNCTION("GOOGLEFINANCE(E15, ""high"")"),624.69)</f>
        <v>624.69</v>
      </c>
      <c r="J15" s="126"/>
      <c r="K15" s="106"/>
      <c r="L15" s="106"/>
      <c r="M15" s="106"/>
      <c r="N15" s="106"/>
      <c r="O15" s="105"/>
      <c r="P15" s="106"/>
      <c r="Q15" s="108"/>
      <c r="R15" s="109" t="b">
        <v>1</v>
      </c>
      <c r="S15" s="110" t="s">
        <v>1209</v>
      </c>
      <c r="T15" s="110">
        <v>0.0</v>
      </c>
      <c r="U15" s="111" t="s">
        <v>1180</v>
      </c>
      <c r="V15" s="111" t="s">
        <v>1215</v>
      </c>
      <c r="W15" s="111" t="s">
        <v>1219</v>
      </c>
      <c r="X15" s="111" t="s">
        <v>1221</v>
      </c>
      <c r="Y15" s="111" t="s">
        <v>1225</v>
      </c>
      <c r="Z15" s="111" t="s">
        <v>1228</v>
      </c>
      <c r="AA15" s="111" t="s">
        <v>1232</v>
      </c>
      <c r="AB15" s="111" t="s">
        <v>1235</v>
      </c>
      <c r="AC15" s="111" t="s">
        <v>1237</v>
      </c>
      <c r="AD15" s="112">
        <v>46030.37144675926</v>
      </c>
      <c r="AE15" s="111" t="s">
        <v>1242</v>
      </c>
      <c r="AF15" s="122"/>
      <c r="AG15" s="122"/>
      <c r="AH15" s="122"/>
    </row>
    <row r="16" ht="22.5" customHeight="1">
      <c r="A16" s="73"/>
      <c r="B16" s="73"/>
      <c r="C16" s="73"/>
      <c r="D16" s="73"/>
      <c r="E16" s="127" t="s">
        <v>259</v>
      </c>
      <c r="F16" s="110" t="s">
        <v>827</v>
      </c>
      <c r="G16" s="96">
        <f>IFERROR(__xludf.DUMMYFUNCTION("GOOGLEFINANCE(E16, ""price"")"),13.68)</f>
        <v>13.68</v>
      </c>
      <c r="H16" s="97">
        <f>IFERROR(__xludf.DUMMYFUNCTION("GOOGLEFINANCE(E16, ""low"")"),12.84)</f>
        <v>12.84</v>
      </c>
      <c r="I16" s="99">
        <f>IFERROR(__xludf.DUMMYFUNCTION("GOOGLEFINANCE(E16, ""high"")"),13.71)</f>
        <v>13.71</v>
      </c>
      <c r="J16" s="144"/>
      <c r="K16" s="145"/>
      <c r="L16" s="145"/>
      <c r="M16" s="145"/>
      <c r="N16" s="145"/>
      <c r="O16" s="145"/>
      <c r="P16" s="145"/>
      <c r="Q16" s="130"/>
      <c r="R16" s="131" t="b">
        <v>1</v>
      </c>
      <c r="S16" s="110" t="s">
        <v>280</v>
      </c>
      <c r="T16" s="110">
        <v>0.0</v>
      </c>
      <c r="U16" s="110" t="s">
        <v>259</v>
      </c>
      <c r="V16" s="110" t="s">
        <v>1299</v>
      </c>
      <c r="W16" s="110" t="s">
        <v>1301</v>
      </c>
      <c r="X16" s="110" t="s">
        <v>1303</v>
      </c>
      <c r="Y16" s="110" t="s">
        <v>1304</v>
      </c>
      <c r="Z16" s="110" t="s">
        <v>1306</v>
      </c>
      <c r="AA16" s="110" t="s">
        <v>1307</v>
      </c>
      <c r="AB16" s="110" t="s">
        <v>1309</v>
      </c>
      <c r="AC16" s="110" t="s">
        <v>1311</v>
      </c>
      <c r="AD16" s="132">
        <v>46030.37144675926</v>
      </c>
      <c r="AE16" s="110" t="s">
        <v>1318</v>
      </c>
      <c r="AF16" s="133"/>
      <c r="AG16" s="133"/>
      <c r="AH16" s="133"/>
    </row>
    <row r="17" ht="22.5" customHeight="1">
      <c r="A17" s="73"/>
      <c r="B17" s="73"/>
      <c r="C17" s="73"/>
      <c r="D17" s="73"/>
      <c r="E17" s="127" t="s">
        <v>1106</v>
      </c>
      <c r="F17" s="110" t="s">
        <v>1107</v>
      </c>
      <c r="G17" s="96">
        <f>IFERROR(__xludf.DUMMYFUNCTION("GOOGLEFINANCE(E17, ""price"")"),250.45)</f>
        <v>250.45</v>
      </c>
      <c r="H17" s="97">
        <f>IFERROR(__xludf.DUMMYFUNCTION("GOOGLEFINANCE(E17, ""low"")"),248.19)</f>
        <v>248.19</v>
      </c>
      <c r="I17" s="99">
        <f>IFERROR(__xludf.DUMMYFUNCTION("GOOGLEFINANCE(E17, ""high"")"),253.99)</f>
        <v>253.99</v>
      </c>
      <c r="J17" s="128"/>
      <c r="K17" s="129">
        <v>1.93</v>
      </c>
      <c r="L17" s="129">
        <v>58.43</v>
      </c>
      <c r="M17" s="129">
        <v>18.49</v>
      </c>
      <c r="N17" s="129">
        <v>5.28</v>
      </c>
      <c r="O17" s="110" t="s">
        <v>170</v>
      </c>
      <c r="P17" s="129">
        <v>206.0</v>
      </c>
      <c r="Q17" s="130">
        <v>45812.240284687505</v>
      </c>
      <c r="R17" s="131" t="b">
        <v>1</v>
      </c>
      <c r="S17" s="110" t="s">
        <v>1372</v>
      </c>
      <c r="T17" s="110">
        <v>0.0</v>
      </c>
      <c r="U17" s="110" t="s">
        <v>1106</v>
      </c>
      <c r="V17" s="110" t="s">
        <v>1379</v>
      </c>
      <c r="W17" s="110" t="s">
        <v>1382</v>
      </c>
      <c r="X17" s="110" t="s">
        <v>1383</v>
      </c>
      <c r="Y17" s="110" t="s">
        <v>1387</v>
      </c>
      <c r="Z17" s="110" t="s">
        <v>1390</v>
      </c>
      <c r="AA17" s="110" t="s">
        <v>1392</v>
      </c>
      <c r="AB17" s="110" t="s">
        <v>1394</v>
      </c>
      <c r="AC17" s="110" t="s">
        <v>1400</v>
      </c>
      <c r="AD17" s="132">
        <v>46030.37144675926</v>
      </c>
      <c r="AE17" s="110" t="s">
        <v>1404</v>
      </c>
      <c r="AF17" s="133"/>
      <c r="AG17" s="133"/>
      <c r="AH17" s="133"/>
    </row>
    <row r="18" ht="22.5" customHeight="1">
      <c r="A18" s="73"/>
      <c r="B18" s="73"/>
      <c r="C18" s="73"/>
      <c r="D18" s="73"/>
      <c r="E18" s="127" t="s">
        <v>1416</v>
      </c>
      <c r="F18" s="110" t="s">
        <v>1419</v>
      </c>
      <c r="G18" s="96">
        <f>IFERROR(__xludf.DUMMYFUNCTION("GOOGLEFINANCE(E18, ""price"")"),201.68)</f>
        <v>201.68</v>
      </c>
      <c r="H18" s="143"/>
      <c r="I18" s="143"/>
      <c r="J18" s="128"/>
      <c r="K18" s="129">
        <v>19.88</v>
      </c>
      <c r="L18" s="129">
        <v>75.4</v>
      </c>
      <c r="M18" s="129">
        <v>28.09</v>
      </c>
      <c r="N18" s="129">
        <v>4.4</v>
      </c>
      <c r="O18" s="110" t="s">
        <v>998</v>
      </c>
      <c r="P18" s="129">
        <v>145.81</v>
      </c>
      <c r="Q18" s="130">
        <v>45918.4844130787</v>
      </c>
      <c r="R18" s="131" t="b">
        <v>1</v>
      </c>
      <c r="S18" s="110" t="s">
        <v>1453</v>
      </c>
      <c r="T18" s="110">
        <v>0.0</v>
      </c>
      <c r="U18" s="110" t="s">
        <v>1416</v>
      </c>
      <c r="V18" s="110" t="s">
        <v>1458</v>
      </c>
      <c r="W18" s="110" t="s">
        <v>1461</v>
      </c>
      <c r="X18" s="110" t="s">
        <v>1465</v>
      </c>
      <c r="Y18" s="110" t="s">
        <v>1468</v>
      </c>
      <c r="Z18" s="110" t="s">
        <v>1470</v>
      </c>
      <c r="AA18" s="110" t="s">
        <v>1471</v>
      </c>
      <c r="AB18" s="110" t="s">
        <v>1473</v>
      </c>
      <c r="AC18" s="110" t="s">
        <v>1474</v>
      </c>
      <c r="AD18" s="132">
        <v>46030.37144675926</v>
      </c>
      <c r="AE18" s="110" t="s">
        <v>1478</v>
      </c>
      <c r="AF18" s="133"/>
      <c r="AG18" s="133"/>
      <c r="AH18" s="133"/>
    </row>
    <row r="19" ht="22.5" customHeight="1">
      <c r="A19" s="73"/>
      <c r="B19" s="73"/>
      <c r="C19" s="73"/>
      <c r="D19" s="73"/>
      <c r="E19" s="127" t="s">
        <v>457</v>
      </c>
      <c r="F19" s="110" t="s">
        <v>458</v>
      </c>
      <c r="G19" s="96">
        <f>IFERROR(__xludf.DUMMYFUNCTION("GOOGLEFINANCE(E19, ""price"")"),132.25)</f>
        <v>132.25</v>
      </c>
      <c r="H19" s="97">
        <f>IFERROR(__xludf.DUMMYFUNCTION("GOOGLEFINANCE(E19, ""low"")"),130.81)</f>
        <v>130.81</v>
      </c>
      <c r="I19" s="99">
        <f>IFERROR(__xludf.DUMMYFUNCTION("GOOGLEFINANCE(E19, ""high"")"),141.74)</f>
        <v>141.74</v>
      </c>
      <c r="J19" s="144"/>
      <c r="K19" s="145"/>
      <c r="L19" s="145"/>
      <c r="M19" s="145"/>
      <c r="N19" s="145"/>
      <c r="O19" s="143"/>
      <c r="P19" s="129">
        <v>90.18</v>
      </c>
      <c r="Q19" s="130">
        <v>45805.76461986111</v>
      </c>
      <c r="R19" s="131" t="b">
        <v>1</v>
      </c>
      <c r="S19" s="110" t="s">
        <v>1523</v>
      </c>
      <c r="T19" s="110">
        <v>0.0</v>
      </c>
      <c r="U19" s="110" t="s">
        <v>457</v>
      </c>
      <c r="V19" s="110" t="s">
        <v>1526</v>
      </c>
      <c r="W19" s="110" t="s">
        <v>1531</v>
      </c>
      <c r="X19" s="110" t="s">
        <v>1533</v>
      </c>
      <c r="Y19" s="110" t="s">
        <v>1536</v>
      </c>
      <c r="Z19" s="110" t="s">
        <v>1539</v>
      </c>
      <c r="AA19" s="110" t="s">
        <v>1540</v>
      </c>
      <c r="AB19" s="110" t="s">
        <v>1542</v>
      </c>
      <c r="AC19" s="110" t="s">
        <v>1545</v>
      </c>
      <c r="AD19" s="132">
        <v>46030.37144675926</v>
      </c>
      <c r="AE19" s="110" t="s">
        <v>1546</v>
      </c>
      <c r="AF19" s="133"/>
      <c r="AG19" s="133"/>
      <c r="AH19" s="133"/>
    </row>
    <row r="20" ht="22.5" customHeight="1">
      <c r="A20" s="73"/>
      <c r="B20" s="73"/>
      <c r="C20" s="73"/>
      <c r="D20" s="73"/>
      <c r="E20" s="127" t="s">
        <v>913</v>
      </c>
      <c r="F20" s="110" t="s">
        <v>1094</v>
      </c>
      <c r="G20" s="96">
        <f>IFERROR(__xludf.DUMMYFUNCTION("GOOGLEFINANCE(E20, ""price"")"),312.02)</f>
        <v>312.02</v>
      </c>
      <c r="H20" s="97">
        <f>IFERROR(__xludf.DUMMYFUNCTION("GOOGLEFINANCE(E20, ""low"")"),304.77)</f>
        <v>304.77</v>
      </c>
      <c r="I20" s="99">
        <f>IFERROR(__xludf.DUMMYFUNCTION("GOOGLEFINANCE(E20, ""high"")"),316.0)</f>
        <v>316</v>
      </c>
      <c r="J20" s="144"/>
      <c r="K20" s="145"/>
      <c r="L20" s="145"/>
      <c r="M20" s="145"/>
      <c r="N20" s="145"/>
      <c r="O20" s="143"/>
      <c r="P20" s="145"/>
      <c r="Q20" s="130"/>
      <c r="R20" s="131" t="b">
        <v>1</v>
      </c>
      <c r="S20" s="110" t="s">
        <v>1569</v>
      </c>
      <c r="T20" s="110">
        <v>0.0</v>
      </c>
      <c r="U20" s="110" t="s">
        <v>913</v>
      </c>
      <c r="V20" s="110" t="s">
        <v>1575</v>
      </c>
      <c r="W20" s="110" t="s">
        <v>1577</v>
      </c>
      <c r="X20" s="110" t="s">
        <v>1578</v>
      </c>
      <c r="Y20" s="110" t="s">
        <v>1580</v>
      </c>
      <c r="Z20" s="110" t="s">
        <v>1585</v>
      </c>
      <c r="AA20" s="110" t="s">
        <v>1588</v>
      </c>
      <c r="AB20" s="110" t="s">
        <v>854</v>
      </c>
      <c r="AC20" s="110" t="s">
        <v>1592</v>
      </c>
      <c r="AD20" s="132">
        <v>46030.37144675926</v>
      </c>
      <c r="AE20" s="110" t="s">
        <v>1597</v>
      </c>
      <c r="AF20" s="133"/>
      <c r="AG20" s="133"/>
      <c r="AH20" s="133"/>
    </row>
    <row r="21" ht="22.5" customHeight="1">
      <c r="A21" s="73"/>
      <c r="B21" s="73"/>
      <c r="C21" s="73"/>
      <c r="D21" s="73"/>
      <c r="E21" s="127" t="s">
        <v>580</v>
      </c>
      <c r="F21" s="110" t="s">
        <v>581</v>
      </c>
      <c r="G21" s="96">
        <f>IFERROR(__xludf.DUMMYFUNCTION("GOOGLEFINANCE(E21, ""price"")"),122.54)</f>
        <v>122.54</v>
      </c>
      <c r="H21" s="97">
        <f>IFERROR(__xludf.DUMMYFUNCTION("GOOGLEFINANCE(E21, ""low"")"),121.21)</f>
        <v>121.21</v>
      </c>
      <c r="I21" s="99">
        <f>IFERROR(__xludf.DUMMYFUNCTION("GOOGLEFINANCE(E21, ""high"")"),123.96)</f>
        <v>123.96</v>
      </c>
      <c r="J21" s="144"/>
      <c r="K21" s="145"/>
      <c r="L21" s="145"/>
      <c r="M21" s="145"/>
      <c r="N21" s="145"/>
      <c r="O21" s="143"/>
      <c r="P21" s="145"/>
      <c r="Q21" s="130"/>
      <c r="R21" s="131" t="b">
        <v>1</v>
      </c>
      <c r="S21" s="110" t="s">
        <v>1637</v>
      </c>
      <c r="T21" s="110">
        <v>0.0</v>
      </c>
      <c r="U21" s="110" t="s">
        <v>580</v>
      </c>
      <c r="V21" s="110" t="s">
        <v>1640</v>
      </c>
      <c r="W21" s="110" t="s">
        <v>1644</v>
      </c>
      <c r="X21" s="110" t="s">
        <v>1648</v>
      </c>
      <c r="Y21" s="110" t="s">
        <v>1652</v>
      </c>
      <c r="Z21" s="110" t="s">
        <v>1656</v>
      </c>
      <c r="AA21" s="110" t="s">
        <v>1657</v>
      </c>
      <c r="AB21" s="110" t="s">
        <v>1662</v>
      </c>
      <c r="AC21" s="110" t="s">
        <v>1666</v>
      </c>
      <c r="AD21" s="132">
        <v>46030.37144675926</v>
      </c>
      <c r="AE21" s="110" t="s">
        <v>1674</v>
      </c>
      <c r="AF21" s="133"/>
      <c r="AG21" s="133"/>
      <c r="AH21" s="133"/>
    </row>
    <row r="22" ht="22.5" customHeight="1">
      <c r="A22" s="73"/>
      <c r="B22" s="73"/>
      <c r="C22" s="73"/>
      <c r="D22" s="73"/>
      <c r="E22" s="127" t="s">
        <v>1694</v>
      </c>
      <c r="F22" s="110" t="s">
        <v>1700</v>
      </c>
      <c r="G22" s="96">
        <f>IFERROR(__xludf.DUMMYFUNCTION("GOOGLEFINANCE(E22, ""price"")"),27.17)</f>
        <v>27.17</v>
      </c>
      <c r="H22" s="97">
        <f>IFERROR(__xludf.DUMMYFUNCTION("GOOGLEFINANCE(E22, ""low"")"),26.91)</f>
        <v>26.91</v>
      </c>
      <c r="I22" s="99">
        <f>IFERROR(__xludf.DUMMYFUNCTION("GOOGLEFINANCE(E22, ""high"")"),27.63)</f>
        <v>27.63</v>
      </c>
      <c r="J22" s="128"/>
      <c r="K22" s="129">
        <v>6.06</v>
      </c>
      <c r="L22" s="129">
        <v>72.57</v>
      </c>
      <c r="M22" s="129">
        <v>22.0</v>
      </c>
      <c r="N22" s="129">
        <v>1.48</v>
      </c>
      <c r="O22" s="110" t="s">
        <v>170</v>
      </c>
      <c r="P22" s="129">
        <v>30.5</v>
      </c>
      <c r="Q22" s="130">
        <v>45796.32851384259</v>
      </c>
      <c r="R22" s="131" t="b">
        <v>1</v>
      </c>
      <c r="S22" s="110" t="s">
        <v>1727</v>
      </c>
      <c r="T22" s="110">
        <v>0.0</v>
      </c>
      <c r="U22" s="110" t="s">
        <v>1694</v>
      </c>
      <c r="V22" s="110" t="s">
        <v>1733</v>
      </c>
      <c r="W22" s="110" t="s">
        <v>1735</v>
      </c>
      <c r="X22" s="110" t="s">
        <v>1738</v>
      </c>
      <c r="Y22" s="110" t="s">
        <v>1741</v>
      </c>
      <c r="Z22" s="110" t="s">
        <v>1744</v>
      </c>
      <c r="AA22" s="110" t="s">
        <v>1746</v>
      </c>
      <c r="AB22" s="110" t="s">
        <v>386</v>
      </c>
      <c r="AC22" s="110" t="s">
        <v>1754</v>
      </c>
      <c r="AD22" s="132">
        <v>46030.37144675926</v>
      </c>
      <c r="AE22" s="110" t="s">
        <v>1758</v>
      </c>
      <c r="AF22" s="110"/>
      <c r="AG22" s="110"/>
      <c r="AH22" s="110"/>
    </row>
    <row r="23" ht="22.5" customHeight="1">
      <c r="A23" s="73"/>
      <c r="B23" s="149" t="s">
        <v>327</v>
      </c>
      <c r="C23" s="150">
        <f>now()</f>
        <v>46288.71545</v>
      </c>
      <c r="D23" s="73"/>
      <c r="E23" s="151" t="s">
        <v>1782</v>
      </c>
      <c r="F23" s="125" t="s">
        <v>1789</v>
      </c>
      <c r="G23" s="96">
        <f>IFERROR(__xludf.DUMMYFUNCTION("GOOGLEFINANCE(E23, ""price"")"),61.7)</f>
        <v>61.7</v>
      </c>
      <c r="H23" s="97">
        <f>IFERROR(__xludf.DUMMYFUNCTION("GOOGLEFINANCE(E23, ""low"")"),61.38)</f>
        <v>61.38</v>
      </c>
      <c r="I23" s="99">
        <f>IFERROR(__xludf.DUMMYFUNCTION("GOOGLEFINANCE(E23, ""high"")"),63.79)</f>
        <v>63.79</v>
      </c>
      <c r="J23" s="152"/>
      <c r="K23" s="104">
        <v>-25.79</v>
      </c>
      <c r="L23" s="104">
        <v>34.66</v>
      </c>
      <c r="M23" s="104">
        <v>17.28</v>
      </c>
      <c r="N23" s="104">
        <v>7.47</v>
      </c>
      <c r="O23" s="104" t="s">
        <v>170</v>
      </c>
      <c r="P23" s="104">
        <v>60.53</v>
      </c>
      <c r="Q23" s="153">
        <v>46219.377022280096</v>
      </c>
      <c r="R23" s="109" t="b">
        <v>1</v>
      </c>
      <c r="S23" s="110" t="s">
        <v>1815</v>
      </c>
      <c r="T23" s="110">
        <v>0.0</v>
      </c>
      <c r="U23" s="111" t="s">
        <v>1782</v>
      </c>
      <c r="V23" s="111" t="s">
        <v>1822</v>
      </c>
      <c r="W23" s="111" t="s">
        <v>1824</v>
      </c>
      <c r="X23" s="111" t="s">
        <v>1827</v>
      </c>
      <c r="Y23" s="111" t="s">
        <v>1831</v>
      </c>
      <c r="Z23" s="111" t="s">
        <v>1833</v>
      </c>
      <c r="AA23" s="111" t="s">
        <v>1835</v>
      </c>
      <c r="AB23" s="111" t="s">
        <v>1837</v>
      </c>
      <c r="AC23" s="111" t="s">
        <v>1841</v>
      </c>
      <c r="AD23" s="112">
        <v>46030.37144675926</v>
      </c>
      <c r="AE23" s="111" t="s">
        <v>1846</v>
      </c>
      <c r="AF23" s="122"/>
      <c r="AG23" s="122"/>
      <c r="AH23" s="122"/>
    </row>
    <row r="24" ht="22.5" customHeight="1">
      <c r="A24" s="73"/>
      <c r="B24" s="73"/>
      <c r="C24" s="73"/>
      <c r="D24" s="73"/>
      <c r="E24" s="154" t="s">
        <v>219</v>
      </c>
      <c r="F24" s="110" t="s">
        <v>221</v>
      </c>
      <c r="G24" s="96">
        <f>IFERROR(__xludf.DUMMYFUNCTION("GOOGLEFINANCE(E24, ""price"")"),356.26)</f>
        <v>356.26</v>
      </c>
      <c r="H24" s="97">
        <f>IFERROR(__xludf.DUMMYFUNCTION("GOOGLEFINANCE(E24, ""low"")"),354.8)</f>
        <v>354.8</v>
      </c>
      <c r="I24" s="99">
        <f>IFERROR(__xludf.DUMMYFUNCTION("GOOGLEFINANCE(E24, ""high"")"),362.9)</f>
        <v>362.9</v>
      </c>
      <c r="J24" s="128"/>
      <c r="K24" s="129">
        <v>26.17</v>
      </c>
      <c r="L24" s="129">
        <v>81.35</v>
      </c>
      <c r="M24" s="129">
        <v>35.38</v>
      </c>
      <c r="N24" s="129">
        <v>7.33</v>
      </c>
      <c r="O24" s="129" t="s">
        <v>170</v>
      </c>
      <c r="P24" s="129">
        <v>248.89</v>
      </c>
      <c r="Q24" s="130">
        <v>45814.12637445602</v>
      </c>
      <c r="R24" s="131" t="b">
        <v>1</v>
      </c>
      <c r="S24" s="110" t="s">
        <v>1898</v>
      </c>
      <c r="T24" s="110">
        <v>0.0</v>
      </c>
      <c r="U24" s="110" t="s">
        <v>219</v>
      </c>
      <c r="V24" s="110" t="s">
        <v>1904</v>
      </c>
      <c r="W24" s="110" t="s">
        <v>1907</v>
      </c>
      <c r="X24" s="110" t="s">
        <v>1911</v>
      </c>
      <c r="Y24" s="110" t="s">
        <v>1913</v>
      </c>
      <c r="Z24" s="110" t="s">
        <v>1916</v>
      </c>
      <c r="AA24" s="110" t="s">
        <v>1919</v>
      </c>
      <c r="AB24" s="110" t="s">
        <v>1922</v>
      </c>
      <c r="AC24" s="110" t="s">
        <v>1924</v>
      </c>
      <c r="AD24" s="132">
        <v>46030.37144675926</v>
      </c>
      <c r="AE24" s="110" t="s">
        <v>1928</v>
      </c>
      <c r="AF24" s="133"/>
      <c r="AG24" s="133"/>
      <c r="AH24" s="133"/>
    </row>
    <row r="25" ht="22.5" customHeight="1">
      <c r="A25" s="73"/>
      <c r="B25" s="73"/>
      <c r="C25" s="73"/>
      <c r="D25" s="73"/>
      <c r="E25" s="117" t="s">
        <v>1944</v>
      </c>
      <c r="F25" s="111" t="s">
        <v>1949</v>
      </c>
      <c r="G25" s="96">
        <f>IFERROR(__xludf.DUMMYFUNCTION("GOOGLEFINANCE(E25, ""price"")"),164.46)</f>
        <v>164.46</v>
      </c>
      <c r="H25" s="118"/>
      <c r="I25" s="118"/>
      <c r="J25" s="119"/>
      <c r="K25" s="120"/>
      <c r="L25" s="120"/>
      <c r="M25" s="120"/>
      <c r="N25" s="120"/>
      <c r="O25" s="118"/>
      <c r="P25" s="120"/>
      <c r="Q25" s="121"/>
      <c r="R25" s="109" t="b">
        <v>1</v>
      </c>
      <c r="S25" s="110" t="s">
        <v>1976</v>
      </c>
      <c r="T25" s="110">
        <v>0.0</v>
      </c>
      <c r="U25" s="111" t="s">
        <v>1944</v>
      </c>
      <c r="V25" s="111" t="s">
        <v>1982</v>
      </c>
      <c r="W25" s="111" t="s">
        <v>1984</v>
      </c>
      <c r="X25" s="111" t="s">
        <v>1988</v>
      </c>
      <c r="Y25" s="111" t="s">
        <v>1991</v>
      </c>
      <c r="Z25" s="111" t="s">
        <v>1994</v>
      </c>
      <c r="AA25" s="111" t="s">
        <v>1998</v>
      </c>
      <c r="AB25" s="111" t="s">
        <v>2001</v>
      </c>
      <c r="AC25" s="111" t="s">
        <v>2003</v>
      </c>
      <c r="AD25" s="111" t="s">
        <v>2005</v>
      </c>
      <c r="AE25" s="111" t="s">
        <v>2007</v>
      </c>
      <c r="AF25" s="122"/>
      <c r="AG25" s="122"/>
      <c r="AH25" s="122"/>
    </row>
    <row r="26" ht="22.5" customHeight="1">
      <c r="A26" s="73"/>
      <c r="B26" s="73"/>
      <c r="C26" s="73"/>
      <c r="D26" s="73"/>
      <c r="E26" s="127" t="s">
        <v>2024</v>
      </c>
      <c r="F26" s="110" t="s">
        <v>2027</v>
      </c>
      <c r="G26" s="96">
        <f>IFERROR(__xludf.DUMMYFUNCTION("GOOGLEFINANCE(E26, ""price"")"),201.51)</f>
        <v>201.51</v>
      </c>
      <c r="H26" s="97">
        <f>IFERROR(__xludf.DUMMYFUNCTION("GOOGLEFINANCE(E26, ""low"")"),197.98)</f>
        <v>197.98</v>
      </c>
      <c r="I26" s="99">
        <f>IFERROR(__xludf.DUMMYFUNCTION("GOOGLEFINANCE(E26, ""high"")"),204.07)</f>
        <v>204.07</v>
      </c>
      <c r="J26" s="144"/>
      <c r="K26" s="145"/>
      <c r="L26" s="129">
        <v>45.52</v>
      </c>
      <c r="M26" s="129">
        <v>35.64</v>
      </c>
      <c r="N26" s="129">
        <v>5.79</v>
      </c>
      <c r="O26" s="110" t="s">
        <v>245</v>
      </c>
      <c r="P26" s="129">
        <v>198.22</v>
      </c>
      <c r="Q26" s="130">
        <v>45821.67355234954</v>
      </c>
      <c r="R26" s="131" t="b">
        <v>1</v>
      </c>
      <c r="S26" s="110" t="s">
        <v>2058</v>
      </c>
      <c r="T26" s="110">
        <v>0.0</v>
      </c>
      <c r="U26" s="110" t="s">
        <v>2024</v>
      </c>
      <c r="V26" s="110" t="s">
        <v>2068</v>
      </c>
      <c r="W26" s="110" t="s">
        <v>2071</v>
      </c>
      <c r="X26" s="110" t="s">
        <v>2075</v>
      </c>
      <c r="Y26" s="110" t="s">
        <v>2079</v>
      </c>
      <c r="Z26" s="110" t="s">
        <v>2083</v>
      </c>
      <c r="AA26" s="110" t="s">
        <v>2084</v>
      </c>
      <c r="AB26" s="110" t="s">
        <v>2087</v>
      </c>
      <c r="AC26" s="110" t="s">
        <v>2090</v>
      </c>
      <c r="AD26" s="132">
        <v>46030.37144675926</v>
      </c>
      <c r="AE26" s="110" t="s">
        <v>2094</v>
      </c>
      <c r="AF26" s="133"/>
      <c r="AG26" s="133"/>
      <c r="AH26" s="133"/>
    </row>
    <row r="27" ht="22.5" customHeight="1">
      <c r="A27" s="73"/>
      <c r="B27" s="73"/>
      <c r="C27" s="73"/>
      <c r="D27" s="73"/>
      <c r="E27" s="155" t="s">
        <v>211</v>
      </c>
      <c r="F27" s="125" t="s">
        <v>212</v>
      </c>
      <c r="G27" s="96">
        <f>IFERROR(__xludf.DUMMYFUNCTION("GOOGLEFINANCE(E27, ""price"")"),110.98)</f>
        <v>110.98</v>
      </c>
      <c r="H27" s="97">
        <f>IFERROR(__xludf.DUMMYFUNCTION("GOOGLEFINANCE(E27, ""low"")"),110.87)</f>
        <v>110.87</v>
      </c>
      <c r="I27" s="99">
        <f>IFERROR(__xludf.DUMMYFUNCTION("GOOGLEFINANCE(E27, ""high"")"),112.28)</f>
        <v>112.28</v>
      </c>
      <c r="J27" s="126"/>
      <c r="K27" s="106"/>
      <c r="L27" s="106"/>
      <c r="M27" s="106"/>
      <c r="N27" s="106"/>
      <c r="O27" s="125" t="s">
        <v>213</v>
      </c>
      <c r="P27" s="104">
        <v>117.11</v>
      </c>
      <c r="Q27" s="108">
        <v>45856.30512809027</v>
      </c>
      <c r="R27" s="109" t="b">
        <v>1</v>
      </c>
      <c r="S27" s="110" t="s">
        <v>346</v>
      </c>
      <c r="T27" s="110">
        <v>0.0</v>
      </c>
      <c r="U27" s="111" t="s">
        <v>211</v>
      </c>
      <c r="V27" s="111" t="s">
        <v>2138</v>
      </c>
      <c r="W27" s="111" t="s">
        <v>2143</v>
      </c>
      <c r="X27" s="111" t="s">
        <v>2145</v>
      </c>
      <c r="Y27" s="111" t="s">
        <v>2147</v>
      </c>
      <c r="Z27" s="111" t="s">
        <v>2149</v>
      </c>
      <c r="AA27" s="111" t="s">
        <v>2153</v>
      </c>
      <c r="AB27" s="111" t="s">
        <v>2156</v>
      </c>
      <c r="AC27" s="111" t="s">
        <v>2157</v>
      </c>
      <c r="AD27" s="112">
        <v>46030.37144675926</v>
      </c>
      <c r="AE27" s="111" t="s">
        <v>2162</v>
      </c>
      <c r="AF27" s="111"/>
      <c r="AG27" s="111"/>
      <c r="AH27" s="111"/>
    </row>
    <row r="28" ht="22.5" customHeight="1">
      <c r="A28" s="73"/>
      <c r="B28" s="73"/>
      <c r="C28" s="73"/>
      <c r="D28" s="73"/>
      <c r="E28" s="157" t="s">
        <v>1450</v>
      </c>
      <c r="F28" s="95" t="s">
        <v>1451</v>
      </c>
      <c r="G28" s="96">
        <f>IFERROR(__xludf.DUMMYFUNCTION("GOOGLEFINANCE(E28, ""price"")"),2.89)</f>
        <v>2.89</v>
      </c>
      <c r="H28" s="97">
        <f>IFERROR(__xludf.DUMMYFUNCTION("GOOGLEFINANCE(E28, ""low"")"),2.84)</f>
        <v>2.84</v>
      </c>
      <c r="I28" s="99">
        <f>IFERROR(__xludf.DUMMYFUNCTION("GOOGLEFINANCE(E28, ""high"")"),2.9)</f>
        <v>2.9</v>
      </c>
      <c r="J28" s="100"/>
      <c r="K28" s="104">
        <v>-0.46</v>
      </c>
      <c r="L28" s="104">
        <v>63.98</v>
      </c>
      <c r="M28" s="104">
        <v>47.18</v>
      </c>
      <c r="N28" s="104">
        <v>0.71</v>
      </c>
      <c r="O28" s="125" t="s">
        <v>998</v>
      </c>
      <c r="P28" s="104">
        <v>7.1</v>
      </c>
      <c r="Q28" s="108">
        <v>45855.328992083334</v>
      </c>
      <c r="R28" s="109" t="b">
        <v>1</v>
      </c>
      <c r="S28" s="110" t="s">
        <v>2208</v>
      </c>
      <c r="T28" s="110">
        <v>0.0</v>
      </c>
      <c r="U28" s="111" t="s">
        <v>1450</v>
      </c>
      <c r="V28" s="111" t="s">
        <v>2209</v>
      </c>
      <c r="W28" s="111" t="s">
        <v>2210</v>
      </c>
      <c r="X28" s="111" t="s">
        <v>2212</v>
      </c>
      <c r="Y28" s="111" t="s">
        <v>2215</v>
      </c>
      <c r="Z28" s="111" t="s">
        <v>2217</v>
      </c>
      <c r="AA28" s="111" t="s">
        <v>2219</v>
      </c>
      <c r="AB28" s="111" t="s">
        <v>1905</v>
      </c>
      <c r="AC28" s="111" t="s">
        <v>2222</v>
      </c>
      <c r="AD28" s="112">
        <v>46030.37144675926</v>
      </c>
      <c r="AE28" s="111" t="s">
        <v>1941</v>
      </c>
      <c r="AF28" s="122"/>
      <c r="AG28" s="122"/>
      <c r="AH28" s="122"/>
    </row>
    <row r="29" ht="22.5" customHeight="1">
      <c r="A29" s="73"/>
      <c r="B29" s="73"/>
      <c r="C29" s="73"/>
      <c r="D29" s="73"/>
      <c r="E29" s="117" t="s">
        <v>467</v>
      </c>
      <c r="F29" s="111" t="s">
        <v>935</v>
      </c>
      <c r="G29" s="96">
        <f>IFERROR(__xludf.DUMMYFUNCTION("GOOGLEFINANCE(E29, ""price"")"),1066.03)</f>
        <v>1066.03</v>
      </c>
      <c r="H29" s="118"/>
      <c r="I29" s="118"/>
      <c r="J29" s="119"/>
      <c r="K29" s="120"/>
      <c r="L29" s="120"/>
      <c r="M29" s="120"/>
      <c r="N29" s="120"/>
      <c r="O29" s="118"/>
      <c r="P29" s="120"/>
      <c r="Q29" s="121"/>
      <c r="R29" s="109" t="b">
        <v>1</v>
      </c>
      <c r="S29" s="110" t="s">
        <v>2256</v>
      </c>
      <c r="T29" s="110">
        <v>0.0</v>
      </c>
      <c r="U29" s="111" t="s">
        <v>467</v>
      </c>
      <c r="V29" s="111" t="s">
        <v>2260</v>
      </c>
      <c r="W29" s="111" t="s">
        <v>2263</v>
      </c>
      <c r="X29" s="111" t="s">
        <v>2266</v>
      </c>
      <c r="Y29" s="111" t="s">
        <v>2269</v>
      </c>
      <c r="Z29" s="111" t="s">
        <v>2271</v>
      </c>
      <c r="AA29" s="111" t="s">
        <v>2274</v>
      </c>
      <c r="AB29" s="111" t="s">
        <v>2278</v>
      </c>
      <c r="AC29" s="111" t="s">
        <v>2279</v>
      </c>
      <c r="AD29" s="112">
        <v>46150.444386574076</v>
      </c>
      <c r="AE29" s="111" t="s">
        <v>2284</v>
      </c>
      <c r="AF29" s="122"/>
      <c r="AG29" s="122"/>
      <c r="AH29" s="122"/>
    </row>
    <row r="30" ht="22.5" customHeight="1">
      <c r="A30" s="73"/>
      <c r="B30" s="73"/>
      <c r="C30" s="73"/>
      <c r="D30" s="73"/>
      <c r="E30" s="127" t="s">
        <v>2297</v>
      </c>
      <c r="F30" s="110" t="s">
        <v>2300</v>
      </c>
      <c r="G30" s="96">
        <f>IFERROR(__xludf.DUMMYFUNCTION("GOOGLEFINANCE(E30, ""price"")"),133.4)</f>
        <v>133.4</v>
      </c>
      <c r="H30" s="97">
        <f>IFERROR(__xludf.DUMMYFUNCTION("GOOGLEFINANCE(E30, ""low"")"),131.89)</f>
        <v>131.89</v>
      </c>
      <c r="I30" s="99">
        <f>IFERROR(__xludf.DUMMYFUNCTION("GOOGLEFINANCE(E30, ""high"")"),134.29)</f>
        <v>134.29</v>
      </c>
      <c r="J30" s="128"/>
      <c r="K30" s="129">
        <v>10.75</v>
      </c>
      <c r="L30" s="129">
        <v>48.28</v>
      </c>
      <c r="M30" s="129">
        <v>28.46</v>
      </c>
      <c r="N30" s="129" t="s">
        <v>2319</v>
      </c>
      <c r="O30" s="110" t="s">
        <v>245</v>
      </c>
      <c r="P30" s="129">
        <v>158.18</v>
      </c>
      <c r="Q30" s="130">
        <v>46072.14340472222</v>
      </c>
      <c r="R30" s="131" t="b">
        <v>1</v>
      </c>
      <c r="S30" s="110" t="s">
        <v>2330</v>
      </c>
      <c r="T30" s="110">
        <v>0.0</v>
      </c>
      <c r="U30" s="110" t="s">
        <v>2297</v>
      </c>
      <c r="V30" s="110" t="s">
        <v>2333</v>
      </c>
      <c r="W30" s="110" t="s">
        <v>2334</v>
      </c>
      <c r="X30" s="110" t="s">
        <v>2336</v>
      </c>
      <c r="Y30" s="110" t="s">
        <v>2338</v>
      </c>
      <c r="Z30" s="110" t="s">
        <v>2339</v>
      </c>
      <c r="AA30" s="110" t="s">
        <v>2340</v>
      </c>
      <c r="AB30" s="110" t="s">
        <v>1309</v>
      </c>
      <c r="AC30" s="110" t="s">
        <v>2344</v>
      </c>
      <c r="AD30" s="132">
        <v>46030.37144675926</v>
      </c>
      <c r="AE30" s="110" t="s">
        <v>2347</v>
      </c>
      <c r="AF30" s="133"/>
      <c r="AG30" s="133"/>
      <c r="AH30" s="133"/>
    </row>
    <row r="31" ht="22.5" customHeight="1">
      <c r="A31" s="73"/>
      <c r="B31" s="73"/>
      <c r="C31" s="73"/>
      <c r="D31" s="73"/>
      <c r="E31" s="117" t="s">
        <v>289</v>
      </c>
      <c r="F31" s="111" t="s">
        <v>290</v>
      </c>
      <c r="G31" s="96">
        <f>IFERROR(__xludf.DUMMYFUNCTION("GOOGLEFINANCE(E31, ""price"")"),27.53)</f>
        <v>27.53</v>
      </c>
      <c r="H31" s="118"/>
      <c r="I31" s="118"/>
      <c r="J31" s="135"/>
      <c r="K31" s="120"/>
      <c r="L31" s="120"/>
      <c r="M31" s="120"/>
      <c r="N31" s="120"/>
      <c r="O31" s="118"/>
      <c r="P31" s="120"/>
      <c r="Q31" s="121"/>
      <c r="R31" s="109" t="b">
        <v>1</v>
      </c>
      <c r="S31" s="110" t="s">
        <v>2381</v>
      </c>
      <c r="T31" s="110">
        <v>0.0</v>
      </c>
      <c r="U31" s="111" t="s">
        <v>289</v>
      </c>
      <c r="V31" s="111" t="s">
        <v>2383</v>
      </c>
      <c r="W31" s="111" t="s">
        <v>2385</v>
      </c>
      <c r="X31" s="111" t="s">
        <v>2388</v>
      </c>
      <c r="Y31" s="111" t="s">
        <v>2390</v>
      </c>
      <c r="Z31" s="111" t="s">
        <v>2392</v>
      </c>
      <c r="AA31" s="111" t="s">
        <v>2395</v>
      </c>
      <c r="AB31" s="111" t="s">
        <v>2156</v>
      </c>
      <c r="AC31" s="111" t="s">
        <v>2400</v>
      </c>
      <c r="AD31" s="112">
        <v>46303.94436342592</v>
      </c>
      <c r="AE31" s="111" t="s">
        <v>2403</v>
      </c>
      <c r="AF31" s="122"/>
      <c r="AG31" s="122"/>
      <c r="AH31" s="122"/>
    </row>
    <row r="32" ht="22.5" customHeight="1">
      <c r="A32" s="73"/>
      <c r="B32" s="73"/>
      <c r="C32" s="73"/>
      <c r="D32" s="73"/>
      <c r="E32" s="117" t="s">
        <v>2412</v>
      </c>
      <c r="F32" s="111" t="s">
        <v>2414</v>
      </c>
      <c r="G32" s="96">
        <f>IFERROR(__xludf.DUMMYFUNCTION("GOOGLEFINANCE(E32, ""price"")"),3.9)</f>
        <v>3.9</v>
      </c>
      <c r="H32" s="118"/>
      <c r="I32" s="118"/>
      <c r="J32" s="119"/>
      <c r="K32" s="120"/>
      <c r="L32" s="120"/>
      <c r="M32" s="120"/>
      <c r="N32" s="120"/>
      <c r="O32" s="118"/>
      <c r="P32" s="120"/>
      <c r="Q32" s="121"/>
      <c r="R32" s="109" t="b">
        <v>1</v>
      </c>
      <c r="S32" s="110" t="s">
        <v>2423</v>
      </c>
      <c r="T32" s="110">
        <v>0.0</v>
      </c>
      <c r="U32" s="111" t="s">
        <v>2412</v>
      </c>
      <c r="V32" s="111" t="s">
        <v>2425</v>
      </c>
      <c r="W32" s="111" t="s">
        <v>2426</v>
      </c>
      <c r="X32" s="111" t="s">
        <v>2428</v>
      </c>
      <c r="Y32" s="111" t="s">
        <v>2429</v>
      </c>
      <c r="Z32" s="111" t="s">
        <v>2432</v>
      </c>
      <c r="AA32" s="111" t="s">
        <v>2434</v>
      </c>
      <c r="AB32" s="111" t="s">
        <v>2278</v>
      </c>
      <c r="AC32" s="111" t="s">
        <v>2436</v>
      </c>
      <c r="AD32" s="112">
        <v>46030.37144675926</v>
      </c>
      <c r="AE32" s="111" t="s">
        <v>2438</v>
      </c>
      <c r="AF32" s="122"/>
      <c r="AG32" s="122"/>
      <c r="AH32" s="122"/>
    </row>
    <row r="33" ht="22.5" customHeight="1">
      <c r="A33" s="73"/>
      <c r="B33" s="73"/>
      <c r="C33" s="73"/>
      <c r="D33" s="73"/>
      <c r="E33" s="127" t="s">
        <v>882</v>
      </c>
      <c r="F33" s="110" t="s">
        <v>883</v>
      </c>
      <c r="G33" s="96">
        <f>IFERROR(__xludf.DUMMYFUNCTION("GOOGLEFINANCE(E33, ""price"")"),508.51)</f>
        <v>508.51</v>
      </c>
      <c r="H33" s="97">
        <f>IFERROR(__xludf.DUMMYFUNCTION("GOOGLEFINANCE(E33, ""low"")"),502.81)</f>
        <v>502.81</v>
      </c>
      <c r="I33" s="99">
        <f>IFERROR(__xludf.DUMMYFUNCTION("GOOGLEFINANCE(E33, ""high"")"),509.85)</f>
        <v>509.85</v>
      </c>
      <c r="J33" s="128"/>
      <c r="K33" s="129">
        <v>3.53</v>
      </c>
      <c r="L33" s="129">
        <v>60.7</v>
      </c>
      <c r="M33" s="129">
        <v>12.67</v>
      </c>
      <c r="N33" s="129">
        <v>6.13</v>
      </c>
      <c r="O33" s="143"/>
      <c r="P33" s="106">
        <v>480.42</v>
      </c>
      <c r="Q33" s="130">
        <v>45709.677997314815</v>
      </c>
      <c r="R33" s="131" t="b">
        <v>1</v>
      </c>
      <c r="S33" s="110" t="s">
        <v>2453</v>
      </c>
      <c r="T33" s="110">
        <v>0.0</v>
      </c>
      <c r="U33" s="110" t="s">
        <v>882</v>
      </c>
      <c r="V33" s="110" t="s">
        <v>2454</v>
      </c>
      <c r="W33" s="110" t="s">
        <v>2455</v>
      </c>
      <c r="X33" s="110" t="s">
        <v>2456</v>
      </c>
      <c r="Y33" s="110" t="s">
        <v>2457</v>
      </c>
      <c r="Z33" s="110" t="s">
        <v>2458</v>
      </c>
      <c r="AA33" s="110" t="s">
        <v>2459</v>
      </c>
      <c r="AB33" s="110" t="s">
        <v>2460</v>
      </c>
      <c r="AC33" s="110" t="s">
        <v>2461</v>
      </c>
      <c r="AD33" s="132">
        <v>46030.37144675926</v>
      </c>
      <c r="AE33" s="110" t="s">
        <v>2462</v>
      </c>
      <c r="AF33" s="110"/>
      <c r="AG33" s="110"/>
      <c r="AH33" s="110"/>
    </row>
    <row r="34" ht="22.5" customHeight="1">
      <c r="A34" s="73"/>
      <c r="B34" s="149" t="s">
        <v>327</v>
      </c>
      <c r="C34" s="150">
        <f>now()</f>
        <v>46288.71545</v>
      </c>
      <c r="D34" s="73"/>
      <c r="E34" s="160" t="s">
        <v>2468</v>
      </c>
      <c r="F34" s="125" t="s">
        <v>2471</v>
      </c>
      <c r="G34" s="96">
        <f>IFERROR(__xludf.DUMMYFUNCTION("GOOGLEFINANCE(E34, ""price"")"),38.6)</f>
        <v>38.6</v>
      </c>
      <c r="H34" s="97">
        <f>IFERROR(__xludf.DUMMYFUNCTION("GOOGLEFINANCE(E34, ""low"")"),37.72)</f>
        <v>37.72</v>
      </c>
      <c r="I34" s="99">
        <f>IFERROR(__xludf.DUMMYFUNCTION("GOOGLEFINANCE(E34, ""high"")"),38.94)</f>
        <v>38.94</v>
      </c>
      <c r="J34" s="161"/>
      <c r="K34" s="104">
        <v>21.88</v>
      </c>
      <c r="L34" s="104">
        <v>82.05</v>
      </c>
      <c r="M34" s="104">
        <v>37.66</v>
      </c>
      <c r="N34" s="104">
        <v>3.53</v>
      </c>
      <c r="O34" s="105" t="s">
        <v>2478</v>
      </c>
      <c r="P34" s="104">
        <v>86.5</v>
      </c>
      <c r="Q34" s="108">
        <v>45707.21796927083</v>
      </c>
      <c r="R34" s="109" t="b">
        <v>1</v>
      </c>
      <c r="S34" s="110" t="s">
        <v>2482</v>
      </c>
      <c r="T34" s="110">
        <v>0.0</v>
      </c>
      <c r="U34" s="111" t="s">
        <v>2468</v>
      </c>
      <c r="V34" s="111" t="s">
        <v>2483</v>
      </c>
      <c r="W34" s="111" t="s">
        <v>796</v>
      </c>
      <c r="X34" s="111" t="s">
        <v>2487</v>
      </c>
      <c r="Y34" s="111" t="s">
        <v>2489</v>
      </c>
      <c r="Z34" s="111" t="s">
        <v>2491</v>
      </c>
      <c r="AA34" s="111" t="s">
        <v>2493</v>
      </c>
      <c r="AB34" s="111" t="s">
        <v>1837</v>
      </c>
      <c r="AC34" s="111" t="s">
        <v>2495</v>
      </c>
      <c r="AD34" s="112">
        <v>46030.37144675926</v>
      </c>
      <c r="AE34" s="111" t="s">
        <v>2497</v>
      </c>
      <c r="AF34" s="122"/>
      <c r="AG34" s="122"/>
      <c r="AH34" s="122"/>
    </row>
    <row r="35" ht="22.5" customHeight="1">
      <c r="A35" s="73"/>
      <c r="B35" s="73"/>
      <c r="C35" s="73"/>
      <c r="D35" s="73"/>
      <c r="E35" s="127" t="s">
        <v>2506</v>
      </c>
      <c r="F35" s="110" t="s">
        <v>2508</v>
      </c>
      <c r="G35" s="96">
        <f>IFERROR(__xludf.DUMMYFUNCTION("GOOGLEFINANCE(E35, ""price"")"),10.14)</f>
        <v>10.14</v>
      </c>
      <c r="H35" s="97">
        <f>IFERROR(__xludf.DUMMYFUNCTION("GOOGLEFINANCE(E35, ""low"")"),10.13)</f>
        <v>10.13</v>
      </c>
      <c r="I35" s="99">
        <f>IFERROR(__xludf.DUMMYFUNCTION("GOOGLEFINANCE(E35, ""high"")"),10.22)</f>
        <v>10.22</v>
      </c>
      <c r="J35" s="144"/>
      <c r="K35" s="145"/>
      <c r="L35" s="145"/>
      <c r="M35" s="145"/>
      <c r="N35" s="145"/>
      <c r="O35" s="143"/>
      <c r="P35" s="129">
        <v>99.11</v>
      </c>
      <c r="Q35" s="130">
        <v>45769.732814953706</v>
      </c>
      <c r="R35" s="131" t="b">
        <v>1</v>
      </c>
      <c r="S35" s="110" t="s">
        <v>2516</v>
      </c>
      <c r="T35" s="110">
        <v>0.0</v>
      </c>
      <c r="U35" s="110" t="s">
        <v>2506</v>
      </c>
      <c r="V35" s="110" t="s">
        <v>2519</v>
      </c>
      <c r="W35" s="110" t="s">
        <v>2521</v>
      </c>
      <c r="X35" s="110" t="s">
        <v>2522</v>
      </c>
      <c r="Y35" s="110" t="s">
        <v>2524</v>
      </c>
      <c r="Z35" s="110" t="s">
        <v>2525</v>
      </c>
      <c r="AA35" s="110" t="s">
        <v>2527</v>
      </c>
      <c r="AB35" s="110" t="s">
        <v>1154</v>
      </c>
      <c r="AC35" s="110" t="s">
        <v>2528</v>
      </c>
      <c r="AD35" s="132">
        <v>46030.37144675926</v>
      </c>
      <c r="AE35" s="110" t="s">
        <v>2530</v>
      </c>
      <c r="AF35" s="133"/>
      <c r="AG35" s="133"/>
      <c r="AH35" s="133"/>
    </row>
    <row r="36" ht="22.5" customHeight="1">
      <c r="A36" s="73"/>
      <c r="B36" s="73"/>
      <c r="C36" s="73"/>
      <c r="D36" s="73"/>
      <c r="E36" s="125" t="s">
        <v>2536</v>
      </c>
      <c r="F36" s="125" t="s">
        <v>2537</v>
      </c>
      <c r="G36" s="96">
        <f>IFERROR(__xludf.DUMMYFUNCTION("GOOGLEFINANCE(E36, ""price"")"),106.1)</f>
        <v>106.1</v>
      </c>
      <c r="H36" s="97">
        <f>IFERROR(__xludf.DUMMYFUNCTION("GOOGLEFINANCE(E36, ""low"")"),104.65)</f>
        <v>104.65</v>
      </c>
      <c r="I36" s="99">
        <f>IFERROR(__xludf.DUMMYFUNCTION("GOOGLEFINANCE(E36, ""high"")"),107.5)</f>
        <v>107.5</v>
      </c>
      <c r="J36" s="152"/>
      <c r="K36" s="106"/>
      <c r="L36" s="106"/>
      <c r="M36" s="106"/>
      <c r="N36" s="106"/>
      <c r="O36" s="105"/>
      <c r="P36" s="106">
        <v>161.7</v>
      </c>
      <c r="Q36" s="108"/>
      <c r="R36" s="109" t="b">
        <v>1</v>
      </c>
      <c r="S36" s="110" t="s">
        <v>2547</v>
      </c>
      <c r="T36" s="110">
        <v>0.0</v>
      </c>
      <c r="U36" s="111" t="s">
        <v>2536</v>
      </c>
      <c r="V36" s="111" t="s">
        <v>2549</v>
      </c>
      <c r="W36" s="111" t="s">
        <v>2551</v>
      </c>
      <c r="X36" s="111" t="s">
        <v>2553</v>
      </c>
      <c r="Y36" s="111" t="s">
        <v>2555</v>
      </c>
      <c r="Z36" s="111" t="s">
        <v>2557</v>
      </c>
      <c r="AA36" s="111" t="s">
        <v>2559</v>
      </c>
      <c r="AB36" s="111" t="s">
        <v>2560</v>
      </c>
      <c r="AC36" s="111" t="s">
        <v>2562</v>
      </c>
      <c r="AD36" s="112">
        <v>46030.37144675926</v>
      </c>
      <c r="AE36" s="111" t="s">
        <v>2563</v>
      </c>
      <c r="AF36" s="122"/>
      <c r="AG36" s="122"/>
      <c r="AH36" s="122"/>
    </row>
    <row r="37" ht="22.5" customHeight="1">
      <c r="A37" s="73"/>
      <c r="B37" s="73"/>
      <c r="C37" s="73"/>
      <c r="D37" s="73"/>
      <c r="E37" s="117" t="s">
        <v>2570</v>
      </c>
      <c r="F37" s="111" t="s">
        <v>2572</v>
      </c>
      <c r="G37" s="96">
        <f>IFERROR(__xludf.DUMMYFUNCTION("GOOGLEFINANCE(E37, ""price"")"),110.15)</f>
        <v>110.15</v>
      </c>
      <c r="H37" s="118"/>
      <c r="I37" s="118"/>
      <c r="J37" s="119"/>
      <c r="K37" s="120"/>
      <c r="L37" s="120"/>
      <c r="M37" s="120"/>
      <c r="N37" s="120"/>
      <c r="O37" s="118"/>
      <c r="P37" s="120"/>
      <c r="Q37" s="121"/>
      <c r="R37" s="109" t="b">
        <v>1</v>
      </c>
      <c r="S37" s="110" t="s">
        <v>2587</v>
      </c>
      <c r="T37" s="110">
        <v>0.0</v>
      </c>
      <c r="U37" s="111" t="s">
        <v>2570</v>
      </c>
      <c r="V37" s="111" t="s">
        <v>2589</v>
      </c>
      <c r="W37" s="111" t="s">
        <v>894</v>
      </c>
      <c r="X37" s="111" t="s">
        <v>2590</v>
      </c>
      <c r="Y37" s="111" t="s">
        <v>2591</v>
      </c>
      <c r="Z37" s="111" t="s">
        <v>2593</v>
      </c>
      <c r="AA37" s="111" t="s">
        <v>2595</v>
      </c>
      <c r="AB37" s="111" t="s">
        <v>2597</v>
      </c>
      <c r="AC37" s="111" t="s">
        <v>2599</v>
      </c>
      <c r="AD37" s="112">
        <v>46030.37144675926</v>
      </c>
      <c r="AE37" s="111" t="s">
        <v>2602</v>
      </c>
      <c r="AF37" s="122"/>
      <c r="AG37" s="122"/>
      <c r="AH37" s="122"/>
    </row>
    <row r="38" ht="22.5" customHeight="1">
      <c r="A38" s="73"/>
      <c r="B38" s="73"/>
      <c r="C38" s="73"/>
      <c r="D38" s="73"/>
      <c r="E38" s="117" t="s">
        <v>2605</v>
      </c>
      <c r="F38" s="111" t="s">
        <v>2606</v>
      </c>
      <c r="G38" s="96">
        <f>IFERROR(__xludf.DUMMYFUNCTION("GOOGLEFINANCE(E38, ""price"")"),336.84)</f>
        <v>336.84</v>
      </c>
      <c r="H38" s="118"/>
      <c r="I38" s="118"/>
      <c r="J38" s="119"/>
      <c r="K38" s="120"/>
      <c r="L38" s="120"/>
      <c r="M38" s="120"/>
      <c r="N38" s="120"/>
      <c r="O38" s="118"/>
      <c r="P38" s="120"/>
      <c r="Q38" s="121"/>
      <c r="R38" s="109" t="b">
        <v>1</v>
      </c>
      <c r="S38" s="110" t="s">
        <v>2613</v>
      </c>
      <c r="T38" s="110">
        <v>0.0</v>
      </c>
      <c r="U38" s="111" t="s">
        <v>2605</v>
      </c>
      <c r="V38" s="111" t="s">
        <v>2616</v>
      </c>
      <c r="W38" s="111" t="s">
        <v>2618</v>
      </c>
      <c r="X38" s="111" t="s">
        <v>2619</v>
      </c>
      <c r="Y38" s="111" t="s">
        <v>2621</v>
      </c>
      <c r="Z38" s="111" t="s">
        <v>2622</v>
      </c>
      <c r="AA38" s="111" t="s">
        <v>2624</v>
      </c>
      <c r="AB38" s="111" t="s">
        <v>2625</v>
      </c>
      <c r="AC38" s="111" t="s">
        <v>2627</v>
      </c>
      <c r="AD38" s="112">
        <v>46150.444386574076</v>
      </c>
      <c r="AE38" s="111" t="s">
        <v>2629</v>
      </c>
      <c r="AF38" s="122"/>
      <c r="AG38" s="122"/>
      <c r="AH38" s="122"/>
    </row>
    <row r="39" ht="22.5" customHeight="1">
      <c r="A39" s="73"/>
      <c r="B39" s="73"/>
      <c r="C39" s="73"/>
      <c r="D39" s="73"/>
      <c r="E39" s="127" t="s">
        <v>2631</v>
      </c>
      <c r="F39" s="110" t="s">
        <v>2633</v>
      </c>
      <c r="G39" s="96">
        <f>IFERROR(__xludf.DUMMYFUNCTION("GOOGLEFINANCE(E39, ""price"")"),29.05)</f>
        <v>29.05</v>
      </c>
      <c r="H39" s="97">
        <f>IFERROR(__xludf.DUMMYFUNCTION("GOOGLEFINANCE(E39, ""low"")"),28.7)</f>
        <v>28.7</v>
      </c>
      <c r="I39" s="99">
        <f>IFERROR(__xludf.DUMMYFUNCTION("GOOGLEFINANCE(E39, ""high"")"),29.46)</f>
        <v>29.46</v>
      </c>
      <c r="J39" s="144"/>
      <c r="K39" s="145"/>
      <c r="L39" s="145"/>
      <c r="M39" s="145"/>
      <c r="N39" s="145"/>
      <c r="O39" s="110" t="s">
        <v>998</v>
      </c>
      <c r="P39" s="129">
        <v>57.5</v>
      </c>
      <c r="Q39" s="162">
        <v>45918.477911574075</v>
      </c>
      <c r="R39" s="131" t="b">
        <v>1</v>
      </c>
      <c r="S39" s="110" t="s">
        <v>2639</v>
      </c>
      <c r="T39" s="110">
        <v>0.0</v>
      </c>
      <c r="U39" s="110" t="s">
        <v>2631</v>
      </c>
      <c r="V39" s="110" t="s">
        <v>2641</v>
      </c>
      <c r="W39" s="110" t="s">
        <v>2643</v>
      </c>
      <c r="X39" s="110" t="s">
        <v>2645</v>
      </c>
      <c r="Y39" s="110" t="s">
        <v>2646</v>
      </c>
      <c r="Z39" s="110" t="s">
        <v>2648</v>
      </c>
      <c r="AA39" s="110" t="s">
        <v>2650</v>
      </c>
      <c r="AB39" s="110" t="s">
        <v>1154</v>
      </c>
      <c r="AC39" s="110" t="s">
        <v>2652</v>
      </c>
      <c r="AD39" s="132">
        <v>46030.37144675926</v>
      </c>
      <c r="AE39" s="110" t="s">
        <v>2653</v>
      </c>
      <c r="AF39" s="133"/>
      <c r="AG39" s="133"/>
      <c r="AH39" s="133"/>
    </row>
    <row r="40" ht="22.5" customHeight="1">
      <c r="A40" s="73"/>
      <c r="B40" s="73"/>
      <c r="C40" s="73"/>
      <c r="D40" s="73"/>
      <c r="E40" s="110" t="s">
        <v>2657</v>
      </c>
      <c r="F40" s="110" t="s">
        <v>2659</v>
      </c>
      <c r="G40" s="96">
        <f>IFERROR(__xludf.DUMMYFUNCTION("GOOGLEFINANCE(E40, ""price"")"),14.81)</f>
        <v>14.81</v>
      </c>
      <c r="H40" s="97">
        <f>IFERROR(__xludf.DUMMYFUNCTION("GOOGLEFINANCE(E40, ""low"")"),14.7)</f>
        <v>14.7</v>
      </c>
      <c r="I40" s="99">
        <f>IFERROR(__xludf.DUMMYFUNCTION("GOOGLEFINANCE(E40, ""high"")"),15.22)</f>
        <v>15.22</v>
      </c>
      <c r="J40" s="144"/>
      <c r="K40" s="145"/>
      <c r="L40" s="145"/>
      <c r="M40" s="145"/>
      <c r="N40" s="145"/>
      <c r="O40" s="129"/>
      <c r="P40" s="129">
        <v>9.16</v>
      </c>
      <c r="Q40" s="130">
        <v>45812.25111438657</v>
      </c>
      <c r="R40" s="131" t="b">
        <v>1</v>
      </c>
      <c r="S40" s="110" t="s">
        <v>2667</v>
      </c>
      <c r="T40" s="110">
        <v>0.0</v>
      </c>
      <c r="U40" s="110" t="s">
        <v>2657</v>
      </c>
      <c r="V40" s="110" t="s">
        <v>2669</v>
      </c>
      <c r="W40" s="110" t="s">
        <v>2670</v>
      </c>
      <c r="X40" s="110" t="s">
        <v>2672</v>
      </c>
      <c r="Y40" s="110" t="s">
        <v>2673</v>
      </c>
      <c r="Z40" s="110" t="s">
        <v>2675</v>
      </c>
      <c r="AA40" s="110" t="s">
        <v>2676</v>
      </c>
      <c r="AB40" s="110" t="s">
        <v>468</v>
      </c>
      <c r="AC40" s="110" t="s">
        <v>2678</v>
      </c>
      <c r="AD40" s="132">
        <v>46030.37144675926</v>
      </c>
      <c r="AE40" s="110" t="s">
        <v>2679</v>
      </c>
      <c r="AF40" s="133"/>
      <c r="AG40" s="133"/>
      <c r="AH40" s="133"/>
    </row>
    <row r="41" ht="22.5" customHeight="1">
      <c r="A41" s="73"/>
      <c r="B41" s="149" t="s">
        <v>327</v>
      </c>
      <c r="C41" s="150">
        <f>now()</f>
        <v>46288.71545</v>
      </c>
      <c r="D41" s="73"/>
      <c r="E41" s="127" t="s">
        <v>1189</v>
      </c>
      <c r="F41" s="110" t="s">
        <v>1190</v>
      </c>
      <c r="G41" s="96">
        <f>IFERROR(__xludf.DUMMYFUNCTION("GOOGLEFINANCE(E41, ""price"")"),148.75)</f>
        <v>148.75</v>
      </c>
      <c r="H41" s="97">
        <f>IFERROR(__xludf.DUMMYFUNCTION("GOOGLEFINANCE(E41, ""low"")"),147.95)</f>
        <v>147.95</v>
      </c>
      <c r="I41" s="99">
        <f>IFERROR(__xludf.DUMMYFUNCTION("GOOGLEFINANCE(E41, ""high"")"),150.95)</f>
        <v>150.95</v>
      </c>
      <c r="J41" s="144"/>
      <c r="K41" s="145"/>
      <c r="L41" s="145"/>
      <c r="M41" s="145"/>
      <c r="N41" s="145"/>
      <c r="O41" s="145"/>
      <c r="P41" s="145"/>
      <c r="Q41" s="130"/>
      <c r="R41" s="131" t="b">
        <v>1</v>
      </c>
      <c r="S41" s="110" t="s">
        <v>2711</v>
      </c>
      <c r="T41" s="110">
        <v>0.0</v>
      </c>
      <c r="U41" s="110" t="s">
        <v>1189</v>
      </c>
      <c r="V41" s="110" t="s">
        <v>2713</v>
      </c>
      <c r="W41" s="110" t="s">
        <v>2718</v>
      </c>
      <c r="X41" s="110" t="s">
        <v>2720</v>
      </c>
      <c r="Y41" s="110" t="s">
        <v>2722</v>
      </c>
      <c r="Z41" s="110" t="s">
        <v>2726</v>
      </c>
      <c r="AA41" s="110" t="s">
        <v>2729</v>
      </c>
      <c r="AB41" s="110" t="s">
        <v>2730</v>
      </c>
      <c r="AC41" s="110" t="s">
        <v>2732</v>
      </c>
      <c r="AD41" s="132">
        <v>46030.37144675926</v>
      </c>
      <c r="AE41" s="110" t="s">
        <v>2738</v>
      </c>
      <c r="AF41" s="133"/>
      <c r="AG41" s="133"/>
      <c r="AH41" s="133"/>
    </row>
    <row r="42" ht="22.5" customHeight="1">
      <c r="A42" s="73"/>
      <c r="B42" s="73"/>
      <c r="C42" s="73"/>
      <c r="D42" s="73"/>
      <c r="E42" s="127" t="s">
        <v>2746</v>
      </c>
      <c r="F42" s="110" t="s">
        <v>2747</v>
      </c>
      <c r="G42" s="96">
        <f>IFERROR(__xludf.DUMMYFUNCTION("GOOGLEFINANCE(E42, ""price"")"),30.25)</f>
        <v>30.25</v>
      </c>
      <c r="H42" s="97">
        <f>IFERROR(__xludf.DUMMYFUNCTION("GOOGLEFINANCE(E42, ""low"")"),28.84)</f>
        <v>28.84</v>
      </c>
      <c r="I42" s="99">
        <f>IFERROR(__xludf.DUMMYFUNCTION("GOOGLEFINANCE(E42, ""high"")"),31.26)</f>
        <v>31.26</v>
      </c>
      <c r="J42" s="128"/>
      <c r="K42" s="129">
        <v>4.27</v>
      </c>
      <c r="L42" s="129">
        <v>56.4</v>
      </c>
      <c r="M42" s="129">
        <v>14.94</v>
      </c>
      <c r="N42" s="129">
        <v>2.25</v>
      </c>
      <c r="O42" s="110" t="s">
        <v>2752</v>
      </c>
      <c r="P42" s="129">
        <v>57.43</v>
      </c>
      <c r="Q42" s="130">
        <v>45841.42246173611</v>
      </c>
      <c r="R42" s="131" t="b">
        <v>1</v>
      </c>
      <c r="S42" s="110" t="s">
        <v>2754</v>
      </c>
      <c r="T42" s="110">
        <v>0.0</v>
      </c>
      <c r="U42" s="110" t="s">
        <v>2746</v>
      </c>
      <c r="V42" s="110" t="s">
        <v>2755</v>
      </c>
      <c r="W42" s="110" t="s">
        <v>2757</v>
      </c>
      <c r="X42" s="110" t="s">
        <v>2758</v>
      </c>
      <c r="Y42" s="110" t="s">
        <v>2759</v>
      </c>
      <c r="Z42" s="110" t="s">
        <v>2761</v>
      </c>
      <c r="AA42" s="110" t="s">
        <v>2762</v>
      </c>
      <c r="AB42" s="110" t="s">
        <v>1154</v>
      </c>
      <c r="AC42" s="110" t="s">
        <v>2764</v>
      </c>
      <c r="AD42" s="132">
        <v>46030.37144675926</v>
      </c>
      <c r="AE42" s="110" t="s">
        <v>2765</v>
      </c>
      <c r="AF42" s="133"/>
      <c r="AG42" s="133"/>
      <c r="AH42" s="133"/>
    </row>
    <row r="43" ht="22.5" customHeight="1">
      <c r="A43" s="73"/>
      <c r="E43" s="117" t="s">
        <v>247</v>
      </c>
      <c r="F43" s="111" t="s">
        <v>248</v>
      </c>
      <c r="G43" s="96">
        <f>IFERROR(__xludf.DUMMYFUNCTION("GOOGLEFINANCE(E43, ""price"")"),128.64)</f>
        <v>128.64</v>
      </c>
      <c r="H43" s="118"/>
      <c r="I43" s="118"/>
      <c r="J43" s="135"/>
      <c r="K43" s="120"/>
      <c r="L43" s="120"/>
      <c r="M43" s="120"/>
      <c r="N43" s="120"/>
      <c r="O43" s="118"/>
      <c r="P43" s="120"/>
      <c r="Q43" s="121"/>
      <c r="R43" s="109" t="b">
        <v>1</v>
      </c>
      <c r="S43" s="110" t="s">
        <v>2772</v>
      </c>
      <c r="T43" s="110">
        <v>0.0</v>
      </c>
      <c r="U43" s="111" t="s">
        <v>247</v>
      </c>
      <c r="V43" s="111" t="s">
        <v>2773</v>
      </c>
      <c r="W43" s="111" t="s">
        <v>1160</v>
      </c>
      <c r="X43" s="111" t="s">
        <v>2774</v>
      </c>
      <c r="Y43" s="111" t="s">
        <v>2776</v>
      </c>
      <c r="Z43" s="111" t="s">
        <v>2777</v>
      </c>
      <c r="AA43" s="111" t="s">
        <v>2778</v>
      </c>
      <c r="AB43" s="111" t="s">
        <v>1142</v>
      </c>
      <c r="AC43" s="111" t="s">
        <v>2779</v>
      </c>
      <c r="AD43" s="111" t="s">
        <v>2005</v>
      </c>
      <c r="AE43" s="111" t="s">
        <v>1163</v>
      </c>
      <c r="AF43" s="122"/>
      <c r="AG43" s="122"/>
      <c r="AH43" s="122"/>
    </row>
    <row r="44" ht="22.5" customHeight="1">
      <c r="A44" s="73"/>
      <c r="E44" s="125" t="s">
        <v>416</v>
      </c>
      <c r="F44" s="125" t="s">
        <v>417</v>
      </c>
      <c r="G44" s="96">
        <f>IFERROR(__xludf.DUMMYFUNCTION("GOOGLEFINANCE(E44, ""price"")"),238.9)</f>
        <v>238.9</v>
      </c>
      <c r="H44" s="97">
        <f>IFERROR(__xludf.DUMMYFUNCTION("GOOGLEFINANCE(E44, ""low"")"),234.24)</f>
        <v>234.24</v>
      </c>
      <c r="I44" s="99">
        <f>IFERROR(__xludf.DUMMYFUNCTION("GOOGLEFINANCE(E44, ""high"")"),239.14)</f>
        <v>239.14</v>
      </c>
      <c r="J44" s="126"/>
      <c r="K44" s="106"/>
      <c r="L44" s="106"/>
      <c r="M44" s="106"/>
      <c r="N44" s="106"/>
      <c r="O44" s="105"/>
      <c r="P44" s="106"/>
      <c r="Q44" s="108"/>
      <c r="R44" s="109" t="b">
        <v>1</v>
      </c>
      <c r="S44" s="110" t="s">
        <v>2780</v>
      </c>
      <c r="T44" s="110">
        <v>0.0</v>
      </c>
      <c r="U44" s="111" t="s">
        <v>416</v>
      </c>
      <c r="V44" s="111" t="s">
        <v>2781</v>
      </c>
      <c r="W44" s="111" t="s">
        <v>2782</v>
      </c>
      <c r="X44" s="111" t="s">
        <v>2783</v>
      </c>
      <c r="Y44" s="111" t="s">
        <v>2784</v>
      </c>
      <c r="Z44" s="111" t="s">
        <v>2785</v>
      </c>
      <c r="AA44" s="111" t="s">
        <v>2786</v>
      </c>
      <c r="AB44" s="111" t="s">
        <v>2787</v>
      </c>
      <c r="AC44" s="111" t="s">
        <v>2788</v>
      </c>
      <c r="AD44" s="112">
        <v>46030.37144675926</v>
      </c>
      <c r="AE44" s="111" t="s">
        <v>2789</v>
      </c>
      <c r="AF44" s="122"/>
      <c r="AG44" s="122"/>
      <c r="AH44" s="122"/>
    </row>
    <row r="45" ht="22.5" customHeight="1">
      <c r="A45" s="73"/>
      <c r="E45" s="171" t="s">
        <v>183</v>
      </c>
      <c r="F45" s="95" t="s">
        <v>184</v>
      </c>
      <c r="G45" s="96">
        <f>IFERROR(__xludf.DUMMYFUNCTION("GOOGLEFINANCE(E45, ""price"")"),106.16)</f>
        <v>106.16</v>
      </c>
      <c r="H45" s="97">
        <f>IFERROR(__xludf.DUMMYFUNCTION("GOOGLEFINANCE(E45, ""low"")"),105.95)</f>
        <v>105.95</v>
      </c>
      <c r="I45" s="99">
        <f>IFERROR(__xludf.DUMMYFUNCTION("GOOGLEFINANCE(E45, ""high"")"),106.88)</f>
        <v>106.88</v>
      </c>
      <c r="J45" s="100"/>
      <c r="K45" s="106"/>
      <c r="L45" s="106"/>
      <c r="M45" s="106"/>
      <c r="N45" s="106"/>
      <c r="O45" s="105"/>
      <c r="P45" s="104">
        <v>57.13</v>
      </c>
      <c r="Q45" s="108">
        <v>45827.33328304398</v>
      </c>
      <c r="R45" s="109" t="b">
        <v>1</v>
      </c>
      <c r="S45" s="110" t="s">
        <v>2792</v>
      </c>
      <c r="T45" s="110">
        <v>0.0</v>
      </c>
      <c r="U45" s="111" t="s">
        <v>183</v>
      </c>
      <c r="V45" s="111" t="s">
        <v>2794</v>
      </c>
      <c r="W45" s="111" t="s">
        <v>2796</v>
      </c>
      <c r="X45" s="111" t="s">
        <v>2798</v>
      </c>
      <c r="Y45" s="111" t="s">
        <v>2800</v>
      </c>
      <c r="Z45" s="111" t="s">
        <v>2801</v>
      </c>
      <c r="AA45" s="111" t="s">
        <v>2802</v>
      </c>
      <c r="AB45" s="111" t="s">
        <v>933</v>
      </c>
      <c r="AC45" s="111" t="s">
        <v>2803</v>
      </c>
      <c r="AD45" s="112">
        <v>46030.37144675926</v>
      </c>
      <c r="AE45" s="111" t="s">
        <v>2804</v>
      </c>
      <c r="AF45" s="122"/>
      <c r="AG45" s="122"/>
      <c r="AH45" s="122"/>
    </row>
    <row r="46" ht="22.5" customHeight="1">
      <c r="A46" s="73"/>
      <c r="B46" s="73"/>
      <c r="C46" s="73"/>
      <c r="D46" s="73"/>
      <c r="E46" s="117" t="s">
        <v>238</v>
      </c>
      <c r="F46" s="111" t="s">
        <v>239</v>
      </c>
      <c r="G46" s="96">
        <f>IFERROR(__xludf.DUMMYFUNCTION("GOOGLEFINANCE(E46, ""price"")"),206.33)</f>
        <v>206.33</v>
      </c>
      <c r="H46" s="118"/>
      <c r="I46" s="118"/>
      <c r="J46" s="119"/>
      <c r="K46" s="120"/>
      <c r="L46" s="120"/>
      <c r="M46" s="120"/>
      <c r="N46" s="120"/>
      <c r="O46" s="118"/>
      <c r="P46" s="120"/>
      <c r="Q46" s="121"/>
      <c r="R46" s="109" t="b">
        <v>1</v>
      </c>
      <c r="S46" s="110" t="s">
        <v>2807</v>
      </c>
      <c r="T46" s="110">
        <v>0.0</v>
      </c>
      <c r="U46" s="111" t="s">
        <v>238</v>
      </c>
      <c r="V46" s="111" t="s">
        <v>2808</v>
      </c>
      <c r="W46" s="111" t="s">
        <v>2809</v>
      </c>
      <c r="X46" s="111" t="s">
        <v>2810</v>
      </c>
      <c r="Y46" s="111" t="s">
        <v>2811</v>
      </c>
      <c r="Z46" s="111" t="s">
        <v>2812</v>
      </c>
      <c r="AA46" s="111" t="s">
        <v>2813</v>
      </c>
      <c r="AB46" s="111" t="s">
        <v>1405</v>
      </c>
      <c r="AC46" s="111" t="s">
        <v>2814</v>
      </c>
      <c r="AD46" s="112">
        <v>46150.444386574076</v>
      </c>
      <c r="AE46" s="111" t="s">
        <v>2815</v>
      </c>
      <c r="AF46" s="122"/>
      <c r="AG46" s="122"/>
      <c r="AH46" s="122"/>
    </row>
    <row r="47" ht="22.5" customHeight="1">
      <c r="A47" s="73"/>
      <c r="E47" s="124" t="s">
        <v>549</v>
      </c>
      <c r="F47" s="125" t="s">
        <v>550</v>
      </c>
      <c r="G47" s="96">
        <f>IFERROR(__xludf.DUMMYFUNCTION("GOOGLEFINANCE(E47, ""price"")"),186.54)</f>
        <v>186.54</v>
      </c>
      <c r="H47" s="97">
        <f>IFERROR(__xludf.DUMMYFUNCTION("GOOGLEFINANCE(E47, ""low"")"),184.85)</f>
        <v>184.85</v>
      </c>
      <c r="I47" s="99">
        <f>IFERROR(__xludf.DUMMYFUNCTION("GOOGLEFINANCE(E47, ""high"")"),200.59)</f>
        <v>200.59</v>
      </c>
      <c r="J47" s="126"/>
      <c r="K47" s="106"/>
      <c r="L47" s="106"/>
      <c r="M47" s="106"/>
      <c r="N47" s="106"/>
      <c r="O47" s="105"/>
      <c r="P47" s="106"/>
      <c r="Q47" s="108"/>
      <c r="R47" s="109" t="b">
        <v>1</v>
      </c>
      <c r="S47" s="110" t="s">
        <v>2831</v>
      </c>
      <c r="T47" s="110">
        <v>0.0</v>
      </c>
      <c r="U47" s="111" t="s">
        <v>549</v>
      </c>
      <c r="V47" s="111" t="s">
        <v>2835</v>
      </c>
      <c r="W47" s="111" t="s">
        <v>2385</v>
      </c>
      <c r="X47" s="111" t="s">
        <v>2840</v>
      </c>
      <c r="Y47" s="111" t="s">
        <v>2843</v>
      </c>
      <c r="Z47" s="111" t="s">
        <v>2845</v>
      </c>
      <c r="AA47" s="111" t="s">
        <v>2846</v>
      </c>
      <c r="AB47" s="111" t="s">
        <v>2847</v>
      </c>
      <c r="AC47" s="111" t="s">
        <v>2848</v>
      </c>
      <c r="AD47" s="112">
        <v>46030.37144675926</v>
      </c>
      <c r="AE47" s="111" t="s">
        <v>2851</v>
      </c>
      <c r="AF47" s="111"/>
      <c r="AG47" s="111"/>
      <c r="AH47" s="111"/>
    </row>
    <row r="48" ht="22.5" customHeight="1">
      <c r="A48" s="73"/>
      <c r="B48" s="73"/>
      <c r="C48" s="73"/>
      <c r="D48" s="73"/>
      <c r="E48" s="189" t="s">
        <v>367</v>
      </c>
      <c r="F48" s="110" t="s">
        <v>2861</v>
      </c>
      <c r="G48" s="96">
        <f>IFERROR(__xludf.DUMMYFUNCTION("GOOGLEFINANCE(E48, ""price"")"),34.09)</f>
        <v>34.09</v>
      </c>
      <c r="H48" s="97">
        <f>IFERROR(__xludf.DUMMYFUNCTION("GOOGLEFINANCE(E48, ""low"")"),33.3)</f>
        <v>33.3</v>
      </c>
      <c r="I48" s="99">
        <f>IFERROR(__xludf.DUMMYFUNCTION("GOOGLEFINANCE(E48, ""high"")"),34.12)</f>
        <v>34.12</v>
      </c>
      <c r="J48" s="128"/>
      <c r="K48" s="145"/>
      <c r="L48" s="145"/>
      <c r="M48" s="145"/>
      <c r="N48" s="145"/>
      <c r="O48" s="110" t="s">
        <v>245</v>
      </c>
      <c r="P48" s="129">
        <v>31.77</v>
      </c>
      <c r="Q48" s="130">
        <v>45708.792570046295</v>
      </c>
      <c r="R48" s="131" t="b">
        <v>1</v>
      </c>
      <c r="S48" s="110" t="s">
        <v>2868</v>
      </c>
      <c r="T48" s="110">
        <v>0.0</v>
      </c>
      <c r="U48" s="110" t="s">
        <v>367</v>
      </c>
      <c r="V48" s="110" t="s">
        <v>2871</v>
      </c>
      <c r="W48" s="110" t="s">
        <v>2873</v>
      </c>
      <c r="X48" s="110" t="s">
        <v>2875</v>
      </c>
      <c r="Y48" s="110" t="s">
        <v>2878</v>
      </c>
      <c r="Z48" s="110" t="s">
        <v>2882</v>
      </c>
      <c r="AA48" s="110" t="s">
        <v>2885</v>
      </c>
      <c r="AB48" s="110" t="s">
        <v>1337</v>
      </c>
      <c r="AC48" s="110" t="s">
        <v>2887</v>
      </c>
      <c r="AD48" s="132">
        <v>46030.37144675926</v>
      </c>
      <c r="AE48" s="110" t="s">
        <v>2889</v>
      </c>
      <c r="AF48" s="133"/>
      <c r="AG48" s="133"/>
      <c r="AH48" s="133"/>
    </row>
    <row r="49" ht="22.5" customHeight="1">
      <c r="A49" s="73"/>
      <c r="B49" s="73"/>
      <c r="C49" s="73"/>
      <c r="D49" s="73"/>
      <c r="E49" s="124" t="s">
        <v>2893</v>
      </c>
      <c r="F49" s="125" t="s">
        <v>2894</v>
      </c>
      <c r="G49" s="96">
        <f>IFERROR(__xludf.DUMMYFUNCTION("GOOGLEFINANCE(E49, ""price"")"),254.25)</f>
        <v>254.25</v>
      </c>
      <c r="H49" s="97">
        <f>IFERROR(__xludf.DUMMYFUNCTION("GOOGLEFINANCE(E49, ""low"")"),247.6)</f>
        <v>247.6</v>
      </c>
      <c r="I49" s="99">
        <f>IFERROR(__xludf.DUMMYFUNCTION("GOOGLEFINANCE(E49, ""high"")"),256.71)</f>
        <v>256.71</v>
      </c>
      <c r="J49" s="126"/>
      <c r="K49" s="104">
        <v>-15.0</v>
      </c>
      <c r="L49" s="104">
        <v>39.43</v>
      </c>
      <c r="M49" s="104">
        <v>19.3</v>
      </c>
      <c r="N49" s="104">
        <v>7.31</v>
      </c>
      <c r="O49" s="125" t="s">
        <v>197</v>
      </c>
      <c r="P49" s="104">
        <v>107.37</v>
      </c>
      <c r="Q49" s="108">
        <v>46084.659835555554</v>
      </c>
      <c r="R49" s="109" t="b">
        <v>1</v>
      </c>
      <c r="S49" s="110" t="s">
        <v>2896</v>
      </c>
      <c r="T49" s="110">
        <v>0.0</v>
      </c>
      <c r="U49" s="111" t="s">
        <v>2893</v>
      </c>
      <c r="V49" s="111" t="s">
        <v>2897</v>
      </c>
      <c r="W49" s="111" t="s">
        <v>2898</v>
      </c>
      <c r="X49" s="111" t="s">
        <v>2899</v>
      </c>
      <c r="Y49" s="111" t="s">
        <v>2900</v>
      </c>
      <c r="Z49" s="111" t="s">
        <v>2902</v>
      </c>
      <c r="AA49" s="111" t="s">
        <v>2903</v>
      </c>
      <c r="AB49" s="111" t="s">
        <v>1612</v>
      </c>
      <c r="AC49" s="111" t="s">
        <v>2905</v>
      </c>
      <c r="AD49" s="112">
        <v>46030.37144675926</v>
      </c>
      <c r="AE49" s="111" t="s">
        <v>2906</v>
      </c>
      <c r="AF49" s="111"/>
      <c r="AG49" s="111"/>
      <c r="AH49" s="111"/>
    </row>
    <row r="50" ht="22.5" customHeight="1">
      <c r="A50" s="73"/>
      <c r="B50" s="73"/>
      <c r="C50" s="73"/>
      <c r="D50" s="73"/>
      <c r="E50" s="117" t="s">
        <v>2907</v>
      </c>
      <c r="F50" s="111" t="s">
        <v>2908</v>
      </c>
      <c r="G50" s="96">
        <f>IFERROR(__xludf.DUMMYFUNCTION("GOOGLEFINANCE(E50, ""price"")"),79.69)</f>
        <v>79.69</v>
      </c>
      <c r="H50" s="118"/>
      <c r="I50" s="118"/>
      <c r="J50" s="119"/>
      <c r="K50" s="120"/>
      <c r="L50" s="120"/>
      <c r="M50" s="120"/>
      <c r="N50" s="120"/>
      <c r="O50" s="118"/>
      <c r="P50" s="120"/>
      <c r="Q50" s="121"/>
      <c r="R50" s="109" t="b">
        <v>1</v>
      </c>
      <c r="S50" s="110" t="s">
        <v>2911</v>
      </c>
      <c r="T50" s="110">
        <v>0.0</v>
      </c>
      <c r="U50" s="111" t="s">
        <v>2907</v>
      </c>
      <c r="V50" s="111" t="s">
        <v>2912</v>
      </c>
      <c r="W50" s="111" t="s">
        <v>2913</v>
      </c>
      <c r="X50" s="111" t="s">
        <v>2914</v>
      </c>
      <c r="Y50" s="111" t="s">
        <v>2915</v>
      </c>
      <c r="Z50" s="111" t="s">
        <v>2916</v>
      </c>
      <c r="AA50" s="111" t="s">
        <v>2918</v>
      </c>
      <c r="AB50" s="111" t="s">
        <v>2919</v>
      </c>
      <c r="AC50" s="111" t="s">
        <v>2920</v>
      </c>
      <c r="AD50" s="112">
        <v>46030.37144675926</v>
      </c>
      <c r="AE50" s="111" t="s">
        <v>2921</v>
      </c>
      <c r="AF50" s="122"/>
      <c r="AG50" s="122"/>
      <c r="AH50" s="122"/>
    </row>
    <row r="51" ht="22.5" customHeight="1">
      <c r="A51" s="73"/>
      <c r="B51" s="73"/>
      <c r="C51" s="73"/>
      <c r="D51" s="73"/>
      <c r="E51" s="125" t="s">
        <v>2922</v>
      </c>
      <c r="F51" s="193"/>
      <c r="G51" s="96">
        <f>IFERROR(__xludf.DUMMYFUNCTION("GOOGLEFINANCE(E51, ""price"")"),552.03)</f>
        <v>552.03</v>
      </c>
      <c r="H51" s="97">
        <f>IFERROR(__xludf.DUMMYFUNCTION("GOOGLEFINANCE(E51, ""low"")"),548.55)</f>
        <v>548.55</v>
      </c>
      <c r="I51" s="99">
        <f>IFERROR(__xludf.DUMMYFUNCTION("GOOGLEFINANCE(E51, ""high"")"),570.72)</f>
        <v>570.72</v>
      </c>
      <c r="J51" s="161"/>
      <c r="K51" s="106"/>
      <c r="L51" s="106"/>
      <c r="M51" s="106"/>
      <c r="N51" s="106"/>
      <c r="O51" s="105"/>
      <c r="P51" s="106">
        <v>120.96</v>
      </c>
      <c r="Q51" s="108"/>
      <c r="R51" s="109" t="b">
        <v>1</v>
      </c>
      <c r="S51" s="110" t="s">
        <v>2925</v>
      </c>
      <c r="T51" s="110">
        <v>0.0</v>
      </c>
      <c r="U51" s="111" t="s">
        <v>2922</v>
      </c>
      <c r="V51" s="111" t="s">
        <v>2926</v>
      </c>
      <c r="W51" s="111" t="s">
        <v>2927</v>
      </c>
      <c r="X51" s="111" t="s">
        <v>2928</v>
      </c>
      <c r="Y51" s="111" t="s">
        <v>2929</v>
      </c>
      <c r="Z51" s="111" t="s">
        <v>2930</v>
      </c>
      <c r="AA51" s="111" t="s">
        <v>2932</v>
      </c>
      <c r="AB51" s="111" t="s">
        <v>2625</v>
      </c>
      <c r="AC51" s="111" t="s">
        <v>2934</v>
      </c>
      <c r="AD51" s="112">
        <v>46030.37144675926</v>
      </c>
      <c r="AE51" s="111" t="s">
        <v>2935</v>
      </c>
      <c r="AF51" s="122"/>
      <c r="AG51" s="122"/>
      <c r="AH51" s="122"/>
    </row>
    <row r="52" ht="22.5" customHeight="1">
      <c r="A52" s="73"/>
      <c r="B52" s="73"/>
      <c r="C52" s="73"/>
      <c r="D52" s="73"/>
      <c r="E52" s="117" t="s">
        <v>1289</v>
      </c>
      <c r="F52" s="111" t="s">
        <v>1290</v>
      </c>
      <c r="G52" s="96">
        <f>IFERROR(__xludf.DUMMYFUNCTION("GOOGLEFINANCE(E52, ""price"")"),291.9)</f>
        <v>291.9</v>
      </c>
      <c r="H52" s="118"/>
      <c r="I52" s="118"/>
      <c r="J52" s="119"/>
      <c r="K52" s="120"/>
      <c r="L52" s="120"/>
      <c r="M52" s="120"/>
      <c r="N52" s="120"/>
      <c r="O52" s="118"/>
      <c r="P52" s="120"/>
      <c r="Q52" s="121"/>
      <c r="R52" s="109" t="b">
        <v>1</v>
      </c>
      <c r="S52" s="110" t="s">
        <v>3014</v>
      </c>
      <c r="T52" s="110">
        <v>0.0</v>
      </c>
      <c r="U52" s="111" t="s">
        <v>1289</v>
      </c>
      <c r="V52" s="111" t="s">
        <v>3017</v>
      </c>
      <c r="W52" s="111" t="s">
        <v>3030</v>
      </c>
      <c r="X52" s="111" t="s">
        <v>3039</v>
      </c>
      <c r="Y52" s="111" t="s">
        <v>3042</v>
      </c>
      <c r="Z52" s="111" t="s">
        <v>3049</v>
      </c>
      <c r="AA52" s="111" t="s">
        <v>3056</v>
      </c>
      <c r="AB52" s="111" t="s">
        <v>3057</v>
      </c>
      <c r="AC52" s="111" t="s">
        <v>3058</v>
      </c>
      <c r="AD52" s="112">
        <v>46030.37144675926</v>
      </c>
      <c r="AE52" s="111" t="s">
        <v>3064</v>
      </c>
      <c r="AF52" s="122"/>
      <c r="AG52" s="122"/>
      <c r="AH52" s="122"/>
    </row>
    <row r="53" ht="22.5" customHeight="1">
      <c r="A53" s="73"/>
      <c r="B53" s="73"/>
      <c r="C53" s="73"/>
      <c r="D53" s="73"/>
      <c r="E53" s="117" t="s">
        <v>3075</v>
      </c>
      <c r="F53" s="111" t="s">
        <v>3076</v>
      </c>
      <c r="G53" s="96">
        <f>IFERROR(__xludf.DUMMYFUNCTION("GOOGLEFINANCE(E53, ""price"")"),123.05)</f>
        <v>123.05</v>
      </c>
      <c r="H53" s="118"/>
      <c r="I53" s="118"/>
      <c r="J53" s="119"/>
      <c r="K53" s="120"/>
      <c r="L53" s="120"/>
      <c r="M53" s="120"/>
      <c r="N53" s="120"/>
      <c r="O53" s="118"/>
      <c r="P53" s="120"/>
      <c r="Q53" s="121"/>
      <c r="R53" s="109" t="b">
        <v>1</v>
      </c>
      <c r="S53" s="110" t="s">
        <v>3082</v>
      </c>
      <c r="T53" s="110">
        <v>0.0</v>
      </c>
      <c r="U53" s="111" t="s">
        <v>3075</v>
      </c>
      <c r="V53" s="111" t="s">
        <v>3084</v>
      </c>
      <c r="W53" s="111" t="s">
        <v>3085</v>
      </c>
      <c r="X53" s="111" t="s">
        <v>3086</v>
      </c>
      <c r="Y53" s="111" t="s">
        <v>3087</v>
      </c>
      <c r="Z53" s="111" t="s">
        <v>3090</v>
      </c>
      <c r="AA53" s="111" t="s">
        <v>3094</v>
      </c>
      <c r="AB53" s="111" t="s">
        <v>2515</v>
      </c>
      <c r="AC53" s="111" t="s">
        <v>3098</v>
      </c>
      <c r="AD53" s="111" t="s">
        <v>3101</v>
      </c>
      <c r="AE53" s="111" t="s">
        <v>3104</v>
      </c>
      <c r="AF53" s="122"/>
      <c r="AG53" s="122"/>
      <c r="AH53" s="122"/>
    </row>
    <row r="54" ht="22.5" customHeight="1">
      <c r="A54" s="73"/>
      <c r="B54" s="73"/>
      <c r="C54" s="73"/>
      <c r="D54" s="73"/>
      <c r="E54" s="127" t="s">
        <v>3108</v>
      </c>
      <c r="F54" s="110" t="s">
        <v>3109</v>
      </c>
      <c r="G54" s="96">
        <f>IFERROR(__xludf.DUMMYFUNCTION("GOOGLEFINANCE(E54, ""price"")"),108.43)</f>
        <v>108.43</v>
      </c>
      <c r="H54" s="97">
        <f>IFERROR(__xludf.DUMMYFUNCTION("GOOGLEFINANCE(E54, ""low"")"),106.44)</f>
        <v>106.44</v>
      </c>
      <c r="I54" s="99">
        <f>IFERROR(__xludf.DUMMYFUNCTION("GOOGLEFINANCE(E54, ""high"")"),110.52)</f>
        <v>110.52</v>
      </c>
      <c r="J54" s="128"/>
      <c r="K54" s="129">
        <v>12.86</v>
      </c>
      <c r="L54" s="129">
        <v>75.08</v>
      </c>
      <c r="M54" s="129">
        <v>34.62</v>
      </c>
      <c r="N54" s="129">
        <v>2.43</v>
      </c>
      <c r="O54" s="110" t="s">
        <v>3111</v>
      </c>
      <c r="P54" s="129">
        <v>91.0</v>
      </c>
      <c r="Q54" s="207">
        <v>45870.40808241898</v>
      </c>
      <c r="R54" s="208" t="b">
        <v>1</v>
      </c>
      <c r="S54" s="110" t="s">
        <v>3112</v>
      </c>
      <c r="T54" s="110">
        <v>0.0</v>
      </c>
      <c r="U54" s="209" t="s">
        <v>3108</v>
      </c>
      <c r="V54" s="209" t="s">
        <v>3113</v>
      </c>
      <c r="W54" s="209" t="s">
        <v>3114</v>
      </c>
      <c r="X54" s="209" t="s">
        <v>3115</v>
      </c>
      <c r="Y54" s="209" t="s">
        <v>3116</v>
      </c>
      <c r="Z54" s="209" t="s">
        <v>3117</v>
      </c>
      <c r="AA54" s="209" t="s">
        <v>3118</v>
      </c>
      <c r="AB54" s="209" t="s">
        <v>2460</v>
      </c>
      <c r="AC54" s="209" t="s">
        <v>3119</v>
      </c>
      <c r="AD54" s="210">
        <v>46030.37144675926</v>
      </c>
      <c r="AE54" s="209" t="s">
        <v>3120</v>
      </c>
      <c r="AF54" s="211"/>
      <c r="AG54" s="211"/>
      <c r="AH54" s="211"/>
    </row>
    <row r="55" ht="22.5" customHeight="1">
      <c r="A55" s="73"/>
      <c r="B55" s="73"/>
      <c r="C55" s="73"/>
      <c r="D55" s="73"/>
      <c r="E55" s="117" t="s">
        <v>3121</v>
      </c>
      <c r="F55" s="111" t="s">
        <v>3122</v>
      </c>
      <c r="G55" s="96">
        <f>IFERROR(__xludf.DUMMYFUNCTION("GOOGLEFINANCE(E55, ""price"")"),275.8)</f>
        <v>275.8</v>
      </c>
      <c r="H55" s="118"/>
      <c r="I55" s="118"/>
      <c r="J55" s="119"/>
      <c r="K55" s="120"/>
      <c r="L55" s="120"/>
      <c r="M55" s="120"/>
      <c r="N55" s="120"/>
      <c r="O55" s="118"/>
      <c r="P55" s="120"/>
      <c r="Q55" s="121"/>
      <c r="R55" s="109" t="b">
        <v>1</v>
      </c>
      <c r="S55" s="110" t="s">
        <v>3123</v>
      </c>
      <c r="T55" s="110">
        <v>0.0</v>
      </c>
      <c r="U55" s="111" t="s">
        <v>3121</v>
      </c>
      <c r="V55" s="111" t="s">
        <v>3124</v>
      </c>
      <c r="W55" s="111" t="s">
        <v>3125</v>
      </c>
      <c r="X55" s="111" t="s">
        <v>3126</v>
      </c>
      <c r="Y55" s="111" t="s">
        <v>3127</v>
      </c>
      <c r="Z55" s="111" t="s">
        <v>3128</v>
      </c>
      <c r="AA55" s="111" t="s">
        <v>3129</v>
      </c>
      <c r="AB55" s="111" t="s">
        <v>2278</v>
      </c>
      <c r="AC55" s="111" t="s">
        <v>3130</v>
      </c>
      <c r="AD55" s="112">
        <v>46181.26729166666</v>
      </c>
      <c r="AE55" s="111" t="s">
        <v>3131</v>
      </c>
      <c r="AF55" s="122"/>
      <c r="AG55" s="122"/>
      <c r="AH55" s="122"/>
    </row>
    <row r="56" ht="22.5" customHeight="1">
      <c r="A56" s="73"/>
      <c r="B56" s="149" t="s">
        <v>327</v>
      </c>
      <c r="C56" s="150">
        <f>now()</f>
        <v>46288.71545</v>
      </c>
      <c r="D56" s="73"/>
      <c r="E56" s="125" t="s">
        <v>313</v>
      </c>
      <c r="F56" s="125" t="s">
        <v>540</v>
      </c>
      <c r="G56" s="96">
        <f>IFERROR(__xludf.DUMMYFUNCTION("GOOGLEFINANCE(E56, ""price"")"),149.95)</f>
        <v>149.95</v>
      </c>
      <c r="H56" s="97">
        <f>IFERROR(__xludf.DUMMYFUNCTION("GOOGLEFINANCE(E56, ""low"")"),144.55)</f>
        <v>144.55</v>
      </c>
      <c r="I56" s="99">
        <f>IFERROR(__xludf.DUMMYFUNCTION("GOOGLEFINANCE(E56, ""high"")"),149.95)</f>
        <v>149.95</v>
      </c>
      <c r="J56" s="161"/>
      <c r="K56" s="104">
        <v>23.4</v>
      </c>
      <c r="L56" s="104">
        <v>82.38</v>
      </c>
      <c r="M56" s="104">
        <v>60.69</v>
      </c>
      <c r="N56" s="104">
        <v>5.4</v>
      </c>
      <c r="O56" s="105" t="s">
        <v>542</v>
      </c>
      <c r="P56" s="104">
        <v>292.0</v>
      </c>
      <c r="Q56" s="108">
        <v>45706.404897939814</v>
      </c>
      <c r="R56" s="109" t="b">
        <v>1</v>
      </c>
      <c r="S56" s="110" t="s">
        <v>323</v>
      </c>
      <c r="T56" s="110">
        <v>0.0</v>
      </c>
      <c r="U56" s="111" t="s">
        <v>313</v>
      </c>
      <c r="V56" s="111" t="s">
        <v>3132</v>
      </c>
      <c r="W56" s="111" t="s">
        <v>3133</v>
      </c>
      <c r="X56" s="111" t="s">
        <v>3134</v>
      </c>
      <c r="Y56" s="111" t="s">
        <v>3135</v>
      </c>
      <c r="Z56" s="111" t="s">
        <v>3136</v>
      </c>
      <c r="AA56" s="111" t="s">
        <v>3137</v>
      </c>
      <c r="AB56" s="111" t="s">
        <v>1513</v>
      </c>
      <c r="AC56" s="111" t="s">
        <v>3138</v>
      </c>
      <c r="AD56" s="112">
        <v>46030.37144675926</v>
      </c>
      <c r="AE56" s="111" t="s">
        <v>3143</v>
      </c>
      <c r="AF56" s="122"/>
      <c r="AG56" s="122"/>
      <c r="AH56" s="122"/>
    </row>
    <row r="57" ht="22.5" customHeight="1">
      <c r="A57" s="73"/>
      <c r="B57" s="73"/>
      <c r="C57" s="73"/>
      <c r="D57" s="73"/>
      <c r="E57" s="117" t="s">
        <v>189</v>
      </c>
      <c r="F57" s="111" t="s">
        <v>190</v>
      </c>
      <c r="G57" s="96">
        <f>IFERROR(__xludf.DUMMYFUNCTION("GOOGLEFINANCE(E57, ""price"")"),155.25)</f>
        <v>155.25</v>
      </c>
      <c r="H57" s="118"/>
      <c r="I57" s="118"/>
      <c r="J57" s="119"/>
      <c r="K57" s="120"/>
      <c r="L57" s="120"/>
      <c r="M57" s="120"/>
      <c r="N57" s="120"/>
      <c r="O57" s="118"/>
      <c r="P57" s="120"/>
      <c r="Q57" s="121"/>
      <c r="R57" s="109" t="b">
        <v>1</v>
      </c>
      <c r="S57" s="110" t="s">
        <v>3148</v>
      </c>
      <c r="T57" s="110">
        <v>0.0</v>
      </c>
      <c r="U57" s="111" t="s">
        <v>189</v>
      </c>
      <c r="V57" s="111" t="s">
        <v>3149</v>
      </c>
      <c r="W57" s="111" t="s">
        <v>3150</v>
      </c>
      <c r="X57" s="111" t="s">
        <v>3151</v>
      </c>
      <c r="Y57" s="111" t="s">
        <v>3152</v>
      </c>
      <c r="Z57" s="111" t="s">
        <v>3153</v>
      </c>
      <c r="AA57" s="111" t="s">
        <v>3154</v>
      </c>
      <c r="AB57" s="111" t="s">
        <v>3155</v>
      </c>
      <c r="AC57" s="111" t="s">
        <v>3156</v>
      </c>
      <c r="AD57" s="112">
        <v>46150.45479166666</v>
      </c>
      <c r="AE57" s="111" t="s">
        <v>3157</v>
      </c>
      <c r="AF57" s="122"/>
      <c r="AG57" s="122"/>
      <c r="AH57" s="122"/>
    </row>
    <row r="58" ht="22.5" customHeight="1">
      <c r="A58" s="73"/>
      <c r="B58" s="73"/>
      <c r="C58" s="73"/>
      <c r="D58" s="73"/>
      <c r="E58" s="127" t="s">
        <v>1077</v>
      </c>
      <c r="F58" s="110" t="s">
        <v>1079</v>
      </c>
      <c r="G58" s="96">
        <f>IFERROR(__xludf.DUMMYFUNCTION("GOOGLEFINANCE(E58, ""price"")"),2.98)</f>
        <v>2.98</v>
      </c>
      <c r="H58" s="97">
        <f>IFERROR(__xludf.DUMMYFUNCTION("GOOGLEFINANCE(E58, ""low"")"),2.93)</f>
        <v>2.93</v>
      </c>
      <c r="I58" s="99">
        <f>IFERROR(__xludf.DUMMYFUNCTION("GOOGLEFINANCE(E58, ""high"")"),3.05)</f>
        <v>3.05</v>
      </c>
      <c r="J58" s="128"/>
      <c r="K58" s="145"/>
      <c r="L58" s="145"/>
      <c r="M58" s="145"/>
      <c r="N58" s="145"/>
      <c r="O58" s="110" t="s">
        <v>588</v>
      </c>
      <c r="P58" s="129">
        <v>14.62</v>
      </c>
      <c r="Q58" s="130">
        <v>45852.921677280094</v>
      </c>
      <c r="R58" s="131" t="b">
        <v>1</v>
      </c>
      <c r="S58" s="110" t="s">
        <v>3158</v>
      </c>
      <c r="T58" s="110">
        <v>0.0</v>
      </c>
      <c r="U58" s="110" t="s">
        <v>1077</v>
      </c>
      <c r="V58" s="110" t="s">
        <v>3159</v>
      </c>
      <c r="W58" s="110" t="s">
        <v>3160</v>
      </c>
      <c r="X58" s="110" t="s">
        <v>3161</v>
      </c>
      <c r="Y58" s="110" t="s">
        <v>3162</v>
      </c>
      <c r="Z58" s="110" t="s">
        <v>3163</v>
      </c>
      <c r="AA58" s="110" t="s">
        <v>3164</v>
      </c>
      <c r="AB58" s="110" t="s">
        <v>468</v>
      </c>
      <c r="AC58" s="110" t="s">
        <v>3165</v>
      </c>
      <c r="AD58" s="132">
        <v>46030.37144675926</v>
      </c>
      <c r="AE58" s="110" t="s">
        <v>1936</v>
      </c>
      <c r="AF58" s="133"/>
      <c r="AG58" s="133"/>
      <c r="AH58" s="133"/>
    </row>
    <row r="59" ht="22.5" customHeight="1">
      <c r="A59" s="73"/>
      <c r="B59" s="73"/>
      <c r="C59" s="73"/>
      <c r="D59" s="73"/>
      <c r="E59" s="117" t="s">
        <v>3166</v>
      </c>
      <c r="F59" s="111" t="s">
        <v>3167</v>
      </c>
      <c r="G59" s="96">
        <f>IFERROR(__xludf.DUMMYFUNCTION("GOOGLEFINANCE(E59, ""price"")"),142.58)</f>
        <v>142.58</v>
      </c>
      <c r="H59" s="118"/>
      <c r="I59" s="118"/>
      <c r="J59" s="119"/>
      <c r="K59" s="120"/>
      <c r="L59" s="120"/>
      <c r="M59" s="120"/>
      <c r="N59" s="120"/>
      <c r="O59" s="118"/>
      <c r="P59" s="120"/>
      <c r="Q59" s="121"/>
      <c r="R59" s="109" t="b">
        <v>1</v>
      </c>
      <c r="S59" s="110" t="s">
        <v>3168</v>
      </c>
      <c r="T59" s="110">
        <v>0.0</v>
      </c>
      <c r="U59" s="111" t="s">
        <v>3166</v>
      </c>
      <c r="V59" s="111" t="s">
        <v>3169</v>
      </c>
      <c r="W59" s="111" t="s">
        <v>3170</v>
      </c>
      <c r="X59" s="111" t="s">
        <v>3171</v>
      </c>
      <c r="Y59" s="111" t="s">
        <v>3172</v>
      </c>
      <c r="Z59" s="111" t="s">
        <v>3173</v>
      </c>
      <c r="AA59" s="111" t="s">
        <v>3174</v>
      </c>
      <c r="AB59" s="111" t="s">
        <v>3175</v>
      </c>
      <c r="AC59" s="111" t="s">
        <v>3176</v>
      </c>
      <c r="AD59" s="111" t="s">
        <v>2005</v>
      </c>
      <c r="AE59" s="111" t="s">
        <v>3177</v>
      </c>
      <c r="AF59" s="122"/>
      <c r="AG59" s="122"/>
      <c r="AH59" s="122"/>
    </row>
    <row r="60" ht="22.5" customHeight="1">
      <c r="A60" s="73"/>
      <c r="B60" s="73"/>
      <c r="C60" s="73"/>
      <c r="D60" s="73"/>
      <c r="E60" s="124" t="s">
        <v>3178</v>
      </c>
      <c r="F60" s="125" t="s">
        <v>3179</v>
      </c>
      <c r="G60" s="96">
        <f>IFERROR(__xludf.DUMMYFUNCTION("GOOGLEFINANCE(E60, ""price"")"),50.76)</f>
        <v>50.76</v>
      </c>
      <c r="H60" s="105"/>
      <c r="I60" s="105"/>
      <c r="J60" s="152"/>
      <c r="K60" s="106"/>
      <c r="L60" s="106"/>
      <c r="M60" s="106"/>
      <c r="N60" s="106"/>
      <c r="O60" s="105"/>
      <c r="P60" s="106"/>
      <c r="Q60" s="108"/>
      <c r="R60" s="109" t="b">
        <v>1</v>
      </c>
      <c r="S60" s="110" t="s">
        <v>3181</v>
      </c>
      <c r="T60" s="110">
        <v>0.0</v>
      </c>
      <c r="U60" s="111" t="s">
        <v>3178</v>
      </c>
      <c r="V60" s="111" t="s">
        <v>3182</v>
      </c>
      <c r="W60" s="111" t="s">
        <v>3183</v>
      </c>
      <c r="X60" s="111" t="s">
        <v>3184</v>
      </c>
      <c r="Y60" s="111" t="s">
        <v>3185</v>
      </c>
      <c r="Z60" s="111" t="s">
        <v>3186</v>
      </c>
      <c r="AA60" s="111" t="s">
        <v>3187</v>
      </c>
      <c r="AB60" s="111" t="s">
        <v>2847</v>
      </c>
      <c r="AC60" s="111" t="s">
        <v>3188</v>
      </c>
      <c r="AD60" s="112">
        <v>46030.37144675926</v>
      </c>
      <c r="AE60" s="111" t="s">
        <v>3189</v>
      </c>
      <c r="AF60" s="122"/>
      <c r="AG60" s="122"/>
      <c r="AH60" s="122"/>
    </row>
    <row r="61" ht="22.5" customHeight="1">
      <c r="A61" s="73"/>
      <c r="B61" s="149" t="s">
        <v>327</v>
      </c>
      <c r="C61" s="150">
        <f>now()</f>
        <v>46288.71545</v>
      </c>
      <c r="D61" s="73"/>
      <c r="E61" s="124" t="s">
        <v>3190</v>
      </c>
      <c r="F61" s="125" t="s">
        <v>3191</v>
      </c>
      <c r="G61" s="96">
        <f>IFERROR(__xludf.DUMMYFUNCTION("GOOGLEFINANCE(E61, ""price"")"),21.94)</f>
        <v>21.94</v>
      </c>
      <c r="H61" s="97">
        <f>IFERROR(__xludf.DUMMYFUNCTION("GOOGLEFINANCE(E61, ""low"")"),21.67)</f>
        <v>21.67</v>
      </c>
      <c r="I61" s="99">
        <f>IFERROR(__xludf.DUMMYFUNCTION("GOOGLEFINANCE(E61, ""high"")"),22.48)</f>
        <v>22.48</v>
      </c>
      <c r="J61" s="126"/>
      <c r="K61" s="104">
        <v>8.57</v>
      </c>
      <c r="L61" s="104">
        <v>62.05</v>
      </c>
      <c r="M61" s="104">
        <v>30.49</v>
      </c>
      <c r="N61" s="104">
        <v>2.2</v>
      </c>
      <c r="O61" s="125" t="s">
        <v>998</v>
      </c>
      <c r="P61" s="104">
        <v>31.14</v>
      </c>
      <c r="Q61" s="108">
        <v>46079.31358994213</v>
      </c>
      <c r="R61" s="109" t="b">
        <v>1</v>
      </c>
      <c r="S61" s="110" t="s">
        <v>3192</v>
      </c>
      <c r="T61" s="110">
        <v>0.0</v>
      </c>
      <c r="U61" s="111" t="s">
        <v>3190</v>
      </c>
      <c r="V61" s="111" t="s">
        <v>3193</v>
      </c>
      <c r="W61" s="111" t="s">
        <v>3195</v>
      </c>
      <c r="X61" s="111" t="s">
        <v>3196</v>
      </c>
      <c r="Y61" s="111" t="s">
        <v>3197</v>
      </c>
      <c r="Z61" s="111" t="s">
        <v>3198</v>
      </c>
      <c r="AA61" s="111" t="s">
        <v>3199</v>
      </c>
      <c r="AB61" s="111" t="s">
        <v>783</v>
      </c>
      <c r="AC61" s="111" t="s">
        <v>3200</v>
      </c>
      <c r="AD61" s="112">
        <v>46030.37144675926</v>
      </c>
      <c r="AE61" s="111" t="s">
        <v>3201</v>
      </c>
      <c r="AF61" s="122"/>
      <c r="AG61" s="122"/>
      <c r="AH61" s="122"/>
    </row>
    <row r="62" ht="22.5" customHeight="1">
      <c r="A62" s="73"/>
      <c r="B62" s="73"/>
      <c r="C62" s="73"/>
      <c r="D62" s="73"/>
      <c r="E62" s="127" t="s">
        <v>3202</v>
      </c>
      <c r="F62" s="110" t="s">
        <v>3203</v>
      </c>
      <c r="G62" s="96" t="str">
        <f>IFERROR(__xludf.DUMMYFUNCTION("GOOGLEFINANCE(E62, ""price"")"),"#N/A")</f>
        <v>#N/A</v>
      </c>
      <c r="H62" s="97" t="str">
        <f>IFERROR(__xludf.DUMMYFUNCTION("GOOGLEFINANCE(E62, ""low"")"),"#N/A")</f>
        <v>#N/A</v>
      </c>
      <c r="I62" s="99" t="str">
        <f>IFERROR(__xludf.DUMMYFUNCTION("GOOGLEFINANCE(E62, ""high"")"),"#N/A")</f>
        <v>#N/A</v>
      </c>
      <c r="J62" s="128"/>
      <c r="K62" s="129">
        <v>0.69</v>
      </c>
      <c r="L62" s="129">
        <v>54.18</v>
      </c>
      <c r="M62" s="129">
        <v>22.72</v>
      </c>
      <c r="N62" s="129">
        <v>0.97</v>
      </c>
      <c r="O62" s="110" t="s">
        <v>998</v>
      </c>
      <c r="P62" s="129">
        <v>43.14</v>
      </c>
      <c r="Q62" s="130">
        <v>45972.325234131946</v>
      </c>
      <c r="R62" s="131" t="b">
        <v>1</v>
      </c>
      <c r="S62" s="110" t="s">
        <v>3204</v>
      </c>
      <c r="T62" s="110">
        <v>0.0</v>
      </c>
      <c r="U62" s="110" t="s">
        <v>3202</v>
      </c>
      <c r="V62" s="110" t="s">
        <v>3205</v>
      </c>
      <c r="W62" s="110" t="s">
        <v>3206</v>
      </c>
      <c r="X62" s="110" t="s">
        <v>3207</v>
      </c>
      <c r="Y62" s="110" t="s">
        <v>3208</v>
      </c>
      <c r="Z62" s="110" t="s">
        <v>3209</v>
      </c>
      <c r="AA62" s="110" t="s">
        <v>2676</v>
      </c>
      <c r="AB62" s="110" t="s">
        <v>2001</v>
      </c>
      <c r="AC62" s="110" t="s">
        <v>3210</v>
      </c>
      <c r="AD62" s="132">
        <v>46030.37144675926</v>
      </c>
      <c r="AE62" s="110" t="s">
        <v>3211</v>
      </c>
      <c r="AF62" s="133"/>
      <c r="AG62" s="133"/>
      <c r="AH62" s="133"/>
    </row>
    <row r="63" ht="22.5" customHeight="1">
      <c r="A63" s="73"/>
      <c r="B63" s="73"/>
      <c r="C63" s="73"/>
      <c r="D63" s="73"/>
      <c r="E63" s="117" t="s">
        <v>3213</v>
      </c>
      <c r="F63" s="111" t="s">
        <v>3214</v>
      </c>
      <c r="G63" s="96">
        <f>IFERROR(__xludf.DUMMYFUNCTION("GOOGLEFINANCE(E63, ""price"")"),114.86)</f>
        <v>114.86</v>
      </c>
      <c r="H63" s="118"/>
      <c r="I63" s="118"/>
      <c r="J63" s="119"/>
      <c r="K63" s="120"/>
      <c r="L63" s="120"/>
      <c r="M63" s="120"/>
      <c r="N63" s="120"/>
      <c r="O63" s="118"/>
      <c r="P63" s="120"/>
      <c r="Q63" s="121"/>
      <c r="R63" s="109" t="b">
        <v>1</v>
      </c>
      <c r="S63" s="110" t="s">
        <v>3215</v>
      </c>
      <c r="T63" s="110">
        <v>0.0</v>
      </c>
      <c r="U63" s="111" t="s">
        <v>3213</v>
      </c>
      <c r="V63" s="111" t="s">
        <v>3216</v>
      </c>
      <c r="W63" s="111" t="s">
        <v>3217</v>
      </c>
      <c r="X63" s="111" t="s">
        <v>2645</v>
      </c>
      <c r="Y63" s="111" t="s">
        <v>3218</v>
      </c>
      <c r="Z63" s="111" t="s">
        <v>3219</v>
      </c>
      <c r="AA63" s="111" t="s">
        <v>3220</v>
      </c>
      <c r="AB63" s="111" t="s">
        <v>3221</v>
      </c>
      <c r="AC63" s="111" t="s">
        <v>3222</v>
      </c>
      <c r="AD63" s="111" t="s">
        <v>3223</v>
      </c>
      <c r="AE63" s="111" t="s">
        <v>3224</v>
      </c>
      <c r="AF63" s="122"/>
      <c r="AG63" s="122"/>
      <c r="AH63" s="122"/>
    </row>
    <row r="64" ht="22.5" customHeight="1">
      <c r="A64" s="73"/>
      <c r="B64" s="73"/>
      <c r="C64" s="73"/>
      <c r="D64" s="73"/>
      <c r="E64" s="117" t="s">
        <v>3225</v>
      </c>
      <c r="F64" s="111" t="s">
        <v>3226</v>
      </c>
      <c r="G64" s="96">
        <f>IFERROR(__xludf.DUMMYFUNCTION("GOOGLEFINANCE(E64, ""price"")"),53.64)</f>
        <v>53.64</v>
      </c>
      <c r="H64" s="118"/>
      <c r="I64" s="118"/>
      <c r="J64" s="119"/>
      <c r="K64" s="120"/>
      <c r="L64" s="120"/>
      <c r="M64" s="120"/>
      <c r="N64" s="120"/>
      <c r="O64" s="118"/>
      <c r="P64" s="120"/>
      <c r="Q64" s="121"/>
      <c r="R64" s="109" t="b">
        <v>1</v>
      </c>
      <c r="S64" s="110" t="s">
        <v>3228</v>
      </c>
      <c r="T64" s="110">
        <v>0.0</v>
      </c>
      <c r="U64" s="111" t="s">
        <v>3225</v>
      </c>
      <c r="V64" s="111" t="s">
        <v>3229</v>
      </c>
      <c r="W64" s="111" t="s">
        <v>3230</v>
      </c>
      <c r="X64" s="111" t="s">
        <v>3231</v>
      </c>
      <c r="Y64" s="111" t="s">
        <v>3232</v>
      </c>
      <c r="Z64" s="111" t="s">
        <v>3233</v>
      </c>
      <c r="AA64" s="111" t="s">
        <v>3234</v>
      </c>
      <c r="AB64" s="111" t="s">
        <v>3235</v>
      </c>
      <c r="AC64" s="111" t="s">
        <v>3236</v>
      </c>
      <c r="AD64" s="111" t="s">
        <v>3237</v>
      </c>
      <c r="AE64" s="111" t="s">
        <v>3238</v>
      </c>
      <c r="AF64" s="122"/>
      <c r="AG64" s="122"/>
      <c r="AH64" s="122"/>
    </row>
    <row r="65" ht="22.5" customHeight="1">
      <c r="A65" s="73"/>
      <c r="B65" s="73"/>
      <c r="C65" s="73"/>
      <c r="D65" s="73"/>
      <c r="E65" s="117" t="s">
        <v>3239</v>
      </c>
      <c r="F65" s="111" t="s">
        <v>3240</v>
      </c>
      <c r="G65" s="96">
        <f>IFERROR(__xludf.DUMMYFUNCTION("GOOGLEFINANCE(E65, ""price"")"),344.86)</f>
        <v>344.86</v>
      </c>
      <c r="H65" s="118"/>
      <c r="I65" s="118"/>
      <c r="J65" s="119"/>
      <c r="K65" s="120"/>
      <c r="L65" s="120"/>
      <c r="M65" s="120"/>
      <c r="N65" s="120"/>
      <c r="O65" s="118"/>
      <c r="P65" s="120"/>
      <c r="Q65" s="121"/>
      <c r="R65" s="109" t="b">
        <v>1</v>
      </c>
      <c r="S65" s="110" t="s">
        <v>3241</v>
      </c>
      <c r="T65" s="110">
        <v>0.0</v>
      </c>
      <c r="U65" s="111" t="s">
        <v>3239</v>
      </c>
      <c r="V65" s="111" t="s">
        <v>3242</v>
      </c>
      <c r="W65" s="111" t="s">
        <v>3243</v>
      </c>
      <c r="X65" s="111" t="s">
        <v>3244</v>
      </c>
      <c r="Y65" s="111" t="s">
        <v>3245</v>
      </c>
      <c r="Z65" s="111" t="s">
        <v>3246</v>
      </c>
      <c r="AA65" s="111" t="s">
        <v>3247</v>
      </c>
      <c r="AB65" s="111" t="s">
        <v>3221</v>
      </c>
      <c r="AC65" s="111" t="s">
        <v>3248</v>
      </c>
      <c r="AD65" s="112">
        <v>46150.444386574076</v>
      </c>
      <c r="AE65" s="111" t="s">
        <v>3249</v>
      </c>
      <c r="AF65" s="122"/>
      <c r="AG65" s="122"/>
      <c r="AH65" s="122"/>
    </row>
    <row r="66" ht="22.5" customHeight="1">
      <c r="A66" s="73"/>
      <c r="B66" s="73"/>
      <c r="C66" s="73"/>
      <c r="D66" s="73"/>
      <c r="E66" s="212" t="s">
        <v>3250</v>
      </c>
      <c r="F66" s="212" t="s">
        <v>3251</v>
      </c>
      <c r="G66" s="96">
        <f>IFERROR(__xludf.DUMMYFUNCTION("GOOGLEFINANCE(E66, ""price"")"),340.63)</f>
        <v>340.63</v>
      </c>
      <c r="H66" s="97">
        <f>IFERROR(__xludf.DUMMYFUNCTION("GOOGLEFINANCE(E66, ""low"")"),340.14)</f>
        <v>340.14</v>
      </c>
      <c r="I66" s="99">
        <f>IFERROR(__xludf.DUMMYFUNCTION("GOOGLEFINANCE(E66, ""high"")"),350.0)</f>
        <v>350</v>
      </c>
      <c r="J66" s="128"/>
      <c r="K66" s="145"/>
      <c r="L66" s="145"/>
      <c r="M66" s="145"/>
      <c r="N66" s="145"/>
      <c r="O66" s="105" t="s">
        <v>3253</v>
      </c>
      <c r="P66" s="129">
        <v>213.56</v>
      </c>
      <c r="Q66" s="130">
        <v>45898.83263488426</v>
      </c>
      <c r="R66" s="131" t="b">
        <v>1</v>
      </c>
      <c r="S66" s="110" t="s">
        <v>3254</v>
      </c>
      <c r="T66" s="110">
        <v>0.0</v>
      </c>
      <c r="U66" s="110" t="s">
        <v>3250</v>
      </c>
      <c r="V66" s="110" t="s">
        <v>3255</v>
      </c>
      <c r="W66" s="110" t="s">
        <v>3256</v>
      </c>
      <c r="X66" s="110" t="s">
        <v>3257</v>
      </c>
      <c r="Y66" s="110" t="s">
        <v>3258</v>
      </c>
      <c r="Z66" s="110" t="s">
        <v>3259</v>
      </c>
      <c r="AA66" s="110" t="s">
        <v>3260</v>
      </c>
      <c r="AB66" s="110" t="s">
        <v>714</v>
      </c>
      <c r="AC66" s="110" t="s">
        <v>3261</v>
      </c>
      <c r="AD66" s="132">
        <v>46030.37144675926</v>
      </c>
      <c r="AE66" s="110" t="s">
        <v>3262</v>
      </c>
      <c r="AF66" s="133"/>
      <c r="AG66" s="133"/>
      <c r="AH66" s="133"/>
    </row>
    <row r="67" ht="22.5" customHeight="1">
      <c r="A67" s="73"/>
      <c r="B67" s="73"/>
      <c r="C67" s="73"/>
      <c r="D67" s="73"/>
      <c r="E67" s="213" t="s">
        <v>1065</v>
      </c>
      <c r="F67" s="125" t="s">
        <v>1066</v>
      </c>
      <c r="G67" s="96">
        <f>IFERROR(__xludf.DUMMYFUNCTION("GOOGLEFINANCE(E67, ""price"")"),285.19)</f>
        <v>285.19</v>
      </c>
      <c r="H67" s="97">
        <f>IFERROR(__xludf.DUMMYFUNCTION("GOOGLEFINANCE(E67, ""low"")"),283.09)</f>
        <v>283.09</v>
      </c>
      <c r="I67" s="99">
        <f>IFERROR(__xludf.DUMMYFUNCTION("GOOGLEFINANCE(E67, ""high"")"),286.25)</f>
        <v>286.25</v>
      </c>
      <c r="J67" s="126"/>
      <c r="K67" s="104">
        <v>18.32</v>
      </c>
      <c r="L67" s="104">
        <v>70.4</v>
      </c>
      <c r="M67" s="104">
        <v>21.06</v>
      </c>
      <c r="N67" s="104">
        <v>6.57</v>
      </c>
      <c r="O67" s="105" t="s">
        <v>542</v>
      </c>
      <c r="P67" s="104">
        <v>238.54</v>
      </c>
      <c r="Q67" s="108">
        <v>45708.6095084375</v>
      </c>
      <c r="R67" s="109" t="b">
        <v>1</v>
      </c>
      <c r="S67" s="110" t="s">
        <v>3263</v>
      </c>
      <c r="T67" s="110">
        <v>0.0</v>
      </c>
      <c r="U67" s="111" t="s">
        <v>1065</v>
      </c>
      <c r="V67" s="111" t="s">
        <v>3264</v>
      </c>
      <c r="W67" s="111" t="s">
        <v>3265</v>
      </c>
      <c r="X67" s="111" t="s">
        <v>3266</v>
      </c>
      <c r="Y67" s="111" t="s">
        <v>3267</v>
      </c>
      <c r="Z67" s="111" t="s">
        <v>3246</v>
      </c>
      <c r="AA67" s="111" t="s">
        <v>3268</v>
      </c>
      <c r="AB67" s="111" t="s">
        <v>292</v>
      </c>
      <c r="AC67" s="111" t="s">
        <v>3269</v>
      </c>
      <c r="AD67" s="112">
        <v>46030.37144675926</v>
      </c>
      <c r="AE67" s="111" t="s">
        <v>3270</v>
      </c>
      <c r="AF67" s="122"/>
      <c r="AG67" s="122"/>
      <c r="AH67" s="122"/>
    </row>
    <row r="68" ht="22.5" customHeight="1">
      <c r="A68" s="73"/>
      <c r="B68" s="73"/>
      <c r="C68" s="73"/>
      <c r="D68" s="73"/>
      <c r="E68" s="127" t="s">
        <v>3271</v>
      </c>
      <c r="F68" s="110" t="s">
        <v>3272</v>
      </c>
      <c r="G68" s="96">
        <f>IFERROR(__xludf.DUMMYFUNCTION("GOOGLEFINANCE(E68, ""price"")"),125.32)</f>
        <v>125.32</v>
      </c>
      <c r="H68" s="97">
        <f>IFERROR(__xludf.DUMMYFUNCTION("GOOGLEFINANCE(E68, ""low"")"),122.55)</f>
        <v>122.55</v>
      </c>
      <c r="I68" s="99">
        <f>IFERROR(__xludf.DUMMYFUNCTION("GOOGLEFINANCE(E68, ""high"")"),126.74)</f>
        <v>126.74</v>
      </c>
      <c r="J68" s="144"/>
      <c r="K68" s="129">
        <v>24.88</v>
      </c>
      <c r="L68" s="129">
        <v>80.67</v>
      </c>
      <c r="M68" s="129">
        <v>45.07</v>
      </c>
      <c r="N68" s="129">
        <v>4.98</v>
      </c>
      <c r="O68" s="110" t="s">
        <v>998</v>
      </c>
      <c r="P68" s="129">
        <v>99.83</v>
      </c>
      <c r="Q68" s="130">
        <v>45840.7610403125</v>
      </c>
      <c r="R68" s="131" t="b">
        <v>1</v>
      </c>
      <c r="S68" s="110" t="s">
        <v>3273</v>
      </c>
      <c r="T68" s="110">
        <v>0.0</v>
      </c>
      <c r="U68" s="110" t="s">
        <v>3271</v>
      </c>
      <c r="V68" s="110" t="s">
        <v>3275</v>
      </c>
      <c r="W68" s="110" t="s">
        <v>3277</v>
      </c>
      <c r="X68" s="110" t="s">
        <v>3279</v>
      </c>
      <c r="Y68" s="110" t="s">
        <v>3280</v>
      </c>
      <c r="Z68" s="110" t="s">
        <v>3282</v>
      </c>
      <c r="AA68" s="110" t="s">
        <v>3283</v>
      </c>
      <c r="AB68" s="110" t="s">
        <v>854</v>
      </c>
      <c r="AC68" s="110" t="s">
        <v>3286</v>
      </c>
      <c r="AD68" s="132">
        <v>46030.37144675926</v>
      </c>
      <c r="AE68" s="110" t="s">
        <v>3289</v>
      </c>
      <c r="AF68" s="133"/>
      <c r="AG68" s="133"/>
      <c r="AH68" s="133"/>
    </row>
    <row r="69" ht="22.5" customHeight="1">
      <c r="A69" s="73"/>
      <c r="B69" s="73"/>
      <c r="C69" s="73"/>
      <c r="D69" s="73"/>
      <c r="E69" s="117" t="s">
        <v>3299</v>
      </c>
      <c r="F69" s="111" t="s">
        <v>3302</v>
      </c>
      <c r="G69" s="118"/>
      <c r="H69" s="118"/>
      <c r="I69" s="118"/>
      <c r="J69" s="119"/>
      <c r="K69" s="120"/>
      <c r="L69" s="120"/>
      <c r="M69" s="120"/>
      <c r="N69" s="120"/>
      <c r="O69" s="118"/>
      <c r="P69" s="120"/>
      <c r="Q69" s="121"/>
      <c r="R69" s="109" t="b">
        <v>1</v>
      </c>
      <c r="S69" s="110" t="s">
        <v>3304</v>
      </c>
      <c r="T69" s="110">
        <v>0.0</v>
      </c>
      <c r="U69" s="111" t="s">
        <v>3299</v>
      </c>
      <c r="V69" s="111" t="s">
        <v>3306</v>
      </c>
      <c r="W69" s="111" t="s">
        <v>3307</v>
      </c>
      <c r="X69" s="111" t="s">
        <v>3308</v>
      </c>
      <c r="Y69" s="111" t="s">
        <v>3309</v>
      </c>
      <c r="Z69" s="111" t="s">
        <v>3310</v>
      </c>
      <c r="AA69" s="111" t="s">
        <v>3311</v>
      </c>
      <c r="AB69" s="111" t="s">
        <v>3314</v>
      </c>
      <c r="AC69" s="111" t="s">
        <v>3318</v>
      </c>
      <c r="AD69" s="112">
        <v>46090.47561342592</v>
      </c>
      <c r="AE69" s="111" t="s">
        <v>3326</v>
      </c>
      <c r="AF69" s="122"/>
      <c r="AG69" s="122"/>
      <c r="AH69" s="122"/>
    </row>
    <row r="70" ht="22.5" customHeight="1">
      <c r="A70" s="73"/>
      <c r="B70" s="73"/>
      <c r="C70" s="73"/>
      <c r="D70" s="73"/>
      <c r="E70" s="124" t="s">
        <v>818</v>
      </c>
      <c r="F70" s="125" t="s">
        <v>968</v>
      </c>
      <c r="G70" s="96">
        <f>IFERROR(__xludf.DUMMYFUNCTION("GOOGLEFINANCE(E70, ""price"")"),375.17)</f>
        <v>375.17</v>
      </c>
      <c r="H70" s="97">
        <f>IFERROR(__xludf.DUMMYFUNCTION("GOOGLEFINANCE(E70, ""low"")"),369.13)</f>
        <v>369.13</v>
      </c>
      <c r="I70" s="99">
        <f>IFERROR(__xludf.DUMMYFUNCTION("GOOGLEFINANCE(E70, ""high"")"),377.68)</f>
        <v>377.68</v>
      </c>
      <c r="J70" s="126"/>
      <c r="K70" s="104">
        <v>0.47</v>
      </c>
      <c r="L70" s="104">
        <v>28.9</v>
      </c>
      <c r="M70" s="104">
        <v>47.68</v>
      </c>
      <c r="N70" s="104">
        <v>7.69</v>
      </c>
      <c r="O70" s="125" t="s">
        <v>197</v>
      </c>
      <c r="P70" s="104">
        <v>175.87</v>
      </c>
      <c r="Q70" s="108">
        <v>46079.320398587966</v>
      </c>
      <c r="R70" s="109" t="b">
        <v>1</v>
      </c>
      <c r="S70" s="110" t="s">
        <v>3357</v>
      </c>
      <c r="T70" s="110">
        <v>0.0</v>
      </c>
      <c r="U70" s="111" t="s">
        <v>818</v>
      </c>
      <c r="V70" s="111" t="s">
        <v>3360</v>
      </c>
      <c r="W70" s="111" t="s">
        <v>3361</v>
      </c>
      <c r="X70" s="111" t="s">
        <v>3365</v>
      </c>
      <c r="Y70" s="111" t="s">
        <v>3367</v>
      </c>
      <c r="Z70" s="111" t="s">
        <v>3369</v>
      </c>
      <c r="AA70" s="111" t="s">
        <v>3371</v>
      </c>
      <c r="AB70" s="111" t="s">
        <v>295</v>
      </c>
      <c r="AC70" s="111" t="s">
        <v>3375</v>
      </c>
      <c r="AD70" s="112">
        <v>46030.37144675926</v>
      </c>
      <c r="AE70" s="111" t="s">
        <v>1955</v>
      </c>
      <c r="AF70" s="122"/>
      <c r="AG70" s="122"/>
      <c r="AH70" s="122"/>
    </row>
    <row r="71" ht="22.5" customHeight="1">
      <c r="A71" s="73"/>
      <c r="B71" s="73"/>
      <c r="C71" s="73"/>
      <c r="D71" s="73"/>
      <c r="E71" s="124" t="s">
        <v>1230</v>
      </c>
      <c r="F71" s="125" t="s">
        <v>1230</v>
      </c>
      <c r="G71" s="96">
        <f>IFERROR(__xludf.DUMMYFUNCTION("GOOGLEFINANCE(E71, ""price"")"),236.23)</f>
        <v>236.23</v>
      </c>
      <c r="H71" s="97">
        <f>IFERROR(__xludf.DUMMYFUNCTION("GOOGLEFINANCE(E71, ""low"")"),233.1)</f>
        <v>233.1</v>
      </c>
      <c r="I71" s="99">
        <f>IFERROR(__xludf.DUMMYFUNCTION("GOOGLEFINANCE(E71, ""high"")"),237.86)</f>
        <v>237.86</v>
      </c>
      <c r="J71" s="152"/>
      <c r="K71" s="106"/>
      <c r="L71" s="106"/>
      <c r="M71" s="106"/>
      <c r="N71" s="106"/>
      <c r="O71" s="105"/>
      <c r="P71" s="106"/>
      <c r="Q71" s="108"/>
      <c r="R71" s="109" t="b">
        <v>1</v>
      </c>
      <c r="S71" s="110" t="s">
        <v>3402</v>
      </c>
      <c r="T71" s="110">
        <v>0.0</v>
      </c>
      <c r="U71" s="111" t="s">
        <v>1230</v>
      </c>
      <c r="V71" s="111" t="s">
        <v>3404</v>
      </c>
      <c r="W71" s="111" t="s">
        <v>3406</v>
      </c>
      <c r="X71" s="111" t="s">
        <v>3408</v>
      </c>
      <c r="Y71" s="111" t="s">
        <v>3411</v>
      </c>
      <c r="Z71" s="111" t="s">
        <v>3413</v>
      </c>
      <c r="AA71" s="111" t="s">
        <v>3415</v>
      </c>
      <c r="AB71" s="111" t="s">
        <v>3418</v>
      </c>
      <c r="AC71" s="111" t="s">
        <v>3420</v>
      </c>
      <c r="AD71" s="112">
        <v>46030.37144675926</v>
      </c>
      <c r="AE71" s="111" t="s">
        <v>3423</v>
      </c>
      <c r="AF71" s="122"/>
      <c r="AG71" s="122"/>
      <c r="AH71" s="122"/>
    </row>
    <row r="72" ht="22.5" customHeight="1">
      <c r="A72" s="73"/>
      <c r="B72" s="73"/>
      <c r="C72" s="73"/>
      <c r="D72" s="73"/>
      <c r="E72" s="127" t="s">
        <v>3435</v>
      </c>
      <c r="F72" s="110" t="s">
        <v>3437</v>
      </c>
      <c r="G72" s="96">
        <f>IFERROR(__xludf.DUMMYFUNCTION("GOOGLEFINANCE(E72, ""price"")"),62.24)</f>
        <v>62.24</v>
      </c>
      <c r="H72" s="97">
        <f>IFERROR(__xludf.DUMMYFUNCTION("GOOGLEFINANCE(E72, ""low"")"),61.32)</f>
        <v>61.32</v>
      </c>
      <c r="I72" s="99">
        <f>IFERROR(__xludf.DUMMYFUNCTION("GOOGLEFINANCE(E72, ""high"")"),62.72)</f>
        <v>62.72</v>
      </c>
      <c r="J72" s="144"/>
      <c r="K72" s="129">
        <v>-0.16</v>
      </c>
      <c r="L72" s="129">
        <v>60.8</v>
      </c>
      <c r="M72" s="129">
        <v>29.38</v>
      </c>
      <c r="N72" s="129">
        <v>1.12</v>
      </c>
      <c r="O72" s="110" t="s">
        <v>245</v>
      </c>
      <c r="P72" s="129">
        <v>36.12</v>
      </c>
      <c r="Q72" s="130">
        <v>45827.35339923611</v>
      </c>
      <c r="R72" s="131" t="b">
        <v>1</v>
      </c>
      <c r="S72" s="110" t="s">
        <v>3450</v>
      </c>
      <c r="T72" s="110">
        <v>0.0</v>
      </c>
      <c r="U72" s="110" t="s">
        <v>3435</v>
      </c>
      <c r="V72" s="110" t="s">
        <v>3453</v>
      </c>
      <c r="W72" s="110" t="s">
        <v>3455</v>
      </c>
      <c r="X72" s="110" t="s">
        <v>3457</v>
      </c>
      <c r="Y72" s="110" t="s">
        <v>3459</v>
      </c>
      <c r="Z72" s="110" t="s">
        <v>3461</v>
      </c>
      <c r="AA72" s="110" t="s">
        <v>3462</v>
      </c>
      <c r="AB72" s="110" t="s">
        <v>332</v>
      </c>
      <c r="AC72" s="110" t="s">
        <v>3465</v>
      </c>
      <c r="AD72" s="132">
        <v>46030.37144675926</v>
      </c>
      <c r="AE72" s="110" t="s">
        <v>3468</v>
      </c>
      <c r="AF72" s="133"/>
      <c r="AG72" s="133"/>
      <c r="AH72" s="133"/>
    </row>
    <row r="73" ht="22.5" customHeight="1">
      <c r="A73" s="73"/>
      <c r="B73" s="73"/>
      <c r="C73" s="73"/>
      <c r="D73" s="73"/>
      <c r="E73" s="242" t="s">
        <v>3472</v>
      </c>
      <c r="F73" s="242" t="s">
        <v>3474</v>
      </c>
      <c r="G73" s="96">
        <f>IFERROR(__xludf.DUMMYFUNCTION("GOOGLEFINANCE(E73, ""price"")"),120.36)</f>
        <v>120.36</v>
      </c>
      <c r="H73" s="97">
        <f>IFERROR(__xludf.DUMMYFUNCTION("GOOGLEFINANCE(E73, ""low"")"),119.44)</f>
        <v>119.44</v>
      </c>
      <c r="I73" s="99">
        <f>IFERROR(__xludf.DUMMYFUNCTION("GOOGLEFINANCE(E73, ""high"")"),124.25)</f>
        <v>124.25</v>
      </c>
      <c r="J73" s="152"/>
      <c r="K73" s="106"/>
      <c r="L73" s="106"/>
      <c r="M73" s="106"/>
      <c r="N73" s="106"/>
      <c r="O73" s="104"/>
      <c r="P73" s="104">
        <v>20.29</v>
      </c>
      <c r="Q73" s="108">
        <v>45812.250381550926</v>
      </c>
      <c r="R73" s="109" t="b">
        <v>1</v>
      </c>
      <c r="S73" s="110" t="s">
        <v>3479</v>
      </c>
      <c r="T73" s="110">
        <v>0.0</v>
      </c>
      <c r="U73" s="111" t="s">
        <v>3472</v>
      </c>
      <c r="V73" s="111" t="s">
        <v>3481</v>
      </c>
      <c r="W73" s="111" t="s">
        <v>3482</v>
      </c>
      <c r="X73" s="111" t="s">
        <v>3484</v>
      </c>
      <c r="Y73" s="111" t="s">
        <v>3485</v>
      </c>
      <c r="Z73" s="111" t="s">
        <v>3486</v>
      </c>
      <c r="AA73" s="111" t="s">
        <v>3487</v>
      </c>
      <c r="AB73" s="111" t="s">
        <v>3488</v>
      </c>
      <c r="AC73" s="111" t="s">
        <v>3490</v>
      </c>
      <c r="AD73" s="112">
        <v>46030.37144675926</v>
      </c>
      <c r="AE73" s="111" t="s">
        <v>3492</v>
      </c>
      <c r="AF73" s="122"/>
      <c r="AG73" s="122"/>
      <c r="AH73" s="122"/>
    </row>
    <row r="74" ht="22.5" customHeight="1">
      <c r="A74" s="73"/>
      <c r="B74" s="149" t="s">
        <v>327</v>
      </c>
      <c r="C74" s="150">
        <f>now()</f>
        <v>46288.71545</v>
      </c>
      <c r="D74" s="73"/>
      <c r="E74" s="127" t="s">
        <v>1057</v>
      </c>
      <c r="F74" s="110" t="s">
        <v>1058</v>
      </c>
      <c r="G74" s="96">
        <f>IFERROR(__xludf.DUMMYFUNCTION("GOOGLEFINANCE(E74, ""price"")"),42.86)</f>
        <v>42.86</v>
      </c>
      <c r="H74" s="97">
        <f>IFERROR(__xludf.DUMMYFUNCTION("GOOGLEFINANCE(E74, ""low"")"),41.63)</f>
        <v>41.63</v>
      </c>
      <c r="I74" s="99">
        <f>IFERROR(__xludf.DUMMYFUNCTION("GOOGLEFINANCE(E74, ""high"")"),46.05)</f>
        <v>46.05</v>
      </c>
      <c r="J74" s="144"/>
      <c r="K74" s="129">
        <v>-2.1</v>
      </c>
      <c r="L74" s="129">
        <v>50.61</v>
      </c>
      <c r="M74" s="129">
        <v>29.81</v>
      </c>
      <c r="N74" s="129">
        <v>3.37</v>
      </c>
      <c r="O74" s="110" t="s">
        <v>998</v>
      </c>
      <c r="P74" s="129">
        <v>41.06</v>
      </c>
      <c r="Q74" s="243">
        <v>45868.35878219907</v>
      </c>
      <c r="R74" s="208" t="b">
        <v>1</v>
      </c>
      <c r="S74" s="110" t="s">
        <v>3508</v>
      </c>
      <c r="T74" s="110">
        <v>0.0</v>
      </c>
      <c r="U74" s="244" t="s">
        <v>1057</v>
      </c>
      <c r="V74" s="244" t="s">
        <v>3511</v>
      </c>
      <c r="W74" s="244" t="s">
        <v>3513</v>
      </c>
      <c r="X74" s="244" t="s">
        <v>3514</v>
      </c>
      <c r="Y74" s="244" t="s">
        <v>3517</v>
      </c>
      <c r="Z74" s="244" t="s">
        <v>3518</v>
      </c>
      <c r="AA74" s="244" t="s">
        <v>3520</v>
      </c>
      <c r="AB74" s="244" t="s">
        <v>410</v>
      </c>
      <c r="AC74" s="244" t="s">
        <v>3523</v>
      </c>
      <c r="AD74" s="245">
        <v>46030.37144675926</v>
      </c>
      <c r="AE74" s="244" t="s">
        <v>1929</v>
      </c>
      <c r="AF74" s="246"/>
      <c r="AG74" s="246"/>
      <c r="AH74" s="246"/>
    </row>
    <row r="75" ht="22.5" customHeight="1">
      <c r="A75" s="73"/>
      <c r="B75" s="73"/>
      <c r="C75" s="73"/>
      <c r="D75" s="73"/>
      <c r="E75" s="117" t="s">
        <v>506</v>
      </c>
      <c r="F75" s="103" t="s">
        <v>3532</v>
      </c>
      <c r="G75" s="96">
        <f>IFERROR(__xludf.DUMMYFUNCTION("GOOGLEFINANCE(E75, ""price"")"),141.74)</f>
        <v>141.74</v>
      </c>
      <c r="H75" s="118"/>
      <c r="I75" s="118"/>
      <c r="J75" s="119"/>
      <c r="K75" s="120"/>
      <c r="L75" s="120"/>
      <c r="M75" s="120"/>
      <c r="N75" s="120"/>
      <c r="O75" s="118"/>
      <c r="P75" s="120"/>
      <c r="Q75" s="121"/>
      <c r="R75" s="109" t="b">
        <v>1</v>
      </c>
      <c r="S75" s="110" t="s">
        <v>3540</v>
      </c>
      <c r="T75" s="110">
        <v>0.0</v>
      </c>
      <c r="U75" s="111" t="s">
        <v>506</v>
      </c>
      <c r="V75" s="111" t="s">
        <v>3543</v>
      </c>
      <c r="W75" s="111" t="s">
        <v>1256</v>
      </c>
      <c r="X75" s="111" t="s">
        <v>3545</v>
      </c>
      <c r="Y75" s="111" t="s">
        <v>3546</v>
      </c>
      <c r="Z75" s="111" t="s">
        <v>3548</v>
      </c>
      <c r="AA75" s="111" t="s">
        <v>3550</v>
      </c>
      <c r="AB75" s="111" t="s">
        <v>429</v>
      </c>
      <c r="AC75" s="111" t="s">
        <v>3553</v>
      </c>
      <c r="AD75" s="111" t="s">
        <v>3237</v>
      </c>
      <c r="AE75" s="111" t="s">
        <v>3554</v>
      </c>
      <c r="AF75" s="122"/>
      <c r="AG75" s="122"/>
      <c r="AH75" s="122"/>
    </row>
    <row r="76" ht="22.5" customHeight="1">
      <c r="A76" s="73"/>
      <c r="B76" s="73"/>
      <c r="C76" s="73"/>
      <c r="D76" s="73"/>
      <c r="E76" s="117" t="s">
        <v>3556</v>
      </c>
      <c r="F76" s="111" t="s">
        <v>3557</v>
      </c>
      <c r="G76" s="96">
        <f>IFERROR(__xludf.DUMMYFUNCTION("GOOGLEFINANCE(E76, ""price"")"),97.88)</f>
        <v>97.88</v>
      </c>
      <c r="H76" s="118"/>
      <c r="I76" s="118"/>
      <c r="J76" s="119"/>
      <c r="K76" s="120"/>
      <c r="L76" s="120"/>
      <c r="M76" s="120"/>
      <c r="N76" s="120"/>
      <c r="O76" s="118"/>
      <c r="P76" s="120"/>
      <c r="Q76" s="121"/>
      <c r="R76" s="109" t="b">
        <v>1</v>
      </c>
      <c r="S76" s="110" t="s">
        <v>3563</v>
      </c>
      <c r="T76" s="110">
        <v>0.0</v>
      </c>
      <c r="U76" s="111" t="s">
        <v>3556</v>
      </c>
      <c r="V76" s="111" t="s">
        <v>3568</v>
      </c>
      <c r="W76" s="111" t="s">
        <v>3570</v>
      </c>
      <c r="X76" s="111" t="s">
        <v>3573</v>
      </c>
      <c r="Y76" s="111" t="s">
        <v>3576</v>
      </c>
      <c r="Z76" s="111" t="s">
        <v>3579</v>
      </c>
      <c r="AA76" s="111" t="s">
        <v>3580</v>
      </c>
      <c r="AB76" s="111" t="s">
        <v>531</v>
      </c>
      <c r="AC76" s="111" t="s">
        <v>3584</v>
      </c>
      <c r="AD76" s="112">
        <v>46150.444386574076</v>
      </c>
      <c r="AE76" s="111" t="s">
        <v>3587</v>
      </c>
      <c r="AF76" s="122"/>
      <c r="AG76" s="122"/>
      <c r="AH76" s="122"/>
    </row>
    <row r="77" ht="22.5" customHeight="1">
      <c r="A77" s="73"/>
      <c r="B77" s="73"/>
      <c r="C77" s="73"/>
      <c r="D77" s="73"/>
      <c r="E77" s="117" t="s">
        <v>1737</v>
      </c>
      <c r="F77" s="111" t="s">
        <v>3591</v>
      </c>
      <c r="G77" s="96">
        <f>IFERROR(__xludf.DUMMYFUNCTION("GOOGLEFINANCE(E77, ""price"")"),88.15)</f>
        <v>88.15</v>
      </c>
      <c r="H77" s="118"/>
      <c r="I77" s="118"/>
      <c r="J77" s="119"/>
      <c r="K77" s="120"/>
      <c r="L77" s="120"/>
      <c r="M77" s="120"/>
      <c r="N77" s="120"/>
      <c r="O77" s="118"/>
      <c r="P77" s="120"/>
      <c r="Q77" s="121"/>
      <c r="R77" s="109" t="b">
        <v>1</v>
      </c>
      <c r="S77" s="110" t="s">
        <v>3601</v>
      </c>
      <c r="T77" s="110">
        <v>0.0</v>
      </c>
      <c r="U77" s="111" t="s">
        <v>1737</v>
      </c>
      <c r="V77" s="111" t="s">
        <v>3603</v>
      </c>
      <c r="W77" s="111" t="s">
        <v>3604</v>
      </c>
      <c r="X77" s="111" t="s">
        <v>3606</v>
      </c>
      <c r="Y77" s="111" t="s">
        <v>3607</v>
      </c>
      <c r="Z77" s="111" t="s">
        <v>3609</v>
      </c>
      <c r="AA77" s="111" t="s">
        <v>3610</v>
      </c>
      <c r="AB77" s="111" t="s">
        <v>2919</v>
      </c>
      <c r="AC77" s="111" t="s">
        <v>3612</v>
      </c>
      <c r="AD77" s="112">
        <v>46030.37144675926</v>
      </c>
      <c r="AE77" s="111" t="s">
        <v>3614</v>
      </c>
      <c r="AF77" s="122"/>
      <c r="AG77" s="122"/>
      <c r="AH77" s="122"/>
    </row>
    <row r="78" ht="22.5" customHeight="1">
      <c r="A78" s="73"/>
      <c r="B78" s="73"/>
      <c r="C78" s="73"/>
      <c r="D78" s="73"/>
      <c r="E78" s="127" t="s">
        <v>3618</v>
      </c>
      <c r="F78" s="110" t="s">
        <v>3619</v>
      </c>
      <c r="G78" s="96">
        <f>IFERROR(__xludf.DUMMYFUNCTION("GOOGLEFINANCE(E78, ""price"")"),2.32)</f>
        <v>2.32</v>
      </c>
      <c r="H78" s="97">
        <f>IFERROR(__xludf.DUMMYFUNCTION("GOOGLEFINANCE(E78, ""low"")"),2.29)</f>
        <v>2.29</v>
      </c>
      <c r="I78" s="99">
        <f>IFERROR(__xludf.DUMMYFUNCTION("GOOGLEFINANCE(E78, ""high"")"),2.48)</f>
        <v>2.48</v>
      </c>
      <c r="J78" s="144"/>
      <c r="K78" s="129">
        <v>-2.48</v>
      </c>
      <c r="L78" s="129">
        <v>46.72</v>
      </c>
      <c r="M78" s="129">
        <v>15.69</v>
      </c>
      <c r="N78" s="129">
        <v>2.76</v>
      </c>
      <c r="O78" s="110" t="s">
        <v>3629</v>
      </c>
      <c r="P78" s="129">
        <v>3.72</v>
      </c>
      <c r="Q78" s="130">
        <v>45799.88204802084</v>
      </c>
      <c r="R78" s="131" t="b">
        <v>1</v>
      </c>
      <c r="S78" s="110" t="s">
        <v>3632</v>
      </c>
      <c r="T78" s="110">
        <v>0.0</v>
      </c>
      <c r="U78" s="110" t="s">
        <v>3618</v>
      </c>
      <c r="V78" s="110" t="s">
        <v>3633</v>
      </c>
      <c r="W78" s="110" t="s">
        <v>3634</v>
      </c>
      <c r="X78" s="110" t="s">
        <v>2212</v>
      </c>
      <c r="Y78" s="110" t="s">
        <v>3637</v>
      </c>
      <c r="Z78" s="110" t="s">
        <v>3638</v>
      </c>
      <c r="AA78" s="110" t="s">
        <v>3640</v>
      </c>
      <c r="AB78" s="110" t="s">
        <v>933</v>
      </c>
      <c r="AC78" s="110" t="s">
        <v>3643</v>
      </c>
      <c r="AD78" s="132">
        <v>46030.37144675926</v>
      </c>
      <c r="AE78" s="110" t="s">
        <v>3646</v>
      </c>
      <c r="AF78" s="133"/>
      <c r="AG78" s="133"/>
      <c r="AH78" s="133"/>
    </row>
    <row r="79" ht="22.5" customHeight="1">
      <c r="A79" s="73"/>
      <c r="B79" s="73"/>
      <c r="C79" s="73"/>
      <c r="D79" s="73"/>
      <c r="E79" s="124" t="s">
        <v>3651</v>
      </c>
      <c r="F79" s="125" t="s">
        <v>3652</v>
      </c>
      <c r="G79" s="96">
        <f>IFERROR(__xludf.DUMMYFUNCTION("GOOGLEFINANCE(E79, ""price"")"),1154.84)</f>
        <v>1154.84</v>
      </c>
      <c r="H79" s="97">
        <f>IFERROR(__xludf.DUMMYFUNCTION("GOOGLEFINANCE(E79, ""low"")"),1154.0)</f>
        <v>1154</v>
      </c>
      <c r="I79" s="99">
        <f>IFERROR(__xludf.DUMMYFUNCTION("GOOGLEFINANCE(E79, ""high"")"),1188.88)</f>
        <v>1188.88</v>
      </c>
      <c r="J79" s="126"/>
      <c r="K79" s="104">
        <v>7.71</v>
      </c>
      <c r="L79" s="104">
        <v>64.6</v>
      </c>
      <c r="M79" s="104">
        <v>25.22</v>
      </c>
      <c r="N79" s="104">
        <v>20.69</v>
      </c>
      <c r="O79" s="125" t="s">
        <v>3656</v>
      </c>
      <c r="P79" s="106">
        <v>873.12</v>
      </c>
      <c r="Q79" s="108">
        <v>45709.53835163194</v>
      </c>
      <c r="R79" s="109" t="b">
        <v>1</v>
      </c>
      <c r="S79" s="110" t="s">
        <v>3657</v>
      </c>
      <c r="T79" s="110">
        <v>0.0</v>
      </c>
      <c r="U79" s="111" t="s">
        <v>3651</v>
      </c>
      <c r="V79" s="111" t="s">
        <v>3659</v>
      </c>
      <c r="W79" s="111" t="s">
        <v>3660</v>
      </c>
      <c r="X79" s="111" t="s">
        <v>3661</v>
      </c>
      <c r="Y79" s="111" t="s">
        <v>3663</v>
      </c>
      <c r="Z79" s="111" t="s">
        <v>3664</v>
      </c>
      <c r="AA79" s="111" t="s">
        <v>3665</v>
      </c>
      <c r="AB79" s="111" t="s">
        <v>468</v>
      </c>
      <c r="AC79" s="111" t="s">
        <v>3667</v>
      </c>
      <c r="AD79" s="112">
        <v>46030.37144675926</v>
      </c>
      <c r="AE79" s="111" t="s">
        <v>3669</v>
      </c>
      <c r="AF79" s="122"/>
      <c r="AG79" s="122"/>
      <c r="AH79" s="122"/>
    </row>
    <row r="80" ht="22.5" customHeight="1">
      <c r="A80" s="73"/>
      <c r="B80" s="73"/>
      <c r="C80" s="73"/>
      <c r="D80" s="73"/>
      <c r="E80" s="127" t="s">
        <v>2505</v>
      </c>
      <c r="F80" s="110" t="s">
        <v>3672</v>
      </c>
      <c r="G80" s="96">
        <f>IFERROR(__xludf.DUMMYFUNCTION("GOOGLEFINANCE(E80, ""price"")"),526.54)</f>
        <v>526.54</v>
      </c>
      <c r="H80" s="97">
        <f>IFERROR(__xludf.DUMMYFUNCTION("GOOGLEFINANCE(E80, ""low"")"),523.57)</f>
        <v>523.57</v>
      </c>
      <c r="I80" s="99">
        <f>IFERROR(__xludf.DUMMYFUNCTION("GOOGLEFINANCE(E80, ""high"")"),534.93)</f>
        <v>534.93</v>
      </c>
      <c r="J80" s="144"/>
      <c r="K80" s="129">
        <v>-47.0</v>
      </c>
      <c r="L80" s="129">
        <v>27.16</v>
      </c>
      <c r="M80" s="129">
        <v>14.96</v>
      </c>
      <c r="N80" s="129">
        <v>11.23</v>
      </c>
      <c r="O80" s="110" t="s">
        <v>3253</v>
      </c>
      <c r="P80" s="129">
        <v>415.91</v>
      </c>
      <c r="Q80" s="130">
        <v>45861.48222961806</v>
      </c>
      <c r="R80" s="131" t="b">
        <v>1</v>
      </c>
      <c r="S80" s="110" t="s">
        <v>3678</v>
      </c>
      <c r="T80" s="110">
        <v>0.0</v>
      </c>
      <c r="U80" s="110" t="s">
        <v>2505</v>
      </c>
      <c r="V80" s="110" t="s">
        <v>3680</v>
      </c>
      <c r="W80" s="110" t="s">
        <v>3681</v>
      </c>
      <c r="X80" s="110" t="s">
        <v>3682</v>
      </c>
      <c r="Y80" s="110" t="s">
        <v>3684</v>
      </c>
      <c r="Z80" s="110" t="s">
        <v>3686</v>
      </c>
      <c r="AA80" s="110" t="s">
        <v>3688</v>
      </c>
      <c r="AB80" s="110" t="s">
        <v>292</v>
      </c>
      <c r="AC80" s="110" t="s">
        <v>3690</v>
      </c>
      <c r="AD80" s="132">
        <v>46030.37144675926</v>
      </c>
      <c r="AE80" s="110" t="s">
        <v>3692</v>
      </c>
      <c r="AF80" s="133"/>
      <c r="AG80" s="133"/>
      <c r="AH80" s="133"/>
    </row>
    <row r="81" ht="22.5" customHeight="1">
      <c r="A81" s="73"/>
      <c r="B81" s="73"/>
      <c r="C81" s="73"/>
      <c r="D81" s="73"/>
      <c r="E81" s="117" t="s">
        <v>3697</v>
      </c>
      <c r="F81" s="103" t="s">
        <v>3698</v>
      </c>
      <c r="G81" s="96">
        <f>IFERROR(__xludf.DUMMYFUNCTION("GOOGLEFINANCE(E81, ""price"")"),278.52)</f>
        <v>278.52</v>
      </c>
      <c r="H81" s="118"/>
      <c r="I81" s="118"/>
      <c r="J81" s="119"/>
      <c r="K81" s="120"/>
      <c r="L81" s="120"/>
      <c r="M81" s="120"/>
      <c r="N81" s="120"/>
      <c r="O81" s="118"/>
      <c r="P81" s="120"/>
      <c r="Q81" s="121"/>
      <c r="R81" s="109" t="b">
        <v>1</v>
      </c>
      <c r="S81" s="110" t="s">
        <v>3706</v>
      </c>
      <c r="T81" s="110">
        <v>0.0</v>
      </c>
      <c r="U81" s="111" t="s">
        <v>3697</v>
      </c>
      <c r="V81" s="111" t="s">
        <v>3709</v>
      </c>
      <c r="W81" s="111" t="s">
        <v>3710</v>
      </c>
      <c r="X81" s="111" t="s">
        <v>3713</v>
      </c>
      <c r="Y81" s="111" t="s">
        <v>3714</v>
      </c>
      <c r="Z81" s="111" t="s">
        <v>3715</v>
      </c>
      <c r="AA81" s="111" t="s">
        <v>3716</v>
      </c>
      <c r="AB81" s="111" t="s">
        <v>3718</v>
      </c>
      <c r="AC81" s="111" t="s">
        <v>3719</v>
      </c>
      <c r="AD81" s="111" t="s">
        <v>2005</v>
      </c>
      <c r="AE81" s="111" t="s">
        <v>3721</v>
      </c>
      <c r="AF81" s="122"/>
      <c r="AG81" s="122"/>
      <c r="AH81" s="122"/>
    </row>
    <row r="82" ht="22.5" customHeight="1">
      <c r="A82" s="73"/>
      <c r="B82" s="73"/>
      <c r="C82" s="73"/>
      <c r="D82" s="73"/>
      <c r="E82" s="117" t="s">
        <v>3725</v>
      </c>
      <c r="F82" s="111" t="s">
        <v>3726</v>
      </c>
      <c r="G82" s="96">
        <f>IFERROR(__xludf.DUMMYFUNCTION("GOOGLEFINANCE(E82, ""price"")"),192.49)</f>
        <v>192.49</v>
      </c>
      <c r="H82" s="118"/>
      <c r="I82" s="118"/>
      <c r="J82" s="119"/>
      <c r="K82" s="120"/>
      <c r="L82" s="120"/>
      <c r="M82" s="120"/>
      <c r="N82" s="120"/>
      <c r="O82" s="118"/>
      <c r="P82" s="120"/>
      <c r="Q82" s="121"/>
      <c r="R82" s="109" t="b">
        <v>1</v>
      </c>
      <c r="S82" s="110" t="s">
        <v>3733</v>
      </c>
      <c r="T82" s="110">
        <v>0.0</v>
      </c>
      <c r="U82" s="111" t="s">
        <v>3725</v>
      </c>
      <c r="V82" s="111" t="s">
        <v>3736</v>
      </c>
      <c r="W82" s="111" t="s">
        <v>3738</v>
      </c>
      <c r="X82" s="111" t="s">
        <v>3739</v>
      </c>
      <c r="Y82" s="111" t="s">
        <v>3741</v>
      </c>
      <c r="Z82" s="111" t="s">
        <v>3744</v>
      </c>
      <c r="AA82" s="111" t="s">
        <v>3746</v>
      </c>
      <c r="AB82" s="111" t="s">
        <v>736</v>
      </c>
      <c r="AC82" s="111" t="s">
        <v>3748</v>
      </c>
      <c r="AD82" s="112">
        <v>46150.444386574076</v>
      </c>
      <c r="AE82" s="111" t="s">
        <v>3751</v>
      </c>
      <c r="AF82" s="122"/>
      <c r="AG82" s="122"/>
      <c r="AH82" s="122"/>
    </row>
    <row r="83" ht="22.5" customHeight="1">
      <c r="A83" s="73"/>
      <c r="B83" s="73"/>
      <c r="C83" s="73"/>
      <c r="D83" s="73"/>
      <c r="E83" s="117" t="s">
        <v>175</v>
      </c>
      <c r="F83" s="111" t="s">
        <v>176</v>
      </c>
      <c r="G83" s="96">
        <f>IFERROR(__xludf.DUMMYFUNCTION("GOOGLEFINANCE(E83, ""price"")"),42.53)</f>
        <v>42.53</v>
      </c>
      <c r="H83" s="118"/>
      <c r="I83" s="118"/>
      <c r="J83" s="135" t="s">
        <v>282</v>
      </c>
      <c r="K83" s="120"/>
      <c r="L83" s="120"/>
      <c r="M83" s="120"/>
      <c r="N83" s="120"/>
      <c r="O83" s="118"/>
      <c r="P83" s="120"/>
      <c r="Q83" s="121"/>
      <c r="R83" s="109" t="b">
        <v>1</v>
      </c>
      <c r="S83" s="110" t="s">
        <v>308</v>
      </c>
      <c r="T83" s="110">
        <v>0.0</v>
      </c>
      <c r="U83" s="111" t="s">
        <v>175</v>
      </c>
      <c r="V83" s="111" t="s">
        <v>3762</v>
      </c>
      <c r="W83" s="111" t="s">
        <v>3764</v>
      </c>
      <c r="X83" s="111" t="s">
        <v>3765</v>
      </c>
      <c r="Y83" s="111" t="s">
        <v>3766</v>
      </c>
      <c r="Z83" s="111" t="s">
        <v>3767</v>
      </c>
      <c r="AA83" s="111" t="s">
        <v>3768</v>
      </c>
      <c r="AB83" s="111" t="s">
        <v>3769</v>
      </c>
      <c r="AC83" s="111" t="s">
        <v>3770</v>
      </c>
      <c r="AD83" s="112">
        <v>46150.444386574076</v>
      </c>
      <c r="AE83" s="111" t="s">
        <v>3772</v>
      </c>
      <c r="AF83" s="122"/>
      <c r="AG83" s="122"/>
      <c r="AH83" s="122"/>
    </row>
    <row r="84" ht="22.5" customHeight="1">
      <c r="A84" s="73"/>
      <c r="B84" s="73"/>
      <c r="C84" s="73"/>
      <c r="D84" s="73"/>
      <c r="E84" s="247" t="s">
        <v>612</v>
      </c>
      <c r="F84" s="247" t="s">
        <v>613</v>
      </c>
      <c r="G84" s="96">
        <f>IFERROR(__xludf.DUMMYFUNCTION("GOOGLEFINANCE(E84, ""price"")"),560.81)</f>
        <v>560.81</v>
      </c>
      <c r="H84" s="97">
        <f>IFERROR(__xludf.DUMMYFUNCTION("GOOGLEFINANCE(E84, ""low"")"),554.0)</f>
        <v>554</v>
      </c>
      <c r="I84" s="99">
        <f>IFERROR(__xludf.DUMMYFUNCTION("GOOGLEFINANCE(E84, ""high"")"),565.75)</f>
        <v>565.75</v>
      </c>
      <c r="J84" s="126"/>
      <c r="K84" s="106"/>
      <c r="L84" s="106"/>
      <c r="M84" s="106"/>
      <c r="N84" s="106"/>
      <c r="O84" s="104"/>
      <c r="P84" s="104">
        <v>588.03</v>
      </c>
      <c r="Q84" s="108">
        <v>45912.10145469908</v>
      </c>
      <c r="R84" s="109" t="b">
        <v>1</v>
      </c>
      <c r="S84" s="110" t="s">
        <v>3779</v>
      </c>
      <c r="T84" s="110">
        <v>0.0</v>
      </c>
      <c r="U84" s="111" t="s">
        <v>612</v>
      </c>
      <c r="V84" s="111" t="s">
        <v>3781</v>
      </c>
      <c r="W84" s="111" t="s">
        <v>3784</v>
      </c>
      <c r="X84" s="111" t="s">
        <v>3785</v>
      </c>
      <c r="Y84" s="111" t="s">
        <v>3786</v>
      </c>
      <c r="Z84" s="111" t="s">
        <v>3787</v>
      </c>
      <c r="AA84" s="111" t="s">
        <v>3788</v>
      </c>
      <c r="AB84" s="111" t="s">
        <v>3789</v>
      </c>
      <c r="AC84" s="111" t="s">
        <v>3790</v>
      </c>
      <c r="AD84" s="112">
        <v>46030.37144675926</v>
      </c>
      <c r="AE84" s="111" t="s">
        <v>2016</v>
      </c>
      <c r="AF84" s="122"/>
      <c r="AG84" s="122"/>
      <c r="AH84" s="122"/>
    </row>
    <row r="85" ht="22.5" customHeight="1">
      <c r="A85" s="73"/>
      <c r="B85" s="73"/>
      <c r="C85" s="73"/>
      <c r="D85" s="73"/>
      <c r="E85" s="117" t="s">
        <v>262</v>
      </c>
      <c r="F85" s="111" t="s">
        <v>263</v>
      </c>
      <c r="G85" s="96">
        <f>IFERROR(__xludf.DUMMYFUNCTION("GOOGLEFINANCE(E85, ""price"")"),55.11)</f>
        <v>55.11</v>
      </c>
      <c r="H85" s="118"/>
      <c r="I85" s="118"/>
      <c r="J85" s="135"/>
      <c r="K85" s="120"/>
      <c r="L85" s="120"/>
      <c r="M85" s="120"/>
      <c r="N85" s="120"/>
      <c r="O85" s="118"/>
      <c r="P85" s="120"/>
      <c r="Q85" s="121"/>
      <c r="R85" s="109" t="b">
        <v>1</v>
      </c>
      <c r="S85" s="110" t="s">
        <v>3801</v>
      </c>
      <c r="T85" s="110">
        <v>0.0</v>
      </c>
      <c r="U85" s="111" t="s">
        <v>262</v>
      </c>
      <c r="V85" s="111" t="s">
        <v>3803</v>
      </c>
      <c r="W85" s="111" t="s">
        <v>3805</v>
      </c>
      <c r="X85" s="111" t="s">
        <v>3806</v>
      </c>
      <c r="Y85" s="111" t="s">
        <v>3807</v>
      </c>
      <c r="Z85" s="111" t="s">
        <v>3808</v>
      </c>
      <c r="AA85" s="111" t="s">
        <v>3809</v>
      </c>
      <c r="AB85" s="111" t="s">
        <v>714</v>
      </c>
      <c r="AC85" s="111" t="s">
        <v>3810</v>
      </c>
      <c r="AD85" s="112">
        <v>46150.444386574076</v>
      </c>
      <c r="AE85" s="111" t="s">
        <v>3812</v>
      </c>
      <c r="AF85" s="122"/>
      <c r="AG85" s="122"/>
      <c r="AH85" s="122"/>
    </row>
    <row r="86" ht="22.5" customHeight="1">
      <c r="A86" s="73"/>
      <c r="B86" s="73"/>
      <c r="C86" s="73"/>
      <c r="D86" s="73"/>
      <c r="E86" s="127" t="s">
        <v>1336</v>
      </c>
      <c r="F86" s="110" t="s">
        <v>1338</v>
      </c>
      <c r="G86" s="96">
        <f>IFERROR(__xludf.DUMMYFUNCTION("GOOGLEFINANCE(E86, ""price"")"),75.23)</f>
        <v>75.23</v>
      </c>
      <c r="H86" s="97">
        <f>IFERROR(__xludf.DUMMYFUNCTION("GOOGLEFINANCE(E86, ""low"")"),73.77)</f>
        <v>73.77</v>
      </c>
      <c r="I86" s="99">
        <f>IFERROR(__xludf.DUMMYFUNCTION("GOOGLEFINANCE(E86, ""high"")"),75.77)</f>
        <v>75.77</v>
      </c>
      <c r="J86" s="144"/>
      <c r="K86" s="129">
        <v>12.7</v>
      </c>
      <c r="L86" s="129">
        <v>66.73</v>
      </c>
      <c r="M86" s="145"/>
      <c r="N86" s="145"/>
      <c r="O86" s="110" t="s">
        <v>1339</v>
      </c>
      <c r="P86" s="129">
        <v>63.5</v>
      </c>
      <c r="Q86" s="130">
        <v>45995.48168557871</v>
      </c>
      <c r="R86" s="131" t="b">
        <v>1</v>
      </c>
      <c r="S86" s="110" t="s">
        <v>3825</v>
      </c>
      <c r="T86" s="110">
        <v>0.0</v>
      </c>
      <c r="U86" s="110" t="s">
        <v>1336</v>
      </c>
      <c r="V86" s="110" t="s">
        <v>3828</v>
      </c>
      <c r="W86" s="110" t="s">
        <v>3829</v>
      </c>
      <c r="X86" s="110" t="s">
        <v>3833</v>
      </c>
      <c r="Y86" s="110" t="s">
        <v>3834</v>
      </c>
      <c r="Z86" s="110" t="s">
        <v>3837</v>
      </c>
      <c r="AA86" s="110" t="s">
        <v>3839</v>
      </c>
      <c r="AB86" s="110" t="s">
        <v>3840</v>
      </c>
      <c r="AC86" s="110" t="s">
        <v>3841</v>
      </c>
      <c r="AD86" s="132">
        <v>46030.37144675926</v>
      </c>
      <c r="AE86" s="110" t="s">
        <v>1963</v>
      </c>
      <c r="AF86" s="133"/>
      <c r="AG86" s="133"/>
      <c r="AH86" s="133"/>
    </row>
    <row r="87" ht="22.5" customHeight="1">
      <c r="A87" s="73"/>
      <c r="B87" s="73"/>
      <c r="C87" s="73"/>
      <c r="D87" s="73"/>
      <c r="E87" s="117" t="s">
        <v>3848</v>
      </c>
      <c r="F87" s="111" t="s">
        <v>3851</v>
      </c>
      <c r="G87" s="96">
        <f>IFERROR(__xludf.DUMMYFUNCTION("GOOGLEFINANCE(E87, ""price"")"),437.21)</f>
        <v>437.21</v>
      </c>
      <c r="H87" s="118"/>
      <c r="I87" s="118"/>
      <c r="J87" s="119"/>
      <c r="K87" s="120"/>
      <c r="L87" s="120"/>
      <c r="M87" s="120"/>
      <c r="N87" s="120"/>
      <c r="O87" s="118"/>
      <c r="P87" s="120"/>
      <c r="Q87" s="121"/>
      <c r="R87" s="109" t="b">
        <v>1</v>
      </c>
      <c r="S87" s="110" t="s">
        <v>3854</v>
      </c>
      <c r="T87" s="110">
        <v>0.0</v>
      </c>
      <c r="U87" s="111" t="s">
        <v>3848</v>
      </c>
      <c r="V87" s="111" t="s">
        <v>3856</v>
      </c>
      <c r="W87" s="111" t="s">
        <v>3858</v>
      </c>
      <c r="X87" s="111" t="s">
        <v>3861</v>
      </c>
      <c r="Y87" s="111" t="s">
        <v>3864</v>
      </c>
      <c r="Z87" s="111" t="s">
        <v>3865</v>
      </c>
      <c r="AA87" s="111" t="s">
        <v>3867</v>
      </c>
      <c r="AB87" s="111" t="s">
        <v>3870</v>
      </c>
      <c r="AC87" s="111" t="s">
        <v>3871</v>
      </c>
      <c r="AD87" s="112">
        <v>46031.913125</v>
      </c>
      <c r="AE87" s="111" t="s">
        <v>3876</v>
      </c>
      <c r="AF87" s="122"/>
      <c r="AG87" s="122"/>
      <c r="AH87" s="122"/>
    </row>
    <row r="88" ht="22.5" customHeight="1">
      <c r="A88" s="73"/>
      <c r="B88" s="73"/>
      <c r="C88" s="73"/>
      <c r="D88" s="73"/>
      <c r="E88" s="117" t="s">
        <v>157</v>
      </c>
      <c r="F88" s="111" t="s">
        <v>158</v>
      </c>
      <c r="G88" s="96">
        <f>IFERROR(__xludf.DUMMYFUNCTION("GOOGLEFINANCE(E88, ""price"")"),12.09)</f>
        <v>12.09</v>
      </c>
      <c r="H88" s="118"/>
      <c r="I88" s="118"/>
      <c r="J88" s="135" t="s">
        <v>282</v>
      </c>
      <c r="K88" s="120"/>
      <c r="L88" s="120"/>
      <c r="M88" s="120"/>
      <c r="N88" s="120"/>
      <c r="O88" s="118"/>
      <c r="P88" s="120"/>
      <c r="Q88" s="121"/>
      <c r="R88" s="109" t="b">
        <v>1</v>
      </c>
      <c r="S88" s="110" t="s">
        <v>3885</v>
      </c>
      <c r="T88" s="110">
        <v>0.0</v>
      </c>
      <c r="U88" s="111" t="s">
        <v>157</v>
      </c>
      <c r="V88" s="111" t="s">
        <v>3890</v>
      </c>
      <c r="W88" s="111" t="s">
        <v>3891</v>
      </c>
      <c r="X88" s="111" t="s">
        <v>3892</v>
      </c>
      <c r="Y88" s="111" t="s">
        <v>3895</v>
      </c>
      <c r="Z88" s="111" t="s">
        <v>3896</v>
      </c>
      <c r="AA88" s="111" t="s">
        <v>3897</v>
      </c>
      <c r="AB88" s="111" t="s">
        <v>1837</v>
      </c>
      <c r="AC88" s="111" t="s">
        <v>3900</v>
      </c>
      <c r="AD88" s="112">
        <v>46030.37144675926</v>
      </c>
      <c r="AE88" s="111" t="s">
        <v>1876</v>
      </c>
      <c r="AF88" s="122"/>
      <c r="AG88" s="122"/>
      <c r="AH88" s="122"/>
    </row>
    <row r="89" ht="22.5" customHeight="1">
      <c r="A89" s="73"/>
      <c r="B89" s="149" t="s">
        <v>327</v>
      </c>
      <c r="C89" s="150">
        <f>now()</f>
        <v>46288.71545</v>
      </c>
      <c r="D89" s="73"/>
      <c r="E89" s="117" t="s">
        <v>3915</v>
      </c>
      <c r="F89" s="111" t="s">
        <v>3919</v>
      </c>
      <c r="G89" s="96">
        <f>IFERROR(__xludf.DUMMYFUNCTION("GOOGLEFINANCE(E89, ""price"")"),0.32)</f>
        <v>0.32</v>
      </c>
      <c r="H89" s="118"/>
      <c r="I89" s="118"/>
      <c r="J89" s="119"/>
      <c r="K89" s="120"/>
      <c r="L89" s="120"/>
      <c r="M89" s="120"/>
      <c r="N89" s="120"/>
      <c r="O89" s="118"/>
      <c r="P89" s="120"/>
      <c r="Q89" s="121"/>
      <c r="R89" s="109" t="b">
        <v>1</v>
      </c>
      <c r="S89" s="110" t="s">
        <v>3929</v>
      </c>
      <c r="T89" s="110">
        <v>0.0</v>
      </c>
      <c r="U89" s="111" t="s">
        <v>3915</v>
      </c>
      <c r="V89" s="111" t="s">
        <v>3932</v>
      </c>
      <c r="W89" s="111" t="s">
        <v>3933</v>
      </c>
      <c r="X89" s="111" t="s">
        <v>3935</v>
      </c>
      <c r="Y89" s="111" t="s">
        <v>3936</v>
      </c>
      <c r="Z89" s="111" t="s">
        <v>3937</v>
      </c>
      <c r="AA89" s="111" t="s">
        <v>3938</v>
      </c>
      <c r="AB89" s="111" t="s">
        <v>3940</v>
      </c>
      <c r="AC89" s="111" t="s">
        <v>3942</v>
      </c>
      <c r="AD89" s="112">
        <v>46030.37144675926</v>
      </c>
      <c r="AE89" s="111" t="s">
        <v>3944</v>
      </c>
      <c r="AF89" s="122"/>
      <c r="AG89" s="122"/>
      <c r="AH89" s="122"/>
    </row>
    <row r="90" ht="22.5" customHeight="1">
      <c r="A90" s="73"/>
      <c r="B90" s="73"/>
      <c r="C90" s="73"/>
      <c r="D90" s="73"/>
      <c r="E90" s="160" t="s">
        <v>3139</v>
      </c>
      <c r="F90" s="125" t="s">
        <v>3948</v>
      </c>
      <c r="G90" s="96">
        <f>IFERROR(__xludf.DUMMYFUNCTION("GOOGLEFINANCE(E90, ""price"")"),754.12)</f>
        <v>754.12</v>
      </c>
      <c r="H90" s="97">
        <f>IFERROR(__xludf.DUMMYFUNCTION("GOOGLEFINANCE(E90, ""low"")"),739.51)</f>
        <v>739.51</v>
      </c>
      <c r="I90" s="99">
        <f>IFERROR(__xludf.DUMMYFUNCTION("GOOGLEFINANCE(E90, ""high"")"),763.9)</f>
        <v>763.9</v>
      </c>
      <c r="J90" s="126"/>
      <c r="K90" s="104">
        <v>-7.0</v>
      </c>
      <c r="L90" s="104">
        <v>51.23</v>
      </c>
      <c r="M90" s="104">
        <v>27.21</v>
      </c>
      <c r="N90" s="104">
        <v>14.06</v>
      </c>
      <c r="O90" s="125" t="s">
        <v>197</v>
      </c>
      <c r="P90" s="104">
        <v>705.8</v>
      </c>
      <c r="Q90" s="108">
        <v>45855.34063770833</v>
      </c>
      <c r="R90" s="109" t="b">
        <v>1</v>
      </c>
      <c r="S90" s="110" t="s">
        <v>3956</v>
      </c>
      <c r="T90" s="110">
        <v>0.0</v>
      </c>
      <c r="U90" s="111" t="s">
        <v>3139</v>
      </c>
      <c r="V90" s="111" t="s">
        <v>3958</v>
      </c>
      <c r="W90" s="111" t="s">
        <v>3959</v>
      </c>
      <c r="X90" s="111" t="s">
        <v>3962</v>
      </c>
      <c r="Y90" s="111" t="s">
        <v>3965</v>
      </c>
      <c r="Z90" s="111" t="s">
        <v>3966</v>
      </c>
      <c r="AA90" s="111" t="s">
        <v>3967</v>
      </c>
      <c r="AB90" s="111" t="s">
        <v>3968</v>
      </c>
      <c r="AC90" s="111" t="s">
        <v>3969</v>
      </c>
      <c r="AD90" s="112">
        <v>46030.37144675926</v>
      </c>
      <c r="AE90" s="111" t="s">
        <v>3970</v>
      </c>
      <c r="AF90" s="122"/>
      <c r="AG90" s="122"/>
      <c r="AH90" s="122"/>
    </row>
    <row r="91" ht="22.5" customHeight="1">
      <c r="A91" s="73"/>
      <c r="B91" s="73"/>
      <c r="C91" s="73"/>
      <c r="D91" s="73"/>
      <c r="E91" s="248" t="s">
        <v>3972</v>
      </c>
      <c r="F91" s="249" t="s">
        <v>3974</v>
      </c>
      <c r="G91" s="96">
        <f>IFERROR(__xludf.DUMMYFUNCTION("GOOGLEFINANCE(E91, ""price"")"),87.51)</f>
        <v>87.51</v>
      </c>
      <c r="H91" s="97">
        <f>IFERROR(__xludf.DUMMYFUNCTION("GOOGLEFINANCE(E91, ""low"")"),83.51)</f>
        <v>83.51</v>
      </c>
      <c r="I91" s="99">
        <f>IFERROR(__xludf.DUMMYFUNCTION("GOOGLEFINANCE(E91, ""high"")"),90.76)</f>
        <v>90.76</v>
      </c>
      <c r="J91" s="126"/>
      <c r="K91" s="106"/>
      <c r="L91" s="106"/>
      <c r="M91" s="106"/>
      <c r="N91" s="106"/>
      <c r="O91" s="104"/>
      <c r="P91" s="104">
        <v>316.01</v>
      </c>
      <c r="Q91" s="108">
        <v>45707.2548800463</v>
      </c>
      <c r="R91" s="109" t="b">
        <v>1</v>
      </c>
      <c r="S91" s="110" t="s">
        <v>3986</v>
      </c>
      <c r="T91" s="110">
        <v>0.0</v>
      </c>
      <c r="U91" s="111" t="s">
        <v>3972</v>
      </c>
      <c r="V91" s="111" t="s">
        <v>3989</v>
      </c>
      <c r="W91" s="111" t="s">
        <v>3991</v>
      </c>
      <c r="X91" s="111" t="s">
        <v>3993</v>
      </c>
      <c r="Y91" s="111" t="s">
        <v>3996</v>
      </c>
      <c r="Z91" s="111" t="s">
        <v>3997</v>
      </c>
      <c r="AA91" s="111" t="s">
        <v>3998</v>
      </c>
      <c r="AB91" s="111" t="s">
        <v>4001</v>
      </c>
      <c r="AC91" s="111" t="s">
        <v>4002</v>
      </c>
      <c r="AD91" s="112">
        <v>46030.37144675926</v>
      </c>
      <c r="AE91" s="111" t="s">
        <v>4005</v>
      </c>
      <c r="AF91" s="122"/>
      <c r="AG91" s="122"/>
      <c r="AH91" s="122"/>
    </row>
    <row r="92" ht="22.5" customHeight="1">
      <c r="A92" s="73"/>
      <c r="B92" s="73"/>
      <c r="C92" s="73"/>
      <c r="D92" s="73"/>
      <c r="E92" s="117" t="s">
        <v>4013</v>
      </c>
      <c r="F92" s="103" t="s">
        <v>4015</v>
      </c>
      <c r="G92" s="96">
        <f>IFERROR(__xludf.DUMMYFUNCTION("GOOGLEFINANCE(E92, ""price"")"),391.22)</f>
        <v>391.22</v>
      </c>
      <c r="H92" s="118"/>
      <c r="I92" s="118"/>
      <c r="J92" s="119"/>
      <c r="K92" s="120"/>
      <c r="L92" s="120"/>
      <c r="M92" s="120"/>
      <c r="N92" s="120"/>
      <c r="O92" s="118"/>
      <c r="P92" s="120"/>
      <c r="Q92" s="121"/>
      <c r="R92" s="109" t="b">
        <v>1</v>
      </c>
      <c r="S92" s="110" t="s">
        <v>4021</v>
      </c>
      <c r="T92" s="110">
        <v>0.0</v>
      </c>
      <c r="U92" s="111" t="s">
        <v>4013</v>
      </c>
      <c r="V92" s="111" t="s">
        <v>4023</v>
      </c>
      <c r="W92" s="111" t="s">
        <v>4025</v>
      </c>
      <c r="X92" s="111" t="s">
        <v>4026</v>
      </c>
      <c r="Y92" s="111" t="s">
        <v>4027</v>
      </c>
      <c r="Z92" s="111" t="s">
        <v>4029</v>
      </c>
      <c r="AA92" s="111" t="s">
        <v>4030</v>
      </c>
      <c r="AB92" s="111" t="s">
        <v>1905</v>
      </c>
      <c r="AC92" s="111" t="s">
        <v>4034</v>
      </c>
      <c r="AD92" s="111" t="s">
        <v>2005</v>
      </c>
      <c r="AE92" s="111" t="s">
        <v>4038</v>
      </c>
      <c r="AF92" s="122"/>
      <c r="AG92" s="122"/>
      <c r="AH92" s="122"/>
    </row>
    <row r="93" ht="22.5" customHeight="1">
      <c r="A93" s="73"/>
      <c r="B93" s="73"/>
      <c r="C93" s="73"/>
      <c r="D93" s="73"/>
      <c r="E93" s="127" t="s">
        <v>597</v>
      </c>
      <c r="F93" s="110" t="s">
        <v>598</v>
      </c>
      <c r="G93" s="96">
        <f>IFERROR(__xludf.DUMMYFUNCTION("GOOGLEFINANCE(E93, ""price"")"),184.69)</f>
        <v>184.69</v>
      </c>
      <c r="H93" s="97">
        <f>IFERROR(__xludf.DUMMYFUNCTION("GOOGLEFINANCE(E93, ""low"")"),182.6)</f>
        <v>182.6</v>
      </c>
      <c r="I93" s="99">
        <f>IFERROR(__xludf.DUMMYFUNCTION("GOOGLEFINANCE(E93, ""high"")"),192.31)</f>
        <v>192.31</v>
      </c>
      <c r="J93" s="128"/>
      <c r="K93" s="129">
        <v>5.14</v>
      </c>
      <c r="L93" s="129">
        <v>67.62</v>
      </c>
      <c r="M93" s="129">
        <v>23.09</v>
      </c>
      <c r="N93" s="129">
        <v>1.35</v>
      </c>
      <c r="O93" s="110" t="s">
        <v>170</v>
      </c>
      <c r="P93" s="129">
        <v>30.54</v>
      </c>
      <c r="Q93" s="130">
        <v>45841.41908578704</v>
      </c>
      <c r="R93" s="131" t="b">
        <v>1</v>
      </c>
      <c r="S93" s="110" t="s">
        <v>4054</v>
      </c>
      <c r="T93" s="110">
        <v>0.0</v>
      </c>
      <c r="U93" s="110" t="s">
        <v>597</v>
      </c>
      <c r="V93" s="110" t="s">
        <v>4056</v>
      </c>
      <c r="W93" s="110" t="s">
        <v>4057</v>
      </c>
      <c r="X93" s="110" t="s">
        <v>4058</v>
      </c>
      <c r="Y93" s="110" t="s">
        <v>4059</v>
      </c>
      <c r="Z93" s="110" t="s">
        <v>4060</v>
      </c>
      <c r="AA93" s="110" t="s">
        <v>4061</v>
      </c>
      <c r="AB93" s="110" t="s">
        <v>4062</v>
      </c>
      <c r="AC93" s="110" t="s">
        <v>4063</v>
      </c>
      <c r="AD93" s="132">
        <v>46030.37144675926</v>
      </c>
      <c r="AE93" s="110" t="s">
        <v>4064</v>
      </c>
      <c r="AF93" s="133"/>
      <c r="AG93" s="133"/>
      <c r="AH93" s="133"/>
    </row>
    <row r="94" ht="22.5" customHeight="1">
      <c r="A94" s="73"/>
      <c r="B94" s="73"/>
      <c r="C94" s="73"/>
      <c r="D94" s="73"/>
      <c r="E94" s="127" t="s">
        <v>1424</v>
      </c>
      <c r="F94" s="110" t="s">
        <v>1425</v>
      </c>
      <c r="G94" s="96">
        <f>IFERROR(__xludf.DUMMYFUNCTION("GOOGLEFINANCE(E94, ""price"")"),258.87)</f>
        <v>258.87</v>
      </c>
      <c r="H94" s="97">
        <f>IFERROR(__xludf.DUMMYFUNCTION("GOOGLEFINANCE(E94, ""low"")"),254.0)</f>
        <v>254</v>
      </c>
      <c r="I94" s="99">
        <f>IFERROR(__xludf.DUMMYFUNCTION("GOOGLEFINANCE(E94, ""high"")"),266.0)</f>
        <v>266</v>
      </c>
      <c r="J94" s="144"/>
      <c r="K94" s="145"/>
      <c r="L94" s="145"/>
      <c r="M94" s="145"/>
      <c r="N94" s="145"/>
      <c r="O94" s="143"/>
      <c r="P94" s="145"/>
      <c r="Q94" s="130"/>
      <c r="R94" s="131" t="b">
        <v>1</v>
      </c>
      <c r="S94" s="110" t="s">
        <v>4086</v>
      </c>
      <c r="T94" s="110">
        <v>0.0</v>
      </c>
      <c r="U94" s="110" t="s">
        <v>1424</v>
      </c>
      <c r="V94" s="110" t="s">
        <v>4091</v>
      </c>
      <c r="W94" s="110" t="s">
        <v>4092</v>
      </c>
      <c r="X94" s="110" t="s">
        <v>4094</v>
      </c>
      <c r="Y94" s="110" t="s">
        <v>4096</v>
      </c>
      <c r="Z94" s="110" t="s">
        <v>4100</v>
      </c>
      <c r="AA94" s="110" t="s">
        <v>4103</v>
      </c>
      <c r="AB94" s="110" t="s">
        <v>1243</v>
      </c>
      <c r="AC94" s="110" t="s">
        <v>4107</v>
      </c>
      <c r="AD94" s="132">
        <v>46030.37144675926</v>
      </c>
      <c r="AE94" s="110" t="s">
        <v>2020</v>
      </c>
      <c r="AF94" s="133"/>
      <c r="AG94" s="133"/>
      <c r="AH94" s="133"/>
    </row>
    <row r="95" ht="22.5" customHeight="1">
      <c r="A95" s="73"/>
      <c r="B95" s="73"/>
      <c r="C95" s="73"/>
      <c r="D95" s="73"/>
      <c r="E95" s="127" t="s">
        <v>254</v>
      </c>
      <c r="F95" s="110" t="s">
        <v>255</v>
      </c>
      <c r="G95" s="96">
        <f>IFERROR(__xludf.DUMMYFUNCTION("GOOGLEFINANCE(E95, ""price"")"),498.95)</f>
        <v>498.95</v>
      </c>
      <c r="H95" s="97">
        <f>IFERROR(__xludf.DUMMYFUNCTION("GOOGLEFINANCE(E95, ""low"")"),493.65)</f>
        <v>493.65</v>
      </c>
      <c r="I95" s="99">
        <f>IFERROR(__xludf.DUMMYFUNCTION("GOOGLEFINANCE(E95, ""high"")"),509.44)</f>
        <v>509.44</v>
      </c>
      <c r="J95" s="128"/>
      <c r="K95" s="145"/>
      <c r="L95" s="145"/>
      <c r="M95" s="145"/>
      <c r="N95" s="145"/>
      <c r="O95" s="145"/>
      <c r="P95" s="145"/>
      <c r="Q95" s="130"/>
      <c r="R95" s="131" t="b">
        <v>1</v>
      </c>
      <c r="S95" s="110" t="s">
        <v>4128</v>
      </c>
      <c r="T95" s="110">
        <v>0.0</v>
      </c>
      <c r="U95" s="110" t="s">
        <v>254</v>
      </c>
      <c r="V95" s="110" t="s">
        <v>4132</v>
      </c>
      <c r="W95" s="110" t="s">
        <v>4134</v>
      </c>
      <c r="X95" s="110" t="s">
        <v>4135</v>
      </c>
      <c r="Y95" s="110" t="s">
        <v>4136</v>
      </c>
      <c r="Z95" s="110" t="s">
        <v>4139</v>
      </c>
      <c r="AA95" s="110" t="s">
        <v>4140</v>
      </c>
      <c r="AB95" s="110" t="s">
        <v>4143</v>
      </c>
      <c r="AC95" s="110" t="s">
        <v>4145</v>
      </c>
      <c r="AD95" s="132">
        <v>46030.37144675926</v>
      </c>
      <c r="AE95" s="110" t="s">
        <v>4147</v>
      </c>
      <c r="AF95" s="133"/>
      <c r="AG95" s="133"/>
      <c r="AH95" s="133"/>
    </row>
    <row r="96" ht="22.5" customHeight="1">
      <c r="A96" s="73"/>
      <c r="B96" s="73"/>
      <c r="C96" s="73"/>
      <c r="D96" s="73"/>
      <c r="E96" s="117" t="s">
        <v>4152</v>
      </c>
      <c r="F96" s="111" t="s">
        <v>4154</v>
      </c>
      <c r="G96" s="96">
        <f>IFERROR(__xludf.DUMMYFUNCTION("GOOGLEFINANCE(E96, ""price"")"),1075.49)</f>
        <v>1075.49</v>
      </c>
      <c r="H96" s="118"/>
      <c r="I96" s="118"/>
      <c r="J96" s="119"/>
      <c r="K96" s="120"/>
      <c r="L96" s="120"/>
      <c r="M96" s="120"/>
      <c r="N96" s="120"/>
      <c r="O96" s="118"/>
      <c r="P96" s="120"/>
      <c r="Q96" s="121"/>
      <c r="R96" s="109" t="b">
        <v>1</v>
      </c>
      <c r="S96" s="110" t="s">
        <v>4169</v>
      </c>
      <c r="T96" s="110">
        <v>0.0</v>
      </c>
      <c r="U96" s="111" t="s">
        <v>4152</v>
      </c>
      <c r="V96" s="111" t="s">
        <v>4173</v>
      </c>
      <c r="W96" s="111" t="s">
        <v>4176</v>
      </c>
      <c r="X96" s="111" t="s">
        <v>4178</v>
      </c>
      <c r="Y96" s="111" t="s">
        <v>4180</v>
      </c>
      <c r="Z96" s="111" t="s">
        <v>4182</v>
      </c>
      <c r="AA96" s="111" t="s">
        <v>4184</v>
      </c>
      <c r="AB96" s="111" t="s">
        <v>3057</v>
      </c>
      <c r="AC96" s="111" t="s">
        <v>4185</v>
      </c>
      <c r="AD96" s="112">
        <v>46150.444386574076</v>
      </c>
      <c r="AE96" s="111" t="s">
        <v>4186</v>
      </c>
      <c r="AF96" s="122"/>
      <c r="AG96" s="122"/>
      <c r="AH96" s="122"/>
    </row>
    <row r="97" ht="22.5" customHeight="1">
      <c r="A97" s="73"/>
      <c r="B97" s="73"/>
      <c r="C97" s="73"/>
      <c r="D97" s="73"/>
      <c r="E97" s="250" t="s">
        <v>68</v>
      </c>
      <c r="F97" s="125" t="s">
        <v>787</v>
      </c>
      <c r="G97" s="96">
        <f>IFERROR(__xludf.DUMMYFUNCTION("GOOGLEFINANCE(E97, ""price"")"),358.42)</f>
        <v>358.42</v>
      </c>
      <c r="H97" s="97">
        <f>IFERROR(__xludf.DUMMYFUNCTION("GOOGLEFINANCE(E97, ""low"")"),345.3)</f>
        <v>345.3</v>
      </c>
      <c r="I97" s="99">
        <f>IFERROR(__xludf.DUMMYFUNCTION("GOOGLEFINANCE(E97, ""high"")"),364.23)</f>
        <v>364.23</v>
      </c>
      <c r="J97" s="152"/>
      <c r="K97" s="104">
        <v>-11.0</v>
      </c>
      <c r="L97" s="104">
        <v>54.75</v>
      </c>
      <c r="M97" s="104">
        <v>29.18</v>
      </c>
      <c r="N97" s="104">
        <v>6.52</v>
      </c>
      <c r="O97" s="125" t="s">
        <v>197</v>
      </c>
      <c r="P97" s="104">
        <v>184.62</v>
      </c>
      <c r="Q97" s="108">
        <v>45853.691538831015</v>
      </c>
      <c r="R97" s="109" t="b">
        <v>1</v>
      </c>
      <c r="S97" s="110" t="s">
        <v>4206</v>
      </c>
      <c r="T97" s="110">
        <v>0.0</v>
      </c>
      <c r="U97" s="111" t="s">
        <v>68</v>
      </c>
      <c r="V97" s="111" t="s">
        <v>4207</v>
      </c>
      <c r="W97" s="111" t="s">
        <v>4209</v>
      </c>
      <c r="X97" s="111" t="s">
        <v>4210</v>
      </c>
      <c r="Y97" s="111" t="s">
        <v>4211</v>
      </c>
      <c r="Z97" s="111" t="s">
        <v>4212</v>
      </c>
      <c r="AA97" s="111" t="s">
        <v>4214</v>
      </c>
      <c r="AB97" s="111" t="s">
        <v>804</v>
      </c>
      <c r="AC97" s="111" t="s">
        <v>4218</v>
      </c>
      <c r="AD97" s="112">
        <v>46030.37144675926</v>
      </c>
      <c r="AE97" s="111" t="s">
        <v>4222</v>
      </c>
      <c r="AF97" s="122"/>
      <c r="AG97" s="122"/>
      <c r="AH97" s="122"/>
    </row>
    <row r="98" ht="22.5" customHeight="1">
      <c r="A98" s="73"/>
      <c r="B98" s="73"/>
      <c r="C98" s="73"/>
      <c r="D98" s="73"/>
      <c r="E98" s="134" t="s">
        <v>1397</v>
      </c>
      <c r="F98" s="134" t="s">
        <v>1398</v>
      </c>
      <c r="G98" s="96">
        <f>IFERROR(__xludf.DUMMYFUNCTION("GOOGLEFINANCE(E98, ""price"")"),71.44)</f>
        <v>71.44</v>
      </c>
      <c r="H98" s="97">
        <f>IFERROR(__xludf.DUMMYFUNCTION("GOOGLEFINANCE(E98, ""low"")"),71.07)</f>
        <v>71.07</v>
      </c>
      <c r="I98" s="99">
        <f>IFERROR(__xludf.DUMMYFUNCTION("GOOGLEFINANCE(E98, ""high"")"),72.37)</f>
        <v>72.37</v>
      </c>
      <c r="J98" s="126"/>
      <c r="K98" s="104">
        <v>26.83</v>
      </c>
      <c r="L98" s="104">
        <v>68.29</v>
      </c>
      <c r="M98" s="104">
        <v>30.74</v>
      </c>
      <c r="N98" s="104">
        <v>24.79</v>
      </c>
      <c r="O98" s="125" t="s">
        <v>170</v>
      </c>
      <c r="P98" s="104">
        <v>1218.85</v>
      </c>
      <c r="Q98" s="108">
        <v>45812.24753260417</v>
      </c>
      <c r="R98" s="109" t="b">
        <v>1</v>
      </c>
      <c r="S98" s="110" t="s">
        <v>4246</v>
      </c>
      <c r="T98" s="110">
        <v>0.0</v>
      </c>
      <c r="U98" s="111" t="s">
        <v>1397</v>
      </c>
      <c r="V98" s="111" t="s">
        <v>4250</v>
      </c>
      <c r="W98" s="111" t="s">
        <v>4251</v>
      </c>
      <c r="X98" s="111" t="s">
        <v>4253</v>
      </c>
      <c r="Y98" s="111" t="s">
        <v>4255</v>
      </c>
      <c r="Z98" s="111" t="s">
        <v>4256</v>
      </c>
      <c r="AA98" s="111" t="s">
        <v>4258</v>
      </c>
      <c r="AB98" s="111" t="s">
        <v>4259</v>
      </c>
      <c r="AC98" s="111" t="s">
        <v>4260</v>
      </c>
      <c r="AD98" s="112">
        <v>46030.37144675926</v>
      </c>
      <c r="AE98" s="111" t="s">
        <v>4261</v>
      </c>
      <c r="AF98" s="122"/>
      <c r="AG98" s="122"/>
      <c r="AH98" s="122"/>
    </row>
    <row r="99" ht="22.5" customHeight="1">
      <c r="A99" s="73"/>
      <c r="B99" s="73"/>
      <c r="C99" s="73"/>
      <c r="D99" s="73"/>
      <c r="E99" s="125" t="s">
        <v>4266</v>
      </c>
      <c r="F99" s="125" t="s">
        <v>4268</v>
      </c>
      <c r="G99" s="96">
        <f>IFERROR(__xludf.DUMMYFUNCTION("GOOGLEFINANCE(E99, ""price"")"),36.28)</f>
        <v>36.28</v>
      </c>
      <c r="H99" s="97">
        <f>IFERROR(__xludf.DUMMYFUNCTION("GOOGLEFINANCE(E99, ""low"")"),35.78)</f>
        <v>35.78</v>
      </c>
      <c r="I99" s="99">
        <f>IFERROR(__xludf.DUMMYFUNCTION("GOOGLEFINANCE(E99, ""high"")"),36.62)</f>
        <v>36.62</v>
      </c>
      <c r="J99" s="152"/>
      <c r="K99" s="106"/>
      <c r="L99" s="106"/>
      <c r="M99" s="106"/>
      <c r="N99" s="106"/>
      <c r="O99" s="105"/>
      <c r="P99" s="106">
        <v>76.78</v>
      </c>
      <c r="Q99" s="108">
        <v>46219.377022280096</v>
      </c>
      <c r="R99" s="109" t="b">
        <v>1</v>
      </c>
      <c r="S99" s="110" t="s">
        <v>4286</v>
      </c>
      <c r="T99" s="110">
        <v>0.0</v>
      </c>
      <c r="U99" s="111" t="s">
        <v>4266</v>
      </c>
      <c r="V99" s="111" t="s">
        <v>4288</v>
      </c>
      <c r="W99" s="111" t="s">
        <v>4289</v>
      </c>
      <c r="X99" s="111" t="s">
        <v>4290</v>
      </c>
      <c r="Y99" s="111" t="s">
        <v>4292</v>
      </c>
      <c r="Z99" s="111" t="s">
        <v>4295</v>
      </c>
      <c r="AA99" s="111" t="s">
        <v>3809</v>
      </c>
      <c r="AB99" s="111" t="s">
        <v>315</v>
      </c>
      <c r="AC99" s="111" t="s">
        <v>4296</v>
      </c>
      <c r="AD99" s="112">
        <v>46030.37144675926</v>
      </c>
      <c r="AE99" s="111" t="s">
        <v>4300</v>
      </c>
      <c r="AF99" s="122"/>
      <c r="AG99" s="122"/>
      <c r="AH99" s="122"/>
    </row>
    <row r="100" ht="22.5" customHeight="1">
      <c r="A100" s="73"/>
      <c r="B100" s="73"/>
      <c r="C100" s="73"/>
      <c r="D100" s="73"/>
      <c r="E100" s="251" t="s">
        <v>79</v>
      </c>
      <c r="F100" s="125" t="s">
        <v>4310</v>
      </c>
      <c r="G100" s="96">
        <f>IFERROR(__xludf.DUMMYFUNCTION("GOOGLEFINANCE(E100, ""price"")"),33.78)</f>
        <v>33.78</v>
      </c>
      <c r="H100" s="97">
        <f>IFERROR(__xludf.DUMMYFUNCTION("GOOGLEFINANCE(E100, ""low"")"),33.75)</f>
        <v>33.75</v>
      </c>
      <c r="I100" s="99">
        <f>IFERROR(__xludf.DUMMYFUNCTION("GOOGLEFINANCE(E100, ""high"")"),34.82)</f>
        <v>34.82</v>
      </c>
      <c r="J100" s="126"/>
      <c r="K100" s="104">
        <v>-1.26</v>
      </c>
      <c r="L100" s="104">
        <v>52.42</v>
      </c>
      <c r="M100" s="104">
        <v>17.96</v>
      </c>
      <c r="N100" s="104">
        <v>2.75</v>
      </c>
      <c r="O100" s="125" t="s">
        <v>4324</v>
      </c>
      <c r="P100" s="106">
        <v>82.41</v>
      </c>
      <c r="Q100" s="108">
        <v>45708.41444143519</v>
      </c>
      <c r="R100" s="109" t="b">
        <v>1</v>
      </c>
      <c r="S100" s="110" t="s">
        <v>4329</v>
      </c>
      <c r="T100" s="110">
        <v>0.0</v>
      </c>
      <c r="U100" s="111" t="s">
        <v>79</v>
      </c>
      <c r="V100" s="111" t="s">
        <v>4335</v>
      </c>
      <c r="W100" s="111" t="s">
        <v>1495</v>
      </c>
      <c r="X100" s="111" t="s">
        <v>4339</v>
      </c>
      <c r="Y100" s="111" t="s">
        <v>4341</v>
      </c>
      <c r="Z100" s="111" t="s">
        <v>4343</v>
      </c>
      <c r="AA100" s="111" t="s">
        <v>4344</v>
      </c>
      <c r="AB100" s="111" t="s">
        <v>2730</v>
      </c>
      <c r="AC100" s="111" t="s">
        <v>4346</v>
      </c>
      <c r="AD100" s="112">
        <v>46030.37144675926</v>
      </c>
      <c r="AE100" s="111" t="s">
        <v>4347</v>
      </c>
      <c r="AF100" s="122"/>
      <c r="AG100" s="122"/>
      <c r="AH100" s="122"/>
    </row>
    <row r="101" ht="22.5" customHeight="1">
      <c r="A101" s="73"/>
      <c r="B101" s="73"/>
      <c r="C101" s="73"/>
      <c r="D101" s="73"/>
      <c r="E101" s="127" t="s">
        <v>766</v>
      </c>
      <c r="F101" s="110" t="s">
        <v>4352</v>
      </c>
      <c r="G101" s="96">
        <f>IFERROR(__xludf.DUMMYFUNCTION("GOOGLEFINANCE(E101, ""price"")"),140.29)</f>
        <v>140.29</v>
      </c>
      <c r="H101" s="97">
        <f>IFERROR(__xludf.DUMMYFUNCTION("GOOGLEFINANCE(E101, ""low"")"),136.15)</f>
        <v>136.15</v>
      </c>
      <c r="I101" s="99">
        <f>IFERROR(__xludf.DUMMYFUNCTION("GOOGLEFINANCE(E101, ""high"")"),141.54)</f>
        <v>141.54</v>
      </c>
      <c r="J101" s="128"/>
      <c r="K101" s="145"/>
      <c r="L101" s="145"/>
      <c r="M101" s="145"/>
      <c r="N101" s="145"/>
      <c r="O101" s="143"/>
      <c r="P101" s="129">
        <v>1039.55</v>
      </c>
      <c r="Q101" s="130">
        <v>45793.51152741898</v>
      </c>
      <c r="R101" s="131" t="b">
        <v>1</v>
      </c>
      <c r="S101" s="110" t="s">
        <v>4364</v>
      </c>
      <c r="T101" s="110">
        <v>0.0</v>
      </c>
      <c r="U101" s="110" t="s">
        <v>766</v>
      </c>
      <c r="V101" s="110" t="s">
        <v>4367</v>
      </c>
      <c r="W101" s="110" t="s">
        <v>2397</v>
      </c>
      <c r="X101" s="110" t="s">
        <v>4371</v>
      </c>
      <c r="Y101" s="110" t="s">
        <v>4373</v>
      </c>
      <c r="Z101" s="110" t="s">
        <v>4375</v>
      </c>
      <c r="AA101" s="110" t="s">
        <v>4376</v>
      </c>
      <c r="AB101" s="110" t="s">
        <v>1352</v>
      </c>
      <c r="AC101" s="110" t="s">
        <v>4377</v>
      </c>
      <c r="AD101" s="132">
        <v>46030.37144675926</v>
      </c>
      <c r="AE101" s="110" t="s">
        <v>4381</v>
      </c>
      <c r="AF101" s="133"/>
      <c r="AG101" s="133"/>
      <c r="AH101" s="133"/>
    </row>
    <row r="102" ht="22.5" customHeight="1">
      <c r="A102" s="73"/>
      <c r="B102" s="73"/>
      <c r="C102" s="73"/>
      <c r="D102" s="73"/>
      <c r="E102" s="117" t="s">
        <v>920</v>
      </c>
      <c r="F102" s="111" t="s">
        <v>921</v>
      </c>
      <c r="G102" s="96">
        <f>IFERROR(__xludf.DUMMYFUNCTION("GOOGLEFINANCE(E102, ""price"")"),248.65)</f>
        <v>248.65</v>
      </c>
      <c r="H102" s="118"/>
      <c r="I102" s="118"/>
      <c r="J102" s="119"/>
      <c r="K102" s="120"/>
      <c r="L102" s="120"/>
      <c r="M102" s="120"/>
      <c r="N102" s="120"/>
      <c r="O102" s="118"/>
      <c r="P102" s="120"/>
      <c r="Q102" s="121"/>
      <c r="R102" s="109" t="b">
        <v>1</v>
      </c>
      <c r="S102" s="110" t="s">
        <v>4398</v>
      </c>
      <c r="T102" s="110">
        <v>0.0</v>
      </c>
      <c r="U102" s="111" t="s">
        <v>920</v>
      </c>
      <c r="V102" s="111" t="s">
        <v>4399</v>
      </c>
      <c r="W102" s="111" t="s">
        <v>4402</v>
      </c>
      <c r="X102" s="111" t="s">
        <v>4403</v>
      </c>
      <c r="Y102" s="111" t="s">
        <v>4404</v>
      </c>
      <c r="Z102" s="111" t="s">
        <v>4406</v>
      </c>
      <c r="AA102" s="111" t="s">
        <v>4407</v>
      </c>
      <c r="AB102" s="111" t="s">
        <v>4409</v>
      </c>
      <c r="AC102" s="111" t="s">
        <v>4411</v>
      </c>
      <c r="AD102" s="112">
        <v>46181.26729166666</v>
      </c>
      <c r="AE102" s="111" t="s">
        <v>1216</v>
      </c>
      <c r="AF102" s="122"/>
      <c r="AG102" s="122"/>
      <c r="AH102" s="122"/>
    </row>
    <row r="103" ht="22.5" customHeight="1">
      <c r="A103" s="73"/>
      <c r="B103" s="149" t="s">
        <v>327</v>
      </c>
      <c r="C103" s="150">
        <f>now()</f>
        <v>46288.71545</v>
      </c>
      <c r="D103" s="73"/>
      <c r="E103" s="252" t="s">
        <v>4420</v>
      </c>
      <c r="F103" s="252" t="s">
        <v>4421</v>
      </c>
      <c r="G103" s="96">
        <f>IFERROR(__xludf.DUMMYFUNCTION("GOOGLEFINANCE(E103, ""price"")"),198.04)</f>
        <v>198.04</v>
      </c>
      <c r="H103" s="97">
        <f>IFERROR(__xludf.DUMMYFUNCTION("GOOGLEFINANCE(E103, ""low"")"),197.52)</f>
        <v>197.52</v>
      </c>
      <c r="I103" s="99">
        <f>IFERROR(__xludf.DUMMYFUNCTION("GOOGLEFINANCE(E103, ""high"")"),201.1)</f>
        <v>201.1</v>
      </c>
      <c r="J103" s="128"/>
      <c r="K103" s="129">
        <v>5.84</v>
      </c>
      <c r="L103" s="129">
        <v>65.71</v>
      </c>
      <c r="M103" s="129">
        <v>20.12</v>
      </c>
      <c r="N103" s="129">
        <v>4.46</v>
      </c>
      <c r="O103" s="129" t="s">
        <v>170</v>
      </c>
      <c r="P103" s="129">
        <v>124.6</v>
      </c>
      <c r="Q103" s="130">
        <v>45812.25500096065</v>
      </c>
      <c r="R103" s="131" t="b">
        <v>1</v>
      </c>
      <c r="S103" s="110" t="s">
        <v>4431</v>
      </c>
      <c r="T103" s="110">
        <v>0.0</v>
      </c>
      <c r="U103" s="110" t="s">
        <v>4420</v>
      </c>
      <c r="V103" s="110" t="s">
        <v>4434</v>
      </c>
      <c r="W103" s="110" t="s">
        <v>4435</v>
      </c>
      <c r="X103" s="110" t="s">
        <v>4436</v>
      </c>
      <c r="Y103" s="110" t="s">
        <v>4437</v>
      </c>
      <c r="Z103" s="110" t="s">
        <v>4440</v>
      </c>
      <c r="AA103" s="110" t="s">
        <v>4443</v>
      </c>
      <c r="AB103" s="110" t="s">
        <v>2847</v>
      </c>
      <c r="AC103" s="110" t="s">
        <v>4447</v>
      </c>
      <c r="AD103" s="132">
        <v>46030.37144675926</v>
      </c>
      <c r="AE103" s="110" t="s">
        <v>4450</v>
      </c>
      <c r="AF103" s="133"/>
      <c r="AG103" s="133"/>
      <c r="AH103" s="133"/>
    </row>
    <row r="104" ht="22.5" customHeight="1">
      <c r="A104" s="73"/>
      <c r="B104" s="73"/>
      <c r="C104" s="73"/>
      <c r="D104" s="73"/>
      <c r="E104" s="252" t="s">
        <v>4457</v>
      </c>
      <c r="F104" s="252" t="s">
        <v>4458</v>
      </c>
      <c r="G104" s="96">
        <f>IFERROR(__xludf.DUMMYFUNCTION("GOOGLEFINANCE(E104, ""price"")"),224.83)</f>
        <v>224.83</v>
      </c>
      <c r="H104" s="97">
        <f>IFERROR(__xludf.DUMMYFUNCTION("GOOGLEFINANCE(E104, ""low"")"),224.72)</f>
        <v>224.72</v>
      </c>
      <c r="I104" s="99">
        <f>IFERROR(__xludf.DUMMYFUNCTION("GOOGLEFINANCE(E104, ""high"")"),228.95)</f>
        <v>228.95</v>
      </c>
      <c r="J104" s="128"/>
      <c r="K104" s="129">
        <v>11.5</v>
      </c>
      <c r="L104" s="129">
        <v>57.74</v>
      </c>
      <c r="M104" s="129">
        <v>15.49</v>
      </c>
      <c r="N104" s="129">
        <v>5.29</v>
      </c>
      <c r="O104" s="125" t="s">
        <v>4324</v>
      </c>
      <c r="P104" s="145">
        <v>132.57</v>
      </c>
      <c r="Q104" s="130">
        <v>45714.7297333912</v>
      </c>
      <c r="R104" s="131" t="b">
        <v>1</v>
      </c>
      <c r="S104" s="110" t="s">
        <v>4467</v>
      </c>
      <c r="T104" s="110">
        <v>0.0</v>
      </c>
      <c r="U104" s="110" t="s">
        <v>4457</v>
      </c>
      <c r="V104" s="110" t="s">
        <v>4471</v>
      </c>
      <c r="W104" s="110" t="s">
        <v>4473</v>
      </c>
      <c r="X104" s="110" t="s">
        <v>4476</v>
      </c>
      <c r="Y104" s="110" t="s">
        <v>4479</v>
      </c>
      <c r="Z104" s="110" t="s">
        <v>4480</v>
      </c>
      <c r="AA104" s="110" t="s">
        <v>4481</v>
      </c>
      <c r="AB104" s="110" t="s">
        <v>1513</v>
      </c>
      <c r="AC104" s="110" t="s">
        <v>4484</v>
      </c>
      <c r="AD104" s="132">
        <v>46030.37144675926</v>
      </c>
      <c r="AE104" s="110" t="s">
        <v>4491</v>
      </c>
      <c r="AF104" s="133"/>
      <c r="AG104" s="133"/>
      <c r="AH104" s="133"/>
    </row>
    <row r="105" ht="22.5" customHeight="1">
      <c r="A105" s="73"/>
      <c r="B105" s="73"/>
      <c r="C105" s="73"/>
      <c r="D105" s="73"/>
      <c r="E105" s="125" t="s">
        <v>4500</v>
      </c>
      <c r="F105" s="125" t="s">
        <v>4502</v>
      </c>
      <c r="G105" s="96">
        <f>IFERROR(__xludf.DUMMYFUNCTION("GOOGLEFINANCE(E105, ""price"")"),38.4)</f>
        <v>38.4</v>
      </c>
      <c r="H105" s="97">
        <f>IFERROR(__xludf.DUMMYFUNCTION("GOOGLEFINANCE(E105, ""low"")"),38.32)</f>
        <v>38.32</v>
      </c>
      <c r="I105" s="99">
        <f>IFERROR(__xludf.DUMMYFUNCTION("GOOGLEFINANCE(E105, ""high"")"),39.14)</f>
        <v>39.14</v>
      </c>
      <c r="J105" s="126"/>
      <c r="K105" s="106"/>
      <c r="L105" s="106"/>
      <c r="M105" s="106"/>
      <c r="N105" s="106"/>
      <c r="O105" s="105"/>
      <c r="P105" s="106">
        <v>83.4</v>
      </c>
      <c r="Q105" s="108">
        <v>45709.47920290509</v>
      </c>
      <c r="R105" s="109" t="b">
        <v>1</v>
      </c>
      <c r="S105" s="110" t="s">
        <v>4510</v>
      </c>
      <c r="T105" s="110">
        <v>0.0</v>
      </c>
      <c r="U105" s="111" t="s">
        <v>4500</v>
      </c>
      <c r="V105" s="111" t="s">
        <v>4513</v>
      </c>
      <c r="W105" s="111" t="s">
        <v>4514</v>
      </c>
      <c r="X105" s="111" t="s">
        <v>4515</v>
      </c>
      <c r="Y105" s="111" t="s">
        <v>4211</v>
      </c>
      <c r="Z105" s="111" t="s">
        <v>4518</v>
      </c>
      <c r="AA105" s="111" t="s">
        <v>4521</v>
      </c>
      <c r="AB105" s="111" t="s">
        <v>2001</v>
      </c>
      <c r="AC105" s="111" t="s">
        <v>4523</v>
      </c>
      <c r="AD105" s="112">
        <v>46030.37144675926</v>
      </c>
      <c r="AE105" s="111" t="s">
        <v>4525</v>
      </c>
      <c r="AF105" s="122"/>
      <c r="AG105" s="122"/>
      <c r="AH105" s="122"/>
    </row>
    <row r="106" ht="22.5" customHeight="1">
      <c r="A106" s="73"/>
      <c r="B106" s="73"/>
      <c r="C106" s="73"/>
      <c r="D106" s="73"/>
      <c r="E106" s="117" t="s">
        <v>942</v>
      </c>
      <c r="F106" s="111" t="s">
        <v>943</v>
      </c>
      <c r="G106" s="96">
        <f>IFERROR(__xludf.DUMMYFUNCTION("GOOGLEFINANCE(E106, ""price"")"),1.49)</f>
        <v>1.49</v>
      </c>
      <c r="H106" s="118"/>
      <c r="I106" s="118"/>
      <c r="J106" s="119"/>
      <c r="K106" s="120"/>
      <c r="L106" s="120"/>
      <c r="M106" s="120"/>
      <c r="N106" s="120"/>
      <c r="O106" s="118"/>
      <c r="P106" s="120"/>
      <c r="Q106" s="121"/>
      <c r="R106" s="109" t="b">
        <v>1</v>
      </c>
      <c r="S106" s="110" t="s">
        <v>4537</v>
      </c>
      <c r="T106" s="110">
        <v>0.0</v>
      </c>
      <c r="U106" s="111" t="s">
        <v>942</v>
      </c>
      <c r="V106" s="111" t="s">
        <v>4541</v>
      </c>
      <c r="W106" s="111" t="s">
        <v>4544</v>
      </c>
      <c r="X106" s="111" t="s">
        <v>4548</v>
      </c>
      <c r="Y106" s="111" t="s">
        <v>4550</v>
      </c>
      <c r="Z106" s="111" t="s">
        <v>4552</v>
      </c>
      <c r="AA106" s="111" t="s">
        <v>4557</v>
      </c>
      <c r="AB106" s="111" t="s">
        <v>4560</v>
      </c>
      <c r="AC106" s="111" t="s">
        <v>4561</v>
      </c>
      <c r="AD106" s="112">
        <v>46150.246469907404</v>
      </c>
      <c r="AE106" s="111" t="s">
        <v>4562</v>
      </c>
      <c r="AF106" s="122"/>
      <c r="AG106" s="122"/>
      <c r="AH106" s="122"/>
    </row>
    <row r="107" ht="22.5" customHeight="1">
      <c r="A107" s="73"/>
      <c r="B107" s="73"/>
      <c r="C107" s="73"/>
      <c r="D107" s="73"/>
      <c r="E107" s="117" t="s">
        <v>2121</v>
      </c>
      <c r="F107" s="111" t="s">
        <v>2122</v>
      </c>
      <c r="G107" s="96">
        <f>IFERROR(__xludf.DUMMYFUNCTION("GOOGLEFINANCE(E107, ""price"")"),55.56)</f>
        <v>55.56</v>
      </c>
      <c r="H107" s="118"/>
      <c r="I107" s="118"/>
      <c r="J107" s="119"/>
      <c r="K107" s="120"/>
      <c r="L107" s="120"/>
      <c r="M107" s="120"/>
      <c r="N107" s="120"/>
      <c r="O107" s="118"/>
      <c r="P107" s="120"/>
      <c r="Q107" s="121"/>
      <c r="R107" s="109" t="b">
        <v>1</v>
      </c>
      <c r="S107" s="110" t="s">
        <v>4574</v>
      </c>
      <c r="T107" s="110">
        <v>0.0</v>
      </c>
      <c r="U107" s="111" t="s">
        <v>2121</v>
      </c>
      <c r="V107" s="111" t="s">
        <v>4578</v>
      </c>
      <c r="W107" s="111" t="s">
        <v>1422</v>
      </c>
      <c r="X107" s="111" t="s">
        <v>4579</v>
      </c>
      <c r="Y107" s="111" t="s">
        <v>4581</v>
      </c>
      <c r="Z107" s="111" t="s">
        <v>4582</v>
      </c>
      <c r="AA107" s="111" t="s">
        <v>4583</v>
      </c>
      <c r="AB107" s="111" t="s">
        <v>1023</v>
      </c>
      <c r="AC107" s="111" t="s">
        <v>4588</v>
      </c>
      <c r="AD107" s="112">
        <v>46030.37144675926</v>
      </c>
      <c r="AE107" s="111" t="s">
        <v>4594</v>
      </c>
      <c r="AF107" s="122"/>
      <c r="AG107" s="122"/>
      <c r="AH107" s="122"/>
    </row>
    <row r="108" ht="22.5" customHeight="1">
      <c r="A108" s="73"/>
      <c r="B108" s="73"/>
      <c r="C108" s="73"/>
      <c r="D108" s="73"/>
      <c r="E108" s="125" t="s">
        <v>227</v>
      </c>
      <c r="F108" s="125" t="s">
        <v>228</v>
      </c>
      <c r="G108" s="96">
        <f>IFERROR(__xludf.DUMMYFUNCTION("GOOGLEFINANCE(E108, ""price"")"),380.5)</f>
        <v>380.5</v>
      </c>
      <c r="H108" s="97">
        <f>IFERROR(__xludf.DUMMYFUNCTION("GOOGLEFINANCE(E108, ""low"")"),380.5)</f>
        <v>380.5</v>
      </c>
      <c r="I108" s="99">
        <f>IFERROR(__xludf.DUMMYFUNCTION("GOOGLEFINANCE(E108, ""high"")"),389.55)</f>
        <v>389.55</v>
      </c>
      <c r="J108" s="152"/>
      <c r="K108" s="106"/>
      <c r="L108" s="106"/>
      <c r="M108" s="106"/>
      <c r="N108" s="106"/>
      <c r="O108" s="105"/>
      <c r="P108" s="106">
        <v>335.95</v>
      </c>
      <c r="Q108" s="108"/>
      <c r="R108" s="109" t="b">
        <v>1</v>
      </c>
      <c r="S108" s="110" t="s">
        <v>4612</v>
      </c>
      <c r="T108" s="110">
        <v>0.0</v>
      </c>
      <c r="U108" s="111" t="s">
        <v>227</v>
      </c>
      <c r="V108" s="111" t="s">
        <v>4613</v>
      </c>
      <c r="W108" s="111" t="s">
        <v>4614</v>
      </c>
      <c r="X108" s="111" t="s">
        <v>4615</v>
      </c>
      <c r="Y108" s="111" t="s">
        <v>4616</v>
      </c>
      <c r="Z108" s="111" t="s">
        <v>4617</v>
      </c>
      <c r="AA108" s="111" t="s">
        <v>4618</v>
      </c>
      <c r="AB108" s="111" t="s">
        <v>2460</v>
      </c>
      <c r="AC108" s="111" t="s">
        <v>4620</v>
      </c>
      <c r="AD108" s="112">
        <v>46030.37144675926</v>
      </c>
      <c r="AE108" s="111" t="s">
        <v>4622</v>
      </c>
      <c r="AF108" s="122"/>
      <c r="AG108" s="122"/>
      <c r="AH108" s="122"/>
    </row>
    <row r="109" ht="22.5" customHeight="1">
      <c r="A109" s="73"/>
      <c r="B109" s="73"/>
      <c r="C109" s="73"/>
      <c r="D109" s="73"/>
      <c r="E109" s="253" t="s">
        <v>1046</v>
      </c>
      <c r="F109" s="125" t="s">
        <v>1047</v>
      </c>
      <c r="G109" s="96">
        <f>IFERROR(__xludf.DUMMYFUNCTION("GOOGLEFINANCE(E109, ""price"")"),6.03)</f>
        <v>6.03</v>
      </c>
      <c r="H109" s="97">
        <f>IFERROR(__xludf.DUMMYFUNCTION("GOOGLEFINANCE(E109, ""low"")"),6.02)</f>
        <v>6.02</v>
      </c>
      <c r="I109" s="99">
        <f>IFERROR(__xludf.DUMMYFUNCTION("GOOGLEFINANCE(E109, ""high"")"),6.12)</f>
        <v>6.12</v>
      </c>
      <c r="J109" s="161"/>
      <c r="K109" s="106"/>
      <c r="L109" s="106"/>
      <c r="M109" s="106"/>
      <c r="N109" s="106"/>
      <c r="O109" s="105"/>
      <c r="P109" s="106">
        <v>173.12</v>
      </c>
      <c r="Q109" s="108">
        <v>45708.41577071759</v>
      </c>
      <c r="R109" s="109" t="b">
        <v>1</v>
      </c>
      <c r="S109" s="110" t="s">
        <v>4646</v>
      </c>
      <c r="T109" s="110">
        <v>0.0</v>
      </c>
      <c r="U109" s="111" t="s">
        <v>1046</v>
      </c>
      <c r="V109" s="111" t="s">
        <v>4647</v>
      </c>
      <c r="W109" s="111" t="s">
        <v>4649</v>
      </c>
      <c r="X109" s="111" t="s">
        <v>4650</v>
      </c>
      <c r="Y109" s="111" t="s">
        <v>4652</v>
      </c>
      <c r="Z109" s="111" t="s">
        <v>4653</v>
      </c>
      <c r="AA109" s="111" t="s">
        <v>3640</v>
      </c>
      <c r="AB109" s="111" t="s">
        <v>1405</v>
      </c>
      <c r="AC109" s="111" t="s">
        <v>4655</v>
      </c>
      <c r="AD109" s="112">
        <v>46030.37144675926</v>
      </c>
      <c r="AE109" s="111" t="s">
        <v>1921</v>
      </c>
      <c r="AF109" s="122"/>
      <c r="AG109" s="122"/>
      <c r="AH109" s="122"/>
    </row>
    <row r="110" ht="22.5" customHeight="1">
      <c r="A110" s="73"/>
      <c r="B110" s="73"/>
      <c r="C110" s="73"/>
      <c r="D110" s="73"/>
      <c r="E110" s="254" t="s">
        <v>798</v>
      </c>
      <c r="F110" s="125" t="s">
        <v>799</v>
      </c>
      <c r="G110" s="96">
        <f>IFERROR(__xludf.DUMMYFUNCTION("GOOGLEFINANCE(E110, ""price"")"),147.5)</f>
        <v>147.5</v>
      </c>
      <c r="H110" s="97">
        <f>IFERROR(__xludf.DUMMYFUNCTION("GOOGLEFINANCE(E110, ""low"")"),145.53)</f>
        <v>145.53</v>
      </c>
      <c r="I110" s="99">
        <f>IFERROR(__xludf.DUMMYFUNCTION("GOOGLEFINANCE(E110, ""high"")"),148.66)</f>
        <v>148.66</v>
      </c>
      <c r="J110" s="161"/>
      <c r="K110" s="102">
        <v>-16.41</v>
      </c>
      <c r="L110" s="104">
        <v>27.65</v>
      </c>
      <c r="M110" s="104">
        <v>36.4</v>
      </c>
      <c r="N110" s="104">
        <v>8.44</v>
      </c>
      <c r="O110" s="105"/>
      <c r="P110" s="106">
        <v>181.52</v>
      </c>
      <c r="Q110" s="153">
        <v>46219.377022280096</v>
      </c>
      <c r="R110" s="109" t="b">
        <v>1</v>
      </c>
      <c r="S110" s="110" t="s">
        <v>4674</v>
      </c>
      <c r="T110" s="110">
        <v>0.0</v>
      </c>
      <c r="U110" s="111" t="s">
        <v>798</v>
      </c>
      <c r="V110" s="111" t="s">
        <v>4675</v>
      </c>
      <c r="W110" s="111" t="s">
        <v>2643</v>
      </c>
      <c r="X110" s="111" t="s">
        <v>4678</v>
      </c>
      <c r="Y110" s="111" t="s">
        <v>4679</v>
      </c>
      <c r="Z110" s="111" t="s">
        <v>4681</v>
      </c>
      <c r="AA110" s="111" t="s">
        <v>4682</v>
      </c>
      <c r="AB110" s="111" t="s">
        <v>410</v>
      </c>
      <c r="AC110" s="111" t="s">
        <v>4684</v>
      </c>
      <c r="AD110" s="112">
        <v>46030.37144675926</v>
      </c>
      <c r="AE110" s="111" t="s">
        <v>2006</v>
      </c>
      <c r="AF110" s="122"/>
      <c r="AG110" s="122"/>
      <c r="AH110" s="122"/>
    </row>
    <row r="111" ht="22.5" customHeight="1">
      <c r="A111" s="73"/>
      <c r="B111" s="73"/>
      <c r="C111" s="73"/>
      <c r="D111" s="73"/>
      <c r="E111" s="117" t="s">
        <v>4690</v>
      </c>
      <c r="F111" s="103" t="s">
        <v>4693</v>
      </c>
      <c r="G111" s="96">
        <f>IFERROR(__xludf.DUMMYFUNCTION("GOOGLEFINANCE(E111, ""price"")"),57.81)</f>
        <v>57.81</v>
      </c>
      <c r="H111" s="118"/>
      <c r="I111" s="118"/>
      <c r="J111" s="119"/>
      <c r="K111" s="120"/>
      <c r="L111" s="120"/>
      <c r="M111" s="120"/>
      <c r="N111" s="120"/>
      <c r="O111" s="118"/>
      <c r="P111" s="120"/>
      <c r="Q111" s="121"/>
      <c r="R111" s="109" t="b">
        <v>1</v>
      </c>
      <c r="S111" s="110" t="s">
        <v>4702</v>
      </c>
      <c r="T111" s="110">
        <v>0.0</v>
      </c>
      <c r="U111" s="111" t="s">
        <v>4690</v>
      </c>
      <c r="V111" s="111" t="s">
        <v>4703</v>
      </c>
      <c r="W111" s="111" t="s">
        <v>1256</v>
      </c>
      <c r="X111" s="111" t="s">
        <v>4704</v>
      </c>
      <c r="Y111" s="111" t="s">
        <v>4706</v>
      </c>
      <c r="Z111" s="111" t="s">
        <v>4707</v>
      </c>
      <c r="AA111" s="111" t="s">
        <v>4708</v>
      </c>
      <c r="AB111" s="111" t="s">
        <v>2065</v>
      </c>
      <c r="AC111" s="111" t="s">
        <v>4709</v>
      </c>
      <c r="AD111" s="111" t="s">
        <v>2005</v>
      </c>
      <c r="AE111" s="111" t="s">
        <v>4711</v>
      </c>
      <c r="AF111" s="122"/>
      <c r="AG111" s="122"/>
      <c r="AH111" s="122"/>
    </row>
    <row r="112" ht="22.5" customHeight="1">
      <c r="A112" s="73"/>
      <c r="B112" s="73"/>
      <c r="C112" s="73"/>
      <c r="D112" s="73"/>
      <c r="E112" s="127" t="s">
        <v>1031</v>
      </c>
      <c r="F112" s="110" t="s">
        <v>1033</v>
      </c>
      <c r="G112" s="96">
        <f>IFERROR(__xludf.DUMMYFUNCTION("GOOGLEFINANCE(E112, ""price"")"),388.22)</f>
        <v>388.22</v>
      </c>
      <c r="H112" s="143"/>
      <c r="I112" s="143"/>
      <c r="J112" s="144"/>
      <c r="K112" s="145"/>
      <c r="L112" s="145"/>
      <c r="M112" s="145"/>
      <c r="N112" s="145"/>
      <c r="O112" s="143"/>
      <c r="P112" s="129">
        <v>184.45</v>
      </c>
      <c r="Q112" s="130">
        <v>45888.649150196754</v>
      </c>
      <c r="R112" s="131" t="b">
        <v>1</v>
      </c>
      <c r="S112" s="110" t="s">
        <v>4725</v>
      </c>
      <c r="T112" s="110">
        <v>0.0</v>
      </c>
      <c r="U112" s="110" t="s">
        <v>1031</v>
      </c>
      <c r="V112" s="110" t="s">
        <v>4729</v>
      </c>
      <c r="W112" s="110" t="s">
        <v>4731</v>
      </c>
      <c r="X112" s="110" t="s">
        <v>4734</v>
      </c>
      <c r="Y112" s="110" t="s">
        <v>4735</v>
      </c>
      <c r="Z112" s="110" t="s">
        <v>4737</v>
      </c>
      <c r="AA112" s="110" t="s">
        <v>4738</v>
      </c>
      <c r="AB112" s="110" t="s">
        <v>1612</v>
      </c>
      <c r="AC112" s="110" t="s">
        <v>4741</v>
      </c>
      <c r="AD112" s="132">
        <v>46030.37144675926</v>
      </c>
      <c r="AE112" s="110" t="s">
        <v>1997</v>
      </c>
      <c r="AF112" s="133"/>
      <c r="AG112" s="133"/>
      <c r="AH112" s="133"/>
    </row>
    <row r="113" ht="22.5" customHeight="1">
      <c r="A113" s="73"/>
      <c r="B113" s="73"/>
      <c r="C113" s="73"/>
      <c r="D113" s="73"/>
      <c r="E113" s="127" t="s">
        <v>4748</v>
      </c>
      <c r="F113" s="110" t="s">
        <v>4749</v>
      </c>
      <c r="G113" s="96">
        <f>IFERROR(__xludf.DUMMYFUNCTION("GOOGLEFINANCE(E113, ""price"")"),78.93)</f>
        <v>78.93</v>
      </c>
      <c r="H113" s="97">
        <f>IFERROR(__xludf.DUMMYFUNCTION("GOOGLEFINANCE(E113, ""low"")"),78.7)</f>
        <v>78.7</v>
      </c>
      <c r="I113" s="99">
        <f>IFERROR(__xludf.DUMMYFUNCTION("GOOGLEFINANCE(E113, ""high"")"),79.52)</f>
        <v>79.52</v>
      </c>
      <c r="J113" s="128"/>
      <c r="K113" s="129">
        <v>-21.0</v>
      </c>
      <c r="L113" s="129">
        <v>51.72</v>
      </c>
      <c r="M113" s="129">
        <v>11.6</v>
      </c>
      <c r="N113" s="129">
        <v>2.81</v>
      </c>
      <c r="O113" s="110" t="s">
        <v>1339</v>
      </c>
      <c r="P113" s="129">
        <v>105.35</v>
      </c>
      <c r="Q113" s="130">
        <v>45847.31281206019</v>
      </c>
      <c r="R113" s="131" t="b">
        <v>1</v>
      </c>
      <c r="S113" s="110" t="s">
        <v>4758</v>
      </c>
      <c r="T113" s="110">
        <v>0.0</v>
      </c>
      <c r="U113" s="110" t="s">
        <v>4748</v>
      </c>
      <c r="V113" s="110" t="s">
        <v>4760</v>
      </c>
      <c r="W113" s="110" t="s">
        <v>4761</v>
      </c>
      <c r="X113" s="110" t="s">
        <v>1648</v>
      </c>
      <c r="Y113" s="110" t="s">
        <v>4763</v>
      </c>
      <c r="Z113" s="110" t="s">
        <v>4764</v>
      </c>
      <c r="AA113" s="110" t="s">
        <v>4765</v>
      </c>
      <c r="AB113" s="110" t="s">
        <v>3235</v>
      </c>
      <c r="AC113" s="110" t="s">
        <v>4766</v>
      </c>
      <c r="AD113" s="132">
        <v>46030.37144675926</v>
      </c>
      <c r="AE113" s="110" t="s">
        <v>4768</v>
      </c>
      <c r="AF113" s="133"/>
      <c r="AG113" s="133"/>
      <c r="AH113" s="133"/>
    </row>
    <row r="114" ht="22.5" customHeight="1">
      <c r="A114" s="73"/>
      <c r="B114" s="73"/>
      <c r="C114" s="73"/>
      <c r="D114" s="73"/>
      <c r="E114" s="127" t="s">
        <v>4777</v>
      </c>
      <c r="F114" s="110" t="s">
        <v>4779</v>
      </c>
      <c r="G114" s="96">
        <f>IFERROR(__xludf.DUMMYFUNCTION("GOOGLEFINANCE(E114, ""price"")"),129.95)</f>
        <v>129.95</v>
      </c>
      <c r="H114" s="97">
        <f>IFERROR(__xludf.DUMMYFUNCTION("GOOGLEFINANCE(E114, ""low"")"),129.66)</f>
        <v>129.66</v>
      </c>
      <c r="I114" s="99">
        <f>IFERROR(__xludf.DUMMYFUNCTION("GOOGLEFINANCE(E114, ""high"")"),131.39)</f>
        <v>131.39</v>
      </c>
      <c r="J114" s="128"/>
      <c r="K114" s="129">
        <v>0.46</v>
      </c>
      <c r="L114" s="129">
        <v>47.14</v>
      </c>
      <c r="M114" s="129">
        <v>31.03</v>
      </c>
      <c r="N114" s="129">
        <v>2.15</v>
      </c>
      <c r="O114" s="129" t="s">
        <v>998</v>
      </c>
      <c r="P114" s="129">
        <v>132.26</v>
      </c>
      <c r="Q114" s="130">
        <v>45812.33364386574</v>
      </c>
      <c r="R114" s="131" t="b">
        <v>1</v>
      </c>
      <c r="S114" s="110" t="s">
        <v>4792</v>
      </c>
      <c r="T114" s="110">
        <v>0.0</v>
      </c>
      <c r="U114" s="110" t="s">
        <v>4777</v>
      </c>
      <c r="V114" s="110" t="s">
        <v>4794</v>
      </c>
      <c r="W114" s="110" t="s">
        <v>4795</v>
      </c>
      <c r="X114" s="110" t="s">
        <v>4796</v>
      </c>
      <c r="Y114" s="110" t="s">
        <v>1304</v>
      </c>
      <c r="Z114" s="110" t="s">
        <v>4798</v>
      </c>
      <c r="AA114" s="110" t="s">
        <v>4801</v>
      </c>
      <c r="AB114" s="110" t="s">
        <v>315</v>
      </c>
      <c r="AC114" s="110" t="s">
        <v>4803</v>
      </c>
      <c r="AD114" s="132">
        <v>46030.37144675926</v>
      </c>
      <c r="AE114" s="110" t="s">
        <v>4806</v>
      </c>
      <c r="AF114" s="133"/>
      <c r="AG114" s="133"/>
      <c r="AH114" s="133"/>
    </row>
    <row r="115" ht="22.5" customHeight="1">
      <c r="A115" s="73"/>
      <c r="B115" s="73"/>
      <c r="C115" s="73"/>
      <c r="D115" s="73"/>
      <c r="E115" s="127" t="s">
        <v>203</v>
      </c>
      <c r="F115" s="110" t="s">
        <v>204</v>
      </c>
      <c r="G115" s="96">
        <f>IFERROR(__xludf.DUMMYFUNCTION("GOOGLEFINANCE(E115, ""price"")"),28.03)</f>
        <v>28.03</v>
      </c>
      <c r="H115" s="97">
        <f>IFERROR(__xludf.DUMMYFUNCTION("GOOGLEFINANCE(E115, ""low"")"),27.84)</f>
        <v>27.84</v>
      </c>
      <c r="I115" s="99">
        <f>IFERROR(__xludf.DUMMYFUNCTION("GOOGLEFINANCE(E115, ""high"")"),28.16)</f>
        <v>28.16</v>
      </c>
      <c r="J115" s="128"/>
      <c r="K115" s="145"/>
      <c r="L115" s="145"/>
      <c r="M115" s="145"/>
      <c r="N115" s="145"/>
      <c r="O115" s="143"/>
      <c r="P115" s="145"/>
      <c r="Q115" s="130"/>
      <c r="R115" s="131" t="b">
        <v>1</v>
      </c>
      <c r="S115" s="110" t="s">
        <v>4823</v>
      </c>
      <c r="T115" s="110">
        <v>0.0</v>
      </c>
      <c r="U115" s="110" t="s">
        <v>203</v>
      </c>
      <c r="V115" s="110" t="s">
        <v>4825</v>
      </c>
      <c r="W115" s="110" t="s">
        <v>1907</v>
      </c>
      <c r="X115" s="110" t="s">
        <v>4704</v>
      </c>
      <c r="Y115" s="110" t="s">
        <v>4828</v>
      </c>
      <c r="Z115" s="110" t="s">
        <v>4831</v>
      </c>
      <c r="AA115" s="110" t="s">
        <v>4832</v>
      </c>
      <c r="AB115" s="110" t="s">
        <v>370</v>
      </c>
      <c r="AC115" s="110" t="s">
        <v>4835</v>
      </c>
      <c r="AD115" s="132">
        <v>46030.37144675926</v>
      </c>
      <c r="AE115" s="110" t="s">
        <v>4837</v>
      </c>
      <c r="AF115" s="133"/>
      <c r="AG115" s="133"/>
      <c r="AH115" s="133"/>
    </row>
    <row r="116" ht="22.5" customHeight="1">
      <c r="A116" s="73"/>
      <c r="B116" s="73"/>
      <c r="C116" s="73"/>
      <c r="D116" s="73"/>
      <c r="E116" s="127" t="s">
        <v>4839</v>
      </c>
      <c r="F116" s="110" t="s">
        <v>4840</v>
      </c>
      <c r="G116" s="96">
        <f>IFERROR(__xludf.DUMMYFUNCTION("GOOGLEFINANCE(E116, ""price"")"),147.32)</f>
        <v>147.32</v>
      </c>
      <c r="H116" s="97">
        <f>IFERROR(__xludf.DUMMYFUNCTION("GOOGLEFINANCE(E116, ""low"")"),147.22)</f>
        <v>147.22</v>
      </c>
      <c r="I116" s="99">
        <f>IFERROR(__xludf.DUMMYFUNCTION("GOOGLEFINANCE(E116, ""high"")"),148.93)</f>
        <v>148.93</v>
      </c>
      <c r="J116" s="128"/>
      <c r="K116" s="145"/>
      <c r="L116" s="145"/>
      <c r="M116" s="145"/>
      <c r="N116" s="145"/>
      <c r="O116" s="143"/>
      <c r="P116" s="129">
        <v>162.59</v>
      </c>
      <c r="Q116" s="130">
        <v>45793.50532239584</v>
      </c>
      <c r="R116" s="131" t="b">
        <v>1</v>
      </c>
      <c r="S116" s="110" t="s">
        <v>4855</v>
      </c>
      <c r="T116" s="110">
        <v>0.0</v>
      </c>
      <c r="U116" s="110" t="s">
        <v>4839</v>
      </c>
      <c r="V116" s="110" t="s">
        <v>4857</v>
      </c>
      <c r="W116" s="110" t="s">
        <v>4858</v>
      </c>
      <c r="X116" s="110" t="s">
        <v>4859</v>
      </c>
      <c r="Y116" s="110" t="s">
        <v>2591</v>
      </c>
      <c r="Z116" s="110" t="s">
        <v>4862</v>
      </c>
      <c r="AA116" s="110" t="s">
        <v>4865</v>
      </c>
      <c r="AB116" s="110" t="s">
        <v>315</v>
      </c>
      <c r="AC116" s="110" t="s">
        <v>4868</v>
      </c>
      <c r="AD116" s="132">
        <v>46030.37144675926</v>
      </c>
      <c r="AE116" s="110" t="s">
        <v>4872</v>
      </c>
      <c r="AF116" s="133"/>
      <c r="AG116" s="133"/>
      <c r="AH116" s="133"/>
    </row>
    <row r="117" ht="22.5" customHeight="1">
      <c r="A117" s="73"/>
      <c r="B117" s="73"/>
      <c r="C117" s="73"/>
      <c r="D117" s="73"/>
      <c r="E117" s="93" t="s">
        <v>195</v>
      </c>
      <c r="F117" s="95" t="s">
        <v>196</v>
      </c>
      <c r="G117" s="96">
        <f>IFERROR(__xludf.DUMMYFUNCTION("GOOGLEFINANCE(E117, ""price"")"),191.71)</f>
        <v>191.71</v>
      </c>
      <c r="H117" s="97">
        <f>IFERROR(__xludf.DUMMYFUNCTION("GOOGLEFINANCE(E117, ""low"")"),182.94)</f>
        <v>182.94</v>
      </c>
      <c r="I117" s="99">
        <f>IFERROR(__xludf.DUMMYFUNCTION("GOOGLEFINANCE(E117, ""high"")"),193.79)</f>
        <v>193.79</v>
      </c>
      <c r="J117" s="100"/>
      <c r="K117" s="104">
        <v>7.79</v>
      </c>
      <c r="L117" s="104">
        <v>66.59</v>
      </c>
      <c r="M117" s="104">
        <v>18.67</v>
      </c>
      <c r="N117" s="104">
        <v>5.75</v>
      </c>
      <c r="O117" s="125" t="s">
        <v>197</v>
      </c>
      <c r="P117" s="104">
        <v>123.26</v>
      </c>
      <c r="Q117" s="108">
        <v>45814.37938008102</v>
      </c>
      <c r="R117" s="109" t="b">
        <v>1</v>
      </c>
      <c r="S117" s="110" t="s">
        <v>4900</v>
      </c>
      <c r="T117" s="110">
        <v>0.0</v>
      </c>
      <c r="U117" s="111" t="s">
        <v>195</v>
      </c>
      <c r="V117" s="111" t="s">
        <v>4904</v>
      </c>
      <c r="W117" s="111" t="s">
        <v>4906</v>
      </c>
      <c r="X117" s="111" t="s">
        <v>4907</v>
      </c>
      <c r="Y117" s="111" t="s">
        <v>4908</v>
      </c>
      <c r="Z117" s="111" t="s">
        <v>4909</v>
      </c>
      <c r="AA117" s="111" t="s">
        <v>4910</v>
      </c>
      <c r="AB117" s="111" t="s">
        <v>2278</v>
      </c>
      <c r="AC117" s="111" t="s">
        <v>4913</v>
      </c>
      <c r="AD117" s="112">
        <v>46030.37144675926</v>
      </c>
      <c r="AE117" s="111" t="s">
        <v>4914</v>
      </c>
      <c r="AF117" s="122"/>
      <c r="AG117" s="122"/>
      <c r="AH117" s="122"/>
    </row>
    <row r="118" ht="22.5" customHeight="1">
      <c r="A118" s="73"/>
      <c r="B118" s="73"/>
      <c r="C118" s="73"/>
      <c r="D118" s="73"/>
      <c r="E118" s="189" t="s">
        <v>1499</v>
      </c>
      <c r="F118" s="110" t="s">
        <v>1500</v>
      </c>
      <c r="G118" s="96">
        <f>IFERROR(__xludf.DUMMYFUNCTION("GOOGLEFINANCE(E118, ""price"")"),32.75)</f>
        <v>32.75</v>
      </c>
      <c r="H118" s="97">
        <f>IFERROR(__xludf.DUMMYFUNCTION("GOOGLEFINANCE(E118, ""low"")"),32.31)</f>
        <v>32.31</v>
      </c>
      <c r="I118" s="99">
        <f>IFERROR(__xludf.DUMMYFUNCTION("GOOGLEFINANCE(E118, ""high"")"),35.81)</f>
        <v>35.81</v>
      </c>
      <c r="J118" s="128"/>
      <c r="K118" s="145"/>
      <c r="L118" s="145"/>
      <c r="M118" s="145"/>
      <c r="N118" s="145"/>
      <c r="O118" s="145"/>
      <c r="P118" s="145"/>
      <c r="Q118" s="130"/>
      <c r="R118" s="131" t="b">
        <v>1</v>
      </c>
      <c r="S118" s="110" t="s">
        <v>4931</v>
      </c>
      <c r="T118" s="110">
        <v>0.0</v>
      </c>
      <c r="U118" s="110" t="s">
        <v>1499</v>
      </c>
      <c r="V118" s="110" t="s">
        <v>4935</v>
      </c>
      <c r="W118" s="110" t="s">
        <v>4937</v>
      </c>
      <c r="X118" s="110" t="s">
        <v>4940</v>
      </c>
      <c r="Y118" s="110" t="s">
        <v>4942</v>
      </c>
      <c r="Z118" s="110" t="s">
        <v>4944</v>
      </c>
      <c r="AA118" s="110" t="s">
        <v>4946</v>
      </c>
      <c r="AB118" s="110" t="s">
        <v>4949</v>
      </c>
      <c r="AC118" s="110" t="s">
        <v>4952</v>
      </c>
      <c r="AD118" s="132">
        <v>46030.37144675926</v>
      </c>
      <c r="AE118" s="110" t="s">
        <v>4955</v>
      </c>
      <c r="AF118" s="133"/>
      <c r="AG118" s="133"/>
      <c r="AH118" s="133"/>
    </row>
    <row r="119" ht="22.5" customHeight="1">
      <c r="A119" s="73"/>
      <c r="B119" s="149" t="s">
        <v>327</v>
      </c>
      <c r="C119" s="150">
        <f>now()</f>
        <v>46288.71545</v>
      </c>
      <c r="D119" s="73"/>
      <c r="E119" s="117" t="s">
        <v>353</v>
      </c>
      <c r="F119" s="103" t="s">
        <v>4968</v>
      </c>
      <c r="G119" s="96">
        <f>IFERROR(__xludf.DUMMYFUNCTION("GOOGLEFINANCE(E119, ""price"")"),257.08)</f>
        <v>257.08</v>
      </c>
      <c r="H119" s="118"/>
      <c r="I119" s="118"/>
      <c r="J119" s="119"/>
      <c r="K119" s="120"/>
      <c r="L119" s="120"/>
      <c r="M119" s="120"/>
      <c r="N119" s="120"/>
      <c r="O119" s="118"/>
      <c r="P119" s="120"/>
      <c r="Q119" s="121"/>
      <c r="R119" s="109" t="b">
        <v>1</v>
      </c>
      <c r="S119" s="110" t="s">
        <v>4976</v>
      </c>
      <c r="T119" s="110">
        <v>0.0</v>
      </c>
      <c r="U119" s="111" t="s">
        <v>353</v>
      </c>
      <c r="V119" s="111" t="s">
        <v>4978</v>
      </c>
      <c r="W119" s="111" t="s">
        <v>1108</v>
      </c>
      <c r="X119" s="111" t="s">
        <v>4981</v>
      </c>
      <c r="Y119" s="111" t="s">
        <v>4983</v>
      </c>
      <c r="Z119" s="111" t="s">
        <v>4985</v>
      </c>
      <c r="AA119" s="111" t="s">
        <v>4986</v>
      </c>
      <c r="AB119" s="111" t="s">
        <v>265</v>
      </c>
      <c r="AC119" s="111" t="s">
        <v>4988</v>
      </c>
      <c r="AD119" s="111" t="s">
        <v>2005</v>
      </c>
      <c r="AE119" s="111" t="s">
        <v>1109</v>
      </c>
      <c r="AF119" s="122"/>
      <c r="AG119" s="122"/>
      <c r="AH119" s="122"/>
    </row>
    <row r="120" ht="22.5" customHeight="1">
      <c r="A120" s="73"/>
      <c r="B120" s="73"/>
      <c r="C120" s="73"/>
      <c r="D120" s="73"/>
      <c r="E120" s="117" t="s">
        <v>5005</v>
      </c>
      <c r="F120" s="111" t="s">
        <v>5009</v>
      </c>
      <c r="G120" s="96">
        <f>IFERROR(__xludf.DUMMYFUNCTION("GOOGLEFINANCE(E120, ""price"")"),633.02)</f>
        <v>633.02</v>
      </c>
      <c r="H120" s="118"/>
      <c r="I120" s="118"/>
      <c r="J120" s="119"/>
      <c r="K120" s="120"/>
      <c r="L120" s="120"/>
      <c r="M120" s="120"/>
      <c r="N120" s="120"/>
      <c r="O120" s="118"/>
      <c r="P120" s="120"/>
      <c r="Q120" s="121"/>
      <c r="R120" s="109" t="b">
        <v>1</v>
      </c>
      <c r="S120" s="110" t="s">
        <v>5023</v>
      </c>
      <c r="T120" s="110">
        <v>0.0</v>
      </c>
      <c r="U120" s="111" t="s">
        <v>5005</v>
      </c>
      <c r="V120" s="111" t="s">
        <v>5027</v>
      </c>
      <c r="W120" s="111" t="s">
        <v>5029</v>
      </c>
      <c r="X120" s="111" t="s">
        <v>5031</v>
      </c>
      <c r="Y120" s="111" t="s">
        <v>5032</v>
      </c>
      <c r="Z120" s="111" t="s">
        <v>5035</v>
      </c>
      <c r="AA120" s="111" t="s">
        <v>5037</v>
      </c>
      <c r="AB120" s="111" t="s">
        <v>1337</v>
      </c>
      <c r="AC120" s="111" t="s">
        <v>5039</v>
      </c>
      <c r="AD120" s="111" t="s">
        <v>3237</v>
      </c>
      <c r="AE120" s="111" t="s">
        <v>5040</v>
      </c>
      <c r="AF120" s="122"/>
      <c r="AG120" s="122"/>
      <c r="AH120" s="122"/>
    </row>
    <row r="121" ht="22.5" customHeight="1">
      <c r="A121" s="73"/>
      <c r="B121" s="73"/>
      <c r="C121" s="73"/>
      <c r="D121" s="73"/>
      <c r="E121" s="254" t="s">
        <v>330</v>
      </c>
      <c r="F121" s="254" t="s">
        <v>532</v>
      </c>
      <c r="G121" s="96">
        <f>IFERROR(__xludf.DUMMYFUNCTION("GOOGLEFINANCE(E121, ""price"")"),185.88)</f>
        <v>185.88</v>
      </c>
      <c r="H121" s="97">
        <f>IFERROR(__xludf.DUMMYFUNCTION("GOOGLEFINANCE(E121, ""low"")"),180.23)</f>
        <v>180.23</v>
      </c>
      <c r="I121" s="99">
        <f>IFERROR(__xludf.DUMMYFUNCTION("GOOGLEFINANCE(E121, ""high"")"),186.64)</f>
        <v>186.64</v>
      </c>
      <c r="J121" s="100"/>
      <c r="K121" s="106"/>
      <c r="L121" s="106"/>
      <c r="M121" s="106"/>
      <c r="N121" s="106"/>
      <c r="O121" s="104"/>
      <c r="P121" s="104">
        <v>146.06</v>
      </c>
      <c r="Q121" s="108">
        <v>45706.703309131946</v>
      </c>
      <c r="R121" s="109" t="b">
        <v>1</v>
      </c>
      <c r="S121" s="110" t="s">
        <v>5054</v>
      </c>
      <c r="T121" s="110">
        <v>0.0</v>
      </c>
      <c r="U121" s="111" t="s">
        <v>330</v>
      </c>
      <c r="V121" s="111" t="s">
        <v>5057</v>
      </c>
      <c r="W121" s="111" t="s">
        <v>5060</v>
      </c>
      <c r="X121" s="111" t="s">
        <v>5062</v>
      </c>
      <c r="Y121" s="111" t="s">
        <v>5064</v>
      </c>
      <c r="Z121" s="111" t="s">
        <v>5066</v>
      </c>
      <c r="AA121" s="111" t="s">
        <v>5069</v>
      </c>
      <c r="AB121" s="111" t="s">
        <v>1968</v>
      </c>
      <c r="AC121" s="111" t="s">
        <v>5070</v>
      </c>
      <c r="AD121" s="112">
        <v>46030.37144675926</v>
      </c>
      <c r="AE121" s="111" t="s">
        <v>1986</v>
      </c>
      <c r="AF121" s="122"/>
      <c r="AG121" s="122"/>
      <c r="AH121" s="122"/>
    </row>
    <row r="122" ht="22.5" customHeight="1">
      <c r="A122" s="73"/>
      <c r="B122" s="73"/>
      <c r="C122" s="73"/>
      <c r="D122" s="73"/>
      <c r="E122" s="127" t="s">
        <v>1558</v>
      </c>
      <c r="F122" s="110" t="s">
        <v>1559</v>
      </c>
      <c r="G122" s="96" t="str">
        <f>IFERROR(__xludf.DUMMYFUNCTION("GOOGLEFINANCE(E122, ""price"")"),"#N/A")</f>
        <v>#N/A</v>
      </c>
      <c r="H122" s="97" t="str">
        <f>IFERROR(__xludf.DUMMYFUNCTION("GOOGLEFINANCE(E122, ""low"")"),"#N/A")</f>
        <v>#N/A</v>
      </c>
      <c r="I122" s="99" t="str">
        <f>IFERROR(__xludf.DUMMYFUNCTION("GOOGLEFINANCE(E122, ""high"")"),"#N/A")</f>
        <v>#N/A</v>
      </c>
      <c r="J122" s="144"/>
      <c r="K122" s="129">
        <v>2.53</v>
      </c>
      <c r="L122" s="129">
        <v>69.76</v>
      </c>
      <c r="M122" s="129">
        <v>39.56</v>
      </c>
      <c r="N122" s="129">
        <v>0.55</v>
      </c>
      <c r="O122" s="110" t="s">
        <v>1561</v>
      </c>
      <c r="P122" s="129">
        <v>6.81</v>
      </c>
      <c r="Q122" s="130">
        <v>45838.32549383102</v>
      </c>
      <c r="R122" s="131" t="b">
        <v>1</v>
      </c>
      <c r="S122" s="110" t="s">
        <v>5085</v>
      </c>
      <c r="T122" s="110">
        <v>0.0</v>
      </c>
      <c r="U122" s="110" t="s">
        <v>1558</v>
      </c>
      <c r="V122" s="110" t="s">
        <v>5088</v>
      </c>
      <c r="W122" s="110" t="s">
        <v>5089</v>
      </c>
      <c r="X122" s="110" t="s">
        <v>5090</v>
      </c>
      <c r="Y122" s="110" t="s">
        <v>5091</v>
      </c>
      <c r="Z122" s="110" t="s">
        <v>3865</v>
      </c>
      <c r="AA122" s="110" t="s">
        <v>5092</v>
      </c>
      <c r="AB122" s="110" t="s">
        <v>736</v>
      </c>
      <c r="AC122" s="110" t="s">
        <v>5094</v>
      </c>
      <c r="AD122" s="132">
        <v>46030.37144675926</v>
      </c>
      <c r="AE122" s="110" t="s">
        <v>5095</v>
      </c>
      <c r="AF122" s="133"/>
      <c r="AG122" s="133"/>
      <c r="AH122" s="133"/>
    </row>
    <row r="123" ht="22.5" customHeight="1">
      <c r="A123" s="73"/>
      <c r="B123" s="73"/>
      <c r="C123" s="73"/>
      <c r="D123" s="73"/>
      <c r="E123" s="127" t="s">
        <v>5101</v>
      </c>
      <c r="F123" s="110" t="s">
        <v>5102</v>
      </c>
      <c r="G123" s="96">
        <f>IFERROR(__xludf.DUMMYFUNCTION("GOOGLEFINANCE(E123, ""price"")"),9.34)</f>
        <v>9.34</v>
      </c>
      <c r="H123" s="97">
        <f>IFERROR(__xludf.DUMMYFUNCTION("GOOGLEFINANCE(E123, ""low"")"),9.05)</f>
        <v>9.05</v>
      </c>
      <c r="I123" s="99">
        <f>IFERROR(__xludf.DUMMYFUNCTION("GOOGLEFINANCE(E123, ""high"")"),9.76)</f>
        <v>9.76</v>
      </c>
      <c r="J123" s="128"/>
      <c r="K123" s="129">
        <v>2.6</v>
      </c>
      <c r="L123" s="129">
        <v>63.17</v>
      </c>
      <c r="M123" s="129">
        <v>36.41</v>
      </c>
      <c r="N123" s="129">
        <v>1.02</v>
      </c>
      <c r="O123" s="110" t="s">
        <v>170</v>
      </c>
      <c r="P123" s="129">
        <v>17.51</v>
      </c>
      <c r="Q123" s="130">
        <v>45838.323184444445</v>
      </c>
      <c r="R123" s="131" t="b">
        <v>1</v>
      </c>
      <c r="S123" s="110" t="s">
        <v>5108</v>
      </c>
      <c r="T123" s="110">
        <v>0.0</v>
      </c>
      <c r="U123" s="110" t="s">
        <v>5101</v>
      </c>
      <c r="V123" s="110" t="s">
        <v>5109</v>
      </c>
      <c r="W123" s="110" t="s">
        <v>5110</v>
      </c>
      <c r="X123" s="110" t="s">
        <v>5111</v>
      </c>
      <c r="Y123" s="110" t="s">
        <v>5112</v>
      </c>
      <c r="Z123" s="110" t="s">
        <v>5113</v>
      </c>
      <c r="AA123" s="110" t="s">
        <v>5114</v>
      </c>
      <c r="AB123" s="110" t="s">
        <v>736</v>
      </c>
      <c r="AC123" s="110" t="s">
        <v>5115</v>
      </c>
      <c r="AD123" s="132">
        <v>46030.37144675926</v>
      </c>
      <c r="AE123" s="110" t="s">
        <v>5117</v>
      </c>
      <c r="AF123" s="133"/>
      <c r="AG123" s="133"/>
      <c r="AH123" s="133"/>
    </row>
    <row r="124" ht="22.5" customHeight="1">
      <c r="A124" s="73"/>
      <c r="B124" s="73"/>
      <c r="C124" s="73"/>
      <c r="D124" s="73"/>
      <c r="E124" s="127" t="s">
        <v>977</v>
      </c>
      <c r="F124" s="110" t="s">
        <v>5118</v>
      </c>
      <c r="G124" s="96">
        <f>IFERROR(__xludf.DUMMYFUNCTION("GOOGLEFINANCE(E124, ""price"")"),49.12)</f>
        <v>49.12</v>
      </c>
      <c r="H124" s="97">
        <f>IFERROR(__xludf.DUMMYFUNCTION("GOOGLEFINANCE(E124, ""low"")"),48.92)</f>
        <v>48.92</v>
      </c>
      <c r="I124" s="99">
        <f>IFERROR(__xludf.DUMMYFUNCTION("GOOGLEFINANCE(E124, ""high"")"),50.4)</f>
        <v>50.4</v>
      </c>
      <c r="J124" s="128"/>
      <c r="K124" s="145"/>
      <c r="L124" s="145"/>
      <c r="M124" s="145"/>
      <c r="N124" s="145"/>
      <c r="O124" s="143"/>
      <c r="P124" s="129">
        <v>102.75</v>
      </c>
      <c r="Q124" s="130">
        <v>45966.805508715275</v>
      </c>
      <c r="R124" s="131" t="b">
        <v>1</v>
      </c>
      <c r="S124" s="110" t="s">
        <v>5141</v>
      </c>
      <c r="T124" s="110">
        <v>0.0</v>
      </c>
      <c r="U124" s="110" t="s">
        <v>977</v>
      </c>
      <c r="V124" s="110" t="s">
        <v>5142</v>
      </c>
      <c r="W124" s="110" t="s">
        <v>5143</v>
      </c>
      <c r="X124" s="110" t="s">
        <v>5145</v>
      </c>
      <c r="Y124" s="110" t="s">
        <v>1387</v>
      </c>
      <c r="Z124" s="110" t="s">
        <v>970</v>
      </c>
      <c r="AA124" s="110" t="s">
        <v>5147</v>
      </c>
      <c r="AB124" s="110" t="s">
        <v>5149</v>
      </c>
      <c r="AC124" s="110" t="s">
        <v>5151</v>
      </c>
      <c r="AD124" s="132">
        <v>46030.37144675926</v>
      </c>
      <c r="AE124" s="110" t="s">
        <v>5153</v>
      </c>
      <c r="AF124" s="133"/>
      <c r="AG124" s="133"/>
      <c r="AH124" s="133"/>
    </row>
    <row r="125" ht="22.5" customHeight="1">
      <c r="A125" s="73"/>
      <c r="B125" s="73"/>
      <c r="C125" s="73"/>
      <c r="D125" s="73"/>
      <c r="E125" s="127" t="s">
        <v>5156</v>
      </c>
      <c r="F125" s="110" t="s">
        <v>5158</v>
      </c>
      <c r="G125" s="96">
        <f>IFERROR(__xludf.DUMMYFUNCTION("GOOGLEFINANCE(E125, ""price"")"),6.79)</f>
        <v>6.79</v>
      </c>
      <c r="H125" s="97">
        <f>IFERROR(__xludf.DUMMYFUNCTION("GOOGLEFINANCE(E125, ""low"")"),6.68)</f>
        <v>6.68</v>
      </c>
      <c r="I125" s="99">
        <f>IFERROR(__xludf.DUMMYFUNCTION("GOOGLEFINANCE(E125, ""high"")"),6.94)</f>
        <v>6.94</v>
      </c>
      <c r="J125" s="128"/>
      <c r="K125" s="145"/>
      <c r="L125" s="145"/>
      <c r="M125" s="145"/>
      <c r="N125" s="145"/>
      <c r="O125" s="110" t="s">
        <v>3253</v>
      </c>
      <c r="P125" s="129">
        <v>6.12</v>
      </c>
      <c r="Q125" s="130">
        <v>45982.40019418982</v>
      </c>
      <c r="R125" s="131" t="b">
        <v>1</v>
      </c>
      <c r="S125" s="110" t="s">
        <v>5167</v>
      </c>
      <c r="T125" s="110">
        <v>0.0</v>
      </c>
      <c r="U125" s="110" t="s">
        <v>5156</v>
      </c>
      <c r="V125" s="110" t="s">
        <v>5169</v>
      </c>
      <c r="W125" s="110" t="s">
        <v>5170</v>
      </c>
      <c r="X125" s="110" t="s">
        <v>5172</v>
      </c>
      <c r="Y125" s="110" t="s">
        <v>5173</v>
      </c>
      <c r="Z125" s="110" t="s">
        <v>5175</v>
      </c>
      <c r="AA125" s="110" t="s">
        <v>5176</v>
      </c>
      <c r="AB125" s="110" t="s">
        <v>736</v>
      </c>
      <c r="AC125" s="110" t="s">
        <v>5179</v>
      </c>
      <c r="AD125" s="132">
        <v>46030.37144675926</v>
      </c>
      <c r="AE125" s="110" t="s">
        <v>5180</v>
      </c>
      <c r="AF125" s="133"/>
      <c r="AG125" s="133"/>
      <c r="AH125" s="133"/>
    </row>
    <row r="126" ht="22.5" customHeight="1">
      <c r="A126" s="73"/>
      <c r="B126" s="73"/>
      <c r="C126" s="73"/>
      <c r="D126" s="73"/>
      <c r="E126" s="127" t="s">
        <v>5181</v>
      </c>
      <c r="F126" s="110" t="s">
        <v>5182</v>
      </c>
      <c r="G126" s="96">
        <f>IFERROR(__xludf.DUMMYFUNCTION("GOOGLEFINANCE(E126, ""price"")"),150.39)</f>
        <v>150.39</v>
      </c>
      <c r="H126" s="97">
        <f>IFERROR(__xludf.DUMMYFUNCTION("GOOGLEFINANCE(E126, ""low"")"),147.77)</f>
        <v>147.77</v>
      </c>
      <c r="I126" s="99">
        <f>IFERROR(__xludf.DUMMYFUNCTION("GOOGLEFINANCE(E126, ""high"")"),154.94)</f>
        <v>154.94</v>
      </c>
      <c r="J126" s="128"/>
      <c r="K126" s="129">
        <v>-3.0</v>
      </c>
      <c r="L126" s="129">
        <v>38.73</v>
      </c>
      <c r="M126" s="129">
        <v>29.51</v>
      </c>
      <c r="N126" s="129">
        <v>12.03</v>
      </c>
      <c r="O126" s="110" t="s">
        <v>3253</v>
      </c>
      <c r="P126" s="129">
        <v>198.49</v>
      </c>
      <c r="Q126" s="130">
        <v>45945.280962476856</v>
      </c>
      <c r="R126" s="131" t="b">
        <v>1</v>
      </c>
      <c r="S126" s="110" t="s">
        <v>5186</v>
      </c>
      <c r="T126" s="110">
        <v>0.0</v>
      </c>
      <c r="U126" s="110" t="s">
        <v>5181</v>
      </c>
      <c r="V126" s="110" t="s">
        <v>5187</v>
      </c>
      <c r="W126" s="110" t="s">
        <v>5189</v>
      </c>
      <c r="X126" s="110" t="s">
        <v>5190</v>
      </c>
      <c r="Y126" s="110" t="s">
        <v>5191</v>
      </c>
      <c r="Z126" s="110" t="s">
        <v>5192</v>
      </c>
      <c r="AA126" s="110" t="s">
        <v>5193</v>
      </c>
      <c r="AB126" s="110" t="s">
        <v>607</v>
      </c>
      <c r="AC126" s="110" t="s">
        <v>5194</v>
      </c>
      <c r="AD126" s="132">
        <v>46030.37144675926</v>
      </c>
      <c r="AE126" s="110" t="s">
        <v>5195</v>
      </c>
      <c r="AF126" s="133"/>
      <c r="AG126" s="133"/>
      <c r="AH126" s="133"/>
    </row>
    <row r="127" ht="22.5" customHeight="1">
      <c r="A127" s="73"/>
      <c r="B127" s="73"/>
      <c r="C127" s="73"/>
      <c r="D127" s="73"/>
      <c r="E127" s="125" t="s">
        <v>147</v>
      </c>
      <c r="F127" s="125" t="s">
        <v>148</v>
      </c>
      <c r="G127" s="96">
        <f>IFERROR(__xludf.DUMMYFUNCTION("GOOGLEFINANCE(E127, ""price"")"),253.12)</f>
        <v>253.12</v>
      </c>
      <c r="H127" s="97">
        <f>IFERROR(__xludf.DUMMYFUNCTION("GOOGLEFINANCE(E127, ""low"")"),251.14)</f>
        <v>251.14</v>
      </c>
      <c r="I127" s="99">
        <f>IFERROR(__xludf.DUMMYFUNCTION("GOOGLEFINANCE(E127, ""high"")"),254.26)</f>
        <v>254.26</v>
      </c>
      <c r="J127" s="152"/>
      <c r="K127" s="106"/>
      <c r="L127" s="106"/>
      <c r="M127" s="106"/>
      <c r="N127" s="106"/>
      <c r="O127" s="105"/>
      <c r="P127" s="106"/>
      <c r="Q127" s="108"/>
      <c r="R127" s="109" t="b">
        <v>1</v>
      </c>
      <c r="S127" s="110" t="s">
        <v>150</v>
      </c>
      <c r="T127" s="110">
        <v>0.0</v>
      </c>
      <c r="U127" s="111" t="s">
        <v>147</v>
      </c>
      <c r="V127" s="111" t="s">
        <v>5197</v>
      </c>
      <c r="W127" s="111" t="s">
        <v>5198</v>
      </c>
      <c r="X127" s="111" t="s">
        <v>5199</v>
      </c>
      <c r="Y127" s="111" t="s">
        <v>5200</v>
      </c>
      <c r="Z127" s="111" t="s">
        <v>5201</v>
      </c>
      <c r="AA127" s="111" t="s">
        <v>5202</v>
      </c>
      <c r="AB127" s="111" t="s">
        <v>4062</v>
      </c>
      <c r="AC127" s="111" t="s">
        <v>5203</v>
      </c>
      <c r="AD127" s="112">
        <v>46030.37144675926</v>
      </c>
      <c r="AE127" s="111" t="s">
        <v>5204</v>
      </c>
      <c r="AF127" s="122"/>
      <c r="AG127" s="122"/>
      <c r="AH127" s="122"/>
    </row>
    <row r="128" ht="22.5" customHeight="1">
      <c r="A128" s="73"/>
      <c r="B128" s="73"/>
      <c r="C128" s="73"/>
      <c r="D128" s="73"/>
      <c r="E128" s="280" t="s">
        <v>1362</v>
      </c>
      <c r="F128" s="280" t="s">
        <v>1364</v>
      </c>
      <c r="G128" s="96">
        <f>IFERROR(__xludf.DUMMYFUNCTION("GOOGLEFINANCE(E128, ""price"")"),16.19)</f>
        <v>16.19</v>
      </c>
      <c r="H128" s="97">
        <f>IFERROR(__xludf.DUMMYFUNCTION("GOOGLEFINANCE(E128, ""low"")"),16.07)</f>
        <v>16.07</v>
      </c>
      <c r="I128" s="99">
        <f>IFERROR(__xludf.DUMMYFUNCTION("GOOGLEFINANCE(E128, ""high"")"),17.66)</f>
        <v>17.66</v>
      </c>
      <c r="J128" s="144"/>
      <c r="K128" s="145"/>
      <c r="L128" s="145"/>
      <c r="M128" s="145"/>
      <c r="N128" s="145"/>
      <c r="O128" s="129"/>
      <c r="P128" s="129">
        <v>10.48</v>
      </c>
      <c r="Q128" s="130">
        <v>45707.2402543287</v>
      </c>
      <c r="R128" s="131" t="b">
        <v>1</v>
      </c>
      <c r="S128" s="110" t="s">
        <v>5209</v>
      </c>
      <c r="T128" s="110">
        <v>0.0</v>
      </c>
      <c r="U128" s="110" t="s">
        <v>1362</v>
      </c>
      <c r="V128" s="110" t="s">
        <v>5210</v>
      </c>
      <c r="W128" s="110" t="s">
        <v>2568</v>
      </c>
      <c r="X128" s="110" t="s">
        <v>5211</v>
      </c>
      <c r="Y128" s="110" t="s">
        <v>5212</v>
      </c>
      <c r="Z128" s="110" t="s">
        <v>5213</v>
      </c>
      <c r="AA128" s="110" t="s">
        <v>5214</v>
      </c>
      <c r="AB128" s="110" t="s">
        <v>783</v>
      </c>
      <c r="AC128" s="110" t="s">
        <v>5215</v>
      </c>
      <c r="AD128" s="132">
        <v>46030.37144675926</v>
      </c>
      <c r="AE128" s="110" t="s">
        <v>1900</v>
      </c>
      <c r="AF128" s="133"/>
      <c r="AG128" s="133"/>
      <c r="AH128" s="133"/>
    </row>
    <row r="129" ht="22.5" customHeight="1">
      <c r="A129" s="73"/>
      <c r="B129" s="73"/>
      <c r="C129" s="73"/>
      <c r="D129" s="73"/>
      <c r="E129" s="127" t="s">
        <v>1017</v>
      </c>
      <c r="F129" s="110" t="s">
        <v>1018</v>
      </c>
      <c r="G129" s="96">
        <f>IFERROR(__xludf.DUMMYFUNCTION("GOOGLEFINANCE(E129, ""price"")"),71.62)</f>
        <v>71.62</v>
      </c>
      <c r="H129" s="97">
        <f>IFERROR(__xludf.DUMMYFUNCTION("GOOGLEFINANCE(E129, ""low"")"),70.98)</f>
        <v>70.98</v>
      </c>
      <c r="I129" s="99">
        <f>IFERROR(__xludf.DUMMYFUNCTION("GOOGLEFINANCE(E129, ""high"")"),73.57)</f>
        <v>73.57</v>
      </c>
      <c r="J129" s="144"/>
      <c r="K129" s="129">
        <v>7.29</v>
      </c>
      <c r="L129" s="129">
        <v>72.27</v>
      </c>
      <c r="M129" s="129">
        <v>23.53</v>
      </c>
      <c r="N129" s="129">
        <v>1.75</v>
      </c>
      <c r="O129" s="110" t="s">
        <v>542</v>
      </c>
      <c r="P129" s="129">
        <v>47.03</v>
      </c>
      <c r="Q129" s="130">
        <v>45895.30139100694</v>
      </c>
      <c r="R129" s="131" t="b">
        <v>1</v>
      </c>
      <c r="S129" s="110" t="s">
        <v>5227</v>
      </c>
      <c r="T129" s="110">
        <v>0.0</v>
      </c>
      <c r="U129" s="110" t="s">
        <v>1017</v>
      </c>
      <c r="V129" s="110" t="s">
        <v>5229</v>
      </c>
      <c r="W129" s="110" t="s">
        <v>5230</v>
      </c>
      <c r="X129" s="110" t="s">
        <v>5231</v>
      </c>
      <c r="Y129" s="110" t="s">
        <v>5232</v>
      </c>
      <c r="Z129" s="110" t="s">
        <v>5233</v>
      </c>
      <c r="AA129" s="110" t="s">
        <v>5234</v>
      </c>
      <c r="AB129" s="110" t="s">
        <v>315</v>
      </c>
      <c r="AC129" s="110" t="s">
        <v>5235</v>
      </c>
      <c r="AD129" s="132">
        <v>46030.37144675926</v>
      </c>
      <c r="AE129" s="110" t="s">
        <v>1888</v>
      </c>
      <c r="AF129" s="133"/>
      <c r="AG129" s="133"/>
      <c r="AH129" s="133"/>
    </row>
    <row r="130" ht="22.5" customHeight="1">
      <c r="A130" s="73"/>
      <c r="B130" s="73"/>
      <c r="C130" s="73"/>
      <c r="D130" s="73"/>
      <c r="E130" s="127" t="s">
        <v>5236</v>
      </c>
      <c r="F130" s="110" t="s">
        <v>5237</v>
      </c>
      <c r="G130" s="96">
        <f>IFERROR(__xludf.DUMMYFUNCTION("GOOGLEFINANCE(E130, ""price"")"),342.11)</f>
        <v>342.11</v>
      </c>
      <c r="H130" s="97">
        <f>IFERROR(__xludf.DUMMYFUNCTION("GOOGLEFINANCE(E130, ""low"")"),339.79)</f>
        <v>339.79</v>
      </c>
      <c r="I130" s="99">
        <f>IFERROR(__xludf.DUMMYFUNCTION("GOOGLEFINANCE(E130, ""high"")"),348.51)</f>
        <v>348.51</v>
      </c>
      <c r="J130" s="128"/>
      <c r="K130" s="129">
        <v>22.54</v>
      </c>
      <c r="L130" s="129">
        <v>71.56</v>
      </c>
      <c r="M130" s="129">
        <v>38.42</v>
      </c>
      <c r="N130" s="129">
        <v>8.59</v>
      </c>
      <c r="O130" s="110" t="s">
        <v>542</v>
      </c>
      <c r="P130" s="129">
        <v>274.01</v>
      </c>
      <c r="Q130" s="130">
        <v>45799.42217734954</v>
      </c>
      <c r="R130" s="131" t="b">
        <v>1</v>
      </c>
      <c r="S130" s="110" t="s">
        <v>5239</v>
      </c>
      <c r="T130" s="110">
        <v>0.0</v>
      </c>
      <c r="U130" s="110" t="s">
        <v>5236</v>
      </c>
      <c r="V130" s="110" t="s">
        <v>5242</v>
      </c>
      <c r="W130" s="110" t="s">
        <v>5244</v>
      </c>
      <c r="X130" s="110" t="s">
        <v>5245</v>
      </c>
      <c r="Y130" s="110" t="s">
        <v>5246</v>
      </c>
      <c r="Z130" s="110" t="s">
        <v>5247</v>
      </c>
      <c r="AA130" s="110" t="s">
        <v>5248</v>
      </c>
      <c r="AB130" s="110" t="s">
        <v>5249</v>
      </c>
      <c r="AC130" s="110" t="s">
        <v>5250</v>
      </c>
      <c r="AD130" s="132">
        <v>46030.37144675926</v>
      </c>
      <c r="AE130" s="110" t="s">
        <v>5251</v>
      </c>
      <c r="AF130" s="133"/>
      <c r="AG130" s="133"/>
      <c r="AH130" s="133"/>
    </row>
    <row r="131" ht="22.5" customHeight="1">
      <c r="A131" s="73"/>
      <c r="B131" s="73"/>
      <c r="C131" s="73"/>
      <c r="D131" s="73"/>
      <c r="E131" s="127" t="s">
        <v>513</v>
      </c>
      <c r="F131" s="110" t="s">
        <v>5253</v>
      </c>
      <c r="G131" s="96">
        <f>IFERROR(__xludf.DUMMYFUNCTION("GOOGLEFINANCE(E131, ""price"")"),186.46)</f>
        <v>186.46</v>
      </c>
      <c r="H131" s="97">
        <f>IFERROR(__xludf.DUMMYFUNCTION("GOOGLEFINANCE(E131, ""low"")"),183.48)</f>
        <v>183.48</v>
      </c>
      <c r="I131" s="99">
        <f>IFERROR(__xludf.DUMMYFUNCTION("GOOGLEFINANCE(E131, ""high"")"),187.8)</f>
        <v>187.8</v>
      </c>
      <c r="J131" s="128"/>
      <c r="K131" s="129">
        <v>-5.0</v>
      </c>
      <c r="L131" s="129">
        <v>58.72</v>
      </c>
      <c r="M131" s="129">
        <v>39.72</v>
      </c>
      <c r="N131" s="129">
        <v>4.63</v>
      </c>
      <c r="O131" s="143"/>
      <c r="P131" s="129">
        <v>238.78</v>
      </c>
      <c r="Q131" s="130">
        <v>45770.36725606481</v>
      </c>
      <c r="R131" s="131" t="b">
        <v>1</v>
      </c>
      <c r="S131" s="110" t="s">
        <v>5255</v>
      </c>
      <c r="T131" s="110">
        <v>0.0</v>
      </c>
      <c r="U131" s="110" t="s">
        <v>513</v>
      </c>
      <c r="V131" s="110" t="s">
        <v>5256</v>
      </c>
      <c r="W131" s="110" t="s">
        <v>5257</v>
      </c>
      <c r="X131" s="110" t="s">
        <v>5258</v>
      </c>
      <c r="Y131" s="110" t="s">
        <v>5259</v>
      </c>
      <c r="Z131" s="110" t="s">
        <v>5260</v>
      </c>
      <c r="AA131" s="110" t="s">
        <v>5261</v>
      </c>
      <c r="AB131" s="110" t="s">
        <v>1905</v>
      </c>
      <c r="AC131" s="110" t="s">
        <v>5262</v>
      </c>
      <c r="AD131" s="132">
        <v>46030.37144675926</v>
      </c>
      <c r="AE131" s="110" t="s">
        <v>5263</v>
      </c>
      <c r="AF131" s="133"/>
      <c r="AG131" s="133"/>
      <c r="AH131" s="133"/>
    </row>
    <row r="132" ht="22.5" customHeight="1">
      <c r="A132" s="73"/>
      <c r="B132" s="73"/>
      <c r="C132" s="73"/>
      <c r="D132" s="73"/>
      <c r="E132" s="117" t="s">
        <v>5266</v>
      </c>
      <c r="F132" s="111" t="s">
        <v>5267</v>
      </c>
      <c r="G132" s="96">
        <f>IFERROR(__xludf.DUMMYFUNCTION("GOOGLEFINANCE(E132, ""price"")"),94.34)</f>
        <v>94.34</v>
      </c>
      <c r="H132" s="118"/>
      <c r="I132" s="118"/>
      <c r="J132" s="119"/>
      <c r="K132" s="120"/>
      <c r="L132" s="120"/>
      <c r="M132" s="120"/>
      <c r="N132" s="120"/>
      <c r="O132" s="118"/>
      <c r="P132" s="120"/>
      <c r="Q132" s="121"/>
      <c r="R132" s="109" t="b">
        <v>1</v>
      </c>
      <c r="S132" s="110" t="s">
        <v>5270</v>
      </c>
      <c r="T132" s="110">
        <v>0.0</v>
      </c>
      <c r="U132" s="111" t="s">
        <v>5266</v>
      </c>
      <c r="V132" s="111" t="s">
        <v>5271</v>
      </c>
      <c r="W132" s="111" t="s">
        <v>5272</v>
      </c>
      <c r="X132" s="111" t="s">
        <v>5273</v>
      </c>
      <c r="Y132" s="111" t="s">
        <v>5274</v>
      </c>
      <c r="Z132" s="111" t="s">
        <v>5275</v>
      </c>
      <c r="AA132" s="111" t="s">
        <v>5276</v>
      </c>
      <c r="AB132" s="111" t="s">
        <v>5277</v>
      </c>
      <c r="AC132" s="111" t="s">
        <v>5278</v>
      </c>
      <c r="AD132" s="112">
        <v>46030.37144675926</v>
      </c>
      <c r="AE132" s="111" t="s">
        <v>5279</v>
      </c>
      <c r="AF132" s="122"/>
      <c r="AG132" s="122"/>
      <c r="AH132" s="122"/>
    </row>
    <row r="133" ht="22.5" customHeight="1">
      <c r="A133" s="73"/>
      <c r="B133" s="73"/>
      <c r="C133" s="73"/>
      <c r="D133" s="73"/>
      <c r="E133" s="282" t="s">
        <v>1002</v>
      </c>
      <c r="F133" s="103" t="s">
        <v>1003</v>
      </c>
      <c r="G133" s="96">
        <f>IFERROR(__xludf.DUMMYFUNCTION("GOOGLEFINANCE(E133, ""price"")"),57.68)</f>
        <v>57.68</v>
      </c>
      <c r="H133" s="97">
        <f>IFERROR(__xludf.DUMMYFUNCTION("GOOGLEFINANCE(E133, ""low"")"),56.25)</f>
        <v>56.25</v>
      </c>
      <c r="I133" s="99">
        <f>IFERROR(__xludf.DUMMYFUNCTION("GOOGLEFINANCE(E133, ""high"")"),57.85)</f>
        <v>57.85</v>
      </c>
      <c r="J133" s="144"/>
      <c r="K133" s="145"/>
      <c r="L133" s="145"/>
      <c r="M133" s="145"/>
      <c r="N133" s="145"/>
      <c r="O133" s="145"/>
      <c r="P133" s="145"/>
      <c r="Q133" s="130"/>
      <c r="R133" s="131" t="b">
        <v>1</v>
      </c>
      <c r="S133" s="110" t="s">
        <v>5284</v>
      </c>
      <c r="T133" s="110">
        <v>0.0</v>
      </c>
      <c r="U133" s="110" t="s">
        <v>1002</v>
      </c>
      <c r="V133" s="110" t="s">
        <v>5286</v>
      </c>
      <c r="W133" s="110" t="s">
        <v>2521</v>
      </c>
      <c r="X133" s="110" t="s">
        <v>5291</v>
      </c>
      <c r="Y133" s="110" t="s">
        <v>2843</v>
      </c>
      <c r="Z133" s="110" t="s">
        <v>5293</v>
      </c>
      <c r="AA133" s="110" t="s">
        <v>5294</v>
      </c>
      <c r="AB133" s="110" t="s">
        <v>2919</v>
      </c>
      <c r="AC133" s="110" t="s">
        <v>5296</v>
      </c>
      <c r="AD133" s="132">
        <v>46030.37144675926</v>
      </c>
      <c r="AE133" s="110" t="s">
        <v>5298</v>
      </c>
      <c r="AF133" s="133"/>
      <c r="AG133" s="133"/>
      <c r="AH133" s="133"/>
    </row>
    <row r="134" ht="22.5" customHeight="1">
      <c r="A134" s="73"/>
      <c r="B134" s="73"/>
      <c r="C134" s="73"/>
      <c r="D134" s="73"/>
      <c r="E134" s="127" t="s">
        <v>1832</v>
      </c>
      <c r="F134" s="110" t="s">
        <v>5299</v>
      </c>
      <c r="G134" s="96">
        <f>IFERROR(__xludf.DUMMYFUNCTION("GOOGLEFINANCE(E134, ""price"")"),142.32)</f>
        <v>142.32</v>
      </c>
      <c r="H134" s="97">
        <f>IFERROR(__xludf.DUMMYFUNCTION("GOOGLEFINANCE(E134, ""low"")"),135.68)</f>
        <v>135.68</v>
      </c>
      <c r="I134" s="99">
        <f>IFERROR(__xludf.DUMMYFUNCTION("GOOGLEFINANCE(E134, ""high"")"),151.29)</f>
        <v>151.29</v>
      </c>
      <c r="J134" s="144"/>
      <c r="K134" s="145"/>
      <c r="L134" s="145"/>
      <c r="M134" s="145"/>
      <c r="N134" s="145"/>
      <c r="O134" s="110" t="s">
        <v>998</v>
      </c>
      <c r="P134" s="129">
        <v>157.1</v>
      </c>
      <c r="Q134" s="130">
        <v>45923.13713537037</v>
      </c>
      <c r="R134" s="131" t="b">
        <v>1</v>
      </c>
      <c r="S134" s="110" t="s">
        <v>5301</v>
      </c>
      <c r="T134" s="110">
        <v>0.0</v>
      </c>
      <c r="U134" s="110" t="s">
        <v>1832</v>
      </c>
      <c r="V134" s="110" t="s">
        <v>5302</v>
      </c>
      <c r="W134" s="110" t="s">
        <v>5303</v>
      </c>
      <c r="X134" s="110" t="s">
        <v>5304</v>
      </c>
      <c r="Y134" s="110" t="s">
        <v>5305</v>
      </c>
      <c r="Z134" s="110" t="s">
        <v>5306</v>
      </c>
      <c r="AA134" s="110" t="s">
        <v>5307</v>
      </c>
      <c r="AB134" s="110" t="s">
        <v>2105</v>
      </c>
      <c r="AC134" s="110" t="s">
        <v>5308</v>
      </c>
      <c r="AD134" s="132">
        <v>46030.37144675926</v>
      </c>
      <c r="AE134" s="110" t="s">
        <v>5309</v>
      </c>
      <c r="AF134" s="133"/>
      <c r="AG134" s="133"/>
      <c r="AH134" s="133"/>
    </row>
    <row r="135" ht="22.5" customHeight="1">
      <c r="A135" s="73"/>
      <c r="B135" s="73"/>
      <c r="C135" s="73"/>
      <c r="D135" s="73"/>
      <c r="E135" s="117" t="s">
        <v>5310</v>
      </c>
      <c r="F135" s="111" t="s">
        <v>5310</v>
      </c>
      <c r="G135" s="96">
        <f>IFERROR(__xludf.DUMMYFUNCTION("GOOGLEFINANCE(E135, ""price"")"),52.51)</f>
        <v>52.51</v>
      </c>
      <c r="H135" s="118"/>
      <c r="I135" s="118"/>
      <c r="J135" s="119"/>
      <c r="K135" s="120"/>
      <c r="L135" s="120"/>
      <c r="M135" s="120"/>
      <c r="N135" s="120"/>
      <c r="O135" s="118"/>
      <c r="P135" s="120"/>
      <c r="Q135" s="121"/>
      <c r="R135" s="109" t="b">
        <v>1</v>
      </c>
      <c r="S135" s="110" t="s">
        <v>5312</v>
      </c>
      <c r="T135" s="110">
        <v>0.0</v>
      </c>
      <c r="U135" s="111" t="s">
        <v>5310</v>
      </c>
      <c r="V135" s="111" t="s">
        <v>5313</v>
      </c>
      <c r="W135" s="111" t="s">
        <v>5314</v>
      </c>
      <c r="X135" s="111" t="s">
        <v>5315</v>
      </c>
      <c r="Y135" s="111" t="s">
        <v>5316</v>
      </c>
      <c r="Z135" s="111" t="s">
        <v>5317</v>
      </c>
      <c r="AA135" s="111" t="s">
        <v>5318</v>
      </c>
      <c r="AB135" s="111" t="s">
        <v>5319</v>
      </c>
      <c r="AC135" s="111" t="s">
        <v>5321</v>
      </c>
      <c r="AD135" s="111" t="s">
        <v>2005</v>
      </c>
      <c r="AE135" s="111" t="s">
        <v>5322</v>
      </c>
      <c r="AF135" s="122"/>
      <c r="AG135" s="122"/>
      <c r="AH135" s="122"/>
    </row>
    <row r="136" ht="22.5" customHeight="1">
      <c r="A136" s="73"/>
      <c r="B136" s="73"/>
      <c r="C136" s="73"/>
      <c r="D136" s="73"/>
      <c r="E136" s="110" t="s">
        <v>300</v>
      </c>
      <c r="F136" s="110" t="s">
        <v>301</v>
      </c>
      <c r="G136" s="96">
        <f>IFERROR(__xludf.DUMMYFUNCTION("GOOGLEFINANCE(E136, ""price"")"),41.6)</f>
        <v>41.6</v>
      </c>
      <c r="H136" s="97">
        <f>IFERROR(__xludf.DUMMYFUNCTION("GOOGLEFINANCE(E136, ""low"")"),40.79)</f>
        <v>40.79</v>
      </c>
      <c r="I136" s="99">
        <f>IFERROR(__xludf.DUMMYFUNCTION("GOOGLEFINANCE(E136, ""high"")"),42.7)</f>
        <v>42.7</v>
      </c>
      <c r="J136" s="144"/>
      <c r="K136" s="145"/>
      <c r="L136" s="145"/>
      <c r="M136" s="145"/>
      <c r="N136" s="145"/>
      <c r="O136" s="129"/>
      <c r="P136" s="129">
        <v>44.04</v>
      </c>
      <c r="Q136" s="130">
        <v>46219.39700707176</v>
      </c>
      <c r="R136" s="131" t="b">
        <v>1</v>
      </c>
      <c r="S136" s="110" t="s">
        <v>5324</v>
      </c>
      <c r="T136" s="110">
        <v>0.0</v>
      </c>
      <c r="U136" s="110" t="s">
        <v>300</v>
      </c>
      <c r="V136" s="110" t="s">
        <v>5325</v>
      </c>
      <c r="W136" s="110" t="s">
        <v>5326</v>
      </c>
      <c r="X136" s="110" t="s">
        <v>5327</v>
      </c>
      <c r="Y136" s="110" t="s">
        <v>5328</v>
      </c>
      <c r="Z136" s="110" t="s">
        <v>5329</v>
      </c>
      <c r="AA136" s="110" t="s">
        <v>5330</v>
      </c>
      <c r="AB136" s="110" t="s">
        <v>429</v>
      </c>
      <c r="AC136" s="110" t="s">
        <v>5331</v>
      </c>
      <c r="AD136" s="132">
        <v>46030.37144675926</v>
      </c>
      <c r="AE136" s="110" t="s">
        <v>5332</v>
      </c>
      <c r="AF136" s="133"/>
      <c r="AG136" s="133"/>
      <c r="AH136" s="133"/>
    </row>
    <row r="137" ht="22.5" customHeight="1">
      <c r="A137" s="73"/>
      <c r="B137" s="73"/>
      <c r="C137" s="73"/>
      <c r="D137" s="73"/>
      <c r="E137" s="125" t="s">
        <v>5335</v>
      </c>
      <c r="F137" s="125" t="s">
        <v>5337</v>
      </c>
      <c r="G137" s="96">
        <f>IFERROR(__xludf.DUMMYFUNCTION("GOOGLEFINANCE(E137, ""price"")"),6.1)</f>
        <v>6.1</v>
      </c>
      <c r="H137" s="97">
        <f>IFERROR(__xludf.DUMMYFUNCTION("GOOGLEFINANCE(E137, ""low"")"),6.0)</f>
        <v>6</v>
      </c>
      <c r="I137" s="99">
        <f>IFERROR(__xludf.DUMMYFUNCTION("GOOGLEFINANCE(E137, ""high"")"),6.16)</f>
        <v>6.16</v>
      </c>
      <c r="J137" s="152"/>
      <c r="K137" s="106"/>
      <c r="L137" s="106"/>
      <c r="M137" s="106"/>
      <c r="N137" s="106"/>
      <c r="O137" s="105"/>
      <c r="P137" s="104">
        <v>15.59</v>
      </c>
      <c r="Q137" s="108">
        <v>45918.477911574075</v>
      </c>
      <c r="R137" s="109" t="b">
        <v>1</v>
      </c>
      <c r="S137" s="110" t="s">
        <v>5340</v>
      </c>
      <c r="T137" s="110">
        <v>0.0</v>
      </c>
      <c r="U137" s="111" t="s">
        <v>5335</v>
      </c>
      <c r="V137" s="111" t="s">
        <v>5341</v>
      </c>
      <c r="W137" s="111" t="s">
        <v>5342</v>
      </c>
      <c r="X137" s="111" t="s">
        <v>5343</v>
      </c>
      <c r="Y137" s="111" t="s">
        <v>5344</v>
      </c>
      <c r="Z137" s="111" t="s">
        <v>5345</v>
      </c>
      <c r="AA137" s="111" t="s">
        <v>5346</v>
      </c>
      <c r="AB137" s="111" t="s">
        <v>2278</v>
      </c>
      <c r="AC137" s="111" t="s">
        <v>5347</v>
      </c>
      <c r="AD137" s="112">
        <v>46030.37144675926</v>
      </c>
      <c r="AE137" s="111" t="s">
        <v>5350</v>
      </c>
      <c r="AF137" s="122"/>
      <c r="AG137" s="122"/>
      <c r="AH137" s="122"/>
    </row>
    <row r="138" ht="22.5" customHeight="1">
      <c r="A138" s="73"/>
      <c r="B138" s="73"/>
      <c r="C138" s="73"/>
      <c r="D138" s="73"/>
      <c r="E138" s="124" t="s">
        <v>485</v>
      </c>
      <c r="F138" s="125" t="s">
        <v>5358</v>
      </c>
      <c r="G138" s="96">
        <f>IFERROR(__xludf.DUMMYFUNCTION("GOOGLEFINANCE(E138, ""price"")"),152.12)</f>
        <v>152.12</v>
      </c>
      <c r="H138" s="105"/>
      <c r="I138" s="105"/>
      <c r="J138" s="152"/>
      <c r="K138" s="106"/>
      <c r="L138" s="106"/>
      <c r="M138" s="106"/>
      <c r="N138" s="106"/>
      <c r="O138" s="105"/>
      <c r="P138" s="106"/>
      <c r="Q138" s="108"/>
      <c r="R138" s="109" t="b">
        <v>1</v>
      </c>
      <c r="S138" s="110" t="s">
        <v>5364</v>
      </c>
      <c r="T138" s="110">
        <v>0.0</v>
      </c>
      <c r="U138" s="111" t="s">
        <v>485</v>
      </c>
      <c r="V138" s="111" t="s">
        <v>5366</v>
      </c>
      <c r="W138" s="111" t="s">
        <v>5367</v>
      </c>
      <c r="X138" s="111" t="s">
        <v>5368</v>
      </c>
      <c r="Y138" s="111" t="s">
        <v>5369</v>
      </c>
      <c r="Z138" s="111" t="s">
        <v>5370</v>
      </c>
      <c r="AA138" s="111" t="s">
        <v>5371</v>
      </c>
      <c r="AB138" s="111" t="s">
        <v>2278</v>
      </c>
      <c r="AC138" s="111" t="s">
        <v>5373</v>
      </c>
      <c r="AD138" s="112">
        <v>46030.37144675926</v>
      </c>
      <c r="AE138" s="111" t="s">
        <v>5374</v>
      </c>
      <c r="AF138" s="122"/>
      <c r="AG138" s="122"/>
      <c r="AH138" s="122"/>
    </row>
    <row r="139" ht="22.5" customHeight="1">
      <c r="A139" s="73"/>
      <c r="B139" s="73"/>
      <c r="C139" s="73"/>
      <c r="D139" s="73"/>
      <c r="E139" s="117" t="s">
        <v>5375</v>
      </c>
      <c r="F139" s="111" t="s">
        <v>5376</v>
      </c>
      <c r="G139" s="96">
        <f>IFERROR(__xludf.DUMMYFUNCTION("GOOGLEFINANCE(E139, ""price"")"),499.1)</f>
        <v>499.1</v>
      </c>
      <c r="H139" s="118"/>
      <c r="I139" s="118"/>
      <c r="J139" s="119"/>
      <c r="K139" s="120"/>
      <c r="L139" s="120"/>
      <c r="M139" s="120"/>
      <c r="N139" s="120"/>
      <c r="O139" s="118"/>
      <c r="P139" s="120"/>
      <c r="Q139" s="121"/>
      <c r="R139" s="109" t="b">
        <v>1</v>
      </c>
      <c r="S139" s="110" t="s">
        <v>5380</v>
      </c>
      <c r="T139" s="110">
        <v>0.0</v>
      </c>
      <c r="U139" s="111" t="s">
        <v>5375</v>
      </c>
      <c r="V139" s="111" t="s">
        <v>5382</v>
      </c>
      <c r="W139" s="111" t="s">
        <v>5383</v>
      </c>
      <c r="X139" s="111" t="s">
        <v>5384</v>
      </c>
      <c r="Y139" s="111" t="s">
        <v>5385</v>
      </c>
      <c r="Z139" s="111" t="s">
        <v>5386</v>
      </c>
      <c r="AA139" s="111" t="s">
        <v>5387</v>
      </c>
      <c r="AB139" s="111" t="s">
        <v>1405</v>
      </c>
      <c r="AC139" s="111" t="s">
        <v>5388</v>
      </c>
      <c r="AD139" s="112">
        <v>46030.37144675926</v>
      </c>
      <c r="AE139" s="111" t="s">
        <v>5389</v>
      </c>
      <c r="AF139" s="122"/>
      <c r="AG139" s="122"/>
      <c r="AH139" s="122"/>
    </row>
    <row r="140" ht="22.5" customHeight="1">
      <c r="A140" s="73"/>
      <c r="B140" s="73"/>
      <c r="C140" s="73"/>
      <c r="D140" s="73"/>
      <c r="E140" s="117" t="s">
        <v>5392</v>
      </c>
      <c r="F140" s="111" t="s">
        <v>5393</v>
      </c>
      <c r="G140" s="96">
        <f>IFERROR(__xludf.DUMMYFUNCTION("GOOGLEFINANCE(E140, ""price"")"),236.67)</f>
        <v>236.67</v>
      </c>
      <c r="H140" s="118"/>
      <c r="I140" s="118"/>
      <c r="J140" s="119"/>
      <c r="K140" s="120"/>
      <c r="L140" s="120"/>
      <c r="M140" s="120"/>
      <c r="N140" s="120"/>
      <c r="O140" s="118"/>
      <c r="P140" s="120"/>
      <c r="Q140" s="121"/>
      <c r="R140" s="109" t="b">
        <v>1</v>
      </c>
      <c r="S140" s="110" t="s">
        <v>5396</v>
      </c>
      <c r="T140" s="110">
        <v>0.0</v>
      </c>
      <c r="U140" s="111" t="s">
        <v>5392</v>
      </c>
      <c r="V140" s="111" t="s">
        <v>5398</v>
      </c>
      <c r="W140" s="111" t="s">
        <v>5399</v>
      </c>
      <c r="X140" s="111" t="s">
        <v>5400</v>
      </c>
      <c r="Y140" s="111" t="s">
        <v>5401</v>
      </c>
      <c r="Z140" s="111" t="s">
        <v>5402</v>
      </c>
      <c r="AA140" s="111" t="s">
        <v>5403</v>
      </c>
      <c r="AB140" s="111" t="s">
        <v>2625</v>
      </c>
      <c r="AC140" s="111" t="s">
        <v>5404</v>
      </c>
      <c r="AD140" s="112">
        <v>46030.37144675926</v>
      </c>
      <c r="AE140" s="111" t="s">
        <v>5405</v>
      </c>
      <c r="AF140" s="122"/>
      <c r="AG140" s="122"/>
      <c r="AH140" s="122"/>
    </row>
    <row r="141" ht="22.5" customHeight="1">
      <c r="A141" s="73"/>
      <c r="B141" s="73"/>
      <c r="C141" s="73"/>
      <c r="D141" s="73"/>
      <c r="E141" s="127" t="s">
        <v>5406</v>
      </c>
      <c r="F141" s="110" t="s">
        <v>5407</v>
      </c>
      <c r="G141" s="96">
        <f>IFERROR(__xludf.DUMMYFUNCTION("GOOGLEFINANCE(E141, ""price"")"),90.51)</f>
        <v>90.51</v>
      </c>
      <c r="H141" s="97">
        <f>IFERROR(__xludf.DUMMYFUNCTION("GOOGLEFINANCE(E141, ""low"")"),89.81)</f>
        <v>89.81</v>
      </c>
      <c r="I141" s="99">
        <f>IFERROR(__xludf.DUMMYFUNCTION("GOOGLEFINANCE(E141, ""high"")"),92.8)</f>
        <v>92.8</v>
      </c>
      <c r="J141" s="128"/>
      <c r="K141" s="129">
        <v>-1.59</v>
      </c>
      <c r="L141" s="129">
        <v>49.07</v>
      </c>
      <c r="M141" s="129">
        <v>15.83</v>
      </c>
      <c r="N141" s="129">
        <v>1.99</v>
      </c>
      <c r="O141" s="110" t="s">
        <v>197</v>
      </c>
      <c r="P141" s="129">
        <v>71.78</v>
      </c>
      <c r="Q141" s="130">
        <v>45875.402502303245</v>
      </c>
      <c r="R141" s="131" t="b">
        <v>1</v>
      </c>
      <c r="S141" s="110" t="s">
        <v>5410</v>
      </c>
      <c r="T141" s="110">
        <v>0.0</v>
      </c>
      <c r="U141" s="110" t="s">
        <v>5406</v>
      </c>
      <c r="V141" s="110" t="s">
        <v>5411</v>
      </c>
      <c r="W141" s="110" t="s">
        <v>5412</v>
      </c>
      <c r="X141" s="110" t="s">
        <v>5413</v>
      </c>
      <c r="Y141" s="110" t="s">
        <v>5414</v>
      </c>
      <c r="Z141" s="110" t="s">
        <v>5415</v>
      </c>
      <c r="AA141" s="110" t="s">
        <v>5416</v>
      </c>
      <c r="AB141" s="110" t="s">
        <v>3789</v>
      </c>
      <c r="AC141" s="110" t="s">
        <v>5417</v>
      </c>
      <c r="AD141" s="132">
        <v>46030.37144675926</v>
      </c>
      <c r="AE141" s="110" t="s">
        <v>5418</v>
      </c>
      <c r="AF141" s="133"/>
      <c r="AG141" s="133"/>
      <c r="AH141" s="133"/>
    </row>
    <row r="142" ht="22.5" customHeight="1">
      <c r="A142" s="73"/>
      <c r="B142" s="73"/>
      <c r="C142" s="73"/>
      <c r="D142" s="73"/>
      <c r="E142" s="110" t="s">
        <v>455</v>
      </c>
      <c r="F142" s="110" t="s">
        <v>507</v>
      </c>
      <c r="G142" s="96">
        <f>IFERROR(__xludf.DUMMYFUNCTION("GOOGLEFINANCE(E142, ""price"")"),194.95)</f>
        <v>194.95</v>
      </c>
      <c r="H142" s="97">
        <f>IFERROR(__xludf.DUMMYFUNCTION("GOOGLEFINANCE(E142, ""low"")"),188.97)</f>
        <v>188.97</v>
      </c>
      <c r="I142" s="99">
        <f>IFERROR(__xludf.DUMMYFUNCTION("GOOGLEFINANCE(E142, ""high"")"),196.92)</f>
        <v>196.92</v>
      </c>
      <c r="J142" s="144"/>
      <c r="K142" s="145"/>
      <c r="L142" s="145"/>
      <c r="M142" s="145"/>
      <c r="N142" s="145"/>
      <c r="O142" s="129"/>
      <c r="P142" s="129">
        <v>315.51</v>
      </c>
      <c r="Q142" s="130">
        <v>45707.37273732639</v>
      </c>
      <c r="R142" s="131" t="b">
        <v>1</v>
      </c>
      <c r="S142" s="110" t="s">
        <v>5420</v>
      </c>
      <c r="T142" s="110">
        <v>0.0</v>
      </c>
      <c r="U142" s="110" t="s">
        <v>455</v>
      </c>
      <c r="V142" s="110" t="s">
        <v>5421</v>
      </c>
      <c r="W142" s="110" t="s">
        <v>5422</v>
      </c>
      <c r="X142" s="110" t="s">
        <v>5423</v>
      </c>
      <c r="Y142" s="110" t="s">
        <v>5425</v>
      </c>
      <c r="Z142" s="110" t="s">
        <v>5426</v>
      </c>
      <c r="AA142" s="110" t="s">
        <v>5427</v>
      </c>
      <c r="AB142" s="110" t="s">
        <v>714</v>
      </c>
      <c r="AC142" s="110" t="s">
        <v>5428</v>
      </c>
      <c r="AD142" s="132">
        <v>46030.37144675926</v>
      </c>
      <c r="AE142" s="110" t="s">
        <v>5430</v>
      </c>
      <c r="AF142" s="110"/>
      <c r="AG142" s="110"/>
      <c r="AH142" s="110"/>
    </row>
    <row r="143" ht="22.5" customHeight="1">
      <c r="A143" s="73"/>
      <c r="B143" s="73"/>
      <c r="C143" s="73"/>
      <c r="D143" s="73"/>
      <c r="E143" s="93" t="s">
        <v>586</v>
      </c>
      <c r="F143" s="93" t="s">
        <v>587</v>
      </c>
      <c r="G143" s="96">
        <f>IFERROR(__xludf.DUMMYFUNCTION("GOOGLEFINANCE(E143, ""price"")"),77.22)</f>
        <v>77.22</v>
      </c>
      <c r="H143" s="97">
        <f>IFERROR(__xludf.DUMMYFUNCTION("GOOGLEFINANCE(E143, ""low"")"),76.03)</f>
        <v>76.03</v>
      </c>
      <c r="I143" s="99">
        <f>IFERROR(__xludf.DUMMYFUNCTION("GOOGLEFINANCE(E143, ""high"")"),78.97)</f>
        <v>78.97</v>
      </c>
      <c r="J143" s="126"/>
      <c r="K143" s="104">
        <v>24.65</v>
      </c>
      <c r="L143" s="104">
        <v>73.45</v>
      </c>
      <c r="M143" s="104">
        <v>44.84</v>
      </c>
      <c r="N143" s="104">
        <v>7.18</v>
      </c>
      <c r="O143" s="105" t="s">
        <v>588</v>
      </c>
      <c r="P143" s="104">
        <v>72.55</v>
      </c>
      <c r="Q143" s="108">
        <v>45973.399707951394</v>
      </c>
      <c r="R143" s="109" t="b">
        <v>1</v>
      </c>
      <c r="S143" s="110" t="s">
        <v>5433</v>
      </c>
      <c r="T143" s="110">
        <v>0.0</v>
      </c>
      <c r="U143" s="111" t="s">
        <v>586</v>
      </c>
      <c r="V143" s="111" t="s">
        <v>5434</v>
      </c>
      <c r="W143" s="111" t="s">
        <v>5436</v>
      </c>
      <c r="X143" s="111" t="s">
        <v>5437</v>
      </c>
      <c r="Y143" s="111" t="s">
        <v>5438</v>
      </c>
      <c r="Z143" s="111" t="s">
        <v>5439</v>
      </c>
      <c r="AA143" s="111" t="s">
        <v>5440</v>
      </c>
      <c r="AB143" s="111" t="s">
        <v>5441</v>
      </c>
      <c r="AC143" s="111" t="s">
        <v>5442</v>
      </c>
      <c r="AD143" s="112">
        <v>46030.37144675926</v>
      </c>
      <c r="AE143" s="111" t="s">
        <v>1881</v>
      </c>
      <c r="AF143" s="122"/>
      <c r="AG143" s="122"/>
      <c r="AH143" s="122"/>
    </row>
    <row r="144" ht="22.5" customHeight="1">
      <c r="A144" s="73"/>
      <c r="B144" s="73"/>
      <c r="C144" s="73"/>
      <c r="D144" s="73"/>
      <c r="E144" s="117" t="s">
        <v>5444</v>
      </c>
      <c r="F144" s="111" t="s">
        <v>5445</v>
      </c>
      <c r="G144" s="96">
        <f>IFERROR(__xludf.DUMMYFUNCTION("GOOGLEFINANCE(E144, ""price"")"),104.54)</f>
        <v>104.54</v>
      </c>
      <c r="H144" s="118"/>
      <c r="I144" s="118"/>
      <c r="J144" s="119"/>
      <c r="K144" s="120"/>
      <c r="L144" s="120"/>
      <c r="M144" s="120"/>
      <c r="N144" s="120"/>
      <c r="O144" s="118"/>
      <c r="P144" s="120"/>
      <c r="Q144" s="121"/>
      <c r="R144" s="109" t="b">
        <v>1</v>
      </c>
      <c r="S144" s="110" t="s">
        <v>5447</v>
      </c>
      <c r="T144" s="110">
        <v>0.0</v>
      </c>
      <c r="U144" s="111" t="s">
        <v>5444</v>
      </c>
      <c r="V144" s="111" t="s">
        <v>5448</v>
      </c>
      <c r="W144" s="111" t="s">
        <v>5449</v>
      </c>
      <c r="X144" s="111" t="s">
        <v>5450</v>
      </c>
      <c r="Y144" s="111" t="s">
        <v>5451</v>
      </c>
      <c r="Z144" s="111" t="s">
        <v>5452</v>
      </c>
      <c r="AA144" s="111" t="s">
        <v>5453</v>
      </c>
      <c r="AB144" s="111" t="s">
        <v>2278</v>
      </c>
      <c r="AC144" s="111" t="s">
        <v>5454</v>
      </c>
      <c r="AD144" s="112">
        <v>46181.26729166666</v>
      </c>
      <c r="AE144" s="111" t="s">
        <v>5456</v>
      </c>
      <c r="AF144" s="122"/>
      <c r="AG144" s="122"/>
      <c r="AH144" s="122"/>
    </row>
    <row r="145" ht="22.5" customHeight="1">
      <c r="A145" s="73"/>
      <c r="B145" s="73"/>
      <c r="C145" s="73"/>
      <c r="D145" s="73"/>
      <c r="E145" s="117" t="s">
        <v>270</v>
      </c>
      <c r="F145" s="111" t="s">
        <v>271</v>
      </c>
      <c r="G145" s="118"/>
      <c r="H145" s="118"/>
      <c r="I145" s="118"/>
      <c r="J145" s="119"/>
      <c r="K145" s="120"/>
      <c r="L145" s="120"/>
      <c r="M145" s="120"/>
      <c r="N145" s="120"/>
      <c r="O145" s="118"/>
      <c r="P145" s="120"/>
      <c r="Q145" s="121"/>
      <c r="R145" s="109" t="b">
        <v>1</v>
      </c>
      <c r="S145" s="110" t="s">
        <v>5457</v>
      </c>
      <c r="T145" s="110">
        <v>0.0</v>
      </c>
      <c r="U145" s="111" t="s">
        <v>270</v>
      </c>
      <c r="V145" s="111" t="s">
        <v>5458</v>
      </c>
      <c r="W145" s="111" t="s">
        <v>5459</v>
      </c>
      <c r="X145" s="111" t="s">
        <v>5460</v>
      </c>
      <c r="Y145" s="111" t="s">
        <v>5461</v>
      </c>
      <c r="Z145" s="111" t="s">
        <v>5462</v>
      </c>
      <c r="AA145" s="111" t="s">
        <v>5463</v>
      </c>
      <c r="AB145" s="111" t="s">
        <v>1473</v>
      </c>
      <c r="AC145" s="111" t="s">
        <v>5465</v>
      </c>
      <c r="AD145" s="111" t="s">
        <v>5466</v>
      </c>
      <c r="AE145" s="111" t="s">
        <v>5467</v>
      </c>
      <c r="AF145" s="122"/>
      <c r="AG145" s="122"/>
      <c r="AH145" s="122"/>
    </row>
    <row r="146" ht="22.5" customHeight="1">
      <c r="A146" s="73"/>
      <c r="B146" s="73"/>
      <c r="C146" s="73"/>
      <c r="D146" s="73"/>
      <c r="E146" s="127" t="s">
        <v>5471</v>
      </c>
      <c r="F146" s="110" t="s">
        <v>5472</v>
      </c>
      <c r="G146" s="96">
        <f>IFERROR(__xludf.DUMMYFUNCTION("GOOGLEFINANCE(E146, ""price"")"),12.64)</f>
        <v>12.64</v>
      </c>
      <c r="H146" s="97">
        <f>IFERROR(__xludf.DUMMYFUNCTION("GOOGLEFINANCE(E146, ""low"")"),12.58)</f>
        <v>12.58</v>
      </c>
      <c r="I146" s="99">
        <f>IFERROR(__xludf.DUMMYFUNCTION("GOOGLEFINANCE(E146, ""high"")"),13.17)</f>
        <v>13.17</v>
      </c>
      <c r="J146" s="128"/>
      <c r="K146" s="145"/>
      <c r="L146" s="145"/>
      <c r="M146" s="145"/>
      <c r="N146" s="145"/>
      <c r="O146" s="143"/>
      <c r="P146" s="145">
        <f>77.66</f>
        <v>77.66</v>
      </c>
      <c r="Q146" s="130">
        <v>45793.481786018514</v>
      </c>
      <c r="R146" s="131" t="b">
        <v>1</v>
      </c>
      <c r="S146" s="110" t="s">
        <v>5475</v>
      </c>
      <c r="T146" s="110">
        <v>0.0</v>
      </c>
      <c r="U146" s="110" t="s">
        <v>5471</v>
      </c>
      <c r="V146" s="110" t="s">
        <v>5476</v>
      </c>
      <c r="W146" s="110" t="s">
        <v>5478</v>
      </c>
      <c r="X146" s="110" t="s">
        <v>2645</v>
      </c>
      <c r="Y146" s="110" t="s">
        <v>5479</v>
      </c>
      <c r="Z146" s="110" t="s">
        <v>5480</v>
      </c>
      <c r="AA146" s="110" t="s">
        <v>5481</v>
      </c>
      <c r="AB146" s="110" t="s">
        <v>5482</v>
      </c>
      <c r="AC146" s="110" t="s">
        <v>5483</v>
      </c>
      <c r="AD146" s="132">
        <v>46030.37144675926</v>
      </c>
      <c r="AE146" s="110" t="s">
        <v>5484</v>
      </c>
      <c r="AF146" s="133"/>
      <c r="AG146" s="133"/>
      <c r="AH146" s="133"/>
    </row>
    <row r="147" ht="22.5" customHeight="1">
      <c r="A147" s="73"/>
      <c r="B147" s="73"/>
      <c r="C147" s="73"/>
      <c r="D147" s="73"/>
      <c r="E147" s="124" t="s">
        <v>433</v>
      </c>
      <c r="F147" s="125" t="s">
        <v>434</v>
      </c>
      <c r="G147" s="96">
        <f>IFERROR(__xludf.DUMMYFUNCTION("GOOGLEFINANCE(E147, ""price"")"),335.82)</f>
        <v>335.82</v>
      </c>
      <c r="H147" s="97">
        <f>IFERROR(__xludf.DUMMYFUNCTION("GOOGLEFINANCE(E147, ""low"")"),329.38)</f>
        <v>329.38</v>
      </c>
      <c r="I147" s="99">
        <f>IFERROR(__xludf.DUMMYFUNCTION("GOOGLEFINANCE(E147, ""high"")"),336.28)</f>
        <v>336.28</v>
      </c>
      <c r="J147" s="152"/>
      <c r="K147" s="104">
        <v>13.08</v>
      </c>
      <c r="L147" s="104">
        <v>48.27</v>
      </c>
      <c r="M147" s="104">
        <v>44.69</v>
      </c>
      <c r="N147" s="104">
        <v>17.04</v>
      </c>
      <c r="O147" s="125" t="s">
        <v>197</v>
      </c>
      <c r="P147" s="104">
        <v>352.49</v>
      </c>
      <c r="Q147" s="108">
        <v>46079.72386462963</v>
      </c>
      <c r="R147" s="109" t="b">
        <v>1</v>
      </c>
      <c r="S147" s="110" t="s">
        <v>5488</v>
      </c>
      <c r="T147" s="110">
        <v>0.0</v>
      </c>
      <c r="U147" s="111" t="s">
        <v>433</v>
      </c>
      <c r="V147" s="111" t="s">
        <v>5489</v>
      </c>
      <c r="W147" s="111" t="s">
        <v>5490</v>
      </c>
      <c r="X147" s="111" t="s">
        <v>5491</v>
      </c>
      <c r="Y147" s="111" t="s">
        <v>5492</v>
      </c>
      <c r="Z147" s="111" t="s">
        <v>5192</v>
      </c>
      <c r="AA147" s="111" t="s">
        <v>5493</v>
      </c>
      <c r="AB147" s="111" t="s">
        <v>5494</v>
      </c>
      <c r="AC147" s="111" t="s">
        <v>5495</v>
      </c>
      <c r="AD147" s="112">
        <v>46030.37144675926</v>
      </c>
      <c r="AE147" s="111" t="s">
        <v>5497</v>
      </c>
      <c r="AF147" s="122"/>
      <c r="AG147" s="122"/>
      <c r="AH147" s="122"/>
    </row>
    <row r="148" ht="22.5" customHeight="1">
      <c r="A148" s="73"/>
      <c r="B148" s="73"/>
      <c r="C148" s="73"/>
      <c r="D148" s="73"/>
      <c r="E148" s="124" t="s">
        <v>954</v>
      </c>
      <c r="F148" s="125" t="s">
        <v>955</v>
      </c>
      <c r="G148" s="96">
        <f>IFERROR(__xludf.DUMMYFUNCTION("GOOGLEFINANCE(E148, ""price"")"),5.53)</f>
        <v>5.53</v>
      </c>
      <c r="H148" s="97">
        <f>IFERROR(__xludf.DUMMYFUNCTION("GOOGLEFINANCE(E148, ""low"")"),5.5)</f>
        <v>5.5</v>
      </c>
      <c r="I148" s="99">
        <f>IFERROR(__xludf.DUMMYFUNCTION("GOOGLEFINANCE(E148, ""high"")"),5.7)</f>
        <v>5.7</v>
      </c>
      <c r="J148" s="126"/>
      <c r="K148" s="104">
        <v>0.71</v>
      </c>
      <c r="L148" s="104">
        <v>56.25</v>
      </c>
      <c r="M148" s="104">
        <v>35.21</v>
      </c>
      <c r="N148" s="104">
        <v>0.37</v>
      </c>
      <c r="O148" s="125" t="s">
        <v>197</v>
      </c>
      <c r="P148" s="104">
        <v>6.17</v>
      </c>
      <c r="Q148" s="108">
        <v>46079.41762620371</v>
      </c>
      <c r="R148" s="109" t="b">
        <v>1</v>
      </c>
      <c r="S148" s="110" t="s">
        <v>5501</v>
      </c>
      <c r="T148" s="110">
        <v>0.0</v>
      </c>
      <c r="U148" s="111" t="s">
        <v>954</v>
      </c>
      <c r="V148" s="111" t="s">
        <v>5502</v>
      </c>
      <c r="W148" s="111" t="s">
        <v>5503</v>
      </c>
      <c r="X148" s="111" t="s">
        <v>5504</v>
      </c>
      <c r="Y148" s="111" t="s">
        <v>5506</v>
      </c>
      <c r="Z148" s="111" t="s">
        <v>5507</v>
      </c>
      <c r="AA148" s="111" t="s">
        <v>5509</v>
      </c>
      <c r="AB148" s="111" t="s">
        <v>5511</v>
      </c>
      <c r="AC148" s="111" t="s">
        <v>5512</v>
      </c>
      <c r="AD148" s="112">
        <v>46030.37144675926</v>
      </c>
      <c r="AE148" s="111" t="s">
        <v>5513</v>
      </c>
      <c r="AF148" s="122"/>
      <c r="AG148" s="122"/>
      <c r="AH148" s="122"/>
    </row>
    <row r="149" ht="22.5" customHeight="1">
      <c r="A149" s="73"/>
      <c r="B149" s="73"/>
      <c r="C149" s="73"/>
      <c r="D149" s="73"/>
      <c r="E149" s="127" t="s">
        <v>166</v>
      </c>
      <c r="F149" s="110" t="s">
        <v>167</v>
      </c>
      <c r="G149" s="96">
        <f>IFERROR(__xludf.DUMMYFUNCTION("GOOGLEFINANCE(E149, ""price"")"),42.63)</f>
        <v>42.63</v>
      </c>
      <c r="H149" s="97">
        <f>IFERROR(__xludf.DUMMYFUNCTION("GOOGLEFINANCE(E149, ""low"")"),42.21)</f>
        <v>42.21</v>
      </c>
      <c r="I149" s="99">
        <f>IFERROR(__xludf.DUMMYFUNCTION("GOOGLEFINANCE(E149, ""high"")"),43.87)</f>
        <v>43.87</v>
      </c>
      <c r="J149" s="128"/>
      <c r="K149" s="129">
        <v>6.81</v>
      </c>
      <c r="L149" s="129">
        <v>72.8</v>
      </c>
      <c r="M149" s="129">
        <v>14.06</v>
      </c>
      <c r="N149" s="129" t="s">
        <v>169</v>
      </c>
      <c r="O149" s="110" t="s">
        <v>170</v>
      </c>
      <c r="P149" s="106">
        <v>28.0</v>
      </c>
      <c r="Q149" s="130">
        <v>45709.328280671296</v>
      </c>
      <c r="R149" s="131" t="b">
        <v>1</v>
      </c>
      <c r="S149" s="110" t="s">
        <v>5517</v>
      </c>
      <c r="T149" s="110">
        <v>0.0</v>
      </c>
      <c r="U149" s="110" t="s">
        <v>166</v>
      </c>
      <c r="V149" s="110" t="s">
        <v>5518</v>
      </c>
      <c r="W149" s="110" t="s">
        <v>5519</v>
      </c>
      <c r="X149" s="110" t="s">
        <v>5520</v>
      </c>
      <c r="Y149" s="110" t="s">
        <v>5521</v>
      </c>
      <c r="Z149" s="110" t="s">
        <v>5522</v>
      </c>
      <c r="AA149" s="110" t="s">
        <v>5524</v>
      </c>
      <c r="AB149" s="110" t="s">
        <v>783</v>
      </c>
      <c r="AC149" s="110" t="s">
        <v>5526</v>
      </c>
      <c r="AD149" s="132">
        <v>46030.37144675926</v>
      </c>
      <c r="AE149" s="110" t="s">
        <v>5527</v>
      </c>
      <c r="AF149" s="133"/>
      <c r="AG149" s="133"/>
      <c r="AH149" s="133"/>
    </row>
    <row r="150" ht="22.5" customHeight="1">
      <c r="A150" s="73"/>
      <c r="B150" s="73"/>
      <c r="C150" s="73"/>
      <c r="D150" s="73"/>
      <c r="E150" s="124" t="s">
        <v>350</v>
      </c>
      <c r="F150" s="125" t="s">
        <v>5531</v>
      </c>
      <c r="G150" s="96">
        <f>IFERROR(__xludf.DUMMYFUNCTION("GOOGLEFINANCE(E150, ""price"")"),69.67)</f>
        <v>69.67</v>
      </c>
      <c r="H150" s="97">
        <f>IFERROR(__xludf.DUMMYFUNCTION("GOOGLEFINANCE(E150, ""low"")"),68.55)</f>
        <v>68.55</v>
      </c>
      <c r="I150" s="99">
        <f>IFERROR(__xludf.DUMMYFUNCTION("GOOGLEFINANCE(E150, ""high"")"),69.74)</f>
        <v>69.74</v>
      </c>
      <c r="J150" s="126" t="s">
        <v>282</v>
      </c>
      <c r="K150" s="104">
        <v>1.76</v>
      </c>
      <c r="L150" s="104">
        <v>40.97</v>
      </c>
      <c r="M150" s="104">
        <v>38.46</v>
      </c>
      <c r="N150" s="104">
        <v>2.42</v>
      </c>
      <c r="O150" s="125" t="s">
        <v>5535</v>
      </c>
      <c r="P150" s="104">
        <v>72.77</v>
      </c>
      <c r="Q150" s="108">
        <v>46079.29971739583</v>
      </c>
      <c r="R150" s="109" t="b">
        <v>1</v>
      </c>
      <c r="S150" s="110" t="s">
        <v>5536</v>
      </c>
      <c r="T150" s="110">
        <v>0.0</v>
      </c>
      <c r="U150" s="111" t="s">
        <v>350</v>
      </c>
      <c r="V150" s="111" t="s">
        <v>5537</v>
      </c>
      <c r="W150" s="111" t="s">
        <v>5538</v>
      </c>
      <c r="X150" s="111" t="s">
        <v>5539</v>
      </c>
      <c r="Y150" s="111" t="s">
        <v>5540</v>
      </c>
      <c r="Z150" s="111" t="s">
        <v>2916</v>
      </c>
      <c r="AA150" s="111" t="s">
        <v>5541</v>
      </c>
      <c r="AB150" s="111" t="s">
        <v>2460</v>
      </c>
      <c r="AC150" s="111" t="s">
        <v>5542</v>
      </c>
      <c r="AD150" s="112">
        <v>46030.37144675926</v>
      </c>
      <c r="AE150" s="111" t="s">
        <v>5544</v>
      </c>
      <c r="AF150" s="122"/>
      <c r="AG150" s="122"/>
      <c r="AH150" s="122"/>
    </row>
    <row r="151" ht="22.5" customHeight="1">
      <c r="A151" s="73"/>
      <c r="B151" s="73"/>
      <c r="C151" s="73"/>
      <c r="D151" s="73"/>
      <c r="E151" s="127" t="s">
        <v>1249</v>
      </c>
      <c r="F151" s="110" t="s">
        <v>1250</v>
      </c>
      <c r="G151" s="96">
        <f>IFERROR(__xludf.DUMMYFUNCTION("GOOGLEFINANCE(E151, ""price"")"),371.15)</f>
        <v>371.15</v>
      </c>
      <c r="H151" s="97">
        <f>IFERROR(__xludf.DUMMYFUNCTION("GOOGLEFINANCE(E151, ""low"")"),366.0)</f>
        <v>366</v>
      </c>
      <c r="I151" s="99">
        <f>IFERROR(__xludf.DUMMYFUNCTION("GOOGLEFINANCE(E151, ""high"")"),372.61)</f>
        <v>372.61</v>
      </c>
      <c r="J151" s="144"/>
      <c r="K151" s="145"/>
      <c r="L151" s="145"/>
      <c r="M151" s="145"/>
      <c r="N151" s="145"/>
      <c r="O151" s="143"/>
      <c r="P151" s="129">
        <v>282.77</v>
      </c>
      <c r="Q151" s="130">
        <v>45793.54257520833</v>
      </c>
      <c r="R151" s="131" t="b">
        <v>1</v>
      </c>
      <c r="S151" s="110" t="s">
        <v>5549</v>
      </c>
      <c r="T151" s="110">
        <v>0.0</v>
      </c>
      <c r="U151" s="110" t="s">
        <v>1249</v>
      </c>
      <c r="V151" s="110" t="s">
        <v>5550</v>
      </c>
      <c r="W151" s="110" t="s">
        <v>1374</v>
      </c>
      <c r="X151" s="110" t="s">
        <v>5551</v>
      </c>
      <c r="Y151" s="110" t="s">
        <v>5552</v>
      </c>
      <c r="Z151" s="110" t="s">
        <v>5553</v>
      </c>
      <c r="AA151" s="110" t="s">
        <v>5554</v>
      </c>
      <c r="AB151" s="110" t="s">
        <v>5555</v>
      </c>
      <c r="AC151" s="110" t="s">
        <v>5556</v>
      </c>
      <c r="AD151" s="132">
        <v>46030.37144675926</v>
      </c>
      <c r="AE151" s="110" t="s">
        <v>1969</v>
      </c>
      <c r="AF151" s="133"/>
      <c r="AG151" s="133"/>
      <c r="AH151" s="133"/>
    </row>
    <row r="152" ht="22.5" customHeight="1">
      <c r="A152" s="73"/>
      <c r="B152" s="73"/>
      <c r="C152" s="73"/>
      <c r="D152" s="73"/>
      <c r="E152" s="117" t="s">
        <v>5559</v>
      </c>
      <c r="F152" s="111" t="s">
        <v>5560</v>
      </c>
      <c r="G152" s="96">
        <f>IFERROR(__xludf.DUMMYFUNCTION("GOOGLEFINANCE(E152, ""price"")"),96.63)</f>
        <v>96.63</v>
      </c>
      <c r="H152" s="118"/>
      <c r="I152" s="118"/>
      <c r="J152" s="119"/>
      <c r="K152" s="120"/>
      <c r="L152" s="120"/>
      <c r="M152" s="120"/>
      <c r="N152" s="120"/>
      <c r="O152" s="118"/>
      <c r="P152" s="120"/>
      <c r="Q152" s="121"/>
      <c r="R152" s="109" t="b">
        <v>1</v>
      </c>
      <c r="S152" s="110" t="s">
        <v>5563</v>
      </c>
      <c r="T152" s="110">
        <v>0.0</v>
      </c>
      <c r="U152" s="111" t="s">
        <v>5559</v>
      </c>
      <c r="V152" s="111" t="s">
        <v>5564</v>
      </c>
      <c r="W152" s="111" t="s">
        <v>5565</v>
      </c>
      <c r="X152" s="111" t="s">
        <v>5566</v>
      </c>
      <c r="Y152" s="111" t="s">
        <v>5567</v>
      </c>
      <c r="Z152" s="111" t="s">
        <v>5569</v>
      </c>
      <c r="AA152" s="111" t="s">
        <v>3234</v>
      </c>
      <c r="AB152" s="111" t="s">
        <v>4409</v>
      </c>
      <c r="AC152" s="111" t="s">
        <v>5574</v>
      </c>
      <c r="AD152" s="111" t="s">
        <v>5575</v>
      </c>
      <c r="AE152" s="111" t="s">
        <v>5577</v>
      </c>
      <c r="AF152" s="122"/>
      <c r="AG152" s="122"/>
      <c r="AH152" s="122"/>
    </row>
    <row r="153" ht="22.5" customHeight="1">
      <c r="A153" s="73"/>
      <c r="B153" s="73"/>
      <c r="C153" s="73"/>
      <c r="D153" s="73"/>
      <c r="E153" s="125" t="s">
        <v>5578</v>
      </c>
      <c r="F153" s="125" t="s">
        <v>5558</v>
      </c>
      <c r="G153" s="96">
        <f>IFERROR(__xludf.DUMMYFUNCTION("GOOGLEFINANCE(E153, ""price"")"),24.94)</f>
        <v>24.94</v>
      </c>
      <c r="H153" s="97">
        <f>IFERROR(__xludf.DUMMYFUNCTION("GOOGLEFINANCE(E153, ""low"")"),24.94)</f>
        <v>24.94</v>
      </c>
      <c r="I153" s="99">
        <f>IFERROR(__xludf.DUMMYFUNCTION("GOOGLEFINANCE(E153, ""high"")"),26.19)</f>
        <v>26.19</v>
      </c>
      <c r="J153" s="126"/>
      <c r="K153" s="104">
        <v>3.89</v>
      </c>
      <c r="L153" s="104">
        <v>55.28</v>
      </c>
      <c r="M153" s="104">
        <v>10.3</v>
      </c>
      <c r="N153" s="104">
        <v>2.72</v>
      </c>
      <c r="O153" s="125" t="s">
        <v>1339</v>
      </c>
      <c r="P153" s="104">
        <v>62.23</v>
      </c>
      <c r="Q153" s="108">
        <v>45912.09860583334</v>
      </c>
      <c r="R153" s="109" t="b">
        <v>1</v>
      </c>
      <c r="S153" s="110" t="s">
        <v>5581</v>
      </c>
      <c r="T153" s="110">
        <v>0.0</v>
      </c>
      <c r="U153" s="111" t="s">
        <v>5578</v>
      </c>
      <c r="V153" s="111" t="s">
        <v>5582</v>
      </c>
      <c r="W153" s="111" t="s">
        <v>3482</v>
      </c>
      <c r="X153" s="111" t="s">
        <v>5583</v>
      </c>
      <c r="Y153" s="111" t="s">
        <v>5584</v>
      </c>
      <c r="Z153" s="111" t="s">
        <v>5585</v>
      </c>
      <c r="AA153" s="111" t="s">
        <v>5586</v>
      </c>
      <c r="AB153" s="111" t="s">
        <v>1352</v>
      </c>
      <c r="AC153" s="111" t="s">
        <v>5587</v>
      </c>
      <c r="AD153" s="112">
        <v>46030.37144675926</v>
      </c>
      <c r="AE153" s="111" t="s">
        <v>5588</v>
      </c>
      <c r="AF153" s="122"/>
      <c r="AG153" s="122"/>
      <c r="AH153" s="122"/>
    </row>
    <row r="154" ht="22.5" customHeight="1">
      <c r="A154" s="73"/>
      <c r="B154" s="73"/>
      <c r="C154" s="73"/>
      <c r="D154" s="73"/>
      <c r="E154" s="127" t="s">
        <v>1152</v>
      </c>
      <c r="F154" s="110" t="s">
        <v>1153</v>
      </c>
      <c r="G154" s="96">
        <f>IFERROR(__xludf.DUMMYFUNCTION("GOOGLEFINANCE(E154, ""price"")"),363.5)</f>
        <v>363.5</v>
      </c>
      <c r="H154" s="97">
        <f>IFERROR(__xludf.DUMMYFUNCTION("GOOGLEFINANCE(E154, ""low"")"),360.0)</f>
        <v>360</v>
      </c>
      <c r="I154" s="99">
        <f>IFERROR(__xludf.DUMMYFUNCTION("GOOGLEFINANCE(E154, ""high"")"),366.33)</f>
        <v>366.33</v>
      </c>
      <c r="J154" s="128"/>
      <c r="K154" s="145"/>
      <c r="L154" s="145"/>
      <c r="M154" s="145"/>
      <c r="N154" s="145"/>
      <c r="O154" s="143"/>
      <c r="P154" s="104">
        <v>351.99</v>
      </c>
      <c r="Q154" s="130">
        <v>45721.7049833912</v>
      </c>
      <c r="R154" s="131" t="b">
        <v>1</v>
      </c>
      <c r="S154" s="110" t="s">
        <v>5592</v>
      </c>
      <c r="T154" s="110">
        <v>0.0</v>
      </c>
      <c r="U154" s="110" t="s">
        <v>1152</v>
      </c>
      <c r="V154" s="110" t="s">
        <v>5593</v>
      </c>
      <c r="W154" s="110" t="s">
        <v>5594</v>
      </c>
      <c r="X154" s="110" t="s">
        <v>5595</v>
      </c>
      <c r="Y154" s="110" t="s">
        <v>5596</v>
      </c>
      <c r="Z154" s="110" t="s">
        <v>5597</v>
      </c>
      <c r="AA154" s="110" t="s">
        <v>5598</v>
      </c>
      <c r="AB154" s="110" t="s">
        <v>2035</v>
      </c>
      <c r="AC154" s="110" t="s">
        <v>5599</v>
      </c>
      <c r="AD154" s="132">
        <v>46030.37144675926</v>
      </c>
      <c r="AE154" s="110" t="s">
        <v>5600</v>
      </c>
      <c r="AF154" s="133"/>
      <c r="AG154" s="133"/>
      <c r="AH154" s="133"/>
    </row>
    <row r="155" ht="22.5" customHeight="1">
      <c r="A155" s="73"/>
      <c r="B155" s="73"/>
      <c r="C155" s="73"/>
      <c r="D155" s="73"/>
      <c r="E155" s="117" t="s">
        <v>5602</v>
      </c>
      <c r="F155" s="103" t="s">
        <v>5603</v>
      </c>
      <c r="G155" s="96">
        <f>IFERROR(__xludf.DUMMYFUNCTION("GOOGLEFINANCE(E155, ""price"")"),379.85)</f>
        <v>379.85</v>
      </c>
      <c r="H155" s="118"/>
      <c r="I155" s="118"/>
      <c r="J155" s="119"/>
      <c r="K155" s="120"/>
      <c r="L155" s="120"/>
      <c r="M155" s="120"/>
      <c r="N155" s="120"/>
      <c r="O155" s="118"/>
      <c r="P155" s="120"/>
      <c r="Q155" s="121"/>
      <c r="R155" s="109" t="b">
        <v>1</v>
      </c>
      <c r="S155" s="110" t="s">
        <v>5605</v>
      </c>
      <c r="T155" s="110">
        <v>0.0</v>
      </c>
      <c r="U155" s="111" t="s">
        <v>5602</v>
      </c>
      <c r="V155" s="111" t="s">
        <v>5606</v>
      </c>
      <c r="W155" s="111" t="s">
        <v>5607</v>
      </c>
      <c r="X155" s="111" t="s">
        <v>5608</v>
      </c>
      <c r="Y155" s="111" t="s">
        <v>5609</v>
      </c>
      <c r="Z155" s="111" t="s">
        <v>5610</v>
      </c>
      <c r="AA155" s="111" t="s">
        <v>5611</v>
      </c>
      <c r="AB155" s="111" t="s">
        <v>5612</v>
      </c>
      <c r="AC155" s="111" t="s">
        <v>5613</v>
      </c>
      <c r="AD155" s="111" t="s">
        <v>2005</v>
      </c>
      <c r="AE155" s="111" t="s">
        <v>5614</v>
      </c>
      <c r="AF155" s="122"/>
      <c r="AG155" s="122"/>
      <c r="AH155" s="122"/>
    </row>
    <row r="156" ht="22.5" customHeight="1">
      <c r="A156" s="73"/>
      <c r="B156" s="73"/>
      <c r="C156" s="73"/>
      <c r="D156" s="73"/>
      <c r="E156" s="124" t="s">
        <v>2057</v>
      </c>
      <c r="F156" s="125" t="s">
        <v>2060</v>
      </c>
      <c r="G156" s="96">
        <f>IFERROR(__xludf.DUMMYFUNCTION("GOOGLEFINANCE(E156, ""price"")"),172.24)</f>
        <v>172.24</v>
      </c>
      <c r="H156" s="97">
        <f>IFERROR(__xludf.DUMMYFUNCTION("GOOGLEFINANCE(E156, ""low"")"),169.62)</f>
        <v>169.62</v>
      </c>
      <c r="I156" s="99">
        <f>IFERROR(__xludf.DUMMYFUNCTION("GOOGLEFINANCE(E156, ""high"")"),172.45)</f>
        <v>172.45</v>
      </c>
      <c r="J156" s="126"/>
      <c r="K156" s="104">
        <v>21.23</v>
      </c>
      <c r="L156" s="104">
        <v>50.64</v>
      </c>
      <c r="M156" s="104">
        <v>33.55</v>
      </c>
      <c r="N156" s="104">
        <v>6.95</v>
      </c>
      <c r="O156" s="125" t="s">
        <v>2061</v>
      </c>
      <c r="P156" s="104">
        <v>195.0</v>
      </c>
      <c r="Q156" s="108">
        <v>46079.42712140046</v>
      </c>
      <c r="R156" s="109" t="b">
        <v>1</v>
      </c>
      <c r="S156" s="110" t="s">
        <v>5616</v>
      </c>
      <c r="T156" s="110">
        <v>0.0</v>
      </c>
      <c r="U156" s="111" t="s">
        <v>2057</v>
      </c>
      <c r="V156" s="111" t="s">
        <v>5618</v>
      </c>
      <c r="W156" s="111" t="s">
        <v>5619</v>
      </c>
      <c r="X156" s="111" t="s">
        <v>5620</v>
      </c>
      <c r="Y156" s="111" t="s">
        <v>5621</v>
      </c>
      <c r="Z156" s="111" t="s">
        <v>5622</v>
      </c>
      <c r="AA156" s="111" t="s">
        <v>5623</v>
      </c>
      <c r="AB156" s="111" t="s">
        <v>641</v>
      </c>
      <c r="AC156" s="111" t="s">
        <v>5624</v>
      </c>
      <c r="AD156" s="112">
        <v>46030.37144675926</v>
      </c>
      <c r="AE156" s="111" t="s">
        <v>5625</v>
      </c>
      <c r="AF156" s="122"/>
      <c r="AG156" s="122"/>
      <c r="AH156" s="122"/>
    </row>
    <row r="157" ht="22.5" customHeight="1">
      <c r="A157" s="73"/>
      <c r="B157" s="73"/>
      <c r="C157" s="73"/>
      <c r="D157" s="73"/>
      <c r="E157" s="117" t="s">
        <v>2129</v>
      </c>
      <c r="F157" s="111" t="s">
        <v>2130</v>
      </c>
      <c r="G157" s="96">
        <f>IFERROR(__xludf.DUMMYFUNCTION("GOOGLEFINANCE(E157, ""price"")"),46.96)</f>
        <v>46.96</v>
      </c>
      <c r="H157" s="118"/>
      <c r="I157" s="118"/>
      <c r="J157" s="119"/>
      <c r="K157" s="120"/>
      <c r="L157" s="120"/>
      <c r="M157" s="120"/>
      <c r="N157" s="120"/>
      <c r="O157" s="118"/>
      <c r="P157" s="120"/>
      <c r="Q157" s="121"/>
      <c r="R157" s="109" t="b">
        <v>1</v>
      </c>
      <c r="S157" s="110" t="s">
        <v>5628</v>
      </c>
      <c r="T157" s="110">
        <v>0.0</v>
      </c>
      <c r="U157" s="111" t="s">
        <v>2129</v>
      </c>
      <c r="V157" s="111" t="s">
        <v>5629</v>
      </c>
      <c r="W157" s="111" t="s">
        <v>5630</v>
      </c>
      <c r="X157" s="111" t="s">
        <v>2145</v>
      </c>
      <c r="Y157" s="111" t="s">
        <v>5631</v>
      </c>
      <c r="Z157" s="111" t="s">
        <v>5633</v>
      </c>
      <c r="AA157" s="111" t="s">
        <v>1746</v>
      </c>
      <c r="AB157" s="111" t="s">
        <v>5634</v>
      </c>
      <c r="AC157" s="111" t="s">
        <v>5635</v>
      </c>
      <c r="AD157" s="112">
        <v>46030.37144675926</v>
      </c>
      <c r="AE157" s="111" t="s">
        <v>5636</v>
      </c>
      <c r="AF157" s="122"/>
      <c r="AG157" s="122"/>
      <c r="AH157" s="122"/>
    </row>
    <row r="158" ht="22.5" customHeight="1">
      <c r="A158" s="73"/>
      <c r="B158" s="73"/>
      <c r="C158" s="73"/>
      <c r="D158" s="73"/>
      <c r="E158" s="325" t="s">
        <v>5638</v>
      </c>
      <c r="F158" s="325" t="s">
        <v>5639</v>
      </c>
      <c r="G158" s="96" t="str">
        <f>IFERROR(__xludf.DUMMYFUNCTION("GOOGLEFINANCE(E158, ""price"")"),"#N/A")</f>
        <v>#N/A</v>
      </c>
      <c r="H158" s="97" t="str">
        <f>IFERROR(__xludf.DUMMYFUNCTION("GOOGLEFINANCE(E158, ""low"")"),"#N/A")</f>
        <v>#N/A</v>
      </c>
      <c r="I158" s="99" t="str">
        <f>IFERROR(__xludf.DUMMYFUNCTION("GOOGLEFINANCE(E158, ""high"")"),"#N/A")</f>
        <v>#N/A</v>
      </c>
      <c r="J158" s="128"/>
      <c r="K158" s="129">
        <v>2.55</v>
      </c>
      <c r="L158" s="129">
        <v>65.37</v>
      </c>
      <c r="M158" s="129">
        <v>12.62</v>
      </c>
      <c r="N158" s="129">
        <v>1.95</v>
      </c>
      <c r="O158" s="129" t="s">
        <v>170</v>
      </c>
      <c r="P158" s="129">
        <v>100.35</v>
      </c>
      <c r="Q158" s="130">
        <v>45812.259509745374</v>
      </c>
      <c r="R158" s="131" t="b">
        <v>1</v>
      </c>
      <c r="S158" s="110" t="s">
        <v>5640</v>
      </c>
      <c r="T158" s="110">
        <v>0.0</v>
      </c>
      <c r="U158" s="110" t="s">
        <v>5638</v>
      </c>
      <c r="V158" s="110" t="s">
        <v>5641</v>
      </c>
      <c r="W158" s="110" t="s">
        <v>1977</v>
      </c>
      <c r="X158" s="110" t="s">
        <v>5642</v>
      </c>
      <c r="Y158" s="110" t="s">
        <v>5643</v>
      </c>
      <c r="Z158" s="110" t="s">
        <v>5644</v>
      </c>
      <c r="AA158" s="110" t="s">
        <v>3311</v>
      </c>
      <c r="AB158" s="110" t="s">
        <v>1235</v>
      </c>
      <c r="AC158" s="110" t="s">
        <v>5645</v>
      </c>
      <c r="AD158" s="132">
        <v>46030.37144675926</v>
      </c>
      <c r="AE158" s="110" t="s">
        <v>5648</v>
      </c>
      <c r="AF158" s="133"/>
      <c r="AG158" s="133"/>
      <c r="AH158" s="133"/>
    </row>
    <row r="159" ht="22.5" customHeight="1">
      <c r="A159" s="73"/>
      <c r="B159" s="73"/>
      <c r="C159" s="73"/>
      <c r="D159" s="73"/>
      <c r="E159" s="117" t="s">
        <v>1115</v>
      </c>
      <c r="F159" s="111" t="s">
        <v>5650</v>
      </c>
      <c r="G159" s="96">
        <f>IFERROR(__xludf.DUMMYFUNCTION("GOOGLEFINANCE(E159, ""price"")"),161.5)</f>
        <v>161.5</v>
      </c>
      <c r="H159" s="118"/>
      <c r="I159" s="118"/>
      <c r="J159" s="119"/>
      <c r="K159" s="120"/>
      <c r="L159" s="120"/>
      <c r="M159" s="120"/>
      <c r="N159" s="120"/>
      <c r="O159" s="118"/>
      <c r="P159" s="120"/>
      <c r="Q159" s="121"/>
      <c r="R159" s="109" t="b">
        <v>1</v>
      </c>
      <c r="S159" s="110" t="s">
        <v>5651</v>
      </c>
      <c r="T159" s="110">
        <v>0.0</v>
      </c>
      <c r="U159" s="111" t="s">
        <v>1115</v>
      </c>
      <c r="V159" s="111" t="s">
        <v>5652</v>
      </c>
      <c r="W159" s="111" t="s">
        <v>251</v>
      </c>
      <c r="X159" s="111" t="s">
        <v>5653</v>
      </c>
      <c r="Y159" s="111" t="s">
        <v>5655</v>
      </c>
      <c r="Z159" s="111" t="s">
        <v>5656</v>
      </c>
      <c r="AA159" s="111" t="s">
        <v>5658</v>
      </c>
      <c r="AB159" s="111" t="s">
        <v>265</v>
      </c>
      <c r="AC159" s="111" t="s">
        <v>5659</v>
      </c>
      <c r="AD159" s="111" t="s">
        <v>2005</v>
      </c>
      <c r="AE159" s="111" t="s">
        <v>1130</v>
      </c>
      <c r="AF159" s="122"/>
      <c r="AG159" s="122"/>
      <c r="AH159" s="122"/>
    </row>
    <row r="160" ht="22.5" customHeight="1">
      <c r="A160" s="73"/>
      <c r="B160" s="73"/>
      <c r="C160" s="73"/>
      <c r="D160" s="73"/>
      <c r="E160" s="117" t="s">
        <v>5660</v>
      </c>
      <c r="F160" s="111" t="s">
        <v>5661</v>
      </c>
      <c r="G160" s="96">
        <f>IFERROR(__xludf.DUMMYFUNCTION("GOOGLEFINANCE(E160, ""price"")"),92.74)</f>
        <v>92.74</v>
      </c>
      <c r="H160" s="118"/>
      <c r="I160" s="118"/>
      <c r="J160" s="119"/>
      <c r="K160" s="120"/>
      <c r="L160" s="120"/>
      <c r="M160" s="120"/>
      <c r="N160" s="120"/>
      <c r="O160" s="118"/>
      <c r="P160" s="120"/>
      <c r="Q160" s="121"/>
      <c r="R160" s="109" t="b">
        <v>1</v>
      </c>
      <c r="S160" s="110" t="s">
        <v>5662</v>
      </c>
      <c r="T160" s="110">
        <v>0.0</v>
      </c>
      <c r="U160" s="111" t="s">
        <v>5660</v>
      </c>
      <c r="V160" s="111" t="s">
        <v>5664</v>
      </c>
      <c r="W160" s="111" t="s">
        <v>5665</v>
      </c>
      <c r="X160" s="111" t="s">
        <v>5666</v>
      </c>
      <c r="Y160" s="111" t="s">
        <v>5667</v>
      </c>
      <c r="Z160" s="111" t="s">
        <v>5668</v>
      </c>
      <c r="AA160" s="111" t="s">
        <v>4061</v>
      </c>
      <c r="AB160" s="111" t="s">
        <v>2278</v>
      </c>
      <c r="AC160" s="111" t="s">
        <v>5669</v>
      </c>
      <c r="AD160" s="112">
        <v>46030.37144675926</v>
      </c>
      <c r="AE160" s="111" t="s">
        <v>5670</v>
      </c>
      <c r="AF160" s="122"/>
      <c r="AG160" s="122"/>
      <c r="AH160" s="122"/>
    </row>
    <row r="161" ht="22.5" customHeight="1">
      <c r="A161" s="73"/>
      <c r="B161" s="73"/>
      <c r="C161" s="73"/>
      <c r="D161" s="73"/>
      <c r="E161" s="117" t="s">
        <v>5671</v>
      </c>
      <c r="F161" s="111" t="s">
        <v>5672</v>
      </c>
      <c r="G161" s="96">
        <f>IFERROR(__xludf.DUMMYFUNCTION("GOOGLEFINANCE(E161, ""price"")"),337.8)</f>
        <v>337.8</v>
      </c>
      <c r="H161" s="118"/>
      <c r="I161" s="118"/>
      <c r="J161" s="119"/>
      <c r="K161" s="120"/>
      <c r="L161" s="120"/>
      <c r="M161" s="120"/>
      <c r="N161" s="120"/>
      <c r="O161" s="118"/>
      <c r="P161" s="120"/>
      <c r="Q161" s="121"/>
      <c r="R161" s="109" t="b">
        <v>1</v>
      </c>
      <c r="S161" s="110" t="s">
        <v>5674</v>
      </c>
      <c r="T161" s="110">
        <v>0.0</v>
      </c>
      <c r="U161" s="111" t="s">
        <v>5671</v>
      </c>
      <c r="V161" s="111" t="s">
        <v>5675</v>
      </c>
      <c r="W161" s="111" t="s">
        <v>5676</v>
      </c>
      <c r="X161" s="111" t="s">
        <v>5677</v>
      </c>
      <c r="Y161" s="111" t="s">
        <v>5678</v>
      </c>
      <c r="Z161" s="111" t="s">
        <v>5679</v>
      </c>
      <c r="AA161" s="111" t="s">
        <v>5680</v>
      </c>
      <c r="AB161" s="111" t="s">
        <v>569</v>
      </c>
      <c r="AC161" s="111" t="s">
        <v>5682</v>
      </c>
      <c r="AD161" s="111" t="s">
        <v>5683</v>
      </c>
      <c r="AE161" s="111" t="s">
        <v>5684</v>
      </c>
      <c r="AF161" s="122"/>
      <c r="AG161" s="122"/>
      <c r="AH161" s="122"/>
    </row>
    <row r="162" ht="22.5" customHeight="1">
      <c r="A162" s="73"/>
      <c r="B162" s="73"/>
      <c r="C162" s="73"/>
      <c r="D162" s="73"/>
      <c r="E162" s="117" t="s">
        <v>5686</v>
      </c>
      <c r="F162" s="111" t="s">
        <v>5687</v>
      </c>
      <c r="G162" s="96">
        <f>IFERROR(__xludf.DUMMYFUNCTION("GOOGLEFINANCE(E162, ""price"")"),939.4)</f>
        <v>939.4</v>
      </c>
      <c r="H162" s="118"/>
      <c r="I162" s="118"/>
      <c r="J162" s="119"/>
      <c r="K162" s="120"/>
      <c r="L162" s="120"/>
      <c r="M162" s="120"/>
      <c r="N162" s="120"/>
      <c r="O162" s="118"/>
      <c r="P162" s="120"/>
      <c r="Q162" s="121"/>
      <c r="R162" s="109" t="b">
        <v>1</v>
      </c>
      <c r="S162" s="110" t="s">
        <v>5688</v>
      </c>
      <c r="T162" s="110">
        <v>0.0</v>
      </c>
      <c r="U162" s="111" t="s">
        <v>5686</v>
      </c>
      <c r="V162" s="111" t="s">
        <v>5689</v>
      </c>
      <c r="W162" s="111" t="s">
        <v>5690</v>
      </c>
      <c r="X162" s="111" t="s">
        <v>5691</v>
      </c>
      <c r="Y162" s="111" t="s">
        <v>5693</v>
      </c>
      <c r="Z162" s="111" t="s">
        <v>5695</v>
      </c>
      <c r="AA162" s="111" t="s">
        <v>5696</v>
      </c>
      <c r="AB162" s="111" t="s">
        <v>5697</v>
      </c>
      <c r="AC162" s="111" t="s">
        <v>5698</v>
      </c>
      <c r="AD162" s="111" t="s">
        <v>5683</v>
      </c>
      <c r="AE162" s="111" t="s">
        <v>5699</v>
      </c>
      <c r="AF162" s="122"/>
      <c r="AG162" s="122"/>
      <c r="AH162" s="122"/>
    </row>
    <row r="163" ht="22.5" customHeight="1">
      <c r="A163" s="73"/>
      <c r="B163" s="73"/>
      <c r="C163" s="73"/>
      <c r="D163" s="73"/>
      <c r="E163" s="117" t="s">
        <v>5701</v>
      </c>
      <c r="F163" s="111" t="s">
        <v>5701</v>
      </c>
      <c r="G163" s="96">
        <f>IFERROR(__xludf.DUMMYFUNCTION("GOOGLEFINANCE(E163, ""price"")"),193.27)</f>
        <v>193.27</v>
      </c>
      <c r="H163" s="118"/>
      <c r="I163" s="118"/>
      <c r="J163" s="119"/>
      <c r="K163" s="120"/>
      <c r="L163" s="120"/>
      <c r="M163" s="120"/>
      <c r="N163" s="120"/>
      <c r="O163" s="118"/>
      <c r="P163" s="120"/>
      <c r="Q163" s="121"/>
      <c r="R163" s="109" t="b">
        <v>1</v>
      </c>
      <c r="S163" s="110" t="s">
        <v>5702</v>
      </c>
      <c r="T163" s="110">
        <v>0.0</v>
      </c>
      <c r="U163" s="111" t="s">
        <v>5701</v>
      </c>
      <c r="V163" s="111" t="s">
        <v>5703</v>
      </c>
      <c r="W163" s="111" t="s">
        <v>5704</v>
      </c>
      <c r="X163" s="111" t="s">
        <v>5705</v>
      </c>
      <c r="Y163" s="111" t="s">
        <v>5706</v>
      </c>
      <c r="Z163" s="111" t="s">
        <v>5708</v>
      </c>
      <c r="AA163" s="111" t="s">
        <v>2918</v>
      </c>
      <c r="AB163" s="111" t="s">
        <v>370</v>
      </c>
      <c r="AC163" s="111" t="s">
        <v>5709</v>
      </c>
      <c r="AD163" s="111" t="s">
        <v>5683</v>
      </c>
      <c r="AE163" s="111" t="s">
        <v>5710</v>
      </c>
      <c r="AF163" s="122"/>
      <c r="AG163" s="122"/>
      <c r="AH163" s="122"/>
    </row>
    <row r="164" ht="22.5" customHeight="1">
      <c r="A164" s="73"/>
      <c r="B164" s="73"/>
      <c r="C164" s="73"/>
      <c r="D164" s="73"/>
      <c r="E164" s="117" t="s">
        <v>5711</v>
      </c>
      <c r="F164" s="111" t="s">
        <v>5712</v>
      </c>
      <c r="G164" s="96">
        <f>IFERROR(__xludf.DUMMYFUNCTION("GOOGLEFINANCE(E164, ""price"")"),447.47)</f>
        <v>447.47</v>
      </c>
      <c r="H164" s="118"/>
      <c r="I164" s="118"/>
      <c r="J164" s="119"/>
      <c r="K164" s="120"/>
      <c r="L164" s="120"/>
      <c r="M164" s="120"/>
      <c r="N164" s="120"/>
      <c r="O164" s="118"/>
      <c r="P164" s="120"/>
      <c r="Q164" s="121"/>
      <c r="R164" s="109" t="b">
        <v>1</v>
      </c>
      <c r="S164" s="110" t="s">
        <v>5714</v>
      </c>
      <c r="T164" s="110">
        <v>0.0</v>
      </c>
      <c r="U164" s="111" t="s">
        <v>5711</v>
      </c>
      <c r="V164" s="111" t="s">
        <v>5716</v>
      </c>
      <c r="W164" s="111" t="s">
        <v>5717</v>
      </c>
      <c r="X164" s="111" t="s">
        <v>5718</v>
      </c>
      <c r="Y164" s="111" t="s">
        <v>5719</v>
      </c>
      <c r="Z164" s="111" t="s">
        <v>5721</v>
      </c>
      <c r="AA164" s="111" t="s">
        <v>5722</v>
      </c>
      <c r="AB164" s="111" t="s">
        <v>702</v>
      </c>
      <c r="AC164" s="111" t="s">
        <v>5723</v>
      </c>
      <c r="AD164" s="111" t="s">
        <v>5683</v>
      </c>
      <c r="AE164" s="111" t="s">
        <v>5724</v>
      </c>
      <c r="AF164" s="122"/>
      <c r="AG164" s="122"/>
      <c r="AH164" s="122"/>
    </row>
    <row r="165" ht="22.5" customHeight="1">
      <c r="A165" s="73"/>
      <c r="B165" s="73"/>
      <c r="C165" s="73"/>
      <c r="D165" s="73"/>
      <c r="E165" s="117" t="s">
        <v>5725</v>
      </c>
      <c r="F165" s="103" t="s">
        <v>5726</v>
      </c>
      <c r="G165" s="96">
        <f>IFERROR(__xludf.DUMMYFUNCTION("GOOGLEFINANCE(E165, ""price"")"),72.15)</f>
        <v>72.15</v>
      </c>
      <c r="H165" s="118"/>
      <c r="I165" s="118"/>
      <c r="J165" s="119"/>
      <c r="K165" s="120"/>
      <c r="L165" s="120"/>
      <c r="M165" s="120"/>
      <c r="N165" s="120"/>
      <c r="O165" s="118"/>
      <c r="P165" s="120"/>
      <c r="Q165" s="121"/>
      <c r="R165" s="109" t="b">
        <v>1</v>
      </c>
      <c r="S165" s="110" t="s">
        <v>5728</v>
      </c>
      <c r="T165" s="110">
        <v>0.0</v>
      </c>
      <c r="U165" s="111" t="s">
        <v>5725</v>
      </c>
      <c r="V165" s="111" t="s">
        <v>5729</v>
      </c>
      <c r="W165" s="111" t="s">
        <v>5730</v>
      </c>
      <c r="X165" s="111" t="s">
        <v>5731</v>
      </c>
      <c r="Y165" s="111" t="s">
        <v>5732</v>
      </c>
      <c r="Z165" s="111" t="s">
        <v>5733</v>
      </c>
      <c r="AA165" s="111" t="s">
        <v>5734</v>
      </c>
      <c r="AB165" s="111" t="s">
        <v>1309</v>
      </c>
      <c r="AC165" s="111" t="s">
        <v>5735</v>
      </c>
      <c r="AD165" s="111" t="s">
        <v>5683</v>
      </c>
      <c r="AE165" s="111" t="s">
        <v>5737</v>
      </c>
      <c r="AF165" s="122"/>
      <c r="AG165" s="122"/>
      <c r="AH165" s="122"/>
    </row>
    <row r="166" ht="22.5" customHeight="1">
      <c r="A166" s="73"/>
      <c r="B166" s="73"/>
      <c r="C166" s="73"/>
      <c r="D166" s="73"/>
      <c r="E166" s="117" t="s">
        <v>5738</v>
      </c>
      <c r="F166" s="111" t="s">
        <v>5739</v>
      </c>
      <c r="G166" s="96">
        <f>IFERROR(__xludf.DUMMYFUNCTION("GOOGLEFINANCE(E166, ""price"")"),805.15)</f>
        <v>805.15</v>
      </c>
      <c r="H166" s="118"/>
      <c r="I166" s="118"/>
      <c r="J166" s="119"/>
      <c r="K166" s="120"/>
      <c r="L166" s="120"/>
      <c r="M166" s="120"/>
      <c r="N166" s="120"/>
      <c r="O166" s="118"/>
      <c r="P166" s="120"/>
      <c r="Q166" s="121"/>
      <c r="R166" s="109" t="b">
        <v>1</v>
      </c>
      <c r="S166" s="110" t="s">
        <v>5740</v>
      </c>
      <c r="T166" s="110">
        <v>0.0</v>
      </c>
      <c r="U166" s="111" t="s">
        <v>5738</v>
      </c>
      <c r="V166" s="111" t="s">
        <v>5742</v>
      </c>
      <c r="W166" s="111" t="s">
        <v>5743</v>
      </c>
      <c r="X166" s="111" t="s">
        <v>5744</v>
      </c>
      <c r="Y166" s="111" t="s">
        <v>5745</v>
      </c>
      <c r="Z166" s="111" t="s">
        <v>5746</v>
      </c>
      <c r="AA166" s="111" t="s">
        <v>5747</v>
      </c>
      <c r="AB166" s="111" t="s">
        <v>714</v>
      </c>
      <c r="AC166" s="111" t="s">
        <v>5748</v>
      </c>
      <c r="AD166" s="111" t="s">
        <v>5683</v>
      </c>
      <c r="AE166" s="111" t="s">
        <v>5749</v>
      </c>
      <c r="AF166" s="122"/>
      <c r="AG166" s="122"/>
      <c r="AH166" s="122"/>
    </row>
    <row r="167" ht="22.5" customHeight="1">
      <c r="A167" s="73"/>
      <c r="B167" s="73"/>
      <c r="C167" s="73"/>
      <c r="D167" s="73"/>
      <c r="E167" s="117" t="s">
        <v>5750</v>
      </c>
      <c r="F167" s="103" t="s">
        <v>5751</v>
      </c>
      <c r="G167" s="96">
        <f>IFERROR(__xludf.DUMMYFUNCTION("GOOGLEFINANCE(E167, ""price"")"),269.27)</f>
        <v>269.27</v>
      </c>
      <c r="H167" s="118"/>
      <c r="I167" s="118"/>
      <c r="J167" s="119"/>
      <c r="K167" s="120"/>
      <c r="L167" s="120"/>
      <c r="M167" s="120"/>
      <c r="N167" s="120"/>
      <c r="O167" s="118"/>
      <c r="P167" s="120"/>
      <c r="Q167" s="121"/>
      <c r="R167" s="109" t="b">
        <v>1</v>
      </c>
      <c r="S167" s="110" t="s">
        <v>5753</v>
      </c>
      <c r="T167" s="110">
        <v>0.0</v>
      </c>
      <c r="U167" s="111" t="s">
        <v>5750</v>
      </c>
      <c r="V167" s="111" t="s">
        <v>5754</v>
      </c>
      <c r="W167" s="111" t="s">
        <v>5755</v>
      </c>
      <c r="X167" s="111" t="s">
        <v>5756</v>
      </c>
      <c r="Y167" s="111" t="s">
        <v>5757</v>
      </c>
      <c r="Z167" s="111" t="s">
        <v>5758</v>
      </c>
      <c r="AA167" s="111" t="s">
        <v>5759</v>
      </c>
      <c r="AB167" s="111" t="s">
        <v>783</v>
      </c>
      <c r="AC167" s="111" t="s">
        <v>5760</v>
      </c>
      <c r="AD167" s="111" t="s">
        <v>5683</v>
      </c>
      <c r="AE167" s="111" t="s">
        <v>5761</v>
      </c>
      <c r="AF167" s="122"/>
      <c r="AG167" s="122"/>
      <c r="AH167" s="122"/>
    </row>
    <row r="168" ht="22.5" customHeight="1">
      <c r="A168" s="73"/>
      <c r="B168" s="73"/>
      <c r="C168" s="73"/>
      <c r="D168" s="73"/>
      <c r="E168" s="117" t="s">
        <v>5762</v>
      </c>
      <c r="F168" s="111" t="s">
        <v>5763</v>
      </c>
      <c r="G168" s="96">
        <f>IFERROR(__xludf.DUMMYFUNCTION("GOOGLEFINANCE(E168, ""price"")"),1829.83)</f>
        <v>1829.83</v>
      </c>
      <c r="H168" s="118"/>
      <c r="I168" s="118"/>
      <c r="J168" s="119"/>
      <c r="K168" s="120"/>
      <c r="L168" s="120"/>
      <c r="M168" s="120"/>
      <c r="N168" s="120"/>
      <c r="O168" s="118"/>
      <c r="P168" s="120"/>
      <c r="Q168" s="121"/>
      <c r="R168" s="109" t="b">
        <v>1</v>
      </c>
      <c r="S168" s="110" t="s">
        <v>5765</v>
      </c>
      <c r="T168" s="110">
        <v>0.0</v>
      </c>
      <c r="U168" s="111" t="s">
        <v>5762</v>
      </c>
      <c r="V168" s="111" t="s">
        <v>5766</v>
      </c>
      <c r="W168" s="111" t="s">
        <v>5767</v>
      </c>
      <c r="X168" s="111" t="s">
        <v>5768</v>
      </c>
      <c r="Y168" s="111" t="s">
        <v>5769</v>
      </c>
      <c r="Z168" s="111" t="s">
        <v>5770</v>
      </c>
      <c r="AA168" s="111" t="s">
        <v>5771</v>
      </c>
      <c r="AB168" s="111" t="s">
        <v>2464</v>
      </c>
      <c r="AC168" s="111" t="s">
        <v>5772</v>
      </c>
      <c r="AD168" s="111" t="s">
        <v>5773</v>
      </c>
      <c r="AE168" s="111" t="s">
        <v>5774</v>
      </c>
      <c r="AF168" s="122"/>
      <c r="AG168" s="122"/>
      <c r="AH168" s="122"/>
    </row>
    <row r="169" ht="22.5" customHeight="1">
      <c r="A169" s="73"/>
      <c r="B169" s="73"/>
      <c r="C169" s="73"/>
      <c r="D169" s="73"/>
      <c r="E169" s="330"/>
      <c r="F169" s="118"/>
      <c r="G169" s="118"/>
      <c r="H169" s="118"/>
      <c r="I169" s="118"/>
      <c r="J169" s="119"/>
      <c r="K169" s="120"/>
      <c r="L169" s="120"/>
      <c r="M169" s="120"/>
      <c r="N169" s="120"/>
      <c r="O169" s="118"/>
      <c r="P169" s="120"/>
      <c r="Q169" s="121"/>
      <c r="R169" s="109" t="b">
        <v>0</v>
      </c>
      <c r="S169" s="143"/>
      <c r="T169" s="110"/>
      <c r="U169" s="118"/>
      <c r="V169" s="118"/>
      <c r="W169" s="118"/>
      <c r="X169" s="118"/>
      <c r="Y169" s="118"/>
      <c r="Z169" s="118"/>
      <c r="AA169" s="118"/>
      <c r="AB169" s="118"/>
      <c r="AC169" s="118"/>
      <c r="AD169" s="111"/>
      <c r="AE169" s="122"/>
      <c r="AF169" s="122"/>
      <c r="AG169" s="122"/>
      <c r="AH169" s="122"/>
    </row>
    <row r="170" ht="22.5" customHeight="1">
      <c r="A170" s="73"/>
      <c r="B170" s="73"/>
      <c r="C170" s="73"/>
      <c r="D170" s="73"/>
      <c r="E170" s="330"/>
      <c r="F170" s="118"/>
      <c r="G170" s="118"/>
      <c r="H170" s="118"/>
      <c r="I170" s="118"/>
      <c r="J170" s="119"/>
      <c r="K170" s="120"/>
      <c r="L170" s="120"/>
      <c r="M170" s="120"/>
      <c r="N170" s="120"/>
      <c r="O170" s="118"/>
      <c r="P170" s="120"/>
      <c r="Q170" s="121"/>
      <c r="R170" s="109" t="b">
        <v>0</v>
      </c>
      <c r="S170" s="143"/>
      <c r="T170" s="110"/>
      <c r="U170" s="118"/>
      <c r="V170" s="118"/>
      <c r="W170" s="118"/>
      <c r="X170" s="118"/>
      <c r="Y170" s="118"/>
      <c r="Z170" s="118"/>
      <c r="AA170" s="118"/>
      <c r="AB170" s="118"/>
      <c r="AC170" s="118"/>
      <c r="AD170" s="111"/>
      <c r="AE170" s="122"/>
      <c r="AF170" s="122"/>
      <c r="AG170" s="122"/>
      <c r="AH170" s="122"/>
    </row>
    <row r="171" ht="22.5" customHeight="1">
      <c r="A171" s="73"/>
      <c r="B171" s="73"/>
      <c r="C171" s="73"/>
      <c r="D171" s="73"/>
      <c r="E171" s="330"/>
      <c r="F171" s="118"/>
      <c r="G171" s="118"/>
      <c r="H171" s="118"/>
      <c r="I171" s="118"/>
      <c r="J171" s="119"/>
      <c r="K171" s="120"/>
      <c r="L171" s="120"/>
      <c r="M171" s="120"/>
      <c r="N171" s="120"/>
      <c r="O171" s="118"/>
      <c r="P171" s="120"/>
      <c r="Q171" s="121"/>
      <c r="R171" s="109" t="b">
        <v>0</v>
      </c>
      <c r="S171" s="143"/>
      <c r="T171" s="110"/>
      <c r="U171" s="118"/>
      <c r="V171" s="118"/>
      <c r="W171" s="118"/>
      <c r="X171" s="118"/>
      <c r="Y171" s="118"/>
      <c r="Z171" s="118"/>
      <c r="AA171" s="118"/>
      <c r="AB171" s="118"/>
      <c r="AC171" s="118"/>
      <c r="AD171" s="111"/>
      <c r="AE171" s="122"/>
      <c r="AF171" s="122"/>
      <c r="AG171" s="122"/>
      <c r="AH171" s="122"/>
    </row>
    <row r="172" ht="22.5" customHeight="1">
      <c r="A172" s="73"/>
      <c r="B172" s="73"/>
      <c r="C172" s="73"/>
      <c r="D172" s="73"/>
      <c r="E172" s="330"/>
      <c r="F172" s="118"/>
      <c r="G172" s="118"/>
      <c r="H172" s="118"/>
      <c r="I172" s="118"/>
      <c r="J172" s="119"/>
      <c r="K172" s="120"/>
      <c r="L172" s="120"/>
      <c r="M172" s="120"/>
      <c r="N172" s="120"/>
      <c r="O172" s="118"/>
      <c r="P172" s="120"/>
      <c r="Q172" s="121"/>
      <c r="R172" s="109" t="b">
        <v>0</v>
      </c>
      <c r="S172" s="143"/>
      <c r="T172" s="110"/>
      <c r="U172" s="118"/>
      <c r="V172" s="118"/>
      <c r="W172" s="118"/>
      <c r="X172" s="118"/>
      <c r="Y172" s="118"/>
      <c r="Z172" s="118"/>
      <c r="AA172" s="118"/>
      <c r="AB172" s="118"/>
      <c r="AC172" s="118"/>
      <c r="AD172" s="111"/>
      <c r="AE172" s="122"/>
      <c r="AF172" s="122"/>
      <c r="AG172" s="122"/>
      <c r="AH172" s="122"/>
    </row>
    <row r="173" ht="22.5" customHeight="1">
      <c r="A173" s="73"/>
      <c r="B173" s="73"/>
      <c r="C173" s="73"/>
      <c r="D173" s="73"/>
      <c r="E173" s="330"/>
      <c r="F173" s="118"/>
      <c r="G173" s="118"/>
      <c r="H173" s="118"/>
      <c r="I173" s="118"/>
      <c r="J173" s="119"/>
      <c r="K173" s="120"/>
      <c r="L173" s="120"/>
      <c r="M173" s="120"/>
      <c r="N173" s="120"/>
      <c r="O173" s="118"/>
      <c r="P173" s="120"/>
      <c r="Q173" s="121"/>
      <c r="R173" s="109" t="b">
        <v>0</v>
      </c>
      <c r="S173" s="143"/>
      <c r="T173" s="110"/>
      <c r="U173" s="118"/>
      <c r="V173" s="118"/>
      <c r="W173" s="118"/>
      <c r="X173" s="118"/>
      <c r="Y173" s="118"/>
      <c r="Z173" s="118"/>
      <c r="AA173" s="118"/>
      <c r="AB173" s="118"/>
      <c r="AC173" s="118"/>
      <c r="AD173" s="111"/>
      <c r="AE173" s="122"/>
      <c r="AF173" s="122"/>
      <c r="AG173" s="122"/>
      <c r="AH173" s="122"/>
    </row>
    <row r="174" ht="22.5" customHeight="1">
      <c r="A174" s="73"/>
      <c r="B174" s="73"/>
      <c r="C174" s="73"/>
      <c r="D174" s="73"/>
      <c r="E174" s="330"/>
      <c r="F174" s="118"/>
      <c r="G174" s="118"/>
      <c r="H174" s="118"/>
      <c r="I174" s="118"/>
      <c r="J174" s="119"/>
      <c r="K174" s="120"/>
      <c r="L174" s="120"/>
      <c r="M174" s="120"/>
      <c r="N174" s="120"/>
      <c r="O174" s="118"/>
      <c r="P174" s="120"/>
      <c r="Q174" s="121"/>
      <c r="R174" s="109" t="b">
        <v>0</v>
      </c>
      <c r="S174" s="143"/>
      <c r="T174" s="110"/>
      <c r="U174" s="118"/>
      <c r="V174" s="118"/>
      <c r="W174" s="118"/>
      <c r="X174" s="118"/>
      <c r="Y174" s="118"/>
      <c r="Z174" s="118"/>
      <c r="AA174" s="118"/>
      <c r="AB174" s="118"/>
      <c r="AC174" s="118"/>
      <c r="AD174" s="111"/>
      <c r="AE174" s="122"/>
      <c r="AF174" s="122"/>
      <c r="AG174" s="122"/>
      <c r="AH174" s="122"/>
    </row>
    <row r="175" ht="22.5" customHeight="1">
      <c r="A175" s="73"/>
      <c r="B175" s="73"/>
      <c r="C175" s="73"/>
      <c r="D175" s="73"/>
      <c r="E175" s="330"/>
      <c r="F175" s="118"/>
      <c r="G175" s="118"/>
      <c r="H175" s="118"/>
      <c r="I175" s="118"/>
      <c r="J175" s="119"/>
      <c r="K175" s="120"/>
      <c r="L175" s="120"/>
      <c r="M175" s="120"/>
      <c r="N175" s="120"/>
      <c r="O175" s="118"/>
      <c r="P175" s="120"/>
      <c r="Q175" s="121"/>
      <c r="R175" s="109" t="b">
        <v>0</v>
      </c>
      <c r="S175" s="143"/>
      <c r="T175" s="110"/>
      <c r="U175" s="118"/>
      <c r="V175" s="118"/>
      <c r="W175" s="118"/>
      <c r="X175" s="118"/>
      <c r="Y175" s="118"/>
      <c r="Z175" s="118"/>
      <c r="AA175" s="118"/>
      <c r="AB175" s="118"/>
      <c r="AC175" s="118"/>
      <c r="AD175" s="111"/>
      <c r="AE175" s="122"/>
      <c r="AF175" s="122"/>
      <c r="AG175" s="122"/>
      <c r="AH175" s="122"/>
    </row>
    <row r="176" ht="22.5" customHeight="1">
      <c r="A176" s="73"/>
      <c r="B176" s="73"/>
      <c r="C176" s="73"/>
      <c r="D176" s="73"/>
      <c r="E176" s="330"/>
      <c r="F176" s="118"/>
      <c r="G176" s="118"/>
      <c r="H176" s="118"/>
      <c r="I176" s="118"/>
      <c r="J176" s="119"/>
      <c r="K176" s="120"/>
      <c r="L176" s="120"/>
      <c r="M176" s="120"/>
      <c r="N176" s="120"/>
      <c r="O176" s="118"/>
      <c r="P176" s="120"/>
      <c r="Q176" s="121"/>
      <c r="R176" s="109" t="b">
        <v>0</v>
      </c>
      <c r="S176" s="143"/>
      <c r="T176" s="110"/>
      <c r="U176" s="118"/>
      <c r="V176" s="118"/>
      <c r="W176" s="118"/>
      <c r="X176" s="118"/>
      <c r="Y176" s="118"/>
      <c r="Z176" s="118"/>
      <c r="AA176" s="118"/>
      <c r="AB176" s="118"/>
      <c r="AC176" s="118"/>
      <c r="AD176" s="111"/>
      <c r="AE176" s="122"/>
      <c r="AF176" s="122"/>
      <c r="AG176" s="122"/>
      <c r="AH176" s="122"/>
    </row>
    <row r="177" ht="22.5" customHeight="1">
      <c r="A177" s="73"/>
      <c r="B177" s="73"/>
      <c r="C177" s="73"/>
      <c r="D177" s="73"/>
      <c r="E177" s="330"/>
      <c r="F177" s="118"/>
      <c r="G177" s="118"/>
      <c r="H177" s="118"/>
      <c r="I177" s="118"/>
      <c r="J177" s="119"/>
      <c r="K177" s="120"/>
      <c r="L177" s="120"/>
      <c r="M177" s="120"/>
      <c r="N177" s="120"/>
      <c r="O177" s="118"/>
      <c r="P177" s="120"/>
      <c r="Q177" s="121"/>
      <c r="R177" s="109" t="b">
        <v>0</v>
      </c>
      <c r="S177" s="143"/>
      <c r="T177" s="110"/>
      <c r="U177" s="118"/>
      <c r="V177" s="118"/>
      <c r="W177" s="118"/>
      <c r="X177" s="118"/>
      <c r="Y177" s="118"/>
      <c r="Z177" s="118"/>
      <c r="AA177" s="118"/>
      <c r="AB177" s="118"/>
      <c r="AC177" s="118"/>
      <c r="AD177" s="111"/>
      <c r="AE177" s="122"/>
      <c r="AF177" s="122"/>
      <c r="AG177" s="122"/>
      <c r="AH177" s="122"/>
    </row>
    <row r="178" ht="22.5" customHeight="1">
      <c r="A178" s="73"/>
      <c r="B178" s="73"/>
      <c r="C178" s="73"/>
      <c r="D178" s="73"/>
      <c r="E178" s="330"/>
      <c r="F178" s="118"/>
      <c r="G178" s="118"/>
      <c r="H178" s="118"/>
      <c r="I178" s="118"/>
      <c r="J178" s="119"/>
      <c r="K178" s="120"/>
      <c r="L178" s="120"/>
      <c r="M178" s="120"/>
      <c r="N178" s="120"/>
      <c r="O178" s="118"/>
      <c r="P178" s="120"/>
      <c r="Q178" s="121"/>
      <c r="R178" s="109" t="b">
        <v>0</v>
      </c>
      <c r="S178" s="143"/>
      <c r="T178" s="110"/>
      <c r="U178" s="118"/>
      <c r="V178" s="118"/>
      <c r="W178" s="118"/>
      <c r="X178" s="118"/>
      <c r="Y178" s="118"/>
      <c r="Z178" s="118"/>
      <c r="AA178" s="118"/>
      <c r="AB178" s="118"/>
      <c r="AC178" s="118"/>
      <c r="AD178" s="111"/>
      <c r="AE178" s="122"/>
      <c r="AF178" s="122"/>
      <c r="AG178" s="122"/>
      <c r="AH178" s="122"/>
    </row>
    <row r="179" ht="22.5" customHeight="1">
      <c r="A179" s="73"/>
      <c r="B179" s="73"/>
      <c r="C179" s="73"/>
      <c r="D179" s="73"/>
      <c r="E179" s="330"/>
      <c r="F179" s="118"/>
      <c r="G179" s="118"/>
      <c r="H179" s="118"/>
      <c r="I179" s="118"/>
      <c r="J179" s="119"/>
      <c r="K179" s="120"/>
      <c r="L179" s="120"/>
      <c r="M179" s="120"/>
      <c r="N179" s="120"/>
      <c r="O179" s="118"/>
      <c r="P179" s="120"/>
      <c r="Q179" s="121"/>
      <c r="R179" s="109" t="b">
        <v>0</v>
      </c>
      <c r="S179" s="143"/>
      <c r="T179" s="110"/>
      <c r="U179" s="118"/>
      <c r="V179" s="118"/>
      <c r="W179" s="118"/>
      <c r="X179" s="118"/>
      <c r="Y179" s="118"/>
      <c r="Z179" s="118"/>
      <c r="AA179" s="118"/>
      <c r="AB179" s="118"/>
      <c r="AC179" s="118"/>
      <c r="AD179" s="111"/>
      <c r="AE179" s="122"/>
      <c r="AF179" s="122"/>
      <c r="AG179" s="122"/>
      <c r="AH179" s="122"/>
    </row>
    <row r="180" ht="22.5" customHeight="1">
      <c r="A180" s="73"/>
      <c r="B180" s="73"/>
      <c r="C180" s="73"/>
      <c r="D180" s="73"/>
      <c r="E180" s="330"/>
      <c r="F180" s="118"/>
      <c r="G180" s="118"/>
      <c r="H180" s="118"/>
      <c r="I180" s="118"/>
      <c r="J180" s="119"/>
      <c r="K180" s="120"/>
      <c r="L180" s="120"/>
      <c r="M180" s="120"/>
      <c r="N180" s="120"/>
      <c r="O180" s="118"/>
      <c r="P180" s="120"/>
      <c r="Q180" s="121"/>
      <c r="R180" s="109" t="b">
        <v>0</v>
      </c>
      <c r="S180" s="143"/>
      <c r="T180" s="110"/>
      <c r="U180" s="118"/>
      <c r="V180" s="118"/>
      <c r="W180" s="118"/>
      <c r="X180" s="118"/>
      <c r="Y180" s="118"/>
      <c r="Z180" s="118"/>
      <c r="AA180" s="118"/>
      <c r="AB180" s="118"/>
      <c r="AC180" s="118"/>
      <c r="AD180" s="111"/>
      <c r="AE180" s="122"/>
      <c r="AF180" s="122"/>
      <c r="AG180" s="122"/>
      <c r="AH180" s="122"/>
    </row>
    <row r="181" ht="22.5" customHeight="1">
      <c r="A181" s="73"/>
      <c r="B181" s="73"/>
      <c r="C181" s="73"/>
      <c r="D181" s="73"/>
      <c r="E181" s="330"/>
      <c r="F181" s="118"/>
      <c r="G181" s="118"/>
      <c r="H181" s="118"/>
      <c r="I181" s="118"/>
      <c r="J181" s="119"/>
      <c r="K181" s="120"/>
      <c r="L181" s="120"/>
      <c r="M181" s="120"/>
      <c r="N181" s="120"/>
      <c r="O181" s="118"/>
      <c r="P181" s="120"/>
      <c r="Q181" s="121"/>
      <c r="R181" s="109" t="b">
        <v>0</v>
      </c>
      <c r="S181" s="143"/>
      <c r="T181" s="110"/>
      <c r="U181" s="118"/>
      <c r="V181" s="118"/>
      <c r="W181" s="118"/>
      <c r="X181" s="118"/>
      <c r="Y181" s="118"/>
      <c r="Z181" s="118"/>
      <c r="AA181" s="118"/>
      <c r="AB181" s="118"/>
      <c r="AC181" s="118"/>
      <c r="AD181" s="111"/>
      <c r="AE181" s="122"/>
      <c r="AF181" s="122"/>
      <c r="AG181" s="122"/>
      <c r="AH181" s="122"/>
    </row>
    <row r="182" ht="22.5" customHeight="1">
      <c r="A182" s="73"/>
      <c r="B182" s="73"/>
      <c r="C182" s="73"/>
      <c r="D182" s="73"/>
      <c r="E182" s="330"/>
      <c r="F182" s="118"/>
      <c r="G182" s="118"/>
      <c r="H182" s="118"/>
      <c r="I182" s="118"/>
      <c r="J182" s="119"/>
      <c r="K182" s="120"/>
      <c r="L182" s="120"/>
      <c r="M182" s="120"/>
      <c r="N182" s="120"/>
      <c r="O182" s="118"/>
      <c r="P182" s="120"/>
      <c r="Q182" s="121"/>
      <c r="R182" s="109" t="b">
        <v>0</v>
      </c>
      <c r="S182" s="143"/>
      <c r="T182" s="110"/>
      <c r="U182" s="118"/>
      <c r="V182" s="118"/>
      <c r="W182" s="118"/>
      <c r="X182" s="118"/>
      <c r="Y182" s="118"/>
      <c r="Z182" s="118"/>
      <c r="AA182" s="118"/>
      <c r="AB182" s="118"/>
      <c r="AC182" s="118"/>
      <c r="AD182" s="111"/>
      <c r="AE182" s="122"/>
      <c r="AF182" s="122"/>
      <c r="AG182" s="122"/>
      <c r="AH182" s="122"/>
    </row>
    <row r="183" ht="22.5" customHeight="1">
      <c r="A183" s="73"/>
      <c r="B183" s="73"/>
      <c r="C183" s="73"/>
      <c r="D183" s="73"/>
      <c r="E183" s="330"/>
      <c r="F183" s="118"/>
      <c r="G183" s="118"/>
      <c r="H183" s="118"/>
      <c r="I183" s="118"/>
      <c r="J183" s="119"/>
      <c r="K183" s="120"/>
      <c r="L183" s="120"/>
      <c r="M183" s="120"/>
      <c r="N183" s="120"/>
      <c r="O183" s="118"/>
      <c r="P183" s="120"/>
      <c r="Q183" s="121"/>
      <c r="R183" s="109" t="b">
        <v>0</v>
      </c>
      <c r="S183" s="143"/>
      <c r="T183" s="110"/>
      <c r="U183" s="118"/>
      <c r="V183" s="118"/>
      <c r="W183" s="118"/>
      <c r="X183" s="118"/>
      <c r="Y183" s="118"/>
      <c r="Z183" s="118"/>
      <c r="AA183" s="118"/>
      <c r="AB183" s="118"/>
      <c r="AC183" s="118"/>
      <c r="AD183" s="111"/>
      <c r="AE183" s="122"/>
      <c r="AF183" s="122"/>
      <c r="AG183" s="122"/>
      <c r="AH183" s="122"/>
    </row>
    <row r="184" ht="22.5" customHeight="1">
      <c r="A184" s="73"/>
      <c r="B184" s="73"/>
      <c r="C184" s="73"/>
      <c r="D184" s="73"/>
      <c r="E184" s="330"/>
      <c r="F184" s="118"/>
      <c r="G184" s="118"/>
      <c r="H184" s="118"/>
      <c r="I184" s="118"/>
      <c r="J184" s="119"/>
      <c r="K184" s="120"/>
      <c r="L184" s="120"/>
      <c r="M184" s="120"/>
      <c r="N184" s="120"/>
      <c r="O184" s="118"/>
      <c r="P184" s="120"/>
      <c r="Q184" s="121"/>
      <c r="R184" s="109" t="b">
        <v>0</v>
      </c>
      <c r="S184" s="143"/>
      <c r="T184" s="110"/>
      <c r="U184" s="118"/>
      <c r="V184" s="118"/>
      <c r="W184" s="118"/>
      <c r="X184" s="118"/>
      <c r="Y184" s="118"/>
      <c r="Z184" s="118"/>
      <c r="AA184" s="118"/>
      <c r="AB184" s="118"/>
      <c r="AC184" s="118"/>
      <c r="AD184" s="111"/>
      <c r="AE184" s="122"/>
      <c r="AF184" s="122"/>
      <c r="AG184" s="122"/>
      <c r="AH184" s="122"/>
    </row>
    <row r="185" ht="22.5" customHeight="1">
      <c r="A185" s="73"/>
      <c r="B185" s="73"/>
      <c r="C185" s="73"/>
      <c r="D185" s="73"/>
      <c r="E185" s="330"/>
      <c r="F185" s="118"/>
      <c r="G185" s="118"/>
      <c r="H185" s="118"/>
      <c r="I185" s="118"/>
      <c r="J185" s="119"/>
      <c r="K185" s="120"/>
      <c r="L185" s="120"/>
      <c r="M185" s="120"/>
      <c r="N185" s="120"/>
      <c r="O185" s="118"/>
      <c r="P185" s="120"/>
      <c r="Q185" s="121"/>
      <c r="R185" s="109" t="b">
        <v>0</v>
      </c>
      <c r="S185" s="143"/>
      <c r="T185" s="110"/>
      <c r="U185" s="118"/>
      <c r="V185" s="118"/>
      <c r="W185" s="118"/>
      <c r="X185" s="118"/>
      <c r="Y185" s="118"/>
      <c r="Z185" s="118"/>
      <c r="AA185" s="118"/>
      <c r="AB185" s="118"/>
      <c r="AC185" s="118"/>
      <c r="AD185" s="111"/>
      <c r="AE185" s="122"/>
      <c r="AF185" s="122"/>
      <c r="AG185" s="122"/>
      <c r="AH185" s="122"/>
    </row>
    <row r="186" ht="22.5" customHeight="1">
      <c r="A186" s="73"/>
      <c r="B186" s="73"/>
      <c r="C186" s="73"/>
      <c r="D186" s="73"/>
      <c r="E186" s="330"/>
      <c r="F186" s="118"/>
      <c r="G186" s="118"/>
      <c r="H186" s="118"/>
      <c r="I186" s="118"/>
      <c r="J186" s="119"/>
      <c r="K186" s="120"/>
      <c r="L186" s="120"/>
      <c r="M186" s="120"/>
      <c r="N186" s="120"/>
      <c r="O186" s="118"/>
      <c r="P186" s="120"/>
      <c r="Q186" s="121"/>
      <c r="R186" s="109" t="b">
        <v>0</v>
      </c>
      <c r="S186" s="143"/>
      <c r="T186" s="110"/>
      <c r="U186" s="118"/>
      <c r="V186" s="118"/>
      <c r="W186" s="118"/>
      <c r="X186" s="118"/>
      <c r="Y186" s="118"/>
      <c r="Z186" s="118"/>
      <c r="AA186" s="118"/>
      <c r="AB186" s="118"/>
      <c r="AC186" s="118"/>
      <c r="AD186" s="111"/>
      <c r="AE186" s="122"/>
      <c r="AF186" s="122"/>
      <c r="AG186" s="122"/>
      <c r="AH186" s="122"/>
    </row>
    <row r="187" ht="22.5" customHeight="1">
      <c r="A187" s="73"/>
      <c r="B187" s="73"/>
      <c r="C187" s="73"/>
      <c r="D187" s="73"/>
      <c r="E187" s="330"/>
      <c r="F187" s="118"/>
      <c r="G187" s="118"/>
      <c r="H187" s="118"/>
      <c r="I187" s="118"/>
      <c r="J187" s="119"/>
      <c r="K187" s="120"/>
      <c r="L187" s="120"/>
      <c r="M187" s="120"/>
      <c r="N187" s="120"/>
      <c r="O187" s="118"/>
      <c r="P187" s="120"/>
      <c r="Q187" s="121"/>
      <c r="R187" s="109" t="b">
        <v>0</v>
      </c>
      <c r="S187" s="143"/>
      <c r="T187" s="110"/>
      <c r="U187" s="118"/>
      <c r="V187" s="118"/>
      <c r="W187" s="118"/>
      <c r="X187" s="118"/>
      <c r="Y187" s="118"/>
      <c r="Z187" s="118"/>
      <c r="AA187" s="118"/>
      <c r="AB187" s="118"/>
      <c r="AC187" s="118"/>
      <c r="AD187" s="111"/>
      <c r="AE187" s="122"/>
      <c r="AF187" s="122"/>
      <c r="AG187" s="122"/>
      <c r="AH187" s="122"/>
    </row>
    <row r="188" ht="22.5" customHeight="1">
      <c r="A188" s="73"/>
      <c r="B188" s="73"/>
      <c r="C188" s="73"/>
      <c r="D188" s="73"/>
      <c r="E188" s="330"/>
      <c r="F188" s="118"/>
      <c r="G188" s="118"/>
      <c r="H188" s="118"/>
      <c r="I188" s="118"/>
      <c r="J188" s="119"/>
      <c r="K188" s="120"/>
      <c r="L188" s="120"/>
      <c r="M188" s="120"/>
      <c r="N188" s="120"/>
      <c r="O188" s="118"/>
      <c r="P188" s="120"/>
      <c r="Q188" s="121"/>
      <c r="R188" s="109" t="b">
        <v>0</v>
      </c>
      <c r="S188" s="143"/>
      <c r="T188" s="110"/>
      <c r="U188" s="118"/>
      <c r="V188" s="118"/>
      <c r="W188" s="118"/>
      <c r="X188" s="118"/>
      <c r="Y188" s="118"/>
      <c r="Z188" s="118"/>
      <c r="AA188" s="118"/>
      <c r="AB188" s="118"/>
      <c r="AC188" s="118"/>
      <c r="AD188" s="111"/>
      <c r="AE188" s="122"/>
      <c r="AF188" s="122"/>
      <c r="AG188" s="122"/>
      <c r="AH188" s="122"/>
    </row>
    <row r="189" ht="22.5" customHeight="1">
      <c r="A189" s="73"/>
      <c r="B189" s="73"/>
      <c r="C189" s="73"/>
      <c r="D189" s="73"/>
      <c r="E189" s="330"/>
      <c r="F189" s="118"/>
      <c r="G189" s="118"/>
      <c r="H189" s="118"/>
      <c r="I189" s="118"/>
      <c r="J189" s="119"/>
      <c r="K189" s="120"/>
      <c r="L189" s="120"/>
      <c r="M189" s="120"/>
      <c r="N189" s="120"/>
      <c r="O189" s="118"/>
      <c r="P189" s="120"/>
      <c r="Q189" s="121"/>
      <c r="R189" s="109" t="b">
        <v>0</v>
      </c>
      <c r="S189" s="143"/>
      <c r="T189" s="110"/>
      <c r="U189" s="118"/>
      <c r="V189" s="118"/>
      <c r="W189" s="118"/>
      <c r="X189" s="118"/>
      <c r="Y189" s="118"/>
      <c r="Z189" s="118"/>
      <c r="AA189" s="118"/>
      <c r="AB189" s="118"/>
      <c r="AC189" s="118"/>
      <c r="AD189" s="111"/>
      <c r="AE189" s="122"/>
      <c r="AF189" s="122"/>
      <c r="AG189" s="122"/>
      <c r="AH189" s="122"/>
    </row>
    <row r="190" ht="22.5" customHeight="1">
      <c r="A190" s="73"/>
      <c r="B190" s="73"/>
      <c r="C190" s="73"/>
      <c r="D190" s="73"/>
      <c r="E190" s="330"/>
      <c r="F190" s="118"/>
      <c r="G190" s="118"/>
      <c r="H190" s="118"/>
      <c r="I190" s="118"/>
      <c r="J190" s="119"/>
      <c r="K190" s="120"/>
      <c r="L190" s="120"/>
      <c r="M190" s="120"/>
      <c r="N190" s="120"/>
      <c r="O190" s="118"/>
      <c r="P190" s="120"/>
      <c r="Q190" s="121"/>
      <c r="R190" s="109" t="b">
        <v>0</v>
      </c>
      <c r="S190" s="143"/>
      <c r="T190" s="110"/>
      <c r="U190" s="118"/>
      <c r="V190" s="118"/>
      <c r="W190" s="118"/>
      <c r="X190" s="118"/>
      <c r="Y190" s="118"/>
      <c r="Z190" s="118"/>
      <c r="AA190" s="118"/>
      <c r="AB190" s="118"/>
      <c r="AC190" s="118"/>
      <c r="AD190" s="111"/>
      <c r="AE190" s="122"/>
      <c r="AF190" s="122"/>
      <c r="AG190" s="122"/>
      <c r="AH190" s="122"/>
    </row>
    <row r="191" ht="22.5" customHeight="1">
      <c r="A191" s="73"/>
      <c r="B191" s="73"/>
      <c r="C191" s="73"/>
      <c r="D191" s="73"/>
      <c r="E191" s="330"/>
      <c r="F191" s="118"/>
      <c r="G191" s="118"/>
      <c r="H191" s="118"/>
      <c r="I191" s="118"/>
      <c r="J191" s="119"/>
      <c r="K191" s="120"/>
      <c r="L191" s="120"/>
      <c r="M191" s="120"/>
      <c r="N191" s="120"/>
      <c r="O191" s="118"/>
      <c r="P191" s="120"/>
      <c r="Q191" s="121"/>
      <c r="R191" s="109" t="b">
        <v>0</v>
      </c>
      <c r="S191" s="143"/>
      <c r="T191" s="110"/>
      <c r="U191" s="118"/>
      <c r="V191" s="118"/>
      <c r="W191" s="118"/>
      <c r="X191" s="118"/>
      <c r="Y191" s="118"/>
      <c r="Z191" s="118"/>
      <c r="AA191" s="118"/>
      <c r="AB191" s="118"/>
      <c r="AC191" s="118"/>
      <c r="AD191" s="111"/>
      <c r="AE191" s="122"/>
      <c r="AF191" s="122"/>
      <c r="AG191" s="122"/>
      <c r="AH191" s="122"/>
    </row>
    <row r="192" ht="22.5" customHeight="1">
      <c r="A192" s="73"/>
      <c r="B192" s="73"/>
      <c r="C192" s="73"/>
      <c r="D192" s="73"/>
      <c r="E192" s="330"/>
      <c r="F192" s="118"/>
      <c r="G192" s="118"/>
      <c r="H192" s="118"/>
      <c r="I192" s="118"/>
      <c r="J192" s="119"/>
      <c r="K192" s="120"/>
      <c r="L192" s="120"/>
      <c r="M192" s="120"/>
      <c r="N192" s="120"/>
      <c r="O192" s="118"/>
      <c r="P192" s="120"/>
      <c r="Q192" s="121"/>
      <c r="R192" s="109" t="b">
        <v>0</v>
      </c>
      <c r="S192" s="143"/>
      <c r="T192" s="110"/>
      <c r="U192" s="118"/>
      <c r="V192" s="118"/>
      <c r="W192" s="118"/>
      <c r="X192" s="118"/>
      <c r="Y192" s="118"/>
      <c r="Z192" s="118"/>
      <c r="AA192" s="118"/>
      <c r="AB192" s="118"/>
      <c r="AC192" s="118"/>
      <c r="AD192" s="111"/>
      <c r="AE192" s="122"/>
      <c r="AF192" s="122"/>
      <c r="AG192" s="122"/>
      <c r="AH192" s="122"/>
    </row>
    <row r="193" ht="22.5" customHeight="1">
      <c r="A193" s="73"/>
      <c r="B193" s="73"/>
      <c r="C193" s="73"/>
      <c r="D193" s="73"/>
      <c r="E193" s="330"/>
      <c r="F193" s="118"/>
      <c r="G193" s="118"/>
      <c r="H193" s="118"/>
      <c r="I193" s="118"/>
      <c r="J193" s="119"/>
      <c r="K193" s="120"/>
      <c r="L193" s="120"/>
      <c r="M193" s="120"/>
      <c r="N193" s="120"/>
      <c r="O193" s="118"/>
      <c r="P193" s="120"/>
      <c r="Q193" s="121"/>
      <c r="R193" s="109" t="b">
        <v>0</v>
      </c>
      <c r="S193" s="143"/>
      <c r="T193" s="110"/>
      <c r="U193" s="118"/>
      <c r="V193" s="118"/>
      <c r="W193" s="118"/>
      <c r="X193" s="118"/>
      <c r="Y193" s="118"/>
      <c r="Z193" s="118"/>
      <c r="AA193" s="118"/>
      <c r="AB193" s="118"/>
      <c r="AC193" s="118"/>
      <c r="AD193" s="111"/>
      <c r="AE193" s="122"/>
      <c r="AF193" s="122"/>
      <c r="AG193" s="122"/>
      <c r="AH193" s="122"/>
    </row>
    <row r="194" ht="22.5" customHeight="1">
      <c r="A194" s="73"/>
      <c r="B194" s="73"/>
      <c r="C194" s="73"/>
      <c r="D194" s="73"/>
      <c r="E194" s="330"/>
      <c r="F194" s="118"/>
      <c r="G194" s="118"/>
      <c r="H194" s="118"/>
      <c r="I194" s="118"/>
      <c r="J194" s="119"/>
      <c r="K194" s="120"/>
      <c r="L194" s="120"/>
      <c r="M194" s="120"/>
      <c r="N194" s="120"/>
      <c r="O194" s="118"/>
      <c r="P194" s="120"/>
      <c r="Q194" s="121"/>
      <c r="R194" s="109" t="b">
        <v>0</v>
      </c>
      <c r="S194" s="143"/>
      <c r="T194" s="110"/>
      <c r="U194" s="118"/>
      <c r="V194" s="118"/>
      <c r="W194" s="118"/>
      <c r="X194" s="118"/>
      <c r="Y194" s="118"/>
      <c r="Z194" s="118"/>
      <c r="AA194" s="118"/>
      <c r="AB194" s="118"/>
      <c r="AC194" s="118"/>
      <c r="AD194" s="111"/>
      <c r="AE194" s="122"/>
      <c r="AF194" s="122"/>
      <c r="AG194" s="122"/>
      <c r="AH194" s="122"/>
    </row>
    <row r="195" ht="22.5" customHeight="1">
      <c r="A195" s="73"/>
      <c r="B195" s="73"/>
      <c r="C195" s="73"/>
      <c r="D195" s="73"/>
      <c r="E195" s="330"/>
      <c r="F195" s="118"/>
      <c r="G195" s="118"/>
      <c r="H195" s="118"/>
      <c r="I195" s="118"/>
      <c r="J195" s="119"/>
      <c r="K195" s="120"/>
      <c r="L195" s="120"/>
      <c r="M195" s="120"/>
      <c r="N195" s="120"/>
      <c r="O195" s="118"/>
      <c r="P195" s="120"/>
      <c r="Q195" s="121"/>
      <c r="R195" s="109" t="b">
        <v>0</v>
      </c>
      <c r="S195" s="143"/>
      <c r="T195" s="110"/>
      <c r="U195" s="118"/>
      <c r="V195" s="118"/>
      <c r="W195" s="118"/>
      <c r="X195" s="118"/>
      <c r="Y195" s="118"/>
      <c r="Z195" s="118"/>
      <c r="AA195" s="118"/>
      <c r="AB195" s="118"/>
      <c r="AC195" s="118"/>
      <c r="AD195" s="111"/>
      <c r="AE195" s="122"/>
      <c r="AF195" s="122"/>
      <c r="AG195" s="122"/>
      <c r="AH195" s="122"/>
    </row>
    <row r="196" ht="22.5" customHeight="1">
      <c r="A196" s="73"/>
      <c r="B196" s="73"/>
      <c r="C196" s="73"/>
      <c r="D196" s="73"/>
      <c r="E196" s="330"/>
      <c r="F196" s="118"/>
      <c r="G196" s="118"/>
      <c r="H196" s="118"/>
      <c r="I196" s="118"/>
      <c r="J196" s="119"/>
      <c r="K196" s="120"/>
      <c r="L196" s="120"/>
      <c r="M196" s="120"/>
      <c r="N196" s="120"/>
      <c r="O196" s="118"/>
      <c r="P196" s="120"/>
      <c r="Q196" s="121"/>
      <c r="R196" s="109" t="b">
        <v>0</v>
      </c>
      <c r="S196" s="143"/>
      <c r="T196" s="110"/>
      <c r="U196" s="118"/>
      <c r="V196" s="118"/>
      <c r="W196" s="118"/>
      <c r="X196" s="118"/>
      <c r="Y196" s="118"/>
      <c r="Z196" s="118"/>
      <c r="AA196" s="118"/>
      <c r="AB196" s="118"/>
      <c r="AC196" s="118"/>
      <c r="AD196" s="111"/>
      <c r="AE196" s="122"/>
      <c r="AF196" s="122"/>
      <c r="AG196" s="122"/>
      <c r="AH196" s="122"/>
    </row>
    <row r="197" ht="22.5" customHeight="1">
      <c r="A197" s="73"/>
      <c r="B197" s="73"/>
      <c r="C197" s="73"/>
      <c r="D197" s="73"/>
      <c r="E197" s="330"/>
      <c r="F197" s="118"/>
      <c r="G197" s="118"/>
      <c r="H197" s="118"/>
      <c r="I197" s="118"/>
      <c r="J197" s="119"/>
      <c r="K197" s="120"/>
      <c r="L197" s="120"/>
      <c r="M197" s="120"/>
      <c r="N197" s="120"/>
      <c r="O197" s="118"/>
      <c r="P197" s="120"/>
      <c r="Q197" s="121"/>
      <c r="R197" s="109" t="b">
        <v>0</v>
      </c>
      <c r="S197" s="143"/>
      <c r="T197" s="110"/>
      <c r="U197" s="118"/>
      <c r="V197" s="118"/>
      <c r="W197" s="118"/>
      <c r="X197" s="118"/>
      <c r="Y197" s="118"/>
      <c r="Z197" s="118"/>
      <c r="AA197" s="118"/>
      <c r="AB197" s="118"/>
      <c r="AC197" s="118"/>
      <c r="AD197" s="111"/>
      <c r="AE197" s="122"/>
      <c r="AF197" s="122"/>
      <c r="AG197" s="122"/>
      <c r="AH197" s="122"/>
    </row>
    <row r="198" ht="22.5" customHeight="1">
      <c r="A198" s="73"/>
      <c r="B198" s="73"/>
      <c r="C198" s="73"/>
      <c r="D198" s="73"/>
      <c r="E198" s="330"/>
      <c r="F198" s="118"/>
      <c r="G198" s="118"/>
      <c r="H198" s="118"/>
      <c r="I198" s="118"/>
      <c r="J198" s="119"/>
      <c r="K198" s="120"/>
      <c r="L198" s="120"/>
      <c r="M198" s="120"/>
      <c r="N198" s="120"/>
      <c r="O198" s="118"/>
      <c r="P198" s="120"/>
      <c r="Q198" s="121"/>
      <c r="R198" s="109" t="b">
        <v>0</v>
      </c>
      <c r="S198" s="143"/>
      <c r="T198" s="110"/>
      <c r="U198" s="118"/>
      <c r="V198" s="118"/>
      <c r="W198" s="118"/>
      <c r="X198" s="118"/>
      <c r="Y198" s="118"/>
      <c r="Z198" s="118"/>
      <c r="AA198" s="118"/>
      <c r="AB198" s="118"/>
      <c r="AC198" s="118"/>
      <c r="AD198" s="111"/>
      <c r="AE198" s="122"/>
      <c r="AF198" s="122"/>
      <c r="AG198" s="122"/>
      <c r="AH198" s="122"/>
    </row>
    <row r="199" ht="22.5" customHeight="1">
      <c r="A199" s="73"/>
      <c r="B199" s="73"/>
      <c r="C199" s="73"/>
      <c r="D199" s="73"/>
      <c r="E199" s="330"/>
      <c r="F199" s="118"/>
      <c r="G199" s="118"/>
      <c r="H199" s="118"/>
      <c r="I199" s="118"/>
      <c r="J199" s="119"/>
      <c r="K199" s="120"/>
      <c r="L199" s="120"/>
      <c r="M199" s="120"/>
      <c r="N199" s="120"/>
      <c r="O199" s="118"/>
      <c r="P199" s="120"/>
      <c r="Q199" s="121"/>
      <c r="R199" s="109" t="b">
        <v>0</v>
      </c>
      <c r="S199" s="143"/>
      <c r="T199" s="110"/>
      <c r="U199" s="118"/>
      <c r="V199" s="118"/>
      <c r="W199" s="118"/>
      <c r="X199" s="118"/>
      <c r="Y199" s="118"/>
      <c r="Z199" s="118"/>
      <c r="AA199" s="118"/>
      <c r="AB199" s="118"/>
      <c r="AC199" s="118"/>
      <c r="AD199" s="111"/>
      <c r="AE199" s="122"/>
      <c r="AF199" s="122"/>
      <c r="AG199" s="122"/>
      <c r="AH199" s="122"/>
    </row>
    <row r="200" ht="22.5" customHeight="1">
      <c r="A200" s="73"/>
      <c r="B200" s="73"/>
      <c r="C200" s="73"/>
      <c r="D200" s="73"/>
      <c r="E200" s="330"/>
      <c r="F200" s="118"/>
      <c r="G200" s="118"/>
      <c r="H200" s="118"/>
      <c r="I200" s="118"/>
      <c r="J200" s="119"/>
      <c r="K200" s="120"/>
      <c r="L200" s="120"/>
      <c r="M200" s="120"/>
      <c r="N200" s="120"/>
      <c r="O200" s="118"/>
      <c r="P200" s="120"/>
      <c r="Q200" s="121"/>
      <c r="R200" s="109" t="b">
        <v>0</v>
      </c>
      <c r="S200" s="143"/>
      <c r="T200" s="110"/>
      <c r="U200" s="118"/>
      <c r="V200" s="118"/>
      <c r="W200" s="118"/>
      <c r="X200" s="118"/>
      <c r="Y200" s="118"/>
      <c r="Z200" s="118"/>
      <c r="AA200" s="118"/>
      <c r="AB200" s="118"/>
      <c r="AC200" s="118"/>
      <c r="AD200" s="111"/>
      <c r="AE200" s="122"/>
      <c r="AF200" s="122"/>
      <c r="AG200" s="122"/>
      <c r="AH200" s="122"/>
    </row>
    <row r="201" ht="22.5" customHeight="1">
      <c r="A201" s="73"/>
      <c r="B201" s="73"/>
      <c r="C201" s="73"/>
      <c r="D201" s="73"/>
      <c r="E201" s="330"/>
      <c r="F201" s="118"/>
      <c r="G201" s="118"/>
      <c r="H201" s="118"/>
      <c r="I201" s="118"/>
      <c r="J201" s="119"/>
      <c r="K201" s="120"/>
      <c r="L201" s="120"/>
      <c r="M201" s="120"/>
      <c r="N201" s="120"/>
      <c r="O201" s="118"/>
      <c r="P201" s="120"/>
      <c r="Q201" s="121"/>
      <c r="R201" s="109" t="b">
        <v>0</v>
      </c>
      <c r="S201" s="143"/>
      <c r="T201" s="110"/>
      <c r="U201" s="118"/>
      <c r="V201" s="118"/>
      <c r="W201" s="118"/>
      <c r="X201" s="118"/>
      <c r="Y201" s="118"/>
      <c r="Z201" s="118"/>
      <c r="AA201" s="118"/>
      <c r="AB201" s="118"/>
      <c r="AC201" s="118"/>
      <c r="AD201" s="111"/>
      <c r="AE201" s="122"/>
      <c r="AF201" s="122"/>
      <c r="AG201" s="122"/>
      <c r="AH201" s="122"/>
    </row>
    <row r="202" ht="22.5" customHeight="1">
      <c r="A202" s="73"/>
      <c r="B202" s="73"/>
      <c r="C202" s="73"/>
      <c r="D202" s="73"/>
      <c r="E202" s="330"/>
      <c r="F202" s="118"/>
      <c r="G202" s="118"/>
      <c r="H202" s="118"/>
      <c r="I202" s="118"/>
      <c r="J202" s="119"/>
      <c r="K202" s="120"/>
      <c r="L202" s="120"/>
      <c r="M202" s="120"/>
      <c r="N202" s="120"/>
      <c r="O202" s="118"/>
      <c r="P202" s="120"/>
      <c r="Q202" s="121"/>
      <c r="R202" s="109" t="b">
        <v>0</v>
      </c>
      <c r="S202" s="143"/>
      <c r="T202" s="110"/>
      <c r="U202" s="118"/>
      <c r="V202" s="118"/>
      <c r="W202" s="118"/>
      <c r="X202" s="118"/>
      <c r="Y202" s="118"/>
      <c r="Z202" s="118"/>
      <c r="AA202" s="118"/>
      <c r="AB202" s="118"/>
      <c r="AC202" s="118"/>
      <c r="AD202" s="111"/>
      <c r="AE202" s="122"/>
      <c r="AF202" s="122"/>
      <c r="AG202" s="122"/>
      <c r="AH202" s="122"/>
    </row>
    <row r="203" ht="22.5" customHeight="1">
      <c r="A203" s="73"/>
      <c r="B203" s="73"/>
      <c r="C203" s="73"/>
      <c r="D203" s="73"/>
      <c r="E203" s="330"/>
      <c r="F203" s="118"/>
      <c r="G203" s="118"/>
      <c r="H203" s="118"/>
      <c r="I203" s="118"/>
      <c r="J203" s="119"/>
      <c r="K203" s="120"/>
      <c r="L203" s="120"/>
      <c r="M203" s="120"/>
      <c r="N203" s="120"/>
      <c r="O203" s="118"/>
      <c r="P203" s="120"/>
      <c r="Q203" s="121"/>
      <c r="R203" s="109" t="b">
        <v>0</v>
      </c>
      <c r="S203" s="143"/>
      <c r="T203" s="110"/>
      <c r="U203" s="118"/>
      <c r="V203" s="118"/>
      <c r="W203" s="118"/>
      <c r="X203" s="118"/>
      <c r="Y203" s="118"/>
      <c r="Z203" s="118"/>
      <c r="AA203" s="118"/>
      <c r="AB203" s="118"/>
      <c r="AC203" s="118"/>
      <c r="AD203" s="111"/>
      <c r="AE203" s="122"/>
      <c r="AF203" s="122"/>
      <c r="AG203" s="122"/>
      <c r="AH203" s="122"/>
    </row>
    <row r="204" ht="22.5" customHeight="1">
      <c r="A204" s="73"/>
      <c r="B204" s="73"/>
      <c r="C204" s="73"/>
      <c r="D204" s="73"/>
      <c r="E204" s="330"/>
      <c r="F204" s="118"/>
      <c r="G204" s="118"/>
      <c r="H204" s="118"/>
      <c r="I204" s="118"/>
      <c r="J204" s="119"/>
      <c r="K204" s="120"/>
      <c r="L204" s="120"/>
      <c r="M204" s="120"/>
      <c r="N204" s="120"/>
      <c r="O204" s="118"/>
      <c r="P204" s="120"/>
      <c r="Q204" s="121"/>
      <c r="R204" s="109" t="b">
        <v>0</v>
      </c>
      <c r="S204" s="143"/>
      <c r="T204" s="110"/>
      <c r="U204" s="118"/>
      <c r="V204" s="118"/>
      <c r="W204" s="118"/>
      <c r="X204" s="118"/>
      <c r="Y204" s="118"/>
      <c r="Z204" s="118"/>
      <c r="AA204" s="118"/>
      <c r="AB204" s="118"/>
      <c r="AC204" s="118"/>
      <c r="AD204" s="111"/>
      <c r="AE204" s="122"/>
      <c r="AF204" s="122"/>
      <c r="AG204" s="122"/>
      <c r="AH204" s="122"/>
    </row>
    <row r="205" ht="22.5" customHeight="1">
      <c r="A205" s="73"/>
      <c r="B205" s="73"/>
      <c r="C205" s="73"/>
      <c r="D205" s="73"/>
      <c r="E205" s="330"/>
      <c r="F205" s="118"/>
      <c r="G205" s="118"/>
      <c r="H205" s="118"/>
      <c r="I205" s="118"/>
      <c r="J205" s="119"/>
      <c r="K205" s="120"/>
      <c r="L205" s="120"/>
      <c r="M205" s="120"/>
      <c r="N205" s="120"/>
      <c r="O205" s="118"/>
      <c r="P205" s="120"/>
      <c r="Q205" s="121"/>
      <c r="R205" s="109" t="b">
        <v>0</v>
      </c>
      <c r="S205" s="143"/>
      <c r="T205" s="110"/>
      <c r="U205" s="118"/>
      <c r="V205" s="118"/>
      <c r="W205" s="118"/>
      <c r="X205" s="118"/>
      <c r="Y205" s="118"/>
      <c r="Z205" s="118"/>
      <c r="AA205" s="118"/>
      <c r="AB205" s="118"/>
      <c r="AC205" s="118"/>
      <c r="AD205" s="111"/>
      <c r="AE205" s="122"/>
      <c r="AF205" s="122"/>
      <c r="AG205" s="122"/>
      <c r="AH205" s="122"/>
    </row>
    <row r="206" ht="22.5" customHeight="1">
      <c r="A206" s="73"/>
      <c r="B206" s="73"/>
      <c r="C206" s="73"/>
      <c r="D206" s="73"/>
      <c r="E206" s="330"/>
      <c r="F206" s="118"/>
      <c r="G206" s="118"/>
      <c r="H206" s="118"/>
      <c r="I206" s="118"/>
      <c r="J206" s="119"/>
      <c r="K206" s="120"/>
      <c r="L206" s="120"/>
      <c r="M206" s="120"/>
      <c r="N206" s="120"/>
      <c r="O206" s="118"/>
      <c r="P206" s="120"/>
      <c r="Q206" s="121"/>
      <c r="R206" s="109" t="b">
        <v>0</v>
      </c>
      <c r="S206" s="143"/>
      <c r="T206" s="110"/>
      <c r="U206" s="118"/>
      <c r="V206" s="118"/>
      <c r="W206" s="118"/>
      <c r="X206" s="118"/>
      <c r="Y206" s="118"/>
      <c r="Z206" s="118"/>
      <c r="AA206" s="118"/>
      <c r="AB206" s="118"/>
      <c r="AC206" s="118"/>
      <c r="AD206" s="111"/>
      <c r="AE206" s="122"/>
      <c r="AF206" s="122"/>
      <c r="AG206" s="122"/>
      <c r="AH206" s="122"/>
    </row>
    <row r="207" ht="22.5" customHeight="1">
      <c r="A207" s="73"/>
      <c r="B207" s="73"/>
      <c r="C207" s="73"/>
      <c r="D207" s="73"/>
      <c r="E207" s="330"/>
      <c r="F207" s="118"/>
      <c r="G207" s="118"/>
      <c r="H207" s="118"/>
      <c r="I207" s="118"/>
      <c r="J207" s="119"/>
      <c r="K207" s="120"/>
      <c r="L207" s="120"/>
      <c r="M207" s="120"/>
      <c r="N207" s="120"/>
      <c r="O207" s="118"/>
      <c r="P207" s="120"/>
      <c r="Q207" s="121"/>
      <c r="R207" s="109" t="b">
        <v>0</v>
      </c>
      <c r="S207" s="143"/>
      <c r="T207" s="110"/>
      <c r="U207" s="118"/>
      <c r="V207" s="118"/>
      <c r="W207" s="118"/>
      <c r="X207" s="118"/>
      <c r="Y207" s="118"/>
      <c r="Z207" s="118"/>
      <c r="AA207" s="118"/>
      <c r="AB207" s="118"/>
      <c r="AC207" s="118"/>
      <c r="AD207" s="111"/>
      <c r="AE207" s="122"/>
      <c r="AF207" s="122"/>
      <c r="AG207" s="122"/>
      <c r="AH207" s="122"/>
    </row>
    <row r="208" ht="22.5" customHeight="1">
      <c r="A208" s="73"/>
      <c r="B208" s="73"/>
      <c r="C208" s="73"/>
      <c r="D208" s="73"/>
      <c r="E208" s="330"/>
      <c r="F208" s="118"/>
      <c r="G208" s="118"/>
      <c r="H208" s="118"/>
      <c r="I208" s="118"/>
      <c r="J208" s="119"/>
      <c r="K208" s="120"/>
      <c r="L208" s="120"/>
      <c r="M208" s="120"/>
      <c r="N208" s="120"/>
      <c r="O208" s="118"/>
      <c r="P208" s="120"/>
      <c r="Q208" s="121"/>
      <c r="R208" s="109" t="b">
        <v>0</v>
      </c>
      <c r="S208" s="143"/>
      <c r="T208" s="110"/>
      <c r="U208" s="118"/>
      <c r="V208" s="118"/>
      <c r="W208" s="118"/>
      <c r="X208" s="118"/>
      <c r="Y208" s="118"/>
      <c r="Z208" s="118"/>
      <c r="AA208" s="118"/>
      <c r="AB208" s="118"/>
      <c r="AC208" s="118"/>
      <c r="AD208" s="111"/>
      <c r="AE208" s="122"/>
      <c r="AF208" s="122"/>
      <c r="AG208" s="122"/>
      <c r="AH208" s="122"/>
    </row>
    <row r="209" ht="22.5" customHeight="1">
      <c r="A209" s="73"/>
      <c r="B209" s="73"/>
      <c r="C209" s="73"/>
      <c r="D209" s="73"/>
      <c r="E209" s="330"/>
      <c r="F209" s="118"/>
      <c r="G209" s="118"/>
      <c r="H209" s="118"/>
      <c r="I209" s="118"/>
      <c r="J209" s="119"/>
      <c r="K209" s="120"/>
      <c r="L209" s="120"/>
      <c r="M209" s="120"/>
      <c r="N209" s="120"/>
      <c r="O209" s="118"/>
      <c r="P209" s="120"/>
      <c r="Q209" s="121"/>
      <c r="R209" s="109" t="b">
        <v>0</v>
      </c>
      <c r="S209" s="143"/>
      <c r="T209" s="110"/>
      <c r="U209" s="118"/>
      <c r="V209" s="118"/>
      <c r="W209" s="118"/>
      <c r="X209" s="118"/>
      <c r="Y209" s="118"/>
      <c r="Z209" s="118"/>
      <c r="AA209" s="118"/>
      <c r="AB209" s="118"/>
      <c r="AC209" s="118"/>
      <c r="AD209" s="111"/>
      <c r="AE209" s="122"/>
      <c r="AF209" s="122"/>
      <c r="AG209" s="122"/>
      <c r="AH209" s="122"/>
    </row>
    <row r="210" ht="22.5" customHeight="1">
      <c r="A210" s="73"/>
      <c r="B210" s="73"/>
      <c r="C210" s="73"/>
      <c r="D210" s="73"/>
      <c r="E210" s="330"/>
      <c r="F210" s="118"/>
      <c r="G210" s="118"/>
      <c r="H210" s="118"/>
      <c r="I210" s="118"/>
      <c r="J210" s="119"/>
      <c r="K210" s="120"/>
      <c r="L210" s="120"/>
      <c r="M210" s="120"/>
      <c r="N210" s="120"/>
      <c r="O210" s="118"/>
      <c r="P210" s="120"/>
      <c r="Q210" s="121"/>
      <c r="R210" s="109" t="b">
        <v>0</v>
      </c>
      <c r="S210" s="143"/>
      <c r="T210" s="110"/>
      <c r="U210" s="118"/>
      <c r="V210" s="118"/>
      <c r="W210" s="118"/>
      <c r="X210" s="118"/>
      <c r="Y210" s="118"/>
      <c r="Z210" s="118"/>
      <c r="AA210" s="118"/>
      <c r="AB210" s="118"/>
      <c r="AC210" s="118"/>
      <c r="AD210" s="111"/>
      <c r="AE210" s="122"/>
      <c r="AF210" s="122"/>
      <c r="AG210" s="122"/>
      <c r="AH210" s="122"/>
    </row>
    <row r="211" ht="22.5" customHeight="1">
      <c r="A211" s="73"/>
      <c r="B211" s="73"/>
      <c r="C211" s="73"/>
      <c r="D211" s="73"/>
      <c r="E211" s="330"/>
      <c r="F211" s="118"/>
      <c r="G211" s="118"/>
      <c r="H211" s="118"/>
      <c r="I211" s="118"/>
      <c r="J211" s="119"/>
      <c r="K211" s="120"/>
      <c r="L211" s="120"/>
      <c r="M211" s="120"/>
      <c r="N211" s="120"/>
      <c r="O211" s="118"/>
      <c r="P211" s="120"/>
      <c r="Q211" s="121"/>
      <c r="R211" s="109" t="b">
        <v>0</v>
      </c>
      <c r="S211" s="143"/>
      <c r="T211" s="110"/>
      <c r="U211" s="118"/>
      <c r="V211" s="118"/>
      <c r="W211" s="118"/>
      <c r="X211" s="118"/>
      <c r="Y211" s="118"/>
      <c r="Z211" s="118"/>
      <c r="AA211" s="118"/>
      <c r="AB211" s="118"/>
      <c r="AC211" s="118"/>
      <c r="AD211" s="111"/>
      <c r="AE211" s="122"/>
      <c r="AF211" s="122"/>
      <c r="AG211" s="122"/>
      <c r="AH211" s="122"/>
    </row>
    <row r="212" ht="22.5" customHeight="1">
      <c r="A212" s="73"/>
      <c r="B212" s="73"/>
      <c r="C212" s="73"/>
      <c r="D212" s="73"/>
      <c r="E212" s="330"/>
      <c r="F212" s="118"/>
      <c r="G212" s="118"/>
      <c r="H212" s="118"/>
      <c r="I212" s="118"/>
      <c r="J212" s="119"/>
      <c r="K212" s="120"/>
      <c r="L212" s="120"/>
      <c r="M212" s="120"/>
      <c r="N212" s="120"/>
      <c r="O212" s="118"/>
      <c r="P212" s="120"/>
      <c r="Q212" s="121"/>
      <c r="R212" s="109" t="b">
        <v>0</v>
      </c>
      <c r="S212" s="143"/>
      <c r="T212" s="110"/>
      <c r="U212" s="118"/>
      <c r="V212" s="118"/>
      <c r="W212" s="118"/>
      <c r="X212" s="118"/>
      <c r="Y212" s="118"/>
      <c r="Z212" s="118"/>
      <c r="AA212" s="118"/>
      <c r="AB212" s="118"/>
      <c r="AC212" s="118"/>
      <c r="AD212" s="111"/>
      <c r="AE212" s="122"/>
      <c r="AF212" s="122"/>
      <c r="AG212" s="122"/>
      <c r="AH212" s="122"/>
    </row>
    <row r="213" ht="22.5" customHeight="1">
      <c r="A213" s="73"/>
      <c r="B213" s="73"/>
      <c r="C213" s="73"/>
      <c r="D213" s="73"/>
      <c r="E213" s="330"/>
      <c r="F213" s="118"/>
      <c r="G213" s="118"/>
      <c r="H213" s="118"/>
      <c r="I213" s="118"/>
      <c r="J213" s="119"/>
      <c r="K213" s="120"/>
      <c r="L213" s="120"/>
      <c r="M213" s="120"/>
      <c r="N213" s="120"/>
      <c r="O213" s="118"/>
      <c r="P213" s="120"/>
      <c r="Q213" s="121"/>
      <c r="R213" s="109" t="b">
        <v>0</v>
      </c>
      <c r="S213" s="143"/>
      <c r="T213" s="110"/>
      <c r="U213" s="118"/>
      <c r="V213" s="118"/>
      <c r="W213" s="118"/>
      <c r="X213" s="118"/>
      <c r="Y213" s="118"/>
      <c r="Z213" s="118"/>
      <c r="AA213" s="118"/>
      <c r="AB213" s="118"/>
      <c r="AC213" s="118"/>
      <c r="AD213" s="111"/>
      <c r="AE213" s="122"/>
      <c r="AF213" s="122"/>
      <c r="AG213" s="122"/>
      <c r="AH213" s="122"/>
    </row>
    <row r="214" ht="22.5" customHeight="1">
      <c r="A214" s="73"/>
      <c r="B214" s="73"/>
      <c r="C214" s="73"/>
      <c r="D214" s="73"/>
      <c r="E214" s="330"/>
      <c r="F214" s="118"/>
      <c r="G214" s="118"/>
      <c r="H214" s="118"/>
      <c r="I214" s="118"/>
      <c r="J214" s="119"/>
      <c r="K214" s="120"/>
      <c r="L214" s="120"/>
      <c r="M214" s="120"/>
      <c r="N214" s="120"/>
      <c r="O214" s="118"/>
      <c r="P214" s="120"/>
      <c r="Q214" s="121"/>
      <c r="R214" s="109" t="b">
        <v>0</v>
      </c>
      <c r="S214" s="143"/>
      <c r="T214" s="110"/>
      <c r="U214" s="118"/>
      <c r="V214" s="118"/>
      <c r="W214" s="118"/>
      <c r="X214" s="118"/>
      <c r="Y214" s="118"/>
      <c r="Z214" s="118"/>
      <c r="AA214" s="118"/>
      <c r="AB214" s="118"/>
      <c r="AC214" s="118"/>
      <c r="AD214" s="111"/>
      <c r="AE214" s="122"/>
      <c r="AF214" s="122"/>
      <c r="AG214" s="122"/>
      <c r="AH214" s="122"/>
    </row>
    <row r="215" ht="22.5" customHeight="1">
      <c r="A215" s="73"/>
      <c r="B215" s="73"/>
      <c r="C215" s="73"/>
      <c r="D215" s="73"/>
      <c r="E215" s="330"/>
      <c r="F215" s="118"/>
      <c r="G215" s="118"/>
      <c r="H215" s="118"/>
      <c r="I215" s="118"/>
      <c r="J215" s="119"/>
      <c r="K215" s="120"/>
      <c r="L215" s="120"/>
      <c r="M215" s="120"/>
      <c r="N215" s="120"/>
      <c r="O215" s="118"/>
      <c r="P215" s="120"/>
      <c r="Q215" s="121"/>
      <c r="R215" s="109" t="b">
        <v>0</v>
      </c>
      <c r="S215" s="143"/>
      <c r="T215" s="110"/>
      <c r="U215" s="118"/>
      <c r="V215" s="118"/>
      <c r="W215" s="118"/>
      <c r="X215" s="118"/>
      <c r="Y215" s="118"/>
      <c r="Z215" s="118"/>
      <c r="AA215" s="118"/>
      <c r="AB215" s="118"/>
      <c r="AC215" s="118"/>
      <c r="AD215" s="111"/>
      <c r="AE215" s="122"/>
      <c r="AF215" s="122"/>
      <c r="AG215" s="122"/>
      <c r="AH215" s="122"/>
    </row>
    <row r="216" ht="22.5" customHeight="1">
      <c r="A216" s="73"/>
      <c r="B216" s="73"/>
      <c r="C216" s="73"/>
      <c r="D216" s="73"/>
      <c r="E216" s="330"/>
      <c r="F216" s="118"/>
      <c r="G216" s="118"/>
      <c r="H216" s="118"/>
      <c r="I216" s="118"/>
      <c r="J216" s="119"/>
      <c r="K216" s="120"/>
      <c r="L216" s="120"/>
      <c r="M216" s="120"/>
      <c r="N216" s="120"/>
      <c r="O216" s="118"/>
      <c r="P216" s="120"/>
      <c r="Q216" s="121"/>
      <c r="R216" s="109" t="b">
        <v>0</v>
      </c>
      <c r="S216" s="143"/>
      <c r="T216" s="110"/>
      <c r="U216" s="118"/>
      <c r="V216" s="118"/>
      <c r="W216" s="118"/>
      <c r="X216" s="118"/>
      <c r="Y216" s="118"/>
      <c r="Z216" s="118"/>
      <c r="AA216" s="118"/>
      <c r="AB216" s="118"/>
      <c r="AC216" s="118"/>
      <c r="AD216" s="111"/>
      <c r="AE216" s="122"/>
      <c r="AF216" s="122"/>
      <c r="AG216" s="122"/>
      <c r="AH216" s="122"/>
    </row>
    <row r="217" ht="22.5" customHeight="1">
      <c r="A217" s="73"/>
      <c r="B217" s="73"/>
      <c r="C217" s="73"/>
      <c r="D217" s="73"/>
      <c r="E217" s="330"/>
      <c r="F217" s="118"/>
      <c r="G217" s="118"/>
      <c r="H217" s="118"/>
      <c r="I217" s="118"/>
      <c r="J217" s="119"/>
      <c r="K217" s="120"/>
      <c r="L217" s="120"/>
      <c r="M217" s="120"/>
      <c r="N217" s="120"/>
      <c r="O217" s="118"/>
      <c r="P217" s="120"/>
      <c r="Q217" s="121"/>
      <c r="R217" s="109" t="b">
        <v>0</v>
      </c>
      <c r="S217" s="143"/>
      <c r="T217" s="110"/>
      <c r="U217" s="118"/>
      <c r="V217" s="118"/>
      <c r="W217" s="118"/>
      <c r="X217" s="118"/>
      <c r="Y217" s="118"/>
      <c r="Z217" s="118"/>
      <c r="AA217" s="118"/>
      <c r="AB217" s="118"/>
      <c r="AC217" s="118"/>
      <c r="AD217" s="111"/>
      <c r="AE217" s="122"/>
      <c r="AF217" s="122"/>
      <c r="AG217" s="122"/>
      <c r="AH217" s="122"/>
    </row>
    <row r="218" ht="22.5" customHeight="1">
      <c r="A218" s="73"/>
      <c r="B218" s="73"/>
      <c r="C218" s="73"/>
      <c r="D218" s="73"/>
      <c r="E218" s="330"/>
      <c r="F218" s="118"/>
      <c r="G218" s="118"/>
      <c r="H218" s="118"/>
      <c r="I218" s="118"/>
      <c r="J218" s="119"/>
      <c r="K218" s="120"/>
      <c r="L218" s="120"/>
      <c r="M218" s="120"/>
      <c r="N218" s="120"/>
      <c r="O218" s="118"/>
      <c r="P218" s="120"/>
      <c r="Q218" s="121"/>
      <c r="R218" s="109" t="b">
        <v>0</v>
      </c>
      <c r="S218" s="143"/>
      <c r="T218" s="110"/>
      <c r="U218" s="118"/>
      <c r="V218" s="118"/>
      <c r="W218" s="118"/>
      <c r="X218" s="118"/>
      <c r="Y218" s="118"/>
      <c r="Z218" s="118"/>
      <c r="AA218" s="118"/>
      <c r="AB218" s="118"/>
      <c r="AC218" s="118"/>
      <c r="AD218" s="111"/>
      <c r="AE218" s="122"/>
      <c r="AF218" s="122"/>
      <c r="AG218" s="122"/>
      <c r="AH218" s="122"/>
    </row>
    <row r="219" ht="22.5" customHeight="1">
      <c r="A219" s="73"/>
      <c r="B219" s="73"/>
      <c r="C219" s="73"/>
      <c r="D219" s="73"/>
      <c r="E219" s="330"/>
      <c r="F219" s="118"/>
      <c r="G219" s="118"/>
      <c r="H219" s="118"/>
      <c r="I219" s="118"/>
      <c r="J219" s="119"/>
      <c r="K219" s="120"/>
      <c r="L219" s="120"/>
      <c r="M219" s="120"/>
      <c r="N219" s="120"/>
      <c r="O219" s="118"/>
      <c r="P219" s="120"/>
      <c r="Q219" s="121"/>
      <c r="R219" s="109" t="b">
        <v>0</v>
      </c>
      <c r="S219" s="143"/>
      <c r="T219" s="110"/>
      <c r="U219" s="118"/>
      <c r="V219" s="118"/>
      <c r="W219" s="118"/>
      <c r="X219" s="118"/>
      <c r="Y219" s="118"/>
      <c r="Z219" s="118"/>
      <c r="AA219" s="118"/>
      <c r="AB219" s="118"/>
      <c r="AC219" s="118"/>
      <c r="AD219" s="111"/>
      <c r="AE219" s="122"/>
      <c r="AF219" s="122"/>
      <c r="AG219" s="122"/>
      <c r="AH219" s="122"/>
    </row>
    <row r="220" ht="22.5" customHeight="1">
      <c r="A220" s="73"/>
      <c r="B220" s="73"/>
      <c r="C220" s="73"/>
      <c r="D220" s="73"/>
      <c r="E220" s="330"/>
      <c r="F220" s="118"/>
      <c r="G220" s="118"/>
      <c r="H220" s="118"/>
      <c r="I220" s="118"/>
      <c r="J220" s="119"/>
      <c r="K220" s="120"/>
      <c r="L220" s="120"/>
      <c r="M220" s="120"/>
      <c r="N220" s="120"/>
      <c r="O220" s="118"/>
      <c r="P220" s="120"/>
      <c r="Q220" s="121"/>
      <c r="R220" s="109" t="b">
        <v>0</v>
      </c>
      <c r="S220" s="143"/>
      <c r="T220" s="110"/>
      <c r="U220" s="118"/>
      <c r="V220" s="118"/>
      <c r="W220" s="118"/>
      <c r="X220" s="118"/>
      <c r="Y220" s="118"/>
      <c r="Z220" s="118"/>
      <c r="AA220" s="118"/>
      <c r="AB220" s="118"/>
      <c r="AC220" s="118"/>
      <c r="AD220" s="111"/>
      <c r="AE220" s="122"/>
      <c r="AF220" s="122"/>
      <c r="AG220" s="122"/>
      <c r="AH220" s="122"/>
    </row>
    <row r="221" ht="22.5" customHeight="1">
      <c r="A221" s="73"/>
      <c r="B221" s="73"/>
      <c r="C221" s="73"/>
      <c r="D221" s="73"/>
      <c r="E221" s="330"/>
      <c r="F221" s="118"/>
      <c r="G221" s="118"/>
      <c r="H221" s="118"/>
      <c r="I221" s="118"/>
      <c r="J221" s="119"/>
      <c r="K221" s="120"/>
      <c r="L221" s="120"/>
      <c r="M221" s="120"/>
      <c r="N221" s="120"/>
      <c r="O221" s="118"/>
      <c r="P221" s="120"/>
      <c r="Q221" s="121"/>
      <c r="R221" s="109" t="b">
        <v>0</v>
      </c>
      <c r="S221" s="143"/>
      <c r="T221" s="110"/>
      <c r="U221" s="118"/>
      <c r="V221" s="118"/>
      <c r="W221" s="118"/>
      <c r="X221" s="118"/>
      <c r="Y221" s="118"/>
      <c r="Z221" s="118"/>
      <c r="AA221" s="118"/>
      <c r="AB221" s="118"/>
      <c r="AC221" s="118"/>
      <c r="AD221" s="111"/>
      <c r="AE221" s="122"/>
      <c r="AF221" s="122"/>
      <c r="AG221" s="122"/>
      <c r="AH221" s="122"/>
    </row>
    <row r="222" ht="22.5" customHeight="1">
      <c r="A222" s="73"/>
      <c r="B222" s="73"/>
      <c r="C222" s="73"/>
      <c r="D222" s="73"/>
      <c r="E222" s="330"/>
      <c r="F222" s="118"/>
      <c r="G222" s="118"/>
      <c r="H222" s="118"/>
      <c r="I222" s="118"/>
      <c r="J222" s="119"/>
      <c r="K222" s="120"/>
      <c r="L222" s="120"/>
      <c r="M222" s="120"/>
      <c r="N222" s="120"/>
      <c r="O222" s="118"/>
      <c r="P222" s="120"/>
      <c r="Q222" s="121"/>
      <c r="R222" s="109" t="b">
        <v>0</v>
      </c>
      <c r="S222" s="143"/>
      <c r="T222" s="110"/>
      <c r="U222" s="118"/>
      <c r="V222" s="118"/>
      <c r="W222" s="118"/>
      <c r="X222" s="118"/>
      <c r="Y222" s="118"/>
      <c r="Z222" s="118"/>
      <c r="AA222" s="118"/>
      <c r="AB222" s="118"/>
      <c r="AC222" s="118"/>
      <c r="AD222" s="111"/>
      <c r="AE222" s="122"/>
      <c r="AF222" s="122"/>
      <c r="AG222" s="122"/>
      <c r="AH222" s="122"/>
    </row>
    <row r="223" ht="22.5" customHeight="1">
      <c r="A223" s="73"/>
      <c r="B223" s="73"/>
      <c r="C223" s="73"/>
      <c r="D223" s="73"/>
      <c r="E223" s="330"/>
      <c r="F223" s="118"/>
      <c r="G223" s="118"/>
      <c r="H223" s="118"/>
      <c r="I223" s="118"/>
      <c r="J223" s="119"/>
      <c r="K223" s="120"/>
      <c r="L223" s="120"/>
      <c r="M223" s="120"/>
      <c r="N223" s="120"/>
      <c r="O223" s="118"/>
      <c r="P223" s="120"/>
      <c r="Q223" s="121"/>
      <c r="R223" s="109" t="b">
        <v>0</v>
      </c>
      <c r="S223" s="143"/>
      <c r="T223" s="110"/>
      <c r="U223" s="118"/>
      <c r="V223" s="118"/>
      <c r="W223" s="118"/>
      <c r="X223" s="118"/>
      <c r="Y223" s="118"/>
      <c r="Z223" s="118"/>
      <c r="AA223" s="118"/>
      <c r="AB223" s="118"/>
      <c r="AC223" s="118"/>
      <c r="AD223" s="111"/>
      <c r="AE223" s="122"/>
      <c r="AF223" s="122"/>
      <c r="AG223" s="122"/>
      <c r="AH223" s="122"/>
    </row>
    <row r="224" ht="22.5" customHeight="1">
      <c r="A224" s="73"/>
      <c r="B224" s="73"/>
      <c r="C224" s="73"/>
      <c r="D224" s="73"/>
      <c r="E224" s="330"/>
      <c r="F224" s="118"/>
      <c r="G224" s="118"/>
      <c r="H224" s="118"/>
      <c r="I224" s="118"/>
      <c r="J224" s="119"/>
      <c r="K224" s="120"/>
      <c r="L224" s="120"/>
      <c r="M224" s="120"/>
      <c r="N224" s="120"/>
      <c r="O224" s="118"/>
      <c r="P224" s="120"/>
      <c r="Q224" s="121"/>
      <c r="R224" s="109" t="b">
        <v>0</v>
      </c>
      <c r="S224" s="143"/>
      <c r="T224" s="110"/>
      <c r="U224" s="118"/>
      <c r="V224" s="118"/>
      <c r="W224" s="118"/>
      <c r="X224" s="118"/>
      <c r="Y224" s="118"/>
      <c r="Z224" s="118"/>
      <c r="AA224" s="118"/>
      <c r="AB224" s="118"/>
      <c r="AC224" s="118"/>
      <c r="AD224" s="111"/>
      <c r="AE224" s="122"/>
      <c r="AF224" s="122"/>
      <c r="AG224" s="122"/>
      <c r="AH224" s="122"/>
    </row>
    <row r="225" ht="22.5" customHeight="1">
      <c r="A225" s="73"/>
      <c r="B225" s="73"/>
      <c r="C225" s="73"/>
      <c r="D225" s="73"/>
      <c r="E225" s="330"/>
      <c r="F225" s="118"/>
      <c r="G225" s="118"/>
      <c r="H225" s="118"/>
      <c r="I225" s="118"/>
      <c r="J225" s="119"/>
      <c r="K225" s="120"/>
      <c r="L225" s="120"/>
      <c r="M225" s="120"/>
      <c r="N225" s="120"/>
      <c r="O225" s="118"/>
      <c r="P225" s="120"/>
      <c r="Q225" s="121"/>
      <c r="R225" s="109" t="b">
        <v>0</v>
      </c>
      <c r="S225" s="143"/>
      <c r="T225" s="110"/>
      <c r="U225" s="118"/>
      <c r="V225" s="118"/>
      <c r="W225" s="118"/>
      <c r="X225" s="118"/>
      <c r="Y225" s="118"/>
      <c r="Z225" s="118"/>
      <c r="AA225" s="118"/>
      <c r="AB225" s="118"/>
      <c r="AC225" s="118"/>
      <c r="AD225" s="111"/>
      <c r="AE225" s="122"/>
      <c r="AF225" s="122"/>
      <c r="AG225" s="122"/>
      <c r="AH225" s="122"/>
    </row>
    <row r="226" ht="22.5" customHeight="1">
      <c r="A226" s="73"/>
      <c r="B226" s="73"/>
      <c r="C226" s="73"/>
      <c r="D226" s="73"/>
      <c r="E226" s="330"/>
      <c r="F226" s="118"/>
      <c r="G226" s="118"/>
      <c r="H226" s="118"/>
      <c r="I226" s="118"/>
      <c r="J226" s="119"/>
      <c r="K226" s="120"/>
      <c r="L226" s="120"/>
      <c r="M226" s="120"/>
      <c r="N226" s="120"/>
      <c r="O226" s="118"/>
      <c r="P226" s="120"/>
      <c r="Q226" s="121"/>
      <c r="R226" s="109" t="b">
        <v>0</v>
      </c>
      <c r="S226" s="143"/>
      <c r="T226" s="110"/>
      <c r="U226" s="118"/>
      <c r="V226" s="118"/>
      <c r="W226" s="118"/>
      <c r="X226" s="118"/>
      <c r="Y226" s="118"/>
      <c r="Z226" s="118"/>
      <c r="AA226" s="118"/>
      <c r="AB226" s="118"/>
      <c r="AC226" s="118"/>
      <c r="AD226" s="111"/>
      <c r="AE226" s="122"/>
      <c r="AF226" s="122"/>
      <c r="AG226" s="122"/>
      <c r="AH226" s="122"/>
    </row>
    <row r="227" ht="22.5" customHeight="1">
      <c r="A227" s="73"/>
      <c r="B227" s="73"/>
      <c r="C227" s="73"/>
      <c r="D227" s="73"/>
      <c r="E227" s="330"/>
      <c r="F227" s="118"/>
      <c r="G227" s="118"/>
      <c r="H227" s="118"/>
      <c r="I227" s="118"/>
      <c r="J227" s="119"/>
      <c r="K227" s="120"/>
      <c r="L227" s="120"/>
      <c r="M227" s="120"/>
      <c r="N227" s="120"/>
      <c r="O227" s="118"/>
      <c r="P227" s="120"/>
      <c r="Q227" s="121"/>
      <c r="R227" s="109" t="b">
        <v>0</v>
      </c>
      <c r="S227" s="143"/>
      <c r="T227" s="110"/>
      <c r="U227" s="118"/>
      <c r="V227" s="118"/>
      <c r="W227" s="118"/>
      <c r="X227" s="118"/>
      <c r="Y227" s="118"/>
      <c r="Z227" s="118"/>
      <c r="AA227" s="118"/>
      <c r="AB227" s="118"/>
      <c r="AC227" s="118"/>
      <c r="AD227" s="111"/>
      <c r="AE227" s="122"/>
      <c r="AF227" s="122"/>
      <c r="AG227" s="122"/>
      <c r="AH227" s="122"/>
    </row>
    <row r="228" ht="22.5" customHeight="1">
      <c r="A228" s="73"/>
      <c r="B228" s="73"/>
      <c r="C228" s="73"/>
      <c r="D228" s="73"/>
      <c r="E228" s="330"/>
      <c r="F228" s="118"/>
      <c r="G228" s="118"/>
      <c r="H228" s="118"/>
      <c r="I228" s="118"/>
      <c r="J228" s="119"/>
      <c r="K228" s="120"/>
      <c r="L228" s="120"/>
      <c r="M228" s="120"/>
      <c r="N228" s="120"/>
      <c r="O228" s="118"/>
      <c r="P228" s="120"/>
      <c r="Q228" s="121"/>
      <c r="R228" s="109" t="b">
        <v>0</v>
      </c>
      <c r="S228" s="143"/>
      <c r="T228" s="110"/>
      <c r="U228" s="118"/>
      <c r="V228" s="118"/>
      <c r="W228" s="118"/>
      <c r="X228" s="118"/>
      <c r="Y228" s="118"/>
      <c r="Z228" s="118"/>
      <c r="AA228" s="118"/>
      <c r="AB228" s="118"/>
      <c r="AC228" s="118"/>
      <c r="AD228" s="111"/>
      <c r="AE228" s="122"/>
      <c r="AF228" s="122"/>
      <c r="AG228" s="122"/>
      <c r="AH228" s="122"/>
    </row>
    <row r="229" ht="22.5" customHeight="1">
      <c r="A229" s="73"/>
      <c r="B229" s="73"/>
      <c r="C229" s="73"/>
      <c r="D229" s="73"/>
      <c r="E229" s="330"/>
      <c r="F229" s="118"/>
      <c r="G229" s="118"/>
      <c r="H229" s="118"/>
      <c r="I229" s="118"/>
      <c r="J229" s="119"/>
      <c r="K229" s="120"/>
      <c r="L229" s="120"/>
      <c r="M229" s="120"/>
      <c r="N229" s="120"/>
      <c r="O229" s="118"/>
      <c r="P229" s="120"/>
      <c r="Q229" s="121"/>
      <c r="R229" s="109" t="b">
        <v>0</v>
      </c>
      <c r="S229" s="143"/>
      <c r="T229" s="110"/>
      <c r="U229" s="118"/>
      <c r="V229" s="118"/>
      <c r="W229" s="118"/>
      <c r="X229" s="118"/>
      <c r="Y229" s="118"/>
      <c r="Z229" s="118"/>
      <c r="AA229" s="118"/>
      <c r="AB229" s="118"/>
      <c r="AC229" s="118"/>
      <c r="AD229" s="111"/>
      <c r="AE229" s="122"/>
      <c r="AF229" s="122"/>
      <c r="AG229" s="122"/>
      <c r="AH229" s="122"/>
    </row>
    <row r="230" ht="22.5" customHeight="1">
      <c r="A230" s="73"/>
      <c r="B230" s="73"/>
      <c r="C230" s="73"/>
      <c r="D230" s="73"/>
      <c r="E230" s="330"/>
      <c r="F230" s="118"/>
      <c r="G230" s="118"/>
      <c r="H230" s="118"/>
      <c r="I230" s="118"/>
      <c r="J230" s="119"/>
      <c r="K230" s="120"/>
      <c r="L230" s="120"/>
      <c r="M230" s="120"/>
      <c r="N230" s="120"/>
      <c r="O230" s="118"/>
      <c r="P230" s="120"/>
      <c r="Q230" s="121"/>
      <c r="R230" s="109" t="b">
        <v>0</v>
      </c>
      <c r="S230" s="143"/>
      <c r="T230" s="110"/>
      <c r="U230" s="118"/>
      <c r="V230" s="118"/>
      <c r="W230" s="118"/>
      <c r="X230" s="118"/>
      <c r="Y230" s="118"/>
      <c r="Z230" s="118"/>
      <c r="AA230" s="118"/>
      <c r="AB230" s="118"/>
      <c r="AC230" s="118"/>
      <c r="AD230" s="111"/>
      <c r="AE230" s="122"/>
      <c r="AF230" s="122"/>
      <c r="AG230" s="122"/>
      <c r="AH230" s="122"/>
    </row>
    <row r="231" ht="22.5" customHeight="1">
      <c r="A231" s="73"/>
      <c r="B231" s="73"/>
      <c r="C231" s="73"/>
      <c r="D231" s="73"/>
      <c r="E231" s="330"/>
      <c r="F231" s="118"/>
      <c r="G231" s="118"/>
      <c r="H231" s="118"/>
      <c r="I231" s="118"/>
      <c r="J231" s="119"/>
      <c r="K231" s="120"/>
      <c r="L231" s="120"/>
      <c r="M231" s="120"/>
      <c r="N231" s="120"/>
      <c r="O231" s="118"/>
      <c r="P231" s="120"/>
      <c r="Q231" s="121"/>
      <c r="R231" s="109" t="b">
        <v>0</v>
      </c>
      <c r="S231" s="143"/>
      <c r="T231" s="110"/>
      <c r="U231" s="118"/>
      <c r="V231" s="118"/>
      <c r="W231" s="118"/>
      <c r="X231" s="118"/>
      <c r="Y231" s="118"/>
      <c r="Z231" s="118"/>
      <c r="AA231" s="118"/>
      <c r="AB231" s="118"/>
      <c r="AC231" s="118"/>
      <c r="AD231" s="111"/>
      <c r="AE231" s="122"/>
      <c r="AF231" s="122"/>
      <c r="AG231" s="122"/>
      <c r="AH231" s="122"/>
    </row>
    <row r="232" ht="22.5" customHeight="1">
      <c r="A232" s="73"/>
      <c r="B232" s="73"/>
      <c r="C232" s="73"/>
      <c r="D232" s="73"/>
      <c r="E232" s="330"/>
      <c r="F232" s="118"/>
      <c r="G232" s="118"/>
      <c r="H232" s="118"/>
      <c r="I232" s="118"/>
      <c r="J232" s="119"/>
      <c r="K232" s="120"/>
      <c r="L232" s="120"/>
      <c r="M232" s="120"/>
      <c r="N232" s="120"/>
      <c r="O232" s="118"/>
      <c r="P232" s="120"/>
      <c r="Q232" s="121"/>
      <c r="R232" s="109" t="b">
        <v>0</v>
      </c>
      <c r="S232" s="143"/>
      <c r="T232" s="110"/>
      <c r="U232" s="118"/>
      <c r="V232" s="118"/>
      <c r="W232" s="118"/>
      <c r="X232" s="118"/>
      <c r="Y232" s="118"/>
      <c r="Z232" s="118"/>
      <c r="AA232" s="118"/>
      <c r="AB232" s="118"/>
      <c r="AC232" s="118"/>
      <c r="AD232" s="111"/>
      <c r="AE232" s="122"/>
      <c r="AF232" s="122"/>
      <c r="AG232" s="122"/>
      <c r="AH232" s="122"/>
    </row>
    <row r="233" ht="22.5" customHeight="1">
      <c r="A233" s="73"/>
      <c r="B233" s="73"/>
      <c r="C233" s="73"/>
      <c r="D233" s="73"/>
      <c r="E233" s="330"/>
      <c r="F233" s="118"/>
      <c r="G233" s="118"/>
      <c r="H233" s="118"/>
      <c r="I233" s="118"/>
      <c r="J233" s="119"/>
      <c r="K233" s="120"/>
      <c r="L233" s="120"/>
      <c r="M233" s="120"/>
      <c r="N233" s="120"/>
      <c r="O233" s="118"/>
      <c r="P233" s="120"/>
      <c r="Q233" s="121"/>
      <c r="R233" s="109" t="b">
        <v>0</v>
      </c>
      <c r="S233" s="143"/>
      <c r="T233" s="110"/>
      <c r="U233" s="118"/>
      <c r="V233" s="118"/>
      <c r="W233" s="118"/>
      <c r="X233" s="118"/>
      <c r="Y233" s="118"/>
      <c r="Z233" s="118"/>
      <c r="AA233" s="118"/>
      <c r="AB233" s="118"/>
      <c r="AC233" s="118"/>
      <c r="AD233" s="111"/>
      <c r="AE233" s="122"/>
      <c r="AF233" s="122"/>
      <c r="AG233" s="122"/>
      <c r="AH233" s="122"/>
    </row>
    <row r="234" ht="22.5" customHeight="1">
      <c r="A234" s="73"/>
      <c r="B234" s="73"/>
      <c r="C234" s="73"/>
      <c r="D234" s="73"/>
      <c r="E234" s="330"/>
      <c r="F234" s="118"/>
      <c r="G234" s="118"/>
      <c r="H234" s="118"/>
      <c r="I234" s="118"/>
      <c r="J234" s="119"/>
      <c r="K234" s="120"/>
      <c r="L234" s="120"/>
      <c r="M234" s="120"/>
      <c r="N234" s="120"/>
      <c r="O234" s="118"/>
      <c r="P234" s="120"/>
      <c r="Q234" s="121"/>
      <c r="R234" s="109" t="b">
        <v>0</v>
      </c>
      <c r="S234" s="143"/>
      <c r="T234" s="110"/>
      <c r="U234" s="118"/>
      <c r="V234" s="118"/>
      <c r="W234" s="118"/>
      <c r="X234" s="118"/>
      <c r="Y234" s="118"/>
      <c r="Z234" s="118"/>
      <c r="AA234" s="118"/>
      <c r="AB234" s="118"/>
      <c r="AC234" s="118"/>
      <c r="AD234" s="111"/>
      <c r="AE234" s="122"/>
      <c r="AF234" s="122"/>
      <c r="AG234" s="122"/>
      <c r="AH234" s="122"/>
    </row>
    <row r="235" ht="22.5" customHeight="1">
      <c r="A235" s="73"/>
      <c r="B235" s="73"/>
      <c r="C235" s="73"/>
      <c r="D235" s="73"/>
      <c r="E235" s="330"/>
      <c r="F235" s="118"/>
      <c r="G235" s="118"/>
      <c r="H235" s="118"/>
      <c r="I235" s="118"/>
      <c r="J235" s="119"/>
      <c r="K235" s="120"/>
      <c r="L235" s="120"/>
      <c r="M235" s="120"/>
      <c r="N235" s="120"/>
      <c r="O235" s="118"/>
      <c r="P235" s="120"/>
      <c r="Q235" s="121"/>
      <c r="R235" s="109" t="b">
        <v>0</v>
      </c>
      <c r="S235" s="143"/>
      <c r="T235" s="110"/>
      <c r="U235" s="118"/>
      <c r="V235" s="118"/>
      <c r="W235" s="118"/>
      <c r="X235" s="118"/>
      <c r="Y235" s="118"/>
      <c r="Z235" s="118"/>
      <c r="AA235" s="118"/>
      <c r="AB235" s="118"/>
      <c r="AC235" s="118"/>
      <c r="AD235" s="111"/>
      <c r="AE235" s="122"/>
      <c r="AF235" s="122"/>
      <c r="AG235" s="122"/>
      <c r="AH235" s="122"/>
    </row>
    <row r="236" ht="22.5" customHeight="1">
      <c r="A236" s="73"/>
      <c r="B236" s="73"/>
      <c r="C236" s="73"/>
      <c r="D236" s="73"/>
      <c r="E236" s="330"/>
      <c r="F236" s="118"/>
      <c r="G236" s="118"/>
      <c r="H236" s="118"/>
      <c r="I236" s="118"/>
      <c r="J236" s="119"/>
      <c r="K236" s="120"/>
      <c r="L236" s="120"/>
      <c r="M236" s="120"/>
      <c r="N236" s="120"/>
      <c r="O236" s="118"/>
      <c r="P236" s="120"/>
      <c r="Q236" s="121"/>
      <c r="R236" s="109" t="b">
        <v>0</v>
      </c>
      <c r="S236" s="143"/>
      <c r="T236" s="110"/>
      <c r="U236" s="118"/>
      <c r="V236" s="118"/>
      <c r="W236" s="118"/>
      <c r="X236" s="118"/>
      <c r="Y236" s="118"/>
      <c r="Z236" s="118"/>
      <c r="AA236" s="118"/>
      <c r="AB236" s="118"/>
      <c r="AC236" s="118"/>
      <c r="AD236" s="111"/>
      <c r="AE236" s="122"/>
      <c r="AF236" s="122"/>
      <c r="AG236" s="122"/>
      <c r="AH236" s="122"/>
    </row>
    <row r="237" ht="22.5" customHeight="1">
      <c r="A237" s="73"/>
      <c r="B237" s="73"/>
      <c r="C237" s="73"/>
      <c r="D237" s="73"/>
      <c r="E237" s="330"/>
      <c r="F237" s="118"/>
      <c r="G237" s="118"/>
      <c r="H237" s="118"/>
      <c r="I237" s="118"/>
      <c r="J237" s="119"/>
      <c r="K237" s="120"/>
      <c r="L237" s="120"/>
      <c r="M237" s="120"/>
      <c r="N237" s="120"/>
      <c r="O237" s="118"/>
      <c r="P237" s="120"/>
      <c r="Q237" s="121"/>
      <c r="R237" s="109" t="b">
        <v>0</v>
      </c>
      <c r="S237" s="143"/>
      <c r="T237" s="110"/>
      <c r="U237" s="118"/>
      <c r="V237" s="118"/>
      <c r="W237" s="118"/>
      <c r="X237" s="118"/>
      <c r="Y237" s="118"/>
      <c r="Z237" s="118"/>
      <c r="AA237" s="118"/>
      <c r="AB237" s="118"/>
      <c r="AC237" s="118"/>
      <c r="AD237" s="111"/>
      <c r="AE237" s="122"/>
      <c r="AF237" s="122"/>
      <c r="AG237" s="122"/>
      <c r="AH237" s="122"/>
    </row>
    <row r="238" ht="22.5" customHeight="1">
      <c r="A238" s="73"/>
      <c r="B238" s="73"/>
      <c r="C238" s="73"/>
      <c r="D238" s="73"/>
      <c r="E238" s="330"/>
      <c r="F238" s="118"/>
      <c r="G238" s="118"/>
      <c r="H238" s="118"/>
      <c r="I238" s="118"/>
      <c r="J238" s="119"/>
      <c r="K238" s="120"/>
      <c r="L238" s="120"/>
      <c r="M238" s="120"/>
      <c r="N238" s="120"/>
      <c r="O238" s="118"/>
      <c r="P238" s="120"/>
      <c r="Q238" s="121"/>
      <c r="R238" s="109" t="b">
        <v>0</v>
      </c>
      <c r="S238" s="143"/>
      <c r="T238" s="110"/>
      <c r="U238" s="118"/>
      <c r="V238" s="118"/>
      <c r="W238" s="118"/>
      <c r="X238" s="118"/>
      <c r="Y238" s="118"/>
      <c r="Z238" s="118"/>
      <c r="AA238" s="118"/>
      <c r="AB238" s="118"/>
      <c r="AC238" s="118"/>
      <c r="AD238" s="111"/>
      <c r="AE238" s="122"/>
      <c r="AF238" s="122"/>
      <c r="AG238" s="122"/>
      <c r="AH238" s="122"/>
    </row>
    <row r="239" ht="22.5" customHeight="1">
      <c r="A239" s="73"/>
      <c r="B239" s="73"/>
      <c r="C239" s="73"/>
      <c r="D239" s="73"/>
      <c r="E239" s="330"/>
      <c r="F239" s="118"/>
      <c r="G239" s="118"/>
      <c r="H239" s="118"/>
      <c r="I239" s="118"/>
      <c r="J239" s="119"/>
      <c r="K239" s="120"/>
      <c r="L239" s="120"/>
      <c r="M239" s="120"/>
      <c r="N239" s="120"/>
      <c r="O239" s="118"/>
      <c r="P239" s="120"/>
      <c r="Q239" s="121"/>
      <c r="R239" s="109" t="b">
        <v>0</v>
      </c>
      <c r="S239" s="143"/>
      <c r="T239" s="110"/>
      <c r="U239" s="118"/>
      <c r="V239" s="118"/>
      <c r="W239" s="118"/>
      <c r="X239" s="118"/>
      <c r="Y239" s="118"/>
      <c r="Z239" s="118"/>
      <c r="AA239" s="118"/>
      <c r="AB239" s="118"/>
      <c r="AC239" s="118"/>
      <c r="AD239" s="111"/>
      <c r="AE239" s="122"/>
      <c r="AF239" s="122"/>
      <c r="AG239" s="122"/>
      <c r="AH239" s="122"/>
    </row>
    <row r="240" ht="22.5" customHeight="1">
      <c r="A240" s="73"/>
      <c r="B240" s="73"/>
      <c r="C240" s="73"/>
      <c r="D240" s="73"/>
      <c r="E240" s="330"/>
      <c r="F240" s="118"/>
      <c r="G240" s="118"/>
      <c r="H240" s="118"/>
      <c r="I240" s="118"/>
      <c r="J240" s="119"/>
      <c r="K240" s="120"/>
      <c r="L240" s="120"/>
      <c r="M240" s="120"/>
      <c r="N240" s="120"/>
      <c r="O240" s="118"/>
      <c r="P240" s="120"/>
      <c r="Q240" s="121"/>
      <c r="R240" s="109" t="b">
        <v>0</v>
      </c>
      <c r="S240" s="143"/>
      <c r="T240" s="110"/>
      <c r="U240" s="118"/>
      <c r="V240" s="118"/>
      <c r="W240" s="118"/>
      <c r="X240" s="118"/>
      <c r="Y240" s="118"/>
      <c r="Z240" s="118"/>
      <c r="AA240" s="118"/>
      <c r="AB240" s="118"/>
      <c r="AC240" s="118"/>
      <c r="AD240" s="111"/>
      <c r="AE240" s="122"/>
      <c r="AF240" s="122"/>
      <c r="AG240" s="122"/>
      <c r="AH240" s="122"/>
    </row>
    <row r="241" ht="22.5" customHeight="1">
      <c r="A241" s="73"/>
      <c r="B241" s="73"/>
      <c r="C241" s="73"/>
      <c r="D241" s="73"/>
      <c r="E241" s="330"/>
      <c r="F241" s="118"/>
      <c r="G241" s="118"/>
      <c r="H241" s="118"/>
      <c r="I241" s="118"/>
      <c r="J241" s="119"/>
      <c r="K241" s="120"/>
      <c r="L241" s="120"/>
      <c r="M241" s="120"/>
      <c r="N241" s="120"/>
      <c r="O241" s="118"/>
      <c r="P241" s="120"/>
      <c r="Q241" s="121"/>
      <c r="R241" s="109" t="b">
        <v>0</v>
      </c>
      <c r="S241" s="143"/>
      <c r="T241" s="110"/>
      <c r="U241" s="118"/>
      <c r="V241" s="118"/>
      <c r="W241" s="118"/>
      <c r="X241" s="118"/>
      <c r="Y241" s="118"/>
      <c r="Z241" s="118"/>
      <c r="AA241" s="118"/>
      <c r="AB241" s="118"/>
      <c r="AC241" s="118"/>
      <c r="AD241" s="111"/>
      <c r="AE241" s="122"/>
      <c r="AF241" s="122"/>
      <c r="AG241" s="122"/>
      <c r="AH241" s="122"/>
    </row>
    <row r="242" ht="22.5" customHeight="1">
      <c r="A242" s="73"/>
      <c r="B242" s="73"/>
      <c r="C242" s="73"/>
      <c r="D242" s="73"/>
      <c r="E242" s="330"/>
      <c r="F242" s="118"/>
      <c r="G242" s="118"/>
      <c r="H242" s="118"/>
      <c r="I242" s="118"/>
      <c r="J242" s="119"/>
      <c r="K242" s="120"/>
      <c r="L242" s="120"/>
      <c r="M242" s="120"/>
      <c r="N242" s="120"/>
      <c r="O242" s="118"/>
      <c r="P242" s="120"/>
      <c r="Q242" s="121"/>
      <c r="R242" s="109" t="b">
        <v>0</v>
      </c>
      <c r="S242" s="143"/>
      <c r="T242" s="110"/>
      <c r="U242" s="118"/>
      <c r="V242" s="118"/>
      <c r="W242" s="118"/>
      <c r="X242" s="118"/>
      <c r="Y242" s="118"/>
      <c r="Z242" s="118"/>
      <c r="AA242" s="118"/>
      <c r="AB242" s="118"/>
      <c r="AC242" s="118"/>
      <c r="AD242" s="111"/>
      <c r="AE242" s="122"/>
      <c r="AF242" s="122"/>
      <c r="AG242" s="122"/>
      <c r="AH242" s="122"/>
    </row>
    <row r="243" ht="22.5" customHeight="1">
      <c r="A243" s="73"/>
      <c r="B243" s="73"/>
      <c r="C243" s="73"/>
      <c r="D243" s="73"/>
      <c r="E243" s="330"/>
      <c r="F243" s="118"/>
      <c r="G243" s="118"/>
      <c r="H243" s="118"/>
      <c r="I243" s="118"/>
      <c r="J243" s="119"/>
      <c r="K243" s="120"/>
      <c r="L243" s="120"/>
      <c r="M243" s="120"/>
      <c r="N243" s="120"/>
      <c r="O243" s="118"/>
      <c r="P243" s="120"/>
      <c r="Q243" s="121"/>
      <c r="R243" s="109" t="b">
        <v>0</v>
      </c>
      <c r="S243" s="143"/>
      <c r="T243" s="110"/>
      <c r="U243" s="118"/>
      <c r="V243" s="118"/>
      <c r="W243" s="118"/>
      <c r="X243" s="118"/>
      <c r="Y243" s="118"/>
      <c r="Z243" s="118"/>
      <c r="AA243" s="118"/>
      <c r="AB243" s="118"/>
      <c r="AC243" s="118"/>
      <c r="AD243" s="111"/>
      <c r="AE243" s="122"/>
      <c r="AF243" s="122"/>
      <c r="AG243" s="122"/>
      <c r="AH243" s="122"/>
    </row>
    <row r="244" ht="22.5" customHeight="1">
      <c r="A244" s="73"/>
      <c r="B244" s="73"/>
      <c r="C244" s="73"/>
      <c r="D244" s="73"/>
      <c r="E244" s="330"/>
      <c r="F244" s="118"/>
      <c r="G244" s="118"/>
      <c r="H244" s="118"/>
      <c r="I244" s="118"/>
      <c r="J244" s="119"/>
      <c r="K244" s="120"/>
      <c r="L244" s="120"/>
      <c r="M244" s="120"/>
      <c r="N244" s="120"/>
      <c r="O244" s="118"/>
      <c r="P244" s="120"/>
      <c r="Q244" s="121"/>
      <c r="R244" s="109" t="b">
        <v>0</v>
      </c>
      <c r="S244" s="143"/>
      <c r="T244" s="110"/>
      <c r="U244" s="118"/>
      <c r="V244" s="118"/>
      <c r="W244" s="118"/>
      <c r="X244" s="118"/>
      <c r="Y244" s="118"/>
      <c r="Z244" s="118"/>
      <c r="AA244" s="118"/>
      <c r="AB244" s="118"/>
      <c r="AC244" s="118"/>
      <c r="AD244" s="111"/>
      <c r="AE244" s="122"/>
      <c r="AF244" s="122"/>
      <c r="AG244" s="122"/>
      <c r="AH244" s="122"/>
    </row>
    <row r="245" ht="22.5" customHeight="1">
      <c r="A245" s="73"/>
      <c r="B245" s="73"/>
      <c r="C245" s="73"/>
      <c r="D245" s="73"/>
      <c r="E245" s="330"/>
      <c r="F245" s="118"/>
      <c r="G245" s="118"/>
      <c r="H245" s="118"/>
      <c r="I245" s="118"/>
      <c r="J245" s="119"/>
      <c r="K245" s="120"/>
      <c r="L245" s="120"/>
      <c r="M245" s="120"/>
      <c r="N245" s="120"/>
      <c r="O245" s="118"/>
      <c r="P245" s="120"/>
      <c r="Q245" s="121"/>
      <c r="R245" s="109" t="b">
        <v>0</v>
      </c>
      <c r="S245" s="143"/>
      <c r="T245" s="110"/>
      <c r="U245" s="118"/>
      <c r="V245" s="118"/>
      <c r="W245" s="118"/>
      <c r="X245" s="118"/>
      <c r="Y245" s="118"/>
      <c r="Z245" s="118"/>
      <c r="AA245" s="118"/>
      <c r="AB245" s="118"/>
      <c r="AC245" s="118"/>
      <c r="AD245" s="111"/>
      <c r="AE245" s="122"/>
      <c r="AF245" s="122"/>
      <c r="AG245" s="122"/>
      <c r="AH245" s="122"/>
    </row>
    <row r="246" ht="22.5" customHeight="1">
      <c r="A246" s="73"/>
      <c r="B246" s="73"/>
      <c r="C246" s="73"/>
      <c r="D246" s="73"/>
      <c r="E246" s="330"/>
      <c r="F246" s="118"/>
      <c r="G246" s="118"/>
      <c r="H246" s="118"/>
      <c r="I246" s="118"/>
      <c r="J246" s="119"/>
      <c r="K246" s="120"/>
      <c r="L246" s="120"/>
      <c r="M246" s="120"/>
      <c r="N246" s="120"/>
      <c r="O246" s="118"/>
      <c r="P246" s="120"/>
      <c r="Q246" s="121"/>
      <c r="R246" s="109" t="b">
        <v>0</v>
      </c>
      <c r="S246" s="143"/>
      <c r="T246" s="110"/>
      <c r="U246" s="118"/>
      <c r="V246" s="118"/>
      <c r="W246" s="118"/>
      <c r="X246" s="118"/>
      <c r="Y246" s="118"/>
      <c r="Z246" s="118"/>
      <c r="AA246" s="118"/>
      <c r="AB246" s="118"/>
      <c r="AC246" s="118"/>
      <c r="AD246" s="111"/>
      <c r="AE246" s="122"/>
      <c r="AF246" s="122"/>
      <c r="AG246" s="122"/>
      <c r="AH246" s="122"/>
    </row>
    <row r="247" ht="22.5" customHeight="1">
      <c r="A247" s="73"/>
      <c r="B247" s="73"/>
      <c r="C247" s="73"/>
      <c r="D247" s="73"/>
      <c r="E247" s="330"/>
      <c r="F247" s="118"/>
      <c r="G247" s="118"/>
      <c r="H247" s="118"/>
      <c r="I247" s="118"/>
      <c r="J247" s="119"/>
      <c r="K247" s="120"/>
      <c r="L247" s="120"/>
      <c r="M247" s="120"/>
      <c r="N247" s="120"/>
      <c r="O247" s="118"/>
      <c r="P247" s="120"/>
      <c r="Q247" s="121"/>
      <c r="R247" s="109" t="b">
        <v>0</v>
      </c>
      <c r="S247" s="143"/>
      <c r="T247" s="110"/>
      <c r="U247" s="118"/>
      <c r="V247" s="118"/>
      <c r="W247" s="118"/>
      <c r="X247" s="118"/>
      <c r="Y247" s="118"/>
      <c r="Z247" s="118"/>
      <c r="AA247" s="118"/>
      <c r="AB247" s="118"/>
      <c r="AC247" s="118"/>
      <c r="AD247" s="111"/>
      <c r="AE247" s="122"/>
      <c r="AF247" s="122"/>
      <c r="AG247" s="122"/>
      <c r="AH247" s="122"/>
    </row>
    <row r="248" ht="22.5" customHeight="1">
      <c r="A248" s="73"/>
      <c r="B248" s="73"/>
      <c r="C248" s="73"/>
      <c r="D248" s="73"/>
      <c r="E248" s="330"/>
      <c r="F248" s="118"/>
      <c r="G248" s="118"/>
      <c r="H248" s="118"/>
      <c r="I248" s="118"/>
      <c r="J248" s="119"/>
      <c r="K248" s="120"/>
      <c r="L248" s="120"/>
      <c r="M248" s="120"/>
      <c r="N248" s="120"/>
      <c r="O248" s="118"/>
      <c r="P248" s="120"/>
      <c r="Q248" s="121"/>
      <c r="R248" s="109" t="b">
        <v>0</v>
      </c>
      <c r="S248" s="143"/>
      <c r="T248" s="110"/>
      <c r="U248" s="118"/>
      <c r="V248" s="118"/>
      <c r="W248" s="118"/>
      <c r="X248" s="118"/>
      <c r="Y248" s="118"/>
      <c r="Z248" s="118"/>
      <c r="AA248" s="118"/>
      <c r="AB248" s="118"/>
      <c r="AC248" s="118"/>
      <c r="AD248" s="111"/>
      <c r="AE248" s="122"/>
      <c r="AF248" s="122"/>
      <c r="AG248" s="122"/>
      <c r="AH248" s="122"/>
    </row>
    <row r="249" ht="22.5" customHeight="1">
      <c r="A249" s="73"/>
      <c r="B249" s="73"/>
      <c r="C249" s="73"/>
      <c r="D249" s="73"/>
      <c r="E249" s="330"/>
      <c r="F249" s="118"/>
      <c r="G249" s="118"/>
      <c r="H249" s="118"/>
      <c r="I249" s="118"/>
      <c r="J249" s="119"/>
      <c r="K249" s="120"/>
      <c r="L249" s="120"/>
      <c r="M249" s="120"/>
      <c r="N249" s="120"/>
      <c r="O249" s="118"/>
      <c r="P249" s="120"/>
      <c r="Q249" s="121"/>
      <c r="R249" s="109" t="b">
        <v>0</v>
      </c>
      <c r="S249" s="143"/>
      <c r="T249" s="110"/>
      <c r="U249" s="118"/>
      <c r="V249" s="118"/>
      <c r="W249" s="118"/>
      <c r="X249" s="118"/>
      <c r="Y249" s="118"/>
      <c r="Z249" s="118"/>
      <c r="AA249" s="118"/>
      <c r="AB249" s="118"/>
      <c r="AC249" s="118"/>
      <c r="AD249" s="111"/>
      <c r="AE249" s="122"/>
      <c r="AF249" s="122"/>
      <c r="AG249" s="122"/>
      <c r="AH249" s="122"/>
    </row>
    <row r="250" ht="22.5" customHeight="1">
      <c r="A250" s="73"/>
      <c r="B250" s="73"/>
      <c r="C250" s="73"/>
      <c r="D250" s="73"/>
      <c r="E250" s="330"/>
      <c r="F250" s="118"/>
      <c r="G250" s="118"/>
      <c r="H250" s="118"/>
      <c r="I250" s="118"/>
      <c r="J250" s="119"/>
      <c r="K250" s="120"/>
      <c r="L250" s="120"/>
      <c r="M250" s="120"/>
      <c r="N250" s="120"/>
      <c r="O250" s="118"/>
      <c r="P250" s="120"/>
      <c r="Q250" s="121"/>
      <c r="R250" s="109" t="b">
        <v>0</v>
      </c>
      <c r="S250" s="143"/>
      <c r="T250" s="110"/>
      <c r="U250" s="118"/>
      <c r="V250" s="118"/>
      <c r="W250" s="118"/>
      <c r="X250" s="118"/>
      <c r="Y250" s="118"/>
      <c r="Z250" s="118"/>
      <c r="AA250" s="118"/>
      <c r="AB250" s="118"/>
      <c r="AC250" s="118"/>
      <c r="AD250" s="111"/>
      <c r="AE250" s="122"/>
      <c r="AF250" s="122"/>
      <c r="AG250" s="122"/>
      <c r="AH250" s="122"/>
    </row>
    <row r="251" ht="22.5" customHeight="1">
      <c r="A251" s="73"/>
      <c r="B251" s="73"/>
      <c r="C251" s="73"/>
      <c r="D251" s="73"/>
      <c r="E251" s="330"/>
      <c r="F251" s="118"/>
      <c r="G251" s="118"/>
      <c r="H251" s="118"/>
      <c r="I251" s="118"/>
      <c r="J251" s="119"/>
      <c r="K251" s="120"/>
      <c r="L251" s="120"/>
      <c r="M251" s="120"/>
      <c r="N251" s="120"/>
      <c r="O251" s="118"/>
      <c r="P251" s="120"/>
      <c r="Q251" s="121"/>
      <c r="R251" s="109" t="b">
        <v>0</v>
      </c>
      <c r="S251" s="143"/>
      <c r="T251" s="110"/>
      <c r="U251" s="118"/>
      <c r="V251" s="118"/>
      <c r="W251" s="118"/>
      <c r="X251" s="118"/>
      <c r="Y251" s="118"/>
      <c r="Z251" s="118"/>
      <c r="AA251" s="118"/>
      <c r="AB251" s="118"/>
      <c r="AC251" s="118"/>
      <c r="AD251" s="111"/>
      <c r="AE251" s="122"/>
      <c r="AF251" s="122"/>
      <c r="AG251" s="122"/>
      <c r="AH251" s="122"/>
    </row>
    <row r="252" ht="22.5" customHeight="1">
      <c r="A252" s="73"/>
      <c r="B252" s="73"/>
      <c r="C252" s="73"/>
      <c r="D252" s="73"/>
      <c r="E252" s="330"/>
      <c r="F252" s="118"/>
      <c r="G252" s="118"/>
      <c r="H252" s="118"/>
      <c r="I252" s="118"/>
      <c r="J252" s="119"/>
      <c r="K252" s="120"/>
      <c r="L252" s="120"/>
      <c r="M252" s="120"/>
      <c r="N252" s="120"/>
      <c r="O252" s="118"/>
      <c r="P252" s="120"/>
      <c r="Q252" s="121"/>
      <c r="R252" s="109" t="b">
        <v>0</v>
      </c>
      <c r="S252" s="143"/>
      <c r="T252" s="110"/>
      <c r="U252" s="118"/>
      <c r="V252" s="118"/>
      <c r="W252" s="118"/>
      <c r="X252" s="118"/>
      <c r="Y252" s="118"/>
      <c r="Z252" s="118"/>
      <c r="AA252" s="118"/>
      <c r="AB252" s="118"/>
      <c r="AC252" s="118"/>
      <c r="AD252" s="111"/>
      <c r="AE252" s="122"/>
      <c r="AF252" s="122"/>
      <c r="AG252" s="122"/>
      <c r="AH252" s="122"/>
    </row>
    <row r="253" ht="22.5" customHeight="1">
      <c r="A253" s="73"/>
      <c r="B253" s="73"/>
      <c r="C253" s="73"/>
      <c r="D253" s="73"/>
      <c r="E253" s="330"/>
      <c r="F253" s="118"/>
      <c r="G253" s="118"/>
      <c r="H253" s="118"/>
      <c r="I253" s="118"/>
      <c r="J253" s="119"/>
      <c r="K253" s="120"/>
      <c r="L253" s="120"/>
      <c r="M253" s="120"/>
      <c r="N253" s="120"/>
      <c r="O253" s="118"/>
      <c r="P253" s="120"/>
      <c r="Q253" s="121"/>
      <c r="R253" s="109" t="b">
        <v>0</v>
      </c>
      <c r="S253" s="143"/>
      <c r="T253" s="110"/>
      <c r="U253" s="118"/>
      <c r="V253" s="118"/>
      <c r="W253" s="118"/>
      <c r="X253" s="118"/>
      <c r="Y253" s="118"/>
      <c r="Z253" s="118"/>
      <c r="AA253" s="118"/>
      <c r="AB253" s="118"/>
      <c r="AC253" s="118"/>
      <c r="AD253" s="111"/>
      <c r="AE253" s="122"/>
      <c r="AF253" s="122"/>
      <c r="AG253" s="122"/>
      <c r="AH253" s="122"/>
    </row>
    <row r="254" ht="22.5" customHeight="1">
      <c r="A254" s="73"/>
      <c r="B254" s="73"/>
      <c r="C254" s="73"/>
      <c r="D254" s="73"/>
      <c r="E254" s="330"/>
      <c r="F254" s="118"/>
      <c r="G254" s="118"/>
      <c r="H254" s="118"/>
      <c r="I254" s="118"/>
      <c r="J254" s="119"/>
      <c r="K254" s="120"/>
      <c r="L254" s="120"/>
      <c r="M254" s="120"/>
      <c r="N254" s="120"/>
      <c r="O254" s="118"/>
      <c r="P254" s="120"/>
      <c r="Q254" s="121"/>
      <c r="R254" s="109" t="b">
        <v>0</v>
      </c>
      <c r="S254" s="143"/>
      <c r="T254" s="110"/>
      <c r="U254" s="118"/>
      <c r="V254" s="118"/>
      <c r="W254" s="118"/>
      <c r="X254" s="118"/>
      <c r="Y254" s="118"/>
      <c r="Z254" s="118"/>
      <c r="AA254" s="118"/>
      <c r="AB254" s="118"/>
      <c r="AC254" s="118"/>
      <c r="AD254" s="111"/>
      <c r="AE254" s="122"/>
      <c r="AF254" s="122"/>
      <c r="AG254" s="122"/>
      <c r="AH254" s="122"/>
    </row>
    <row r="255" ht="22.5" customHeight="1">
      <c r="A255" s="73"/>
      <c r="B255" s="73"/>
      <c r="C255" s="73"/>
      <c r="D255" s="73"/>
      <c r="E255" s="330"/>
      <c r="F255" s="118"/>
      <c r="G255" s="118"/>
      <c r="H255" s="118"/>
      <c r="I255" s="118"/>
      <c r="J255" s="119"/>
      <c r="K255" s="120"/>
      <c r="L255" s="120"/>
      <c r="M255" s="120"/>
      <c r="N255" s="120"/>
      <c r="O255" s="118"/>
      <c r="P255" s="120"/>
      <c r="Q255" s="121"/>
      <c r="R255" s="109" t="b">
        <v>0</v>
      </c>
      <c r="S255" s="143"/>
      <c r="T255" s="110"/>
      <c r="U255" s="118"/>
      <c r="V255" s="118"/>
      <c r="W255" s="118"/>
      <c r="X255" s="118"/>
      <c r="Y255" s="118"/>
      <c r="Z255" s="118"/>
      <c r="AA255" s="118"/>
      <c r="AB255" s="118"/>
      <c r="AC255" s="118"/>
      <c r="AD255" s="111"/>
      <c r="AE255" s="122"/>
      <c r="AF255" s="122"/>
      <c r="AG255" s="122"/>
      <c r="AH255" s="122"/>
    </row>
    <row r="256" ht="22.5" customHeight="1">
      <c r="A256" s="73"/>
      <c r="B256" s="73"/>
      <c r="C256" s="73"/>
      <c r="D256" s="73"/>
      <c r="E256" s="330"/>
      <c r="F256" s="118"/>
      <c r="G256" s="118"/>
      <c r="H256" s="118"/>
      <c r="I256" s="118"/>
      <c r="J256" s="119"/>
      <c r="K256" s="120"/>
      <c r="L256" s="120"/>
      <c r="M256" s="120"/>
      <c r="N256" s="120"/>
      <c r="O256" s="118"/>
      <c r="P256" s="120"/>
      <c r="Q256" s="121"/>
      <c r="R256" s="109" t="b">
        <v>0</v>
      </c>
      <c r="S256" s="143"/>
      <c r="T256" s="110"/>
      <c r="U256" s="118"/>
      <c r="V256" s="118"/>
      <c r="W256" s="118"/>
      <c r="X256" s="118"/>
      <c r="Y256" s="118"/>
      <c r="Z256" s="118"/>
      <c r="AA256" s="118"/>
      <c r="AB256" s="118"/>
      <c r="AC256" s="118"/>
      <c r="AD256" s="111"/>
      <c r="AE256" s="122"/>
      <c r="AF256" s="122"/>
      <c r="AG256" s="122"/>
      <c r="AH256" s="122"/>
    </row>
    <row r="257" ht="22.5" customHeight="1">
      <c r="A257" s="73"/>
      <c r="B257" s="73"/>
      <c r="C257" s="73"/>
      <c r="D257" s="73"/>
      <c r="E257" s="330"/>
      <c r="F257" s="118"/>
      <c r="G257" s="118"/>
      <c r="H257" s="118"/>
      <c r="I257" s="118"/>
      <c r="J257" s="119"/>
      <c r="K257" s="120"/>
      <c r="L257" s="120"/>
      <c r="M257" s="120"/>
      <c r="N257" s="120"/>
      <c r="O257" s="118"/>
      <c r="P257" s="120"/>
      <c r="Q257" s="121"/>
      <c r="R257" s="109" t="b">
        <v>0</v>
      </c>
      <c r="S257" s="143"/>
      <c r="T257" s="110"/>
      <c r="U257" s="118"/>
      <c r="V257" s="118"/>
      <c r="W257" s="118"/>
      <c r="X257" s="118"/>
      <c r="Y257" s="118"/>
      <c r="Z257" s="118"/>
      <c r="AA257" s="118"/>
      <c r="AB257" s="118"/>
      <c r="AC257" s="118"/>
      <c r="AD257" s="111"/>
      <c r="AE257" s="122"/>
      <c r="AF257" s="122"/>
      <c r="AG257" s="122"/>
      <c r="AH257" s="122"/>
    </row>
    <row r="258" ht="22.5" customHeight="1">
      <c r="A258" s="73"/>
      <c r="B258" s="73"/>
      <c r="C258" s="73"/>
      <c r="D258" s="73"/>
      <c r="E258" s="330"/>
      <c r="F258" s="118"/>
      <c r="G258" s="118"/>
      <c r="H258" s="118"/>
      <c r="I258" s="118"/>
      <c r="J258" s="119"/>
      <c r="K258" s="120"/>
      <c r="L258" s="120"/>
      <c r="M258" s="120"/>
      <c r="N258" s="120"/>
      <c r="O258" s="118"/>
      <c r="P258" s="120"/>
      <c r="Q258" s="121"/>
      <c r="R258" s="109" t="b">
        <v>0</v>
      </c>
      <c r="S258" s="143"/>
      <c r="T258" s="110"/>
      <c r="U258" s="118"/>
      <c r="V258" s="118"/>
      <c r="W258" s="118"/>
      <c r="X258" s="118"/>
      <c r="Y258" s="118"/>
      <c r="Z258" s="118"/>
      <c r="AA258" s="118"/>
      <c r="AB258" s="118"/>
      <c r="AC258" s="118"/>
      <c r="AD258" s="111"/>
      <c r="AE258" s="122"/>
      <c r="AF258" s="122"/>
      <c r="AG258" s="122"/>
      <c r="AH258" s="122"/>
    </row>
    <row r="259" ht="22.5" customHeight="1">
      <c r="A259" s="73"/>
      <c r="B259" s="73"/>
      <c r="C259" s="73"/>
      <c r="D259" s="73"/>
      <c r="E259" s="330"/>
      <c r="F259" s="118"/>
      <c r="G259" s="118"/>
      <c r="H259" s="118"/>
      <c r="I259" s="118"/>
      <c r="J259" s="119"/>
      <c r="K259" s="120"/>
      <c r="L259" s="120"/>
      <c r="M259" s="120"/>
      <c r="N259" s="120"/>
      <c r="O259" s="118"/>
      <c r="P259" s="120"/>
      <c r="Q259" s="121"/>
      <c r="R259" s="109" t="b">
        <v>0</v>
      </c>
      <c r="S259" s="143"/>
      <c r="T259" s="110"/>
      <c r="U259" s="118"/>
      <c r="V259" s="118"/>
      <c r="W259" s="118"/>
      <c r="X259" s="118"/>
      <c r="Y259" s="118"/>
      <c r="Z259" s="118"/>
      <c r="AA259" s="118"/>
      <c r="AB259" s="118"/>
      <c r="AC259" s="118"/>
      <c r="AD259" s="111"/>
      <c r="AE259" s="122"/>
      <c r="AF259" s="122"/>
      <c r="AG259" s="122"/>
      <c r="AH259" s="122"/>
    </row>
    <row r="260" ht="22.5" customHeight="1">
      <c r="A260" s="73"/>
      <c r="B260" s="73"/>
      <c r="C260" s="73"/>
      <c r="D260" s="73"/>
      <c r="E260" s="330"/>
      <c r="F260" s="118"/>
      <c r="G260" s="118"/>
      <c r="H260" s="118"/>
      <c r="I260" s="118"/>
      <c r="J260" s="119"/>
      <c r="K260" s="120"/>
      <c r="L260" s="120"/>
      <c r="M260" s="120"/>
      <c r="N260" s="120"/>
      <c r="O260" s="118"/>
      <c r="P260" s="120"/>
      <c r="Q260" s="121"/>
      <c r="R260" s="109" t="b">
        <v>0</v>
      </c>
      <c r="S260" s="143"/>
      <c r="T260" s="110"/>
      <c r="U260" s="118"/>
      <c r="V260" s="118"/>
      <c r="W260" s="118"/>
      <c r="X260" s="118"/>
      <c r="Y260" s="118"/>
      <c r="Z260" s="118"/>
      <c r="AA260" s="118"/>
      <c r="AB260" s="118"/>
      <c r="AC260" s="118"/>
      <c r="AD260" s="111"/>
      <c r="AE260" s="122"/>
      <c r="AF260" s="122"/>
      <c r="AG260" s="122"/>
      <c r="AH260" s="122"/>
    </row>
    <row r="261" ht="22.5" customHeight="1">
      <c r="A261" s="73"/>
      <c r="B261" s="73"/>
      <c r="C261" s="73"/>
      <c r="D261" s="73"/>
      <c r="E261" s="330"/>
      <c r="F261" s="118"/>
      <c r="G261" s="118"/>
      <c r="H261" s="118"/>
      <c r="I261" s="118"/>
      <c r="J261" s="119"/>
      <c r="K261" s="120"/>
      <c r="L261" s="120"/>
      <c r="M261" s="120"/>
      <c r="N261" s="120"/>
      <c r="O261" s="118"/>
      <c r="P261" s="120"/>
      <c r="Q261" s="121"/>
      <c r="R261" s="109" t="b">
        <v>0</v>
      </c>
      <c r="S261" s="143"/>
      <c r="T261" s="110"/>
      <c r="U261" s="118"/>
      <c r="V261" s="118"/>
      <c r="W261" s="118"/>
      <c r="X261" s="118"/>
      <c r="Y261" s="118"/>
      <c r="Z261" s="118"/>
      <c r="AA261" s="118"/>
      <c r="AB261" s="118"/>
      <c r="AC261" s="118"/>
      <c r="AD261" s="111"/>
      <c r="AE261" s="122"/>
      <c r="AF261" s="122"/>
      <c r="AG261" s="122"/>
      <c r="AH261" s="122"/>
    </row>
    <row r="262" ht="22.5" customHeight="1">
      <c r="A262" s="73"/>
      <c r="B262" s="73"/>
      <c r="C262" s="73"/>
      <c r="D262" s="73"/>
      <c r="E262" s="330"/>
      <c r="F262" s="118"/>
      <c r="G262" s="118"/>
      <c r="H262" s="118"/>
      <c r="I262" s="118"/>
      <c r="J262" s="119"/>
      <c r="K262" s="120"/>
      <c r="L262" s="120"/>
      <c r="M262" s="120"/>
      <c r="N262" s="120"/>
      <c r="O262" s="118"/>
      <c r="P262" s="120"/>
      <c r="Q262" s="121"/>
      <c r="R262" s="109" t="b">
        <v>0</v>
      </c>
      <c r="S262" s="143"/>
      <c r="T262" s="110"/>
      <c r="U262" s="118"/>
      <c r="V262" s="118"/>
      <c r="W262" s="118"/>
      <c r="X262" s="118"/>
      <c r="Y262" s="118"/>
      <c r="Z262" s="118"/>
      <c r="AA262" s="118"/>
      <c r="AB262" s="118"/>
      <c r="AC262" s="118"/>
      <c r="AD262" s="111"/>
      <c r="AE262" s="122"/>
      <c r="AF262" s="122"/>
      <c r="AG262" s="122"/>
      <c r="AH262" s="122"/>
    </row>
    <row r="263" ht="22.5" customHeight="1">
      <c r="A263" s="73"/>
      <c r="B263" s="73"/>
      <c r="C263" s="73"/>
      <c r="D263" s="73"/>
      <c r="E263" s="330"/>
      <c r="F263" s="118"/>
      <c r="G263" s="118"/>
      <c r="H263" s="118"/>
      <c r="I263" s="118"/>
      <c r="J263" s="119"/>
      <c r="K263" s="120"/>
      <c r="L263" s="120"/>
      <c r="M263" s="120"/>
      <c r="N263" s="120"/>
      <c r="O263" s="118"/>
      <c r="P263" s="120"/>
      <c r="Q263" s="121"/>
      <c r="R263" s="109" t="b">
        <v>0</v>
      </c>
      <c r="S263" s="143"/>
      <c r="T263" s="110"/>
      <c r="U263" s="118"/>
      <c r="V263" s="118"/>
      <c r="W263" s="118"/>
      <c r="X263" s="118"/>
      <c r="Y263" s="118"/>
      <c r="Z263" s="118"/>
      <c r="AA263" s="118"/>
      <c r="AB263" s="118"/>
      <c r="AC263" s="118"/>
      <c r="AD263" s="111"/>
      <c r="AE263" s="122"/>
      <c r="AF263" s="122"/>
      <c r="AG263" s="122"/>
      <c r="AH263" s="122"/>
    </row>
    <row r="264" ht="22.5" customHeight="1">
      <c r="A264" s="73"/>
      <c r="B264" s="73"/>
      <c r="C264" s="73"/>
      <c r="D264" s="73"/>
      <c r="E264" s="330"/>
      <c r="F264" s="118"/>
      <c r="G264" s="118"/>
      <c r="H264" s="118"/>
      <c r="I264" s="118"/>
      <c r="J264" s="119"/>
      <c r="K264" s="120"/>
      <c r="L264" s="120"/>
      <c r="M264" s="120"/>
      <c r="N264" s="120"/>
      <c r="O264" s="118"/>
      <c r="P264" s="120"/>
      <c r="Q264" s="121"/>
      <c r="R264" s="109" t="b">
        <v>0</v>
      </c>
      <c r="S264" s="143"/>
      <c r="T264" s="110"/>
      <c r="U264" s="118"/>
      <c r="V264" s="118"/>
      <c r="W264" s="118"/>
      <c r="X264" s="118"/>
      <c r="Y264" s="118"/>
      <c r="Z264" s="118"/>
      <c r="AA264" s="118"/>
      <c r="AB264" s="118"/>
      <c r="AC264" s="118"/>
      <c r="AD264" s="111"/>
      <c r="AE264" s="122"/>
      <c r="AF264" s="122"/>
      <c r="AG264" s="122"/>
      <c r="AH264" s="122"/>
    </row>
    <row r="265" ht="22.5" customHeight="1">
      <c r="A265" s="73"/>
      <c r="B265" s="73"/>
      <c r="C265" s="73"/>
      <c r="D265" s="73"/>
      <c r="E265" s="330"/>
      <c r="F265" s="118"/>
      <c r="G265" s="118"/>
      <c r="H265" s="118"/>
      <c r="I265" s="118"/>
      <c r="J265" s="119"/>
      <c r="K265" s="120"/>
      <c r="L265" s="120"/>
      <c r="M265" s="120"/>
      <c r="N265" s="120"/>
      <c r="O265" s="118"/>
      <c r="P265" s="120"/>
      <c r="Q265" s="121"/>
      <c r="R265" s="109" t="b">
        <v>0</v>
      </c>
      <c r="S265" s="143"/>
      <c r="T265" s="110"/>
      <c r="U265" s="118"/>
      <c r="V265" s="118"/>
      <c r="W265" s="118"/>
      <c r="X265" s="118"/>
      <c r="Y265" s="118"/>
      <c r="Z265" s="118"/>
      <c r="AA265" s="118"/>
      <c r="AB265" s="118"/>
      <c r="AC265" s="118"/>
      <c r="AD265" s="111"/>
      <c r="AE265" s="122"/>
      <c r="AF265" s="122"/>
      <c r="AG265" s="122"/>
      <c r="AH265" s="122"/>
    </row>
    <row r="266" ht="22.5" customHeight="1">
      <c r="A266" s="73"/>
      <c r="B266" s="73"/>
      <c r="C266" s="73"/>
      <c r="D266" s="73"/>
      <c r="E266" s="330"/>
      <c r="F266" s="118"/>
      <c r="G266" s="118"/>
      <c r="H266" s="118"/>
      <c r="I266" s="118"/>
      <c r="J266" s="119"/>
      <c r="K266" s="120"/>
      <c r="L266" s="120"/>
      <c r="M266" s="120"/>
      <c r="N266" s="120"/>
      <c r="O266" s="118"/>
      <c r="P266" s="120"/>
      <c r="Q266" s="121"/>
      <c r="R266" s="109" t="b">
        <v>0</v>
      </c>
      <c r="S266" s="143"/>
      <c r="T266" s="110"/>
      <c r="U266" s="118"/>
      <c r="V266" s="118"/>
      <c r="W266" s="118"/>
      <c r="X266" s="118"/>
      <c r="Y266" s="118"/>
      <c r="Z266" s="118"/>
      <c r="AA266" s="118"/>
      <c r="AB266" s="118"/>
      <c r="AC266" s="118"/>
      <c r="AD266" s="111"/>
      <c r="AE266" s="122"/>
      <c r="AF266" s="122"/>
      <c r="AG266" s="122"/>
      <c r="AH266" s="122"/>
    </row>
    <row r="267" ht="22.5" customHeight="1">
      <c r="A267" s="73"/>
      <c r="B267" s="73"/>
      <c r="C267" s="73"/>
      <c r="D267" s="73"/>
      <c r="E267" s="330"/>
      <c r="F267" s="118"/>
      <c r="G267" s="118"/>
      <c r="H267" s="118"/>
      <c r="I267" s="118"/>
      <c r="J267" s="119"/>
      <c r="K267" s="120"/>
      <c r="L267" s="120"/>
      <c r="M267" s="120"/>
      <c r="N267" s="120"/>
      <c r="O267" s="118"/>
      <c r="P267" s="120"/>
      <c r="Q267" s="121"/>
      <c r="R267" s="109" t="b">
        <v>0</v>
      </c>
      <c r="S267" s="143"/>
      <c r="T267" s="110"/>
      <c r="U267" s="118"/>
      <c r="V267" s="118"/>
      <c r="W267" s="118"/>
      <c r="X267" s="118"/>
      <c r="Y267" s="118"/>
      <c r="Z267" s="118"/>
      <c r="AA267" s="118"/>
      <c r="AB267" s="118"/>
      <c r="AC267" s="118"/>
      <c r="AD267" s="111"/>
      <c r="AE267" s="122"/>
      <c r="AF267" s="122"/>
      <c r="AG267" s="122"/>
      <c r="AH267" s="122"/>
    </row>
    <row r="268" ht="22.5" customHeight="1">
      <c r="A268" s="73"/>
      <c r="B268" s="73"/>
      <c r="C268" s="73"/>
      <c r="D268" s="73"/>
      <c r="E268" s="330"/>
      <c r="F268" s="118"/>
      <c r="G268" s="118"/>
      <c r="H268" s="118"/>
      <c r="I268" s="118"/>
      <c r="J268" s="119"/>
      <c r="K268" s="120"/>
      <c r="L268" s="120"/>
      <c r="M268" s="120"/>
      <c r="N268" s="120"/>
      <c r="O268" s="118"/>
      <c r="P268" s="120"/>
      <c r="Q268" s="121"/>
      <c r="R268" s="109" t="b">
        <v>0</v>
      </c>
      <c r="S268" s="143"/>
      <c r="T268" s="110"/>
      <c r="U268" s="118"/>
      <c r="V268" s="118"/>
      <c r="W268" s="118"/>
      <c r="X268" s="118"/>
      <c r="Y268" s="118"/>
      <c r="Z268" s="118"/>
      <c r="AA268" s="118"/>
      <c r="AB268" s="118"/>
      <c r="AC268" s="118"/>
      <c r="AD268" s="111"/>
      <c r="AE268" s="122"/>
      <c r="AF268" s="122"/>
      <c r="AG268" s="122"/>
      <c r="AH268" s="122"/>
    </row>
    <row r="269" ht="22.5" customHeight="1">
      <c r="A269" s="73"/>
      <c r="B269" s="73"/>
      <c r="C269" s="73"/>
      <c r="D269" s="73"/>
      <c r="E269" s="330"/>
      <c r="F269" s="118"/>
      <c r="G269" s="118"/>
      <c r="H269" s="118"/>
      <c r="I269" s="118"/>
      <c r="J269" s="119"/>
      <c r="K269" s="120"/>
      <c r="L269" s="120"/>
      <c r="M269" s="120"/>
      <c r="N269" s="120"/>
      <c r="O269" s="118"/>
      <c r="P269" s="120"/>
      <c r="Q269" s="121"/>
      <c r="R269" s="109" t="b">
        <v>0</v>
      </c>
      <c r="S269" s="143"/>
      <c r="T269" s="110"/>
      <c r="U269" s="118"/>
      <c r="V269" s="118"/>
      <c r="W269" s="118"/>
      <c r="X269" s="118"/>
      <c r="Y269" s="118"/>
      <c r="Z269" s="118"/>
      <c r="AA269" s="118"/>
      <c r="AB269" s="118"/>
      <c r="AC269" s="118"/>
      <c r="AD269" s="111"/>
      <c r="AE269" s="122"/>
      <c r="AF269" s="122"/>
      <c r="AG269" s="122"/>
      <c r="AH269" s="122"/>
    </row>
    <row r="270" ht="22.5" customHeight="1">
      <c r="A270" s="73"/>
      <c r="B270" s="73"/>
      <c r="C270" s="73"/>
      <c r="D270" s="73"/>
      <c r="E270" s="330"/>
      <c r="F270" s="118"/>
      <c r="G270" s="118"/>
      <c r="H270" s="118"/>
      <c r="I270" s="118"/>
      <c r="J270" s="119"/>
      <c r="K270" s="120"/>
      <c r="L270" s="120"/>
      <c r="M270" s="120"/>
      <c r="N270" s="120"/>
      <c r="O270" s="118"/>
      <c r="P270" s="120"/>
      <c r="Q270" s="121"/>
      <c r="R270" s="109" t="b">
        <v>0</v>
      </c>
      <c r="S270" s="143"/>
      <c r="T270" s="110"/>
      <c r="U270" s="118"/>
      <c r="V270" s="118"/>
      <c r="W270" s="118"/>
      <c r="X270" s="118"/>
      <c r="Y270" s="118"/>
      <c r="Z270" s="118"/>
      <c r="AA270" s="118"/>
      <c r="AB270" s="118"/>
      <c r="AC270" s="118"/>
      <c r="AD270" s="111"/>
      <c r="AE270" s="122"/>
      <c r="AF270" s="122"/>
      <c r="AG270" s="122"/>
      <c r="AH270" s="122"/>
    </row>
    <row r="271" ht="22.5" customHeight="1">
      <c r="A271" s="73"/>
      <c r="B271" s="73"/>
      <c r="C271" s="73"/>
      <c r="D271" s="73"/>
      <c r="E271" s="330"/>
      <c r="F271" s="118"/>
      <c r="G271" s="118"/>
      <c r="H271" s="118"/>
      <c r="I271" s="118"/>
      <c r="J271" s="119"/>
      <c r="K271" s="120"/>
      <c r="L271" s="120"/>
      <c r="M271" s="120"/>
      <c r="N271" s="120"/>
      <c r="O271" s="118"/>
      <c r="P271" s="120"/>
      <c r="Q271" s="121"/>
      <c r="R271" s="109" t="b">
        <v>0</v>
      </c>
      <c r="S271" s="143"/>
      <c r="T271" s="110"/>
      <c r="U271" s="118"/>
      <c r="V271" s="118"/>
      <c r="W271" s="118"/>
      <c r="X271" s="118"/>
      <c r="Y271" s="118"/>
      <c r="Z271" s="118"/>
      <c r="AA271" s="118"/>
      <c r="AB271" s="118"/>
      <c r="AC271" s="118"/>
      <c r="AD271" s="111"/>
      <c r="AE271" s="122"/>
      <c r="AF271" s="122"/>
      <c r="AG271" s="122"/>
      <c r="AH271" s="122"/>
    </row>
    <row r="272" ht="22.5" customHeight="1">
      <c r="A272" s="73"/>
      <c r="B272" s="73"/>
      <c r="C272" s="73"/>
      <c r="D272" s="73"/>
      <c r="E272" s="330"/>
      <c r="F272" s="118"/>
      <c r="G272" s="118"/>
      <c r="H272" s="118"/>
      <c r="I272" s="118"/>
      <c r="J272" s="119"/>
      <c r="K272" s="120"/>
      <c r="L272" s="120"/>
      <c r="M272" s="120"/>
      <c r="N272" s="120"/>
      <c r="O272" s="118"/>
      <c r="P272" s="120"/>
      <c r="Q272" s="121"/>
      <c r="R272" s="109" t="b">
        <v>0</v>
      </c>
      <c r="S272" s="143"/>
      <c r="T272" s="110"/>
      <c r="U272" s="118"/>
      <c r="V272" s="118"/>
      <c r="W272" s="118"/>
      <c r="X272" s="118"/>
      <c r="Y272" s="118"/>
      <c r="Z272" s="118"/>
      <c r="AA272" s="118"/>
      <c r="AB272" s="118"/>
      <c r="AC272" s="118"/>
      <c r="AD272" s="111"/>
      <c r="AE272" s="122"/>
      <c r="AF272" s="122"/>
      <c r="AG272" s="122"/>
      <c r="AH272" s="122"/>
    </row>
    <row r="273" ht="22.5" customHeight="1">
      <c r="A273" s="73"/>
      <c r="B273" s="73"/>
      <c r="C273" s="73"/>
      <c r="D273" s="73"/>
      <c r="E273" s="330"/>
      <c r="F273" s="118"/>
      <c r="G273" s="118"/>
      <c r="H273" s="118"/>
      <c r="I273" s="118"/>
      <c r="J273" s="119"/>
      <c r="K273" s="120"/>
      <c r="L273" s="120"/>
      <c r="M273" s="120"/>
      <c r="N273" s="120"/>
      <c r="O273" s="118"/>
      <c r="P273" s="120"/>
      <c r="Q273" s="121"/>
      <c r="R273" s="109" t="b">
        <v>0</v>
      </c>
      <c r="S273" s="143"/>
      <c r="T273" s="110"/>
      <c r="U273" s="118"/>
      <c r="V273" s="118"/>
      <c r="W273" s="118"/>
      <c r="X273" s="118"/>
      <c r="Y273" s="118"/>
      <c r="Z273" s="118"/>
      <c r="AA273" s="118"/>
      <c r="AB273" s="118"/>
      <c r="AC273" s="118"/>
      <c r="AD273" s="111"/>
      <c r="AE273" s="122"/>
      <c r="AF273" s="122"/>
      <c r="AG273" s="122"/>
      <c r="AH273" s="122"/>
    </row>
    <row r="274" ht="22.5" customHeight="1">
      <c r="A274" s="73"/>
      <c r="B274" s="73"/>
      <c r="C274" s="73"/>
      <c r="D274" s="73"/>
      <c r="E274" s="330"/>
      <c r="F274" s="118"/>
      <c r="G274" s="118"/>
      <c r="H274" s="118"/>
      <c r="I274" s="118"/>
      <c r="J274" s="119"/>
      <c r="K274" s="120"/>
      <c r="L274" s="120"/>
      <c r="M274" s="120"/>
      <c r="N274" s="120"/>
      <c r="O274" s="118"/>
      <c r="P274" s="120"/>
      <c r="Q274" s="121"/>
      <c r="R274" s="109" t="b">
        <v>0</v>
      </c>
      <c r="S274" s="143"/>
      <c r="T274" s="110"/>
      <c r="U274" s="118"/>
      <c r="V274" s="118"/>
      <c r="W274" s="118"/>
      <c r="X274" s="118"/>
      <c r="Y274" s="118"/>
      <c r="Z274" s="118"/>
      <c r="AA274" s="118"/>
      <c r="AB274" s="118"/>
      <c r="AC274" s="118"/>
      <c r="AD274" s="111"/>
      <c r="AE274" s="122"/>
      <c r="AF274" s="122"/>
      <c r="AG274" s="122"/>
      <c r="AH274" s="122"/>
    </row>
    <row r="275" ht="22.5" customHeight="1">
      <c r="A275" s="73"/>
      <c r="B275" s="73"/>
      <c r="C275" s="73"/>
      <c r="D275" s="73"/>
      <c r="E275" s="330"/>
      <c r="F275" s="118"/>
      <c r="G275" s="118"/>
      <c r="H275" s="118"/>
      <c r="I275" s="118"/>
      <c r="J275" s="119"/>
      <c r="K275" s="120"/>
      <c r="L275" s="120"/>
      <c r="M275" s="120"/>
      <c r="N275" s="120"/>
      <c r="O275" s="118"/>
      <c r="P275" s="120"/>
      <c r="Q275" s="121"/>
      <c r="R275" s="109" t="b">
        <v>0</v>
      </c>
      <c r="S275" s="143"/>
      <c r="T275" s="110"/>
      <c r="U275" s="118"/>
      <c r="V275" s="118"/>
      <c r="W275" s="118"/>
      <c r="X275" s="118"/>
      <c r="Y275" s="118"/>
      <c r="Z275" s="118"/>
      <c r="AA275" s="118"/>
      <c r="AB275" s="118"/>
      <c r="AC275" s="118"/>
      <c r="AD275" s="111"/>
      <c r="AE275" s="122"/>
      <c r="AF275" s="122"/>
      <c r="AG275" s="122"/>
      <c r="AH275" s="122"/>
    </row>
    <row r="276" ht="22.5" customHeight="1">
      <c r="A276" s="73"/>
      <c r="B276" s="73"/>
      <c r="C276" s="73"/>
      <c r="D276" s="73"/>
      <c r="E276" s="330"/>
      <c r="F276" s="118"/>
      <c r="G276" s="118"/>
      <c r="H276" s="118"/>
      <c r="I276" s="118"/>
      <c r="J276" s="119"/>
      <c r="K276" s="120"/>
      <c r="L276" s="120"/>
      <c r="M276" s="120"/>
      <c r="N276" s="120"/>
      <c r="O276" s="118"/>
      <c r="P276" s="120"/>
      <c r="Q276" s="121"/>
      <c r="R276" s="109" t="b">
        <v>0</v>
      </c>
      <c r="S276" s="143"/>
      <c r="T276" s="110"/>
      <c r="U276" s="118"/>
      <c r="V276" s="118"/>
      <c r="W276" s="118"/>
      <c r="X276" s="118"/>
      <c r="Y276" s="118"/>
      <c r="Z276" s="118"/>
      <c r="AA276" s="118"/>
      <c r="AB276" s="118"/>
      <c r="AC276" s="118"/>
      <c r="AD276" s="111"/>
      <c r="AE276" s="122"/>
      <c r="AF276" s="122"/>
      <c r="AG276" s="122"/>
      <c r="AH276" s="122"/>
    </row>
    <row r="277" ht="22.5" customHeight="1">
      <c r="A277" s="73"/>
      <c r="B277" s="73"/>
      <c r="C277" s="73"/>
      <c r="D277" s="73"/>
      <c r="E277" s="330"/>
      <c r="F277" s="118"/>
      <c r="G277" s="118"/>
      <c r="H277" s="118"/>
      <c r="I277" s="118"/>
      <c r="J277" s="119"/>
      <c r="K277" s="120"/>
      <c r="L277" s="120"/>
      <c r="M277" s="120"/>
      <c r="N277" s="120"/>
      <c r="O277" s="118"/>
      <c r="P277" s="120"/>
      <c r="Q277" s="121"/>
      <c r="R277" s="109" t="b">
        <v>0</v>
      </c>
      <c r="S277" s="143"/>
      <c r="T277" s="110"/>
      <c r="U277" s="118"/>
      <c r="V277" s="118"/>
      <c r="W277" s="118"/>
      <c r="X277" s="118"/>
      <c r="Y277" s="118"/>
      <c r="Z277" s="118"/>
      <c r="AA277" s="118"/>
      <c r="AB277" s="118"/>
      <c r="AC277" s="118"/>
      <c r="AD277" s="111"/>
      <c r="AE277" s="122"/>
      <c r="AF277" s="122"/>
      <c r="AG277" s="122"/>
      <c r="AH277" s="122"/>
    </row>
    <row r="278" ht="22.5" customHeight="1">
      <c r="A278" s="73"/>
      <c r="B278" s="73"/>
      <c r="C278" s="73"/>
      <c r="D278" s="73"/>
      <c r="E278" s="330"/>
      <c r="F278" s="118"/>
      <c r="G278" s="118"/>
      <c r="H278" s="118"/>
      <c r="I278" s="118"/>
      <c r="J278" s="119"/>
      <c r="K278" s="120"/>
      <c r="L278" s="120"/>
      <c r="M278" s="120"/>
      <c r="N278" s="120"/>
      <c r="O278" s="118"/>
      <c r="P278" s="120"/>
      <c r="Q278" s="121"/>
      <c r="R278" s="109" t="b">
        <v>0</v>
      </c>
      <c r="S278" s="143"/>
      <c r="T278" s="110"/>
      <c r="U278" s="118"/>
      <c r="V278" s="118"/>
      <c r="W278" s="118"/>
      <c r="X278" s="118"/>
      <c r="Y278" s="118"/>
      <c r="Z278" s="118"/>
      <c r="AA278" s="118"/>
      <c r="AB278" s="118"/>
      <c r="AC278" s="118"/>
      <c r="AD278" s="111"/>
      <c r="AE278" s="122"/>
      <c r="AF278" s="122"/>
      <c r="AG278" s="122"/>
      <c r="AH278" s="122"/>
    </row>
    <row r="279" ht="22.5" customHeight="1">
      <c r="A279" s="73"/>
      <c r="B279" s="73"/>
      <c r="C279" s="73"/>
      <c r="D279" s="73"/>
      <c r="E279" s="330"/>
      <c r="F279" s="118"/>
      <c r="G279" s="118"/>
      <c r="H279" s="118"/>
      <c r="I279" s="118"/>
      <c r="J279" s="119"/>
      <c r="K279" s="120"/>
      <c r="L279" s="120"/>
      <c r="M279" s="120"/>
      <c r="N279" s="120"/>
      <c r="O279" s="118"/>
      <c r="P279" s="120"/>
      <c r="Q279" s="121"/>
      <c r="R279" s="109" t="b">
        <v>0</v>
      </c>
      <c r="S279" s="143"/>
      <c r="T279" s="110"/>
      <c r="U279" s="118"/>
      <c r="V279" s="118"/>
      <c r="W279" s="118"/>
      <c r="X279" s="118"/>
      <c r="Y279" s="118"/>
      <c r="Z279" s="118"/>
      <c r="AA279" s="118"/>
      <c r="AB279" s="118"/>
      <c r="AC279" s="118"/>
      <c r="AD279" s="111"/>
      <c r="AE279" s="122"/>
      <c r="AF279" s="122"/>
      <c r="AG279" s="122"/>
      <c r="AH279" s="122"/>
    </row>
    <row r="280" ht="22.5" customHeight="1">
      <c r="A280" s="73"/>
      <c r="B280" s="73"/>
      <c r="C280" s="73"/>
      <c r="D280" s="73"/>
      <c r="E280" s="330"/>
      <c r="F280" s="118"/>
      <c r="G280" s="118"/>
      <c r="H280" s="118"/>
      <c r="I280" s="118"/>
      <c r="J280" s="119"/>
      <c r="K280" s="120"/>
      <c r="L280" s="120"/>
      <c r="M280" s="120"/>
      <c r="N280" s="120"/>
      <c r="O280" s="118"/>
      <c r="P280" s="120"/>
      <c r="Q280" s="121"/>
      <c r="R280" s="109" t="b">
        <v>0</v>
      </c>
      <c r="S280" s="143"/>
      <c r="T280" s="110"/>
      <c r="U280" s="118"/>
      <c r="V280" s="118"/>
      <c r="W280" s="118"/>
      <c r="X280" s="118"/>
      <c r="Y280" s="118"/>
      <c r="Z280" s="118"/>
      <c r="AA280" s="118"/>
      <c r="AB280" s="118"/>
      <c r="AC280" s="118"/>
      <c r="AD280" s="111"/>
      <c r="AE280" s="122"/>
      <c r="AF280" s="122"/>
      <c r="AG280" s="122"/>
      <c r="AH280" s="122"/>
    </row>
    <row r="281" ht="22.5" customHeight="1">
      <c r="A281" s="73"/>
      <c r="B281" s="73"/>
      <c r="C281" s="73"/>
      <c r="D281" s="73"/>
      <c r="E281" s="330"/>
      <c r="F281" s="118"/>
      <c r="G281" s="118"/>
      <c r="H281" s="118"/>
      <c r="I281" s="118"/>
      <c r="J281" s="119"/>
      <c r="K281" s="120"/>
      <c r="L281" s="120"/>
      <c r="M281" s="120"/>
      <c r="N281" s="120"/>
      <c r="O281" s="118"/>
      <c r="P281" s="120"/>
      <c r="Q281" s="121"/>
      <c r="R281" s="109" t="b">
        <v>0</v>
      </c>
      <c r="S281" s="143"/>
      <c r="T281" s="110"/>
      <c r="U281" s="118"/>
      <c r="V281" s="118"/>
      <c r="W281" s="118"/>
      <c r="X281" s="118"/>
      <c r="Y281" s="118"/>
      <c r="Z281" s="118"/>
      <c r="AA281" s="118"/>
      <c r="AB281" s="118"/>
      <c r="AC281" s="118"/>
      <c r="AD281" s="111"/>
      <c r="AE281" s="122"/>
      <c r="AF281" s="122"/>
      <c r="AG281" s="122"/>
      <c r="AH281" s="122"/>
    </row>
    <row r="282" ht="22.5" customHeight="1">
      <c r="A282" s="73"/>
      <c r="B282" s="73"/>
      <c r="C282" s="73"/>
      <c r="D282" s="73"/>
      <c r="E282" s="330"/>
      <c r="F282" s="118"/>
      <c r="G282" s="118"/>
      <c r="H282" s="118"/>
      <c r="I282" s="118"/>
      <c r="J282" s="119"/>
      <c r="K282" s="120"/>
      <c r="L282" s="120"/>
      <c r="M282" s="120"/>
      <c r="N282" s="120"/>
      <c r="O282" s="118"/>
      <c r="P282" s="120"/>
      <c r="Q282" s="121"/>
      <c r="R282" s="109" t="b">
        <v>0</v>
      </c>
      <c r="S282" s="143"/>
      <c r="T282" s="110"/>
      <c r="U282" s="118"/>
      <c r="V282" s="118"/>
      <c r="W282" s="118"/>
      <c r="X282" s="118"/>
      <c r="Y282" s="118"/>
      <c r="Z282" s="118"/>
      <c r="AA282" s="118"/>
      <c r="AB282" s="118"/>
      <c r="AC282" s="118"/>
      <c r="AD282" s="111"/>
      <c r="AE282" s="122"/>
      <c r="AF282" s="122"/>
      <c r="AG282" s="122"/>
      <c r="AH282" s="122"/>
    </row>
    <row r="283" ht="22.5" customHeight="1">
      <c r="A283" s="73"/>
      <c r="B283" s="73"/>
      <c r="C283" s="73"/>
      <c r="D283" s="73"/>
      <c r="E283" s="330"/>
      <c r="F283" s="118"/>
      <c r="G283" s="118"/>
      <c r="H283" s="118"/>
      <c r="I283" s="118"/>
      <c r="J283" s="119"/>
      <c r="K283" s="120"/>
      <c r="L283" s="120"/>
      <c r="M283" s="120"/>
      <c r="N283" s="120"/>
      <c r="O283" s="118"/>
      <c r="P283" s="120"/>
      <c r="Q283" s="121"/>
      <c r="R283" s="109" t="b">
        <v>0</v>
      </c>
      <c r="S283" s="143"/>
      <c r="T283" s="110"/>
      <c r="U283" s="118"/>
      <c r="V283" s="118"/>
      <c r="W283" s="118"/>
      <c r="X283" s="118"/>
      <c r="Y283" s="118"/>
      <c r="Z283" s="118"/>
      <c r="AA283" s="118"/>
      <c r="AB283" s="118"/>
      <c r="AC283" s="118"/>
      <c r="AD283" s="111"/>
      <c r="AE283" s="122"/>
      <c r="AF283" s="122"/>
      <c r="AG283" s="122"/>
      <c r="AH283" s="122"/>
    </row>
    <row r="284" ht="22.5" customHeight="1">
      <c r="A284" s="73"/>
      <c r="B284" s="73"/>
      <c r="C284" s="73"/>
      <c r="D284" s="73"/>
      <c r="E284" s="330"/>
      <c r="F284" s="118"/>
      <c r="G284" s="118"/>
      <c r="H284" s="118"/>
      <c r="I284" s="118"/>
      <c r="J284" s="119"/>
      <c r="K284" s="120"/>
      <c r="L284" s="120"/>
      <c r="M284" s="120"/>
      <c r="N284" s="120"/>
      <c r="O284" s="118"/>
      <c r="P284" s="120"/>
      <c r="Q284" s="121"/>
      <c r="R284" s="109" t="b">
        <v>0</v>
      </c>
      <c r="S284" s="143"/>
      <c r="T284" s="110"/>
      <c r="U284" s="118"/>
      <c r="V284" s="118"/>
      <c r="W284" s="118"/>
      <c r="X284" s="118"/>
      <c r="Y284" s="118"/>
      <c r="Z284" s="118"/>
      <c r="AA284" s="118"/>
      <c r="AB284" s="118"/>
      <c r="AC284" s="118"/>
      <c r="AD284" s="111"/>
      <c r="AE284" s="122"/>
      <c r="AF284" s="122"/>
      <c r="AG284" s="122"/>
      <c r="AH284" s="122"/>
    </row>
    <row r="285" ht="22.5" customHeight="1">
      <c r="A285" s="73"/>
      <c r="B285" s="73"/>
      <c r="C285" s="73"/>
      <c r="D285" s="73"/>
      <c r="E285" s="330"/>
      <c r="F285" s="118"/>
      <c r="G285" s="118"/>
      <c r="H285" s="118"/>
      <c r="I285" s="118"/>
      <c r="J285" s="119"/>
      <c r="K285" s="120"/>
      <c r="L285" s="120"/>
      <c r="M285" s="120"/>
      <c r="N285" s="120"/>
      <c r="O285" s="118"/>
      <c r="P285" s="120"/>
      <c r="Q285" s="121"/>
      <c r="R285" s="109" t="b">
        <v>0</v>
      </c>
      <c r="S285" s="143"/>
      <c r="T285" s="110"/>
      <c r="U285" s="118"/>
      <c r="V285" s="118"/>
      <c r="W285" s="118"/>
      <c r="X285" s="118"/>
      <c r="Y285" s="118"/>
      <c r="Z285" s="118"/>
      <c r="AA285" s="118"/>
      <c r="AB285" s="118"/>
      <c r="AC285" s="118"/>
      <c r="AD285" s="111"/>
      <c r="AE285" s="122"/>
      <c r="AF285" s="122"/>
      <c r="AG285" s="122"/>
      <c r="AH285" s="122"/>
    </row>
    <row r="286" ht="22.5" customHeight="1">
      <c r="A286" s="73"/>
      <c r="B286" s="73"/>
      <c r="C286" s="73"/>
      <c r="D286" s="73"/>
      <c r="E286" s="330"/>
      <c r="F286" s="118"/>
      <c r="G286" s="118"/>
      <c r="H286" s="118"/>
      <c r="I286" s="118"/>
      <c r="J286" s="119"/>
      <c r="K286" s="120"/>
      <c r="L286" s="120"/>
      <c r="M286" s="120"/>
      <c r="N286" s="120"/>
      <c r="O286" s="118"/>
      <c r="P286" s="120"/>
      <c r="Q286" s="121"/>
      <c r="R286" s="109" t="b">
        <v>0</v>
      </c>
      <c r="S286" s="143"/>
      <c r="T286" s="110"/>
      <c r="U286" s="118"/>
      <c r="V286" s="118"/>
      <c r="W286" s="118"/>
      <c r="X286" s="118"/>
      <c r="Y286" s="118"/>
      <c r="Z286" s="118"/>
      <c r="AA286" s="118"/>
      <c r="AB286" s="118"/>
      <c r="AC286" s="118"/>
      <c r="AD286" s="111"/>
      <c r="AE286" s="122"/>
      <c r="AF286" s="122"/>
      <c r="AG286" s="122"/>
      <c r="AH286" s="122"/>
    </row>
    <row r="287" ht="22.5" customHeight="1">
      <c r="A287" s="73"/>
      <c r="B287" s="73"/>
      <c r="C287" s="73"/>
      <c r="D287" s="73"/>
      <c r="E287" s="330"/>
      <c r="F287" s="118"/>
      <c r="G287" s="118"/>
      <c r="H287" s="118"/>
      <c r="I287" s="118"/>
      <c r="J287" s="119"/>
      <c r="K287" s="120"/>
      <c r="L287" s="120"/>
      <c r="M287" s="120"/>
      <c r="N287" s="120"/>
      <c r="O287" s="118"/>
      <c r="P287" s="120"/>
      <c r="Q287" s="121"/>
      <c r="R287" s="109" t="b">
        <v>0</v>
      </c>
      <c r="S287" s="143"/>
      <c r="T287" s="110"/>
      <c r="U287" s="118"/>
      <c r="V287" s="118"/>
      <c r="W287" s="118"/>
      <c r="X287" s="118"/>
      <c r="Y287" s="118"/>
      <c r="Z287" s="118"/>
      <c r="AA287" s="118"/>
      <c r="AB287" s="118"/>
      <c r="AC287" s="118"/>
      <c r="AD287" s="111"/>
      <c r="AE287" s="122"/>
      <c r="AF287" s="122"/>
      <c r="AG287" s="122"/>
      <c r="AH287" s="122"/>
    </row>
    <row r="288" ht="22.5" customHeight="1">
      <c r="A288" s="73"/>
      <c r="B288" s="73"/>
      <c r="C288" s="73"/>
      <c r="D288" s="73"/>
      <c r="E288" s="330"/>
      <c r="F288" s="118"/>
      <c r="G288" s="118"/>
      <c r="H288" s="118"/>
      <c r="I288" s="118"/>
      <c r="J288" s="119"/>
      <c r="K288" s="120"/>
      <c r="L288" s="120"/>
      <c r="M288" s="120"/>
      <c r="N288" s="120"/>
      <c r="O288" s="118"/>
      <c r="P288" s="120"/>
      <c r="Q288" s="121"/>
      <c r="R288" s="109" t="b">
        <v>0</v>
      </c>
      <c r="S288" s="143"/>
      <c r="T288" s="110"/>
      <c r="U288" s="118"/>
      <c r="V288" s="118"/>
      <c r="W288" s="118"/>
      <c r="X288" s="118"/>
      <c r="Y288" s="118"/>
      <c r="Z288" s="118"/>
      <c r="AA288" s="118"/>
      <c r="AB288" s="118"/>
      <c r="AC288" s="118"/>
      <c r="AD288" s="111"/>
      <c r="AE288" s="122"/>
      <c r="AF288" s="122"/>
      <c r="AG288" s="122"/>
      <c r="AH288" s="122"/>
    </row>
    <row r="289" ht="22.5" customHeight="1">
      <c r="A289" s="73"/>
      <c r="B289" s="73"/>
      <c r="C289" s="73"/>
      <c r="D289" s="73"/>
      <c r="E289" s="330"/>
      <c r="F289" s="118"/>
      <c r="G289" s="118"/>
      <c r="H289" s="118"/>
      <c r="I289" s="118"/>
      <c r="J289" s="119"/>
      <c r="K289" s="120"/>
      <c r="L289" s="120"/>
      <c r="M289" s="120"/>
      <c r="N289" s="120"/>
      <c r="O289" s="118"/>
      <c r="P289" s="120"/>
      <c r="Q289" s="121"/>
      <c r="R289" s="109" t="b">
        <v>0</v>
      </c>
      <c r="S289" s="143"/>
      <c r="T289" s="110"/>
      <c r="U289" s="118"/>
      <c r="V289" s="118"/>
      <c r="W289" s="118"/>
      <c r="X289" s="118"/>
      <c r="Y289" s="118"/>
      <c r="Z289" s="118"/>
      <c r="AA289" s="118"/>
      <c r="AB289" s="118"/>
      <c r="AC289" s="118"/>
      <c r="AD289" s="111"/>
      <c r="AE289" s="122"/>
      <c r="AF289" s="122"/>
      <c r="AG289" s="122"/>
      <c r="AH289" s="122"/>
    </row>
    <row r="290" ht="22.5" customHeight="1">
      <c r="A290" s="73"/>
      <c r="B290" s="73"/>
      <c r="C290" s="73"/>
      <c r="D290" s="73"/>
      <c r="E290" s="330"/>
      <c r="F290" s="118"/>
      <c r="G290" s="118"/>
      <c r="H290" s="118"/>
      <c r="I290" s="118"/>
      <c r="J290" s="119"/>
      <c r="K290" s="120"/>
      <c r="L290" s="120"/>
      <c r="M290" s="120"/>
      <c r="N290" s="120"/>
      <c r="O290" s="118"/>
      <c r="P290" s="120"/>
      <c r="Q290" s="121"/>
      <c r="R290" s="109" t="b">
        <v>0</v>
      </c>
      <c r="S290" s="143"/>
      <c r="T290" s="110"/>
      <c r="U290" s="118"/>
      <c r="V290" s="118"/>
      <c r="W290" s="118"/>
      <c r="X290" s="118"/>
      <c r="Y290" s="118"/>
      <c r="Z290" s="118"/>
      <c r="AA290" s="118"/>
      <c r="AB290" s="118"/>
      <c r="AC290" s="118"/>
      <c r="AD290" s="111"/>
      <c r="AE290" s="122"/>
      <c r="AF290" s="122"/>
      <c r="AG290" s="122"/>
      <c r="AH290" s="122"/>
    </row>
    <row r="291" ht="22.5" customHeight="1">
      <c r="A291" s="73"/>
      <c r="B291" s="73"/>
      <c r="C291" s="73"/>
      <c r="D291" s="73"/>
      <c r="E291" s="330"/>
      <c r="F291" s="118"/>
      <c r="G291" s="118"/>
      <c r="H291" s="118"/>
      <c r="I291" s="118"/>
      <c r="J291" s="119"/>
      <c r="K291" s="120"/>
      <c r="L291" s="120"/>
      <c r="M291" s="120"/>
      <c r="N291" s="120"/>
      <c r="O291" s="118"/>
      <c r="P291" s="120"/>
      <c r="Q291" s="121"/>
      <c r="R291" s="109" t="b">
        <v>0</v>
      </c>
      <c r="S291" s="143"/>
      <c r="T291" s="110"/>
      <c r="U291" s="118"/>
      <c r="V291" s="118"/>
      <c r="W291" s="118"/>
      <c r="X291" s="118"/>
      <c r="Y291" s="118"/>
      <c r="Z291" s="118"/>
      <c r="AA291" s="118"/>
      <c r="AB291" s="118"/>
      <c r="AC291" s="118"/>
      <c r="AD291" s="111"/>
      <c r="AE291" s="122"/>
      <c r="AF291" s="122"/>
      <c r="AG291" s="122"/>
      <c r="AH291" s="122"/>
    </row>
    <row r="292" ht="22.5" customHeight="1">
      <c r="A292" s="73"/>
      <c r="B292" s="73"/>
      <c r="C292" s="73"/>
      <c r="D292" s="73"/>
      <c r="E292" s="330"/>
      <c r="F292" s="118"/>
      <c r="G292" s="118"/>
      <c r="H292" s="118"/>
      <c r="I292" s="118"/>
      <c r="J292" s="119"/>
      <c r="K292" s="120"/>
      <c r="L292" s="120"/>
      <c r="M292" s="120"/>
      <c r="N292" s="120"/>
      <c r="O292" s="118"/>
      <c r="P292" s="120"/>
      <c r="Q292" s="121"/>
      <c r="R292" s="109" t="b">
        <v>0</v>
      </c>
      <c r="S292" s="143"/>
      <c r="T292" s="110"/>
      <c r="U292" s="118"/>
      <c r="V292" s="118"/>
      <c r="W292" s="118"/>
      <c r="X292" s="118"/>
      <c r="Y292" s="118"/>
      <c r="Z292" s="118"/>
      <c r="AA292" s="118"/>
      <c r="AB292" s="118"/>
      <c r="AC292" s="118"/>
      <c r="AD292" s="111"/>
      <c r="AE292" s="122"/>
      <c r="AF292" s="122"/>
      <c r="AG292" s="122"/>
      <c r="AH292" s="122"/>
    </row>
    <row r="293" ht="22.5" customHeight="1">
      <c r="A293" s="73"/>
      <c r="B293" s="73"/>
      <c r="C293" s="73"/>
      <c r="D293" s="73"/>
      <c r="E293" s="330"/>
      <c r="F293" s="118"/>
      <c r="G293" s="118"/>
      <c r="H293" s="118"/>
      <c r="I293" s="118"/>
      <c r="J293" s="119"/>
      <c r="K293" s="120"/>
      <c r="L293" s="120"/>
      <c r="M293" s="120"/>
      <c r="N293" s="120"/>
      <c r="O293" s="118"/>
      <c r="P293" s="120"/>
      <c r="Q293" s="121"/>
      <c r="R293" s="109" t="b">
        <v>0</v>
      </c>
      <c r="S293" s="143"/>
      <c r="T293" s="110"/>
      <c r="U293" s="118"/>
      <c r="V293" s="118"/>
      <c r="W293" s="118"/>
      <c r="X293" s="118"/>
      <c r="Y293" s="118"/>
      <c r="Z293" s="118"/>
      <c r="AA293" s="118"/>
      <c r="AB293" s="118"/>
      <c r="AC293" s="118"/>
      <c r="AD293" s="111"/>
      <c r="AE293" s="122"/>
      <c r="AF293" s="122"/>
      <c r="AG293" s="122"/>
      <c r="AH293" s="122"/>
    </row>
    <row r="294" ht="22.5" customHeight="1">
      <c r="A294" s="73"/>
      <c r="B294" s="73"/>
      <c r="C294" s="73"/>
      <c r="D294" s="73"/>
      <c r="E294" s="330"/>
      <c r="F294" s="118"/>
      <c r="G294" s="118"/>
      <c r="H294" s="118"/>
      <c r="I294" s="118"/>
      <c r="J294" s="119"/>
      <c r="K294" s="120"/>
      <c r="L294" s="120"/>
      <c r="M294" s="120"/>
      <c r="N294" s="120"/>
      <c r="O294" s="118"/>
      <c r="P294" s="120"/>
      <c r="Q294" s="121"/>
      <c r="R294" s="109" t="b">
        <v>0</v>
      </c>
      <c r="S294" s="143"/>
      <c r="T294" s="110"/>
      <c r="U294" s="118"/>
      <c r="V294" s="118"/>
      <c r="W294" s="118"/>
      <c r="X294" s="118"/>
      <c r="Y294" s="118"/>
      <c r="Z294" s="118"/>
      <c r="AA294" s="118"/>
      <c r="AB294" s="118"/>
      <c r="AC294" s="118"/>
      <c r="AD294" s="111"/>
      <c r="AE294" s="122"/>
      <c r="AF294" s="122"/>
      <c r="AG294" s="122"/>
      <c r="AH294" s="122"/>
    </row>
    <row r="295" ht="22.5" customHeight="1">
      <c r="A295" s="73"/>
      <c r="B295" s="73"/>
      <c r="C295" s="73"/>
      <c r="D295" s="73"/>
      <c r="E295" s="330"/>
      <c r="F295" s="118"/>
      <c r="G295" s="118"/>
      <c r="H295" s="118"/>
      <c r="I295" s="118"/>
      <c r="J295" s="119"/>
      <c r="K295" s="120"/>
      <c r="L295" s="120"/>
      <c r="M295" s="120"/>
      <c r="N295" s="120"/>
      <c r="O295" s="118"/>
      <c r="P295" s="120"/>
      <c r="Q295" s="121"/>
      <c r="R295" s="109" t="b">
        <v>0</v>
      </c>
      <c r="S295" s="143"/>
      <c r="T295" s="110"/>
      <c r="U295" s="118"/>
      <c r="V295" s="118"/>
      <c r="W295" s="118"/>
      <c r="X295" s="118"/>
      <c r="Y295" s="118"/>
      <c r="Z295" s="118"/>
      <c r="AA295" s="118"/>
      <c r="AB295" s="118"/>
      <c r="AC295" s="118"/>
      <c r="AD295" s="111"/>
      <c r="AE295" s="122"/>
      <c r="AF295" s="122"/>
      <c r="AG295" s="122"/>
      <c r="AH295" s="122"/>
    </row>
    <row r="296" ht="22.5" customHeight="1">
      <c r="A296" s="73"/>
      <c r="B296" s="73"/>
      <c r="C296" s="73"/>
      <c r="D296" s="73"/>
      <c r="E296" s="330"/>
      <c r="F296" s="118"/>
      <c r="G296" s="118"/>
      <c r="H296" s="118"/>
      <c r="I296" s="118"/>
      <c r="J296" s="119"/>
      <c r="K296" s="120"/>
      <c r="L296" s="120"/>
      <c r="M296" s="120"/>
      <c r="N296" s="120"/>
      <c r="O296" s="118"/>
      <c r="P296" s="120"/>
      <c r="Q296" s="121"/>
      <c r="R296" s="109" t="b">
        <v>0</v>
      </c>
      <c r="S296" s="143"/>
      <c r="T296" s="110"/>
      <c r="U296" s="118"/>
      <c r="V296" s="118"/>
      <c r="W296" s="118"/>
      <c r="X296" s="118"/>
      <c r="Y296" s="118"/>
      <c r="Z296" s="118"/>
      <c r="AA296" s="118"/>
      <c r="AB296" s="118"/>
      <c r="AC296" s="118"/>
      <c r="AD296" s="111"/>
      <c r="AE296" s="122"/>
      <c r="AF296" s="122"/>
      <c r="AG296" s="122"/>
      <c r="AH296" s="122"/>
    </row>
    <row r="297" ht="22.5" customHeight="1">
      <c r="A297" s="73"/>
      <c r="B297" s="73"/>
      <c r="C297" s="73"/>
      <c r="D297" s="73"/>
      <c r="E297" s="330"/>
      <c r="F297" s="118"/>
      <c r="G297" s="118"/>
      <c r="H297" s="118"/>
      <c r="I297" s="118"/>
      <c r="J297" s="119"/>
      <c r="K297" s="120"/>
      <c r="L297" s="120"/>
      <c r="M297" s="120"/>
      <c r="N297" s="120"/>
      <c r="O297" s="118"/>
      <c r="P297" s="120"/>
      <c r="Q297" s="121"/>
      <c r="R297" s="109" t="b">
        <v>0</v>
      </c>
      <c r="S297" s="143"/>
      <c r="T297" s="110"/>
      <c r="U297" s="118"/>
      <c r="V297" s="118"/>
      <c r="W297" s="118"/>
      <c r="X297" s="118"/>
      <c r="Y297" s="118"/>
      <c r="Z297" s="118"/>
      <c r="AA297" s="118"/>
      <c r="AB297" s="118"/>
      <c r="AC297" s="118"/>
      <c r="AD297" s="111"/>
      <c r="AE297" s="122"/>
      <c r="AF297" s="122"/>
      <c r="AG297" s="122"/>
      <c r="AH297" s="122"/>
    </row>
    <row r="298" ht="22.5" customHeight="1">
      <c r="A298" s="73"/>
      <c r="B298" s="73"/>
      <c r="C298" s="73"/>
      <c r="D298" s="73"/>
      <c r="E298" s="330"/>
      <c r="F298" s="118"/>
      <c r="G298" s="118"/>
      <c r="H298" s="118"/>
      <c r="I298" s="118"/>
      <c r="J298" s="119"/>
      <c r="K298" s="120"/>
      <c r="L298" s="120"/>
      <c r="M298" s="120"/>
      <c r="N298" s="120"/>
      <c r="O298" s="118"/>
      <c r="P298" s="120"/>
      <c r="Q298" s="121"/>
      <c r="R298" s="109" t="b">
        <v>0</v>
      </c>
      <c r="S298" s="143"/>
      <c r="T298" s="110"/>
      <c r="U298" s="118"/>
      <c r="V298" s="118"/>
      <c r="W298" s="118"/>
      <c r="X298" s="118"/>
      <c r="Y298" s="118"/>
      <c r="Z298" s="118"/>
      <c r="AA298" s="118"/>
      <c r="AB298" s="118"/>
      <c r="AC298" s="118"/>
      <c r="AD298" s="111"/>
      <c r="AE298" s="122"/>
      <c r="AF298" s="122"/>
      <c r="AG298" s="122"/>
      <c r="AH298" s="122"/>
    </row>
    <row r="299" ht="22.5" customHeight="1">
      <c r="A299" s="73"/>
      <c r="B299" s="73"/>
      <c r="C299" s="73"/>
      <c r="D299" s="73"/>
      <c r="E299" s="330"/>
      <c r="F299" s="118"/>
      <c r="G299" s="118"/>
      <c r="H299" s="118"/>
      <c r="I299" s="118"/>
      <c r="J299" s="119"/>
      <c r="K299" s="120"/>
      <c r="L299" s="120"/>
      <c r="M299" s="120"/>
      <c r="N299" s="120"/>
      <c r="O299" s="118"/>
      <c r="P299" s="120"/>
      <c r="Q299" s="121"/>
      <c r="R299" s="109" t="b">
        <v>0</v>
      </c>
      <c r="S299" s="143"/>
      <c r="T299" s="110"/>
      <c r="U299" s="118"/>
      <c r="V299" s="118"/>
      <c r="W299" s="118"/>
      <c r="X299" s="118"/>
      <c r="Y299" s="118"/>
      <c r="Z299" s="118"/>
      <c r="AA299" s="118"/>
      <c r="AB299" s="118"/>
      <c r="AC299" s="118"/>
      <c r="AD299" s="111"/>
      <c r="AE299" s="122"/>
      <c r="AF299" s="122"/>
      <c r="AG299" s="122"/>
      <c r="AH299" s="122"/>
    </row>
    <row r="300" ht="22.5" customHeight="1">
      <c r="A300" s="73"/>
      <c r="B300" s="73"/>
      <c r="C300" s="73"/>
      <c r="D300" s="73"/>
      <c r="E300" s="330"/>
      <c r="F300" s="118"/>
      <c r="G300" s="118"/>
      <c r="H300" s="118"/>
      <c r="I300" s="118"/>
      <c r="J300" s="119"/>
      <c r="K300" s="120"/>
      <c r="L300" s="120"/>
      <c r="M300" s="120"/>
      <c r="N300" s="120"/>
      <c r="O300" s="118"/>
      <c r="P300" s="120"/>
      <c r="Q300" s="121"/>
      <c r="R300" s="109" t="b">
        <v>0</v>
      </c>
      <c r="S300" s="143"/>
      <c r="T300" s="110"/>
      <c r="U300" s="118"/>
      <c r="V300" s="118"/>
      <c r="W300" s="118"/>
      <c r="X300" s="118"/>
      <c r="Y300" s="118"/>
      <c r="Z300" s="118"/>
      <c r="AA300" s="118"/>
      <c r="AB300" s="118"/>
      <c r="AC300" s="118"/>
      <c r="AD300" s="111"/>
      <c r="AE300" s="122"/>
      <c r="AF300" s="122"/>
      <c r="AG300" s="122"/>
      <c r="AH300" s="122"/>
    </row>
    <row r="301" ht="22.5" customHeight="1">
      <c r="A301" s="73"/>
      <c r="B301" s="73"/>
      <c r="C301" s="73"/>
      <c r="D301" s="73"/>
      <c r="E301" s="330"/>
      <c r="F301" s="118"/>
      <c r="G301" s="118"/>
      <c r="H301" s="118"/>
      <c r="I301" s="118"/>
      <c r="J301" s="119"/>
      <c r="K301" s="120"/>
      <c r="L301" s="120"/>
      <c r="M301" s="120"/>
      <c r="N301" s="120"/>
      <c r="O301" s="118"/>
      <c r="P301" s="120"/>
      <c r="Q301" s="121"/>
      <c r="R301" s="109" t="b">
        <v>0</v>
      </c>
      <c r="S301" s="143"/>
      <c r="T301" s="110"/>
      <c r="U301" s="118"/>
      <c r="V301" s="118"/>
      <c r="W301" s="118"/>
      <c r="X301" s="118"/>
      <c r="Y301" s="118"/>
      <c r="Z301" s="118"/>
      <c r="AA301" s="118"/>
      <c r="AB301" s="118"/>
      <c r="AC301" s="118"/>
      <c r="AD301" s="111"/>
      <c r="AE301" s="122"/>
      <c r="AF301" s="122"/>
      <c r="AG301" s="122"/>
      <c r="AH301" s="122"/>
    </row>
    <row r="302" ht="22.5" customHeight="1">
      <c r="A302" s="73"/>
      <c r="B302" s="73"/>
      <c r="C302" s="73"/>
      <c r="D302" s="73"/>
      <c r="E302" s="330"/>
      <c r="F302" s="118"/>
      <c r="G302" s="118"/>
      <c r="H302" s="118"/>
      <c r="I302" s="118"/>
      <c r="J302" s="119"/>
      <c r="K302" s="120"/>
      <c r="L302" s="120"/>
      <c r="M302" s="120"/>
      <c r="N302" s="120"/>
      <c r="O302" s="118"/>
      <c r="P302" s="120"/>
      <c r="Q302" s="121"/>
      <c r="R302" s="109" t="b">
        <v>0</v>
      </c>
      <c r="S302" s="143"/>
      <c r="T302" s="110"/>
      <c r="U302" s="118"/>
      <c r="V302" s="118"/>
      <c r="W302" s="118"/>
      <c r="X302" s="118"/>
      <c r="Y302" s="118"/>
      <c r="Z302" s="118"/>
      <c r="AA302" s="118"/>
      <c r="AB302" s="118"/>
      <c r="AC302" s="118"/>
      <c r="AD302" s="111"/>
      <c r="AE302" s="122"/>
      <c r="AF302" s="122"/>
      <c r="AG302" s="122"/>
      <c r="AH302" s="122"/>
    </row>
    <row r="303" ht="22.5" customHeight="1">
      <c r="A303" s="73"/>
      <c r="B303" s="73"/>
      <c r="C303" s="73"/>
      <c r="D303" s="73"/>
      <c r="E303" s="330"/>
      <c r="F303" s="118"/>
      <c r="G303" s="118"/>
      <c r="H303" s="118"/>
      <c r="I303" s="118"/>
      <c r="J303" s="119"/>
      <c r="K303" s="120"/>
      <c r="L303" s="120"/>
      <c r="M303" s="120"/>
      <c r="N303" s="120"/>
      <c r="O303" s="118"/>
      <c r="P303" s="120"/>
      <c r="Q303" s="121"/>
      <c r="R303" s="109" t="b">
        <v>0</v>
      </c>
      <c r="S303" s="143"/>
      <c r="T303" s="110"/>
      <c r="U303" s="118"/>
      <c r="V303" s="118"/>
      <c r="W303" s="118"/>
      <c r="X303" s="118"/>
      <c r="Y303" s="118"/>
      <c r="Z303" s="118"/>
      <c r="AA303" s="118"/>
      <c r="AB303" s="118"/>
      <c r="AC303" s="118"/>
      <c r="AD303" s="111"/>
      <c r="AE303" s="122"/>
      <c r="AF303" s="122"/>
      <c r="AG303" s="122"/>
      <c r="AH303" s="122"/>
    </row>
    <row r="304" ht="22.5" customHeight="1">
      <c r="A304" s="73"/>
      <c r="B304" s="73"/>
      <c r="C304" s="73"/>
      <c r="D304" s="73"/>
      <c r="E304" s="330"/>
      <c r="F304" s="118"/>
      <c r="G304" s="118"/>
      <c r="H304" s="118"/>
      <c r="I304" s="118"/>
      <c r="J304" s="119"/>
      <c r="K304" s="120"/>
      <c r="L304" s="120"/>
      <c r="M304" s="120"/>
      <c r="N304" s="120"/>
      <c r="O304" s="118"/>
      <c r="P304" s="120"/>
      <c r="Q304" s="121"/>
      <c r="R304" s="109" t="b">
        <v>0</v>
      </c>
      <c r="S304" s="143"/>
      <c r="T304" s="110"/>
      <c r="U304" s="118"/>
      <c r="V304" s="118"/>
      <c r="W304" s="118"/>
      <c r="X304" s="118"/>
      <c r="Y304" s="118"/>
      <c r="Z304" s="118"/>
      <c r="AA304" s="118"/>
      <c r="AB304" s="118"/>
      <c r="AC304" s="118"/>
      <c r="AD304" s="111"/>
      <c r="AE304" s="122"/>
      <c r="AF304" s="122"/>
      <c r="AG304" s="122"/>
      <c r="AH304" s="122"/>
    </row>
    <row r="305" ht="22.5" customHeight="1">
      <c r="A305" s="73"/>
      <c r="B305" s="73"/>
      <c r="C305" s="73"/>
      <c r="D305" s="73"/>
      <c r="E305" s="330"/>
      <c r="F305" s="118"/>
      <c r="G305" s="118"/>
      <c r="H305" s="118"/>
      <c r="I305" s="118"/>
      <c r="J305" s="119"/>
      <c r="K305" s="120"/>
      <c r="L305" s="120"/>
      <c r="M305" s="120"/>
      <c r="N305" s="120"/>
      <c r="O305" s="118"/>
      <c r="P305" s="120"/>
      <c r="Q305" s="121"/>
      <c r="R305" s="109" t="b">
        <v>0</v>
      </c>
      <c r="S305" s="143"/>
      <c r="T305" s="110"/>
      <c r="U305" s="118"/>
      <c r="V305" s="118"/>
      <c r="W305" s="118"/>
      <c r="X305" s="118"/>
      <c r="Y305" s="118"/>
      <c r="Z305" s="118"/>
      <c r="AA305" s="118"/>
      <c r="AB305" s="118"/>
      <c r="AC305" s="118"/>
      <c r="AD305" s="111"/>
      <c r="AE305" s="122"/>
      <c r="AF305" s="122"/>
      <c r="AG305" s="122"/>
      <c r="AH305" s="122"/>
    </row>
    <row r="306" ht="22.5" customHeight="1">
      <c r="A306" s="73"/>
      <c r="B306" s="73"/>
      <c r="C306" s="73"/>
      <c r="D306" s="73"/>
      <c r="E306" s="330"/>
      <c r="F306" s="118"/>
      <c r="G306" s="118"/>
      <c r="H306" s="118"/>
      <c r="I306" s="118"/>
      <c r="J306" s="119"/>
      <c r="K306" s="120"/>
      <c r="L306" s="120"/>
      <c r="M306" s="120"/>
      <c r="N306" s="120"/>
      <c r="O306" s="118"/>
      <c r="P306" s="120"/>
      <c r="Q306" s="121"/>
      <c r="R306" s="109" t="b">
        <v>0</v>
      </c>
      <c r="S306" s="143"/>
      <c r="T306" s="110"/>
      <c r="U306" s="118"/>
      <c r="V306" s="118"/>
      <c r="W306" s="118"/>
      <c r="X306" s="118"/>
      <c r="Y306" s="118"/>
      <c r="Z306" s="118"/>
      <c r="AA306" s="118"/>
      <c r="AB306" s="118"/>
      <c r="AC306" s="118"/>
      <c r="AD306" s="111"/>
      <c r="AE306" s="122"/>
      <c r="AF306" s="122"/>
      <c r="AG306" s="122"/>
      <c r="AH306" s="122"/>
    </row>
    <row r="307" ht="22.5" customHeight="1">
      <c r="A307" s="73"/>
      <c r="B307" s="73"/>
      <c r="C307" s="73"/>
      <c r="D307" s="73"/>
      <c r="E307" s="330"/>
      <c r="F307" s="118"/>
      <c r="G307" s="118"/>
      <c r="H307" s="118"/>
      <c r="I307" s="118"/>
      <c r="J307" s="119"/>
      <c r="K307" s="120"/>
      <c r="L307" s="120"/>
      <c r="M307" s="120"/>
      <c r="N307" s="120"/>
      <c r="O307" s="118"/>
      <c r="P307" s="120"/>
      <c r="Q307" s="121"/>
      <c r="R307" s="109" t="b">
        <v>0</v>
      </c>
      <c r="S307" s="143"/>
      <c r="T307" s="110"/>
      <c r="U307" s="118"/>
      <c r="V307" s="118"/>
      <c r="W307" s="118"/>
      <c r="X307" s="118"/>
      <c r="Y307" s="118"/>
      <c r="Z307" s="118"/>
      <c r="AA307" s="118"/>
      <c r="AB307" s="118"/>
      <c r="AC307" s="118"/>
      <c r="AD307" s="111"/>
      <c r="AE307" s="122"/>
      <c r="AF307" s="122"/>
      <c r="AG307" s="122"/>
      <c r="AH307" s="122"/>
    </row>
    <row r="308" ht="22.5" customHeight="1">
      <c r="A308" s="73"/>
      <c r="B308" s="73"/>
      <c r="C308" s="73"/>
      <c r="D308" s="73"/>
      <c r="E308" s="330"/>
      <c r="F308" s="118"/>
      <c r="G308" s="118"/>
      <c r="H308" s="118"/>
      <c r="I308" s="118"/>
      <c r="J308" s="119"/>
      <c r="K308" s="120"/>
      <c r="L308" s="120"/>
      <c r="M308" s="120"/>
      <c r="N308" s="120"/>
      <c r="O308" s="118"/>
      <c r="P308" s="120"/>
      <c r="Q308" s="121"/>
      <c r="R308" s="109" t="b">
        <v>0</v>
      </c>
      <c r="S308" s="143"/>
      <c r="T308" s="110"/>
      <c r="U308" s="118"/>
      <c r="V308" s="118"/>
      <c r="W308" s="118"/>
      <c r="X308" s="118"/>
      <c r="Y308" s="118"/>
      <c r="Z308" s="118"/>
      <c r="AA308" s="118"/>
      <c r="AB308" s="118"/>
      <c r="AC308" s="118"/>
      <c r="AD308" s="111"/>
      <c r="AE308" s="122"/>
      <c r="AF308" s="122"/>
      <c r="AG308" s="122"/>
      <c r="AH308" s="122"/>
    </row>
    <row r="309" ht="22.5" customHeight="1">
      <c r="A309" s="73"/>
      <c r="B309" s="73"/>
      <c r="C309" s="73"/>
      <c r="D309" s="73"/>
      <c r="E309" s="330"/>
      <c r="F309" s="118"/>
      <c r="G309" s="118"/>
      <c r="H309" s="118"/>
      <c r="I309" s="118"/>
      <c r="J309" s="119"/>
      <c r="K309" s="120"/>
      <c r="L309" s="120"/>
      <c r="M309" s="120"/>
      <c r="N309" s="120"/>
      <c r="O309" s="118"/>
      <c r="P309" s="120"/>
      <c r="Q309" s="121"/>
      <c r="R309" s="109" t="b">
        <v>0</v>
      </c>
      <c r="S309" s="143"/>
      <c r="T309" s="110"/>
      <c r="U309" s="118"/>
      <c r="V309" s="118"/>
      <c r="W309" s="118"/>
      <c r="X309" s="118"/>
      <c r="Y309" s="118"/>
      <c r="Z309" s="118"/>
      <c r="AA309" s="118"/>
      <c r="AB309" s="118"/>
      <c r="AC309" s="118"/>
      <c r="AD309" s="111"/>
      <c r="AE309" s="122"/>
      <c r="AF309" s="122"/>
      <c r="AG309" s="122"/>
      <c r="AH309" s="122"/>
    </row>
    <row r="310" ht="22.5" customHeight="1">
      <c r="A310" s="73"/>
      <c r="B310" s="73"/>
      <c r="C310" s="73"/>
      <c r="D310" s="73"/>
      <c r="E310" s="330"/>
      <c r="F310" s="118"/>
      <c r="G310" s="118"/>
      <c r="H310" s="118"/>
      <c r="I310" s="118"/>
      <c r="J310" s="119"/>
      <c r="K310" s="120"/>
      <c r="L310" s="120"/>
      <c r="M310" s="120"/>
      <c r="N310" s="120"/>
      <c r="O310" s="118"/>
      <c r="P310" s="120"/>
      <c r="Q310" s="121"/>
      <c r="R310" s="109" t="b">
        <v>0</v>
      </c>
      <c r="S310" s="143"/>
      <c r="T310" s="110"/>
      <c r="U310" s="118"/>
      <c r="V310" s="118"/>
      <c r="W310" s="118"/>
      <c r="X310" s="118"/>
      <c r="Y310" s="118"/>
      <c r="Z310" s="118"/>
      <c r="AA310" s="118"/>
      <c r="AB310" s="118"/>
      <c r="AC310" s="118"/>
      <c r="AD310" s="111"/>
      <c r="AE310" s="122"/>
      <c r="AF310" s="122"/>
      <c r="AG310" s="122"/>
      <c r="AH310" s="122"/>
    </row>
    <row r="311" ht="22.5" customHeight="1">
      <c r="A311" s="73"/>
      <c r="B311" s="73"/>
      <c r="C311" s="73"/>
      <c r="D311" s="73"/>
      <c r="E311" s="330"/>
      <c r="F311" s="118"/>
      <c r="G311" s="118"/>
      <c r="H311" s="118"/>
      <c r="I311" s="118"/>
      <c r="J311" s="119"/>
      <c r="K311" s="120"/>
      <c r="L311" s="120"/>
      <c r="M311" s="120"/>
      <c r="N311" s="120"/>
      <c r="O311" s="118"/>
      <c r="P311" s="120"/>
      <c r="Q311" s="121"/>
      <c r="R311" s="109" t="b">
        <v>0</v>
      </c>
      <c r="S311" s="143"/>
      <c r="T311" s="110"/>
      <c r="U311" s="118"/>
      <c r="V311" s="118"/>
      <c r="W311" s="118"/>
      <c r="X311" s="118"/>
      <c r="Y311" s="118"/>
      <c r="Z311" s="118"/>
      <c r="AA311" s="118"/>
      <c r="AB311" s="118"/>
      <c r="AC311" s="118"/>
      <c r="AD311" s="111"/>
      <c r="AE311" s="122"/>
      <c r="AF311" s="122"/>
      <c r="AG311" s="122"/>
      <c r="AH311" s="122"/>
    </row>
    <row r="312" ht="22.5" customHeight="1">
      <c r="A312" s="73"/>
      <c r="B312" s="73"/>
      <c r="C312" s="73"/>
      <c r="D312" s="73"/>
      <c r="E312" s="330"/>
      <c r="F312" s="118"/>
      <c r="G312" s="118"/>
      <c r="H312" s="118"/>
      <c r="I312" s="118"/>
      <c r="J312" s="119"/>
      <c r="K312" s="120"/>
      <c r="L312" s="120"/>
      <c r="M312" s="120"/>
      <c r="N312" s="120"/>
      <c r="O312" s="118"/>
      <c r="P312" s="120"/>
      <c r="Q312" s="121"/>
      <c r="R312" s="109" t="b">
        <v>0</v>
      </c>
      <c r="S312" s="143"/>
      <c r="T312" s="110"/>
      <c r="U312" s="118"/>
      <c r="V312" s="118"/>
      <c r="W312" s="118"/>
      <c r="X312" s="118"/>
      <c r="Y312" s="118"/>
      <c r="Z312" s="118"/>
      <c r="AA312" s="118"/>
      <c r="AB312" s="118"/>
      <c r="AC312" s="118"/>
      <c r="AD312" s="111"/>
      <c r="AE312" s="122"/>
      <c r="AF312" s="122"/>
      <c r="AG312" s="122"/>
      <c r="AH312" s="122"/>
    </row>
    <row r="313" ht="22.5" customHeight="1">
      <c r="A313" s="73"/>
      <c r="B313" s="73"/>
      <c r="C313" s="73"/>
      <c r="D313" s="73"/>
      <c r="E313" s="330"/>
      <c r="F313" s="118"/>
      <c r="G313" s="118"/>
      <c r="H313" s="118"/>
      <c r="I313" s="118"/>
      <c r="J313" s="119"/>
      <c r="K313" s="120"/>
      <c r="L313" s="120"/>
      <c r="M313" s="120"/>
      <c r="N313" s="120"/>
      <c r="O313" s="118"/>
      <c r="P313" s="120"/>
      <c r="Q313" s="121"/>
      <c r="R313" s="109" t="b">
        <v>0</v>
      </c>
      <c r="S313" s="143"/>
      <c r="T313" s="110"/>
      <c r="U313" s="118"/>
      <c r="V313" s="118"/>
      <c r="W313" s="118"/>
      <c r="X313" s="118"/>
      <c r="Y313" s="118"/>
      <c r="Z313" s="118"/>
      <c r="AA313" s="118"/>
      <c r="AB313" s="118"/>
      <c r="AC313" s="118"/>
      <c r="AD313" s="111"/>
      <c r="AE313" s="122"/>
      <c r="AF313" s="122"/>
      <c r="AG313" s="122"/>
      <c r="AH313" s="122"/>
    </row>
    <row r="314" ht="22.5" customHeight="1">
      <c r="A314" s="73"/>
      <c r="B314" s="73"/>
      <c r="C314" s="73"/>
      <c r="D314" s="73"/>
      <c r="E314" s="330"/>
      <c r="F314" s="118"/>
      <c r="G314" s="118"/>
      <c r="H314" s="118"/>
      <c r="I314" s="118"/>
      <c r="J314" s="119"/>
      <c r="K314" s="120"/>
      <c r="L314" s="120"/>
      <c r="M314" s="120"/>
      <c r="N314" s="120"/>
      <c r="O314" s="118"/>
      <c r="P314" s="120"/>
      <c r="Q314" s="121"/>
      <c r="R314" s="109" t="b">
        <v>0</v>
      </c>
      <c r="S314" s="143"/>
      <c r="T314" s="110"/>
      <c r="U314" s="118"/>
      <c r="V314" s="118"/>
      <c r="W314" s="118"/>
      <c r="X314" s="118"/>
      <c r="Y314" s="118"/>
      <c r="Z314" s="118"/>
      <c r="AA314" s="118"/>
      <c r="AB314" s="118"/>
      <c r="AC314" s="118"/>
      <c r="AD314" s="111"/>
      <c r="AE314" s="122"/>
      <c r="AF314" s="122"/>
      <c r="AG314" s="122"/>
      <c r="AH314" s="122"/>
    </row>
    <row r="315" ht="22.5" customHeight="1">
      <c r="A315" s="73"/>
      <c r="B315" s="73"/>
      <c r="C315" s="73"/>
      <c r="D315" s="73"/>
      <c r="E315" s="330"/>
      <c r="F315" s="118"/>
      <c r="G315" s="118"/>
      <c r="H315" s="118"/>
      <c r="I315" s="118"/>
      <c r="J315" s="119"/>
      <c r="K315" s="120"/>
      <c r="L315" s="120"/>
      <c r="M315" s="120"/>
      <c r="N315" s="120"/>
      <c r="O315" s="118"/>
      <c r="P315" s="120"/>
      <c r="Q315" s="121"/>
      <c r="R315" s="109" t="b">
        <v>0</v>
      </c>
      <c r="S315" s="143"/>
      <c r="T315" s="110"/>
      <c r="U315" s="118"/>
      <c r="V315" s="118"/>
      <c r="W315" s="118"/>
      <c r="X315" s="118"/>
      <c r="Y315" s="118"/>
      <c r="Z315" s="118"/>
      <c r="AA315" s="118"/>
      <c r="AB315" s="118"/>
      <c r="AC315" s="118"/>
      <c r="AD315" s="111"/>
      <c r="AE315" s="122"/>
      <c r="AF315" s="122"/>
      <c r="AG315" s="122"/>
      <c r="AH315" s="122"/>
    </row>
    <row r="316" ht="22.5" customHeight="1">
      <c r="A316" s="73"/>
      <c r="B316" s="73"/>
      <c r="C316" s="73"/>
      <c r="D316" s="73"/>
      <c r="E316" s="330"/>
      <c r="F316" s="118"/>
      <c r="G316" s="118"/>
      <c r="H316" s="118"/>
      <c r="I316" s="118"/>
      <c r="J316" s="119"/>
      <c r="K316" s="120"/>
      <c r="L316" s="120"/>
      <c r="M316" s="120"/>
      <c r="N316" s="120"/>
      <c r="O316" s="118"/>
      <c r="P316" s="120"/>
      <c r="Q316" s="121"/>
      <c r="R316" s="109" t="b">
        <v>0</v>
      </c>
      <c r="S316" s="143"/>
      <c r="T316" s="110"/>
      <c r="U316" s="118"/>
      <c r="V316" s="118"/>
      <c r="W316" s="118"/>
      <c r="X316" s="118"/>
      <c r="Y316" s="118"/>
      <c r="Z316" s="118"/>
      <c r="AA316" s="118"/>
      <c r="AB316" s="118"/>
      <c r="AC316" s="118"/>
      <c r="AD316" s="111"/>
      <c r="AE316" s="122"/>
      <c r="AF316" s="122"/>
      <c r="AG316" s="122"/>
      <c r="AH316" s="122"/>
    </row>
    <row r="317" ht="22.5" customHeight="1">
      <c r="A317" s="73"/>
      <c r="B317" s="73"/>
      <c r="C317" s="73"/>
      <c r="D317" s="73"/>
      <c r="E317" s="330"/>
      <c r="F317" s="118"/>
      <c r="G317" s="118"/>
      <c r="H317" s="118"/>
      <c r="I317" s="118"/>
      <c r="J317" s="119"/>
      <c r="K317" s="120"/>
      <c r="L317" s="120"/>
      <c r="M317" s="120"/>
      <c r="N317" s="120"/>
      <c r="O317" s="118"/>
      <c r="P317" s="120"/>
      <c r="Q317" s="121"/>
      <c r="R317" s="109" t="b">
        <v>0</v>
      </c>
      <c r="S317" s="143"/>
      <c r="T317" s="110"/>
      <c r="U317" s="118"/>
      <c r="V317" s="118"/>
      <c r="W317" s="118"/>
      <c r="X317" s="118"/>
      <c r="Y317" s="118"/>
      <c r="Z317" s="118"/>
      <c r="AA317" s="118"/>
      <c r="AB317" s="118"/>
      <c r="AC317" s="118"/>
      <c r="AD317" s="111"/>
      <c r="AE317" s="122"/>
      <c r="AF317" s="122"/>
      <c r="AG317" s="122"/>
      <c r="AH317" s="122"/>
    </row>
    <row r="318" ht="22.5" customHeight="1">
      <c r="A318" s="73"/>
      <c r="B318" s="73"/>
      <c r="C318" s="73"/>
      <c r="D318" s="73"/>
      <c r="E318" s="330"/>
      <c r="F318" s="118"/>
      <c r="G318" s="118"/>
      <c r="H318" s="118"/>
      <c r="I318" s="118"/>
      <c r="J318" s="119"/>
      <c r="K318" s="120"/>
      <c r="L318" s="120"/>
      <c r="M318" s="120"/>
      <c r="N318" s="120"/>
      <c r="O318" s="118"/>
      <c r="P318" s="120"/>
      <c r="Q318" s="121"/>
      <c r="R318" s="109" t="b">
        <v>0</v>
      </c>
      <c r="S318" s="143"/>
      <c r="T318" s="110"/>
      <c r="U318" s="118"/>
      <c r="V318" s="118"/>
      <c r="W318" s="118"/>
      <c r="X318" s="118"/>
      <c r="Y318" s="118"/>
      <c r="Z318" s="118"/>
      <c r="AA318" s="118"/>
      <c r="AB318" s="118"/>
      <c r="AC318" s="118"/>
      <c r="AD318" s="111"/>
      <c r="AE318" s="122"/>
      <c r="AF318" s="122"/>
      <c r="AG318" s="122"/>
      <c r="AH318" s="122"/>
    </row>
    <row r="319" ht="22.5" customHeight="1">
      <c r="A319" s="73"/>
      <c r="B319" s="73"/>
      <c r="C319" s="73"/>
      <c r="D319" s="73"/>
      <c r="E319" s="330"/>
      <c r="F319" s="118"/>
      <c r="G319" s="118"/>
      <c r="H319" s="118"/>
      <c r="I319" s="118"/>
      <c r="J319" s="119"/>
      <c r="K319" s="120"/>
      <c r="L319" s="120"/>
      <c r="M319" s="120"/>
      <c r="N319" s="120"/>
      <c r="O319" s="118"/>
      <c r="P319" s="120"/>
      <c r="Q319" s="121"/>
      <c r="R319" s="109" t="b">
        <v>0</v>
      </c>
      <c r="S319" s="143"/>
      <c r="T319" s="110"/>
      <c r="U319" s="118"/>
      <c r="V319" s="118"/>
      <c r="W319" s="118"/>
      <c r="X319" s="118"/>
      <c r="Y319" s="118"/>
      <c r="Z319" s="118"/>
      <c r="AA319" s="118"/>
      <c r="AB319" s="118"/>
      <c r="AC319" s="118"/>
      <c r="AD319" s="111"/>
      <c r="AE319" s="122"/>
      <c r="AF319" s="122"/>
      <c r="AG319" s="122"/>
      <c r="AH319" s="122"/>
    </row>
    <row r="320" ht="22.5" customHeight="1">
      <c r="A320" s="73"/>
      <c r="B320" s="73"/>
      <c r="C320" s="73"/>
      <c r="D320" s="73"/>
      <c r="E320" s="330"/>
      <c r="F320" s="118"/>
      <c r="G320" s="118"/>
      <c r="H320" s="118"/>
      <c r="I320" s="118"/>
      <c r="J320" s="119"/>
      <c r="K320" s="120"/>
      <c r="L320" s="120"/>
      <c r="M320" s="120"/>
      <c r="N320" s="120"/>
      <c r="O320" s="118"/>
      <c r="P320" s="120"/>
      <c r="Q320" s="121"/>
      <c r="R320" s="109" t="b">
        <v>0</v>
      </c>
      <c r="S320" s="143"/>
      <c r="T320" s="110"/>
      <c r="U320" s="118"/>
      <c r="V320" s="118"/>
      <c r="W320" s="118"/>
      <c r="X320" s="118"/>
      <c r="Y320" s="118"/>
      <c r="Z320" s="118"/>
      <c r="AA320" s="118"/>
      <c r="AB320" s="118"/>
      <c r="AC320" s="118"/>
      <c r="AD320" s="111"/>
      <c r="AE320" s="122"/>
      <c r="AF320" s="122"/>
      <c r="AG320" s="122"/>
      <c r="AH320" s="122"/>
    </row>
    <row r="321" ht="22.5" customHeight="1">
      <c r="A321" s="73"/>
      <c r="B321" s="73"/>
      <c r="C321" s="73"/>
      <c r="D321" s="73"/>
      <c r="E321" s="330"/>
      <c r="F321" s="118"/>
      <c r="G321" s="118"/>
      <c r="H321" s="118"/>
      <c r="I321" s="118"/>
      <c r="J321" s="119"/>
      <c r="K321" s="120"/>
      <c r="L321" s="120"/>
      <c r="M321" s="120"/>
      <c r="N321" s="120"/>
      <c r="O321" s="118"/>
      <c r="P321" s="120"/>
      <c r="Q321" s="121"/>
      <c r="R321" s="109" t="b">
        <v>0</v>
      </c>
      <c r="S321" s="143"/>
      <c r="T321" s="110"/>
      <c r="U321" s="118"/>
      <c r="V321" s="118"/>
      <c r="W321" s="118"/>
      <c r="X321" s="118"/>
      <c r="Y321" s="118"/>
      <c r="Z321" s="118"/>
      <c r="AA321" s="118"/>
      <c r="AB321" s="118"/>
      <c r="AC321" s="118"/>
      <c r="AD321" s="111"/>
      <c r="AE321" s="122"/>
      <c r="AF321" s="122"/>
      <c r="AG321" s="122"/>
      <c r="AH321" s="122"/>
    </row>
    <row r="322" ht="22.5" customHeight="1">
      <c r="A322" s="73"/>
      <c r="B322" s="73"/>
      <c r="C322" s="73"/>
      <c r="D322" s="73"/>
      <c r="E322" s="330"/>
      <c r="F322" s="118"/>
      <c r="G322" s="118"/>
      <c r="H322" s="118"/>
      <c r="I322" s="118"/>
      <c r="J322" s="119"/>
      <c r="K322" s="120"/>
      <c r="L322" s="120"/>
      <c r="M322" s="120"/>
      <c r="N322" s="120"/>
      <c r="O322" s="118"/>
      <c r="P322" s="120"/>
      <c r="Q322" s="121"/>
      <c r="R322" s="109" t="b">
        <v>0</v>
      </c>
      <c r="S322" s="143"/>
      <c r="T322" s="110"/>
      <c r="U322" s="118"/>
      <c r="V322" s="118"/>
      <c r="W322" s="118"/>
      <c r="X322" s="118"/>
      <c r="Y322" s="118"/>
      <c r="Z322" s="118"/>
      <c r="AA322" s="118"/>
      <c r="AB322" s="118"/>
      <c r="AC322" s="118"/>
      <c r="AD322" s="111"/>
      <c r="AE322" s="122"/>
      <c r="AF322" s="122"/>
      <c r="AG322" s="122"/>
      <c r="AH322" s="122"/>
    </row>
    <row r="323" ht="22.5" customHeight="1">
      <c r="A323" s="73"/>
      <c r="B323" s="73"/>
      <c r="C323" s="73"/>
      <c r="D323" s="73"/>
      <c r="E323" s="330"/>
      <c r="F323" s="118"/>
      <c r="G323" s="118"/>
      <c r="H323" s="118"/>
      <c r="I323" s="118"/>
      <c r="J323" s="119"/>
      <c r="K323" s="120"/>
      <c r="L323" s="120"/>
      <c r="M323" s="120"/>
      <c r="N323" s="120"/>
      <c r="O323" s="118"/>
      <c r="P323" s="120"/>
      <c r="Q323" s="121"/>
      <c r="R323" s="109" t="b">
        <v>0</v>
      </c>
      <c r="S323" s="143"/>
      <c r="T323" s="110"/>
      <c r="U323" s="118"/>
      <c r="V323" s="118"/>
      <c r="W323" s="118"/>
      <c r="X323" s="118"/>
      <c r="Y323" s="118"/>
      <c r="Z323" s="118"/>
      <c r="AA323" s="118"/>
      <c r="AB323" s="118"/>
      <c r="AC323" s="118"/>
      <c r="AD323" s="111"/>
      <c r="AE323" s="122"/>
      <c r="AF323" s="122"/>
      <c r="AG323" s="122"/>
      <c r="AH323" s="122"/>
    </row>
    <row r="324" ht="22.5" customHeight="1">
      <c r="A324" s="73"/>
      <c r="B324" s="73"/>
      <c r="C324" s="73"/>
      <c r="D324" s="73"/>
      <c r="E324" s="330"/>
      <c r="F324" s="118"/>
      <c r="G324" s="118"/>
      <c r="H324" s="118"/>
      <c r="I324" s="118"/>
      <c r="J324" s="119"/>
      <c r="K324" s="120"/>
      <c r="L324" s="120"/>
      <c r="M324" s="120"/>
      <c r="N324" s="120"/>
      <c r="O324" s="118"/>
      <c r="P324" s="120"/>
      <c r="Q324" s="121"/>
      <c r="R324" s="109" t="b">
        <v>0</v>
      </c>
      <c r="S324" s="143"/>
      <c r="T324" s="110"/>
      <c r="U324" s="118"/>
      <c r="V324" s="118"/>
      <c r="W324" s="118"/>
      <c r="X324" s="118"/>
      <c r="Y324" s="118"/>
      <c r="Z324" s="118"/>
      <c r="AA324" s="118"/>
      <c r="AB324" s="118"/>
      <c r="AC324" s="118"/>
      <c r="AD324" s="111"/>
      <c r="AE324" s="122"/>
      <c r="AF324" s="122"/>
      <c r="AG324" s="122"/>
      <c r="AH324" s="122"/>
    </row>
    <row r="325" ht="22.5" customHeight="1">
      <c r="A325" s="73"/>
      <c r="B325" s="73"/>
      <c r="C325" s="73"/>
      <c r="D325" s="73"/>
      <c r="E325" s="330"/>
      <c r="F325" s="118"/>
      <c r="G325" s="118"/>
      <c r="H325" s="118"/>
      <c r="I325" s="118"/>
      <c r="J325" s="119"/>
      <c r="K325" s="120"/>
      <c r="L325" s="120"/>
      <c r="M325" s="120"/>
      <c r="N325" s="120"/>
      <c r="O325" s="118"/>
      <c r="P325" s="120"/>
      <c r="Q325" s="121"/>
      <c r="R325" s="109" t="b">
        <v>0</v>
      </c>
      <c r="S325" s="143"/>
      <c r="T325" s="110"/>
      <c r="U325" s="118"/>
      <c r="V325" s="118"/>
      <c r="W325" s="118"/>
      <c r="X325" s="118"/>
      <c r="Y325" s="118"/>
      <c r="Z325" s="118"/>
      <c r="AA325" s="118"/>
      <c r="AB325" s="118"/>
      <c r="AC325" s="118"/>
      <c r="AD325" s="111"/>
      <c r="AE325" s="122"/>
      <c r="AF325" s="122"/>
      <c r="AG325" s="122"/>
      <c r="AH325" s="122"/>
    </row>
    <row r="326" ht="22.5" customHeight="1">
      <c r="A326" s="73"/>
      <c r="B326" s="73"/>
      <c r="C326" s="73"/>
      <c r="D326" s="73"/>
      <c r="E326" s="330"/>
      <c r="F326" s="118"/>
      <c r="G326" s="118"/>
      <c r="H326" s="118"/>
      <c r="I326" s="118"/>
      <c r="J326" s="119"/>
      <c r="K326" s="120"/>
      <c r="L326" s="120"/>
      <c r="M326" s="120"/>
      <c r="N326" s="120"/>
      <c r="O326" s="118"/>
      <c r="P326" s="120"/>
      <c r="Q326" s="121"/>
      <c r="R326" s="109" t="b">
        <v>0</v>
      </c>
      <c r="S326" s="143"/>
      <c r="T326" s="110"/>
      <c r="U326" s="118"/>
      <c r="V326" s="118"/>
      <c r="W326" s="118"/>
      <c r="X326" s="118"/>
      <c r="Y326" s="118"/>
      <c r="Z326" s="118"/>
      <c r="AA326" s="118"/>
      <c r="AB326" s="118"/>
      <c r="AC326" s="118"/>
      <c r="AD326" s="111"/>
      <c r="AE326" s="122"/>
      <c r="AF326" s="122"/>
      <c r="AG326" s="122"/>
      <c r="AH326" s="122"/>
    </row>
    <row r="327" ht="22.5" customHeight="1">
      <c r="A327" s="73"/>
      <c r="B327" s="73"/>
      <c r="C327" s="73"/>
      <c r="D327" s="73"/>
      <c r="E327" s="330"/>
      <c r="F327" s="118"/>
      <c r="G327" s="118"/>
      <c r="H327" s="118"/>
      <c r="I327" s="118"/>
      <c r="J327" s="119"/>
      <c r="K327" s="120"/>
      <c r="L327" s="120"/>
      <c r="M327" s="120"/>
      <c r="N327" s="120"/>
      <c r="O327" s="118"/>
      <c r="P327" s="120"/>
      <c r="Q327" s="121"/>
      <c r="R327" s="109" t="b">
        <v>0</v>
      </c>
      <c r="S327" s="143"/>
      <c r="T327" s="110"/>
      <c r="U327" s="118"/>
      <c r="V327" s="118"/>
      <c r="W327" s="118"/>
      <c r="X327" s="118"/>
      <c r="Y327" s="118"/>
      <c r="Z327" s="118"/>
      <c r="AA327" s="118"/>
      <c r="AB327" s="118"/>
      <c r="AC327" s="118"/>
      <c r="AD327" s="111"/>
      <c r="AE327" s="122"/>
      <c r="AF327" s="122"/>
      <c r="AG327" s="122"/>
      <c r="AH327" s="122"/>
    </row>
    <row r="328" ht="22.5" customHeight="1">
      <c r="A328" s="73"/>
      <c r="B328" s="73"/>
      <c r="C328" s="73"/>
      <c r="D328" s="73"/>
      <c r="E328" s="330"/>
      <c r="F328" s="118"/>
      <c r="G328" s="118"/>
      <c r="H328" s="118"/>
      <c r="I328" s="118"/>
      <c r="J328" s="119"/>
      <c r="K328" s="120"/>
      <c r="L328" s="120"/>
      <c r="M328" s="120"/>
      <c r="N328" s="120"/>
      <c r="O328" s="118"/>
      <c r="P328" s="120"/>
      <c r="Q328" s="121"/>
      <c r="R328" s="109" t="b">
        <v>0</v>
      </c>
      <c r="S328" s="143"/>
      <c r="T328" s="110"/>
      <c r="U328" s="118"/>
      <c r="V328" s="118"/>
      <c r="W328" s="118"/>
      <c r="X328" s="118"/>
      <c r="Y328" s="118"/>
      <c r="Z328" s="118"/>
      <c r="AA328" s="118"/>
      <c r="AB328" s="118"/>
      <c r="AC328" s="118"/>
      <c r="AD328" s="111"/>
      <c r="AE328" s="122"/>
      <c r="AF328" s="122"/>
      <c r="AG328" s="122"/>
      <c r="AH328" s="122"/>
    </row>
    <row r="329" ht="22.5" customHeight="1">
      <c r="A329" s="73"/>
      <c r="B329" s="73"/>
      <c r="C329" s="73"/>
      <c r="D329" s="73"/>
      <c r="E329" s="330"/>
      <c r="F329" s="118"/>
      <c r="G329" s="118"/>
      <c r="H329" s="118"/>
      <c r="I329" s="118"/>
      <c r="J329" s="119"/>
      <c r="K329" s="120"/>
      <c r="L329" s="120"/>
      <c r="M329" s="120"/>
      <c r="N329" s="120"/>
      <c r="O329" s="118"/>
      <c r="P329" s="120"/>
      <c r="Q329" s="121"/>
      <c r="R329" s="109" t="b">
        <v>0</v>
      </c>
      <c r="S329" s="143"/>
      <c r="T329" s="110"/>
      <c r="U329" s="118"/>
      <c r="V329" s="118"/>
      <c r="W329" s="118"/>
      <c r="X329" s="118"/>
      <c r="Y329" s="118"/>
      <c r="Z329" s="118"/>
      <c r="AA329" s="118"/>
      <c r="AB329" s="118"/>
      <c r="AC329" s="118"/>
      <c r="AD329" s="111"/>
      <c r="AE329" s="122"/>
      <c r="AF329" s="122"/>
      <c r="AG329" s="122"/>
      <c r="AH329" s="122"/>
    </row>
    <row r="330" ht="22.5" customHeight="1">
      <c r="A330" s="73"/>
      <c r="B330" s="73"/>
      <c r="C330" s="73"/>
      <c r="D330" s="73"/>
      <c r="E330" s="330"/>
      <c r="F330" s="118"/>
      <c r="G330" s="118"/>
      <c r="H330" s="118"/>
      <c r="I330" s="118"/>
      <c r="J330" s="119"/>
      <c r="K330" s="120"/>
      <c r="L330" s="120"/>
      <c r="M330" s="120"/>
      <c r="N330" s="120"/>
      <c r="O330" s="118"/>
      <c r="P330" s="120"/>
      <c r="Q330" s="121"/>
      <c r="R330" s="109" t="b">
        <v>0</v>
      </c>
      <c r="S330" s="143"/>
      <c r="T330" s="110"/>
      <c r="U330" s="118"/>
      <c r="V330" s="118"/>
      <c r="W330" s="118"/>
      <c r="X330" s="118"/>
      <c r="Y330" s="118"/>
      <c r="Z330" s="118"/>
      <c r="AA330" s="118"/>
      <c r="AB330" s="118"/>
      <c r="AC330" s="118"/>
      <c r="AD330" s="111"/>
      <c r="AE330" s="122"/>
      <c r="AF330" s="122"/>
      <c r="AG330" s="122"/>
      <c r="AH330" s="122"/>
    </row>
    <row r="331" ht="22.5" customHeight="1">
      <c r="A331" s="73"/>
      <c r="B331" s="73"/>
      <c r="C331" s="73"/>
      <c r="D331" s="73"/>
      <c r="E331" s="330"/>
      <c r="F331" s="118"/>
      <c r="G331" s="118"/>
      <c r="H331" s="118"/>
      <c r="I331" s="118"/>
      <c r="J331" s="119"/>
      <c r="K331" s="120"/>
      <c r="L331" s="120"/>
      <c r="M331" s="120"/>
      <c r="N331" s="120"/>
      <c r="O331" s="118"/>
      <c r="P331" s="120"/>
      <c r="Q331" s="121"/>
      <c r="R331" s="109" t="b">
        <v>0</v>
      </c>
      <c r="S331" s="143"/>
      <c r="T331" s="110"/>
      <c r="U331" s="118"/>
      <c r="V331" s="118"/>
      <c r="W331" s="118"/>
      <c r="X331" s="118"/>
      <c r="Y331" s="118"/>
      <c r="Z331" s="118"/>
      <c r="AA331" s="118"/>
      <c r="AB331" s="118"/>
      <c r="AC331" s="118"/>
      <c r="AD331" s="111"/>
      <c r="AE331" s="122"/>
      <c r="AF331" s="122"/>
      <c r="AG331" s="122"/>
      <c r="AH331" s="122"/>
    </row>
    <row r="332" ht="22.5" customHeight="1">
      <c r="A332" s="73"/>
      <c r="B332" s="73"/>
      <c r="C332" s="73"/>
      <c r="D332" s="73"/>
      <c r="E332" s="330"/>
      <c r="F332" s="118"/>
      <c r="G332" s="118"/>
      <c r="H332" s="118"/>
      <c r="I332" s="118"/>
      <c r="J332" s="119"/>
      <c r="K332" s="120"/>
      <c r="L332" s="120"/>
      <c r="M332" s="120"/>
      <c r="N332" s="120"/>
      <c r="O332" s="118"/>
      <c r="P332" s="120"/>
      <c r="Q332" s="121"/>
      <c r="R332" s="109" t="b">
        <v>0</v>
      </c>
      <c r="S332" s="143"/>
      <c r="T332" s="110"/>
      <c r="U332" s="118"/>
      <c r="V332" s="118"/>
      <c r="W332" s="118"/>
      <c r="X332" s="118"/>
      <c r="Y332" s="118"/>
      <c r="Z332" s="118"/>
      <c r="AA332" s="118"/>
      <c r="AB332" s="118"/>
      <c r="AC332" s="118"/>
      <c r="AD332" s="111"/>
      <c r="AE332" s="122"/>
      <c r="AF332" s="122"/>
      <c r="AG332" s="122"/>
      <c r="AH332" s="122"/>
    </row>
    <row r="333" ht="22.5" customHeight="1">
      <c r="A333" s="73"/>
      <c r="B333" s="73"/>
      <c r="C333" s="73"/>
      <c r="D333" s="73"/>
      <c r="E333" s="330"/>
      <c r="F333" s="118"/>
      <c r="G333" s="118"/>
      <c r="H333" s="118"/>
      <c r="I333" s="118"/>
      <c r="J333" s="119"/>
      <c r="K333" s="120"/>
      <c r="L333" s="120"/>
      <c r="M333" s="120"/>
      <c r="N333" s="120"/>
      <c r="O333" s="118"/>
      <c r="P333" s="120"/>
      <c r="Q333" s="121"/>
      <c r="R333" s="109" t="b">
        <v>0</v>
      </c>
      <c r="S333" s="143"/>
      <c r="T333" s="110"/>
      <c r="U333" s="118"/>
      <c r="V333" s="118"/>
      <c r="W333" s="118"/>
      <c r="X333" s="118"/>
      <c r="Y333" s="118"/>
      <c r="Z333" s="118"/>
      <c r="AA333" s="118"/>
      <c r="AB333" s="118"/>
      <c r="AC333" s="118"/>
      <c r="AD333" s="111"/>
      <c r="AE333" s="122"/>
      <c r="AF333" s="122"/>
      <c r="AG333" s="122"/>
      <c r="AH333" s="122"/>
    </row>
    <row r="334" ht="22.5" customHeight="1">
      <c r="A334" s="73"/>
      <c r="B334" s="73"/>
      <c r="C334" s="73"/>
      <c r="D334" s="73"/>
      <c r="E334" s="330"/>
      <c r="F334" s="118"/>
      <c r="G334" s="118"/>
      <c r="H334" s="118"/>
      <c r="I334" s="118"/>
      <c r="J334" s="119"/>
      <c r="K334" s="120"/>
      <c r="L334" s="120"/>
      <c r="M334" s="120"/>
      <c r="N334" s="120"/>
      <c r="O334" s="118"/>
      <c r="P334" s="120"/>
      <c r="Q334" s="121"/>
      <c r="R334" s="109" t="b">
        <v>0</v>
      </c>
      <c r="S334" s="143"/>
      <c r="T334" s="110"/>
      <c r="U334" s="118"/>
      <c r="V334" s="118"/>
      <c r="W334" s="118"/>
      <c r="X334" s="118"/>
      <c r="Y334" s="118"/>
      <c r="Z334" s="118"/>
      <c r="AA334" s="118"/>
      <c r="AB334" s="118"/>
      <c r="AC334" s="118"/>
      <c r="AD334" s="111"/>
      <c r="AE334" s="122"/>
      <c r="AF334" s="122"/>
      <c r="AG334" s="122"/>
      <c r="AH334" s="122"/>
    </row>
    <row r="335" ht="22.5" customHeight="1">
      <c r="A335" s="73"/>
      <c r="B335" s="73"/>
      <c r="C335" s="73"/>
      <c r="D335" s="73"/>
      <c r="E335" s="330"/>
      <c r="F335" s="118"/>
      <c r="G335" s="118"/>
      <c r="H335" s="118"/>
      <c r="I335" s="118"/>
      <c r="J335" s="119"/>
      <c r="K335" s="120"/>
      <c r="L335" s="120"/>
      <c r="M335" s="120"/>
      <c r="N335" s="120"/>
      <c r="O335" s="118"/>
      <c r="P335" s="120"/>
      <c r="Q335" s="121"/>
      <c r="R335" s="109" t="b">
        <v>0</v>
      </c>
      <c r="S335" s="143"/>
      <c r="T335" s="110"/>
      <c r="U335" s="118"/>
      <c r="V335" s="118"/>
      <c r="W335" s="118"/>
      <c r="X335" s="118"/>
      <c r="Y335" s="118"/>
      <c r="Z335" s="118"/>
      <c r="AA335" s="118"/>
      <c r="AB335" s="118"/>
      <c r="AC335" s="118"/>
      <c r="AD335" s="111"/>
      <c r="AE335" s="122"/>
      <c r="AF335" s="122"/>
      <c r="AG335" s="122"/>
      <c r="AH335" s="122"/>
    </row>
    <row r="336" ht="22.5" customHeight="1">
      <c r="A336" s="73"/>
      <c r="B336" s="73"/>
      <c r="C336" s="73"/>
      <c r="D336" s="73"/>
      <c r="E336" s="330"/>
      <c r="F336" s="118"/>
      <c r="G336" s="118"/>
      <c r="H336" s="118"/>
      <c r="I336" s="118"/>
      <c r="J336" s="119"/>
      <c r="K336" s="120"/>
      <c r="L336" s="120"/>
      <c r="M336" s="120"/>
      <c r="N336" s="120"/>
      <c r="O336" s="118"/>
      <c r="P336" s="120"/>
      <c r="Q336" s="121"/>
      <c r="R336" s="109" t="b">
        <v>0</v>
      </c>
      <c r="S336" s="143"/>
      <c r="T336" s="110"/>
      <c r="U336" s="118"/>
      <c r="V336" s="118"/>
      <c r="W336" s="118"/>
      <c r="X336" s="118"/>
      <c r="Y336" s="118"/>
      <c r="Z336" s="118"/>
      <c r="AA336" s="118"/>
      <c r="AB336" s="118"/>
      <c r="AC336" s="118"/>
      <c r="AD336" s="111"/>
      <c r="AE336" s="122"/>
      <c r="AF336" s="122"/>
      <c r="AG336" s="122"/>
      <c r="AH336" s="122"/>
    </row>
    <row r="337" ht="22.5" customHeight="1">
      <c r="A337" s="73"/>
      <c r="B337" s="73"/>
      <c r="C337" s="73"/>
      <c r="D337" s="73"/>
      <c r="E337" s="330"/>
      <c r="F337" s="118"/>
      <c r="G337" s="118"/>
      <c r="H337" s="118"/>
      <c r="I337" s="118"/>
      <c r="J337" s="119"/>
      <c r="K337" s="120"/>
      <c r="L337" s="120"/>
      <c r="M337" s="120"/>
      <c r="N337" s="120"/>
      <c r="O337" s="118"/>
      <c r="P337" s="120"/>
      <c r="Q337" s="121"/>
      <c r="R337" s="109" t="b">
        <v>0</v>
      </c>
      <c r="S337" s="143"/>
      <c r="T337" s="110"/>
      <c r="U337" s="118"/>
      <c r="V337" s="118"/>
      <c r="W337" s="118"/>
      <c r="X337" s="118"/>
      <c r="Y337" s="118"/>
      <c r="Z337" s="118"/>
      <c r="AA337" s="118"/>
      <c r="AB337" s="118"/>
      <c r="AC337" s="118"/>
      <c r="AD337" s="111"/>
      <c r="AE337" s="122"/>
      <c r="AF337" s="122"/>
      <c r="AG337" s="122"/>
      <c r="AH337" s="122"/>
    </row>
    <row r="338" ht="22.5" customHeight="1">
      <c r="A338" s="73"/>
      <c r="B338" s="73"/>
      <c r="C338" s="73"/>
      <c r="D338" s="73"/>
      <c r="E338" s="330"/>
      <c r="F338" s="118"/>
      <c r="G338" s="118"/>
      <c r="H338" s="118"/>
      <c r="I338" s="118"/>
      <c r="J338" s="119"/>
      <c r="K338" s="120"/>
      <c r="L338" s="120"/>
      <c r="M338" s="120"/>
      <c r="N338" s="120"/>
      <c r="O338" s="118"/>
      <c r="P338" s="120"/>
      <c r="Q338" s="121"/>
      <c r="R338" s="109" t="b">
        <v>0</v>
      </c>
      <c r="S338" s="143"/>
      <c r="T338" s="110"/>
      <c r="U338" s="118"/>
      <c r="V338" s="118"/>
      <c r="W338" s="118"/>
      <c r="X338" s="118"/>
      <c r="Y338" s="118"/>
      <c r="Z338" s="118"/>
      <c r="AA338" s="118"/>
      <c r="AB338" s="118"/>
      <c r="AC338" s="118"/>
      <c r="AD338" s="111"/>
      <c r="AE338" s="122"/>
      <c r="AF338" s="122"/>
      <c r="AG338" s="122"/>
      <c r="AH338" s="122"/>
    </row>
    <row r="339" ht="22.5" customHeight="1">
      <c r="A339" s="73"/>
      <c r="B339" s="73"/>
      <c r="C339" s="73"/>
      <c r="D339" s="73"/>
      <c r="E339" s="330"/>
      <c r="F339" s="118"/>
      <c r="G339" s="118"/>
      <c r="H339" s="118"/>
      <c r="I339" s="118"/>
      <c r="J339" s="119"/>
      <c r="K339" s="120"/>
      <c r="L339" s="120"/>
      <c r="M339" s="120"/>
      <c r="N339" s="120"/>
      <c r="O339" s="118"/>
      <c r="P339" s="120"/>
      <c r="Q339" s="121"/>
      <c r="R339" s="109" t="b">
        <v>0</v>
      </c>
      <c r="S339" s="143"/>
      <c r="T339" s="110"/>
      <c r="U339" s="118"/>
      <c r="V339" s="118"/>
      <c r="W339" s="118"/>
      <c r="X339" s="118"/>
      <c r="Y339" s="118"/>
      <c r="Z339" s="118"/>
      <c r="AA339" s="118"/>
      <c r="AB339" s="118"/>
      <c r="AC339" s="118"/>
      <c r="AD339" s="111"/>
      <c r="AE339" s="122"/>
      <c r="AF339" s="122"/>
      <c r="AG339" s="122"/>
      <c r="AH339" s="122"/>
    </row>
    <row r="340" ht="22.5" customHeight="1">
      <c r="A340" s="73"/>
      <c r="B340" s="73"/>
      <c r="C340" s="73"/>
      <c r="D340" s="73"/>
      <c r="E340" s="330"/>
      <c r="F340" s="118"/>
      <c r="G340" s="118"/>
      <c r="H340" s="118"/>
      <c r="I340" s="118"/>
      <c r="J340" s="119"/>
      <c r="K340" s="120"/>
      <c r="L340" s="120"/>
      <c r="M340" s="120"/>
      <c r="N340" s="120"/>
      <c r="O340" s="118"/>
      <c r="P340" s="120"/>
      <c r="Q340" s="121"/>
      <c r="R340" s="109" t="b">
        <v>0</v>
      </c>
      <c r="S340" s="143"/>
      <c r="T340" s="110"/>
      <c r="U340" s="118"/>
      <c r="V340" s="118"/>
      <c r="W340" s="118"/>
      <c r="X340" s="118"/>
      <c r="Y340" s="118"/>
      <c r="Z340" s="118"/>
      <c r="AA340" s="118"/>
      <c r="AB340" s="118"/>
      <c r="AC340" s="118"/>
      <c r="AD340" s="111"/>
      <c r="AE340" s="122"/>
      <c r="AF340" s="122"/>
      <c r="AG340" s="122"/>
      <c r="AH340" s="122"/>
    </row>
    <row r="341" ht="22.5" customHeight="1">
      <c r="A341" s="73"/>
      <c r="B341" s="73"/>
      <c r="C341" s="73"/>
      <c r="D341" s="73"/>
      <c r="E341" s="330"/>
      <c r="F341" s="118"/>
      <c r="G341" s="118"/>
      <c r="H341" s="118"/>
      <c r="I341" s="118"/>
      <c r="J341" s="119"/>
      <c r="K341" s="120"/>
      <c r="L341" s="120"/>
      <c r="M341" s="120"/>
      <c r="N341" s="120"/>
      <c r="O341" s="118"/>
      <c r="P341" s="120"/>
      <c r="Q341" s="121"/>
      <c r="R341" s="109" t="b">
        <v>0</v>
      </c>
      <c r="S341" s="143"/>
      <c r="T341" s="110"/>
      <c r="U341" s="118"/>
      <c r="V341" s="118"/>
      <c r="W341" s="118"/>
      <c r="X341" s="118"/>
      <c r="Y341" s="118"/>
      <c r="Z341" s="118"/>
      <c r="AA341" s="118"/>
      <c r="AB341" s="118"/>
      <c r="AC341" s="118"/>
      <c r="AD341" s="111"/>
      <c r="AE341" s="122"/>
      <c r="AF341" s="122"/>
      <c r="AG341" s="122"/>
      <c r="AH341" s="122"/>
    </row>
    <row r="342" ht="22.5" customHeight="1">
      <c r="A342" s="73"/>
      <c r="B342" s="73"/>
      <c r="C342" s="73"/>
      <c r="D342" s="73"/>
      <c r="E342" s="330"/>
      <c r="F342" s="118"/>
      <c r="G342" s="118"/>
      <c r="H342" s="118"/>
      <c r="I342" s="118"/>
      <c r="J342" s="119"/>
      <c r="K342" s="120"/>
      <c r="L342" s="120"/>
      <c r="M342" s="120"/>
      <c r="N342" s="120"/>
      <c r="O342" s="118"/>
      <c r="P342" s="120"/>
      <c r="Q342" s="121"/>
      <c r="R342" s="109" t="b">
        <v>0</v>
      </c>
      <c r="S342" s="143"/>
      <c r="T342" s="110"/>
      <c r="U342" s="118"/>
      <c r="V342" s="118"/>
      <c r="W342" s="118"/>
      <c r="X342" s="118"/>
      <c r="Y342" s="118"/>
      <c r="Z342" s="118"/>
      <c r="AA342" s="118"/>
      <c r="AB342" s="118"/>
      <c r="AC342" s="118"/>
      <c r="AD342" s="111"/>
      <c r="AE342" s="122"/>
      <c r="AF342" s="122"/>
      <c r="AG342" s="122"/>
      <c r="AH342" s="122"/>
    </row>
    <row r="343" ht="22.5" customHeight="1">
      <c r="A343" s="73"/>
      <c r="B343" s="73"/>
      <c r="C343" s="73"/>
      <c r="D343" s="73"/>
      <c r="E343" s="330"/>
      <c r="F343" s="118"/>
      <c r="G343" s="118"/>
      <c r="H343" s="118"/>
      <c r="I343" s="118"/>
      <c r="J343" s="119"/>
      <c r="K343" s="120"/>
      <c r="L343" s="120"/>
      <c r="M343" s="120"/>
      <c r="N343" s="120"/>
      <c r="O343" s="118"/>
      <c r="P343" s="120"/>
      <c r="Q343" s="121"/>
      <c r="R343" s="109" t="b">
        <v>0</v>
      </c>
      <c r="S343" s="143"/>
      <c r="T343" s="110"/>
      <c r="U343" s="118"/>
      <c r="V343" s="118"/>
      <c r="W343" s="118"/>
      <c r="X343" s="118"/>
      <c r="Y343" s="118"/>
      <c r="Z343" s="118"/>
      <c r="AA343" s="118"/>
      <c r="AB343" s="118"/>
      <c r="AC343" s="118"/>
      <c r="AD343" s="111"/>
      <c r="AE343" s="122"/>
      <c r="AF343" s="122"/>
      <c r="AG343" s="122"/>
      <c r="AH343" s="122"/>
    </row>
    <row r="344" ht="22.5" customHeight="1">
      <c r="A344" s="73"/>
      <c r="B344" s="73"/>
      <c r="C344" s="73"/>
      <c r="D344" s="73"/>
      <c r="E344" s="330"/>
      <c r="F344" s="118"/>
      <c r="G344" s="118"/>
      <c r="H344" s="118"/>
      <c r="I344" s="118"/>
      <c r="J344" s="119"/>
      <c r="K344" s="120"/>
      <c r="L344" s="120"/>
      <c r="M344" s="120"/>
      <c r="N344" s="120"/>
      <c r="O344" s="118"/>
      <c r="P344" s="120"/>
      <c r="Q344" s="121"/>
      <c r="R344" s="109" t="b">
        <v>0</v>
      </c>
      <c r="S344" s="143"/>
      <c r="T344" s="110"/>
      <c r="U344" s="118"/>
      <c r="V344" s="118"/>
      <c r="W344" s="118"/>
      <c r="X344" s="118"/>
      <c r="Y344" s="118"/>
      <c r="Z344" s="118"/>
      <c r="AA344" s="118"/>
      <c r="AB344" s="118"/>
      <c r="AC344" s="118"/>
      <c r="AD344" s="111"/>
      <c r="AE344" s="122"/>
      <c r="AF344" s="122"/>
      <c r="AG344" s="122"/>
      <c r="AH344" s="122"/>
    </row>
    <row r="345" ht="22.5" customHeight="1">
      <c r="A345" s="73"/>
      <c r="B345" s="73"/>
      <c r="C345" s="73"/>
      <c r="D345" s="73"/>
      <c r="E345" s="330"/>
      <c r="F345" s="118"/>
      <c r="G345" s="118"/>
      <c r="H345" s="118"/>
      <c r="I345" s="118"/>
      <c r="J345" s="119"/>
      <c r="K345" s="120"/>
      <c r="L345" s="120"/>
      <c r="M345" s="120"/>
      <c r="N345" s="120"/>
      <c r="O345" s="118"/>
      <c r="P345" s="120"/>
      <c r="Q345" s="121"/>
      <c r="R345" s="109" t="b">
        <v>0</v>
      </c>
      <c r="S345" s="143"/>
      <c r="T345" s="110"/>
      <c r="U345" s="118"/>
      <c r="V345" s="118"/>
      <c r="W345" s="118"/>
      <c r="X345" s="118"/>
      <c r="Y345" s="118"/>
      <c r="Z345" s="118"/>
      <c r="AA345" s="118"/>
      <c r="AB345" s="118"/>
      <c r="AC345" s="118"/>
      <c r="AD345" s="111"/>
      <c r="AE345" s="122"/>
      <c r="AF345" s="122"/>
      <c r="AG345" s="122"/>
      <c r="AH345" s="122"/>
    </row>
    <row r="346" ht="22.5" customHeight="1">
      <c r="A346" s="73"/>
      <c r="B346" s="73"/>
      <c r="C346" s="73"/>
      <c r="D346" s="73"/>
      <c r="E346" s="330"/>
      <c r="F346" s="118"/>
      <c r="G346" s="118"/>
      <c r="H346" s="118"/>
      <c r="I346" s="118"/>
      <c r="J346" s="119"/>
      <c r="K346" s="120"/>
      <c r="L346" s="120"/>
      <c r="M346" s="120"/>
      <c r="N346" s="120"/>
      <c r="O346" s="118"/>
      <c r="P346" s="120"/>
      <c r="Q346" s="121"/>
      <c r="R346" s="109" t="b">
        <v>0</v>
      </c>
      <c r="S346" s="143"/>
      <c r="T346" s="110"/>
      <c r="U346" s="118"/>
      <c r="V346" s="118"/>
      <c r="W346" s="118"/>
      <c r="X346" s="118"/>
      <c r="Y346" s="118"/>
      <c r="Z346" s="118"/>
      <c r="AA346" s="118"/>
      <c r="AB346" s="118"/>
      <c r="AC346" s="118"/>
      <c r="AD346" s="111"/>
      <c r="AE346" s="122"/>
      <c r="AF346" s="122"/>
      <c r="AG346" s="122"/>
      <c r="AH346" s="122"/>
    </row>
    <row r="347" ht="22.5" customHeight="1">
      <c r="A347" s="73"/>
      <c r="B347" s="73"/>
      <c r="C347" s="73"/>
      <c r="D347" s="73"/>
      <c r="E347" s="330"/>
      <c r="F347" s="118"/>
      <c r="G347" s="118"/>
      <c r="H347" s="118"/>
      <c r="I347" s="118"/>
      <c r="J347" s="119"/>
      <c r="K347" s="120"/>
      <c r="L347" s="120"/>
      <c r="M347" s="120"/>
      <c r="N347" s="120"/>
      <c r="O347" s="118"/>
      <c r="P347" s="120"/>
      <c r="Q347" s="121"/>
      <c r="R347" s="109" t="b">
        <v>0</v>
      </c>
      <c r="S347" s="143"/>
      <c r="T347" s="110"/>
      <c r="U347" s="118"/>
      <c r="V347" s="118"/>
      <c r="W347" s="118"/>
      <c r="X347" s="118"/>
      <c r="Y347" s="118"/>
      <c r="Z347" s="118"/>
      <c r="AA347" s="118"/>
      <c r="AB347" s="118"/>
      <c r="AC347" s="118"/>
      <c r="AD347" s="111"/>
      <c r="AE347" s="122"/>
      <c r="AF347" s="122"/>
      <c r="AG347" s="122"/>
      <c r="AH347" s="122"/>
    </row>
    <row r="348" ht="22.5" customHeight="1">
      <c r="A348" s="73"/>
      <c r="B348" s="73"/>
      <c r="C348" s="73"/>
      <c r="D348" s="73"/>
      <c r="E348" s="330"/>
      <c r="F348" s="118"/>
      <c r="G348" s="118"/>
      <c r="H348" s="118"/>
      <c r="I348" s="118"/>
      <c r="J348" s="119"/>
      <c r="K348" s="120"/>
      <c r="L348" s="120"/>
      <c r="M348" s="120"/>
      <c r="N348" s="120"/>
      <c r="O348" s="118"/>
      <c r="P348" s="120"/>
      <c r="Q348" s="121"/>
      <c r="R348" s="109" t="b">
        <v>0</v>
      </c>
      <c r="S348" s="143"/>
      <c r="T348" s="110"/>
      <c r="U348" s="118"/>
      <c r="V348" s="118"/>
      <c r="W348" s="118"/>
      <c r="X348" s="118"/>
      <c r="Y348" s="118"/>
      <c r="Z348" s="118"/>
      <c r="AA348" s="118"/>
      <c r="AB348" s="118"/>
      <c r="AC348" s="118"/>
      <c r="AD348" s="111"/>
      <c r="AE348" s="122"/>
      <c r="AF348" s="122"/>
      <c r="AG348" s="122"/>
      <c r="AH348" s="122"/>
    </row>
    <row r="349" ht="22.5" customHeight="1">
      <c r="A349" s="73"/>
      <c r="B349" s="73"/>
      <c r="C349" s="73"/>
      <c r="D349" s="73"/>
      <c r="E349" s="330"/>
      <c r="F349" s="118"/>
      <c r="G349" s="118"/>
      <c r="H349" s="118"/>
      <c r="I349" s="118"/>
      <c r="J349" s="119"/>
      <c r="K349" s="120"/>
      <c r="L349" s="120"/>
      <c r="M349" s="120"/>
      <c r="N349" s="120"/>
      <c r="O349" s="118"/>
      <c r="P349" s="120"/>
      <c r="Q349" s="121"/>
      <c r="R349" s="109" t="b">
        <v>0</v>
      </c>
      <c r="S349" s="143"/>
      <c r="T349" s="110"/>
      <c r="U349" s="118"/>
      <c r="V349" s="118"/>
      <c r="W349" s="118"/>
      <c r="X349" s="118"/>
      <c r="Y349" s="118"/>
      <c r="Z349" s="118"/>
      <c r="AA349" s="118"/>
      <c r="AB349" s="118"/>
      <c r="AC349" s="118"/>
      <c r="AD349" s="111"/>
      <c r="AE349" s="122"/>
      <c r="AF349" s="122"/>
      <c r="AG349" s="122"/>
      <c r="AH349" s="122"/>
    </row>
    <row r="350" ht="22.5" customHeight="1">
      <c r="A350" s="73"/>
      <c r="B350" s="73"/>
      <c r="C350" s="73"/>
      <c r="D350" s="73"/>
      <c r="E350" s="330"/>
      <c r="F350" s="118"/>
      <c r="G350" s="118"/>
      <c r="H350" s="118"/>
      <c r="I350" s="118"/>
      <c r="J350" s="119"/>
      <c r="K350" s="120"/>
      <c r="L350" s="120"/>
      <c r="M350" s="120"/>
      <c r="N350" s="120"/>
      <c r="O350" s="118"/>
      <c r="P350" s="120"/>
      <c r="Q350" s="121"/>
      <c r="R350" s="109" t="b">
        <v>0</v>
      </c>
      <c r="S350" s="143"/>
      <c r="T350" s="110"/>
      <c r="U350" s="118"/>
      <c r="V350" s="118"/>
      <c r="W350" s="118"/>
      <c r="X350" s="118"/>
      <c r="Y350" s="118"/>
      <c r="Z350" s="118"/>
      <c r="AA350" s="118"/>
      <c r="AB350" s="118"/>
      <c r="AC350" s="118"/>
      <c r="AD350" s="111"/>
      <c r="AE350" s="122"/>
      <c r="AF350" s="122"/>
      <c r="AG350" s="122"/>
      <c r="AH350" s="122"/>
    </row>
    <row r="351" ht="22.5" customHeight="1">
      <c r="A351" s="73"/>
      <c r="B351" s="73"/>
      <c r="C351" s="73"/>
      <c r="D351" s="73"/>
      <c r="E351" s="330"/>
      <c r="F351" s="118"/>
      <c r="G351" s="118"/>
      <c r="H351" s="118"/>
      <c r="I351" s="118"/>
      <c r="J351" s="119"/>
      <c r="K351" s="120"/>
      <c r="L351" s="120"/>
      <c r="M351" s="120"/>
      <c r="N351" s="120"/>
      <c r="O351" s="118"/>
      <c r="P351" s="120"/>
      <c r="Q351" s="121"/>
      <c r="R351" s="109" t="b">
        <v>0</v>
      </c>
      <c r="S351" s="143"/>
      <c r="T351" s="110"/>
      <c r="U351" s="118"/>
      <c r="V351" s="118"/>
      <c r="W351" s="118"/>
      <c r="X351" s="118"/>
      <c r="Y351" s="118"/>
      <c r="Z351" s="118"/>
      <c r="AA351" s="118"/>
      <c r="AB351" s="118"/>
      <c r="AC351" s="118"/>
      <c r="AD351" s="111"/>
      <c r="AE351" s="122"/>
      <c r="AF351" s="122"/>
      <c r="AG351" s="122"/>
      <c r="AH351" s="122"/>
    </row>
    <row r="352" ht="22.5" customHeight="1">
      <c r="A352" s="73"/>
      <c r="B352" s="73"/>
      <c r="C352" s="73"/>
      <c r="D352" s="73"/>
      <c r="E352" s="330"/>
      <c r="F352" s="118"/>
      <c r="G352" s="118"/>
      <c r="H352" s="118"/>
      <c r="I352" s="118"/>
      <c r="J352" s="119"/>
      <c r="K352" s="120"/>
      <c r="L352" s="120"/>
      <c r="M352" s="120"/>
      <c r="N352" s="120"/>
      <c r="O352" s="118"/>
      <c r="P352" s="120"/>
      <c r="Q352" s="121"/>
      <c r="R352" s="109" t="b">
        <v>0</v>
      </c>
      <c r="S352" s="143"/>
      <c r="T352" s="110"/>
      <c r="U352" s="118"/>
      <c r="V352" s="118"/>
      <c r="W352" s="118"/>
      <c r="X352" s="118"/>
      <c r="Y352" s="118"/>
      <c r="Z352" s="118"/>
      <c r="AA352" s="118"/>
      <c r="AB352" s="118"/>
      <c r="AC352" s="118"/>
      <c r="AD352" s="111"/>
      <c r="AE352" s="122"/>
      <c r="AF352" s="122"/>
      <c r="AG352" s="122"/>
      <c r="AH352" s="122"/>
    </row>
    <row r="353" ht="22.5" customHeight="1">
      <c r="A353" s="73"/>
      <c r="B353" s="73"/>
      <c r="C353" s="73"/>
      <c r="D353" s="73"/>
      <c r="E353" s="330"/>
      <c r="F353" s="118"/>
      <c r="G353" s="118"/>
      <c r="H353" s="118"/>
      <c r="I353" s="118"/>
      <c r="J353" s="119"/>
      <c r="K353" s="120"/>
      <c r="L353" s="120"/>
      <c r="M353" s="120"/>
      <c r="N353" s="120"/>
      <c r="O353" s="118"/>
      <c r="P353" s="120"/>
      <c r="Q353" s="121"/>
      <c r="R353" s="109" t="b">
        <v>0</v>
      </c>
      <c r="S353" s="143"/>
      <c r="T353" s="110"/>
      <c r="U353" s="118"/>
      <c r="V353" s="118"/>
      <c r="W353" s="118"/>
      <c r="X353" s="118"/>
      <c r="Y353" s="118"/>
      <c r="Z353" s="118"/>
      <c r="AA353" s="118"/>
      <c r="AB353" s="118"/>
      <c r="AC353" s="118"/>
      <c r="AD353" s="111"/>
      <c r="AE353" s="122"/>
      <c r="AF353" s="122"/>
      <c r="AG353" s="122"/>
      <c r="AH353" s="122"/>
    </row>
    <row r="354" ht="22.5" customHeight="1">
      <c r="A354" s="73"/>
      <c r="B354" s="73"/>
      <c r="C354" s="73"/>
      <c r="D354" s="73"/>
      <c r="E354" s="330"/>
      <c r="F354" s="118"/>
      <c r="G354" s="118"/>
      <c r="H354" s="118"/>
      <c r="I354" s="118"/>
      <c r="J354" s="119"/>
      <c r="K354" s="120"/>
      <c r="L354" s="120"/>
      <c r="M354" s="120"/>
      <c r="N354" s="120"/>
      <c r="O354" s="118"/>
      <c r="P354" s="120"/>
      <c r="Q354" s="121"/>
      <c r="R354" s="109" t="b">
        <v>0</v>
      </c>
      <c r="S354" s="143"/>
      <c r="T354" s="110"/>
      <c r="U354" s="118"/>
      <c r="V354" s="118"/>
      <c r="W354" s="118"/>
      <c r="X354" s="118"/>
      <c r="Y354" s="118"/>
      <c r="Z354" s="118"/>
      <c r="AA354" s="118"/>
      <c r="AB354" s="118"/>
      <c r="AC354" s="118"/>
      <c r="AD354" s="111"/>
      <c r="AE354" s="122"/>
      <c r="AF354" s="122"/>
      <c r="AG354" s="122"/>
      <c r="AH354" s="122"/>
    </row>
    <row r="355" ht="22.5" customHeight="1">
      <c r="A355" s="73"/>
      <c r="B355" s="73"/>
      <c r="C355" s="73"/>
      <c r="D355" s="73"/>
      <c r="E355" s="330"/>
      <c r="F355" s="118"/>
      <c r="G355" s="118"/>
      <c r="H355" s="118"/>
      <c r="I355" s="118"/>
      <c r="J355" s="119"/>
      <c r="K355" s="120"/>
      <c r="L355" s="120"/>
      <c r="M355" s="120"/>
      <c r="N355" s="120"/>
      <c r="O355" s="118"/>
      <c r="P355" s="120"/>
      <c r="Q355" s="121"/>
      <c r="R355" s="109" t="b">
        <v>0</v>
      </c>
      <c r="S355" s="143"/>
      <c r="T355" s="110"/>
      <c r="U355" s="118"/>
      <c r="V355" s="118"/>
      <c r="W355" s="118"/>
      <c r="X355" s="118"/>
      <c r="Y355" s="118"/>
      <c r="Z355" s="118"/>
      <c r="AA355" s="118"/>
      <c r="AB355" s="118"/>
      <c r="AC355" s="118"/>
      <c r="AD355" s="111"/>
      <c r="AE355" s="122"/>
      <c r="AF355" s="122"/>
      <c r="AG355" s="122"/>
      <c r="AH355" s="122"/>
    </row>
    <row r="356" ht="22.5" customHeight="1">
      <c r="A356" s="73"/>
      <c r="B356" s="73"/>
      <c r="C356" s="73"/>
      <c r="D356" s="73"/>
      <c r="E356" s="330"/>
      <c r="F356" s="118"/>
      <c r="G356" s="118"/>
      <c r="H356" s="118"/>
      <c r="I356" s="118"/>
      <c r="J356" s="119"/>
      <c r="K356" s="120"/>
      <c r="L356" s="120"/>
      <c r="M356" s="120"/>
      <c r="N356" s="120"/>
      <c r="O356" s="118"/>
      <c r="P356" s="120"/>
      <c r="Q356" s="121"/>
      <c r="R356" s="109" t="b">
        <v>0</v>
      </c>
      <c r="S356" s="143"/>
      <c r="T356" s="110"/>
      <c r="U356" s="118"/>
      <c r="V356" s="118"/>
      <c r="W356" s="118"/>
      <c r="X356" s="118"/>
      <c r="Y356" s="118"/>
      <c r="Z356" s="118"/>
      <c r="AA356" s="118"/>
      <c r="AB356" s="118"/>
      <c r="AC356" s="118"/>
      <c r="AD356" s="111"/>
      <c r="AE356" s="122"/>
      <c r="AF356" s="122"/>
      <c r="AG356" s="122"/>
      <c r="AH356" s="122"/>
    </row>
    <row r="357" ht="22.5" customHeight="1">
      <c r="A357" s="73"/>
      <c r="B357" s="73"/>
      <c r="C357" s="73"/>
      <c r="D357" s="73"/>
      <c r="E357" s="330"/>
      <c r="F357" s="118"/>
      <c r="G357" s="118"/>
      <c r="H357" s="118"/>
      <c r="I357" s="118"/>
      <c r="J357" s="119"/>
      <c r="K357" s="120"/>
      <c r="L357" s="120"/>
      <c r="M357" s="120"/>
      <c r="N357" s="120"/>
      <c r="O357" s="118"/>
      <c r="P357" s="120"/>
      <c r="Q357" s="121"/>
      <c r="R357" s="109" t="b">
        <v>0</v>
      </c>
      <c r="S357" s="143"/>
      <c r="T357" s="110"/>
      <c r="U357" s="118"/>
      <c r="V357" s="118"/>
      <c r="W357" s="118"/>
      <c r="X357" s="118"/>
      <c r="Y357" s="118"/>
      <c r="Z357" s="118"/>
      <c r="AA357" s="118"/>
      <c r="AB357" s="118"/>
      <c r="AC357" s="118"/>
      <c r="AD357" s="111"/>
      <c r="AE357" s="122"/>
      <c r="AF357" s="122"/>
      <c r="AG357" s="122"/>
      <c r="AH357" s="122"/>
    </row>
    <row r="358" ht="22.5" customHeight="1">
      <c r="A358" s="73"/>
      <c r="B358" s="73"/>
      <c r="C358" s="73"/>
      <c r="D358" s="73"/>
      <c r="E358" s="330"/>
      <c r="F358" s="118"/>
      <c r="G358" s="118"/>
      <c r="H358" s="118"/>
      <c r="I358" s="118"/>
      <c r="J358" s="119"/>
      <c r="K358" s="120"/>
      <c r="L358" s="120"/>
      <c r="M358" s="120"/>
      <c r="N358" s="120"/>
      <c r="O358" s="118"/>
      <c r="P358" s="120"/>
      <c r="Q358" s="121"/>
      <c r="R358" s="109" t="b">
        <v>0</v>
      </c>
      <c r="S358" s="143"/>
      <c r="T358" s="110"/>
      <c r="U358" s="118"/>
      <c r="V358" s="118"/>
      <c r="W358" s="118"/>
      <c r="X358" s="118"/>
      <c r="Y358" s="118"/>
      <c r="Z358" s="118"/>
      <c r="AA358" s="118"/>
      <c r="AB358" s="118"/>
      <c r="AC358" s="118"/>
      <c r="AD358" s="111"/>
      <c r="AE358" s="122"/>
      <c r="AF358" s="122"/>
      <c r="AG358" s="122"/>
      <c r="AH358" s="122"/>
    </row>
    <row r="359" ht="22.5" customHeight="1">
      <c r="A359" s="73"/>
      <c r="B359" s="73"/>
      <c r="C359" s="73"/>
      <c r="D359" s="73"/>
      <c r="E359" s="330"/>
      <c r="F359" s="118"/>
      <c r="G359" s="118"/>
      <c r="H359" s="118"/>
      <c r="I359" s="118"/>
      <c r="J359" s="119"/>
      <c r="K359" s="120"/>
      <c r="L359" s="120"/>
      <c r="M359" s="120"/>
      <c r="N359" s="120"/>
      <c r="O359" s="118"/>
      <c r="P359" s="120"/>
      <c r="Q359" s="121"/>
      <c r="R359" s="109" t="b">
        <v>0</v>
      </c>
      <c r="S359" s="143"/>
      <c r="T359" s="110"/>
      <c r="U359" s="118"/>
      <c r="V359" s="118"/>
      <c r="W359" s="118"/>
      <c r="X359" s="118"/>
      <c r="Y359" s="118"/>
      <c r="Z359" s="118"/>
      <c r="AA359" s="118"/>
      <c r="AB359" s="118"/>
      <c r="AC359" s="118"/>
      <c r="AD359" s="111"/>
      <c r="AE359" s="122"/>
      <c r="AF359" s="122"/>
      <c r="AG359" s="122"/>
      <c r="AH359" s="122"/>
    </row>
    <row r="360" ht="22.5" customHeight="1">
      <c r="A360" s="73"/>
      <c r="B360" s="73"/>
      <c r="C360" s="73"/>
      <c r="D360" s="73"/>
      <c r="E360" s="330"/>
      <c r="F360" s="118"/>
      <c r="G360" s="118"/>
      <c r="H360" s="118"/>
      <c r="I360" s="118"/>
      <c r="J360" s="119"/>
      <c r="K360" s="120"/>
      <c r="L360" s="120"/>
      <c r="M360" s="120"/>
      <c r="N360" s="120"/>
      <c r="O360" s="118"/>
      <c r="P360" s="120"/>
      <c r="Q360" s="121"/>
      <c r="R360" s="109" t="b">
        <v>0</v>
      </c>
      <c r="S360" s="143"/>
      <c r="T360" s="110"/>
      <c r="U360" s="118"/>
      <c r="V360" s="118"/>
      <c r="W360" s="118"/>
      <c r="X360" s="118"/>
      <c r="Y360" s="118"/>
      <c r="Z360" s="118"/>
      <c r="AA360" s="118"/>
      <c r="AB360" s="118"/>
      <c r="AC360" s="118"/>
      <c r="AD360" s="111"/>
      <c r="AE360" s="122"/>
      <c r="AF360" s="122"/>
      <c r="AG360" s="122"/>
      <c r="AH360" s="122"/>
    </row>
    <row r="361" ht="22.5" customHeight="1">
      <c r="A361" s="73"/>
      <c r="B361" s="73"/>
      <c r="C361" s="73"/>
      <c r="D361" s="73"/>
      <c r="E361" s="330"/>
      <c r="F361" s="118"/>
      <c r="G361" s="118"/>
      <c r="H361" s="118"/>
      <c r="I361" s="118"/>
      <c r="J361" s="119"/>
      <c r="K361" s="120"/>
      <c r="L361" s="120"/>
      <c r="M361" s="120"/>
      <c r="N361" s="120"/>
      <c r="O361" s="118"/>
      <c r="P361" s="120"/>
      <c r="Q361" s="121"/>
      <c r="R361" s="109" t="b">
        <v>0</v>
      </c>
      <c r="S361" s="143"/>
      <c r="T361" s="110"/>
      <c r="U361" s="118"/>
      <c r="V361" s="118"/>
      <c r="W361" s="118"/>
      <c r="X361" s="118"/>
      <c r="Y361" s="118"/>
      <c r="Z361" s="118"/>
      <c r="AA361" s="118"/>
      <c r="AB361" s="118"/>
      <c r="AC361" s="118"/>
      <c r="AD361" s="111"/>
      <c r="AE361" s="122"/>
      <c r="AF361" s="122"/>
      <c r="AG361" s="122"/>
      <c r="AH361" s="122"/>
    </row>
    <row r="362" ht="22.5" customHeight="1">
      <c r="A362" s="73"/>
      <c r="B362" s="73"/>
      <c r="C362" s="73"/>
      <c r="D362" s="73"/>
      <c r="E362" s="330"/>
      <c r="F362" s="118"/>
      <c r="G362" s="118"/>
      <c r="H362" s="118"/>
      <c r="I362" s="118"/>
      <c r="J362" s="119"/>
      <c r="K362" s="120"/>
      <c r="L362" s="120"/>
      <c r="M362" s="120"/>
      <c r="N362" s="120"/>
      <c r="O362" s="118"/>
      <c r="P362" s="120"/>
      <c r="Q362" s="121"/>
      <c r="R362" s="109" t="b">
        <v>0</v>
      </c>
      <c r="S362" s="143"/>
      <c r="T362" s="110"/>
      <c r="U362" s="118"/>
      <c r="V362" s="118"/>
      <c r="W362" s="118"/>
      <c r="X362" s="118"/>
      <c r="Y362" s="118"/>
      <c r="Z362" s="118"/>
      <c r="AA362" s="118"/>
      <c r="AB362" s="118"/>
      <c r="AC362" s="118"/>
      <c r="AD362" s="111"/>
      <c r="AE362" s="122"/>
      <c r="AF362" s="122"/>
      <c r="AG362" s="122"/>
      <c r="AH362" s="122"/>
    </row>
    <row r="363" ht="22.5" customHeight="1">
      <c r="A363" s="73"/>
      <c r="B363" s="73"/>
      <c r="C363" s="73"/>
      <c r="D363" s="73"/>
      <c r="E363" s="330"/>
      <c r="F363" s="118"/>
      <c r="G363" s="118"/>
      <c r="H363" s="118"/>
      <c r="I363" s="118"/>
      <c r="J363" s="119"/>
      <c r="K363" s="120"/>
      <c r="L363" s="120"/>
      <c r="M363" s="120"/>
      <c r="N363" s="120"/>
      <c r="O363" s="118"/>
      <c r="P363" s="120"/>
      <c r="Q363" s="121"/>
      <c r="R363" s="109" t="b">
        <v>0</v>
      </c>
      <c r="S363" s="143"/>
      <c r="T363" s="110"/>
      <c r="U363" s="118"/>
      <c r="V363" s="118"/>
      <c r="W363" s="118"/>
      <c r="X363" s="118"/>
      <c r="Y363" s="118"/>
      <c r="Z363" s="118"/>
      <c r="AA363" s="118"/>
      <c r="AB363" s="118"/>
      <c r="AC363" s="118"/>
      <c r="AD363" s="111"/>
      <c r="AE363" s="122"/>
      <c r="AF363" s="122"/>
      <c r="AG363" s="122"/>
      <c r="AH363" s="122"/>
    </row>
    <row r="364" ht="22.5" customHeight="1">
      <c r="A364" s="73"/>
      <c r="B364" s="73"/>
      <c r="C364" s="73"/>
      <c r="D364" s="73"/>
      <c r="E364" s="330"/>
      <c r="F364" s="118"/>
      <c r="G364" s="118"/>
      <c r="H364" s="118"/>
      <c r="I364" s="118"/>
      <c r="J364" s="119"/>
      <c r="K364" s="120"/>
      <c r="L364" s="120"/>
      <c r="M364" s="120"/>
      <c r="N364" s="120"/>
      <c r="O364" s="118"/>
      <c r="P364" s="120"/>
      <c r="Q364" s="121"/>
      <c r="R364" s="109" t="b">
        <v>0</v>
      </c>
      <c r="S364" s="143"/>
      <c r="T364" s="110"/>
      <c r="U364" s="118"/>
      <c r="V364" s="118"/>
      <c r="W364" s="118"/>
      <c r="X364" s="118"/>
      <c r="Y364" s="118"/>
      <c r="Z364" s="118"/>
      <c r="AA364" s="118"/>
      <c r="AB364" s="118"/>
      <c r="AC364" s="118"/>
      <c r="AD364" s="111"/>
      <c r="AE364" s="122"/>
      <c r="AF364" s="122"/>
      <c r="AG364" s="122"/>
      <c r="AH364" s="122"/>
    </row>
    <row r="365" ht="22.5" customHeight="1">
      <c r="A365" s="73"/>
      <c r="B365" s="73"/>
      <c r="C365" s="73"/>
      <c r="D365" s="73"/>
      <c r="E365" s="330"/>
      <c r="F365" s="118"/>
      <c r="G365" s="118"/>
      <c r="H365" s="118"/>
      <c r="I365" s="118"/>
      <c r="J365" s="119"/>
      <c r="K365" s="120"/>
      <c r="L365" s="120"/>
      <c r="M365" s="120"/>
      <c r="N365" s="120"/>
      <c r="O365" s="118"/>
      <c r="P365" s="120"/>
      <c r="Q365" s="121"/>
      <c r="R365" s="109" t="b">
        <v>0</v>
      </c>
      <c r="S365" s="143"/>
      <c r="T365" s="110"/>
      <c r="U365" s="118"/>
      <c r="V365" s="118"/>
      <c r="W365" s="118"/>
      <c r="X365" s="118"/>
      <c r="Y365" s="118"/>
      <c r="Z365" s="118"/>
      <c r="AA365" s="118"/>
      <c r="AB365" s="118"/>
      <c r="AC365" s="118"/>
      <c r="AD365" s="111"/>
      <c r="AE365" s="122"/>
      <c r="AF365" s="122"/>
      <c r="AG365" s="122"/>
      <c r="AH365" s="122"/>
    </row>
    <row r="366" ht="22.5" customHeight="1">
      <c r="A366" s="73"/>
      <c r="B366" s="73"/>
      <c r="C366" s="73"/>
      <c r="D366" s="73"/>
      <c r="E366" s="330"/>
      <c r="F366" s="118"/>
      <c r="G366" s="118"/>
      <c r="H366" s="118"/>
      <c r="I366" s="118"/>
      <c r="J366" s="119"/>
      <c r="K366" s="120"/>
      <c r="L366" s="120"/>
      <c r="M366" s="120"/>
      <c r="N366" s="120"/>
      <c r="O366" s="118"/>
      <c r="P366" s="120"/>
      <c r="Q366" s="121"/>
      <c r="R366" s="109" t="b">
        <v>0</v>
      </c>
      <c r="S366" s="143"/>
      <c r="T366" s="110"/>
      <c r="U366" s="118"/>
      <c r="V366" s="118"/>
      <c r="W366" s="118"/>
      <c r="X366" s="118"/>
      <c r="Y366" s="118"/>
      <c r="Z366" s="118"/>
      <c r="AA366" s="118"/>
      <c r="AB366" s="118"/>
      <c r="AC366" s="118"/>
      <c r="AD366" s="111"/>
      <c r="AE366" s="122"/>
      <c r="AF366" s="122"/>
      <c r="AG366" s="122"/>
      <c r="AH366" s="122"/>
    </row>
    <row r="367" ht="22.5" customHeight="1">
      <c r="A367" s="73"/>
      <c r="B367" s="73"/>
      <c r="C367" s="73"/>
      <c r="D367" s="73"/>
      <c r="E367" s="330"/>
      <c r="F367" s="118"/>
      <c r="G367" s="118"/>
      <c r="H367" s="118"/>
      <c r="I367" s="118"/>
      <c r="J367" s="119"/>
      <c r="K367" s="120"/>
      <c r="L367" s="120"/>
      <c r="M367" s="120"/>
      <c r="N367" s="120"/>
      <c r="O367" s="118"/>
      <c r="P367" s="120"/>
      <c r="Q367" s="121"/>
      <c r="R367" s="109" t="b">
        <v>0</v>
      </c>
      <c r="S367" s="143"/>
      <c r="T367" s="110"/>
      <c r="U367" s="118"/>
      <c r="V367" s="118"/>
      <c r="W367" s="118"/>
      <c r="X367" s="118"/>
      <c r="Y367" s="118"/>
      <c r="Z367" s="118"/>
      <c r="AA367" s="118"/>
      <c r="AB367" s="118"/>
      <c r="AC367" s="118"/>
      <c r="AD367" s="111"/>
      <c r="AE367" s="122"/>
      <c r="AF367" s="122"/>
      <c r="AG367" s="122"/>
      <c r="AH367" s="122"/>
    </row>
    <row r="368" ht="22.5" customHeight="1">
      <c r="A368" s="73"/>
      <c r="B368" s="73"/>
      <c r="C368" s="73"/>
      <c r="D368" s="73"/>
      <c r="E368" s="330"/>
      <c r="F368" s="118"/>
      <c r="G368" s="118"/>
      <c r="H368" s="118"/>
      <c r="I368" s="118"/>
      <c r="J368" s="119"/>
      <c r="K368" s="120"/>
      <c r="L368" s="120"/>
      <c r="M368" s="120"/>
      <c r="N368" s="120"/>
      <c r="O368" s="118"/>
      <c r="P368" s="120"/>
      <c r="Q368" s="121"/>
      <c r="R368" s="109" t="b">
        <v>0</v>
      </c>
      <c r="S368" s="143"/>
      <c r="T368" s="110"/>
      <c r="U368" s="118"/>
      <c r="V368" s="118"/>
      <c r="W368" s="118"/>
      <c r="X368" s="118"/>
      <c r="Y368" s="118"/>
      <c r="Z368" s="118"/>
      <c r="AA368" s="118"/>
      <c r="AB368" s="118"/>
      <c r="AC368" s="118"/>
      <c r="AD368" s="111"/>
      <c r="AE368" s="122"/>
      <c r="AF368" s="122"/>
      <c r="AG368" s="122"/>
      <c r="AH368" s="122"/>
    </row>
    <row r="369" ht="22.5" customHeight="1">
      <c r="A369" s="73"/>
      <c r="B369" s="73"/>
      <c r="C369" s="73"/>
      <c r="D369" s="73"/>
      <c r="E369" s="330"/>
      <c r="F369" s="118"/>
      <c r="G369" s="118"/>
      <c r="H369" s="118"/>
      <c r="I369" s="118"/>
      <c r="J369" s="119"/>
      <c r="K369" s="120"/>
      <c r="L369" s="120"/>
      <c r="M369" s="120"/>
      <c r="N369" s="120"/>
      <c r="O369" s="118"/>
      <c r="P369" s="120"/>
      <c r="Q369" s="121"/>
      <c r="R369" s="109" t="b">
        <v>0</v>
      </c>
      <c r="S369" s="143"/>
      <c r="T369" s="110"/>
      <c r="U369" s="118"/>
      <c r="V369" s="118"/>
      <c r="W369" s="118"/>
      <c r="X369" s="118"/>
      <c r="Y369" s="118"/>
      <c r="Z369" s="118"/>
      <c r="AA369" s="118"/>
      <c r="AB369" s="118"/>
      <c r="AC369" s="118"/>
      <c r="AD369" s="111"/>
      <c r="AE369" s="122"/>
      <c r="AF369" s="122"/>
      <c r="AG369" s="122"/>
      <c r="AH369" s="122"/>
    </row>
    <row r="370" ht="22.5" customHeight="1">
      <c r="A370" s="73"/>
      <c r="B370" s="73"/>
      <c r="C370" s="73"/>
      <c r="D370" s="73"/>
      <c r="E370" s="330"/>
      <c r="F370" s="118"/>
      <c r="G370" s="118"/>
      <c r="H370" s="118"/>
      <c r="I370" s="118"/>
      <c r="J370" s="119"/>
      <c r="K370" s="120"/>
      <c r="L370" s="120"/>
      <c r="M370" s="120"/>
      <c r="N370" s="120"/>
      <c r="O370" s="118"/>
      <c r="P370" s="120"/>
      <c r="Q370" s="121"/>
      <c r="R370" s="109" t="b">
        <v>0</v>
      </c>
      <c r="S370" s="143"/>
      <c r="T370" s="110"/>
      <c r="U370" s="118"/>
      <c r="V370" s="118"/>
      <c r="W370" s="118"/>
      <c r="X370" s="118"/>
      <c r="Y370" s="118"/>
      <c r="Z370" s="118"/>
      <c r="AA370" s="118"/>
      <c r="AB370" s="118"/>
      <c r="AC370" s="118"/>
      <c r="AD370" s="111"/>
      <c r="AE370" s="122"/>
      <c r="AF370" s="122"/>
      <c r="AG370" s="122"/>
      <c r="AH370" s="122"/>
    </row>
    <row r="371" ht="22.5" customHeight="1">
      <c r="A371" s="73"/>
      <c r="B371" s="73"/>
      <c r="C371" s="73"/>
      <c r="D371" s="73"/>
      <c r="E371" s="330"/>
      <c r="F371" s="118"/>
      <c r="G371" s="118"/>
      <c r="H371" s="118"/>
      <c r="I371" s="118"/>
      <c r="J371" s="119"/>
      <c r="K371" s="120"/>
      <c r="L371" s="120"/>
      <c r="M371" s="120"/>
      <c r="N371" s="120"/>
      <c r="O371" s="118"/>
      <c r="P371" s="120"/>
      <c r="Q371" s="121"/>
      <c r="R371" s="109" t="b">
        <v>0</v>
      </c>
      <c r="S371" s="143"/>
      <c r="T371" s="110"/>
      <c r="U371" s="118"/>
      <c r="V371" s="118"/>
      <c r="W371" s="118"/>
      <c r="X371" s="118"/>
      <c r="Y371" s="118"/>
      <c r="Z371" s="118"/>
      <c r="AA371" s="118"/>
      <c r="AB371" s="118"/>
      <c r="AC371" s="118"/>
      <c r="AD371" s="111"/>
      <c r="AE371" s="122"/>
      <c r="AF371" s="122"/>
      <c r="AG371" s="122"/>
      <c r="AH371" s="122"/>
    </row>
    <row r="372" ht="22.5" customHeight="1">
      <c r="A372" s="73"/>
      <c r="B372" s="73"/>
      <c r="C372" s="73"/>
      <c r="D372" s="73"/>
      <c r="E372" s="330"/>
      <c r="F372" s="118"/>
      <c r="G372" s="118"/>
      <c r="H372" s="118"/>
      <c r="I372" s="118"/>
      <c r="J372" s="119"/>
      <c r="K372" s="120"/>
      <c r="L372" s="120"/>
      <c r="M372" s="120"/>
      <c r="N372" s="120"/>
      <c r="O372" s="118"/>
      <c r="P372" s="120"/>
      <c r="Q372" s="121"/>
      <c r="R372" s="109" t="b">
        <v>0</v>
      </c>
      <c r="S372" s="143"/>
      <c r="T372" s="110"/>
      <c r="U372" s="118"/>
      <c r="V372" s="118"/>
      <c r="W372" s="118"/>
      <c r="X372" s="118"/>
      <c r="Y372" s="118"/>
      <c r="Z372" s="118"/>
      <c r="AA372" s="118"/>
      <c r="AB372" s="118"/>
      <c r="AC372" s="118"/>
      <c r="AD372" s="111"/>
      <c r="AE372" s="122"/>
      <c r="AF372" s="122"/>
      <c r="AG372" s="122"/>
      <c r="AH372" s="122"/>
    </row>
    <row r="373" ht="22.5" customHeight="1">
      <c r="A373" s="73"/>
      <c r="B373" s="73"/>
      <c r="C373" s="73"/>
      <c r="D373" s="73"/>
      <c r="E373" s="330"/>
      <c r="F373" s="118"/>
      <c r="G373" s="118"/>
      <c r="H373" s="118"/>
      <c r="I373" s="118"/>
      <c r="J373" s="119"/>
      <c r="K373" s="120"/>
      <c r="L373" s="120"/>
      <c r="M373" s="120"/>
      <c r="N373" s="120"/>
      <c r="O373" s="118"/>
      <c r="P373" s="120"/>
      <c r="Q373" s="121"/>
      <c r="R373" s="109" t="b">
        <v>0</v>
      </c>
      <c r="S373" s="143"/>
      <c r="T373" s="110"/>
      <c r="U373" s="118"/>
      <c r="V373" s="118"/>
      <c r="W373" s="118"/>
      <c r="X373" s="118"/>
      <c r="Y373" s="118"/>
      <c r="Z373" s="118"/>
      <c r="AA373" s="118"/>
      <c r="AB373" s="118"/>
      <c r="AC373" s="118"/>
      <c r="AD373" s="111"/>
      <c r="AE373" s="122"/>
      <c r="AF373" s="122"/>
      <c r="AG373" s="122"/>
      <c r="AH373" s="122"/>
    </row>
    <row r="374" ht="22.5" customHeight="1">
      <c r="A374" s="73"/>
      <c r="B374" s="73"/>
      <c r="C374" s="73"/>
      <c r="D374" s="73"/>
      <c r="E374" s="330"/>
      <c r="F374" s="118"/>
      <c r="G374" s="118"/>
      <c r="H374" s="118"/>
      <c r="I374" s="118"/>
      <c r="J374" s="119"/>
      <c r="K374" s="120"/>
      <c r="L374" s="120"/>
      <c r="M374" s="120"/>
      <c r="N374" s="120"/>
      <c r="O374" s="118"/>
      <c r="P374" s="120"/>
      <c r="Q374" s="121"/>
      <c r="R374" s="109" t="b">
        <v>0</v>
      </c>
      <c r="S374" s="143"/>
      <c r="T374" s="110"/>
      <c r="U374" s="118"/>
      <c r="V374" s="118"/>
      <c r="W374" s="118"/>
      <c r="X374" s="118"/>
      <c r="Y374" s="118"/>
      <c r="Z374" s="118"/>
      <c r="AA374" s="118"/>
      <c r="AB374" s="118"/>
      <c r="AC374" s="118"/>
      <c r="AD374" s="111"/>
      <c r="AE374" s="122"/>
      <c r="AF374" s="122"/>
      <c r="AG374" s="122"/>
      <c r="AH374" s="122"/>
    </row>
    <row r="375" ht="22.5" customHeight="1">
      <c r="A375" s="73"/>
      <c r="B375" s="73"/>
      <c r="C375" s="73"/>
      <c r="D375" s="73"/>
      <c r="E375" s="330"/>
      <c r="F375" s="118"/>
      <c r="G375" s="118"/>
      <c r="H375" s="118"/>
      <c r="I375" s="118"/>
      <c r="J375" s="119"/>
      <c r="K375" s="120"/>
      <c r="L375" s="120"/>
      <c r="M375" s="120"/>
      <c r="N375" s="120"/>
      <c r="O375" s="118"/>
      <c r="P375" s="120"/>
      <c r="Q375" s="121"/>
      <c r="R375" s="109" t="b">
        <v>0</v>
      </c>
      <c r="S375" s="143"/>
      <c r="T375" s="110"/>
      <c r="U375" s="118"/>
      <c r="V375" s="118"/>
      <c r="W375" s="118"/>
      <c r="X375" s="118"/>
      <c r="Y375" s="118"/>
      <c r="Z375" s="118"/>
      <c r="AA375" s="118"/>
      <c r="AB375" s="118"/>
      <c r="AC375" s="118"/>
      <c r="AD375" s="111"/>
      <c r="AE375" s="122"/>
      <c r="AF375" s="122"/>
      <c r="AG375" s="122"/>
      <c r="AH375" s="122"/>
    </row>
    <row r="376" ht="22.5" customHeight="1">
      <c r="A376" s="73"/>
      <c r="B376" s="73"/>
      <c r="C376" s="73"/>
      <c r="D376" s="73"/>
      <c r="E376" s="330"/>
      <c r="F376" s="118"/>
      <c r="G376" s="118"/>
      <c r="H376" s="118"/>
      <c r="I376" s="118"/>
      <c r="J376" s="119"/>
      <c r="K376" s="120"/>
      <c r="L376" s="120"/>
      <c r="M376" s="120"/>
      <c r="N376" s="120"/>
      <c r="O376" s="118"/>
      <c r="P376" s="120"/>
      <c r="Q376" s="121"/>
      <c r="R376" s="109" t="b">
        <v>0</v>
      </c>
      <c r="S376" s="143"/>
      <c r="T376" s="110"/>
      <c r="U376" s="118"/>
      <c r="V376" s="118"/>
      <c r="W376" s="118"/>
      <c r="X376" s="118"/>
      <c r="Y376" s="118"/>
      <c r="Z376" s="118"/>
      <c r="AA376" s="118"/>
      <c r="AB376" s="118"/>
      <c r="AC376" s="118"/>
      <c r="AD376" s="111"/>
      <c r="AE376" s="122"/>
      <c r="AF376" s="122"/>
      <c r="AG376" s="122"/>
      <c r="AH376" s="122"/>
    </row>
    <row r="377" ht="22.5" customHeight="1">
      <c r="A377" s="73"/>
      <c r="B377" s="73"/>
      <c r="C377" s="73"/>
      <c r="D377" s="73"/>
      <c r="E377" s="330"/>
      <c r="F377" s="118"/>
      <c r="G377" s="118"/>
      <c r="H377" s="118"/>
      <c r="I377" s="118"/>
      <c r="J377" s="119"/>
      <c r="K377" s="120"/>
      <c r="L377" s="120"/>
      <c r="M377" s="120"/>
      <c r="N377" s="120"/>
      <c r="O377" s="118"/>
      <c r="P377" s="120"/>
      <c r="Q377" s="121"/>
      <c r="R377" s="109" t="b">
        <v>0</v>
      </c>
      <c r="S377" s="143"/>
      <c r="T377" s="110"/>
      <c r="U377" s="118"/>
      <c r="V377" s="118"/>
      <c r="W377" s="118"/>
      <c r="X377" s="118"/>
      <c r="Y377" s="118"/>
      <c r="Z377" s="118"/>
      <c r="AA377" s="118"/>
      <c r="AB377" s="118"/>
      <c r="AC377" s="118"/>
      <c r="AD377" s="111"/>
      <c r="AE377" s="122"/>
      <c r="AF377" s="122"/>
      <c r="AG377" s="122"/>
      <c r="AH377" s="122"/>
    </row>
    <row r="378" ht="22.5" customHeight="1">
      <c r="A378" s="73"/>
      <c r="B378" s="73"/>
      <c r="C378" s="73"/>
      <c r="D378" s="73"/>
      <c r="E378" s="330"/>
      <c r="F378" s="118"/>
      <c r="G378" s="118"/>
      <c r="H378" s="118"/>
      <c r="I378" s="118"/>
      <c r="J378" s="119"/>
      <c r="K378" s="120"/>
      <c r="L378" s="120"/>
      <c r="M378" s="120"/>
      <c r="N378" s="120"/>
      <c r="O378" s="118"/>
      <c r="P378" s="120"/>
      <c r="Q378" s="121"/>
      <c r="R378" s="109" t="b">
        <v>0</v>
      </c>
      <c r="S378" s="143"/>
      <c r="T378" s="110"/>
      <c r="U378" s="118"/>
      <c r="V378" s="118"/>
      <c r="W378" s="118"/>
      <c r="X378" s="118"/>
      <c r="Y378" s="118"/>
      <c r="Z378" s="118"/>
      <c r="AA378" s="118"/>
      <c r="AB378" s="118"/>
      <c r="AC378" s="118"/>
      <c r="AD378" s="111"/>
      <c r="AE378" s="122"/>
      <c r="AF378" s="122"/>
      <c r="AG378" s="122"/>
      <c r="AH378" s="122"/>
    </row>
    <row r="379" ht="22.5" customHeight="1">
      <c r="A379" s="73"/>
      <c r="B379" s="73"/>
      <c r="C379" s="73"/>
      <c r="D379" s="73"/>
      <c r="E379" s="330"/>
      <c r="F379" s="118"/>
      <c r="G379" s="118"/>
      <c r="H379" s="118"/>
      <c r="I379" s="118"/>
      <c r="J379" s="119"/>
      <c r="K379" s="120"/>
      <c r="L379" s="120"/>
      <c r="M379" s="120"/>
      <c r="N379" s="120"/>
      <c r="O379" s="118"/>
      <c r="P379" s="120"/>
      <c r="Q379" s="121"/>
      <c r="R379" s="109" t="b">
        <v>0</v>
      </c>
      <c r="S379" s="143"/>
      <c r="T379" s="110"/>
      <c r="U379" s="118"/>
      <c r="V379" s="118"/>
      <c r="W379" s="118"/>
      <c r="X379" s="118"/>
      <c r="Y379" s="118"/>
      <c r="Z379" s="118"/>
      <c r="AA379" s="118"/>
      <c r="AB379" s="118"/>
      <c r="AC379" s="118"/>
      <c r="AD379" s="111"/>
      <c r="AE379" s="122"/>
      <c r="AF379" s="122"/>
      <c r="AG379" s="122"/>
      <c r="AH379" s="122"/>
    </row>
    <row r="380" ht="22.5" customHeight="1">
      <c r="A380" s="73"/>
      <c r="B380" s="73"/>
      <c r="C380" s="73"/>
      <c r="D380" s="73"/>
      <c r="E380" s="330"/>
      <c r="F380" s="118"/>
      <c r="G380" s="118"/>
      <c r="H380" s="118"/>
      <c r="I380" s="118"/>
      <c r="J380" s="119"/>
      <c r="K380" s="120"/>
      <c r="L380" s="120"/>
      <c r="M380" s="120"/>
      <c r="N380" s="120"/>
      <c r="O380" s="118"/>
      <c r="P380" s="120"/>
      <c r="Q380" s="121"/>
      <c r="R380" s="109" t="b">
        <v>0</v>
      </c>
      <c r="S380" s="143"/>
      <c r="T380" s="110"/>
      <c r="U380" s="118"/>
      <c r="V380" s="118"/>
      <c r="W380" s="118"/>
      <c r="X380" s="118"/>
      <c r="Y380" s="118"/>
      <c r="Z380" s="118"/>
      <c r="AA380" s="118"/>
      <c r="AB380" s="118"/>
      <c r="AC380" s="118"/>
      <c r="AD380" s="111"/>
      <c r="AE380" s="122"/>
      <c r="AF380" s="122"/>
      <c r="AG380" s="122"/>
      <c r="AH380" s="122"/>
    </row>
    <row r="381" ht="22.5" customHeight="1">
      <c r="A381" s="73"/>
      <c r="B381" s="73"/>
      <c r="C381" s="73"/>
      <c r="D381" s="73"/>
      <c r="E381" s="330"/>
      <c r="F381" s="118"/>
      <c r="G381" s="118"/>
      <c r="H381" s="118"/>
      <c r="I381" s="118"/>
      <c r="J381" s="119"/>
      <c r="K381" s="120"/>
      <c r="L381" s="120"/>
      <c r="M381" s="120"/>
      <c r="N381" s="120"/>
      <c r="O381" s="118"/>
      <c r="P381" s="120"/>
      <c r="Q381" s="121"/>
      <c r="R381" s="109" t="b">
        <v>0</v>
      </c>
      <c r="S381" s="143"/>
      <c r="T381" s="110"/>
      <c r="U381" s="118"/>
      <c r="V381" s="118"/>
      <c r="W381" s="118"/>
      <c r="X381" s="118"/>
      <c r="Y381" s="118"/>
      <c r="Z381" s="118"/>
      <c r="AA381" s="118"/>
      <c r="AB381" s="118"/>
      <c r="AC381" s="118"/>
      <c r="AD381" s="111"/>
      <c r="AE381" s="122"/>
      <c r="AF381" s="122"/>
      <c r="AG381" s="122"/>
      <c r="AH381" s="122"/>
    </row>
    <row r="382" ht="22.5" customHeight="1">
      <c r="A382" s="73"/>
      <c r="B382" s="73"/>
      <c r="C382" s="73"/>
      <c r="D382" s="73"/>
      <c r="E382" s="330"/>
      <c r="F382" s="118"/>
      <c r="G382" s="118"/>
      <c r="H382" s="118"/>
      <c r="I382" s="118"/>
      <c r="J382" s="119"/>
      <c r="K382" s="120"/>
      <c r="L382" s="120"/>
      <c r="M382" s="120"/>
      <c r="N382" s="120"/>
      <c r="O382" s="118"/>
      <c r="P382" s="120"/>
      <c r="Q382" s="121"/>
      <c r="R382" s="109" t="b">
        <v>0</v>
      </c>
      <c r="S382" s="143"/>
      <c r="T382" s="110"/>
      <c r="U382" s="118"/>
      <c r="V382" s="118"/>
      <c r="W382" s="118"/>
      <c r="X382" s="118"/>
      <c r="Y382" s="118"/>
      <c r="Z382" s="118"/>
      <c r="AA382" s="118"/>
      <c r="AB382" s="118"/>
      <c r="AC382" s="118"/>
      <c r="AD382" s="111"/>
      <c r="AE382" s="122"/>
      <c r="AF382" s="122"/>
      <c r="AG382" s="122"/>
      <c r="AH382" s="122"/>
    </row>
    <row r="383" ht="22.5" customHeight="1">
      <c r="A383" s="73"/>
      <c r="B383" s="73"/>
      <c r="C383" s="73"/>
      <c r="D383" s="73"/>
      <c r="E383" s="330"/>
      <c r="F383" s="118"/>
      <c r="G383" s="118"/>
      <c r="H383" s="118"/>
      <c r="I383" s="118"/>
      <c r="J383" s="119"/>
      <c r="K383" s="120"/>
      <c r="L383" s="120"/>
      <c r="M383" s="120"/>
      <c r="N383" s="120"/>
      <c r="O383" s="118"/>
      <c r="P383" s="120"/>
      <c r="Q383" s="121"/>
      <c r="R383" s="109" t="b">
        <v>0</v>
      </c>
      <c r="S383" s="143"/>
      <c r="T383" s="110"/>
      <c r="U383" s="118"/>
      <c r="V383" s="118"/>
      <c r="W383" s="118"/>
      <c r="X383" s="118"/>
      <c r="Y383" s="118"/>
      <c r="Z383" s="118"/>
      <c r="AA383" s="118"/>
      <c r="AB383" s="118"/>
      <c r="AC383" s="118"/>
      <c r="AD383" s="111"/>
      <c r="AE383" s="122"/>
      <c r="AF383" s="122"/>
      <c r="AG383" s="122"/>
      <c r="AH383" s="122"/>
    </row>
    <row r="384" ht="22.5" customHeight="1">
      <c r="A384" s="73"/>
      <c r="B384" s="73"/>
      <c r="C384" s="73"/>
      <c r="D384" s="73"/>
      <c r="E384" s="330"/>
      <c r="F384" s="118"/>
      <c r="G384" s="118"/>
      <c r="H384" s="118"/>
      <c r="I384" s="118"/>
      <c r="J384" s="119"/>
      <c r="K384" s="120"/>
      <c r="L384" s="120"/>
      <c r="M384" s="120"/>
      <c r="N384" s="120"/>
      <c r="O384" s="118"/>
      <c r="P384" s="120"/>
      <c r="Q384" s="121"/>
      <c r="R384" s="109" t="b">
        <v>0</v>
      </c>
      <c r="S384" s="143"/>
      <c r="T384" s="110"/>
      <c r="U384" s="118"/>
      <c r="V384" s="118"/>
      <c r="W384" s="118"/>
      <c r="X384" s="118"/>
      <c r="Y384" s="118"/>
      <c r="Z384" s="118"/>
      <c r="AA384" s="118"/>
      <c r="AB384" s="118"/>
      <c r="AC384" s="118"/>
      <c r="AD384" s="111"/>
      <c r="AE384" s="122"/>
      <c r="AF384" s="122"/>
      <c r="AG384" s="122"/>
      <c r="AH384" s="122"/>
    </row>
    <row r="385" ht="22.5" customHeight="1">
      <c r="A385" s="73"/>
      <c r="B385" s="73"/>
      <c r="C385" s="73"/>
      <c r="D385" s="73"/>
      <c r="E385" s="330"/>
      <c r="F385" s="118"/>
      <c r="G385" s="118"/>
      <c r="H385" s="118"/>
      <c r="I385" s="118"/>
      <c r="J385" s="119"/>
      <c r="K385" s="120"/>
      <c r="L385" s="120"/>
      <c r="M385" s="120"/>
      <c r="N385" s="120"/>
      <c r="O385" s="118"/>
      <c r="P385" s="120"/>
      <c r="Q385" s="121"/>
      <c r="R385" s="109" t="b">
        <v>0</v>
      </c>
      <c r="S385" s="143"/>
      <c r="T385" s="110"/>
      <c r="U385" s="118"/>
      <c r="V385" s="118"/>
      <c r="W385" s="118"/>
      <c r="X385" s="118"/>
      <c r="Y385" s="118"/>
      <c r="Z385" s="118"/>
      <c r="AA385" s="118"/>
      <c r="AB385" s="118"/>
      <c r="AC385" s="118"/>
      <c r="AD385" s="111"/>
      <c r="AE385" s="122"/>
      <c r="AF385" s="122"/>
      <c r="AG385" s="122"/>
      <c r="AH385" s="122"/>
    </row>
    <row r="386" ht="22.5" customHeight="1">
      <c r="A386" s="73"/>
      <c r="B386" s="73"/>
      <c r="C386" s="73"/>
      <c r="D386" s="73"/>
      <c r="E386" s="330"/>
      <c r="F386" s="118"/>
      <c r="G386" s="118"/>
      <c r="H386" s="118"/>
      <c r="I386" s="118"/>
      <c r="J386" s="119"/>
      <c r="K386" s="120"/>
      <c r="L386" s="120"/>
      <c r="M386" s="120"/>
      <c r="N386" s="120"/>
      <c r="O386" s="118"/>
      <c r="P386" s="120"/>
      <c r="Q386" s="121"/>
      <c r="R386" s="109" t="b">
        <v>0</v>
      </c>
      <c r="S386" s="143"/>
      <c r="T386" s="110"/>
      <c r="U386" s="118"/>
      <c r="V386" s="118"/>
      <c r="W386" s="118"/>
      <c r="X386" s="118"/>
      <c r="Y386" s="118"/>
      <c r="Z386" s="118"/>
      <c r="AA386" s="118"/>
      <c r="AB386" s="118"/>
      <c r="AC386" s="118"/>
      <c r="AD386" s="111"/>
      <c r="AE386" s="122"/>
      <c r="AF386" s="122"/>
      <c r="AG386" s="122"/>
      <c r="AH386" s="122"/>
    </row>
    <row r="387" ht="22.5" customHeight="1">
      <c r="A387" s="73"/>
      <c r="B387" s="73"/>
      <c r="C387" s="73"/>
      <c r="D387" s="73"/>
      <c r="E387" s="330"/>
      <c r="F387" s="118"/>
      <c r="G387" s="118"/>
      <c r="H387" s="118"/>
      <c r="I387" s="118"/>
      <c r="J387" s="119"/>
      <c r="K387" s="120"/>
      <c r="L387" s="120"/>
      <c r="M387" s="120"/>
      <c r="N387" s="120"/>
      <c r="O387" s="118"/>
      <c r="P387" s="120"/>
      <c r="Q387" s="121"/>
      <c r="R387" s="109" t="b">
        <v>0</v>
      </c>
      <c r="S387" s="143"/>
      <c r="T387" s="110"/>
      <c r="U387" s="118"/>
      <c r="V387" s="118"/>
      <c r="W387" s="118"/>
      <c r="X387" s="118"/>
      <c r="Y387" s="118"/>
      <c r="Z387" s="118"/>
      <c r="AA387" s="118"/>
      <c r="AB387" s="118"/>
      <c r="AC387" s="118"/>
      <c r="AD387" s="111"/>
      <c r="AE387" s="122"/>
      <c r="AF387" s="122"/>
      <c r="AG387" s="122"/>
      <c r="AH387" s="122"/>
    </row>
    <row r="388" ht="22.5" customHeight="1">
      <c r="A388" s="73"/>
      <c r="B388" s="73"/>
      <c r="C388" s="73"/>
      <c r="D388" s="73"/>
      <c r="E388" s="330"/>
      <c r="F388" s="118"/>
      <c r="G388" s="118"/>
      <c r="H388" s="118"/>
      <c r="I388" s="118"/>
      <c r="J388" s="119"/>
      <c r="K388" s="120"/>
      <c r="L388" s="120"/>
      <c r="M388" s="120"/>
      <c r="N388" s="120"/>
      <c r="O388" s="118"/>
      <c r="P388" s="120"/>
      <c r="Q388" s="121"/>
      <c r="R388" s="109" t="b">
        <v>0</v>
      </c>
      <c r="S388" s="143"/>
      <c r="T388" s="110"/>
      <c r="U388" s="118"/>
      <c r="V388" s="118"/>
      <c r="W388" s="118"/>
      <c r="X388" s="118"/>
      <c r="Y388" s="118"/>
      <c r="Z388" s="118"/>
      <c r="AA388" s="118"/>
      <c r="AB388" s="118"/>
      <c r="AC388" s="118"/>
      <c r="AD388" s="111"/>
      <c r="AE388" s="122"/>
      <c r="AF388" s="122"/>
      <c r="AG388" s="122"/>
      <c r="AH388" s="122"/>
    </row>
    <row r="389" ht="22.5" customHeight="1">
      <c r="A389" s="73"/>
      <c r="B389" s="73"/>
      <c r="C389" s="73"/>
      <c r="D389" s="73"/>
      <c r="E389" s="330"/>
      <c r="F389" s="118"/>
      <c r="G389" s="118"/>
      <c r="H389" s="118"/>
      <c r="I389" s="118"/>
      <c r="J389" s="119"/>
      <c r="K389" s="120"/>
      <c r="L389" s="120"/>
      <c r="M389" s="120"/>
      <c r="N389" s="120"/>
      <c r="O389" s="118"/>
      <c r="P389" s="120"/>
      <c r="Q389" s="121"/>
      <c r="R389" s="109" t="b">
        <v>0</v>
      </c>
      <c r="S389" s="143"/>
      <c r="T389" s="110"/>
      <c r="U389" s="118"/>
      <c r="V389" s="118"/>
      <c r="W389" s="118"/>
      <c r="X389" s="118"/>
      <c r="Y389" s="118"/>
      <c r="Z389" s="118"/>
      <c r="AA389" s="118"/>
      <c r="AB389" s="118"/>
      <c r="AC389" s="118"/>
      <c r="AD389" s="111"/>
      <c r="AE389" s="122"/>
      <c r="AF389" s="122"/>
      <c r="AG389" s="122"/>
      <c r="AH389" s="122"/>
    </row>
    <row r="390" ht="22.5" customHeight="1">
      <c r="A390" s="73"/>
      <c r="B390" s="73"/>
      <c r="C390" s="73"/>
      <c r="D390" s="73"/>
      <c r="E390" s="330"/>
      <c r="F390" s="118"/>
      <c r="G390" s="118"/>
      <c r="H390" s="118"/>
      <c r="I390" s="118"/>
      <c r="J390" s="119"/>
      <c r="K390" s="120"/>
      <c r="L390" s="120"/>
      <c r="M390" s="120"/>
      <c r="N390" s="120"/>
      <c r="O390" s="118"/>
      <c r="P390" s="120"/>
      <c r="Q390" s="121"/>
      <c r="R390" s="109" t="b">
        <v>0</v>
      </c>
      <c r="S390" s="143"/>
      <c r="T390" s="110"/>
      <c r="U390" s="118"/>
      <c r="V390" s="118"/>
      <c r="W390" s="118"/>
      <c r="X390" s="118"/>
      <c r="Y390" s="118"/>
      <c r="Z390" s="118"/>
      <c r="AA390" s="118"/>
      <c r="AB390" s="118"/>
      <c r="AC390" s="118"/>
      <c r="AD390" s="111"/>
      <c r="AE390" s="122"/>
      <c r="AF390" s="122"/>
      <c r="AG390" s="122"/>
      <c r="AH390" s="122"/>
    </row>
    <row r="391" ht="22.5" customHeight="1">
      <c r="A391" s="73"/>
      <c r="B391" s="73"/>
      <c r="C391" s="73"/>
      <c r="D391" s="73"/>
      <c r="E391" s="330"/>
      <c r="F391" s="118"/>
      <c r="G391" s="118"/>
      <c r="H391" s="118"/>
      <c r="I391" s="118"/>
      <c r="J391" s="119"/>
      <c r="K391" s="120"/>
      <c r="L391" s="120"/>
      <c r="M391" s="120"/>
      <c r="N391" s="120"/>
      <c r="O391" s="118"/>
      <c r="P391" s="120"/>
      <c r="Q391" s="121"/>
      <c r="R391" s="109" t="b">
        <v>0</v>
      </c>
      <c r="S391" s="143"/>
      <c r="T391" s="110"/>
      <c r="U391" s="118"/>
      <c r="V391" s="118"/>
      <c r="W391" s="118"/>
      <c r="X391" s="118"/>
      <c r="Y391" s="118"/>
      <c r="Z391" s="118"/>
      <c r="AA391" s="118"/>
      <c r="AB391" s="118"/>
      <c r="AC391" s="118"/>
      <c r="AD391" s="111"/>
      <c r="AE391" s="122"/>
      <c r="AF391" s="122"/>
      <c r="AG391" s="122"/>
      <c r="AH391" s="122"/>
    </row>
    <row r="392" ht="22.5" customHeight="1">
      <c r="A392" s="73"/>
      <c r="B392" s="73"/>
      <c r="C392" s="73"/>
      <c r="D392" s="73"/>
      <c r="E392" s="330"/>
      <c r="F392" s="118"/>
      <c r="G392" s="118"/>
      <c r="H392" s="118"/>
      <c r="I392" s="118"/>
      <c r="J392" s="119"/>
      <c r="K392" s="120"/>
      <c r="L392" s="120"/>
      <c r="M392" s="120"/>
      <c r="N392" s="120"/>
      <c r="O392" s="118"/>
      <c r="P392" s="120"/>
      <c r="Q392" s="121"/>
      <c r="R392" s="109" t="b">
        <v>0</v>
      </c>
      <c r="S392" s="143"/>
      <c r="T392" s="110"/>
      <c r="U392" s="118"/>
      <c r="V392" s="118"/>
      <c r="W392" s="118"/>
      <c r="X392" s="118"/>
      <c r="Y392" s="118"/>
      <c r="Z392" s="118"/>
      <c r="AA392" s="118"/>
      <c r="AB392" s="118"/>
      <c r="AC392" s="118"/>
      <c r="AD392" s="111"/>
      <c r="AE392" s="122"/>
      <c r="AF392" s="122"/>
      <c r="AG392" s="122"/>
      <c r="AH392" s="122"/>
    </row>
    <row r="393" ht="22.5" customHeight="1">
      <c r="A393" s="73"/>
      <c r="B393" s="73"/>
      <c r="C393" s="73"/>
      <c r="D393" s="73"/>
      <c r="E393" s="330"/>
      <c r="F393" s="118"/>
      <c r="G393" s="118"/>
      <c r="H393" s="118"/>
      <c r="I393" s="118"/>
      <c r="J393" s="119"/>
      <c r="K393" s="120"/>
      <c r="L393" s="120"/>
      <c r="M393" s="120"/>
      <c r="N393" s="120"/>
      <c r="O393" s="118"/>
      <c r="P393" s="120"/>
      <c r="Q393" s="121"/>
      <c r="R393" s="109" t="b">
        <v>0</v>
      </c>
      <c r="S393" s="143"/>
      <c r="T393" s="110"/>
      <c r="U393" s="118"/>
      <c r="V393" s="118"/>
      <c r="W393" s="118"/>
      <c r="X393" s="118"/>
      <c r="Y393" s="118"/>
      <c r="Z393" s="118"/>
      <c r="AA393" s="118"/>
      <c r="AB393" s="118"/>
      <c r="AC393" s="118"/>
      <c r="AD393" s="111"/>
      <c r="AE393" s="122"/>
      <c r="AF393" s="122"/>
      <c r="AG393" s="122"/>
      <c r="AH393" s="122"/>
    </row>
    <row r="394" ht="22.5" customHeight="1">
      <c r="A394" s="73"/>
      <c r="B394" s="73"/>
      <c r="C394" s="73"/>
      <c r="D394" s="73"/>
      <c r="E394" s="330"/>
      <c r="F394" s="118"/>
      <c r="G394" s="118"/>
      <c r="H394" s="118"/>
      <c r="I394" s="118"/>
      <c r="J394" s="119"/>
      <c r="K394" s="120"/>
      <c r="L394" s="120"/>
      <c r="M394" s="120"/>
      <c r="N394" s="120"/>
      <c r="O394" s="118"/>
      <c r="P394" s="120"/>
      <c r="Q394" s="121"/>
      <c r="R394" s="109" t="b">
        <v>0</v>
      </c>
      <c r="S394" s="143"/>
      <c r="T394" s="110"/>
      <c r="U394" s="118"/>
      <c r="V394" s="118"/>
      <c r="W394" s="118"/>
      <c r="X394" s="118"/>
      <c r="Y394" s="118"/>
      <c r="Z394" s="118"/>
      <c r="AA394" s="118"/>
      <c r="AB394" s="118"/>
      <c r="AC394" s="118"/>
      <c r="AD394" s="111"/>
      <c r="AE394" s="122"/>
      <c r="AF394" s="122"/>
      <c r="AG394" s="122"/>
      <c r="AH394" s="122"/>
    </row>
    <row r="395" ht="22.5" customHeight="1">
      <c r="A395" s="73"/>
      <c r="B395" s="73"/>
      <c r="C395" s="73"/>
      <c r="D395" s="73"/>
      <c r="E395" s="330"/>
      <c r="F395" s="118"/>
      <c r="G395" s="118"/>
      <c r="H395" s="118"/>
      <c r="I395" s="118"/>
      <c r="J395" s="119"/>
      <c r="K395" s="120"/>
      <c r="L395" s="120"/>
      <c r="M395" s="120"/>
      <c r="N395" s="120"/>
      <c r="O395" s="118"/>
      <c r="P395" s="120"/>
      <c r="Q395" s="121"/>
      <c r="R395" s="109" t="b">
        <v>0</v>
      </c>
      <c r="S395" s="143"/>
      <c r="T395" s="110"/>
      <c r="U395" s="118"/>
      <c r="V395" s="118"/>
      <c r="W395" s="118"/>
      <c r="X395" s="118"/>
      <c r="Y395" s="118"/>
      <c r="Z395" s="118"/>
      <c r="AA395" s="118"/>
      <c r="AB395" s="118"/>
      <c r="AC395" s="118"/>
      <c r="AD395" s="111"/>
      <c r="AE395" s="122"/>
      <c r="AF395" s="122"/>
      <c r="AG395" s="122"/>
      <c r="AH395" s="122"/>
    </row>
    <row r="396" ht="22.5" customHeight="1">
      <c r="A396" s="73"/>
      <c r="B396" s="73"/>
      <c r="C396" s="73"/>
      <c r="D396" s="73"/>
      <c r="E396" s="330"/>
      <c r="F396" s="118"/>
      <c r="G396" s="118"/>
      <c r="H396" s="118"/>
      <c r="I396" s="118"/>
      <c r="J396" s="119"/>
      <c r="K396" s="120"/>
      <c r="L396" s="120"/>
      <c r="M396" s="120"/>
      <c r="N396" s="120"/>
      <c r="O396" s="118"/>
      <c r="P396" s="120"/>
      <c r="Q396" s="121"/>
      <c r="R396" s="109" t="b">
        <v>0</v>
      </c>
      <c r="S396" s="143"/>
      <c r="T396" s="110"/>
      <c r="U396" s="118"/>
      <c r="V396" s="118"/>
      <c r="W396" s="118"/>
      <c r="X396" s="118"/>
      <c r="Y396" s="118"/>
      <c r="Z396" s="118"/>
      <c r="AA396" s="118"/>
      <c r="AB396" s="118"/>
      <c r="AC396" s="118"/>
      <c r="AD396" s="111"/>
      <c r="AE396" s="122"/>
      <c r="AF396" s="122"/>
      <c r="AG396" s="122"/>
      <c r="AH396" s="122"/>
    </row>
    <row r="397" ht="22.5" customHeight="1">
      <c r="A397" s="73"/>
      <c r="B397" s="73"/>
      <c r="C397" s="73"/>
      <c r="D397" s="73"/>
      <c r="E397" s="330"/>
      <c r="F397" s="118"/>
      <c r="G397" s="118"/>
      <c r="H397" s="118"/>
      <c r="I397" s="118"/>
      <c r="J397" s="119"/>
      <c r="K397" s="120"/>
      <c r="L397" s="120"/>
      <c r="M397" s="120"/>
      <c r="N397" s="120"/>
      <c r="O397" s="118"/>
      <c r="P397" s="120"/>
      <c r="Q397" s="121"/>
      <c r="R397" s="109" t="b">
        <v>0</v>
      </c>
      <c r="S397" s="143"/>
      <c r="T397" s="110"/>
      <c r="U397" s="118"/>
      <c r="V397" s="118"/>
      <c r="W397" s="118"/>
      <c r="X397" s="118"/>
      <c r="Y397" s="118"/>
      <c r="Z397" s="118"/>
      <c r="AA397" s="118"/>
      <c r="AB397" s="118"/>
      <c r="AC397" s="118"/>
      <c r="AD397" s="111"/>
      <c r="AE397" s="122"/>
      <c r="AF397" s="122"/>
      <c r="AG397" s="122"/>
      <c r="AH397" s="122"/>
    </row>
    <row r="398" ht="22.5" customHeight="1">
      <c r="A398" s="73"/>
      <c r="B398" s="73"/>
      <c r="C398" s="73"/>
      <c r="D398" s="73"/>
      <c r="E398" s="330"/>
      <c r="F398" s="118"/>
      <c r="G398" s="118"/>
      <c r="H398" s="118"/>
      <c r="I398" s="118"/>
      <c r="J398" s="119"/>
      <c r="K398" s="120"/>
      <c r="L398" s="120"/>
      <c r="M398" s="120"/>
      <c r="N398" s="120"/>
      <c r="O398" s="118"/>
      <c r="P398" s="120"/>
      <c r="Q398" s="121"/>
      <c r="R398" s="109" t="b">
        <v>0</v>
      </c>
      <c r="S398" s="143"/>
      <c r="T398" s="110"/>
      <c r="U398" s="118"/>
      <c r="V398" s="118"/>
      <c r="W398" s="118"/>
      <c r="X398" s="118"/>
      <c r="Y398" s="118"/>
      <c r="Z398" s="118"/>
      <c r="AA398" s="118"/>
      <c r="AB398" s="118"/>
      <c r="AC398" s="118"/>
      <c r="AD398" s="111"/>
      <c r="AE398" s="122"/>
      <c r="AF398" s="122"/>
      <c r="AG398" s="122"/>
      <c r="AH398" s="122"/>
    </row>
    <row r="399" ht="22.5" customHeight="1">
      <c r="A399" s="73"/>
      <c r="B399" s="73"/>
      <c r="C399" s="73"/>
      <c r="D399" s="73"/>
      <c r="E399" s="330"/>
      <c r="F399" s="118"/>
      <c r="G399" s="118"/>
      <c r="H399" s="118"/>
      <c r="I399" s="118"/>
      <c r="J399" s="119"/>
      <c r="K399" s="120"/>
      <c r="L399" s="120"/>
      <c r="M399" s="120"/>
      <c r="N399" s="120"/>
      <c r="O399" s="118"/>
      <c r="P399" s="120"/>
      <c r="Q399" s="121"/>
      <c r="R399" s="109" t="b">
        <v>0</v>
      </c>
      <c r="S399" s="143"/>
      <c r="T399" s="110"/>
      <c r="U399" s="118"/>
      <c r="V399" s="118"/>
      <c r="W399" s="118"/>
      <c r="X399" s="118"/>
      <c r="Y399" s="118"/>
      <c r="Z399" s="118"/>
      <c r="AA399" s="118"/>
      <c r="AB399" s="118"/>
      <c r="AC399" s="118"/>
      <c r="AD399" s="111"/>
      <c r="AE399" s="122"/>
      <c r="AF399" s="122"/>
      <c r="AG399" s="122"/>
      <c r="AH399" s="122"/>
    </row>
    <row r="400" ht="22.5" customHeight="1">
      <c r="A400" s="73"/>
      <c r="B400" s="73"/>
      <c r="C400" s="73"/>
      <c r="D400" s="73"/>
      <c r="E400" s="330"/>
      <c r="F400" s="118"/>
      <c r="G400" s="118"/>
      <c r="H400" s="118"/>
      <c r="I400" s="118"/>
      <c r="J400" s="119"/>
      <c r="K400" s="120"/>
      <c r="L400" s="120"/>
      <c r="M400" s="120"/>
      <c r="N400" s="120"/>
      <c r="O400" s="118"/>
      <c r="P400" s="120"/>
      <c r="Q400" s="121"/>
      <c r="R400" s="109" t="b">
        <v>0</v>
      </c>
      <c r="S400" s="143"/>
      <c r="T400" s="110"/>
      <c r="U400" s="118"/>
      <c r="V400" s="118"/>
      <c r="W400" s="118"/>
      <c r="X400" s="118"/>
      <c r="Y400" s="118"/>
      <c r="Z400" s="118"/>
      <c r="AA400" s="118"/>
      <c r="AB400" s="118"/>
      <c r="AC400" s="118"/>
      <c r="AD400" s="111"/>
      <c r="AE400" s="122"/>
      <c r="AF400" s="122"/>
      <c r="AG400" s="122"/>
      <c r="AH400" s="122"/>
    </row>
    <row r="401" ht="22.5" customHeight="1">
      <c r="A401" s="73"/>
      <c r="B401" s="73"/>
      <c r="C401" s="73"/>
      <c r="D401" s="73"/>
      <c r="E401" s="330"/>
      <c r="F401" s="118"/>
      <c r="G401" s="118"/>
      <c r="H401" s="118"/>
      <c r="I401" s="118"/>
      <c r="J401" s="119"/>
      <c r="K401" s="120"/>
      <c r="L401" s="120"/>
      <c r="M401" s="120"/>
      <c r="N401" s="120"/>
      <c r="O401" s="118"/>
      <c r="P401" s="120"/>
      <c r="Q401" s="121"/>
      <c r="R401" s="109" t="b">
        <v>0</v>
      </c>
      <c r="S401" s="143"/>
      <c r="T401" s="110"/>
      <c r="U401" s="118"/>
      <c r="V401" s="118"/>
      <c r="W401" s="118"/>
      <c r="X401" s="118"/>
      <c r="Y401" s="118"/>
      <c r="Z401" s="118"/>
      <c r="AA401" s="118"/>
      <c r="AB401" s="118"/>
      <c r="AC401" s="118"/>
      <c r="AD401" s="111"/>
      <c r="AE401" s="122"/>
      <c r="AF401" s="122"/>
      <c r="AG401" s="122"/>
      <c r="AH401" s="122"/>
    </row>
    <row r="402" ht="22.5" customHeight="1">
      <c r="A402" s="73"/>
      <c r="B402" s="73"/>
      <c r="C402" s="73"/>
      <c r="D402" s="73"/>
      <c r="E402" s="330"/>
      <c r="F402" s="118"/>
      <c r="G402" s="118"/>
      <c r="H402" s="118"/>
      <c r="I402" s="118"/>
      <c r="J402" s="119"/>
      <c r="K402" s="120"/>
      <c r="L402" s="120"/>
      <c r="M402" s="120"/>
      <c r="N402" s="120"/>
      <c r="O402" s="118"/>
      <c r="P402" s="120"/>
      <c r="Q402" s="121"/>
      <c r="R402" s="109" t="b">
        <v>0</v>
      </c>
      <c r="S402" s="143"/>
      <c r="T402" s="110"/>
      <c r="U402" s="118"/>
      <c r="V402" s="118"/>
      <c r="W402" s="118"/>
      <c r="X402" s="118"/>
      <c r="Y402" s="118"/>
      <c r="Z402" s="118"/>
      <c r="AA402" s="118"/>
      <c r="AB402" s="118"/>
      <c r="AC402" s="118"/>
      <c r="AD402" s="111"/>
      <c r="AE402" s="122"/>
      <c r="AF402" s="122"/>
      <c r="AG402" s="122"/>
      <c r="AH402" s="122"/>
    </row>
    <row r="403" ht="22.5" customHeight="1">
      <c r="A403" s="73"/>
      <c r="B403" s="73"/>
      <c r="C403" s="73"/>
      <c r="D403" s="73"/>
      <c r="E403" s="330"/>
      <c r="F403" s="118"/>
      <c r="G403" s="118"/>
      <c r="H403" s="118"/>
      <c r="I403" s="118"/>
      <c r="J403" s="119"/>
      <c r="K403" s="120"/>
      <c r="L403" s="120"/>
      <c r="M403" s="120"/>
      <c r="N403" s="120"/>
      <c r="O403" s="118"/>
      <c r="P403" s="120"/>
      <c r="Q403" s="121"/>
      <c r="R403" s="109" t="b">
        <v>0</v>
      </c>
      <c r="S403" s="143"/>
      <c r="T403" s="110"/>
      <c r="U403" s="118"/>
      <c r="V403" s="118"/>
      <c r="W403" s="118"/>
      <c r="X403" s="118"/>
      <c r="Y403" s="118"/>
      <c r="Z403" s="118"/>
      <c r="AA403" s="118"/>
      <c r="AB403" s="118"/>
      <c r="AC403" s="118"/>
      <c r="AD403" s="111"/>
      <c r="AE403" s="122"/>
      <c r="AF403" s="122"/>
      <c r="AG403" s="122"/>
      <c r="AH403" s="122"/>
    </row>
    <row r="404" ht="22.5" customHeight="1">
      <c r="A404" s="73"/>
      <c r="B404" s="73"/>
      <c r="C404" s="73"/>
      <c r="D404" s="73"/>
      <c r="E404" s="330"/>
      <c r="F404" s="118"/>
      <c r="G404" s="118"/>
      <c r="H404" s="118"/>
      <c r="I404" s="118"/>
      <c r="J404" s="119"/>
      <c r="K404" s="120"/>
      <c r="L404" s="120"/>
      <c r="M404" s="120"/>
      <c r="N404" s="120"/>
      <c r="O404" s="118"/>
      <c r="P404" s="120"/>
      <c r="Q404" s="121"/>
      <c r="R404" s="109" t="b">
        <v>0</v>
      </c>
      <c r="S404" s="143"/>
      <c r="T404" s="110"/>
      <c r="U404" s="118"/>
      <c r="V404" s="118"/>
      <c r="W404" s="118"/>
      <c r="X404" s="118"/>
      <c r="Y404" s="118"/>
      <c r="Z404" s="118"/>
      <c r="AA404" s="118"/>
      <c r="AB404" s="118"/>
      <c r="AC404" s="118"/>
      <c r="AD404" s="111"/>
      <c r="AE404" s="122"/>
      <c r="AF404" s="122"/>
      <c r="AG404" s="122"/>
      <c r="AH404" s="122"/>
    </row>
    <row r="405" ht="22.5" customHeight="1">
      <c r="A405" s="73"/>
      <c r="B405" s="73"/>
      <c r="C405" s="73"/>
      <c r="D405" s="73"/>
      <c r="E405" s="330"/>
      <c r="F405" s="118"/>
      <c r="G405" s="118"/>
      <c r="H405" s="118"/>
      <c r="I405" s="118"/>
      <c r="J405" s="119"/>
      <c r="K405" s="120"/>
      <c r="L405" s="120"/>
      <c r="M405" s="120"/>
      <c r="N405" s="120"/>
      <c r="O405" s="118"/>
      <c r="P405" s="120"/>
      <c r="Q405" s="121"/>
      <c r="R405" s="109" t="b">
        <v>0</v>
      </c>
      <c r="S405" s="143"/>
      <c r="T405" s="110"/>
      <c r="U405" s="118"/>
      <c r="V405" s="118"/>
      <c r="W405" s="118"/>
      <c r="X405" s="118"/>
      <c r="Y405" s="118"/>
      <c r="Z405" s="118"/>
      <c r="AA405" s="118"/>
      <c r="AB405" s="118"/>
      <c r="AC405" s="118"/>
      <c r="AD405" s="111"/>
      <c r="AE405" s="122"/>
      <c r="AF405" s="122"/>
      <c r="AG405" s="122"/>
      <c r="AH405" s="122"/>
    </row>
    <row r="406" ht="22.5" customHeight="1">
      <c r="A406" s="73"/>
      <c r="B406" s="73"/>
      <c r="C406" s="73"/>
      <c r="D406" s="73"/>
      <c r="E406" s="330"/>
      <c r="F406" s="118"/>
      <c r="G406" s="118"/>
      <c r="H406" s="118"/>
      <c r="I406" s="118"/>
      <c r="J406" s="119"/>
      <c r="K406" s="120"/>
      <c r="L406" s="120"/>
      <c r="M406" s="120"/>
      <c r="N406" s="120"/>
      <c r="O406" s="118"/>
      <c r="P406" s="120"/>
      <c r="Q406" s="121"/>
      <c r="R406" s="109" t="b">
        <v>0</v>
      </c>
      <c r="S406" s="143"/>
      <c r="T406" s="110"/>
      <c r="U406" s="118"/>
      <c r="V406" s="118"/>
      <c r="W406" s="118"/>
      <c r="X406" s="118"/>
      <c r="Y406" s="118"/>
      <c r="Z406" s="118"/>
      <c r="AA406" s="118"/>
      <c r="AB406" s="118"/>
      <c r="AC406" s="118"/>
      <c r="AD406" s="111"/>
      <c r="AE406" s="122"/>
      <c r="AF406" s="122"/>
      <c r="AG406" s="122"/>
      <c r="AH406" s="122"/>
    </row>
    <row r="407" ht="22.5" customHeight="1">
      <c r="A407" s="73"/>
      <c r="B407" s="73"/>
      <c r="C407" s="73"/>
      <c r="D407" s="73"/>
      <c r="E407" s="330"/>
      <c r="F407" s="118"/>
      <c r="G407" s="118"/>
      <c r="H407" s="118"/>
      <c r="I407" s="118"/>
      <c r="J407" s="119"/>
      <c r="K407" s="120"/>
      <c r="L407" s="120"/>
      <c r="M407" s="120"/>
      <c r="N407" s="120"/>
      <c r="O407" s="118"/>
      <c r="P407" s="120"/>
      <c r="Q407" s="121"/>
      <c r="R407" s="109" t="b">
        <v>0</v>
      </c>
      <c r="S407" s="143"/>
      <c r="T407" s="110"/>
      <c r="U407" s="118"/>
      <c r="V407" s="118"/>
      <c r="W407" s="118"/>
      <c r="X407" s="118"/>
      <c r="Y407" s="118"/>
      <c r="Z407" s="118"/>
      <c r="AA407" s="118"/>
      <c r="AB407" s="118"/>
      <c r="AC407" s="118"/>
      <c r="AD407" s="111"/>
      <c r="AE407" s="122"/>
      <c r="AF407" s="122"/>
      <c r="AG407" s="122"/>
      <c r="AH407" s="122"/>
    </row>
    <row r="408" ht="22.5" customHeight="1">
      <c r="A408" s="73"/>
      <c r="B408" s="73"/>
      <c r="C408" s="73"/>
      <c r="D408" s="73"/>
      <c r="E408" s="330"/>
      <c r="F408" s="118"/>
      <c r="G408" s="118"/>
      <c r="H408" s="118"/>
      <c r="I408" s="118"/>
      <c r="J408" s="119"/>
      <c r="K408" s="120"/>
      <c r="L408" s="120"/>
      <c r="M408" s="120"/>
      <c r="N408" s="120"/>
      <c r="O408" s="118"/>
      <c r="P408" s="120"/>
      <c r="Q408" s="121"/>
      <c r="R408" s="109" t="b">
        <v>0</v>
      </c>
      <c r="S408" s="143"/>
      <c r="T408" s="110"/>
      <c r="U408" s="118"/>
      <c r="V408" s="118"/>
      <c r="W408" s="118"/>
      <c r="X408" s="118"/>
      <c r="Y408" s="118"/>
      <c r="Z408" s="118"/>
      <c r="AA408" s="118"/>
      <c r="AB408" s="118"/>
      <c r="AC408" s="118"/>
      <c r="AD408" s="111"/>
      <c r="AE408" s="122"/>
      <c r="AF408" s="122"/>
      <c r="AG408" s="122"/>
      <c r="AH408" s="122"/>
    </row>
    <row r="409" ht="22.5" customHeight="1">
      <c r="A409" s="73"/>
      <c r="B409" s="73"/>
      <c r="C409" s="73"/>
      <c r="D409" s="73"/>
      <c r="E409" s="330"/>
      <c r="F409" s="118"/>
      <c r="G409" s="118"/>
      <c r="H409" s="118"/>
      <c r="I409" s="118"/>
      <c r="J409" s="119"/>
      <c r="K409" s="120"/>
      <c r="L409" s="120"/>
      <c r="M409" s="120"/>
      <c r="N409" s="120"/>
      <c r="O409" s="118"/>
      <c r="P409" s="120"/>
      <c r="Q409" s="121"/>
      <c r="R409" s="109" t="b">
        <v>0</v>
      </c>
      <c r="S409" s="143"/>
      <c r="T409" s="110"/>
      <c r="U409" s="118"/>
      <c r="V409" s="118"/>
      <c r="W409" s="118"/>
      <c r="X409" s="118"/>
      <c r="Y409" s="118"/>
      <c r="Z409" s="118"/>
      <c r="AA409" s="118"/>
      <c r="AB409" s="118"/>
      <c r="AC409" s="118"/>
      <c r="AD409" s="111"/>
      <c r="AE409" s="122"/>
      <c r="AF409" s="122"/>
      <c r="AG409" s="122"/>
      <c r="AH409" s="122"/>
    </row>
    <row r="410" ht="22.5" customHeight="1">
      <c r="A410" s="73"/>
      <c r="B410" s="73"/>
      <c r="C410" s="73"/>
      <c r="D410" s="73"/>
      <c r="E410" s="330"/>
      <c r="F410" s="118"/>
      <c r="G410" s="118"/>
      <c r="H410" s="118"/>
      <c r="I410" s="118"/>
      <c r="J410" s="119"/>
      <c r="K410" s="120"/>
      <c r="L410" s="120"/>
      <c r="M410" s="120"/>
      <c r="N410" s="120"/>
      <c r="O410" s="118"/>
      <c r="P410" s="120"/>
      <c r="Q410" s="121"/>
      <c r="R410" s="109" t="b">
        <v>0</v>
      </c>
      <c r="S410" s="143"/>
      <c r="T410" s="110"/>
      <c r="U410" s="118"/>
      <c r="V410" s="118"/>
      <c r="W410" s="118"/>
      <c r="X410" s="118"/>
      <c r="Y410" s="118"/>
      <c r="Z410" s="118"/>
      <c r="AA410" s="118"/>
      <c r="AB410" s="118"/>
      <c r="AC410" s="118"/>
      <c r="AD410" s="111"/>
      <c r="AE410" s="122"/>
      <c r="AF410" s="122"/>
      <c r="AG410" s="122"/>
      <c r="AH410" s="122"/>
    </row>
    <row r="411" ht="22.5" customHeight="1">
      <c r="A411" s="73"/>
      <c r="B411" s="73"/>
      <c r="C411" s="73"/>
      <c r="D411" s="73"/>
      <c r="E411" s="330"/>
      <c r="F411" s="118"/>
      <c r="G411" s="118"/>
      <c r="H411" s="118"/>
      <c r="I411" s="118"/>
      <c r="J411" s="119"/>
      <c r="K411" s="120"/>
      <c r="L411" s="120"/>
      <c r="M411" s="120"/>
      <c r="N411" s="120"/>
      <c r="O411" s="118"/>
      <c r="P411" s="120"/>
      <c r="Q411" s="121"/>
      <c r="R411" s="109" t="b">
        <v>0</v>
      </c>
      <c r="S411" s="143"/>
      <c r="T411" s="110"/>
      <c r="U411" s="118"/>
      <c r="V411" s="118"/>
      <c r="W411" s="118"/>
      <c r="X411" s="118"/>
      <c r="Y411" s="118"/>
      <c r="Z411" s="118"/>
      <c r="AA411" s="118"/>
      <c r="AB411" s="118"/>
      <c r="AC411" s="118"/>
      <c r="AD411" s="111"/>
      <c r="AE411" s="122"/>
      <c r="AF411" s="122"/>
      <c r="AG411" s="122"/>
      <c r="AH411" s="122"/>
    </row>
    <row r="412" ht="22.5" customHeight="1">
      <c r="A412" s="73"/>
      <c r="B412" s="73"/>
      <c r="C412" s="73"/>
      <c r="D412" s="73"/>
      <c r="E412" s="330"/>
      <c r="F412" s="118"/>
      <c r="G412" s="118"/>
      <c r="H412" s="118"/>
      <c r="I412" s="118"/>
      <c r="J412" s="119"/>
      <c r="K412" s="120"/>
      <c r="L412" s="120"/>
      <c r="M412" s="120"/>
      <c r="N412" s="120"/>
      <c r="O412" s="118"/>
      <c r="P412" s="120"/>
      <c r="Q412" s="121"/>
      <c r="R412" s="109" t="b">
        <v>0</v>
      </c>
      <c r="S412" s="143"/>
      <c r="T412" s="110"/>
      <c r="U412" s="118"/>
      <c r="V412" s="118"/>
      <c r="W412" s="118"/>
      <c r="X412" s="118"/>
      <c r="Y412" s="118"/>
      <c r="Z412" s="118"/>
      <c r="AA412" s="118"/>
      <c r="AB412" s="118"/>
      <c r="AC412" s="118"/>
      <c r="AD412" s="111"/>
      <c r="AE412" s="122"/>
      <c r="AF412" s="122"/>
      <c r="AG412" s="122"/>
      <c r="AH412" s="122"/>
    </row>
    <row r="413" ht="22.5" customHeight="1">
      <c r="A413" s="73"/>
      <c r="B413" s="73"/>
      <c r="C413" s="73"/>
      <c r="D413" s="73"/>
      <c r="E413" s="330"/>
      <c r="F413" s="118"/>
      <c r="G413" s="118"/>
      <c r="H413" s="118"/>
      <c r="I413" s="118"/>
      <c r="J413" s="119"/>
      <c r="K413" s="120"/>
      <c r="L413" s="120"/>
      <c r="M413" s="120"/>
      <c r="N413" s="120"/>
      <c r="O413" s="118"/>
      <c r="P413" s="120"/>
      <c r="Q413" s="121"/>
      <c r="R413" s="109" t="b">
        <v>0</v>
      </c>
      <c r="S413" s="143"/>
      <c r="T413" s="110"/>
      <c r="U413" s="118"/>
      <c r="V413" s="118"/>
      <c r="W413" s="118"/>
      <c r="X413" s="118"/>
      <c r="Y413" s="118"/>
      <c r="Z413" s="118"/>
      <c r="AA413" s="118"/>
      <c r="AB413" s="118"/>
      <c r="AC413" s="118"/>
      <c r="AD413" s="111"/>
      <c r="AE413" s="122"/>
      <c r="AF413" s="122"/>
      <c r="AG413" s="122"/>
      <c r="AH413" s="122"/>
    </row>
    <row r="414" ht="22.5" customHeight="1">
      <c r="A414" s="73"/>
      <c r="B414" s="73"/>
      <c r="C414" s="73"/>
      <c r="D414" s="73"/>
      <c r="E414" s="330"/>
      <c r="F414" s="118"/>
      <c r="G414" s="118"/>
      <c r="H414" s="118"/>
      <c r="I414" s="118"/>
      <c r="J414" s="119"/>
      <c r="K414" s="120"/>
      <c r="L414" s="120"/>
      <c r="M414" s="120"/>
      <c r="N414" s="120"/>
      <c r="O414" s="118"/>
      <c r="P414" s="120"/>
      <c r="Q414" s="121"/>
      <c r="R414" s="109" t="b">
        <v>0</v>
      </c>
      <c r="S414" s="143"/>
      <c r="T414" s="110"/>
      <c r="U414" s="118"/>
      <c r="V414" s="118"/>
      <c r="W414" s="118"/>
      <c r="X414" s="118"/>
      <c r="Y414" s="118"/>
      <c r="Z414" s="118"/>
      <c r="AA414" s="118"/>
      <c r="AB414" s="118"/>
      <c r="AC414" s="118"/>
      <c r="AD414" s="111"/>
      <c r="AE414" s="122"/>
      <c r="AF414" s="122"/>
      <c r="AG414" s="122"/>
      <c r="AH414" s="122"/>
    </row>
    <row r="415" ht="22.5" customHeight="1">
      <c r="A415" s="73"/>
      <c r="B415" s="73"/>
      <c r="C415" s="73"/>
      <c r="D415" s="73"/>
      <c r="E415" s="330"/>
      <c r="F415" s="118"/>
      <c r="G415" s="118"/>
      <c r="H415" s="118"/>
      <c r="I415" s="118"/>
      <c r="J415" s="119"/>
      <c r="K415" s="120"/>
      <c r="L415" s="120"/>
      <c r="M415" s="120"/>
      <c r="N415" s="120"/>
      <c r="O415" s="118"/>
      <c r="P415" s="120"/>
      <c r="Q415" s="121"/>
      <c r="R415" s="109" t="b">
        <v>0</v>
      </c>
      <c r="S415" s="143"/>
      <c r="T415" s="110"/>
      <c r="U415" s="118"/>
      <c r="V415" s="118"/>
      <c r="W415" s="118"/>
      <c r="X415" s="118"/>
      <c r="Y415" s="118"/>
      <c r="Z415" s="118"/>
      <c r="AA415" s="118"/>
      <c r="AB415" s="118"/>
      <c r="AC415" s="118"/>
      <c r="AD415" s="111"/>
      <c r="AE415" s="122"/>
      <c r="AF415" s="122"/>
      <c r="AG415" s="122"/>
      <c r="AH415" s="122"/>
    </row>
    <row r="416" ht="22.5" customHeight="1">
      <c r="A416" s="73"/>
      <c r="B416" s="73"/>
      <c r="C416" s="73"/>
      <c r="D416" s="73"/>
      <c r="E416" s="330"/>
      <c r="F416" s="118"/>
      <c r="G416" s="118"/>
      <c r="H416" s="118"/>
      <c r="I416" s="118"/>
      <c r="J416" s="119"/>
      <c r="K416" s="120"/>
      <c r="L416" s="120"/>
      <c r="M416" s="120"/>
      <c r="N416" s="120"/>
      <c r="O416" s="118"/>
      <c r="P416" s="120"/>
      <c r="Q416" s="121"/>
      <c r="R416" s="109" t="b">
        <v>0</v>
      </c>
      <c r="S416" s="143"/>
      <c r="T416" s="110"/>
      <c r="U416" s="118"/>
      <c r="V416" s="118"/>
      <c r="W416" s="118"/>
      <c r="X416" s="118"/>
      <c r="Y416" s="118"/>
      <c r="Z416" s="118"/>
      <c r="AA416" s="118"/>
      <c r="AB416" s="118"/>
      <c r="AC416" s="118"/>
      <c r="AD416" s="111"/>
      <c r="AE416" s="122"/>
      <c r="AF416" s="122"/>
      <c r="AG416" s="122"/>
      <c r="AH416" s="122"/>
    </row>
    <row r="417" ht="22.5" customHeight="1">
      <c r="A417" s="73"/>
      <c r="B417" s="73"/>
      <c r="C417" s="73"/>
      <c r="D417" s="73"/>
      <c r="E417" s="330"/>
      <c r="F417" s="118"/>
      <c r="G417" s="118"/>
      <c r="H417" s="118"/>
      <c r="I417" s="118"/>
      <c r="J417" s="119"/>
      <c r="K417" s="120"/>
      <c r="L417" s="120"/>
      <c r="M417" s="120"/>
      <c r="N417" s="120"/>
      <c r="O417" s="118"/>
      <c r="P417" s="120"/>
      <c r="Q417" s="121"/>
      <c r="R417" s="109" t="b">
        <v>0</v>
      </c>
      <c r="S417" s="143"/>
      <c r="T417" s="110"/>
      <c r="U417" s="118"/>
      <c r="V417" s="118"/>
      <c r="W417" s="118"/>
      <c r="X417" s="118"/>
      <c r="Y417" s="118"/>
      <c r="Z417" s="118"/>
      <c r="AA417" s="118"/>
      <c r="AB417" s="118"/>
      <c r="AC417" s="118"/>
      <c r="AD417" s="111"/>
      <c r="AE417" s="122"/>
      <c r="AF417" s="122"/>
      <c r="AG417" s="122"/>
      <c r="AH417" s="122"/>
    </row>
    <row r="418" ht="22.5" customHeight="1">
      <c r="A418" s="73"/>
      <c r="B418" s="73"/>
      <c r="C418" s="73"/>
      <c r="D418" s="73"/>
      <c r="E418" s="330"/>
      <c r="F418" s="118"/>
      <c r="G418" s="118"/>
      <c r="H418" s="118"/>
      <c r="I418" s="118"/>
      <c r="J418" s="119"/>
      <c r="K418" s="120"/>
      <c r="L418" s="120"/>
      <c r="M418" s="120"/>
      <c r="N418" s="120"/>
      <c r="O418" s="118"/>
      <c r="P418" s="120"/>
      <c r="Q418" s="121"/>
      <c r="R418" s="109" t="b">
        <v>0</v>
      </c>
      <c r="S418" s="143"/>
      <c r="T418" s="110"/>
      <c r="U418" s="118"/>
      <c r="V418" s="118"/>
      <c r="W418" s="118"/>
      <c r="X418" s="118"/>
      <c r="Y418" s="118"/>
      <c r="Z418" s="118"/>
      <c r="AA418" s="118"/>
      <c r="AB418" s="118"/>
      <c r="AC418" s="118"/>
      <c r="AD418" s="111"/>
      <c r="AE418" s="122"/>
      <c r="AF418" s="122"/>
      <c r="AG418" s="122"/>
      <c r="AH418" s="122"/>
    </row>
    <row r="419" ht="22.5" customHeight="1">
      <c r="A419" s="73"/>
      <c r="B419" s="73"/>
      <c r="C419" s="73"/>
      <c r="D419" s="73"/>
      <c r="E419" s="330"/>
      <c r="F419" s="118"/>
      <c r="G419" s="118"/>
      <c r="H419" s="118"/>
      <c r="I419" s="118"/>
      <c r="J419" s="119"/>
      <c r="K419" s="120"/>
      <c r="L419" s="120"/>
      <c r="M419" s="120"/>
      <c r="N419" s="120"/>
      <c r="O419" s="118"/>
      <c r="P419" s="120"/>
      <c r="Q419" s="121"/>
      <c r="R419" s="109" t="b">
        <v>0</v>
      </c>
      <c r="S419" s="143"/>
      <c r="T419" s="110"/>
      <c r="U419" s="118"/>
      <c r="V419" s="118"/>
      <c r="W419" s="118"/>
      <c r="X419" s="118"/>
      <c r="Y419" s="118"/>
      <c r="Z419" s="118"/>
      <c r="AA419" s="118"/>
      <c r="AB419" s="118"/>
      <c r="AC419" s="118"/>
      <c r="AD419" s="111"/>
      <c r="AE419" s="122"/>
      <c r="AF419" s="122"/>
      <c r="AG419" s="122"/>
      <c r="AH419" s="122"/>
    </row>
    <row r="420" ht="22.5" customHeight="1">
      <c r="A420" s="73"/>
      <c r="B420" s="73"/>
      <c r="C420" s="73"/>
      <c r="D420" s="73"/>
      <c r="E420" s="330"/>
      <c r="F420" s="118"/>
      <c r="G420" s="118"/>
      <c r="H420" s="118"/>
      <c r="I420" s="118"/>
      <c r="J420" s="119"/>
      <c r="K420" s="120"/>
      <c r="L420" s="120"/>
      <c r="M420" s="120"/>
      <c r="N420" s="120"/>
      <c r="O420" s="118"/>
      <c r="P420" s="120"/>
      <c r="Q420" s="121"/>
      <c r="R420" s="109" t="b">
        <v>0</v>
      </c>
      <c r="S420" s="143"/>
      <c r="T420" s="110"/>
      <c r="U420" s="118"/>
      <c r="V420" s="118"/>
      <c r="W420" s="118"/>
      <c r="X420" s="118"/>
      <c r="Y420" s="118"/>
      <c r="Z420" s="118"/>
      <c r="AA420" s="118"/>
      <c r="AB420" s="118"/>
      <c r="AC420" s="118"/>
      <c r="AD420" s="111"/>
      <c r="AE420" s="122"/>
      <c r="AF420" s="122"/>
      <c r="AG420" s="122"/>
      <c r="AH420" s="122"/>
    </row>
    <row r="421" ht="22.5" customHeight="1">
      <c r="A421" s="73"/>
      <c r="B421" s="73"/>
      <c r="C421" s="73"/>
      <c r="D421" s="73"/>
      <c r="E421" s="330"/>
      <c r="F421" s="118"/>
      <c r="G421" s="118"/>
      <c r="H421" s="118"/>
      <c r="I421" s="118"/>
      <c r="J421" s="119"/>
      <c r="K421" s="120"/>
      <c r="L421" s="120"/>
      <c r="M421" s="120"/>
      <c r="N421" s="120"/>
      <c r="O421" s="118"/>
      <c r="P421" s="120"/>
      <c r="Q421" s="121"/>
      <c r="R421" s="109" t="b">
        <v>0</v>
      </c>
      <c r="S421" s="143"/>
      <c r="T421" s="110"/>
      <c r="U421" s="118"/>
      <c r="V421" s="118"/>
      <c r="W421" s="118"/>
      <c r="X421" s="118"/>
      <c r="Y421" s="118"/>
      <c r="Z421" s="118"/>
      <c r="AA421" s="118"/>
      <c r="AB421" s="118"/>
      <c r="AC421" s="118"/>
      <c r="AD421" s="111"/>
      <c r="AE421" s="122"/>
      <c r="AF421" s="122"/>
      <c r="AG421" s="122"/>
      <c r="AH421" s="122"/>
    </row>
    <row r="422" ht="22.5" customHeight="1">
      <c r="A422" s="73"/>
      <c r="B422" s="73"/>
      <c r="C422" s="73"/>
      <c r="D422" s="73"/>
      <c r="E422" s="330"/>
      <c r="F422" s="118"/>
      <c r="G422" s="118"/>
      <c r="H422" s="118"/>
      <c r="I422" s="118"/>
      <c r="J422" s="119"/>
      <c r="K422" s="120"/>
      <c r="L422" s="120"/>
      <c r="M422" s="120"/>
      <c r="N422" s="120"/>
      <c r="O422" s="118"/>
      <c r="P422" s="120"/>
      <c r="Q422" s="121"/>
      <c r="R422" s="109" t="b">
        <v>0</v>
      </c>
      <c r="S422" s="143"/>
      <c r="T422" s="110"/>
      <c r="U422" s="118"/>
      <c r="V422" s="118"/>
      <c r="W422" s="118"/>
      <c r="X422" s="118"/>
      <c r="Y422" s="118"/>
      <c r="Z422" s="118"/>
      <c r="AA422" s="118"/>
      <c r="AB422" s="118"/>
      <c r="AC422" s="118"/>
      <c r="AD422" s="111"/>
      <c r="AE422" s="122"/>
      <c r="AF422" s="122"/>
      <c r="AG422" s="122"/>
      <c r="AH422" s="122"/>
    </row>
    <row r="423" ht="22.5" customHeight="1">
      <c r="A423" s="73"/>
      <c r="B423" s="73"/>
      <c r="C423" s="73"/>
      <c r="D423" s="73"/>
      <c r="E423" s="330"/>
      <c r="F423" s="118"/>
      <c r="G423" s="118"/>
      <c r="H423" s="118"/>
      <c r="I423" s="118"/>
      <c r="J423" s="119"/>
      <c r="K423" s="120"/>
      <c r="L423" s="120"/>
      <c r="M423" s="120"/>
      <c r="N423" s="120"/>
      <c r="O423" s="118"/>
      <c r="P423" s="120"/>
      <c r="Q423" s="121"/>
      <c r="R423" s="109" t="b">
        <v>0</v>
      </c>
      <c r="S423" s="143"/>
      <c r="T423" s="110"/>
      <c r="U423" s="118"/>
      <c r="V423" s="118"/>
      <c r="W423" s="118"/>
      <c r="X423" s="118"/>
      <c r="Y423" s="118"/>
      <c r="Z423" s="118"/>
      <c r="AA423" s="118"/>
      <c r="AB423" s="118"/>
      <c r="AC423" s="118"/>
      <c r="AD423" s="111"/>
      <c r="AE423" s="122"/>
      <c r="AF423" s="122"/>
      <c r="AG423" s="122"/>
      <c r="AH423" s="122"/>
    </row>
    <row r="424" ht="22.5" customHeight="1">
      <c r="A424" s="73"/>
      <c r="B424" s="73"/>
      <c r="C424" s="73"/>
      <c r="D424" s="73"/>
      <c r="E424" s="330"/>
      <c r="F424" s="118"/>
      <c r="G424" s="118"/>
      <c r="H424" s="118"/>
      <c r="I424" s="118"/>
      <c r="J424" s="119"/>
      <c r="K424" s="120"/>
      <c r="L424" s="120"/>
      <c r="M424" s="120"/>
      <c r="N424" s="120"/>
      <c r="O424" s="118"/>
      <c r="P424" s="120"/>
      <c r="Q424" s="121"/>
      <c r="R424" s="109" t="b">
        <v>0</v>
      </c>
      <c r="S424" s="143"/>
      <c r="T424" s="110"/>
      <c r="U424" s="118"/>
      <c r="V424" s="118"/>
      <c r="W424" s="118"/>
      <c r="X424" s="118"/>
      <c r="Y424" s="118"/>
      <c r="Z424" s="118"/>
      <c r="AA424" s="118"/>
      <c r="AB424" s="118"/>
      <c r="AC424" s="118"/>
      <c r="AD424" s="111"/>
      <c r="AE424" s="122"/>
      <c r="AF424" s="122"/>
      <c r="AG424" s="122"/>
      <c r="AH424" s="122"/>
    </row>
    <row r="425" ht="22.5" customHeight="1">
      <c r="A425" s="73"/>
      <c r="B425" s="73"/>
      <c r="C425" s="73"/>
      <c r="D425" s="73"/>
      <c r="E425" s="330"/>
      <c r="F425" s="118"/>
      <c r="G425" s="118"/>
      <c r="H425" s="118"/>
      <c r="I425" s="118"/>
      <c r="J425" s="119"/>
      <c r="K425" s="120"/>
      <c r="L425" s="120"/>
      <c r="M425" s="120"/>
      <c r="N425" s="120"/>
      <c r="O425" s="118"/>
      <c r="P425" s="120"/>
      <c r="Q425" s="121"/>
      <c r="R425" s="109" t="b">
        <v>0</v>
      </c>
      <c r="S425" s="143"/>
      <c r="T425" s="110"/>
      <c r="U425" s="118"/>
      <c r="V425" s="118"/>
      <c r="W425" s="118"/>
      <c r="X425" s="118"/>
      <c r="Y425" s="118"/>
      <c r="Z425" s="118"/>
      <c r="AA425" s="118"/>
      <c r="AB425" s="118"/>
      <c r="AC425" s="118"/>
      <c r="AD425" s="111"/>
      <c r="AE425" s="122"/>
      <c r="AF425" s="122"/>
      <c r="AG425" s="122"/>
      <c r="AH425" s="122"/>
    </row>
    <row r="426" ht="22.5" customHeight="1">
      <c r="A426" s="73"/>
      <c r="B426" s="73"/>
      <c r="C426" s="73"/>
      <c r="D426" s="73"/>
      <c r="E426" s="330"/>
      <c r="F426" s="118"/>
      <c r="G426" s="118"/>
      <c r="H426" s="118"/>
      <c r="I426" s="118"/>
      <c r="J426" s="119"/>
      <c r="K426" s="120"/>
      <c r="L426" s="120"/>
      <c r="M426" s="120"/>
      <c r="N426" s="120"/>
      <c r="O426" s="118"/>
      <c r="P426" s="120"/>
      <c r="Q426" s="121"/>
      <c r="R426" s="109" t="b">
        <v>0</v>
      </c>
      <c r="S426" s="143"/>
      <c r="T426" s="110"/>
      <c r="U426" s="118"/>
      <c r="V426" s="118"/>
      <c r="W426" s="118"/>
      <c r="X426" s="118"/>
      <c r="Y426" s="118"/>
      <c r="Z426" s="118"/>
      <c r="AA426" s="118"/>
      <c r="AB426" s="118"/>
      <c r="AC426" s="118"/>
      <c r="AD426" s="111"/>
      <c r="AE426" s="122"/>
      <c r="AF426" s="122"/>
      <c r="AG426" s="122"/>
      <c r="AH426" s="122"/>
    </row>
    <row r="427" ht="22.5" customHeight="1">
      <c r="A427" s="73"/>
      <c r="B427" s="73"/>
      <c r="C427" s="73"/>
      <c r="D427" s="73"/>
      <c r="E427" s="330"/>
      <c r="F427" s="118"/>
      <c r="G427" s="118"/>
      <c r="H427" s="118"/>
      <c r="I427" s="118"/>
      <c r="J427" s="119"/>
      <c r="K427" s="120"/>
      <c r="L427" s="120"/>
      <c r="M427" s="120"/>
      <c r="N427" s="120"/>
      <c r="O427" s="118"/>
      <c r="P427" s="120"/>
      <c r="Q427" s="121"/>
      <c r="R427" s="109" t="b">
        <v>0</v>
      </c>
      <c r="S427" s="143"/>
      <c r="T427" s="110"/>
      <c r="U427" s="118"/>
      <c r="V427" s="118"/>
      <c r="W427" s="118"/>
      <c r="X427" s="118"/>
      <c r="Y427" s="118"/>
      <c r="Z427" s="118"/>
      <c r="AA427" s="118"/>
      <c r="AB427" s="118"/>
      <c r="AC427" s="118"/>
      <c r="AD427" s="111"/>
      <c r="AE427" s="122"/>
      <c r="AF427" s="122"/>
      <c r="AG427" s="122"/>
      <c r="AH427" s="122"/>
    </row>
    <row r="428" ht="22.5" customHeight="1">
      <c r="A428" s="73"/>
      <c r="B428" s="73"/>
      <c r="C428" s="73"/>
      <c r="D428" s="73"/>
      <c r="E428" s="330"/>
      <c r="F428" s="118"/>
      <c r="G428" s="118"/>
      <c r="H428" s="118"/>
      <c r="I428" s="118"/>
      <c r="J428" s="119"/>
      <c r="K428" s="120"/>
      <c r="L428" s="120"/>
      <c r="M428" s="120"/>
      <c r="N428" s="120"/>
      <c r="O428" s="118"/>
      <c r="P428" s="120"/>
      <c r="Q428" s="121"/>
      <c r="R428" s="109" t="b">
        <v>0</v>
      </c>
      <c r="S428" s="143"/>
      <c r="T428" s="110"/>
      <c r="U428" s="118"/>
      <c r="V428" s="118"/>
      <c r="W428" s="118"/>
      <c r="X428" s="118"/>
      <c r="Y428" s="118"/>
      <c r="Z428" s="118"/>
      <c r="AA428" s="118"/>
      <c r="AB428" s="118"/>
      <c r="AC428" s="118"/>
      <c r="AD428" s="111"/>
      <c r="AE428" s="122"/>
      <c r="AF428" s="122"/>
      <c r="AG428" s="122"/>
      <c r="AH428" s="122"/>
    </row>
    <row r="429" ht="22.5" customHeight="1">
      <c r="A429" s="73"/>
      <c r="B429" s="73"/>
      <c r="C429" s="73"/>
      <c r="D429" s="73"/>
      <c r="E429" s="330"/>
      <c r="F429" s="118"/>
      <c r="G429" s="118"/>
      <c r="H429" s="118"/>
      <c r="I429" s="118"/>
      <c r="J429" s="119"/>
      <c r="K429" s="120"/>
      <c r="L429" s="120"/>
      <c r="M429" s="120"/>
      <c r="N429" s="120"/>
      <c r="O429" s="118"/>
      <c r="P429" s="120"/>
      <c r="Q429" s="121"/>
      <c r="R429" s="109" t="b">
        <v>0</v>
      </c>
      <c r="S429" s="143"/>
      <c r="T429" s="110"/>
      <c r="U429" s="118"/>
      <c r="V429" s="118"/>
      <c r="W429" s="118"/>
      <c r="X429" s="118"/>
      <c r="Y429" s="118"/>
      <c r="Z429" s="118"/>
      <c r="AA429" s="118"/>
      <c r="AB429" s="118"/>
      <c r="AC429" s="118"/>
      <c r="AD429" s="111"/>
      <c r="AE429" s="122"/>
      <c r="AF429" s="122"/>
      <c r="AG429" s="122"/>
      <c r="AH429" s="122"/>
    </row>
    <row r="430" ht="22.5" customHeight="1">
      <c r="A430" s="73"/>
      <c r="B430" s="73"/>
      <c r="C430" s="73"/>
      <c r="D430" s="73"/>
      <c r="E430" s="330"/>
      <c r="F430" s="118"/>
      <c r="G430" s="118"/>
      <c r="H430" s="118"/>
      <c r="I430" s="118"/>
      <c r="J430" s="119"/>
      <c r="K430" s="120"/>
      <c r="L430" s="120"/>
      <c r="M430" s="120"/>
      <c r="N430" s="120"/>
      <c r="O430" s="118"/>
      <c r="P430" s="120"/>
      <c r="Q430" s="121"/>
      <c r="R430" s="109" t="b">
        <v>0</v>
      </c>
      <c r="S430" s="143"/>
      <c r="T430" s="110"/>
      <c r="U430" s="118"/>
      <c r="V430" s="118"/>
      <c r="W430" s="118"/>
      <c r="X430" s="118"/>
      <c r="Y430" s="118"/>
      <c r="Z430" s="118"/>
      <c r="AA430" s="118"/>
      <c r="AB430" s="118"/>
      <c r="AC430" s="118"/>
      <c r="AD430" s="111"/>
      <c r="AE430" s="122"/>
      <c r="AF430" s="122"/>
      <c r="AG430" s="122"/>
      <c r="AH430" s="122"/>
    </row>
    <row r="431" ht="22.5" customHeight="1">
      <c r="A431" s="73"/>
      <c r="B431" s="73"/>
      <c r="C431" s="73"/>
      <c r="D431" s="73"/>
      <c r="E431" s="330"/>
      <c r="F431" s="118"/>
      <c r="G431" s="118"/>
      <c r="H431" s="118"/>
      <c r="I431" s="118"/>
      <c r="J431" s="119"/>
      <c r="K431" s="120"/>
      <c r="L431" s="120"/>
      <c r="M431" s="120"/>
      <c r="N431" s="120"/>
      <c r="O431" s="118"/>
      <c r="P431" s="120"/>
      <c r="Q431" s="121"/>
      <c r="R431" s="109" t="b">
        <v>0</v>
      </c>
      <c r="S431" s="143"/>
      <c r="T431" s="110"/>
      <c r="U431" s="118"/>
      <c r="V431" s="118"/>
      <c r="W431" s="118"/>
      <c r="X431" s="118"/>
      <c r="Y431" s="118"/>
      <c r="Z431" s="118"/>
      <c r="AA431" s="118"/>
      <c r="AB431" s="118"/>
      <c r="AC431" s="118"/>
      <c r="AD431" s="111"/>
      <c r="AE431" s="122"/>
      <c r="AF431" s="122"/>
      <c r="AG431" s="122"/>
      <c r="AH431" s="122"/>
    </row>
    <row r="432" ht="22.5" customHeight="1">
      <c r="A432" s="73"/>
      <c r="B432" s="73"/>
      <c r="C432" s="73"/>
      <c r="D432" s="73"/>
      <c r="E432" s="330"/>
      <c r="F432" s="118"/>
      <c r="G432" s="118"/>
      <c r="H432" s="118"/>
      <c r="I432" s="118"/>
      <c r="J432" s="119"/>
      <c r="K432" s="120"/>
      <c r="L432" s="120"/>
      <c r="M432" s="120"/>
      <c r="N432" s="120"/>
      <c r="O432" s="118"/>
      <c r="P432" s="120"/>
      <c r="Q432" s="121"/>
      <c r="R432" s="109" t="b">
        <v>0</v>
      </c>
      <c r="S432" s="143"/>
      <c r="T432" s="110"/>
      <c r="U432" s="118"/>
      <c r="V432" s="118"/>
      <c r="W432" s="118"/>
      <c r="X432" s="118"/>
      <c r="Y432" s="118"/>
      <c r="Z432" s="118"/>
      <c r="AA432" s="118"/>
      <c r="AB432" s="118"/>
      <c r="AC432" s="118"/>
      <c r="AD432" s="111"/>
      <c r="AE432" s="122"/>
      <c r="AF432" s="122"/>
      <c r="AG432" s="122"/>
      <c r="AH432" s="122"/>
    </row>
    <row r="433" ht="22.5" customHeight="1">
      <c r="A433" s="73"/>
      <c r="B433" s="73"/>
      <c r="C433" s="73"/>
      <c r="D433" s="73"/>
      <c r="E433" s="330"/>
      <c r="F433" s="118"/>
      <c r="G433" s="118"/>
      <c r="H433" s="118"/>
      <c r="I433" s="118"/>
      <c r="J433" s="119"/>
      <c r="K433" s="120"/>
      <c r="L433" s="120"/>
      <c r="M433" s="120"/>
      <c r="N433" s="120"/>
      <c r="O433" s="118"/>
      <c r="P433" s="120"/>
      <c r="Q433" s="121"/>
      <c r="R433" s="109" t="b">
        <v>0</v>
      </c>
      <c r="S433" s="143"/>
      <c r="T433" s="110"/>
      <c r="U433" s="118"/>
      <c r="V433" s="118"/>
      <c r="W433" s="118"/>
      <c r="X433" s="118"/>
      <c r="Y433" s="118"/>
      <c r="Z433" s="118"/>
      <c r="AA433" s="118"/>
      <c r="AB433" s="118"/>
      <c r="AC433" s="118"/>
      <c r="AD433" s="111"/>
      <c r="AE433" s="122"/>
      <c r="AF433" s="122"/>
      <c r="AG433" s="122"/>
      <c r="AH433" s="122"/>
    </row>
    <row r="434" ht="22.5" customHeight="1">
      <c r="A434" s="73"/>
      <c r="B434" s="73"/>
      <c r="C434" s="73"/>
      <c r="D434" s="73"/>
      <c r="E434" s="330"/>
      <c r="F434" s="118"/>
      <c r="G434" s="118"/>
      <c r="H434" s="118"/>
      <c r="I434" s="118"/>
      <c r="J434" s="119"/>
      <c r="K434" s="120"/>
      <c r="L434" s="120"/>
      <c r="M434" s="120"/>
      <c r="N434" s="120"/>
      <c r="O434" s="118"/>
      <c r="P434" s="120"/>
      <c r="Q434" s="121"/>
      <c r="R434" s="109" t="b">
        <v>0</v>
      </c>
      <c r="S434" s="143"/>
      <c r="T434" s="110"/>
      <c r="U434" s="118"/>
      <c r="V434" s="118"/>
      <c r="W434" s="118"/>
      <c r="X434" s="118"/>
      <c r="Y434" s="118"/>
      <c r="Z434" s="118"/>
      <c r="AA434" s="118"/>
      <c r="AB434" s="118"/>
      <c r="AC434" s="118"/>
      <c r="AD434" s="111"/>
      <c r="AE434" s="122"/>
      <c r="AF434" s="122"/>
      <c r="AG434" s="122"/>
      <c r="AH434" s="122"/>
    </row>
    <row r="435" ht="22.5" customHeight="1">
      <c r="A435" s="73"/>
      <c r="B435" s="73"/>
      <c r="C435" s="73"/>
      <c r="D435" s="73"/>
      <c r="E435" s="330"/>
      <c r="F435" s="118"/>
      <c r="G435" s="118"/>
      <c r="H435" s="118"/>
      <c r="I435" s="118"/>
      <c r="J435" s="119"/>
      <c r="K435" s="120"/>
      <c r="L435" s="120"/>
      <c r="M435" s="120"/>
      <c r="N435" s="120"/>
      <c r="O435" s="118"/>
      <c r="P435" s="120"/>
      <c r="Q435" s="121"/>
      <c r="R435" s="109" t="b">
        <v>0</v>
      </c>
      <c r="S435" s="143"/>
      <c r="T435" s="110"/>
      <c r="U435" s="118"/>
      <c r="V435" s="118"/>
      <c r="W435" s="118"/>
      <c r="X435" s="118"/>
      <c r="Y435" s="118"/>
      <c r="Z435" s="118"/>
      <c r="AA435" s="118"/>
      <c r="AB435" s="118"/>
      <c r="AC435" s="118"/>
      <c r="AD435" s="111"/>
      <c r="AE435" s="122"/>
      <c r="AF435" s="122"/>
      <c r="AG435" s="122"/>
      <c r="AH435" s="122"/>
    </row>
    <row r="436" ht="22.5" customHeight="1">
      <c r="A436" s="73"/>
      <c r="B436" s="73"/>
      <c r="C436" s="73"/>
      <c r="D436" s="73"/>
      <c r="E436" s="330"/>
      <c r="F436" s="118"/>
      <c r="G436" s="118"/>
      <c r="H436" s="118"/>
      <c r="I436" s="118"/>
      <c r="J436" s="119"/>
      <c r="K436" s="120"/>
      <c r="L436" s="120"/>
      <c r="M436" s="120"/>
      <c r="N436" s="120"/>
      <c r="O436" s="118"/>
      <c r="P436" s="120"/>
      <c r="Q436" s="121"/>
      <c r="R436" s="109" t="b">
        <v>0</v>
      </c>
      <c r="S436" s="143"/>
      <c r="T436" s="110"/>
      <c r="U436" s="118"/>
      <c r="V436" s="118"/>
      <c r="W436" s="118"/>
      <c r="X436" s="118"/>
      <c r="Y436" s="118"/>
      <c r="Z436" s="118"/>
      <c r="AA436" s="118"/>
      <c r="AB436" s="118"/>
      <c r="AC436" s="118"/>
      <c r="AD436" s="111"/>
      <c r="AE436" s="122"/>
      <c r="AF436" s="122"/>
      <c r="AG436" s="122"/>
      <c r="AH436" s="122"/>
    </row>
    <row r="437" ht="22.5" customHeight="1">
      <c r="A437" s="73"/>
      <c r="B437" s="73"/>
      <c r="C437" s="73"/>
      <c r="D437" s="73"/>
      <c r="E437" s="330"/>
      <c r="F437" s="118"/>
      <c r="G437" s="118"/>
      <c r="H437" s="118"/>
      <c r="I437" s="118"/>
      <c r="J437" s="119"/>
      <c r="K437" s="120"/>
      <c r="L437" s="120"/>
      <c r="M437" s="120"/>
      <c r="N437" s="120"/>
      <c r="O437" s="118"/>
      <c r="P437" s="120"/>
      <c r="Q437" s="121"/>
      <c r="R437" s="109" t="b">
        <v>0</v>
      </c>
      <c r="S437" s="143"/>
      <c r="T437" s="110"/>
      <c r="U437" s="118"/>
      <c r="V437" s="118"/>
      <c r="W437" s="118"/>
      <c r="X437" s="118"/>
      <c r="Y437" s="118"/>
      <c r="Z437" s="118"/>
      <c r="AA437" s="118"/>
      <c r="AB437" s="118"/>
      <c r="AC437" s="118"/>
      <c r="AD437" s="111"/>
      <c r="AE437" s="122"/>
      <c r="AF437" s="122"/>
      <c r="AG437" s="122"/>
      <c r="AH437" s="122"/>
    </row>
    <row r="438" ht="22.5" customHeight="1">
      <c r="A438" s="73"/>
      <c r="B438" s="73"/>
      <c r="C438" s="73"/>
      <c r="D438" s="73"/>
      <c r="E438" s="330"/>
      <c r="F438" s="118"/>
      <c r="G438" s="118"/>
      <c r="H438" s="118"/>
      <c r="I438" s="118"/>
      <c r="J438" s="119"/>
      <c r="K438" s="120"/>
      <c r="L438" s="120"/>
      <c r="M438" s="120"/>
      <c r="N438" s="120"/>
      <c r="O438" s="118"/>
      <c r="P438" s="120"/>
      <c r="Q438" s="121"/>
      <c r="R438" s="109" t="b">
        <v>0</v>
      </c>
      <c r="S438" s="143"/>
      <c r="T438" s="110"/>
      <c r="U438" s="118"/>
      <c r="V438" s="118"/>
      <c r="W438" s="118"/>
      <c r="X438" s="118"/>
      <c r="Y438" s="118"/>
      <c r="Z438" s="118"/>
      <c r="AA438" s="118"/>
      <c r="AB438" s="118"/>
      <c r="AC438" s="118"/>
      <c r="AD438" s="111"/>
      <c r="AE438" s="122"/>
      <c r="AF438" s="122"/>
      <c r="AG438" s="122"/>
      <c r="AH438" s="122"/>
    </row>
    <row r="439" ht="22.5" customHeight="1">
      <c r="A439" s="73"/>
      <c r="B439" s="73"/>
      <c r="C439" s="73"/>
      <c r="D439" s="73"/>
      <c r="E439" s="330"/>
      <c r="F439" s="118"/>
      <c r="G439" s="118"/>
      <c r="H439" s="118"/>
      <c r="I439" s="118"/>
      <c r="J439" s="119"/>
      <c r="K439" s="120"/>
      <c r="L439" s="120"/>
      <c r="M439" s="120"/>
      <c r="N439" s="120"/>
      <c r="O439" s="118"/>
      <c r="P439" s="120"/>
      <c r="Q439" s="121"/>
      <c r="R439" s="109" t="b">
        <v>0</v>
      </c>
      <c r="S439" s="143"/>
      <c r="T439" s="110"/>
      <c r="U439" s="118"/>
      <c r="V439" s="118"/>
      <c r="W439" s="118"/>
      <c r="X439" s="118"/>
      <c r="Y439" s="118"/>
      <c r="Z439" s="118"/>
      <c r="AA439" s="118"/>
      <c r="AB439" s="118"/>
      <c r="AC439" s="118"/>
      <c r="AD439" s="111"/>
      <c r="AE439" s="122"/>
      <c r="AF439" s="122"/>
      <c r="AG439" s="122"/>
      <c r="AH439" s="122"/>
    </row>
    <row r="440" ht="22.5" customHeight="1">
      <c r="A440" s="73"/>
      <c r="B440" s="73"/>
      <c r="C440" s="73"/>
      <c r="D440" s="73"/>
      <c r="E440" s="330"/>
      <c r="F440" s="118"/>
      <c r="G440" s="118"/>
      <c r="H440" s="118"/>
      <c r="I440" s="118"/>
      <c r="J440" s="119"/>
      <c r="K440" s="120"/>
      <c r="L440" s="120"/>
      <c r="M440" s="120"/>
      <c r="N440" s="120"/>
      <c r="O440" s="118"/>
      <c r="P440" s="120"/>
      <c r="Q440" s="121"/>
      <c r="R440" s="109" t="b">
        <v>0</v>
      </c>
      <c r="S440" s="143"/>
      <c r="T440" s="110"/>
      <c r="U440" s="118"/>
      <c r="V440" s="118"/>
      <c r="W440" s="118"/>
      <c r="X440" s="118"/>
      <c r="Y440" s="118"/>
      <c r="Z440" s="118"/>
      <c r="AA440" s="118"/>
      <c r="AB440" s="118"/>
      <c r="AC440" s="118"/>
      <c r="AD440" s="111"/>
      <c r="AE440" s="122"/>
      <c r="AF440" s="122"/>
      <c r="AG440" s="122"/>
      <c r="AH440" s="122"/>
    </row>
    <row r="441" ht="22.5" customHeight="1">
      <c r="A441" s="73"/>
      <c r="B441" s="73"/>
      <c r="C441" s="73"/>
      <c r="D441" s="73"/>
      <c r="E441" s="330"/>
      <c r="F441" s="118"/>
      <c r="G441" s="118"/>
      <c r="H441" s="118"/>
      <c r="I441" s="118"/>
      <c r="J441" s="119"/>
      <c r="K441" s="120"/>
      <c r="L441" s="120"/>
      <c r="M441" s="120"/>
      <c r="N441" s="120"/>
      <c r="O441" s="118"/>
      <c r="P441" s="120"/>
      <c r="Q441" s="121"/>
      <c r="R441" s="109" t="b">
        <v>0</v>
      </c>
      <c r="S441" s="143"/>
      <c r="T441" s="110"/>
      <c r="U441" s="118"/>
      <c r="V441" s="118"/>
      <c r="W441" s="118"/>
      <c r="X441" s="118"/>
      <c r="Y441" s="118"/>
      <c r="Z441" s="118"/>
      <c r="AA441" s="118"/>
      <c r="AB441" s="118"/>
      <c r="AC441" s="118"/>
      <c r="AD441" s="111"/>
      <c r="AE441" s="122"/>
      <c r="AF441" s="122"/>
      <c r="AG441" s="122"/>
      <c r="AH441" s="122"/>
    </row>
    <row r="442" ht="22.5" customHeight="1">
      <c r="A442" s="73"/>
      <c r="B442" s="73"/>
      <c r="C442" s="73"/>
      <c r="D442" s="73"/>
      <c r="E442" s="330"/>
      <c r="F442" s="118"/>
      <c r="G442" s="118"/>
      <c r="H442" s="118"/>
      <c r="I442" s="118"/>
      <c r="J442" s="119"/>
      <c r="K442" s="120"/>
      <c r="L442" s="120"/>
      <c r="M442" s="120"/>
      <c r="N442" s="120"/>
      <c r="O442" s="118"/>
      <c r="P442" s="120"/>
      <c r="Q442" s="121"/>
      <c r="R442" s="109" t="b">
        <v>0</v>
      </c>
      <c r="S442" s="143"/>
      <c r="T442" s="110"/>
      <c r="U442" s="118"/>
      <c r="V442" s="118"/>
      <c r="W442" s="118"/>
      <c r="X442" s="118"/>
      <c r="Y442" s="118"/>
      <c r="Z442" s="118"/>
      <c r="AA442" s="118"/>
      <c r="AB442" s="118"/>
      <c r="AC442" s="118"/>
      <c r="AD442" s="111"/>
      <c r="AE442" s="122"/>
      <c r="AF442" s="122"/>
      <c r="AG442" s="122"/>
      <c r="AH442" s="122"/>
    </row>
    <row r="443" ht="22.5" customHeight="1">
      <c r="A443" s="73"/>
      <c r="B443" s="73"/>
      <c r="C443" s="73"/>
      <c r="D443" s="73"/>
      <c r="E443" s="330"/>
      <c r="F443" s="118"/>
      <c r="G443" s="118"/>
      <c r="H443" s="118"/>
      <c r="I443" s="118"/>
      <c r="J443" s="119"/>
      <c r="K443" s="120"/>
      <c r="L443" s="120"/>
      <c r="M443" s="120"/>
      <c r="N443" s="120"/>
      <c r="O443" s="118"/>
      <c r="P443" s="120"/>
      <c r="Q443" s="121"/>
      <c r="R443" s="109" t="b">
        <v>0</v>
      </c>
      <c r="S443" s="143"/>
      <c r="T443" s="110"/>
      <c r="U443" s="118"/>
      <c r="V443" s="118"/>
      <c r="W443" s="118"/>
      <c r="X443" s="118"/>
      <c r="Y443" s="118"/>
      <c r="Z443" s="118"/>
      <c r="AA443" s="118"/>
      <c r="AB443" s="118"/>
      <c r="AC443" s="118"/>
      <c r="AD443" s="111"/>
      <c r="AE443" s="122"/>
      <c r="AF443" s="122"/>
      <c r="AG443" s="122"/>
      <c r="AH443" s="122"/>
    </row>
    <row r="444" ht="22.5" customHeight="1">
      <c r="A444" s="73"/>
      <c r="B444" s="73"/>
      <c r="C444" s="73"/>
      <c r="D444" s="73"/>
      <c r="E444" s="330"/>
      <c r="F444" s="118"/>
      <c r="G444" s="118"/>
      <c r="H444" s="118"/>
      <c r="I444" s="118"/>
      <c r="J444" s="119"/>
      <c r="K444" s="120"/>
      <c r="L444" s="120"/>
      <c r="M444" s="120"/>
      <c r="N444" s="120"/>
      <c r="O444" s="118"/>
      <c r="P444" s="120"/>
      <c r="Q444" s="121"/>
      <c r="R444" s="109" t="b">
        <v>0</v>
      </c>
      <c r="S444" s="143"/>
      <c r="T444" s="110"/>
      <c r="U444" s="118"/>
      <c r="V444" s="118"/>
      <c r="W444" s="118"/>
      <c r="X444" s="118"/>
      <c r="Y444" s="118"/>
      <c r="Z444" s="118"/>
      <c r="AA444" s="118"/>
      <c r="AB444" s="118"/>
      <c r="AC444" s="118"/>
      <c r="AD444" s="111"/>
      <c r="AE444" s="122"/>
      <c r="AF444" s="122"/>
      <c r="AG444" s="122"/>
      <c r="AH444" s="122"/>
    </row>
    <row r="445" ht="22.5" customHeight="1">
      <c r="A445" s="73"/>
      <c r="B445" s="73"/>
      <c r="C445" s="73"/>
      <c r="D445" s="73"/>
      <c r="E445" s="330"/>
      <c r="F445" s="118"/>
      <c r="G445" s="118"/>
      <c r="H445" s="118"/>
      <c r="I445" s="118"/>
      <c r="J445" s="119"/>
      <c r="K445" s="120"/>
      <c r="L445" s="120"/>
      <c r="M445" s="120"/>
      <c r="N445" s="120"/>
      <c r="O445" s="118"/>
      <c r="P445" s="120"/>
      <c r="Q445" s="121"/>
      <c r="R445" s="109" t="b">
        <v>0</v>
      </c>
      <c r="S445" s="143"/>
      <c r="T445" s="110"/>
      <c r="U445" s="118"/>
      <c r="V445" s="118"/>
      <c r="W445" s="118"/>
      <c r="X445" s="118"/>
      <c r="Y445" s="118"/>
      <c r="Z445" s="118"/>
      <c r="AA445" s="118"/>
      <c r="AB445" s="118"/>
      <c r="AC445" s="118"/>
      <c r="AD445" s="111"/>
      <c r="AE445" s="122"/>
      <c r="AF445" s="122"/>
      <c r="AG445" s="122"/>
      <c r="AH445" s="122"/>
    </row>
    <row r="446" ht="22.5" customHeight="1">
      <c r="A446" s="73"/>
      <c r="B446" s="73"/>
      <c r="C446" s="73"/>
      <c r="D446" s="73"/>
      <c r="E446" s="330"/>
      <c r="F446" s="118"/>
      <c r="G446" s="118"/>
      <c r="H446" s="118"/>
      <c r="I446" s="118"/>
      <c r="J446" s="119"/>
      <c r="K446" s="120"/>
      <c r="L446" s="120"/>
      <c r="M446" s="120"/>
      <c r="N446" s="120"/>
      <c r="O446" s="118"/>
      <c r="P446" s="120"/>
      <c r="Q446" s="121"/>
      <c r="R446" s="109" t="b">
        <v>0</v>
      </c>
      <c r="S446" s="143"/>
      <c r="T446" s="110"/>
      <c r="U446" s="118"/>
      <c r="V446" s="118"/>
      <c r="W446" s="118"/>
      <c r="X446" s="118"/>
      <c r="Y446" s="118"/>
      <c r="Z446" s="118"/>
      <c r="AA446" s="118"/>
      <c r="AB446" s="118"/>
      <c r="AC446" s="118"/>
      <c r="AD446" s="111"/>
      <c r="AE446" s="122"/>
      <c r="AF446" s="122"/>
      <c r="AG446" s="122"/>
      <c r="AH446" s="122"/>
    </row>
    <row r="447" ht="22.5" customHeight="1">
      <c r="A447" s="73"/>
      <c r="B447" s="73"/>
      <c r="C447" s="73"/>
      <c r="D447" s="73"/>
      <c r="E447" s="330"/>
      <c r="F447" s="118"/>
      <c r="G447" s="118"/>
      <c r="H447" s="118"/>
      <c r="I447" s="118"/>
      <c r="J447" s="119"/>
      <c r="K447" s="120"/>
      <c r="L447" s="120"/>
      <c r="M447" s="120"/>
      <c r="N447" s="120"/>
      <c r="O447" s="118"/>
      <c r="P447" s="120"/>
      <c r="Q447" s="121"/>
      <c r="R447" s="109" t="b">
        <v>0</v>
      </c>
      <c r="S447" s="143"/>
      <c r="T447" s="110"/>
      <c r="U447" s="118"/>
      <c r="V447" s="118"/>
      <c r="W447" s="118"/>
      <c r="X447" s="118"/>
      <c r="Y447" s="118"/>
      <c r="Z447" s="118"/>
      <c r="AA447" s="118"/>
      <c r="AB447" s="118"/>
      <c r="AC447" s="118"/>
      <c r="AD447" s="111"/>
      <c r="AE447" s="122"/>
      <c r="AF447" s="122"/>
      <c r="AG447" s="122"/>
      <c r="AH447" s="122"/>
    </row>
    <row r="448" ht="22.5" customHeight="1">
      <c r="A448" s="73"/>
      <c r="B448" s="73"/>
      <c r="C448" s="73"/>
      <c r="D448" s="73"/>
      <c r="E448" s="330"/>
      <c r="F448" s="118"/>
      <c r="G448" s="118"/>
      <c r="H448" s="118"/>
      <c r="I448" s="118"/>
      <c r="J448" s="119"/>
      <c r="K448" s="120"/>
      <c r="L448" s="120"/>
      <c r="M448" s="120"/>
      <c r="N448" s="120"/>
      <c r="O448" s="118"/>
      <c r="P448" s="120"/>
      <c r="Q448" s="121"/>
      <c r="R448" s="109" t="b">
        <v>0</v>
      </c>
      <c r="S448" s="143"/>
      <c r="T448" s="110"/>
      <c r="U448" s="118"/>
      <c r="V448" s="118"/>
      <c r="W448" s="118"/>
      <c r="X448" s="118"/>
      <c r="Y448" s="118"/>
      <c r="Z448" s="118"/>
      <c r="AA448" s="118"/>
      <c r="AB448" s="118"/>
      <c r="AC448" s="118"/>
      <c r="AD448" s="111"/>
      <c r="AE448" s="122"/>
      <c r="AF448" s="122"/>
      <c r="AG448" s="122"/>
      <c r="AH448" s="122"/>
    </row>
    <row r="449" ht="22.5" customHeight="1">
      <c r="A449" s="73"/>
      <c r="B449" s="73"/>
      <c r="C449" s="73"/>
      <c r="D449" s="73"/>
      <c r="E449" s="330"/>
      <c r="F449" s="118"/>
      <c r="G449" s="118"/>
      <c r="H449" s="118"/>
      <c r="I449" s="118"/>
      <c r="J449" s="119"/>
      <c r="K449" s="120"/>
      <c r="L449" s="120"/>
      <c r="M449" s="120"/>
      <c r="N449" s="120"/>
      <c r="O449" s="118"/>
      <c r="P449" s="120"/>
      <c r="Q449" s="121"/>
      <c r="R449" s="109" t="b">
        <v>0</v>
      </c>
      <c r="S449" s="143"/>
      <c r="T449" s="110"/>
      <c r="U449" s="118"/>
      <c r="V449" s="118"/>
      <c r="W449" s="118"/>
      <c r="X449" s="118"/>
      <c r="Y449" s="118"/>
      <c r="Z449" s="118"/>
      <c r="AA449" s="118"/>
      <c r="AB449" s="118"/>
      <c r="AC449" s="118"/>
      <c r="AD449" s="111"/>
      <c r="AE449" s="122"/>
      <c r="AF449" s="122"/>
      <c r="AG449" s="122"/>
      <c r="AH449" s="122"/>
    </row>
    <row r="450" ht="22.5" customHeight="1">
      <c r="A450" s="73"/>
      <c r="B450" s="73"/>
      <c r="C450" s="73"/>
      <c r="D450" s="73"/>
      <c r="E450" s="330"/>
      <c r="F450" s="118"/>
      <c r="G450" s="118"/>
      <c r="H450" s="118"/>
      <c r="I450" s="118"/>
      <c r="J450" s="119"/>
      <c r="K450" s="120"/>
      <c r="L450" s="120"/>
      <c r="M450" s="120"/>
      <c r="N450" s="120"/>
      <c r="O450" s="118"/>
      <c r="P450" s="120"/>
      <c r="Q450" s="121"/>
      <c r="R450" s="109" t="b">
        <v>0</v>
      </c>
      <c r="S450" s="143"/>
      <c r="T450" s="110"/>
      <c r="U450" s="118"/>
      <c r="V450" s="118"/>
      <c r="W450" s="118"/>
      <c r="X450" s="118"/>
      <c r="Y450" s="118"/>
      <c r="Z450" s="118"/>
      <c r="AA450" s="118"/>
      <c r="AB450" s="118"/>
      <c r="AC450" s="118"/>
      <c r="AD450" s="111"/>
      <c r="AE450" s="122"/>
      <c r="AF450" s="122"/>
      <c r="AG450" s="122"/>
      <c r="AH450" s="122"/>
    </row>
    <row r="451" ht="22.5" customHeight="1">
      <c r="A451" s="73"/>
      <c r="B451" s="73"/>
      <c r="C451" s="73"/>
      <c r="D451" s="73"/>
      <c r="E451" s="330"/>
      <c r="F451" s="118"/>
      <c r="G451" s="118"/>
      <c r="H451" s="118"/>
      <c r="I451" s="118"/>
      <c r="J451" s="119"/>
      <c r="K451" s="120"/>
      <c r="L451" s="120"/>
      <c r="M451" s="120"/>
      <c r="N451" s="120"/>
      <c r="O451" s="118"/>
      <c r="P451" s="120"/>
      <c r="Q451" s="121"/>
      <c r="R451" s="109" t="b">
        <v>0</v>
      </c>
      <c r="S451" s="143"/>
      <c r="T451" s="110"/>
      <c r="U451" s="118"/>
      <c r="V451" s="118"/>
      <c r="W451" s="118"/>
      <c r="X451" s="118"/>
      <c r="Y451" s="118"/>
      <c r="Z451" s="118"/>
      <c r="AA451" s="118"/>
      <c r="AB451" s="118"/>
      <c r="AC451" s="118"/>
      <c r="AD451" s="111"/>
      <c r="AE451" s="122"/>
      <c r="AF451" s="122"/>
      <c r="AG451" s="122"/>
      <c r="AH451" s="122"/>
    </row>
    <row r="452" ht="22.5" customHeight="1">
      <c r="A452" s="73"/>
      <c r="B452" s="73"/>
      <c r="C452" s="73"/>
      <c r="D452" s="73"/>
      <c r="E452" s="330"/>
      <c r="F452" s="118"/>
      <c r="G452" s="118"/>
      <c r="H452" s="118"/>
      <c r="I452" s="118"/>
      <c r="J452" s="119"/>
      <c r="K452" s="120"/>
      <c r="L452" s="120"/>
      <c r="M452" s="120"/>
      <c r="N452" s="120"/>
      <c r="O452" s="118"/>
      <c r="P452" s="120"/>
      <c r="Q452" s="121"/>
      <c r="R452" s="109" t="b">
        <v>0</v>
      </c>
      <c r="S452" s="143"/>
      <c r="T452" s="110"/>
      <c r="U452" s="118"/>
      <c r="V452" s="118"/>
      <c r="W452" s="118"/>
      <c r="X452" s="118"/>
      <c r="Y452" s="118"/>
      <c r="Z452" s="118"/>
      <c r="AA452" s="118"/>
      <c r="AB452" s="118"/>
      <c r="AC452" s="118"/>
      <c r="AD452" s="111"/>
      <c r="AE452" s="122"/>
      <c r="AF452" s="122"/>
      <c r="AG452" s="122"/>
      <c r="AH452" s="122"/>
    </row>
    <row r="453" ht="22.5" customHeight="1">
      <c r="A453" s="73"/>
      <c r="B453" s="73"/>
      <c r="C453" s="73"/>
      <c r="D453" s="73"/>
      <c r="E453" s="330"/>
      <c r="F453" s="118"/>
      <c r="G453" s="118"/>
      <c r="H453" s="118"/>
      <c r="I453" s="118"/>
      <c r="J453" s="119"/>
      <c r="K453" s="120"/>
      <c r="L453" s="120"/>
      <c r="M453" s="120"/>
      <c r="N453" s="120"/>
      <c r="O453" s="118"/>
      <c r="P453" s="120"/>
      <c r="Q453" s="121"/>
      <c r="R453" s="109" t="b">
        <v>0</v>
      </c>
      <c r="S453" s="143"/>
      <c r="T453" s="110"/>
      <c r="U453" s="118"/>
      <c r="V453" s="118"/>
      <c r="W453" s="118"/>
      <c r="X453" s="118"/>
      <c r="Y453" s="118"/>
      <c r="Z453" s="118"/>
      <c r="AA453" s="118"/>
      <c r="AB453" s="118"/>
      <c r="AC453" s="118"/>
      <c r="AD453" s="111"/>
      <c r="AE453" s="122"/>
      <c r="AF453" s="122"/>
      <c r="AG453" s="122"/>
      <c r="AH453" s="122"/>
    </row>
    <row r="454" ht="22.5" customHeight="1">
      <c r="A454" s="73"/>
      <c r="B454" s="73"/>
      <c r="C454" s="73"/>
      <c r="D454" s="73"/>
      <c r="E454" s="330"/>
      <c r="F454" s="118"/>
      <c r="G454" s="118"/>
      <c r="H454" s="118"/>
      <c r="I454" s="118"/>
      <c r="J454" s="119"/>
      <c r="K454" s="120"/>
      <c r="L454" s="120"/>
      <c r="M454" s="120"/>
      <c r="N454" s="120"/>
      <c r="O454" s="118"/>
      <c r="P454" s="120"/>
      <c r="Q454" s="121"/>
      <c r="R454" s="109" t="b">
        <v>0</v>
      </c>
      <c r="S454" s="143"/>
      <c r="T454" s="110"/>
      <c r="U454" s="118"/>
      <c r="V454" s="118"/>
      <c r="W454" s="118"/>
      <c r="X454" s="118"/>
      <c r="Y454" s="118"/>
      <c r="Z454" s="118"/>
      <c r="AA454" s="118"/>
      <c r="AB454" s="118"/>
      <c r="AC454" s="118"/>
      <c r="AD454" s="111"/>
      <c r="AE454" s="122"/>
      <c r="AF454" s="122"/>
      <c r="AG454" s="122"/>
      <c r="AH454" s="122"/>
    </row>
    <row r="455" ht="22.5" customHeight="1">
      <c r="A455" s="73"/>
      <c r="B455" s="73"/>
      <c r="C455" s="73"/>
      <c r="D455" s="73"/>
      <c r="E455" s="330"/>
      <c r="F455" s="118"/>
      <c r="G455" s="118"/>
      <c r="H455" s="118"/>
      <c r="I455" s="118"/>
      <c r="J455" s="119"/>
      <c r="K455" s="120"/>
      <c r="L455" s="120"/>
      <c r="M455" s="120"/>
      <c r="N455" s="120"/>
      <c r="O455" s="118"/>
      <c r="P455" s="120"/>
      <c r="Q455" s="121"/>
      <c r="R455" s="109" t="b">
        <v>0</v>
      </c>
      <c r="S455" s="143"/>
      <c r="T455" s="110"/>
      <c r="U455" s="118"/>
      <c r="V455" s="118"/>
      <c r="W455" s="118"/>
      <c r="X455" s="118"/>
      <c r="Y455" s="118"/>
      <c r="Z455" s="118"/>
      <c r="AA455" s="118"/>
      <c r="AB455" s="118"/>
      <c r="AC455" s="118"/>
      <c r="AD455" s="111"/>
      <c r="AE455" s="122"/>
      <c r="AF455" s="122"/>
      <c r="AG455" s="122"/>
      <c r="AH455" s="122"/>
    </row>
    <row r="456" ht="22.5" customHeight="1">
      <c r="A456" s="73"/>
      <c r="B456" s="73"/>
      <c r="C456" s="73"/>
      <c r="D456" s="73"/>
      <c r="E456" s="330"/>
      <c r="F456" s="118"/>
      <c r="G456" s="118"/>
      <c r="H456" s="118"/>
      <c r="I456" s="118"/>
      <c r="J456" s="119"/>
      <c r="K456" s="120"/>
      <c r="L456" s="120"/>
      <c r="M456" s="120"/>
      <c r="N456" s="120"/>
      <c r="O456" s="118"/>
      <c r="P456" s="120"/>
      <c r="Q456" s="121"/>
      <c r="R456" s="109" t="b">
        <v>0</v>
      </c>
      <c r="S456" s="143"/>
      <c r="T456" s="110"/>
      <c r="U456" s="118"/>
      <c r="V456" s="118"/>
      <c r="W456" s="118"/>
      <c r="X456" s="118"/>
      <c r="Y456" s="118"/>
      <c r="Z456" s="118"/>
      <c r="AA456" s="118"/>
      <c r="AB456" s="118"/>
      <c r="AC456" s="118"/>
      <c r="AD456" s="111"/>
      <c r="AE456" s="122"/>
      <c r="AF456" s="122"/>
      <c r="AG456" s="122"/>
      <c r="AH456" s="122"/>
    </row>
    <row r="457" ht="22.5" customHeight="1">
      <c r="A457" s="73"/>
      <c r="B457" s="73"/>
      <c r="C457" s="73"/>
      <c r="D457" s="73"/>
      <c r="E457" s="330"/>
      <c r="F457" s="118"/>
      <c r="G457" s="118"/>
      <c r="H457" s="118"/>
      <c r="I457" s="118"/>
      <c r="J457" s="119"/>
      <c r="K457" s="120"/>
      <c r="L457" s="120"/>
      <c r="M457" s="120"/>
      <c r="N457" s="120"/>
      <c r="O457" s="118"/>
      <c r="P457" s="120"/>
      <c r="Q457" s="121"/>
      <c r="R457" s="109" t="b">
        <v>0</v>
      </c>
      <c r="S457" s="143"/>
      <c r="T457" s="110"/>
      <c r="U457" s="118"/>
      <c r="V457" s="118"/>
      <c r="W457" s="118"/>
      <c r="X457" s="118"/>
      <c r="Y457" s="118"/>
      <c r="Z457" s="118"/>
      <c r="AA457" s="118"/>
      <c r="AB457" s="118"/>
      <c r="AC457" s="118"/>
      <c r="AD457" s="111"/>
      <c r="AE457" s="122"/>
      <c r="AF457" s="122"/>
      <c r="AG457" s="122"/>
      <c r="AH457" s="122"/>
    </row>
    <row r="458" ht="22.5" customHeight="1">
      <c r="A458" s="73"/>
      <c r="B458" s="73"/>
      <c r="C458" s="73"/>
      <c r="D458" s="73"/>
      <c r="E458" s="330"/>
      <c r="F458" s="118"/>
      <c r="G458" s="118"/>
      <c r="H458" s="118"/>
      <c r="I458" s="118"/>
      <c r="J458" s="119"/>
      <c r="K458" s="120"/>
      <c r="L458" s="120"/>
      <c r="M458" s="120"/>
      <c r="N458" s="120"/>
      <c r="O458" s="118"/>
      <c r="P458" s="120"/>
      <c r="Q458" s="121"/>
      <c r="R458" s="109" t="b">
        <v>0</v>
      </c>
      <c r="S458" s="143"/>
      <c r="T458" s="110"/>
      <c r="U458" s="118"/>
      <c r="V458" s="118"/>
      <c r="W458" s="118"/>
      <c r="X458" s="118"/>
      <c r="Y458" s="118"/>
      <c r="Z458" s="118"/>
      <c r="AA458" s="118"/>
      <c r="AB458" s="118"/>
      <c r="AC458" s="118"/>
      <c r="AD458" s="111"/>
      <c r="AE458" s="122"/>
      <c r="AF458" s="122"/>
      <c r="AG458" s="122"/>
      <c r="AH458" s="122"/>
    </row>
    <row r="459" ht="22.5" customHeight="1">
      <c r="A459" s="73"/>
      <c r="B459" s="73"/>
      <c r="C459" s="73"/>
      <c r="D459" s="73"/>
      <c r="E459" s="330"/>
      <c r="F459" s="118"/>
      <c r="G459" s="118"/>
      <c r="H459" s="118"/>
      <c r="I459" s="118"/>
      <c r="J459" s="119"/>
      <c r="K459" s="120"/>
      <c r="L459" s="120"/>
      <c r="M459" s="120"/>
      <c r="N459" s="120"/>
      <c r="O459" s="118"/>
      <c r="P459" s="120"/>
      <c r="Q459" s="121"/>
      <c r="R459" s="109" t="b">
        <v>0</v>
      </c>
      <c r="S459" s="143"/>
      <c r="T459" s="110"/>
      <c r="U459" s="118"/>
      <c r="V459" s="118"/>
      <c r="W459" s="118"/>
      <c r="X459" s="118"/>
      <c r="Y459" s="118"/>
      <c r="Z459" s="118"/>
      <c r="AA459" s="118"/>
      <c r="AB459" s="118"/>
      <c r="AC459" s="118"/>
      <c r="AD459" s="111"/>
      <c r="AE459" s="122"/>
      <c r="AF459" s="122"/>
      <c r="AG459" s="122"/>
      <c r="AH459" s="122"/>
    </row>
    <row r="460" ht="22.5" customHeight="1">
      <c r="A460" s="73"/>
      <c r="B460" s="73"/>
      <c r="C460" s="73"/>
      <c r="D460" s="73"/>
      <c r="E460" s="330"/>
      <c r="F460" s="118"/>
      <c r="G460" s="118"/>
      <c r="H460" s="118"/>
      <c r="I460" s="118"/>
      <c r="J460" s="119"/>
      <c r="K460" s="120"/>
      <c r="L460" s="120"/>
      <c r="M460" s="120"/>
      <c r="N460" s="120"/>
      <c r="O460" s="118"/>
      <c r="P460" s="120"/>
      <c r="Q460" s="121"/>
      <c r="R460" s="109" t="b">
        <v>0</v>
      </c>
      <c r="S460" s="143"/>
      <c r="T460" s="110"/>
      <c r="U460" s="118"/>
      <c r="V460" s="118"/>
      <c r="W460" s="118"/>
      <c r="X460" s="118"/>
      <c r="Y460" s="118"/>
      <c r="Z460" s="118"/>
      <c r="AA460" s="118"/>
      <c r="AB460" s="118"/>
      <c r="AC460" s="118"/>
      <c r="AD460" s="111"/>
      <c r="AE460" s="122"/>
      <c r="AF460" s="122"/>
      <c r="AG460" s="122"/>
      <c r="AH460" s="122"/>
    </row>
    <row r="461" ht="22.5" customHeight="1">
      <c r="A461" s="73"/>
      <c r="B461" s="73"/>
      <c r="C461" s="73"/>
      <c r="D461" s="73"/>
      <c r="E461" s="330"/>
      <c r="F461" s="118"/>
      <c r="G461" s="118"/>
      <c r="H461" s="118"/>
      <c r="I461" s="118"/>
      <c r="J461" s="119"/>
      <c r="K461" s="120"/>
      <c r="L461" s="120"/>
      <c r="M461" s="120"/>
      <c r="N461" s="120"/>
      <c r="O461" s="118"/>
      <c r="P461" s="120"/>
      <c r="Q461" s="121"/>
      <c r="R461" s="109" t="b">
        <v>0</v>
      </c>
      <c r="S461" s="143"/>
      <c r="T461" s="110"/>
      <c r="U461" s="118"/>
      <c r="V461" s="118"/>
      <c r="W461" s="118"/>
      <c r="X461" s="118"/>
      <c r="Y461" s="118"/>
      <c r="Z461" s="118"/>
      <c r="AA461" s="118"/>
      <c r="AB461" s="118"/>
      <c r="AC461" s="118"/>
      <c r="AD461" s="111"/>
      <c r="AE461" s="122"/>
      <c r="AF461" s="122"/>
      <c r="AG461" s="122"/>
      <c r="AH461" s="122"/>
    </row>
    <row r="462" ht="22.5" customHeight="1">
      <c r="A462" s="73"/>
      <c r="B462" s="73"/>
      <c r="C462" s="73"/>
      <c r="D462" s="73"/>
      <c r="E462" s="330"/>
      <c r="F462" s="118"/>
      <c r="G462" s="118"/>
      <c r="H462" s="118"/>
      <c r="I462" s="118"/>
      <c r="J462" s="119"/>
      <c r="K462" s="120"/>
      <c r="L462" s="120"/>
      <c r="M462" s="120"/>
      <c r="N462" s="120"/>
      <c r="O462" s="118"/>
      <c r="P462" s="120"/>
      <c r="Q462" s="121"/>
      <c r="R462" s="109" t="b">
        <v>0</v>
      </c>
      <c r="S462" s="143"/>
      <c r="T462" s="110"/>
      <c r="U462" s="118"/>
      <c r="V462" s="118"/>
      <c r="W462" s="118"/>
      <c r="X462" s="118"/>
      <c r="Y462" s="118"/>
      <c r="Z462" s="118"/>
      <c r="AA462" s="118"/>
      <c r="AB462" s="118"/>
      <c r="AC462" s="118"/>
      <c r="AD462" s="111"/>
      <c r="AE462" s="122"/>
      <c r="AF462" s="122"/>
      <c r="AG462" s="122"/>
      <c r="AH462" s="122"/>
    </row>
    <row r="463" ht="22.5" customHeight="1">
      <c r="A463" s="73"/>
      <c r="B463" s="73"/>
      <c r="C463" s="73"/>
      <c r="D463" s="73"/>
      <c r="E463" s="330"/>
      <c r="F463" s="118"/>
      <c r="G463" s="118"/>
      <c r="H463" s="118"/>
      <c r="I463" s="118"/>
      <c r="J463" s="119"/>
      <c r="K463" s="120"/>
      <c r="L463" s="120"/>
      <c r="M463" s="120"/>
      <c r="N463" s="120"/>
      <c r="O463" s="118"/>
      <c r="P463" s="120"/>
      <c r="Q463" s="121"/>
      <c r="R463" s="109" t="b">
        <v>0</v>
      </c>
      <c r="S463" s="143"/>
      <c r="T463" s="110"/>
      <c r="U463" s="118"/>
      <c r="V463" s="118"/>
      <c r="W463" s="118"/>
      <c r="X463" s="118"/>
      <c r="Y463" s="118"/>
      <c r="Z463" s="118"/>
      <c r="AA463" s="118"/>
      <c r="AB463" s="118"/>
      <c r="AC463" s="118"/>
      <c r="AD463" s="111"/>
      <c r="AE463" s="122"/>
      <c r="AF463" s="122"/>
      <c r="AG463" s="122"/>
      <c r="AH463" s="122"/>
    </row>
    <row r="464" ht="22.5" customHeight="1">
      <c r="A464" s="73"/>
      <c r="B464" s="73"/>
      <c r="C464" s="73"/>
      <c r="D464" s="73"/>
      <c r="E464" s="330"/>
      <c r="F464" s="118"/>
      <c r="G464" s="118"/>
      <c r="H464" s="118"/>
      <c r="I464" s="118"/>
      <c r="J464" s="119"/>
      <c r="K464" s="120"/>
      <c r="L464" s="120"/>
      <c r="M464" s="120"/>
      <c r="N464" s="120"/>
      <c r="O464" s="118"/>
      <c r="P464" s="120"/>
      <c r="Q464" s="121"/>
      <c r="R464" s="109" t="b">
        <v>0</v>
      </c>
      <c r="S464" s="143"/>
      <c r="T464" s="110"/>
      <c r="U464" s="118"/>
      <c r="V464" s="118"/>
      <c r="W464" s="118"/>
      <c r="X464" s="118"/>
      <c r="Y464" s="118"/>
      <c r="Z464" s="118"/>
      <c r="AA464" s="118"/>
      <c r="AB464" s="118"/>
      <c r="AC464" s="118"/>
      <c r="AD464" s="111"/>
      <c r="AE464" s="122"/>
      <c r="AF464" s="122"/>
      <c r="AG464" s="122"/>
      <c r="AH464" s="122"/>
    </row>
    <row r="465" ht="22.5" customHeight="1">
      <c r="A465" s="73"/>
      <c r="B465" s="73"/>
      <c r="C465" s="73"/>
      <c r="D465" s="73"/>
      <c r="E465" s="330"/>
      <c r="F465" s="118"/>
      <c r="G465" s="118"/>
      <c r="H465" s="118"/>
      <c r="I465" s="118"/>
      <c r="J465" s="119"/>
      <c r="K465" s="120"/>
      <c r="L465" s="120"/>
      <c r="M465" s="120"/>
      <c r="N465" s="120"/>
      <c r="O465" s="118"/>
      <c r="P465" s="120"/>
      <c r="Q465" s="121"/>
      <c r="R465" s="109" t="b">
        <v>0</v>
      </c>
      <c r="S465" s="143"/>
      <c r="T465" s="110"/>
      <c r="U465" s="118"/>
      <c r="V465" s="118"/>
      <c r="W465" s="118"/>
      <c r="X465" s="118"/>
      <c r="Y465" s="118"/>
      <c r="Z465" s="118"/>
      <c r="AA465" s="118"/>
      <c r="AB465" s="118"/>
      <c r="AC465" s="118"/>
      <c r="AD465" s="111"/>
      <c r="AE465" s="122"/>
      <c r="AF465" s="122"/>
      <c r="AG465" s="122"/>
      <c r="AH465" s="122"/>
    </row>
    <row r="466" ht="22.5" customHeight="1">
      <c r="A466" s="73"/>
      <c r="B466" s="73"/>
      <c r="C466" s="73"/>
      <c r="D466" s="73"/>
      <c r="E466" s="330"/>
      <c r="F466" s="118"/>
      <c r="G466" s="118"/>
      <c r="H466" s="118"/>
      <c r="I466" s="118"/>
      <c r="J466" s="119"/>
      <c r="K466" s="120"/>
      <c r="L466" s="120"/>
      <c r="M466" s="120"/>
      <c r="N466" s="120"/>
      <c r="O466" s="118"/>
      <c r="P466" s="120"/>
      <c r="Q466" s="121"/>
      <c r="R466" s="109" t="b">
        <v>0</v>
      </c>
      <c r="S466" s="143"/>
      <c r="T466" s="110"/>
      <c r="U466" s="118"/>
      <c r="V466" s="118"/>
      <c r="W466" s="118"/>
      <c r="X466" s="118"/>
      <c r="Y466" s="118"/>
      <c r="Z466" s="118"/>
      <c r="AA466" s="118"/>
      <c r="AB466" s="118"/>
      <c r="AC466" s="118"/>
      <c r="AD466" s="111"/>
      <c r="AE466" s="122"/>
      <c r="AF466" s="122"/>
      <c r="AG466" s="122"/>
      <c r="AH466" s="122"/>
    </row>
    <row r="467" ht="22.5" customHeight="1">
      <c r="A467" s="73"/>
      <c r="B467" s="73"/>
      <c r="C467" s="73"/>
      <c r="D467" s="73"/>
      <c r="E467" s="330"/>
      <c r="F467" s="118"/>
      <c r="G467" s="118"/>
      <c r="H467" s="118"/>
      <c r="I467" s="118"/>
      <c r="J467" s="119"/>
      <c r="K467" s="120"/>
      <c r="L467" s="120"/>
      <c r="M467" s="120"/>
      <c r="N467" s="120"/>
      <c r="O467" s="118"/>
      <c r="P467" s="120"/>
      <c r="Q467" s="121"/>
      <c r="R467" s="109" t="b">
        <v>0</v>
      </c>
      <c r="S467" s="143"/>
      <c r="T467" s="110"/>
      <c r="U467" s="118"/>
      <c r="V467" s="118"/>
      <c r="W467" s="118"/>
      <c r="X467" s="118"/>
      <c r="Y467" s="118"/>
      <c r="Z467" s="118"/>
      <c r="AA467" s="118"/>
      <c r="AB467" s="118"/>
      <c r="AC467" s="118"/>
      <c r="AD467" s="111"/>
      <c r="AE467" s="122"/>
      <c r="AF467" s="122"/>
      <c r="AG467" s="122"/>
      <c r="AH467" s="122"/>
    </row>
    <row r="468" ht="22.5" customHeight="1">
      <c r="A468" s="73"/>
      <c r="B468" s="73"/>
      <c r="C468" s="73"/>
      <c r="D468" s="73"/>
      <c r="E468" s="330"/>
      <c r="F468" s="118"/>
      <c r="G468" s="118"/>
      <c r="H468" s="118"/>
      <c r="I468" s="118"/>
      <c r="J468" s="119"/>
      <c r="K468" s="120"/>
      <c r="L468" s="120"/>
      <c r="M468" s="120"/>
      <c r="N468" s="120"/>
      <c r="O468" s="118"/>
      <c r="P468" s="120"/>
      <c r="Q468" s="121"/>
      <c r="R468" s="109" t="b">
        <v>0</v>
      </c>
      <c r="S468" s="143"/>
      <c r="T468" s="110"/>
      <c r="U468" s="118"/>
      <c r="V468" s="118"/>
      <c r="W468" s="118"/>
      <c r="X468" s="118"/>
      <c r="Y468" s="118"/>
      <c r="Z468" s="118"/>
      <c r="AA468" s="118"/>
      <c r="AB468" s="118"/>
      <c r="AC468" s="118"/>
      <c r="AD468" s="111"/>
      <c r="AE468" s="122"/>
      <c r="AF468" s="122"/>
      <c r="AG468" s="122"/>
      <c r="AH468" s="122"/>
    </row>
    <row r="469" ht="22.5" customHeight="1">
      <c r="A469" s="73"/>
      <c r="B469" s="73"/>
      <c r="C469" s="73"/>
      <c r="D469" s="73"/>
      <c r="E469" s="330"/>
      <c r="F469" s="118"/>
      <c r="G469" s="118"/>
      <c r="H469" s="118"/>
      <c r="I469" s="118"/>
      <c r="J469" s="119"/>
      <c r="K469" s="120"/>
      <c r="L469" s="120"/>
      <c r="M469" s="120"/>
      <c r="N469" s="120"/>
      <c r="O469" s="118"/>
      <c r="P469" s="120"/>
      <c r="Q469" s="121"/>
      <c r="R469" s="109" t="b">
        <v>0</v>
      </c>
      <c r="S469" s="143"/>
      <c r="T469" s="110"/>
      <c r="U469" s="118"/>
      <c r="V469" s="118"/>
      <c r="W469" s="118"/>
      <c r="X469" s="118"/>
      <c r="Y469" s="118"/>
      <c r="Z469" s="118"/>
      <c r="AA469" s="118"/>
      <c r="AB469" s="118"/>
      <c r="AC469" s="118"/>
      <c r="AD469" s="111"/>
      <c r="AE469" s="122"/>
      <c r="AF469" s="122"/>
      <c r="AG469" s="122"/>
      <c r="AH469" s="122"/>
    </row>
    <row r="470" ht="22.5" customHeight="1">
      <c r="A470" s="73"/>
      <c r="B470" s="73"/>
      <c r="C470" s="73"/>
      <c r="D470" s="73"/>
      <c r="E470" s="330"/>
      <c r="F470" s="118"/>
      <c r="G470" s="118"/>
      <c r="H470" s="118"/>
      <c r="I470" s="118"/>
      <c r="J470" s="119"/>
      <c r="K470" s="120"/>
      <c r="L470" s="120"/>
      <c r="M470" s="120"/>
      <c r="N470" s="120"/>
      <c r="O470" s="118"/>
      <c r="P470" s="120"/>
      <c r="Q470" s="121"/>
      <c r="R470" s="109" t="b">
        <v>0</v>
      </c>
      <c r="S470" s="143"/>
      <c r="T470" s="110"/>
      <c r="U470" s="118"/>
      <c r="V470" s="118"/>
      <c r="W470" s="118"/>
      <c r="X470" s="118"/>
      <c r="Y470" s="118"/>
      <c r="Z470" s="118"/>
      <c r="AA470" s="118"/>
      <c r="AB470" s="118"/>
      <c r="AC470" s="118"/>
      <c r="AD470" s="111"/>
      <c r="AE470" s="122"/>
      <c r="AF470" s="122"/>
      <c r="AG470" s="122"/>
      <c r="AH470" s="122"/>
    </row>
    <row r="471" ht="22.5" customHeight="1">
      <c r="A471" s="73"/>
      <c r="B471" s="73"/>
      <c r="C471" s="73"/>
      <c r="D471" s="73"/>
      <c r="E471" s="330"/>
      <c r="F471" s="118"/>
      <c r="G471" s="118"/>
      <c r="H471" s="118"/>
      <c r="I471" s="118"/>
      <c r="J471" s="119"/>
      <c r="K471" s="120"/>
      <c r="L471" s="120"/>
      <c r="M471" s="120"/>
      <c r="N471" s="120"/>
      <c r="O471" s="118"/>
      <c r="P471" s="120"/>
      <c r="Q471" s="121"/>
      <c r="R471" s="109" t="b">
        <v>0</v>
      </c>
      <c r="S471" s="143"/>
      <c r="T471" s="110"/>
      <c r="U471" s="118"/>
      <c r="V471" s="118"/>
      <c r="W471" s="118"/>
      <c r="X471" s="118"/>
      <c r="Y471" s="118"/>
      <c r="Z471" s="118"/>
      <c r="AA471" s="118"/>
      <c r="AB471" s="118"/>
      <c r="AC471" s="118"/>
      <c r="AD471" s="111"/>
      <c r="AE471" s="122"/>
      <c r="AF471" s="122"/>
      <c r="AG471" s="122"/>
      <c r="AH471" s="122"/>
    </row>
    <row r="472" ht="22.5" customHeight="1">
      <c r="A472" s="73"/>
      <c r="B472" s="73"/>
      <c r="C472" s="73"/>
      <c r="D472" s="73"/>
      <c r="E472" s="330"/>
      <c r="F472" s="118"/>
      <c r="G472" s="118"/>
      <c r="H472" s="118"/>
      <c r="I472" s="118"/>
      <c r="J472" s="119"/>
      <c r="K472" s="120"/>
      <c r="L472" s="120"/>
      <c r="M472" s="120"/>
      <c r="N472" s="120"/>
      <c r="O472" s="118"/>
      <c r="P472" s="120"/>
      <c r="Q472" s="121"/>
      <c r="R472" s="109" t="b">
        <v>0</v>
      </c>
      <c r="S472" s="143"/>
      <c r="T472" s="110"/>
      <c r="U472" s="118"/>
      <c r="V472" s="118"/>
      <c r="W472" s="118"/>
      <c r="X472" s="118"/>
      <c r="Y472" s="118"/>
      <c r="Z472" s="118"/>
      <c r="AA472" s="118"/>
      <c r="AB472" s="118"/>
      <c r="AC472" s="118"/>
      <c r="AD472" s="111"/>
      <c r="AE472" s="122"/>
      <c r="AF472" s="122"/>
      <c r="AG472" s="122"/>
      <c r="AH472" s="122"/>
    </row>
    <row r="473" ht="22.5" customHeight="1">
      <c r="A473" s="73"/>
      <c r="B473" s="73"/>
      <c r="C473" s="73"/>
      <c r="D473" s="73"/>
      <c r="E473" s="330"/>
      <c r="F473" s="118"/>
      <c r="G473" s="118"/>
      <c r="H473" s="118"/>
      <c r="I473" s="118"/>
      <c r="J473" s="119"/>
      <c r="K473" s="120"/>
      <c r="L473" s="120"/>
      <c r="M473" s="120"/>
      <c r="N473" s="120"/>
      <c r="O473" s="118"/>
      <c r="P473" s="120"/>
      <c r="Q473" s="121"/>
      <c r="R473" s="109" t="b">
        <v>0</v>
      </c>
      <c r="S473" s="143"/>
      <c r="T473" s="110"/>
      <c r="U473" s="118"/>
      <c r="V473" s="118"/>
      <c r="W473" s="118"/>
      <c r="X473" s="118"/>
      <c r="Y473" s="118"/>
      <c r="Z473" s="118"/>
      <c r="AA473" s="118"/>
      <c r="AB473" s="118"/>
      <c r="AC473" s="118"/>
      <c r="AD473" s="111"/>
      <c r="AE473" s="122"/>
      <c r="AF473" s="122"/>
      <c r="AG473" s="122"/>
      <c r="AH473" s="122"/>
    </row>
    <row r="474" ht="22.5" customHeight="1">
      <c r="A474" s="73"/>
      <c r="B474" s="73"/>
      <c r="C474" s="73"/>
      <c r="D474" s="73"/>
      <c r="E474" s="330"/>
      <c r="F474" s="118"/>
      <c r="G474" s="118"/>
      <c r="H474" s="118"/>
      <c r="I474" s="118"/>
      <c r="J474" s="119"/>
      <c r="K474" s="120"/>
      <c r="L474" s="120"/>
      <c r="M474" s="120"/>
      <c r="N474" s="120"/>
      <c r="O474" s="118"/>
      <c r="P474" s="120"/>
      <c r="Q474" s="121"/>
      <c r="R474" s="109" t="b">
        <v>0</v>
      </c>
      <c r="S474" s="143"/>
      <c r="T474" s="110"/>
      <c r="U474" s="118"/>
      <c r="V474" s="118"/>
      <c r="W474" s="118"/>
      <c r="X474" s="118"/>
      <c r="Y474" s="118"/>
      <c r="Z474" s="118"/>
      <c r="AA474" s="118"/>
      <c r="AB474" s="118"/>
      <c r="AC474" s="118"/>
      <c r="AD474" s="111"/>
      <c r="AE474" s="122"/>
      <c r="AF474" s="122"/>
      <c r="AG474" s="122"/>
      <c r="AH474" s="122"/>
    </row>
    <row r="475" ht="22.5" customHeight="1">
      <c r="A475" s="73"/>
      <c r="B475" s="73"/>
      <c r="C475" s="73"/>
      <c r="D475" s="73"/>
      <c r="E475" s="330"/>
      <c r="F475" s="118"/>
      <c r="G475" s="118"/>
      <c r="H475" s="118"/>
      <c r="I475" s="118"/>
      <c r="J475" s="119"/>
      <c r="K475" s="120"/>
      <c r="L475" s="120"/>
      <c r="M475" s="120"/>
      <c r="N475" s="120"/>
      <c r="O475" s="118"/>
      <c r="P475" s="120"/>
      <c r="Q475" s="121"/>
      <c r="R475" s="109" t="b">
        <v>0</v>
      </c>
      <c r="S475" s="143"/>
      <c r="T475" s="110"/>
      <c r="U475" s="118"/>
      <c r="V475" s="118"/>
      <c r="W475" s="118"/>
      <c r="X475" s="118"/>
      <c r="Y475" s="118"/>
      <c r="Z475" s="118"/>
      <c r="AA475" s="118"/>
      <c r="AB475" s="118"/>
      <c r="AC475" s="118"/>
      <c r="AD475" s="111"/>
      <c r="AE475" s="122"/>
      <c r="AF475" s="122"/>
      <c r="AG475" s="122"/>
      <c r="AH475" s="122"/>
    </row>
    <row r="476" ht="22.5" customHeight="1">
      <c r="A476" s="73"/>
      <c r="B476" s="73"/>
      <c r="C476" s="73"/>
      <c r="D476" s="73"/>
      <c r="E476" s="330"/>
      <c r="F476" s="118"/>
      <c r="G476" s="118"/>
      <c r="H476" s="118"/>
      <c r="I476" s="118"/>
      <c r="J476" s="119"/>
      <c r="K476" s="120"/>
      <c r="L476" s="120"/>
      <c r="M476" s="120"/>
      <c r="N476" s="120"/>
      <c r="O476" s="118"/>
      <c r="P476" s="120"/>
      <c r="Q476" s="121"/>
      <c r="R476" s="109" t="b">
        <v>0</v>
      </c>
      <c r="S476" s="143"/>
      <c r="T476" s="110"/>
      <c r="U476" s="118"/>
      <c r="V476" s="118"/>
      <c r="W476" s="118"/>
      <c r="X476" s="118"/>
      <c r="Y476" s="118"/>
      <c r="Z476" s="118"/>
      <c r="AA476" s="118"/>
      <c r="AB476" s="118"/>
      <c r="AC476" s="118"/>
      <c r="AD476" s="111"/>
      <c r="AE476" s="122"/>
      <c r="AF476" s="122"/>
      <c r="AG476" s="122"/>
      <c r="AH476" s="122"/>
    </row>
    <row r="477" ht="22.5" customHeight="1">
      <c r="A477" s="73"/>
      <c r="B477" s="73"/>
      <c r="C477" s="73"/>
      <c r="D477" s="73"/>
      <c r="E477" s="330"/>
      <c r="F477" s="118"/>
      <c r="G477" s="118"/>
      <c r="H477" s="118"/>
      <c r="I477" s="118"/>
      <c r="J477" s="119"/>
      <c r="K477" s="120"/>
      <c r="L477" s="120"/>
      <c r="M477" s="120"/>
      <c r="N477" s="120"/>
      <c r="O477" s="118"/>
      <c r="P477" s="120"/>
      <c r="Q477" s="121"/>
      <c r="R477" s="109" t="b">
        <v>0</v>
      </c>
      <c r="S477" s="143"/>
      <c r="T477" s="110"/>
      <c r="U477" s="118"/>
      <c r="V477" s="118"/>
      <c r="W477" s="118"/>
      <c r="X477" s="118"/>
      <c r="Y477" s="118"/>
      <c r="Z477" s="118"/>
      <c r="AA477" s="118"/>
      <c r="AB477" s="118"/>
      <c r="AC477" s="118"/>
      <c r="AD477" s="111"/>
      <c r="AE477" s="122"/>
      <c r="AF477" s="122"/>
      <c r="AG477" s="122"/>
      <c r="AH477" s="122"/>
    </row>
    <row r="478" ht="22.5" customHeight="1">
      <c r="A478" s="73"/>
      <c r="B478" s="73"/>
      <c r="C478" s="73"/>
      <c r="D478" s="73"/>
      <c r="E478" s="330"/>
      <c r="F478" s="118"/>
      <c r="G478" s="118"/>
      <c r="H478" s="118"/>
      <c r="I478" s="118"/>
      <c r="J478" s="119"/>
      <c r="K478" s="120"/>
      <c r="L478" s="120"/>
      <c r="M478" s="120"/>
      <c r="N478" s="120"/>
      <c r="O478" s="118"/>
      <c r="P478" s="120"/>
      <c r="Q478" s="121"/>
      <c r="R478" s="109" t="b">
        <v>0</v>
      </c>
      <c r="S478" s="143"/>
      <c r="T478" s="110"/>
      <c r="U478" s="118"/>
      <c r="V478" s="118"/>
      <c r="W478" s="118"/>
      <c r="X478" s="118"/>
      <c r="Y478" s="118"/>
      <c r="Z478" s="118"/>
      <c r="AA478" s="118"/>
      <c r="AB478" s="118"/>
      <c r="AC478" s="118"/>
      <c r="AD478" s="111"/>
      <c r="AE478" s="122"/>
      <c r="AF478" s="122"/>
      <c r="AG478" s="122"/>
      <c r="AH478" s="122"/>
    </row>
    <row r="479" ht="22.5" customHeight="1">
      <c r="A479" s="73"/>
      <c r="B479" s="73"/>
      <c r="C479" s="73"/>
      <c r="D479" s="73"/>
      <c r="E479" s="330"/>
      <c r="F479" s="118"/>
      <c r="G479" s="118"/>
      <c r="H479" s="118"/>
      <c r="I479" s="118"/>
      <c r="J479" s="119"/>
      <c r="K479" s="120"/>
      <c r="L479" s="120"/>
      <c r="M479" s="120"/>
      <c r="N479" s="120"/>
      <c r="O479" s="118"/>
      <c r="P479" s="120"/>
      <c r="Q479" s="121"/>
      <c r="R479" s="109" t="b">
        <v>0</v>
      </c>
      <c r="S479" s="143"/>
      <c r="T479" s="110"/>
      <c r="U479" s="118"/>
      <c r="V479" s="118"/>
      <c r="W479" s="118"/>
      <c r="X479" s="118"/>
      <c r="Y479" s="118"/>
      <c r="Z479" s="118"/>
      <c r="AA479" s="118"/>
      <c r="AB479" s="118"/>
      <c r="AC479" s="118"/>
      <c r="AD479" s="111"/>
      <c r="AE479" s="122"/>
      <c r="AF479" s="122"/>
      <c r="AG479" s="122"/>
      <c r="AH479" s="122"/>
    </row>
    <row r="480" ht="22.5" customHeight="1">
      <c r="A480" s="73"/>
      <c r="B480" s="73"/>
      <c r="C480" s="73"/>
      <c r="D480" s="73"/>
      <c r="E480" s="330"/>
      <c r="F480" s="118"/>
      <c r="G480" s="118"/>
      <c r="H480" s="118"/>
      <c r="I480" s="118"/>
      <c r="J480" s="119"/>
      <c r="K480" s="120"/>
      <c r="L480" s="120"/>
      <c r="M480" s="120"/>
      <c r="N480" s="120"/>
      <c r="O480" s="118"/>
      <c r="P480" s="120"/>
      <c r="Q480" s="121"/>
      <c r="R480" s="109" t="b">
        <v>0</v>
      </c>
      <c r="S480" s="143"/>
      <c r="T480" s="110"/>
      <c r="U480" s="118"/>
      <c r="V480" s="118"/>
      <c r="W480" s="118"/>
      <c r="X480" s="118"/>
      <c r="Y480" s="118"/>
      <c r="Z480" s="118"/>
      <c r="AA480" s="118"/>
      <c r="AB480" s="118"/>
      <c r="AC480" s="118"/>
      <c r="AD480" s="111"/>
      <c r="AE480" s="122"/>
      <c r="AF480" s="122"/>
      <c r="AG480" s="122"/>
      <c r="AH480" s="122"/>
    </row>
    <row r="481" ht="22.5" customHeight="1">
      <c r="A481" s="73"/>
      <c r="B481" s="73"/>
      <c r="C481" s="73"/>
      <c r="D481" s="73"/>
      <c r="E481" s="330"/>
      <c r="F481" s="118"/>
      <c r="G481" s="118"/>
      <c r="H481" s="118"/>
      <c r="I481" s="118"/>
      <c r="J481" s="119"/>
      <c r="K481" s="120"/>
      <c r="L481" s="120"/>
      <c r="M481" s="120"/>
      <c r="N481" s="120"/>
      <c r="O481" s="118"/>
      <c r="P481" s="120"/>
      <c r="Q481" s="121"/>
      <c r="R481" s="109" t="b">
        <v>0</v>
      </c>
      <c r="S481" s="143"/>
      <c r="T481" s="110"/>
      <c r="U481" s="118"/>
      <c r="V481" s="118"/>
      <c r="W481" s="118"/>
      <c r="X481" s="118"/>
      <c r="Y481" s="118"/>
      <c r="Z481" s="118"/>
      <c r="AA481" s="118"/>
      <c r="AB481" s="118"/>
      <c r="AC481" s="118"/>
      <c r="AD481" s="111"/>
      <c r="AE481" s="122"/>
      <c r="AF481" s="122"/>
      <c r="AG481" s="122"/>
      <c r="AH481" s="122"/>
    </row>
    <row r="482" ht="22.5" customHeight="1">
      <c r="A482" s="73"/>
      <c r="B482" s="73"/>
      <c r="C482" s="73"/>
      <c r="D482" s="73"/>
      <c r="E482" s="330"/>
      <c r="F482" s="118"/>
      <c r="G482" s="118"/>
      <c r="H482" s="118"/>
      <c r="I482" s="118"/>
      <c r="J482" s="119"/>
      <c r="K482" s="120"/>
      <c r="L482" s="120"/>
      <c r="M482" s="120"/>
      <c r="N482" s="120"/>
      <c r="O482" s="118"/>
      <c r="P482" s="120"/>
      <c r="Q482" s="121"/>
      <c r="R482" s="109" t="b">
        <v>0</v>
      </c>
      <c r="S482" s="143"/>
      <c r="T482" s="110"/>
      <c r="U482" s="118"/>
      <c r="V482" s="118"/>
      <c r="W482" s="118"/>
      <c r="X482" s="118"/>
      <c r="Y482" s="118"/>
      <c r="Z482" s="118"/>
      <c r="AA482" s="118"/>
      <c r="AB482" s="118"/>
      <c r="AC482" s="118"/>
      <c r="AD482" s="111"/>
      <c r="AE482" s="122"/>
      <c r="AF482" s="122"/>
      <c r="AG482" s="122"/>
      <c r="AH482" s="122"/>
    </row>
    <row r="483" ht="22.5" customHeight="1">
      <c r="A483" s="73"/>
      <c r="B483" s="73"/>
      <c r="C483" s="73"/>
      <c r="D483" s="73"/>
      <c r="E483" s="330"/>
      <c r="F483" s="118"/>
      <c r="G483" s="118"/>
      <c r="H483" s="118"/>
      <c r="I483" s="118"/>
      <c r="J483" s="119"/>
      <c r="K483" s="120"/>
      <c r="L483" s="120"/>
      <c r="M483" s="120"/>
      <c r="N483" s="120"/>
      <c r="O483" s="118"/>
      <c r="P483" s="120"/>
      <c r="Q483" s="121"/>
      <c r="R483" s="109" t="b">
        <v>0</v>
      </c>
      <c r="S483" s="143"/>
      <c r="T483" s="110"/>
      <c r="U483" s="118"/>
      <c r="V483" s="118"/>
      <c r="W483" s="118"/>
      <c r="X483" s="118"/>
      <c r="Y483" s="118"/>
      <c r="Z483" s="118"/>
      <c r="AA483" s="118"/>
      <c r="AB483" s="118"/>
      <c r="AC483" s="118"/>
      <c r="AD483" s="111"/>
      <c r="AE483" s="122"/>
      <c r="AF483" s="122"/>
      <c r="AG483" s="122"/>
      <c r="AH483" s="122"/>
    </row>
    <row r="484" ht="22.5" customHeight="1">
      <c r="A484" s="73"/>
      <c r="B484" s="73"/>
      <c r="C484" s="73"/>
      <c r="D484" s="73"/>
      <c r="E484" s="330"/>
      <c r="F484" s="118"/>
      <c r="G484" s="118"/>
      <c r="H484" s="118"/>
      <c r="I484" s="118"/>
      <c r="J484" s="119"/>
      <c r="K484" s="120"/>
      <c r="L484" s="120"/>
      <c r="M484" s="120"/>
      <c r="N484" s="120"/>
      <c r="O484" s="118"/>
      <c r="P484" s="120"/>
      <c r="Q484" s="121"/>
      <c r="R484" s="109" t="b">
        <v>0</v>
      </c>
      <c r="S484" s="143"/>
      <c r="T484" s="110"/>
      <c r="U484" s="118"/>
      <c r="V484" s="118"/>
      <c r="W484" s="118"/>
      <c r="X484" s="118"/>
      <c r="Y484" s="118"/>
      <c r="Z484" s="118"/>
      <c r="AA484" s="118"/>
      <c r="AB484" s="118"/>
      <c r="AC484" s="118"/>
      <c r="AD484" s="111"/>
      <c r="AE484" s="122"/>
      <c r="AF484" s="122"/>
      <c r="AG484" s="122"/>
      <c r="AH484" s="122"/>
    </row>
    <row r="485" ht="22.5" customHeight="1">
      <c r="A485" s="73"/>
      <c r="B485" s="73"/>
      <c r="C485" s="73"/>
      <c r="D485" s="73"/>
      <c r="E485" s="330"/>
      <c r="F485" s="118"/>
      <c r="G485" s="118"/>
      <c r="H485" s="118"/>
      <c r="I485" s="118"/>
      <c r="J485" s="119"/>
      <c r="K485" s="120"/>
      <c r="L485" s="120"/>
      <c r="M485" s="120"/>
      <c r="N485" s="120"/>
      <c r="O485" s="118"/>
      <c r="P485" s="120"/>
      <c r="Q485" s="121"/>
      <c r="R485" s="109" t="b">
        <v>0</v>
      </c>
      <c r="S485" s="143"/>
      <c r="T485" s="110"/>
      <c r="U485" s="118"/>
      <c r="V485" s="118"/>
      <c r="W485" s="118"/>
      <c r="X485" s="118"/>
      <c r="Y485" s="118"/>
      <c r="Z485" s="118"/>
      <c r="AA485" s="118"/>
      <c r="AB485" s="118"/>
      <c r="AC485" s="118"/>
      <c r="AD485" s="111"/>
      <c r="AE485" s="122"/>
      <c r="AF485" s="122"/>
      <c r="AG485" s="122"/>
      <c r="AH485" s="122"/>
    </row>
    <row r="486" ht="22.5" customHeight="1">
      <c r="A486" s="73"/>
      <c r="B486" s="73"/>
      <c r="C486" s="73"/>
      <c r="D486" s="73"/>
      <c r="E486" s="330"/>
      <c r="F486" s="118"/>
      <c r="G486" s="118"/>
      <c r="H486" s="118"/>
      <c r="I486" s="118"/>
      <c r="J486" s="119"/>
      <c r="K486" s="120"/>
      <c r="L486" s="120"/>
      <c r="M486" s="120"/>
      <c r="N486" s="120"/>
      <c r="O486" s="118"/>
      <c r="P486" s="120"/>
      <c r="Q486" s="121"/>
      <c r="R486" s="109" t="b">
        <v>0</v>
      </c>
      <c r="S486" s="143"/>
      <c r="T486" s="110"/>
      <c r="U486" s="118"/>
      <c r="V486" s="118"/>
      <c r="W486" s="118"/>
      <c r="X486" s="118"/>
      <c r="Y486" s="118"/>
      <c r="Z486" s="118"/>
      <c r="AA486" s="118"/>
      <c r="AB486" s="118"/>
      <c r="AC486" s="118"/>
      <c r="AD486" s="111"/>
      <c r="AE486" s="122"/>
      <c r="AF486" s="122"/>
      <c r="AG486" s="122"/>
      <c r="AH486" s="122"/>
    </row>
    <row r="487" ht="22.5" customHeight="1">
      <c r="A487" s="73"/>
      <c r="B487" s="73"/>
      <c r="C487" s="73"/>
      <c r="D487" s="73"/>
      <c r="E487" s="330"/>
      <c r="F487" s="118"/>
      <c r="G487" s="118"/>
      <c r="H487" s="118"/>
      <c r="I487" s="118"/>
      <c r="J487" s="119"/>
      <c r="K487" s="120"/>
      <c r="L487" s="120"/>
      <c r="M487" s="120"/>
      <c r="N487" s="120"/>
      <c r="O487" s="118"/>
      <c r="P487" s="120"/>
      <c r="Q487" s="121"/>
      <c r="R487" s="109" t="b">
        <v>0</v>
      </c>
      <c r="S487" s="143"/>
      <c r="T487" s="110"/>
      <c r="U487" s="118"/>
      <c r="V487" s="118"/>
      <c r="W487" s="118"/>
      <c r="X487" s="118"/>
      <c r="Y487" s="118"/>
      <c r="Z487" s="118"/>
      <c r="AA487" s="118"/>
      <c r="AB487" s="118"/>
      <c r="AC487" s="118"/>
      <c r="AD487" s="111"/>
      <c r="AE487" s="122"/>
      <c r="AF487" s="122"/>
      <c r="AG487" s="122"/>
      <c r="AH487" s="122"/>
    </row>
    <row r="488" ht="22.5" customHeight="1">
      <c r="A488" s="73"/>
      <c r="B488" s="73"/>
      <c r="C488" s="73"/>
      <c r="D488" s="73"/>
      <c r="E488" s="330"/>
      <c r="F488" s="118"/>
      <c r="G488" s="118"/>
      <c r="H488" s="118"/>
      <c r="I488" s="118"/>
      <c r="J488" s="119"/>
      <c r="K488" s="120"/>
      <c r="L488" s="120"/>
      <c r="M488" s="120"/>
      <c r="N488" s="120"/>
      <c r="O488" s="118"/>
      <c r="P488" s="120"/>
      <c r="Q488" s="121"/>
      <c r="R488" s="109" t="b">
        <v>0</v>
      </c>
      <c r="S488" s="143"/>
      <c r="T488" s="110"/>
      <c r="U488" s="118"/>
      <c r="V488" s="118"/>
      <c r="W488" s="118"/>
      <c r="X488" s="118"/>
      <c r="Y488" s="118"/>
      <c r="Z488" s="118"/>
      <c r="AA488" s="118"/>
      <c r="AB488" s="118"/>
      <c r="AC488" s="118"/>
      <c r="AD488" s="111"/>
      <c r="AE488" s="122"/>
      <c r="AF488" s="122"/>
      <c r="AG488" s="122"/>
      <c r="AH488" s="122"/>
    </row>
    <row r="489" ht="22.5" customHeight="1">
      <c r="A489" s="73"/>
      <c r="B489" s="73"/>
      <c r="C489" s="73"/>
      <c r="D489" s="73"/>
      <c r="E489" s="330"/>
      <c r="F489" s="118"/>
      <c r="G489" s="118"/>
      <c r="H489" s="118"/>
      <c r="I489" s="118"/>
      <c r="J489" s="119"/>
      <c r="K489" s="120"/>
      <c r="L489" s="120"/>
      <c r="M489" s="120"/>
      <c r="N489" s="120"/>
      <c r="O489" s="118"/>
      <c r="P489" s="120"/>
      <c r="Q489" s="121"/>
      <c r="R489" s="109" t="b">
        <v>0</v>
      </c>
      <c r="S489" s="143"/>
      <c r="T489" s="110"/>
      <c r="U489" s="118"/>
      <c r="V489" s="118"/>
      <c r="W489" s="118"/>
      <c r="X489" s="118"/>
      <c r="Y489" s="118"/>
      <c r="Z489" s="118"/>
      <c r="AA489" s="118"/>
      <c r="AB489" s="118"/>
      <c r="AC489" s="118"/>
      <c r="AD489" s="111"/>
      <c r="AE489" s="122"/>
      <c r="AF489" s="122"/>
      <c r="AG489" s="122"/>
      <c r="AH489" s="122"/>
    </row>
    <row r="490" ht="22.5" customHeight="1">
      <c r="A490" s="73"/>
      <c r="B490" s="73"/>
      <c r="C490" s="73"/>
      <c r="D490" s="73"/>
      <c r="E490" s="330"/>
      <c r="F490" s="118"/>
      <c r="G490" s="118"/>
      <c r="H490" s="118"/>
      <c r="I490" s="118"/>
      <c r="J490" s="119"/>
      <c r="K490" s="120"/>
      <c r="L490" s="120"/>
      <c r="M490" s="120"/>
      <c r="N490" s="120"/>
      <c r="O490" s="118"/>
      <c r="P490" s="120"/>
      <c r="Q490" s="121"/>
      <c r="R490" s="109" t="b">
        <v>0</v>
      </c>
      <c r="S490" s="143"/>
      <c r="T490" s="110"/>
      <c r="U490" s="118"/>
      <c r="V490" s="118"/>
      <c r="W490" s="118"/>
      <c r="X490" s="118"/>
      <c r="Y490" s="118"/>
      <c r="Z490" s="118"/>
      <c r="AA490" s="118"/>
      <c r="AB490" s="118"/>
      <c r="AC490" s="118"/>
      <c r="AD490" s="111"/>
      <c r="AE490" s="122"/>
      <c r="AF490" s="122"/>
      <c r="AG490" s="122"/>
      <c r="AH490" s="122"/>
    </row>
    <row r="491" ht="22.5" customHeight="1">
      <c r="A491" s="73"/>
      <c r="B491" s="73"/>
      <c r="C491" s="73"/>
      <c r="D491" s="73"/>
      <c r="E491" s="330"/>
      <c r="F491" s="118"/>
      <c r="G491" s="118"/>
      <c r="H491" s="118"/>
      <c r="I491" s="118"/>
      <c r="J491" s="119"/>
      <c r="K491" s="120"/>
      <c r="L491" s="120"/>
      <c r="M491" s="120"/>
      <c r="N491" s="120"/>
      <c r="O491" s="118"/>
      <c r="P491" s="120"/>
      <c r="Q491" s="121"/>
      <c r="R491" s="109" t="b">
        <v>0</v>
      </c>
      <c r="S491" s="143"/>
      <c r="T491" s="110"/>
      <c r="U491" s="118"/>
      <c r="V491" s="118"/>
      <c r="W491" s="118"/>
      <c r="X491" s="118"/>
      <c r="Y491" s="118"/>
      <c r="Z491" s="118"/>
      <c r="AA491" s="118"/>
      <c r="AB491" s="118"/>
      <c r="AC491" s="118"/>
      <c r="AD491" s="111"/>
      <c r="AE491" s="122"/>
      <c r="AF491" s="122"/>
      <c r="AG491" s="122"/>
      <c r="AH491" s="122"/>
    </row>
    <row r="492" ht="22.5" customHeight="1">
      <c r="A492" s="73"/>
      <c r="B492" s="73"/>
      <c r="C492" s="73"/>
      <c r="D492" s="73"/>
      <c r="E492" s="330"/>
      <c r="F492" s="118"/>
      <c r="G492" s="118"/>
      <c r="H492" s="118"/>
      <c r="I492" s="118"/>
      <c r="J492" s="119"/>
      <c r="K492" s="120"/>
      <c r="L492" s="120"/>
      <c r="M492" s="120"/>
      <c r="N492" s="120"/>
      <c r="O492" s="118"/>
      <c r="P492" s="120"/>
      <c r="Q492" s="121"/>
      <c r="R492" s="109" t="b">
        <v>0</v>
      </c>
      <c r="S492" s="143"/>
      <c r="T492" s="110"/>
      <c r="U492" s="118"/>
      <c r="V492" s="118"/>
      <c r="W492" s="118"/>
      <c r="X492" s="118"/>
      <c r="Y492" s="118"/>
      <c r="Z492" s="118"/>
      <c r="AA492" s="118"/>
      <c r="AB492" s="118"/>
      <c r="AC492" s="118"/>
      <c r="AD492" s="111"/>
      <c r="AE492" s="122"/>
      <c r="AF492" s="122"/>
      <c r="AG492" s="122"/>
      <c r="AH492" s="122"/>
    </row>
    <row r="493" ht="22.5" customHeight="1">
      <c r="A493" s="73"/>
      <c r="B493" s="73"/>
      <c r="C493" s="73"/>
      <c r="D493" s="73"/>
      <c r="E493" s="330"/>
      <c r="F493" s="118"/>
      <c r="G493" s="118"/>
      <c r="H493" s="118"/>
      <c r="I493" s="118"/>
      <c r="J493" s="119"/>
      <c r="K493" s="120"/>
      <c r="L493" s="120"/>
      <c r="M493" s="120"/>
      <c r="N493" s="120"/>
      <c r="O493" s="118"/>
      <c r="P493" s="120"/>
      <c r="Q493" s="121"/>
      <c r="R493" s="109" t="b">
        <v>0</v>
      </c>
      <c r="S493" s="143"/>
      <c r="T493" s="110"/>
      <c r="U493" s="118"/>
      <c r="V493" s="118"/>
      <c r="W493" s="118"/>
      <c r="X493" s="118"/>
      <c r="Y493" s="118"/>
      <c r="Z493" s="118"/>
      <c r="AA493" s="118"/>
      <c r="AB493" s="118"/>
      <c r="AC493" s="118"/>
      <c r="AD493" s="111"/>
      <c r="AE493" s="122"/>
      <c r="AF493" s="122"/>
      <c r="AG493" s="122"/>
      <c r="AH493" s="122"/>
    </row>
    <row r="494" ht="22.5" customHeight="1">
      <c r="A494" s="73"/>
      <c r="B494" s="73"/>
      <c r="C494" s="73"/>
      <c r="D494" s="73"/>
      <c r="E494" s="330"/>
      <c r="F494" s="118"/>
      <c r="G494" s="118"/>
      <c r="H494" s="118"/>
      <c r="I494" s="118"/>
      <c r="J494" s="119"/>
      <c r="K494" s="120"/>
      <c r="L494" s="120"/>
      <c r="M494" s="120"/>
      <c r="N494" s="120"/>
      <c r="O494" s="118"/>
      <c r="P494" s="120"/>
      <c r="Q494" s="121"/>
      <c r="R494" s="109" t="b">
        <v>0</v>
      </c>
      <c r="S494" s="143"/>
      <c r="T494" s="110"/>
      <c r="U494" s="118"/>
      <c r="V494" s="118"/>
      <c r="W494" s="118"/>
      <c r="X494" s="118"/>
      <c r="Y494" s="118"/>
      <c r="Z494" s="118"/>
      <c r="AA494" s="118"/>
      <c r="AB494" s="118"/>
      <c r="AC494" s="118"/>
      <c r="AD494" s="111"/>
      <c r="AE494" s="122"/>
      <c r="AF494" s="122"/>
      <c r="AG494" s="122"/>
      <c r="AH494" s="122"/>
    </row>
    <row r="495" ht="22.5" customHeight="1">
      <c r="A495" s="73"/>
      <c r="B495" s="73"/>
      <c r="C495" s="73"/>
      <c r="D495" s="73"/>
      <c r="E495" s="330"/>
      <c r="F495" s="118"/>
      <c r="G495" s="118"/>
      <c r="H495" s="118"/>
      <c r="I495" s="118"/>
      <c r="J495" s="119"/>
      <c r="K495" s="120"/>
      <c r="L495" s="120"/>
      <c r="M495" s="120"/>
      <c r="N495" s="120"/>
      <c r="O495" s="118"/>
      <c r="P495" s="120"/>
      <c r="Q495" s="121"/>
      <c r="R495" s="109" t="b">
        <v>0</v>
      </c>
      <c r="S495" s="143"/>
      <c r="T495" s="110"/>
      <c r="U495" s="118"/>
      <c r="V495" s="118"/>
      <c r="W495" s="118"/>
      <c r="X495" s="118"/>
      <c r="Y495" s="118"/>
      <c r="Z495" s="118"/>
      <c r="AA495" s="118"/>
      <c r="AB495" s="118"/>
      <c r="AC495" s="118"/>
      <c r="AD495" s="111"/>
      <c r="AE495" s="122"/>
      <c r="AF495" s="122"/>
      <c r="AG495" s="122"/>
      <c r="AH495" s="122"/>
    </row>
    <row r="496" ht="22.5" customHeight="1">
      <c r="A496" s="73"/>
      <c r="B496" s="73"/>
      <c r="C496" s="73"/>
      <c r="D496" s="73"/>
      <c r="E496" s="330"/>
      <c r="F496" s="118"/>
      <c r="G496" s="118"/>
      <c r="H496" s="118"/>
      <c r="I496" s="118"/>
      <c r="J496" s="119"/>
      <c r="K496" s="120"/>
      <c r="L496" s="120"/>
      <c r="M496" s="120"/>
      <c r="N496" s="120"/>
      <c r="O496" s="118"/>
      <c r="P496" s="120"/>
      <c r="Q496" s="121"/>
      <c r="R496" s="109" t="b">
        <v>0</v>
      </c>
      <c r="S496" s="143"/>
      <c r="T496" s="110"/>
      <c r="U496" s="118"/>
      <c r="V496" s="118"/>
      <c r="W496" s="118"/>
      <c r="X496" s="118"/>
      <c r="Y496" s="118"/>
      <c r="Z496" s="118"/>
      <c r="AA496" s="118"/>
      <c r="AB496" s="118"/>
      <c r="AC496" s="118"/>
      <c r="AD496" s="111"/>
      <c r="AE496" s="122"/>
      <c r="AF496" s="122"/>
      <c r="AG496" s="122"/>
      <c r="AH496" s="122"/>
    </row>
    <row r="497" ht="22.5" customHeight="1">
      <c r="A497" s="73"/>
      <c r="B497" s="73"/>
      <c r="C497" s="73"/>
      <c r="D497" s="73"/>
      <c r="E497" s="330"/>
      <c r="F497" s="118"/>
      <c r="G497" s="118"/>
      <c r="H497" s="118"/>
      <c r="I497" s="118"/>
      <c r="J497" s="119"/>
      <c r="K497" s="120"/>
      <c r="L497" s="120"/>
      <c r="M497" s="120"/>
      <c r="N497" s="120"/>
      <c r="O497" s="118"/>
      <c r="P497" s="120"/>
      <c r="Q497" s="121"/>
      <c r="R497" s="109" t="b">
        <v>0</v>
      </c>
      <c r="S497" s="143"/>
      <c r="T497" s="110"/>
      <c r="U497" s="118"/>
      <c r="V497" s="118"/>
      <c r="W497" s="118"/>
      <c r="X497" s="118"/>
      <c r="Y497" s="118"/>
      <c r="Z497" s="118"/>
      <c r="AA497" s="118"/>
      <c r="AB497" s="118"/>
      <c r="AC497" s="118"/>
      <c r="AD497" s="111"/>
      <c r="AE497" s="122"/>
      <c r="AF497" s="122"/>
      <c r="AG497" s="122"/>
      <c r="AH497" s="122"/>
    </row>
    <row r="498" ht="22.5" customHeight="1">
      <c r="A498" s="73"/>
      <c r="B498" s="73"/>
      <c r="C498" s="73"/>
      <c r="D498" s="73"/>
      <c r="E498" s="330"/>
      <c r="F498" s="118"/>
      <c r="G498" s="118"/>
      <c r="H498" s="118"/>
      <c r="I498" s="118"/>
      <c r="J498" s="119"/>
      <c r="K498" s="120"/>
      <c r="L498" s="120"/>
      <c r="M498" s="120"/>
      <c r="N498" s="120"/>
      <c r="O498" s="118"/>
      <c r="P498" s="120"/>
      <c r="Q498" s="121"/>
      <c r="R498" s="109" t="b">
        <v>0</v>
      </c>
      <c r="S498" s="143"/>
      <c r="T498" s="110"/>
      <c r="U498" s="118"/>
      <c r="V498" s="118"/>
      <c r="W498" s="118"/>
      <c r="X498" s="118"/>
      <c r="Y498" s="118"/>
      <c r="Z498" s="118"/>
      <c r="AA498" s="118"/>
      <c r="AB498" s="118"/>
      <c r="AC498" s="118"/>
      <c r="AD498" s="111"/>
      <c r="AE498" s="122"/>
      <c r="AF498" s="122"/>
      <c r="AG498" s="122"/>
      <c r="AH498" s="122"/>
    </row>
    <row r="499" ht="22.5" customHeight="1">
      <c r="A499" s="73"/>
      <c r="B499" s="73"/>
      <c r="C499" s="73"/>
      <c r="D499" s="73"/>
      <c r="E499" s="330"/>
      <c r="F499" s="118"/>
      <c r="G499" s="118"/>
      <c r="H499" s="118"/>
      <c r="I499" s="118"/>
      <c r="J499" s="119"/>
      <c r="K499" s="120"/>
      <c r="L499" s="120"/>
      <c r="M499" s="120"/>
      <c r="N499" s="120"/>
      <c r="O499" s="118"/>
      <c r="P499" s="120"/>
      <c r="Q499" s="121"/>
      <c r="R499" s="109" t="b">
        <v>0</v>
      </c>
      <c r="S499" s="143"/>
      <c r="T499" s="110"/>
      <c r="U499" s="118"/>
      <c r="V499" s="118"/>
      <c r="W499" s="118"/>
      <c r="X499" s="118"/>
      <c r="Y499" s="118"/>
      <c r="Z499" s="118"/>
      <c r="AA499" s="118"/>
      <c r="AB499" s="118"/>
      <c r="AC499" s="118"/>
      <c r="AD499" s="111"/>
      <c r="AE499" s="122"/>
      <c r="AF499" s="122"/>
      <c r="AG499" s="122"/>
      <c r="AH499" s="122"/>
    </row>
    <row r="500" ht="22.5" customHeight="1">
      <c r="A500" s="73"/>
      <c r="B500" s="73"/>
      <c r="C500" s="73"/>
      <c r="D500" s="73"/>
      <c r="E500" s="330"/>
      <c r="F500" s="118"/>
      <c r="G500" s="118"/>
      <c r="H500" s="118"/>
      <c r="I500" s="118"/>
      <c r="J500" s="119"/>
      <c r="K500" s="120"/>
      <c r="L500" s="120"/>
      <c r="M500" s="120"/>
      <c r="N500" s="120"/>
      <c r="O500" s="118"/>
      <c r="P500" s="120"/>
      <c r="Q500" s="121"/>
      <c r="R500" s="109" t="b">
        <v>0</v>
      </c>
      <c r="S500" s="143"/>
      <c r="T500" s="110"/>
      <c r="U500" s="118"/>
      <c r="V500" s="118"/>
      <c r="W500" s="118"/>
      <c r="X500" s="118"/>
      <c r="Y500" s="118"/>
      <c r="Z500" s="118"/>
      <c r="AA500" s="118"/>
      <c r="AB500" s="118"/>
      <c r="AC500" s="118"/>
      <c r="AD500" s="111"/>
      <c r="AE500" s="122"/>
      <c r="AF500" s="122"/>
      <c r="AG500" s="122"/>
      <c r="AH500" s="122"/>
    </row>
    <row r="501" ht="22.5" customHeight="1">
      <c r="A501" s="73"/>
      <c r="B501" s="73"/>
      <c r="C501" s="73"/>
      <c r="D501" s="73"/>
      <c r="E501" s="330"/>
      <c r="F501" s="118"/>
      <c r="G501" s="118"/>
      <c r="H501" s="118"/>
      <c r="I501" s="118"/>
      <c r="J501" s="119"/>
      <c r="K501" s="120"/>
      <c r="L501" s="120"/>
      <c r="M501" s="120"/>
      <c r="N501" s="120"/>
      <c r="O501" s="118"/>
      <c r="P501" s="120"/>
      <c r="Q501" s="121"/>
      <c r="R501" s="109" t="b">
        <v>0</v>
      </c>
      <c r="S501" s="143"/>
      <c r="T501" s="110"/>
      <c r="U501" s="118"/>
      <c r="V501" s="118"/>
      <c r="W501" s="118"/>
      <c r="X501" s="118"/>
      <c r="Y501" s="118"/>
      <c r="Z501" s="118"/>
      <c r="AA501" s="118"/>
      <c r="AB501" s="118"/>
      <c r="AC501" s="118"/>
      <c r="AD501" s="111"/>
      <c r="AE501" s="122"/>
      <c r="AF501" s="122"/>
      <c r="AG501" s="122"/>
      <c r="AH501" s="122"/>
    </row>
    <row r="502" ht="22.5" customHeight="1">
      <c r="A502" s="73"/>
      <c r="B502" s="73"/>
      <c r="C502" s="73"/>
      <c r="D502" s="73"/>
      <c r="E502" s="330"/>
      <c r="F502" s="118"/>
      <c r="G502" s="118"/>
      <c r="H502" s="118"/>
      <c r="I502" s="118"/>
      <c r="J502" s="119"/>
      <c r="K502" s="120"/>
      <c r="L502" s="120"/>
      <c r="M502" s="120"/>
      <c r="N502" s="120"/>
      <c r="O502" s="118"/>
      <c r="P502" s="120"/>
      <c r="Q502" s="121"/>
      <c r="R502" s="109" t="b">
        <v>0</v>
      </c>
      <c r="S502" s="143"/>
      <c r="T502" s="110"/>
      <c r="U502" s="118"/>
      <c r="V502" s="118"/>
      <c r="W502" s="118"/>
      <c r="X502" s="118"/>
      <c r="Y502" s="118"/>
      <c r="Z502" s="118"/>
      <c r="AA502" s="118"/>
      <c r="AB502" s="118"/>
      <c r="AC502" s="118"/>
      <c r="AD502" s="111"/>
      <c r="AE502" s="122"/>
      <c r="AF502" s="122"/>
      <c r="AG502" s="122"/>
      <c r="AH502" s="122"/>
    </row>
    <row r="503" ht="22.5" customHeight="1">
      <c r="A503" s="73"/>
      <c r="B503" s="73"/>
      <c r="C503" s="73"/>
      <c r="D503" s="73"/>
      <c r="E503" s="330"/>
      <c r="F503" s="118"/>
      <c r="G503" s="118"/>
      <c r="H503" s="118"/>
      <c r="I503" s="118"/>
      <c r="J503" s="119"/>
      <c r="K503" s="120"/>
      <c r="L503" s="120"/>
      <c r="M503" s="120"/>
      <c r="N503" s="120"/>
      <c r="O503" s="118"/>
      <c r="P503" s="120"/>
      <c r="Q503" s="121"/>
      <c r="R503" s="109" t="b">
        <v>0</v>
      </c>
      <c r="S503" s="143"/>
      <c r="T503" s="110"/>
      <c r="U503" s="118"/>
      <c r="V503" s="118"/>
      <c r="W503" s="118"/>
      <c r="X503" s="118"/>
      <c r="Y503" s="118"/>
      <c r="Z503" s="118"/>
      <c r="AA503" s="118"/>
      <c r="AB503" s="118"/>
      <c r="AC503" s="118"/>
      <c r="AD503" s="111"/>
      <c r="AE503" s="122"/>
      <c r="AF503" s="122"/>
      <c r="AG503" s="122"/>
      <c r="AH503" s="122"/>
    </row>
    <row r="504" ht="22.5" customHeight="1">
      <c r="A504" s="73"/>
      <c r="B504" s="73"/>
      <c r="C504" s="73"/>
      <c r="D504" s="73"/>
      <c r="E504" s="330"/>
      <c r="F504" s="118"/>
      <c r="G504" s="118"/>
      <c r="H504" s="118"/>
      <c r="I504" s="118"/>
      <c r="J504" s="119"/>
      <c r="K504" s="120"/>
      <c r="L504" s="120"/>
      <c r="M504" s="120"/>
      <c r="N504" s="120"/>
      <c r="O504" s="118"/>
      <c r="P504" s="120"/>
      <c r="Q504" s="121"/>
      <c r="R504" s="109" t="b">
        <v>0</v>
      </c>
      <c r="S504" s="143"/>
      <c r="T504" s="110"/>
      <c r="U504" s="118"/>
      <c r="V504" s="118"/>
      <c r="W504" s="118"/>
      <c r="X504" s="118"/>
      <c r="Y504" s="118"/>
      <c r="Z504" s="118"/>
      <c r="AA504" s="118"/>
      <c r="AB504" s="118"/>
      <c r="AC504" s="118"/>
      <c r="AD504" s="111"/>
      <c r="AE504" s="122"/>
      <c r="AF504" s="122"/>
      <c r="AG504" s="122"/>
      <c r="AH504" s="122"/>
    </row>
    <row r="505" ht="22.5" customHeight="1">
      <c r="A505" s="73"/>
      <c r="B505" s="73"/>
      <c r="C505" s="73"/>
      <c r="D505" s="73"/>
      <c r="E505" s="330"/>
      <c r="F505" s="118"/>
      <c r="G505" s="118"/>
      <c r="H505" s="118"/>
      <c r="I505" s="118"/>
      <c r="J505" s="119"/>
      <c r="K505" s="120"/>
      <c r="L505" s="120"/>
      <c r="M505" s="120"/>
      <c r="N505" s="120"/>
      <c r="O505" s="118"/>
      <c r="P505" s="120"/>
      <c r="Q505" s="121"/>
      <c r="R505" s="109" t="b">
        <v>0</v>
      </c>
      <c r="S505" s="143"/>
      <c r="T505" s="110"/>
      <c r="U505" s="118"/>
      <c r="V505" s="118"/>
      <c r="W505" s="118"/>
      <c r="X505" s="118"/>
      <c r="Y505" s="118"/>
      <c r="Z505" s="118"/>
      <c r="AA505" s="118"/>
      <c r="AB505" s="118"/>
      <c r="AC505" s="118"/>
      <c r="AD505" s="111"/>
      <c r="AE505" s="122"/>
      <c r="AF505" s="122"/>
      <c r="AG505" s="122"/>
      <c r="AH505" s="122"/>
    </row>
    <row r="506" ht="22.5" customHeight="1">
      <c r="A506" s="73"/>
      <c r="B506" s="73"/>
      <c r="C506" s="73"/>
      <c r="D506" s="73"/>
      <c r="E506" s="330"/>
      <c r="F506" s="118"/>
      <c r="G506" s="118"/>
      <c r="H506" s="118"/>
      <c r="I506" s="118"/>
      <c r="J506" s="119"/>
      <c r="K506" s="120"/>
      <c r="L506" s="120"/>
      <c r="M506" s="120"/>
      <c r="N506" s="120"/>
      <c r="O506" s="118"/>
      <c r="P506" s="120"/>
      <c r="Q506" s="121"/>
      <c r="R506" s="109" t="b">
        <v>0</v>
      </c>
      <c r="S506" s="143"/>
      <c r="T506" s="110"/>
      <c r="U506" s="118"/>
      <c r="V506" s="118"/>
      <c r="W506" s="118"/>
      <c r="X506" s="118"/>
      <c r="Y506" s="118"/>
      <c r="Z506" s="118"/>
      <c r="AA506" s="118"/>
      <c r="AB506" s="118"/>
      <c r="AC506" s="118"/>
      <c r="AD506" s="111"/>
      <c r="AE506" s="122"/>
      <c r="AF506" s="122"/>
      <c r="AG506" s="122"/>
      <c r="AH506" s="122"/>
    </row>
    <row r="507" ht="22.5" customHeight="1">
      <c r="A507" s="73"/>
      <c r="B507" s="73"/>
      <c r="C507" s="73"/>
      <c r="D507" s="73"/>
      <c r="E507" s="330"/>
      <c r="F507" s="118"/>
      <c r="G507" s="118"/>
      <c r="H507" s="118"/>
      <c r="I507" s="118"/>
      <c r="J507" s="119"/>
      <c r="K507" s="120"/>
      <c r="L507" s="120"/>
      <c r="M507" s="120"/>
      <c r="N507" s="120"/>
      <c r="O507" s="118"/>
      <c r="P507" s="120"/>
      <c r="Q507" s="121"/>
      <c r="R507" s="109" t="b">
        <v>0</v>
      </c>
      <c r="S507" s="143"/>
      <c r="T507" s="110"/>
      <c r="U507" s="118"/>
      <c r="V507" s="118"/>
      <c r="W507" s="118"/>
      <c r="X507" s="118"/>
      <c r="Y507" s="118"/>
      <c r="Z507" s="118"/>
      <c r="AA507" s="118"/>
      <c r="AB507" s="118"/>
      <c r="AC507" s="118"/>
      <c r="AD507" s="111"/>
      <c r="AE507" s="122"/>
      <c r="AF507" s="122"/>
      <c r="AG507" s="122"/>
      <c r="AH507" s="122"/>
    </row>
    <row r="508" ht="22.5" customHeight="1">
      <c r="A508" s="73"/>
      <c r="B508" s="73"/>
      <c r="C508" s="73"/>
      <c r="D508" s="73"/>
      <c r="E508" s="330"/>
      <c r="F508" s="118"/>
      <c r="G508" s="118"/>
      <c r="H508" s="118"/>
      <c r="I508" s="118"/>
      <c r="J508" s="119"/>
      <c r="K508" s="120"/>
      <c r="L508" s="120"/>
      <c r="M508" s="120"/>
      <c r="N508" s="120"/>
      <c r="O508" s="118"/>
      <c r="P508" s="120"/>
      <c r="Q508" s="121"/>
      <c r="R508" s="109" t="b">
        <v>0</v>
      </c>
      <c r="S508" s="143"/>
      <c r="T508" s="110"/>
      <c r="U508" s="118"/>
      <c r="V508" s="118"/>
      <c r="W508" s="118"/>
      <c r="X508" s="118"/>
      <c r="Y508" s="118"/>
      <c r="Z508" s="118"/>
      <c r="AA508" s="118"/>
      <c r="AB508" s="118"/>
      <c r="AC508" s="118"/>
      <c r="AD508" s="111"/>
      <c r="AE508" s="122"/>
      <c r="AF508" s="122"/>
      <c r="AG508" s="122"/>
      <c r="AH508" s="122"/>
    </row>
    <row r="509" ht="22.5" customHeight="1">
      <c r="A509" s="73"/>
      <c r="B509" s="73"/>
      <c r="C509" s="73"/>
      <c r="D509" s="73"/>
      <c r="E509" s="330"/>
      <c r="F509" s="118"/>
      <c r="G509" s="118"/>
      <c r="H509" s="118"/>
      <c r="I509" s="118"/>
      <c r="J509" s="119"/>
      <c r="K509" s="120"/>
      <c r="L509" s="120"/>
      <c r="M509" s="120"/>
      <c r="N509" s="120"/>
      <c r="O509" s="118"/>
      <c r="P509" s="120"/>
      <c r="Q509" s="121"/>
      <c r="R509" s="109" t="b">
        <v>0</v>
      </c>
      <c r="S509" s="143"/>
      <c r="T509" s="110"/>
      <c r="U509" s="118"/>
      <c r="V509" s="118"/>
      <c r="W509" s="118"/>
      <c r="X509" s="118"/>
      <c r="Y509" s="118"/>
      <c r="Z509" s="118"/>
      <c r="AA509" s="118"/>
      <c r="AB509" s="118"/>
      <c r="AC509" s="118"/>
      <c r="AD509" s="111"/>
      <c r="AE509" s="122"/>
      <c r="AF509" s="122"/>
      <c r="AG509" s="122"/>
      <c r="AH509" s="122"/>
    </row>
    <row r="510" ht="22.5" customHeight="1">
      <c r="A510" s="73"/>
      <c r="B510" s="73"/>
      <c r="C510" s="73"/>
      <c r="D510" s="73"/>
      <c r="E510" s="330"/>
      <c r="F510" s="118"/>
      <c r="G510" s="118"/>
      <c r="H510" s="118"/>
      <c r="I510" s="118"/>
      <c r="J510" s="119"/>
      <c r="K510" s="120"/>
      <c r="L510" s="120"/>
      <c r="M510" s="120"/>
      <c r="N510" s="120"/>
      <c r="O510" s="118"/>
      <c r="P510" s="120"/>
      <c r="Q510" s="121"/>
      <c r="R510" s="109" t="b">
        <v>0</v>
      </c>
      <c r="S510" s="143"/>
      <c r="T510" s="110"/>
      <c r="U510" s="118"/>
      <c r="V510" s="118"/>
      <c r="W510" s="118"/>
      <c r="X510" s="118"/>
      <c r="Y510" s="118"/>
      <c r="Z510" s="118"/>
      <c r="AA510" s="118"/>
      <c r="AB510" s="118"/>
      <c r="AC510" s="118"/>
      <c r="AD510" s="111"/>
      <c r="AE510" s="122"/>
      <c r="AF510" s="122"/>
      <c r="AG510" s="122"/>
      <c r="AH510" s="122"/>
    </row>
    <row r="511" ht="22.5" customHeight="1">
      <c r="A511" s="73"/>
      <c r="B511" s="73"/>
      <c r="C511" s="73"/>
      <c r="D511" s="73"/>
      <c r="E511" s="330"/>
      <c r="F511" s="118"/>
      <c r="G511" s="118"/>
      <c r="H511" s="118"/>
      <c r="I511" s="118"/>
      <c r="J511" s="119"/>
      <c r="K511" s="120"/>
      <c r="L511" s="120"/>
      <c r="M511" s="120"/>
      <c r="N511" s="120"/>
      <c r="O511" s="118"/>
      <c r="P511" s="120"/>
      <c r="Q511" s="121"/>
      <c r="R511" s="109" t="b">
        <v>0</v>
      </c>
      <c r="S511" s="143"/>
      <c r="T511" s="110"/>
      <c r="U511" s="118"/>
      <c r="V511" s="118"/>
      <c r="W511" s="118"/>
      <c r="X511" s="118"/>
      <c r="Y511" s="118"/>
      <c r="Z511" s="118"/>
      <c r="AA511" s="118"/>
      <c r="AB511" s="118"/>
      <c r="AC511" s="118"/>
      <c r="AD511" s="111"/>
      <c r="AE511" s="122"/>
      <c r="AF511" s="122"/>
      <c r="AG511" s="122"/>
      <c r="AH511" s="122"/>
    </row>
    <row r="512" ht="22.5" customHeight="1">
      <c r="A512" s="73"/>
      <c r="B512" s="73"/>
      <c r="C512" s="73"/>
      <c r="D512" s="73"/>
      <c r="E512" s="330"/>
      <c r="F512" s="118"/>
      <c r="G512" s="118"/>
      <c r="H512" s="118"/>
      <c r="I512" s="118"/>
      <c r="J512" s="119"/>
      <c r="K512" s="120"/>
      <c r="L512" s="120"/>
      <c r="M512" s="120"/>
      <c r="N512" s="120"/>
      <c r="O512" s="118"/>
      <c r="P512" s="120"/>
      <c r="Q512" s="121"/>
      <c r="R512" s="109" t="b">
        <v>0</v>
      </c>
      <c r="S512" s="143"/>
      <c r="T512" s="110"/>
      <c r="U512" s="118"/>
      <c r="V512" s="118"/>
      <c r="W512" s="118"/>
      <c r="X512" s="118"/>
      <c r="Y512" s="118"/>
      <c r="Z512" s="118"/>
      <c r="AA512" s="118"/>
      <c r="AB512" s="118"/>
      <c r="AC512" s="118"/>
      <c r="AD512" s="111"/>
      <c r="AE512" s="122"/>
      <c r="AF512" s="122"/>
      <c r="AG512" s="122"/>
      <c r="AH512" s="122"/>
    </row>
    <row r="513" ht="22.5" customHeight="1">
      <c r="A513" s="73"/>
      <c r="B513" s="73"/>
      <c r="C513" s="73"/>
      <c r="D513" s="73"/>
      <c r="E513" s="330"/>
      <c r="F513" s="118"/>
      <c r="G513" s="118"/>
      <c r="H513" s="118"/>
      <c r="I513" s="118"/>
      <c r="J513" s="119"/>
      <c r="K513" s="120"/>
      <c r="L513" s="120"/>
      <c r="M513" s="120"/>
      <c r="N513" s="120"/>
      <c r="O513" s="118"/>
      <c r="P513" s="120"/>
      <c r="Q513" s="121"/>
      <c r="R513" s="109" t="b">
        <v>0</v>
      </c>
      <c r="S513" s="143"/>
      <c r="T513" s="110"/>
      <c r="U513" s="118"/>
      <c r="V513" s="118"/>
      <c r="W513" s="118"/>
      <c r="X513" s="118"/>
      <c r="Y513" s="118"/>
      <c r="Z513" s="118"/>
      <c r="AA513" s="118"/>
      <c r="AB513" s="118"/>
      <c r="AC513" s="118"/>
      <c r="AD513" s="111"/>
      <c r="AE513" s="122"/>
      <c r="AF513" s="122"/>
      <c r="AG513" s="122"/>
      <c r="AH513" s="122"/>
    </row>
    <row r="514" ht="22.5" customHeight="1">
      <c r="A514" s="73"/>
      <c r="B514" s="73"/>
      <c r="C514" s="73"/>
      <c r="D514" s="73"/>
      <c r="E514" s="330"/>
      <c r="F514" s="118"/>
      <c r="G514" s="118"/>
      <c r="H514" s="118"/>
      <c r="I514" s="118"/>
      <c r="J514" s="119"/>
      <c r="K514" s="120"/>
      <c r="L514" s="120"/>
      <c r="M514" s="120"/>
      <c r="N514" s="120"/>
      <c r="O514" s="118"/>
      <c r="P514" s="120"/>
      <c r="Q514" s="121"/>
      <c r="R514" s="109" t="b">
        <v>0</v>
      </c>
      <c r="S514" s="143"/>
      <c r="T514" s="110"/>
      <c r="U514" s="118"/>
      <c r="V514" s="118"/>
      <c r="W514" s="118"/>
      <c r="X514" s="118"/>
      <c r="Y514" s="118"/>
      <c r="Z514" s="118"/>
      <c r="AA514" s="118"/>
      <c r="AB514" s="118"/>
      <c r="AC514" s="118"/>
      <c r="AD514" s="111"/>
      <c r="AE514" s="122"/>
      <c r="AF514" s="122"/>
      <c r="AG514" s="122"/>
      <c r="AH514" s="122"/>
    </row>
    <row r="515" ht="22.5" customHeight="1">
      <c r="A515" s="73"/>
      <c r="B515" s="73"/>
      <c r="C515" s="73"/>
      <c r="D515" s="73"/>
      <c r="E515" s="330"/>
      <c r="F515" s="118"/>
      <c r="G515" s="118"/>
      <c r="H515" s="118"/>
      <c r="I515" s="118"/>
      <c r="J515" s="119"/>
      <c r="K515" s="120"/>
      <c r="L515" s="120"/>
      <c r="M515" s="120"/>
      <c r="N515" s="120"/>
      <c r="O515" s="118"/>
      <c r="P515" s="120"/>
      <c r="Q515" s="121"/>
      <c r="R515" s="109" t="b">
        <v>0</v>
      </c>
      <c r="S515" s="143"/>
      <c r="T515" s="110"/>
      <c r="U515" s="118"/>
      <c r="V515" s="118"/>
      <c r="W515" s="118"/>
      <c r="X515" s="118"/>
      <c r="Y515" s="118"/>
      <c r="Z515" s="118"/>
      <c r="AA515" s="118"/>
      <c r="AB515" s="118"/>
      <c r="AC515" s="118"/>
      <c r="AD515" s="111"/>
      <c r="AE515" s="122"/>
      <c r="AF515" s="122"/>
      <c r="AG515" s="122"/>
      <c r="AH515" s="122"/>
    </row>
    <row r="516" ht="22.5" customHeight="1">
      <c r="A516" s="73"/>
      <c r="B516" s="73"/>
      <c r="C516" s="73"/>
      <c r="D516" s="73"/>
      <c r="E516" s="330"/>
      <c r="F516" s="118"/>
      <c r="G516" s="118"/>
      <c r="H516" s="118"/>
      <c r="I516" s="118"/>
      <c r="J516" s="119"/>
      <c r="K516" s="120"/>
      <c r="L516" s="120"/>
      <c r="M516" s="120"/>
      <c r="N516" s="120"/>
      <c r="O516" s="118"/>
      <c r="P516" s="120"/>
      <c r="Q516" s="121"/>
      <c r="R516" s="109" t="b">
        <v>0</v>
      </c>
      <c r="S516" s="143"/>
      <c r="T516" s="110"/>
      <c r="U516" s="118"/>
      <c r="V516" s="118"/>
      <c r="W516" s="118"/>
      <c r="X516" s="118"/>
      <c r="Y516" s="118"/>
      <c r="Z516" s="118"/>
      <c r="AA516" s="118"/>
      <c r="AB516" s="118"/>
      <c r="AC516" s="118"/>
      <c r="AD516" s="111"/>
      <c r="AE516" s="122"/>
      <c r="AF516" s="122"/>
      <c r="AG516" s="122"/>
      <c r="AH516" s="122"/>
    </row>
    <row r="517" ht="22.5" customHeight="1">
      <c r="A517" s="73"/>
      <c r="B517" s="73"/>
      <c r="C517" s="73"/>
      <c r="D517" s="73"/>
      <c r="E517" s="330"/>
      <c r="F517" s="118"/>
      <c r="G517" s="118"/>
      <c r="H517" s="118"/>
      <c r="I517" s="118"/>
      <c r="J517" s="119"/>
      <c r="K517" s="120"/>
      <c r="L517" s="120"/>
      <c r="M517" s="120"/>
      <c r="N517" s="120"/>
      <c r="O517" s="118"/>
      <c r="P517" s="120"/>
      <c r="Q517" s="121"/>
      <c r="R517" s="109" t="b">
        <v>0</v>
      </c>
      <c r="S517" s="143"/>
      <c r="T517" s="110"/>
      <c r="U517" s="118"/>
      <c r="V517" s="118"/>
      <c r="W517" s="118"/>
      <c r="X517" s="118"/>
      <c r="Y517" s="118"/>
      <c r="Z517" s="118"/>
      <c r="AA517" s="118"/>
      <c r="AB517" s="118"/>
      <c r="AC517" s="118"/>
      <c r="AD517" s="111"/>
      <c r="AE517" s="122"/>
      <c r="AF517" s="122"/>
      <c r="AG517" s="122"/>
      <c r="AH517" s="122"/>
    </row>
    <row r="518" ht="22.5" customHeight="1">
      <c r="A518" s="73"/>
      <c r="B518" s="73"/>
      <c r="C518" s="73"/>
      <c r="D518" s="73"/>
      <c r="E518" s="330"/>
      <c r="F518" s="118"/>
      <c r="G518" s="118"/>
      <c r="H518" s="118"/>
      <c r="I518" s="118"/>
      <c r="J518" s="119"/>
      <c r="K518" s="120"/>
      <c r="L518" s="120"/>
      <c r="M518" s="120"/>
      <c r="N518" s="120"/>
      <c r="O518" s="118"/>
      <c r="P518" s="120"/>
      <c r="Q518" s="121"/>
      <c r="R518" s="109" t="b">
        <v>0</v>
      </c>
      <c r="S518" s="143"/>
      <c r="T518" s="110"/>
      <c r="U518" s="118"/>
      <c r="V518" s="118"/>
      <c r="W518" s="118"/>
      <c r="X518" s="118"/>
      <c r="Y518" s="118"/>
      <c r="Z518" s="118"/>
      <c r="AA518" s="118"/>
      <c r="AB518" s="118"/>
      <c r="AC518" s="118"/>
      <c r="AD518" s="111"/>
      <c r="AE518" s="122"/>
      <c r="AF518" s="122"/>
      <c r="AG518" s="122"/>
      <c r="AH518" s="122"/>
    </row>
    <row r="519" ht="22.5" customHeight="1">
      <c r="A519" s="73"/>
      <c r="B519" s="73"/>
      <c r="C519" s="73"/>
      <c r="D519" s="73"/>
      <c r="E519" s="330"/>
      <c r="F519" s="118"/>
      <c r="G519" s="118"/>
      <c r="H519" s="118"/>
      <c r="I519" s="118"/>
      <c r="J519" s="119"/>
      <c r="K519" s="120"/>
      <c r="L519" s="120"/>
      <c r="M519" s="120"/>
      <c r="N519" s="120"/>
      <c r="O519" s="118"/>
      <c r="P519" s="120"/>
      <c r="Q519" s="121"/>
      <c r="R519" s="109" t="b">
        <v>0</v>
      </c>
      <c r="S519" s="143"/>
      <c r="T519" s="110"/>
      <c r="U519" s="118"/>
      <c r="V519" s="118"/>
      <c r="W519" s="118"/>
      <c r="X519" s="118"/>
      <c r="Y519" s="118"/>
      <c r="Z519" s="118"/>
      <c r="AA519" s="118"/>
      <c r="AB519" s="118"/>
      <c r="AC519" s="118"/>
      <c r="AD519" s="111"/>
      <c r="AE519" s="122"/>
      <c r="AF519" s="122"/>
      <c r="AG519" s="122"/>
      <c r="AH519" s="122"/>
    </row>
    <row r="520" ht="22.5" customHeight="1">
      <c r="A520" s="73"/>
      <c r="B520" s="73"/>
      <c r="C520" s="73"/>
      <c r="D520" s="73"/>
      <c r="E520" s="330"/>
      <c r="F520" s="118"/>
      <c r="G520" s="118"/>
      <c r="H520" s="118"/>
      <c r="I520" s="118"/>
      <c r="J520" s="119"/>
      <c r="K520" s="120"/>
      <c r="L520" s="120"/>
      <c r="M520" s="120"/>
      <c r="N520" s="120"/>
      <c r="O520" s="118"/>
      <c r="P520" s="120"/>
      <c r="Q520" s="121"/>
      <c r="R520" s="109" t="b">
        <v>0</v>
      </c>
      <c r="S520" s="143"/>
      <c r="T520" s="110"/>
      <c r="U520" s="118"/>
      <c r="V520" s="118"/>
      <c r="W520" s="118"/>
      <c r="X520" s="118"/>
      <c r="Y520" s="118"/>
      <c r="Z520" s="118"/>
      <c r="AA520" s="118"/>
      <c r="AB520" s="118"/>
      <c r="AC520" s="118"/>
      <c r="AD520" s="111"/>
      <c r="AE520" s="122"/>
      <c r="AF520" s="122"/>
      <c r="AG520" s="122"/>
      <c r="AH520" s="122"/>
    </row>
    <row r="521" ht="22.5" customHeight="1">
      <c r="A521" s="73"/>
      <c r="B521" s="73"/>
      <c r="C521" s="73"/>
      <c r="D521" s="73"/>
      <c r="E521" s="330"/>
      <c r="F521" s="118"/>
      <c r="G521" s="118"/>
      <c r="H521" s="118"/>
      <c r="I521" s="118"/>
      <c r="J521" s="119"/>
      <c r="K521" s="120"/>
      <c r="L521" s="120"/>
      <c r="M521" s="120"/>
      <c r="N521" s="120"/>
      <c r="O521" s="118"/>
      <c r="P521" s="120"/>
      <c r="Q521" s="121"/>
      <c r="R521" s="109" t="b">
        <v>0</v>
      </c>
      <c r="S521" s="143"/>
      <c r="T521" s="110"/>
      <c r="U521" s="118"/>
      <c r="V521" s="118"/>
      <c r="W521" s="118"/>
      <c r="X521" s="118"/>
      <c r="Y521" s="118"/>
      <c r="Z521" s="118"/>
      <c r="AA521" s="118"/>
      <c r="AB521" s="118"/>
      <c r="AC521" s="118"/>
      <c r="AD521" s="111"/>
      <c r="AE521" s="122"/>
      <c r="AF521" s="122"/>
      <c r="AG521" s="122"/>
      <c r="AH521" s="122"/>
    </row>
    <row r="522" ht="22.5" customHeight="1">
      <c r="A522" s="73"/>
      <c r="B522" s="73"/>
      <c r="C522" s="73"/>
      <c r="D522" s="73"/>
      <c r="E522" s="330"/>
      <c r="F522" s="118"/>
      <c r="G522" s="118"/>
      <c r="H522" s="118"/>
      <c r="I522" s="118"/>
      <c r="J522" s="119"/>
      <c r="K522" s="120"/>
      <c r="L522" s="120"/>
      <c r="M522" s="120"/>
      <c r="N522" s="120"/>
      <c r="O522" s="118"/>
      <c r="P522" s="120"/>
      <c r="Q522" s="121"/>
      <c r="R522" s="109" t="b">
        <v>0</v>
      </c>
      <c r="S522" s="143"/>
      <c r="T522" s="110"/>
      <c r="U522" s="118"/>
      <c r="V522" s="118"/>
      <c r="W522" s="118"/>
      <c r="X522" s="118"/>
      <c r="Y522" s="118"/>
      <c r="Z522" s="118"/>
      <c r="AA522" s="118"/>
      <c r="AB522" s="118"/>
      <c r="AC522" s="118"/>
      <c r="AD522" s="111"/>
      <c r="AE522" s="122"/>
      <c r="AF522" s="122"/>
      <c r="AG522" s="122"/>
      <c r="AH522" s="122"/>
    </row>
    <row r="523" ht="22.5" customHeight="1">
      <c r="A523" s="73"/>
      <c r="B523" s="73"/>
      <c r="C523" s="73"/>
      <c r="D523" s="73"/>
      <c r="E523" s="330"/>
      <c r="F523" s="118"/>
      <c r="G523" s="118"/>
      <c r="H523" s="118"/>
      <c r="I523" s="118"/>
      <c r="J523" s="119"/>
      <c r="K523" s="120"/>
      <c r="L523" s="120"/>
      <c r="M523" s="120"/>
      <c r="N523" s="120"/>
      <c r="O523" s="118"/>
      <c r="P523" s="120"/>
      <c r="Q523" s="121"/>
      <c r="R523" s="109" t="b">
        <v>0</v>
      </c>
      <c r="S523" s="143"/>
      <c r="T523" s="110"/>
      <c r="U523" s="118"/>
      <c r="V523" s="118"/>
      <c r="W523" s="118"/>
      <c r="X523" s="118"/>
      <c r="Y523" s="118"/>
      <c r="Z523" s="118"/>
      <c r="AA523" s="118"/>
      <c r="AB523" s="118"/>
      <c r="AC523" s="118"/>
      <c r="AD523" s="111"/>
      <c r="AE523" s="122"/>
      <c r="AF523" s="122"/>
      <c r="AG523" s="122"/>
      <c r="AH523" s="122"/>
    </row>
    <row r="524" ht="22.5" customHeight="1">
      <c r="A524" s="73"/>
      <c r="B524" s="73"/>
      <c r="C524" s="73"/>
      <c r="D524" s="73"/>
      <c r="E524" s="330"/>
      <c r="F524" s="118"/>
      <c r="G524" s="118"/>
      <c r="H524" s="118"/>
      <c r="I524" s="118"/>
      <c r="J524" s="119"/>
      <c r="K524" s="120"/>
      <c r="L524" s="120"/>
      <c r="M524" s="120"/>
      <c r="N524" s="120"/>
      <c r="O524" s="118"/>
      <c r="P524" s="120"/>
      <c r="Q524" s="121"/>
      <c r="R524" s="109" t="b">
        <v>0</v>
      </c>
      <c r="S524" s="143"/>
      <c r="T524" s="110"/>
      <c r="U524" s="118"/>
      <c r="V524" s="118"/>
      <c r="W524" s="118"/>
      <c r="X524" s="118"/>
      <c r="Y524" s="118"/>
      <c r="Z524" s="118"/>
      <c r="AA524" s="118"/>
      <c r="AB524" s="118"/>
      <c r="AC524" s="118"/>
      <c r="AD524" s="111"/>
      <c r="AE524" s="122"/>
      <c r="AF524" s="122"/>
      <c r="AG524" s="122"/>
      <c r="AH524" s="122"/>
    </row>
    <row r="525" ht="22.5" customHeight="1">
      <c r="A525" s="73"/>
      <c r="B525" s="73"/>
      <c r="C525" s="73"/>
      <c r="D525" s="73"/>
      <c r="E525" s="330"/>
      <c r="F525" s="118"/>
      <c r="G525" s="118"/>
      <c r="H525" s="118"/>
      <c r="I525" s="118"/>
      <c r="J525" s="119"/>
      <c r="K525" s="120"/>
      <c r="L525" s="120"/>
      <c r="M525" s="120"/>
      <c r="N525" s="120"/>
      <c r="O525" s="118"/>
      <c r="P525" s="120"/>
      <c r="Q525" s="121"/>
      <c r="R525" s="109" t="b">
        <v>0</v>
      </c>
      <c r="S525" s="143"/>
      <c r="T525" s="110"/>
      <c r="U525" s="118"/>
      <c r="V525" s="118"/>
      <c r="W525" s="118"/>
      <c r="X525" s="118"/>
      <c r="Y525" s="118"/>
      <c r="Z525" s="118"/>
      <c r="AA525" s="118"/>
      <c r="AB525" s="118"/>
      <c r="AC525" s="118"/>
      <c r="AD525" s="111"/>
      <c r="AE525" s="122"/>
      <c r="AF525" s="122"/>
      <c r="AG525" s="122"/>
      <c r="AH525" s="122"/>
    </row>
    <row r="526" ht="22.5" customHeight="1">
      <c r="A526" s="73"/>
      <c r="B526" s="73"/>
      <c r="C526" s="73"/>
      <c r="D526" s="73"/>
      <c r="E526" s="330"/>
      <c r="F526" s="118"/>
      <c r="G526" s="118"/>
      <c r="H526" s="118"/>
      <c r="I526" s="118"/>
      <c r="J526" s="119"/>
      <c r="K526" s="120"/>
      <c r="L526" s="120"/>
      <c r="M526" s="120"/>
      <c r="N526" s="120"/>
      <c r="O526" s="118"/>
      <c r="P526" s="120"/>
      <c r="Q526" s="121"/>
      <c r="R526" s="109" t="b">
        <v>0</v>
      </c>
      <c r="S526" s="143"/>
      <c r="T526" s="110"/>
      <c r="U526" s="118"/>
      <c r="V526" s="118"/>
      <c r="W526" s="118"/>
      <c r="X526" s="118"/>
      <c r="Y526" s="118"/>
      <c r="Z526" s="118"/>
      <c r="AA526" s="118"/>
      <c r="AB526" s="118"/>
      <c r="AC526" s="118"/>
      <c r="AD526" s="111"/>
      <c r="AE526" s="122"/>
      <c r="AF526" s="122"/>
      <c r="AG526" s="122"/>
      <c r="AH526" s="122"/>
    </row>
    <row r="527" ht="22.5" customHeight="1">
      <c r="A527" s="73"/>
      <c r="B527" s="73"/>
      <c r="C527" s="73"/>
      <c r="D527" s="73"/>
      <c r="E527" s="330"/>
      <c r="F527" s="118"/>
      <c r="G527" s="118"/>
      <c r="H527" s="118"/>
      <c r="I527" s="118"/>
      <c r="J527" s="119"/>
      <c r="K527" s="120"/>
      <c r="L527" s="120"/>
      <c r="M527" s="120"/>
      <c r="N527" s="120"/>
      <c r="O527" s="118"/>
      <c r="P527" s="120"/>
      <c r="Q527" s="121"/>
      <c r="R527" s="109" t="b">
        <v>0</v>
      </c>
      <c r="S527" s="143"/>
      <c r="T527" s="110"/>
      <c r="U527" s="118"/>
      <c r="V527" s="118"/>
      <c r="W527" s="118"/>
      <c r="X527" s="118"/>
      <c r="Y527" s="118"/>
      <c r="Z527" s="118"/>
      <c r="AA527" s="118"/>
      <c r="AB527" s="118"/>
      <c r="AC527" s="118"/>
      <c r="AD527" s="111"/>
      <c r="AE527" s="122"/>
      <c r="AF527" s="122"/>
      <c r="AG527" s="122"/>
      <c r="AH527" s="122"/>
    </row>
    <row r="528" ht="22.5" customHeight="1">
      <c r="A528" s="73"/>
      <c r="B528" s="73"/>
      <c r="C528" s="73"/>
      <c r="D528" s="73"/>
      <c r="E528" s="330"/>
      <c r="F528" s="118"/>
      <c r="G528" s="118"/>
      <c r="H528" s="118"/>
      <c r="I528" s="118"/>
      <c r="J528" s="119"/>
      <c r="K528" s="120"/>
      <c r="L528" s="120"/>
      <c r="M528" s="120"/>
      <c r="N528" s="120"/>
      <c r="O528" s="118"/>
      <c r="P528" s="120"/>
      <c r="Q528" s="121"/>
      <c r="R528" s="109" t="b">
        <v>0</v>
      </c>
      <c r="S528" s="143"/>
      <c r="T528" s="110"/>
      <c r="U528" s="118"/>
      <c r="V528" s="118"/>
      <c r="W528" s="118"/>
      <c r="X528" s="118"/>
      <c r="Y528" s="118"/>
      <c r="Z528" s="118"/>
      <c r="AA528" s="118"/>
      <c r="AB528" s="118"/>
      <c r="AC528" s="118"/>
      <c r="AD528" s="111"/>
      <c r="AE528" s="122"/>
      <c r="AF528" s="122"/>
      <c r="AG528" s="122"/>
      <c r="AH528" s="122"/>
    </row>
    <row r="529" ht="22.5" customHeight="1">
      <c r="A529" s="73"/>
      <c r="B529" s="73"/>
      <c r="C529" s="73"/>
      <c r="D529" s="73"/>
      <c r="E529" s="330"/>
      <c r="F529" s="118"/>
      <c r="G529" s="118"/>
      <c r="H529" s="118"/>
      <c r="I529" s="118"/>
      <c r="J529" s="119"/>
      <c r="K529" s="120"/>
      <c r="L529" s="120"/>
      <c r="M529" s="120"/>
      <c r="N529" s="120"/>
      <c r="O529" s="118"/>
      <c r="P529" s="120"/>
      <c r="Q529" s="121"/>
      <c r="R529" s="109" t="b">
        <v>0</v>
      </c>
      <c r="S529" s="143"/>
      <c r="T529" s="110"/>
      <c r="U529" s="118"/>
      <c r="V529" s="118"/>
      <c r="W529" s="118"/>
      <c r="X529" s="118"/>
      <c r="Y529" s="118"/>
      <c r="Z529" s="118"/>
      <c r="AA529" s="118"/>
      <c r="AB529" s="118"/>
      <c r="AC529" s="118"/>
      <c r="AD529" s="111"/>
      <c r="AE529" s="122"/>
      <c r="AF529" s="122"/>
      <c r="AG529" s="122"/>
      <c r="AH529" s="122"/>
    </row>
    <row r="530" ht="22.5" customHeight="1">
      <c r="A530" s="73"/>
      <c r="B530" s="73"/>
      <c r="C530" s="73"/>
      <c r="D530" s="73"/>
      <c r="E530" s="330"/>
      <c r="F530" s="118"/>
      <c r="G530" s="118"/>
      <c r="H530" s="118"/>
      <c r="I530" s="118"/>
      <c r="J530" s="119"/>
      <c r="K530" s="120"/>
      <c r="L530" s="120"/>
      <c r="M530" s="120"/>
      <c r="N530" s="120"/>
      <c r="O530" s="118"/>
      <c r="P530" s="120"/>
      <c r="Q530" s="121"/>
      <c r="R530" s="109" t="b">
        <v>0</v>
      </c>
      <c r="S530" s="143"/>
      <c r="T530" s="110"/>
      <c r="U530" s="118"/>
      <c r="V530" s="118"/>
      <c r="W530" s="118"/>
      <c r="X530" s="118"/>
      <c r="Y530" s="118"/>
      <c r="Z530" s="118"/>
      <c r="AA530" s="118"/>
      <c r="AB530" s="118"/>
      <c r="AC530" s="118"/>
      <c r="AD530" s="111"/>
      <c r="AE530" s="122"/>
      <c r="AF530" s="122"/>
      <c r="AG530" s="122"/>
      <c r="AH530" s="122"/>
    </row>
    <row r="531" ht="22.5" customHeight="1">
      <c r="A531" s="73"/>
      <c r="B531" s="73"/>
      <c r="C531" s="73"/>
      <c r="D531" s="73"/>
      <c r="E531" s="330"/>
      <c r="F531" s="118"/>
      <c r="G531" s="118"/>
      <c r="H531" s="118"/>
      <c r="I531" s="118"/>
      <c r="J531" s="119"/>
      <c r="K531" s="120"/>
      <c r="L531" s="120"/>
      <c r="M531" s="120"/>
      <c r="N531" s="120"/>
      <c r="O531" s="118"/>
      <c r="P531" s="120"/>
      <c r="Q531" s="121"/>
      <c r="R531" s="109" t="b">
        <v>0</v>
      </c>
      <c r="S531" s="143"/>
      <c r="T531" s="110"/>
      <c r="U531" s="118"/>
      <c r="V531" s="118"/>
      <c r="W531" s="118"/>
      <c r="X531" s="118"/>
      <c r="Y531" s="118"/>
      <c r="Z531" s="118"/>
      <c r="AA531" s="118"/>
      <c r="AB531" s="118"/>
      <c r="AC531" s="118"/>
      <c r="AD531" s="111"/>
      <c r="AE531" s="122"/>
      <c r="AF531" s="122"/>
      <c r="AG531" s="122"/>
      <c r="AH531" s="122"/>
    </row>
    <row r="532" ht="22.5" customHeight="1">
      <c r="A532" s="73"/>
      <c r="B532" s="73"/>
      <c r="C532" s="73"/>
      <c r="D532" s="73"/>
      <c r="E532" s="330"/>
      <c r="F532" s="118"/>
      <c r="G532" s="118"/>
      <c r="H532" s="118"/>
      <c r="I532" s="118"/>
      <c r="J532" s="119"/>
      <c r="K532" s="120"/>
      <c r="L532" s="120"/>
      <c r="M532" s="120"/>
      <c r="N532" s="120"/>
      <c r="O532" s="118"/>
      <c r="P532" s="120"/>
      <c r="Q532" s="121"/>
      <c r="R532" s="109" t="b">
        <v>0</v>
      </c>
      <c r="S532" s="143"/>
      <c r="T532" s="110"/>
      <c r="U532" s="118"/>
      <c r="V532" s="118"/>
      <c r="W532" s="118"/>
      <c r="X532" s="118"/>
      <c r="Y532" s="118"/>
      <c r="Z532" s="118"/>
      <c r="AA532" s="118"/>
      <c r="AB532" s="118"/>
      <c r="AC532" s="118"/>
      <c r="AD532" s="111"/>
      <c r="AE532" s="122"/>
      <c r="AF532" s="122"/>
      <c r="AG532" s="122"/>
      <c r="AH532" s="122"/>
    </row>
    <row r="533" ht="22.5" customHeight="1">
      <c r="A533" s="73"/>
      <c r="B533" s="73"/>
      <c r="C533" s="73"/>
      <c r="D533" s="73"/>
      <c r="E533" s="330"/>
      <c r="F533" s="118"/>
      <c r="G533" s="118"/>
      <c r="H533" s="118"/>
      <c r="I533" s="118"/>
      <c r="J533" s="119"/>
      <c r="K533" s="120"/>
      <c r="L533" s="120"/>
      <c r="M533" s="120"/>
      <c r="N533" s="120"/>
      <c r="O533" s="118"/>
      <c r="P533" s="120"/>
      <c r="Q533" s="121"/>
      <c r="R533" s="109" t="b">
        <v>0</v>
      </c>
      <c r="S533" s="143"/>
      <c r="T533" s="110"/>
      <c r="U533" s="118"/>
      <c r="V533" s="118"/>
      <c r="W533" s="118"/>
      <c r="X533" s="118"/>
      <c r="Y533" s="118"/>
      <c r="Z533" s="118"/>
      <c r="AA533" s="118"/>
      <c r="AB533" s="118"/>
      <c r="AC533" s="118"/>
      <c r="AD533" s="111"/>
      <c r="AE533" s="122"/>
      <c r="AF533" s="122"/>
      <c r="AG533" s="122"/>
      <c r="AH533" s="122"/>
    </row>
    <row r="534" ht="22.5" customHeight="1">
      <c r="A534" s="73"/>
      <c r="B534" s="73"/>
      <c r="C534" s="73"/>
      <c r="D534" s="73"/>
      <c r="E534" s="330"/>
      <c r="F534" s="118"/>
      <c r="G534" s="118"/>
      <c r="H534" s="118"/>
      <c r="I534" s="118"/>
      <c r="J534" s="119"/>
      <c r="K534" s="120"/>
      <c r="L534" s="120"/>
      <c r="M534" s="120"/>
      <c r="N534" s="120"/>
      <c r="O534" s="118"/>
      <c r="P534" s="120"/>
      <c r="Q534" s="121"/>
      <c r="R534" s="109" t="b">
        <v>0</v>
      </c>
      <c r="S534" s="143"/>
      <c r="T534" s="110"/>
      <c r="U534" s="118"/>
      <c r="V534" s="118"/>
      <c r="W534" s="118"/>
      <c r="X534" s="118"/>
      <c r="Y534" s="118"/>
      <c r="Z534" s="118"/>
      <c r="AA534" s="118"/>
      <c r="AB534" s="118"/>
      <c r="AC534" s="118"/>
      <c r="AD534" s="111"/>
      <c r="AE534" s="122"/>
      <c r="AF534" s="122"/>
      <c r="AG534" s="122"/>
      <c r="AH534" s="122"/>
    </row>
    <row r="535" ht="22.5" customHeight="1">
      <c r="A535" s="73"/>
      <c r="B535" s="73"/>
      <c r="C535" s="73"/>
      <c r="D535" s="73"/>
      <c r="E535" s="330"/>
      <c r="F535" s="118"/>
      <c r="G535" s="118"/>
      <c r="H535" s="118"/>
      <c r="I535" s="118"/>
      <c r="J535" s="119"/>
      <c r="K535" s="120"/>
      <c r="L535" s="120"/>
      <c r="M535" s="120"/>
      <c r="N535" s="120"/>
      <c r="O535" s="118"/>
      <c r="P535" s="120"/>
      <c r="Q535" s="121"/>
      <c r="R535" s="109" t="b">
        <v>0</v>
      </c>
      <c r="S535" s="143"/>
      <c r="T535" s="110"/>
      <c r="U535" s="118"/>
      <c r="V535" s="118"/>
      <c r="W535" s="118"/>
      <c r="X535" s="118"/>
      <c r="Y535" s="118"/>
      <c r="Z535" s="118"/>
      <c r="AA535" s="118"/>
      <c r="AB535" s="118"/>
      <c r="AC535" s="118"/>
      <c r="AD535" s="111"/>
      <c r="AE535" s="122"/>
      <c r="AF535" s="122"/>
      <c r="AG535" s="122"/>
      <c r="AH535" s="122"/>
    </row>
    <row r="536" ht="22.5" customHeight="1">
      <c r="A536" s="73"/>
      <c r="B536" s="73"/>
      <c r="C536" s="73"/>
      <c r="D536" s="73"/>
      <c r="E536" s="330"/>
      <c r="F536" s="118"/>
      <c r="G536" s="118"/>
      <c r="H536" s="118"/>
      <c r="I536" s="118"/>
      <c r="J536" s="119"/>
      <c r="K536" s="120"/>
      <c r="L536" s="120"/>
      <c r="M536" s="120"/>
      <c r="N536" s="120"/>
      <c r="O536" s="118"/>
      <c r="P536" s="120"/>
      <c r="Q536" s="121"/>
      <c r="R536" s="109" t="b">
        <v>0</v>
      </c>
      <c r="S536" s="143"/>
      <c r="T536" s="110"/>
      <c r="U536" s="118"/>
      <c r="V536" s="118"/>
      <c r="W536" s="118"/>
      <c r="X536" s="118"/>
      <c r="Y536" s="118"/>
      <c r="Z536" s="118"/>
      <c r="AA536" s="118"/>
      <c r="AB536" s="118"/>
      <c r="AC536" s="118"/>
      <c r="AD536" s="111"/>
      <c r="AE536" s="122"/>
      <c r="AF536" s="122"/>
      <c r="AG536" s="122"/>
      <c r="AH536" s="122"/>
    </row>
    <row r="537" ht="22.5" customHeight="1">
      <c r="A537" s="73"/>
      <c r="B537" s="73"/>
      <c r="C537" s="73"/>
      <c r="D537" s="73"/>
      <c r="E537" s="330"/>
      <c r="F537" s="118"/>
      <c r="G537" s="118"/>
      <c r="H537" s="118"/>
      <c r="I537" s="118"/>
      <c r="J537" s="119"/>
      <c r="K537" s="120"/>
      <c r="L537" s="120"/>
      <c r="M537" s="120"/>
      <c r="N537" s="120"/>
      <c r="O537" s="118"/>
      <c r="P537" s="120"/>
      <c r="Q537" s="121"/>
      <c r="R537" s="109" t="b">
        <v>0</v>
      </c>
      <c r="S537" s="143"/>
      <c r="T537" s="110"/>
      <c r="U537" s="118"/>
      <c r="V537" s="118"/>
      <c r="W537" s="118"/>
      <c r="X537" s="118"/>
      <c r="Y537" s="118"/>
      <c r="Z537" s="118"/>
      <c r="AA537" s="118"/>
      <c r="AB537" s="118"/>
      <c r="AC537" s="118"/>
      <c r="AD537" s="111"/>
      <c r="AE537" s="122"/>
      <c r="AF537" s="122"/>
      <c r="AG537" s="122"/>
      <c r="AH537" s="122"/>
    </row>
    <row r="538" ht="22.5" customHeight="1">
      <c r="A538" s="73"/>
      <c r="B538" s="73"/>
      <c r="C538" s="73"/>
      <c r="D538" s="73"/>
      <c r="E538" s="330"/>
      <c r="F538" s="118"/>
      <c r="G538" s="118"/>
      <c r="H538" s="118"/>
      <c r="I538" s="118"/>
      <c r="J538" s="119"/>
      <c r="K538" s="120"/>
      <c r="L538" s="120"/>
      <c r="M538" s="120"/>
      <c r="N538" s="120"/>
      <c r="O538" s="118"/>
      <c r="P538" s="120"/>
      <c r="Q538" s="121"/>
      <c r="R538" s="109" t="b">
        <v>0</v>
      </c>
      <c r="S538" s="143"/>
      <c r="T538" s="110"/>
      <c r="U538" s="118"/>
      <c r="V538" s="118"/>
      <c r="W538" s="118"/>
      <c r="X538" s="118"/>
      <c r="Y538" s="118"/>
      <c r="Z538" s="118"/>
      <c r="AA538" s="118"/>
      <c r="AB538" s="118"/>
      <c r="AC538" s="118"/>
      <c r="AD538" s="111"/>
      <c r="AE538" s="122"/>
      <c r="AF538" s="122"/>
      <c r="AG538" s="122"/>
      <c r="AH538" s="122"/>
    </row>
    <row r="539" ht="22.5" customHeight="1">
      <c r="A539" s="73"/>
      <c r="B539" s="73"/>
      <c r="C539" s="73"/>
      <c r="D539" s="73"/>
      <c r="E539" s="330"/>
      <c r="F539" s="118"/>
      <c r="G539" s="118"/>
      <c r="H539" s="118"/>
      <c r="I539" s="118"/>
      <c r="J539" s="119"/>
      <c r="K539" s="120"/>
      <c r="L539" s="120"/>
      <c r="M539" s="120"/>
      <c r="N539" s="120"/>
      <c r="O539" s="118"/>
      <c r="P539" s="120"/>
      <c r="Q539" s="121"/>
      <c r="R539" s="109" t="b">
        <v>0</v>
      </c>
      <c r="S539" s="143"/>
      <c r="T539" s="110"/>
      <c r="U539" s="118"/>
      <c r="V539" s="118"/>
      <c r="W539" s="118"/>
      <c r="X539" s="118"/>
      <c r="Y539" s="118"/>
      <c r="Z539" s="118"/>
      <c r="AA539" s="118"/>
      <c r="AB539" s="118"/>
      <c r="AC539" s="118"/>
      <c r="AD539" s="111"/>
      <c r="AE539" s="122"/>
      <c r="AF539" s="122"/>
      <c r="AG539" s="122"/>
      <c r="AH539" s="122"/>
    </row>
    <row r="540" ht="22.5" customHeight="1">
      <c r="A540" s="73"/>
      <c r="B540" s="73"/>
      <c r="C540" s="73"/>
      <c r="D540" s="73"/>
      <c r="E540" s="330"/>
      <c r="F540" s="118"/>
      <c r="G540" s="118"/>
      <c r="H540" s="118"/>
      <c r="I540" s="118"/>
      <c r="J540" s="119"/>
      <c r="K540" s="120"/>
      <c r="L540" s="120"/>
      <c r="M540" s="120"/>
      <c r="N540" s="120"/>
      <c r="O540" s="118"/>
      <c r="P540" s="120"/>
      <c r="Q540" s="121"/>
      <c r="R540" s="109" t="b">
        <v>0</v>
      </c>
      <c r="S540" s="143"/>
      <c r="T540" s="110"/>
      <c r="U540" s="118"/>
      <c r="V540" s="118"/>
      <c r="W540" s="118"/>
      <c r="X540" s="118"/>
      <c r="Y540" s="118"/>
      <c r="Z540" s="118"/>
      <c r="AA540" s="118"/>
      <c r="AB540" s="118"/>
      <c r="AC540" s="118"/>
      <c r="AD540" s="111"/>
      <c r="AE540" s="122"/>
      <c r="AF540" s="122"/>
      <c r="AG540" s="122"/>
      <c r="AH540" s="122"/>
    </row>
    <row r="541" ht="22.5" customHeight="1">
      <c r="A541" s="73"/>
      <c r="B541" s="73"/>
      <c r="C541" s="73"/>
      <c r="D541" s="73"/>
      <c r="E541" s="330"/>
      <c r="F541" s="118"/>
      <c r="G541" s="118"/>
      <c r="H541" s="118"/>
      <c r="I541" s="118"/>
      <c r="J541" s="119"/>
      <c r="K541" s="120"/>
      <c r="L541" s="120"/>
      <c r="M541" s="120"/>
      <c r="N541" s="120"/>
      <c r="O541" s="118"/>
      <c r="P541" s="120"/>
      <c r="Q541" s="121"/>
      <c r="R541" s="109" t="b">
        <v>0</v>
      </c>
      <c r="S541" s="143"/>
      <c r="T541" s="110"/>
      <c r="U541" s="118"/>
      <c r="V541" s="118"/>
      <c r="W541" s="118"/>
      <c r="X541" s="118"/>
      <c r="Y541" s="118"/>
      <c r="Z541" s="118"/>
      <c r="AA541" s="118"/>
      <c r="AB541" s="118"/>
      <c r="AC541" s="118"/>
      <c r="AD541" s="111"/>
      <c r="AE541" s="122"/>
      <c r="AF541" s="122"/>
      <c r="AG541" s="122"/>
      <c r="AH541" s="122"/>
    </row>
    <row r="542" ht="22.5" customHeight="1">
      <c r="A542" s="73"/>
      <c r="B542" s="73"/>
      <c r="C542" s="73"/>
      <c r="D542" s="73"/>
      <c r="E542" s="330"/>
      <c r="F542" s="118"/>
      <c r="G542" s="118"/>
      <c r="H542" s="118"/>
      <c r="I542" s="118"/>
      <c r="J542" s="119"/>
      <c r="K542" s="120"/>
      <c r="L542" s="120"/>
      <c r="M542" s="120"/>
      <c r="N542" s="120"/>
      <c r="O542" s="118"/>
      <c r="P542" s="120"/>
      <c r="Q542" s="121"/>
      <c r="R542" s="109" t="b">
        <v>0</v>
      </c>
      <c r="S542" s="143"/>
      <c r="T542" s="110"/>
      <c r="U542" s="118"/>
      <c r="V542" s="118"/>
      <c r="W542" s="118"/>
      <c r="X542" s="118"/>
      <c r="Y542" s="118"/>
      <c r="Z542" s="118"/>
      <c r="AA542" s="118"/>
      <c r="AB542" s="118"/>
      <c r="AC542" s="118"/>
      <c r="AD542" s="111"/>
      <c r="AE542" s="122"/>
      <c r="AF542" s="122"/>
      <c r="AG542" s="122"/>
      <c r="AH542" s="122"/>
    </row>
    <row r="543" ht="22.5" customHeight="1">
      <c r="A543" s="73"/>
      <c r="B543" s="73"/>
      <c r="C543" s="73"/>
      <c r="D543" s="73"/>
      <c r="E543" s="330"/>
      <c r="F543" s="118"/>
      <c r="G543" s="118"/>
      <c r="H543" s="118"/>
      <c r="I543" s="118"/>
      <c r="J543" s="119"/>
      <c r="K543" s="120"/>
      <c r="L543" s="120"/>
      <c r="M543" s="120"/>
      <c r="N543" s="120"/>
      <c r="O543" s="118"/>
      <c r="P543" s="120"/>
      <c r="Q543" s="121"/>
      <c r="R543" s="109" t="b">
        <v>0</v>
      </c>
      <c r="S543" s="143"/>
      <c r="T543" s="110"/>
      <c r="U543" s="118"/>
      <c r="V543" s="118"/>
      <c r="W543" s="118"/>
      <c r="X543" s="118"/>
      <c r="Y543" s="118"/>
      <c r="Z543" s="118"/>
      <c r="AA543" s="118"/>
      <c r="AB543" s="118"/>
      <c r="AC543" s="118"/>
      <c r="AD543" s="111"/>
      <c r="AE543" s="122"/>
      <c r="AF543" s="122"/>
      <c r="AG543" s="122"/>
      <c r="AH543" s="122"/>
    </row>
    <row r="544" ht="22.5" customHeight="1">
      <c r="A544" s="73"/>
      <c r="B544" s="73"/>
      <c r="C544" s="73"/>
      <c r="D544" s="73"/>
      <c r="E544" s="330"/>
      <c r="F544" s="118"/>
      <c r="G544" s="118"/>
      <c r="H544" s="118"/>
      <c r="I544" s="118"/>
      <c r="J544" s="119"/>
      <c r="K544" s="120"/>
      <c r="L544" s="120"/>
      <c r="M544" s="120"/>
      <c r="N544" s="120"/>
      <c r="O544" s="118"/>
      <c r="P544" s="120"/>
      <c r="Q544" s="121"/>
      <c r="R544" s="109" t="b">
        <v>0</v>
      </c>
      <c r="S544" s="143"/>
      <c r="T544" s="110"/>
      <c r="U544" s="118"/>
      <c r="V544" s="118"/>
      <c r="W544" s="118"/>
      <c r="X544" s="118"/>
      <c r="Y544" s="118"/>
      <c r="Z544" s="118"/>
      <c r="AA544" s="118"/>
      <c r="AB544" s="118"/>
      <c r="AC544" s="118"/>
      <c r="AD544" s="111"/>
      <c r="AE544" s="122"/>
      <c r="AF544" s="122"/>
      <c r="AG544" s="122"/>
      <c r="AH544" s="122"/>
    </row>
    <row r="545" ht="22.5" customHeight="1">
      <c r="A545" s="73"/>
      <c r="B545" s="73"/>
      <c r="C545" s="73"/>
      <c r="D545" s="73"/>
      <c r="E545" s="330"/>
      <c r="F545" s="118"/>
      <c r="G545" s="118"/>
      <c r="H545" s="118"/>
      <c r="I545" s="118"/>
      <c r="J545" s="119"/>
      <c r="K545" s="120"/>
      <c r="L545" s="120"/>
      <c r="M545" s="120"/>
      <c r="N545" s="120"/>
      <c r="O545" s="118"/>
      <c r="P545" s="120"/>
      <c r="Q545" s="121"/>
      <c r="R545" s="109" t="b">
        <v>0</v>
      </c>
      <c r="S545" s="143"/>
      <c r="T545" s="110"/>
      <c r="U545" s="118"/>
      <c r="V545" s="118"/>
      <c r="W545" s="118"/>
      <c r="X545" s="118"/>
      <c r="Y545" s="118"/>
      <c r="Z545" s="118"/>
      <c r="AA545" s="118"/>
      <c r="AB545" s="118"/>
      <c r="AC545" s="118"/>
      <c r="AD545" s="111"/>
      <c r="AE545" s="122"/>
      <c r="AF545" s="122"/>
      <c r="AG545" s="122"/>
      <c r="AH545" s="122"/>
    </row>
    <row r="546" ht="22.5" customHeight="1">
      <c r="A546" s="73"/>
      <c r="B546" s="73"/>
      <c r="C546" s="73"/>
      <c r="D546" s="73"/>
      <c r="E546" s="330"/>
      <c r="F546" s="118"/>
      <c r="G546" s="118"/>
      <c r="H546" s="118"/>
      <c r="I546" s="118"/>
      <c r="J546" s="119"/>
      <c r="K546" s="120"/>
      <c r="L546" s="120"/>
      <c r="M546" s="120"/>
      <c r="N546" s="120"/>
      <c r="O546" s="118"/>
      <c r="P546" s="120"/>
      <c r="Q546" s="121"/>
      <c r="R546" s="109" t="b">
        <v>0</v>
      </c>
      <c r="S546" s="143"/>
      <c r="T546" s="110"/>
      <c r="U546" s="118"/>
      <c r="V546" s="118"/>
      <c r="W546" s="118"/>
      <c r="X546" s="118"/>
      <c r="Y546" s="118"/>
      <c r="Z546" s="118"/>
      <c r="AA546" s="118"/>
      <c r="AB546" s="118"/>
      <c r="AC546" s="118"/>
      <c r="AD546" s="111"/>
      <c r="AE546" s="122"/>
      <c r="AF546" s="122"/>
      <c r="AG546" s="122"/>
      <c r="AH546" s="122"/>
    </row>
    <row r="547" ht="22.5" customHeight="1">
      <c r="A547" s="73"/>
      <c r="B547" s="73"/>
      <c r="C547" s="73"/>
      <c r="D547" s="73"/>
      <c r="E547" s="330"/>
      <c r="F547" s="118"/>
      <c r="G547" s="118"/>
      <c r="H547" s="118"/>
      <c r="I547" s="118"/>
      <c r="J547" s="119"/>
      <c r="K547" s="120"/>
      <c r="L547" s="120"/>
      <c r="M547" s="120"/>
      <c r="N547" s="120"/>
      <c r="O547" s="118"/>
      <c r="P547" s="120"/>
      <c r="Q547" s="121"/>
      <c r="R547" s="109" t="b">
        <v>0</v>
      </c>
      <c r="S547" s="143"/>
      <c r="T547" s="110"/>
      <c r="U547" s="118"/>
      <c r="V547" s="118"/>
      <c r="W547" s="118"/>
      <c r="X547" s="118"/>
      <c r="Y547" s="118"/>
      <c r="Z547" s="118"/>
      <c r="AA547" s="118"/>
      <c r="AB547" s="118"/>
      <c r="AC547" s="118"/>
      <c r="AD547" s="111"/>
      <c r="AE547" s="122"/>
      <c r="AF547" s="122"/>
      <c r="AG547" s="122"/>
      <c r="AH547" s="122"/>
    </row>
    <row r="548" ht="22.5" customHeight="1">
      <c r="A548" s="73"/>
      <c r="B548" s="73"/>
      <c r="C548" s="73"/>
      <c r="D548" s="73"/>
      <c r="E548" s="330"/>
      <c r="F548" s="118"/>
      <c r="G548" s="118"/>
      <c r="H548" s="118"/>
      <c r="I548" s="118"/>
      <c r="J548" s="119"/>
      <c r="K548" s="120"/>
      <c r="L548" s="120"/>
      <c r="M548" s="120"/>
      <c r="N548" s="120"/>
      <c r="O548" s="118"/>
      <c r="P548" s="120"/>
      <c r="Q548" s="121"/>
      <c r="R548" s="109" t="b">
        <v>0</v>
      </c>
      <c r="S548" s="143"/>
      <c r="T548" s="110"/>
      <c r="U548" s="118"/>
      <c r="V548" s="118"/>
      <c r="W548" s="118"/>
      <c r="X548" s="118"/>
      <c r="Y548" s="118"/>
      <c r="Z548" s="118"/>
      <c r="AA548" s="118"/>
      <c r="AB548" s="118"/>
      <c r="AC548" s="118"/>
      <c r="AD548" s="111"/>
      <c r="AE548" s="122"/>
      <c r="AF548" s="122"/>
      <c r="AG548" s="122"/>
      <c r="AH548" s="122"/>
    </row>
    <row r="549" ht="22.5" customHeight="1">
      <c r="A549" s="73"/>
      <c r="B549" s="73"/>
      <c r="C549" s="73"/>
      <c r="D549" s="73"/>
      <c r="E549" s="330"/>
      <c r="F549" s="118"/>
      <c r="G549" s="118"/>
      <c r="H549" s="118"/>
      <c r="I549" s="118"/>
      <c r="J549" s="119"/>
      <c r="K549" s="120"/>
      <c r="L549" s="120"/>
      <c r="M549" s="120"/>
      <c r="N549" s="120"/>
      <c r="O549" s="118"/>
      <c r="P549" s="120"/>
      <c r="Q549" s="121"/>
      <c r="R549" s="109" t="b">
        <v>0</v>
      </c>
      <c r="S549" s="143"/>
      <c r="T549" s="110"/>
      <c r="U549" s="118"/>
      <c r="V549" s="118"/>
      <c r="W549" s="118"/>
      <c r="X549" s="118"/>
      <c r="Y549" s="118"/>
      <c r="Z549" s="118"/>
      <c r="AA549" s="118"/>
      <c r="AB549" s="118"/>
      <c r="AC549" s="118"/>
      <c r="AD549" s="111"/>
      <c r="AE549" s="122"/>
      <c r="AF549" s="122"/>
      <c r="AG549" s="122"/>
      <c r="AH549" s="122"/>
    </row>
    <row r="550" ht="22.5" customHeight="1">
      <c r="A550" s="73"/>
      <c r="B550" s="73"/>
      <c r="C550" s="73"/>
      <c r="D550" s="73"/>
      <c r="E550" s="330"/>
      <c r="F550" s="118"/>
      <c r="G550" s="118"/>
      <c r="H550" s="118"/>
      <c r="I550" s="118"/>
      <c r="J550" s="119"/>
      <c r="K550" s="120"/>
      <c r="L550" s="120"/>
      <c r="M550" s="120"/>
      <c r="N550" s="120"/>
      <c r="O550" s="118"/>
      <c r="P550" s="120"/>
      <c r="Q550" s="121"/>
      <c r="R550" s="109" t="b">
        <v>0</v>
      </c>
      <c r="S550" s="143"/>
      <c r="T550" s="110"/>
      <c r="U550" s="118"/>
      <c r="V550" s="118"/>
      <c r="W550" s="118"/>
      <c r="X550" s="118"/>
      <c r="Y550" s="118"/>
      <c r="Z550" s="118"/>
      <c r="AA550" s="118"/>
      <c r="AB550" s="118"/>
      <c r="AC550" s="118"/>
      <c r="AD550" s="111"/>
      <c r="AE550" s="122"/>
      <c r="AF550" s="122"/>
      <c r="AG550" s="122"/>
      <c r="AH550" s="122"/>
    </row>
    <row r="551" ht="22.5" customHeight="1">
      <c r="A551" s="73"/>
      <c r="B551" s="73"/>
      <c r="C551" s="73"/>
      <c r="D551" s="73"/>
      <c r="E551" s="330"/>
      <c r="F551" s="118"/>
      <c r="G551" s="118"/>
      <c r="H551" s="118"/>
      <c r="I551" s="118"/>
      <c r="J551" s="119"/>
      <c r="K551" s="120"/>
      <c r="L551" s="120"/>
      <c r="M551" s="120"/>
      <c r="N551" s="120"/>
      <c r="O551" s="118"/>
      <c r="P551" s="120"/>
      <c r="Q551" s="121"/>
      <c r="R551" s="109" t="b">
        <v>0</v>
      </c>
      <c r="S551" s="143"/>
      <c r="T551" s="110"/>
      <c r="U551" s="118"/>
      <c r="V551" s="118"/>
      <c r="W551" s="118"/>
      <c r="X551" s="118"/>
      <c r="Y551" s="118"/>
      <c r="Z551" s="118"/>
      <c r="AA551" s="118"/>
      <c r="AB551" s="118"/>
      <c r="AC551" s="118"/>
      <c r="AD551" s="111"/>
      <c r="AE551" s="122"/>
      <c r="AF551" s="122"/>
      <c r="AG551" s="122"/>
      <c r="AH551" s="122"/>
    </row>
    <row r="552" ht="22.5" customHeight="1">
      <c r="A552" s="73"/>
      <c r="B552" s="73"/>
      <c r="C552" s="73"/>
      <c r="D552" s="73"/>
      <c r="E552" s="330"/>
      <c r="F552" s="118"/>
      <c r="G552" s="118"/>
      <c r="H552" s="118"/>
      <c r="I552" s="118"/>
      <c r="J552" s="119"/>
      <c r="K552" s="120"/>
      <c r="L552" s="120"/>
      <c r="M552" s="120"/>
      <c r="N552" s="120"/>
      <c r="O552" s="118"/>
      <c r="P552" s="120"/>
      <c r="Q552" s="121"/>
      <c r="R552" s="109" t="b">
        <v>0</v>
      </c>
      <c r="S552" s="143"/>
      <c r="T552" s="110"/>
      <c r="U552" s="118"/>
      <c r="V552" s="118"/>
      <c r="W552" s="118"/>
      <c r="X552" s="118"/>
      <c r="Y552" s="118"/>
      <c r="Z552" s="118"/>
      <c r="AA552" s="118"/>
      <c r="AB552" s="118"/>
      <c r="AC552" s="118"/>
      <c r="AD552" s="111"/>
      <c r="AE552" s="122"/>
      <c r="AF552" s="122"/>
      <c r="AG552" s="122"/>
      <c r="AH552" s="122"/>
    </row>
    <row r="553" ht="22.5" customHeight="1">
      <c r="A553" s="73"/>
      <c r="B553" s="73"/>
      <c r="C553" s="73"/>
      <c r="D553" s="73"/>
      <c r="E553" s="330"/>
      <c r="F553" s="118"/>
      <c r="G553" s="118"/>
      <c r="H553" s="118"/>
      <c r="I553" s="118"/>
      <c r="J553" s="119"/>
      <c r="K553" s="120"/>
      <c r="L553" s="120"/>
      <c r="M553" s="120"/>
      <c r="N553" s="120"/>
      <c r="O553" s="118"/>
      <c r="P553" s="120"/>
      <c r="Q553" s="121"/>
      <c r="R553" s="109" t="b">
        <v>0</v>
      </c>
      <c r="S553" s="143"/>
      <c r="T553" s="110"/>
      <c r="U553" s="118"/>
      <c r="V553" s="118"/>
      <c r="W553" s="118"/>
      <c r="X553" s="118"/>
      <c r="Y553" s="118"/>
      <c r="Z553" s="118"/>
      <c r="AA553" s="118"/>
      <c r="AB553" s="118"/>
      <c r="AC553" s="118"/>
      <c r="AD553" s="111"/>
      <c r="AE553" s="122"/>
      <c r="AF553" s="122"/>
      <c r="AG553" s="122"/>
      <c r="AH553" s="122"/>
    </row>
    <row r="554" ht="22.5" customHeight="1">
      <c r="A554" s="73"/>
      <c r="B554" s="73"/>
      <c r="C554" s="73"/>
      <c r="D554" s="73"/>
      <c r="E554" s="330"/>
      <c r="F554" s="118"/>
      <c r="G554" s="118"/>
      <c r="H554" s="118"/>
      <c r="I554" s="118"/>
      <c r="J554" s="119"/>
      <c r="K554" s="120"/>
      <c r="L554" s="120"/>
      <c r="M554" s="120"/>
      <c r="N554" s="120"/>
      <c r="O554" s="118"/>
      <c r="P554" s="120"/>
      <c r="Q554" s="121"/>
      <c r="R554" s="109" t="b">
        <v>0</v>
      </c>
      <c r="S554" s="143"/>
      <c r="T554" s="110"/>
      <c r="U554" s="118"/>
      <c r="V554" s="118"/>
      <c r="W554" s="118"/>
      <c r="X554" s="118"/>
      <c r="Y554" s="118"/>
      <c r="Z554" s="118"/>
      <c r="AA554" s="118"/>
      <c r="AB554" s="118"/>
      <c r="AC554" s="118"/>
      <c r="AD554" s="111"/>
      <c r="AE554" s="122"/>
      <c r="AF554" s="122"/>
      <c r="AG554" s="122"/>
      <c r="AH554" s="122"/>
    </row>
    <row r="555" ht="22.5" customHeight="1">
      <c r="A555" s="73"/>
      <c r="B555" s="73"/>
      <c r="C555" s="73"/>
      <c r="D555" s="73"/>
      <c r="E555" s="330"/>
      <c r="F555" s="118"/>
      <c r="G555" s="118"/>
      <c r="H555" s="118"/>
      <c r="I555" s="118"/>
      <c r="J555" s="119"/>
      <c r="K555" s="120"/>
      <c r="L555" s="120"/>
      <c r="M555" s="120"/>
      <c r="N555" s="120"/>
      <c r="O555" s="118"/>
      <c r="P555" s="120"/>
      <c r="Q555" s="121"/>
      <c r="R555" s="109" t="b">
        <v>0</v>
      </c>
      <c r="S555" s="143"/>
      <c r="T555" s="110"/>
      <c r="U555" s="118"/>
      <c r="V555" s="118"/>
      <c r="W555" s="118"/>
      <c r="X555" s="118"/>
      <c r="Y555" s="118"/>
      <c r="Z555" s="118"/>
      <c r="AA555" s="118"/>
      <c r="AB555" s="118"/>
      <c r="AC555" s="118"/>
      <c r="AD555" s="111"/>
      <c r="AE555" s="122"/>
      <c r="AF555" s="122"/>
      <c r="AG555" s="122"/>
      <c r="AH555" s="122"/>
    </row>
    <row r="556" ht="22.5" customHeight="1">
      <c r="A556" s="73"/>
      <c r="B556" s="73"/>
      <c r="C556" s="73"/>
      <c r="D556" s="73"/>
      <c r="E556" s="330"/>
      <c r="F556" s="118"/>
      <c r="G556" s="118"/>
      <c r="H556" s="118"/>
      <c r="I556" s="118"/>
      <c r="J556" s="119"/>
      <c r="K556" s="120"/>
      <c r="L556" s="120"/>
      <c r="M556" s="120"/>
      <c r="N556" s="120"/>
      <c r="O556" s="118"/>
      <c r="P556" s="120"/>
      <c r="Q556" s="121"/>
      <c r="R556" s="109" t="b">
        <v>0</v>
      </c>
      <c r="S556" s="143"/>
      <c r="T556" s="110"/>
      <c r="U556" s="118"/>
      <c r="V556" s="118"/>
      <c r="W556" s="118"/>
      <c r="X556" s="118"/>
      <c r="Y556" s="118"/>
      <c r="Z556" s="118"/>
      <c r="AA556" s="118"/>
      <c r="AB556" s="118"/>
      <c r="AC556" s="118"/>
      <c r="AD556" s="111"/>
      <c r="AE556" s="122"/>
      <c r="AF556" s="122"/>
      <c r="AG556" s="122"/>
      <c r="AH556" s="122"/>
    </row>
    <row r="557" ht="22.5" customHeight="1">
      <c r="A557" s="73"/>
      <c r="B557" s="73"/>
      <c r="C557" s="73"/>
      <c r="D557" s="73"/>
      <c r="E557" s="330"/>
      <c r="F557" s="118"/>
      <c r="G557" s="118"/>
      <c r="H557" s="118"/>
      <c r="I557" s="118"/>
      <c r="J557" s="119"/>
      <c r="K557" s="120"/>
      <c r="L557" s="120"/>
      <c r="M557" s="120"/>
      <c r="N557" s="120"/>
      <c r="O557" s="118"/>
      <c r="P557" s="120"/>
      <c r="Q557" s="121"/>
      <c r="R557" s="109" t="b">
        <v>0</v>
      </c>
      <c r="S557" s="143"/>
      <c r="T557" s="110"/>
      <c r="U557" s="118"/>
      <c r="V557" s="118"/>
      <c r="W557" s="118"/>
      <c r="X557" s="118"/>
      <c r="Y557" s="118"/>
      <c r="Z557" s="118"/>
      <c r="AA557" s="118"/>
      <c r="AB557" s="118"/>
      <c r="AC557" s="118"/>
      <c r="AD557" s="111"/>
      <c r="AE557" s="122"/>
      <c r="AF557" s="122"/>
      <c r="AG557" s="122"/>
      <c r="AH557" s="122"/>
    </row>
    <row r="558" ht="22.5" customHeight="1">
      <c r="A558" s="73"/>
      <c r="B558" s="73"/>
      <c r="C558" s="73"/>
      <c r="D558" s="73"/>
      <c r="E558" s="330"/>
      <c r="F558" s="118"/>
      <c r="G558" s="118"/>
      <c r="H558" s="118"/>
      <c r="I558" s="118"/>
      <c r="J558" s="119"/>
      <c r="K558" s="120"/>
      <c r="L558" s="120"/>
      <c r="M558" s="120"/>
      <c r="N558" s="120"/>
      <c r="O558" s="118"/>
      <c r="P558" s="120"/>
      <c r="Q558" s="121"/>
      <c r="R558" s="109" t="b">
        <v>0</v>
      </c>
      <c r="S558" s="143"/>
      <c r="T558" s="110"/>
      <c r="U558" s="118"/>
      <c r="V558" s="118"/>
      <c r="W558" s="118"/>
      <c r="X558" s="118"/>
      <c r="Y558" s="118"/>
      <c r="Z558" s="118"/>
      <c r="AA558" s="118"/>
      <c r="AB558" s="118"/>
      <c r="AC558" s="118"/>
      <c r="AD558" s="111"/>
      <c r="AE558" s="122"/>
      <c r="AF558" s="122"/>
      <c r="AG558" s="122"/>
      <c r="AH558" s="122"/>
    </row>
    <row r="559" ht="22.5" customHeight="1">
      <c r="A559" s="73"/>
      <c r="B559" s="73"/>
      <c r="C559" s="73"/>
      <c r="D559" s="73"/>
      <c r="E559" s="330"/>
      <c r="F559" s="118"/>
      <c r="G559" s="118"/>
      <c r="H559" s="118"/>
      <c r="I559" s="118"/>
      <c r="J559" s="119"/>
      <c r="K559" s="120"/>
      <c r="L559" s="120"/>
      <c r="M559" s="120"/>
      <c r="N559" s="120"/>
      <c r="O559" s="118"/>
      <c r="P559" s="120"/>
      <c r="Q559" s="121"/>
      <c r="R559" s="109" t="b">
        <v>0</v>
      </c>
      <c r="S559" s="143"/>
      <c r="T559" s="110"/>
      <c r="U559" s="118"/>
      <c r="V559" s="118"/>
      <c r="W559" s="118"/>
      <c r="X559" s="118"/>
      <c r="Y559" s="118"/>
      <c r="Z559" s="118"/>
      <c r="AA559" s="118"/>
      <c r="AB559" s="118"/>
      <c r="AC559" s="118"/>
      <c r="AD559" s="111"/>
      <c r="AE559" s="122"/>
      <c r="AF559" s="122"/>
      <c r="AG559" s="122"/>
      <c r="AH559" s="122"/>
    </row>
    <row r="560" ht="22.5" customHeight="1">
      <c r="A560" s="73"/>
      <c r="B560" s="73"/>
      <c r="C560" s="73"/>
      <c r="D560" s="73"/>
      <c r="E560" s="330"/>
      <c r="F560" s="118"/>
      <c r="G560" s="118"/>
      <c r="H560" s="118"/>
      <c r="I560" s="118"/>
      <c r="J560" s="119"/>
      <c r="K560" s="120"/>
      <c r="L560" s="120"/>
      <c r="M560" s="120"/>
      <c r="N560" s="120"/>
      <c r="O560" s="118"/>
      <c r="P560" s="120"/>
      <c r="Q560" s="121"/>
      <c r="R560" s="109" t="b">
        <v>0</v>
      </c>
      <c r="S560" s="143"/>
      <c r="T560" s="110"/>
      <c r="U560" s="118"/>
      <c r="V560" s="118"/>
      <c r="W560" s="118"/>
      <c r="X560" s="118"/>
      <c r="Y560" s="118"/>
      <c r="Z560" s="118"/>
      <c r="AA560" s="118"/>
      <c r="AB560" s="118"/>
      <c r="AC560" s="118"/>
      <c r="AD560" s="111"/>
      <c r="AE560" s="122"/>
      <c r="AF560" s="122"/>
      <c r="AG560" s="122"/>
      <c r="AH560" s="122"/>
    </row>
    <row r="561" ht="22.5" customHeight="1">
      <c r="A561" s="73"/>
      <c r="B561" s="73"/>
      <c r="C561" s="73"/>
      <c r="D561" s="73"/>
      <c r="E561" s="330"/>
      <c r="F561" s="118"/>
      <c r="G561" s="118"/>
      <c r="H561" s="118"/>
      <c r="I561" s="118"/>
      <c r="J561" s="119"/>
      <c r="K561" s="120"/>
      <c r="L561" s="120"/>
      <c r="M561" s="120"/>
      <c r="N561" s="120"/>
      <c r="O561" s="118"/>
      <c r="P561" s="120"/>
      <c r="Q561" s="121"/>
      <c r="R561" s="109" t="b">
        <v>0</v>
      </c>
      <c r="S561" s="143"/>
      <c r="T561" s="110"/>
      <c r="U561" s="118"/>
      <c r="V561" s="118"/>
      <c r="W561" s="118"/>
      <c r="X561" s="118"/>
      <c r="Y561" s="118"/>
      <c r="Z561" s="118"/>
      <c r="AA561" s="118"/>
      <c r="AB561" s="118"/>
      <c r="AC561" s="118"/>
      <c r="AD561" s="111"/>
      <c r="AE561" s="122"/>
      <c r="AF561" s="122"/>
      <c r="AG561" s="122"/>
      <c r="AH561" s="122"/>
    </row>
    <row r="562" ht="22.5" customHeight="1">
      <c r="A562" s="73"/>
      <c r="B562" s="73"/>
      <c r="C562" s="73"/>
      <c r="D562" s="73"/>
      <c r="E562" s="330"/>
      <c r="F562" s="118"/>
      <c r="G562" s="118"/>
      <c r="H562" s="118"/>
      <c r="I562" s="118"/>
      <c r="J562" s="119"/>
      <c r="K562" s="120"/>
      <c r="L562" s="120"/>
      <c r="M562" s="120"/>
      <c r="N562" s="120"/>
      <c r="O562" s="118"/>
      <c r="P562" s="120"/>
      <c r="Q562" s="121"/>
      <c r="R562" s="109" t="b">
        <v>0</v>
      </c>
      <c r="S562" s="143"/>
      <c r="T562" s="110"/>
      <c r="U562" s="118"/>
      <c r="V562" s="118"/>
      <c r="W562" s="118"/>
      <c r="X562" s="118"/>
      <c r="Y562" s="118"/>
      <c r="Z562" s="118"/>
      <c r="AA562" s="118"/>
      <c r="AB562" s="118"/>
      <c r="AC562" s="118"/>
      <c r="AD562" s="111"/>
      <c r="AE562" s="122"/>
      <c r="AF562" s="122"/>
      <c r="AG562" s="122"/>
      <c r="AH562" s="122"/>
    </row>
    <row r="563" ht="22.5" customHeight="1">
      <c r="A563" s="73"/>
      <c r="B563" s="73"/>
      <c r="C563" s="73"/>
      <c r="D563" s="73"/>
      <c r="E563" s="330"/>
      <c r="F563" s="118"/>
      <c r="G563" s="118"/>
      <c r="H563" s="118"/>
      <c r="I563" s="118"/>
      <c r="J563" s="119"/>
      <c r="K563" s="120"/>
      <c r="L563" s="120"/>
      <c r="M563" s="120"/>
      <c r="N563" s="120"/>
      <c r="O563" s="118"/>
      <c r="P563" s="120"/>
      <c r="Q563" s="121"/>
      <c r="R563" s="109" t="b">
        <v>0</v>
      </c>
      <c r="S563" s="143"/>
      <c r="T563" s="110"/>
      <c r="U563" s="118"/>
      <c r="V563" s="118"/>
      <c r="W563" s="118"/>
      <c r="X563" s="118"/>
      <c r="Y563" s="118"/>
      <c r="Z563" s="118"/>
      <c r="AA563" s="118"/>
      <c r="AB563" s="118"/>
      <c r="AC563" s="118"/>
      <c r="AD563" s="111"/>
      <c r="AE563" s="122"/>
      <c r="AF563" s="122"/>
      <c r="AG563" s="122"/>
      <c r="AH563" s="122"/>
    </row>
    <row r="564" ht="22.5" customHeight="1">
      <c r="A564" s="73"/>
      <c r="B564" s="73"/>
      <c r="C564" s="73"/>
      <c r="D564" s="73"/>
      <c r="E564" s="330"/>
      <c r="F564" s="118"/>
      <c r="G564" s="118"/>
      <c r="H564" s="118"/>
      <c r="I564" s="118"/>
      <c r="J564" s="119"/>
      <c r="K564" s="120"/>
      <c r="L564" s="120"/>
      <c r="M564" s="120"/>
      <c r="N564" s="120"/>
      <c r="O564" s="118"/>
      <c r="P564" s="120"/>
      <c r="Q564" s="121"/>
      <c r="R564" s="109" t="b">
        <v>0</v>
      </c>
      <c r="S564" s="143"/>
      <c r="T564" s="110"/>
      <c r="U564" s="118"/>
      <c r="V564" s="118"/>
      <c r="W564" s="118"/>
      <c r="X564" s="118"/>
      <c r="Y564" s="118"/>
      <c r="Z564" s="118"/>
      <c r="AA564" s="118"/>
      <c r="AB564" s="118"/>
      <c r="AC564" s="118"/>
      <c r="AD564" s="111"/>
      <c r="AE564" s="122"/>
      <c r="AF564" s="122"/>
      <c r="AG564" s="122"/>
      <c r="AH564" s="122"/>
    </row>
    <row r="565" ht="22.5" customHeight="1">
      <c r="A565" s="73"/>
      <c r="B565" s="73"/>
      <c r="C565" s="73"/>
      <c r="D565" s="73"/>
      <c r="E565" s="330"/>
      <c r="F565" s="118"/>
      <c r="G565" s="118"/>
      <c r="H565" s="118"/>
      <c r="I565" s="118"/>
      <c r="J565" s="119"/>
      <c r="K565" s="120"/>
      <c r="L565" s="120"/>
      <c r="M565" s="120"/>
      <c r="N565" s="120"/>
      <c r="O565" s="118"/>
      <c r="P565" s="120"/>
      <c r="Q565" s="121"/>
      <c r="R565" s="109" t="b">
        <v>0</v>
      </c>
      <c r="S565" s="143"/>
      <c r="T565" s="110"/>
      <c r="U565" s="118"/>
      <c r="V565" s="118"/>
      <c r="W565" s="118"/>
      <c r="X565" s="118"/>
      <c r="Y565" s="118"/>
      <c r="Z565" s="118"/>
      <c r="AA565" s="118"/>
      <c r="AB565" s="118"/>
      <c r="AC565" s="118"/>
      <c r="AD565" s="111"/>
      <c r="AE565" s="122"/>
      <c r="AF565" s="122"/>
      <c r="AG565" s="122"/>
      <c r="AH565" s="122"/>
    </row>
    <row r="566" ht="22.5" customHeight="1">
      <c r="A566" s="73"/>
      <c r="B566" s="73"/>
      <c r="C566" s="73"/>
      <c r="D566" s="73"/>
      <c r="E566" s="330"/>
      <c r="F566" s="118"/>
      <c r="G566" s="118"/>
      <c r="H566" s="118"/>
      <c r="I566" s="118"/>
      <c r="J566" s="119"/>
      <c r="K566" s="120"/>
      <c r="L566" s="120"/>
      <c r="M566" s="120"/>
      <c r="N566" s="120"/>
      <c r="O566" s="118"/>
      <c r="P566" s="120"/>
      <c r="Q566" s="121"/>
      <c r="R566" s="109" t="b">
        <v>0</v>
      </c>
      <c r="S566" s="143"/>
      <c r="T566" s="110"/>
      <c r="U566" s="118"/>
      <c r="V566" s="118"/>
      <c r="W566" s="118"/>
      <c r="X566" s="118"/>
      <c r="Y566" s="118"/>
      <c r="Z566" s="118"/>
      <c r="AA566" s="118"/>
      <c r="AB566" s="118"/>
      <c r="AC566" s="118"/>
      <c r="AD566" s="111"/>
      <c r="AE566" s="122"/>
      <c r="AF566" s="122"/>
      <c r="AG566" s="122"/>
      <c r="AH566" s="122"/>
    </row>
    <row r="567" ht="22.5" customHeight="1">
      <c r="A567" s="73"/>
      <c r="B567" s="73"/>
      <c r="C567" s="73"/>
      <c r="D567" s="73"/>
      <c r="E567" s="330"/>
      <c r="F567" s="118"/>
      <c r="G567" s="118"/>
      <c r="H567" s="118"/>
      <c r="I567" s="118"/>
      <c r="J567" s="119"/>
      <c r="K567" s="120"/>
      <c r="L567" s="120"/>
      <c r="M567" s="120"/>
      <c r="N567" s="120"/>
      <c r="O567" s="118"/>
      <c r="P567" s="120"/>
      <c r="Q567" s="121"/>
      <c r="R567" s="109" t="b">
        <v>0</v>
      </c>
      <c r="S567" s="143"/>
      <c r="T567" s="110"/>
      <c r="U567" s="118"/>
      <c r="V567" s="118"/>
      <c r="W567" s="118"/>
      <c r="X567" s="118"/>
      <c r="Y567" s="118"/>
      <c r="Z567" s="118"/>
      <c r="AA567" s="118"/>
      <c r="AB567" s="118"/>
      <c r="AC567" s="118"/>
      <c r="AD567" s="111"/>
      <c r="AE567" s="122"/>
      <c r="AF567" s="122"/>
      <c r="AG567" s="122"/>
      <c r="AH567" s="122"/>
    </row>
    <row r="568" ht="22.5" customHeight="1">
      <c r="A568" s="73"/>
      <c r="B568" s="73"/>
      <c r="C568" s="73"/>
      <c r="D568" s="73"/>
      <c r="E568" s="330"/>
      <c r="F568" s="118"/>
      <c r="G568" s="118"/>
      <c r="H568" s="118"/>
      <c r="I568" s="118"/>
      <c r="J568" s="119"/>
      <c r="K568" s="120"/>
      <c r="L568" s="120"/>
      <c r="M568" s="120"/>
      <c r="N568" s="120"/>
      <c r="O568" s="118"/>
      <c r="P568" s="120"/>
      <c r="Q568" s="121"/>
      <c r="R568" s="109" t="b">
        <v>0</v>
      </c>
      <c r="S568" s="143"/>
      <c r="T568" s="110"/>
      <c r="U568" s="118"/>
      <c r="V568" s="118"/>
      <c r="W568" s="118"/>
      <c r="X568" s="118"/>
      <c r="Y568" s="118"/>
      <c r="Z568" s="118"/>
      <c r="AA568" s="118"/>
      <c r="AB568" s="118"/>
      <c r="AC568" s="118"/>
      <c r="AD568" s="111"/>
      <c r="AE568" s="122"/>
      <c r="AF568" s="122"/>
      <c r="AG568" s="122"/>
      <c r="AH568" s="122"/>
    </row>
    <row r="569" ht="22.5" customHeight="1">
      <c r="A569" s="73"/>
      <c r="B569" s="73"/>
      <c r="C569" s="73"/>
      <c r="D569" s="73"/>
      <c r="E569" s="330"/>
      <c r="F569" s="118"/>
      <c r="G569" s="118"/>
      <c r="H569" s="118"/>
      <c r="I569" s="118"/>
      <c r="J569" s="119"/>
      <c r="K569" s="120"/>
      <c r="L569" s="120"/>
      <c r="M569" s="120"/>
      <c r="N569" s="120"/>
      <c r="O569" s="118"/>
      <c r="P569" s="120"/>
      <c r="Q569" s="121"/>
      <c r="R569" s="109" t="b">
        <v>0</v>
      </c>
      <c r="S569" s="143"/>
      <c r="T569" s="110"/>
      <c r="U569" s="118"/>
      <c r="V569" s="118"/>
      <c r="W569" s="118"/>
      <c r="X569" s="118"/>
      <c r="Y569" s="118"/>
      <c r="Z569" s="118"/>
      <c r="AA569" s="118"/>
      <c r="AB569" s="118"/>
      <c r="AC569" s="118"/>
      <c r="AD569" s="111"/>
      <c r="AE569" s="122"/>
      <c r="AF569" s="122"/>
      <c r="AG569" s="122"/>
      <c r="AH569" s="122"/>
    </row>
    <row r="570" ht="22.5" customHeight="1">
      <c r="A570" s="73"/>
      <c r="B570" s="73"/>
      <c r="C570" s="73"/>
      <c r="D570" s="73"/>
      <c r="E570" s="330"/>
      <c r="F570" s="118"/>
      <c r="G570" s="118"/>
      <c r="H570" s="118"/>
      <c r="I570" s="118"/>
      <c r="J570" s="119"/>
      <c r="K570" s="120"/>
      <c r="L570" s="120"/>
      <c r="M570" s="120"/>
      <c r="N570" s="120"/>
      <c r="O570" s="118"/>
      <c r="P570" s="120"/>
      <c r="Q570" s="121"/>
      <c r="R570" s="109" t="b">
        <v>0</v>
      </c>
      <c r="S570" s="143"/>
      <c r="T570" s="110"/>
      <c r="U570" s="118"/>
      <c r="V570" s="118"/>
      <c r="W570" s="118"/>
      <c r="X570" s="118"/>
      <c r="Y570" s="118"/>
      <c r="Z570" s="118"/>
      <c r="AA570" s="118"/>
      <c r="AB570" s="118"/>
      <c r="AC570" s="118"/>
      <c r="AD570" s="111"/>
      <c r="AE570" s="122"/>
      <c r="AF570" s="122"/>
      <c r="AG570" s="122"/>
      <c r="AH570" s="122"/>
    </row>
    <row r="571" ht="22.5" customHeight="1">
      <c r="A571" s="73"/>
      <c r="B571" s="73"/>
      <c r="C571" s="73"/>
      <c r="D571" s="73"/>
      <c r="E571" s="330"/>
      <c r="F571" s="118"/>
      <c r="G571" s="118"/>
      <c r="H571" s="118"/>
      <c r="I571" s="118"/>
      <c r="J571" s="119"/>
      <c r="K571" s="120"/>
      <c r="L571" s="120"/>
      <c r="M571" s="120"/>
      <c r="N571" s="120"/>
      <c r="O571" s="118"/>
      <c r="P571" s="120"/>
      <c r="Q571" s="121"/>
      <c r="R571" s="109" t="b">
        <v>0</v>
      </c>
      <c r="S571" s="143"/>
      <c r="T571" s="110"/>
      <c r="U571" s="118"/>
      <c r="V571" s="118"/>
      <c r="W571" s="118"/>
      <c r="X571" s="118"/>
      <c r="Y571" s="118"/>
      <c r="Z571" s="118"/>
      <c r="AA571" s="118"/>
      <c r="AB571" s="118"/>
      <c r="AC571" s="118"/>
      <c r="AD571" s="111"/>
      <c r="AE571" s="122"/>
      <c r="AF571" s="122"/>
      <c r="AG571" s="122"/>
      <c r="AH571" s="122"/>
    </row>
    <row r="572" ht="22.5" customHeight="1">
      <c r="A572" s="73"/>
      <c r="B572" s="73"/>
      <c r="C572" s="73"/>
      <c r="D572" s="73"/>
      <c r="E572" s="330"/>
      <c r="F572" s="118"/>
      <c r="G572" s="118"/>
      <c r="H572" s="118"/>
      <c r="I572" s="118"/>
      <c r="J572" s="119"/>
      <c r="K572" s="120"/>
      <c r="L572" s="120"/>
      <c r="M572" s="120"/>
      <c r="N572" s="120"/>
      <c r="O572" s="118"/>
      <c r="P572" s="120"/>
      <c r="Q572" s="121"/>
      <c r="R572" s="109" t="b">
        <v>0</v>
      </c>
      <c r="S572" s="143"/>
      <c r="T572" s="110"/>
      <c r="U572" s="118"/>
      <c r="V572" s="118"/>
      <c r="W572" s="118"/>
      <c r="X572" s="118"/>
      <c r="Y572" s="118"/>
      <c r="Z572" s="118"/>
      <c r="AA572" s="118"/>
      <c r="AB572" s="118"/>
      <c r="AC572" s="118"/>
      <c r="AD572" s="111"/>
      <c r="AE572" s="122"/>
      <c r="AF572" s="122"/>
      <c r="AG572" s="122"/>
      <c r="AH572" s="122"/>
    </row>
    <row r="573" ht="22.5" customHeight="1">
      <c r="A573" s="73"/>
      <c r="B573" s="73"/>
      <c r="C573" s="73"/>
      <c r="D573" s="73"/>
      <c r="E573" s="330"/>
      <c r="F573" s="118"/>
      <c r="G573" s="118"/>
      <c r="H573" s="118"/>
      <c r="I573" s="118"/>
      <c r="J573" s="119"/>
      <c r="K573" s="120"/>
      <c r="L573" s="120"/>
      <c r="M573" s="120"/>
      <c r="N573" s="120"/>
      <c r="O573" s="118"/>
      <c r="P573" s="120"/>
      <c r="Q573" s="121"/>
      <c r="R573" s="109" t="b">
        <v>0</v>
      </c>
      <c r="S573" s="143"/>
      <c r="T573" s="110"/>
      <c r="U573" s="118"/>
      <c r="V573" s="118"/>
      <c r="W573" s="118"/>
      <c r="X573" s="118"/>
      <c r="Y573" s="118"/>
      <c r="Z573" s="118"/>
      <c r="AA573" s="118"/>
      <c r="AB573" s="118"/>
      <c r="AC573" s="118"/>
      <c r="AD573" s="111"/>
      <c r="AE573" s="122"/>
      <c r="AF573" s="122"/>
      <c r="AG573" s="122"/>
      <c r="AH573" s="122"/>
    </row>
    <row r="574" ht="22.5" customHeight="1">
      <c r="A574" s="73"/>
      <c r="B574" s="73"/>
      <c r="C574" s="73"/>
      <c r="D574" s="73"/>
      <c r="E574" s="330"/>
      <c r="F574" s="118"/>
      <c r="G574" s="118"/>
      <c r="H574" s="118"/>
      <c r="I574" s="118"/>
      <c r="J574" s="119"/>
      <c r="K574" s="120"/>
      <c r="L574" s="120"/>
      <c r="M574" s="120"/>
      <c r="N574" s="120"/>
      <c r="O574" s="118"/>
      <c r="P574" s="120"/>
      <c r="Q574" s="121"/>
      <c r="R574" s="109" t="b">
        <v>0</v>
      </c>
      <c r="S574" s="143"/>
      <c r="T574" s="110"/>
      <c r="U574" s="118"/>
      <c r="V574" s="118"/>
      <c r="W574" s="118"/>
      <c r="X574" s="118"/>
      <c r="Y574" s="118"/>
      <c r="Z574" s="118"/>
      <c r="AA574" s="118"/>
      <c r="AB574" s="118"/>
      <c r="AC574" s="118"/>
      <c r="AD574" s="111"/>
      <c r="AE574" s="122"/>
      <c r="AF574" s="122"/>
      <c r="AG574" s="122"/>
      <c r="AH574" s="122"/>
    </row>
    <row r="575" ht="22.5" customHeight="1">
      <c r="A575" s="73"/>
      <c r="B575" s="73"/>
      <c r="C575" s="73"/>
      <c r="D575" s="73"/>
      <c r="E575" s="330"/>
      <c r="F575" s="118"/>
      <c r="G575" s="118"/>
      <c r="H575" s="118"/>
      <c r="I575" s="118"/>
      <c r="J575" s="119"/>
      <c r="K575" s="120"/>
      <c r="L575" s="120"/>
      <c r="M575" s="120"/>
      <c r="N575" s="120"/>
      <c r="O575" s="118"/>
      <c r="P575" s="120"/>
      <c r="Q575" s="121"/>
      <c r="R575" s="109" t="b">
        <v>0</v>
      </c>
      <c r="S575" s="143"/>
      <c r="T575" s="110"/>
      <c r="U575" s="118"/>
      <c r="V575" s="118"/>
      <c r="W575" s="118"/>
      <c r="X575" s="118"/>
      <c r="Y575" s="118"/>
      <c r="Z575" s="118"/>
      <c r="AA575" s="118"/>
      <c r="AB575" s="118"/>
      <c r="AC575" s="118"/>
      <c r="AD575" s="111"/>
      <c r="AE575" s="122"/>
      <c r="AF575" s="122"/>
      <c r="AG575" s="122"/>
      <c r="AH575" s="122"/>
    </row>
    <row r="576" ht="22.5" customHeight="1">
      <c r="A576" s="73"/>
      <c r="B576" s="73"/>
      <c r="C576" s="73"/>
      <c r="D576" s="73"/>
      <c r="E576" s="330"/>
      <c r="F576" s="118"/>
      <c r="G576" s="118"/>
      <c r="H576" s="118"/>
      <c r="I576" s="118"/>
      <c r="J576" s="119"/>
      <c r="K576" s="120"/>
      <c r="L576" s="120"/>
      <c r="M576" s="120"/>
      <c r="N576" s="120"/>
      <c r="O576" s="118"/>
      <c r="P576" s="120"/>
      <c r="Q576" s="121"/>
      <c r="R576" s="109" t="b">
        <v>0</v>
      </c>
      <c r="S576" s="143"/>
      <c r="T576" s="110"/>
      <c r="U576" s="118"/>
      <c r="V576" s="118"/>
      <c r="W576" s="118"/>
      <c r="X576" s="118"/>
      <c r="Y576" s="118"/>
      <c r="Z576" s="118"/>
      <c r="AA576" s="118"/>
      <c r="AB576" s="118"/>
      <c r="AC576" s="118"/>
      <c r="AD576" s="111"/>
      <c r="AE576" s="122"/>
      <c r="AF576" s="122"/>
      <c r="AG576" s="122"/>
      <c r="AH576" s="122"/>
    </row>
    <row r="577" ht="22.5" customHeight="1">
      <c r="A577" s="73"/>
      <c r="B577" s="73"/>
      <c r="C577" s="73"/>
      <c r="D577" s="73"/>
      <c r="E577" s="330"/>
      <c r="F577" s="118"/>
      <c r="G577" s="118"/>
      <c r="H577" s="118"/>
      <c r="I577" s="118"/>
      <c r="J577" s="119"/>
      <c r="K577" s="120"/>
      <c r="L577" s="120"/>
      <c r="M577" s="120"/>
      <c r="N577" s="120"/>
      <c r="O577" s="118"/>
      <c r="P577" s="120"/>
      <c r="Q577" s="121"/>
      <c r="R577" s="109" t="b">
        <v>0</v>
      </c>
      <c r="S577" s="143"/>
      <c r="T577" s="110"/>
      <c r="U577" s="118"/>
      <c r="V577" s="118"/>
      <c r="W577" s="118"/>
      <c r="X577" s="118"/>
      <c r="Y577" s="118"/>
      <c r="Z577" s="118"/>
      <c r="AA577" s="118"/>
      <c r="AB577" s="118"/>
      <c r="AC577" s="118"/>
      <c r="AD577" s="111"/>
      <c r="AE577" s="122"/>
      <c r="AF577" s="122"/>
      <c r="AG577" s="122"/>
      <c r="AH577" s="122"/>
    </row>
    <row r="578" ht="22.5" customHeight="1">
      <c r="A578" s="73"/>
      <c r="B578" s="73"/>
      <c r="C578" s="73"/>
      <c r="D578" s="73"/>
      <c r="E578" s="330"/>
      <c r="F578" s="118"/>
      <c r="G578" s="118"/>
      <c r="H578" s="118"/>
      <c r="I578" s="118"/>
      <c r="J578" s="119"/>
      <c r="K578" s="120"/>
      <c r="L578" s="120"/>
      <c r="M578" s="120"/>
      <c r="N578" s="120"/>
      <c r="O578" s="118"/>
      <c r="P578" s="120"/>
      <c r="Q578" s="121"/>
      <c r="R578" s="109" t="b">
        <v>0</v>
      </c>
      <c r="S578" s="143"/>
      <c r="T578" s="110"/>
      <c r="U578" s="118"/>
      <c r="V578" s="118"/>
      <c r="W578" s="118"/>
      <c r="X578" s="118"/>
      <c r="Y578" s="118"/>
      <c r="Z578" s="118"/>
      <c r="AA578" s="118"/>
      <c r="AB578" s="118"/>
      <c r="AC578" s="118"/>
      <c r="AD578" s="111"/>
      <c r="AE578" s="122"/>
      <c r="AF578" s="122"/>
      <c r="AG578" s="122"/>
      <c r="AH578" s="122"/>
    </row>
    <row r="579" ht="22.5" customHeight="1">
      <c r="A579" s="73"/>
      <c r="B579" s="73"/>
      <c r="C579" s="73"/>
      <c r="D579" s="73"/>
      <c r="E579" s="330"/>
      <c r="F579" s="118"/>
      <c r="G579" s="118"/>
      <c r="H579" s="118"/>
      <c r="I579" s="118"/>
      <c r="J579" s="119"/>
      <c r="K579" s="120"/>
      <c r="L579" s="120"/>
      <c r="M579" s="120"/>
      <c r="N579" s="120"/>
      <c r="O579" s="118"/>
      <c r="P579" s="120"/>
      <c r="Q579" s="121"/>
      <c r="R579" s="109" t="b">
        <v>0</v>
      </c>
      <c r="S579" s="143"/>
      <c r="T579" s="110"/>
      <c r="U579" s="118"/>
      <c r="V579" s="118"/>
      <c r="W579" s="118"/>
      <c r="X579" s="118"/>
      <c r="Y579" s="118"/>
      <c r="Z579" s="118"/>
      <c r="AA579" s="118"/>
      <c r="AB579" s="118"/>
      <c r="AC579" s="118"/>
      <c r="AD579" s="111"/>
      <c r="AE579" s="122"/>
      <c r="AF579" s="122"/>
      <c r="AG579" s="122"/>
      <c r="AH579" s="122"/>
    </row>
    <row r="580" ht="22.5" customHeight="1">
      <c r="A580" s="73"/>
      <c r="B580" s="73"/>
      <c r="C580" s="73"/>
      <c r="D580" s="73"/>
      <c r="E580" s="330"/>
      <c r="F580" s="118"/>
      <c r="G580" s="118"/>
      <c r="H580" s="118"/>
      <c r="I580" s="118"/>
      <c r="J580" s="119"/>
      <c r="K580" s="120"/>
      <c r="L580" s="120"/>
      <c r="M580" s="120"/>
      <c r="N580" s="120"/>
      <c r="O580" s="118"/>
      <c r="P580" s="120"/>
      <c r="Q580" s="121"/>
      <c r="R580" s="109" t="b">
        <v>0</v>
      </c>
      <c r="S580" s="143"/>
      <c r="T580" s="110"/>
      <c r="U580" s="118"/>
      <c r="V580" s="118"/>
      <c r="W580" s="118"/>
      <c r="X580" s="118"/>
      <c r="Y580" s="118"/>
      <c r="Z580" s="118"/>
      <c r="AA580" s="118"/>
      <c r="AB580" s="118"/>
      <c r="AC580" s="118"/>
      <c r="AD580" s="111"/>
      <c r="AE580" s="122"/>
      <c r="AF580" s="122"/>
      <c r="AG580" s="122"/>
      <c r="AH580" s="122"/>
    </row>
    <row r="581" ht="22.5" customHeight="1">
      <c r="A581" s="73"/>
      <c r="B581" s="73"/>
      <c r="C581" s="73"/>
      <c r="D581" s="73"/>
      <c r="E581" s="330"/>
      <c r="F581" s="118"/>
      <c r="G581" s="118"/>
      <c r="H581" s="118"/>
      <c r="I581" s="118"/>
      <c r="J581" s="119"/>
      <c r="K581" s="120"/>
      <c r="L581" s="120"/>
      <c r="M581" s="120"/>
      <c r="N581" s="120"/>
      <c r="O581" s="118"/>
      <c r="P581" s="120"/>
      <c r="Q581" s="121"/>
      <c r="R581" s="109" t="b">
        <v>0</v>
      </c>
      <c r="S581" s="143"/>
      <c r="T581" s="110"/>
      <c r="U581" s="118"/>
      <c r="V581" s="118"/>
      <c r="W581" s="118"/>
      <c r="X581" s="118"/>
      <c r="Y581" s="118"/>
      <c r="Z581" s="118"/>
      <c r="AA581" s="118"/>
      <c r="AB581" s="118"/>
      <c r="AC581" s="118"/>
      <c r="AD581" s="111"/>
      <c r="AE581" s="122"/>
      <c r="AF581" s="122"/>
      <c r="AG581" s="122"/>
      <c r="AH581" s="122"/>
    </row>
    <row r="582" ht="22.5" customHeight="1">
      <c r="A582" s="73"/>
      <c r="B582" s="73"/>
      <c r="C582" s="73"/>
      <c r="D582" s="73"/>
      <c r="E582" s="330"/>
      <c r="F582" s="118"/>
      <c r="G582" s="118"/>
      <c r="H582" s="118"/>
      <c r="I582" s="118"/>
      <c r="J582" s="119"/>
      <c r="K582" s="120"/>
      <c r="L582" s="120"/>
      <c r="M582" s="120"/>
      <c r="N582" s="120"/>
      <c r="O582" s="118"/>
      <c r="P582" s="120"/>
      <c r="Q582" s="121"/>
      <c r="R582" s="109" t="b">
        <v>0</v>
      </c>
      <c r="S582" s="143"/>
      <c r="T582" s="110"/>
      <c r="U582" s="118"/>
      <c r="V582" s="118"/>
      <c r="W582" s="118"/>
      <c r="X582" s="118"/>
      <c r="Y582" s="118"/>
      <c r="Z582" s="118"/>
      <c r="AA582" s="118"/>
      <c r="AB582" s="118"/>
      <c r="AC582" s="118"/>
      <c r="AD582" s="111"/>
      <c r="AE582" s="122"/>
      <c r="AF582" s="122"/>
      <c r="AG582" s="122"/>
      <c r="AH582" s="122"/>
    </row>
    <row r="583" ht="22.5" customHeight="1">
      <c r="A583" s="73"/>
      <c r="B583" s="73"/>
      <c r="C583" s="73"/>
      <c r="D583" s="73"/>
      <c r="E583" s="330"/>
      <c r="F583" s="118"/>
      <c r="G583" s="118"/>
      <c r="H583" s="118"/>
      <c r="I583" s="118"/>
      <c r="J583" s="119"/>
      <c r="K583" s="120"/>
      <c r="L583" s="120"/>
      <c r="M583" s="120"/>
      <c r="N583" s="120"/>
      <c r="O583" s="118"/>
      <c r="P583" s="120"/>
      <c r="Q583" s="121"/>
      <c r="R583" s="109" t="b">
        <v>0</v>
      </c>
      <c r="S583" s="143"/>
      <c r="T583" s="110"/>
      <c r="U583" s="118"/>
      <c r="V583" s="118"/>
      <c r="W583" s="118"/>
      <c r="X583" s="118"/>
      <c r="Y583" s="118"/>
      <c r="Z583" s="118"/>
      <c r="AA583" s="118"/>
      <c r="AB583" s="118"/>
      <c r="AC583" s="118"/>
      <c r="AD583" s="111"/>
      <c r="AE583" s="122"/>
      <c r="AF583" s="122"/>
      <c r="AG583" s="122"/>
      <c r="AH583" s="122"/>
    </row>
    <row r="584" ht="22.5" customHeight="1">
      <c r="A584" s="73"/>
      <c r="B584" s="73"/>
      <c r="C584" s="73"/>
      <c r="D584" s="73"/>
      <c r="E584" s="330"/>
      <c r="F584" s="118"/>
      <c r="G584" s="118"/>
      <c r="H584" s="118"/>
      <c r="I584" s="118"/>
      <c r="J584" s="119"/>
      <c r="K584" s="120"/>
      <c r="L584" s="120"/>
      <c r="M584" s="120"/>
      <c r="N584" s="120"/>
      <c r="O584" s="118"/>
      <c r="P584" s="120"/>
      <c r="Q584" s="121"/>
      <c r="R584" s="109" t="b">
        <v>0</v>
      </c>
      <c r="S584" s="143"/>
      <c r="T584" s="110"/>
      <c r="U584" s="118"/>
      <c r="V584" s="118"/>
      <c r="W584" s="118"/>
      <c r="X584" s="118"/>
      <c r="Y584" s="118"/>
      <c r="Z584" s="118"/>
      <c r="AA584" s="118"/>
      <c r="AB584" s="118"/>
      <c r="AC584" s="118"/>
      <c r="AD584" s="111"/>
      <c r="AE584" s="122"/>
      <c r="AF584" s="122"/>
      <c r="AG584" s="122"/>
      <c r="AH584" s="122"/>
    </row>
    <row r="585" ht="22.5" customHeight="1">
      <c r="A585" s="73"/>
      <c r="B585" s="73"/>
      <c r="C585" s="73"/>
      <c r="D585" s="73"/>
      <c r="E585" s="330"/>
      <c r="F585" s="118"/>
      <c r="G585" s="118"/>
      <c r="H585" s="118"/>
      <c r="I585" s="118"/>
      <c r="J585" s="119"/>
      <c r="K585" s="120"/>
      <c r="L585" s="120"/>
      <c r="M585" s="120"/>
      <c r="N585" s="120"/>
      <c r="O585" s="118"/>
      <c r="P585" s="120"/>
      <c r="Q585" s="121"/>
      <c r="R585" s="109" t="b">
        <v>0</v>
      </c>
      <c r="S585" s="143"/>
      <c r="T585" s="110"/>
      <c r="U585" s="118"/>
      <c r="V585" s="118"/>
      <c r="W585" s="118"/>
      <c r="X585" s="118"/>
      <c r="Y585" s="118"/>
      <c r="Z585" s="118"/>
      <c r="AA585" s="118"/>
      <c r="AB585" s="118"/>
      <c r="AC585" s="118"/>
      <c r="AD585" s="111"/>
      <c r="AE585" s="122"/>
      <c r="AF585" s="122"/>
      <c r="AG585" s="122"/>
      <c r="AH585" s="122"/>
    </row>
    <row r="586" ht="22.5" customHeight="1">
      <c r="A586" s="73"/>
      <c r="B586" s="73"/>
      <c r="C586" s="73"/>
      <c r="D586" s="73"/>
      <c r="E586" s="330"/>
      <c r="F586" s="118"/>
      <c r="G586" s="118"/>
      <c r="H586" s="118"/>
      <c r="I586" s="118"/>
      <c r="J586" s="119"/>
      <c r="K586" s="120"/>
      <c r="L586" s="120"/>
      <c r="M586" s="120"/>
      <c r="N586" s="120"/>
      <c r="O586" s="118"/>
      <c r="P586" s="120"/>
      <c r="Q586" s="121"/>
      <c r="R586" s="109" t="b">
        <v>0</v>
      </c>
      <c r="S586" s="143"/>
      <c r="T586" s="110"/>
      <c r="U586" s="118"/>
      <c r="V586" s="118"/>
      <c r="W586" s="118"/>
      <c r="X586" s="118"/>
      <c r="Y586" s="118"/>
      <c r="Z586" s="118"/>
      <c r="AA586" s="118"/>
      <c r="AB586" s="118"/>
      <c r="AC586" s="118"/>
      <c r="AD586" s="111"/>
      <c r="AE586" s="122"/>
      <c r="AF586" s="122"/>
      <c r="AG586" s="122"/>
      <c r="AH586" s="122"/>
    </row>
    <row r="587" ht="22.5" customHeight="1">
      <c r="A587" s="73"/>
      <c r="B587" s="73"/>
      <c r="C587" s="73"/>
      <c r="D587" s="73"/>
      <c r="E587" s="330"/>
      <c r="F587" s="118"/>
      <c r="G587" s="118"/>
      <c r="H587" s="118"/>
      <c r="I587" s="118"/>
      <c r="J587" s="119"/>
      <c r="K587" s="120"/>
      <c r="L587" s="120"/>
      <c r="M587" s="120"/>
      <c r="N587" s="120"/>
      <c r="O587" s="118"/>
      <c r="P587" s="120"/>
      <c r="Q587" s="121"/>
      <c r="R587" s="109" t="b">
        <v>0</v>
      </c>
      <c r="S587" s="143"/>
      <c r="T587" s="110"/>
      <c r="U587" s="118"/>
      <c r="V587" s="118"/>
      <c r="W587" s="118"/>
      <c r="X587" s="118"/>
      <c r="Y587" s="118"/>
      <c r="Z587" s="118"/>
      <c r="AA587" s="118"/>
      <c r="AB587" s="118"/>
      <c r="AC587" s="118"/>
      <c r="AD587" s="111"/>
      <c r="AE587" s="122"/>
      <c r="AF587" s="122"/>
      <c r="AG587" s="122"/>
      <c r="AH587" s="122"/>
    </row>
    <row r="588" ht="22.5" customHeight="1">
      <c r="A588" s="73"/>
      <c r="B588" s="73"/>
      <c r="C588" s="73"/>
      <c r="D588" s="73"/>
      <c r="E588" s="330"/>
      <c r="F588" s="118"/>
      <c r="G588" s="118"/>
      <c r="H588" s="118"/>
      <c r="I588" s="118"/>
      <c r="J588" s="119"/>
      <c r="K588" s="120"/>
      <c r="L588" s="120"/>
      <c r="M588" s="120"/>
      <c r="N588" s="120"/>
      <c r="O588" s="118"/>
      <c r="P588" s="120"/>
      <c r="Q588" s="121"/>
      <c r="R588" s="109" t="b">
        <v>0</v>
      </c>
      <c r="S588" s="143"/>
      <c r="T588" s="110"/>
      <c r="U588" s="118"/>
      <c r="V588" s="118"/>
      <c r="W588" s="118"/>
      <c r="X588" s="118"/>
      <c r="Y588" s="118"/>
      <c r="Z588" s="118"/>
      <c r="AA588" s="118"/>
      <c r="AB588" s="118"/>
      <c r="AC588" s="118"/>
      <c r="AD588" s="111"/>
      <c r="AE588" s="122"/>
      <c r="AF588" s="122"/>
      <c r="AG588" s="122"/>
      <c r="AH588" s="122"/>
    </row>
    <row r="589" ht="22.5" customHeight="1">
      <c r="A589" s="73"/>
      <c r="B589" s="73"/>
      <c r="C589" s="73"/>
      <c r="D589" s="73"/>
      <c r="E589" s="330"/>
      <c r="F589" s="118"/>
      <c r="G589" s="118"/>
      <c r="H589" s="118"/>
      <c r="I589" s="118"/>
      <c r="J589" s="119"/>
      <c r="K589" s="120"/>
      <c r="L589" s="120"/>
      <c r="M589" s="120"/>
      <c r="N589" s="120"/>
      <c r="O589" s="118"/>
      <c r="P589" s="120"/>
      <c r="Q589" s="121"/>
      <c r="R589" s="109" t="b">
        <v>0</v>
      </c>
      <c r="S589" s="143"/>
      <c r="T589" s="110"/>
      <c r="U589" s="118"/>
      <c r="V589" s="118"/>
      <c r="W589" s="118"/>
      <c r="X589" s="118"/>
      <c r="Y589" s="118"/>
      <c r="Z589" s="118"/>
      <c r="AA589" s="118"/>
      <c r="AB589" s="118"/>
      <c r="AC589" s="118"/>
      <c r="AD589" s="111"/>
      <c r="AE589" s="122"/>
      <c r="AF589" s="122"/>
      <c r="AG589" s="122"/>
      <c r="AH589" s="122"/>
    </row>
    <row r="590" ht="22.5" customHeight="1">
      <c r="A590" s="73"/>
      <c r="B590" s="73"/>
      <c r="C590" s="73"/>
      <c r="D590" s="73"/>
      <c r="E590" s="330"/>
      <c r="F590" s="118"/>
      <c r="G590" s="118"/>
      <c r="H590" s="118"/>
      <c r="I590" s="118"/>
      <c r="J590" s="119"/>
      <c r="K590" s="120"/>
      <c r="L590" s="120"/>
      <c r="M590" s="120"/>
      <c r="N590" s="120"/>
      <c r="O590" s="118"/>
      <c r="P590" s="120"/>
      <c r="Q590" s="121"/>
      <c r="R590" s="109" t="b">
        <v>0</v>
      </c>
      <c r="S590" s="143"/>
      <c r="T590" s="110"/>
      <c r="U590" s="118"/>
      <c r="V590" s="118"/>
      <c r="W590" s="118"/>
      <c r="X590" s="118"/>
      <c r="Y590" s="118"/>
      <c r="Z590" s="118"/>
      <c r="AA590" s="118"/>
      <c r="AB590" s="118"/>
      <c r="AC590" s="118"/>
      <c r="AD590" s="111"/>
      <c r="AE590" s="122"/>
      <c r="AF590" s="122"/>
      <c r="AG590" s="122"/>
      <c r="AH590" s="122"/>
    </row>
    <row r="591" ht="22.5" customHeight="1">
      <c r="A591" s="73"/>
      <c r="B591" s="73"/>
      <c r="C591" s="73"/>
      <c r="D591" s="73"/>
      <c r="E591" s="330"/>
      <c r="F591" s="118"/>
      <c r="G591" s="118"/>
      <c r="H591" s="118"/>
      <c r="I591" s="118"/>
      <c r="J591" s="119"/>
      <c r="K591" s="120"/>
      <c r="L591" s="120"/>
      <c r="M591" s="120"/>
      <c r="N591" s="120"/>
      <c r="O591" s="118"/>
      <c r="P591" s="120"/>
      <c r="Q591" s="121"/>
      <c r="R591" s="109" t="b">
        <v>0</v>
      </c>
      <c r="S591" s="143"/>
      <c r="T591" s="110"/>
      <c r="U591" s="118"/>
      <c r="V591" s="118"/>
      <c r="W591" s="118"/>
      <c r="X591" s="118"/>
      <c r="Y591" s="118"/>
      <c r="Z591" s="118"/>
      <c r="AA591" s="118"/>
      <c r="AB591" s="118"/>
      <c r="AC591" s="118"/>
      <c r="AD591" s="111"/>
      <c r="AE591" s="122"/>
      <c r="AF591" s="122"/>
      <c r="AG591" s="122"/>
      <c r="AH591" s="122"/>
    </row>
    <row r="592" ht="22.5" customHeight="1">
      <c r="A592" s="73"/>
      <c r="B592" s="73"/>
      <c r="C592" s="73"/>
      <c r="D592" s="73"/>
      <c r="E592" s="330"/>
      <c r="F592" s="118"/>
      <c r="G592" s="118"/>
      <c r="H592" s="118"/>
      <c r="I592" s="118"/>
      <c r="J592" s="119"/>
      <c r="K592" s="120"/>
      <c r="L592" s="120"/>
      <c r="M592" s="120"/>
      <c r="N592" s="120"/>
      <c r="O592" s="118"/>
      <c r="P592" s="120"/>
      <c r="Q592" s="121"/>
      <c r="R592" s="109" t="b">
        <v>0</v>
      </c>
      <c r="S592" s="143"/>
      <c r="T592" s="110"/>
      <c r="U592" s="118"/>
      <c r="V592" s="118"/>
      <c r="W592" s="118"/>
      <c r="X592" s="118"/>
      <c r="Y592" s="118"/>
      <c r="Z592" s="118"/>
      <c r="AA592" s="118"/>
      <c r="AB592" s="118"/>
      <c r="AC592" s="118"/>
      <c r="AD592" s="111"/>
      <c r="AE592" s="122"/>
      <c r="AF592" s="122"/>
      <c r="AG592" s="122"/>
      <c r="AH592" s="122"/>
    </row>
    <row r="593" ht="22.5" customHeight="1">
      <c r="A593" s="73"/>
      <c r="B593" s="73"/>
      <c r="C593" s="73"/>
      <c r="D593" s="73"/>
      <c r="E593" s="330"/>
      <c r="F593" s="118"/>
      <c r="G593" s="118"/>
      <c r="H593" s="118"/>
      <c r="I593" s="118"/>
      <c r="J593" s="119"/>
      <c r="K593" s="120"/>
      <c r="L593" s="120"/>
      <c r="M593" s="120"/>
      <c r="N593" s="120"/>
      <c r="O593" s="118"/>
      <c r="P593" s="120"/>
      <c r="Q593" s="121"/>
      <c r="R593" s="109" t="b">
        <v>0</v>
      </c>
      <c r="S593" s="143"/>
      <c r="T593" s="110"/>
      <c r="U593" s="118"/>
      <c r="V593" s="118"/>
      <c r="W593" s="118"/>
      <c r="X593" s="118"/>
      <c r="Y593" s="118"/>
      <c r="Z593" s="118"/>
      <c r="AA593" s="118"/>
      <c r="AB593" s="118"/>
      <c r="AC593" s="118"/>
      <c r="AD593" s="111"/>
      <c r="AE593" s="122"/>
      <c r="AF593" s="122"/>
      <c r="AG593" s="122"/>
      <c r="AH593" s="122"/>
    </row>
    <row r="594" ht="22.5" customHeight="1">
      <c r="A594" s="73"/>
      <c r="B594" s="73"/>
      <c r="C594" s="73"/>
      <c r="D594" s="73"/>
      <c r="E594" s="330"/>
      <c r="F594" s="118"/>
      <c r="G594" s="118"/>
      <c r="H594" s="118"/>
      <c r="I594" s="118"/>
      <c r="J594" s="119"/>
      <c r="K594" s="120"/>
      <c r="L594" s="120"/>
      <c r="M594" s="120"/>
      <c r="N594" s="120"/>
      <c r="O594" s="118"/>
      <c r="P594" s="120"/>
      <c r="Q594" s="121"/>
      <c r="R594" s="109" t="b">
        <v>0</v>
      </c>
      <c r="S594" s="143"/>
      <c r="T594" s="110"/>
      <c r="U594" s="118"/>
      <c r="V594" s="118"/>
      <c r="W594" s="118"/>
      <c r="X594" s="118"/>
      <c r="Y594" s="118"/>
      <c r="Z594" s="118"/>
      <c r="AA594" s="118"/>
      <c r="AB594" s="118"/>
      <c r="AC594" s="118"/>
      <c r="AD594" s="111"/>
      <c r="AE594" s="122"/>
      <c r="AF594" s="122"/>
      <c r="AG594" s="122"/>
      <c r="AH594" s="122"/>
    </row>
    <row r="595" ht="22.5" customHeight="1">
      <c r="A595" s="73"/>
      <c r="B595" s="73"/>
      <c r="C595" s="73"/>
      <c r="D595" s="73"/>
      <c r="E595" s="330"/>
      <c r="F595" s="118"/>
      <c r="G595" s="118"/>
      <c r="H595" s="118"/>
      <c r="I595" s="118"/>
      <c r="J595" s="119"/>
      <c r="K595" s="120"/>
      <c r="L595" s="120"/>
      <c r="M595" s="120"/>
      <c r="N595" s="120"/>
      <c r="O595" s="118"/>
      <c r="P595" s="120"/>
      <c r="Q595" s="121"/>
      <c r="R595" s="109" t="b">
        <v>0</v>
      </c>
      <c r="S595" s="143"/>
      <c r="T595" s="110"/>
      <c r="U595" s="118"/>
      <c r="V595" s="118"/>
      <c r="W595" s="118"/>
      <c r="X595" s="118"/>
      <c r="Y595" s="118"/>
      <c r="Z595" s="118"/>
      <c r="AA595" s="118"/>
      <c r="AB595" s="118"/>
      <c r="AC595" s="118"/>
      <c r="AD595" s="111"/>
      <c r="AE595" s="122"/>
      <c r="AF595" s="122"/>
      <c r="AG595" s="122"/>
      <c r="AH595" s="122"/>
    </row>
    <row r="596" ht="22.5" customHeight="1">
      <c r="A596" s="73"/>
      <c r="B596" s="73"/>
      <c r="C596" s="73"/>
      <c r="D596" s="73"/>
      <c r="E596" s="330"/>
      <c r="F596" s="118"/>
      <c r="G596" s="118"/>
      <c r="H596" s="118"/>
      <c r="I596" s="118"/>
      <c r="J596" s="119"/>
      <c r="K596" s="120"/>
      <c r="L596" s="120"/>
      <c r="M596" s="120"/>
      <c r="N596" s="120"/>
      <c r="O596" s="118"/>
      <c r="P596" s="120"/>
      <c r="Q596" s="121"/>
      <c r="R596" s="109" t="b">
        <v>0</v>
      </c>
      <c r="S596" s="143"/>
      <c r="T596" s="110"/>
      <c r="U596" s="118"/>
      <c r="V596" s="118"/>
      <c r="W596" s="118"/>
      <c r="X596" s="118"/>
      <c r="Y596" s="118"/>
      <c r="Z596" s="118"/>
      <c r="AA596" s="118"/>
      <c r="AB596" s="118"/>
      <c r="AC596" s="118"/>
      <c r="AD596" s="111"/>
      <c r="AE596" s="122"/>
      <c r="AF596" s="122"/>
      <c r="AG596" s="122"/>
      <c r="AH596" s="122"/>
    </row>
    <row r="597" ht="22.5" customHeight="1">
      <c r="A597" s="73"/>
      <c r="B597" s="73"/>
      <c r="C597" s="73"/>
      <c r="D597" s="73"/>
      <c r="E597" s="330"/>
      <c r="F597" s="118"/>
      <c r="G597" s="118"/>
      <c r="H597" s="118"/>
      <c r="I597" s="118"/>
      <c r="J597" s="119"/>
      <c r="K597" s="120"/>
      <c r="L597" s="120"/>
      <c r="M597" s="120"/>
      <c r="N597" s="120"/>
      <c r="O597" s="118"/>
      <c r="P597" s="120"/>
      <c r="Q597" s="121"/>
      <c r="R597" s="109" t="b">
        <v>0</v>
      </c>
      <c r="S597" s="143"/>
      <c r="T597" s="110"/>
      <c r="U597" s="118"/>
      <c r="V597" s="118"/>
      <c r="W597" s="118"/>
      <c r="X597" s="118"/>
      <c r="Y597" s="118"/>
      <c r="Z597" s="118"/>
      <c r="AA597" s="118"/>
      <c r="AB597" s="118"/>
      <c r="AC597" s="118"/>
      <c r="AD597" s="111"/>
      <c r="AE597" s="122"/>
      <c r="AF597" s="122"/>
      <c r="AG597" s="122"/>
      <c r="AH597" s="122"/>
    </row>
    <row r="598" ht="22.5" customHeight="1">
      <c r="A598" s="73"/>
      <c r="B598" s="73"/>
      <c r="C598" s="73"/>
      <c r="D598" s="73"/>
      <c r="E598" s="330"/>
      <c r="F598" s="118"/>
      <c r="G598" s="118"/>
      <c r="H598" s="118"/>
      <c r="I598" s="118"/>
      <c r="J598" s="119"/>
      <c r="K598" s="120"/>
      <c r="L598" s="120"/>
      <c r="M598" s="120"/>
      <c r="N598" s="120"/>
      <c r="O598" s="118"/>
      <c r="P598" s="120"/>
      <c r="Q598" s="121"/>
      <c r="R598" s="109" t="b">
        <v>0</v>
      </c>
      <c r="S598" s="143"/>
      <c r="T598" s="110"/>
      <c r="U598" s="118"/>
      <c r="V598" s="118"/>
      <c r="W598" s="118"/>
      <c r="X598" s="118"/>
      <c r="Y598" s="118"/>
      <c r="Z598" s="118"/>
      <c r="AA598" s="118"/>
      <c r="AB598" s="118"/>
      <c r="AC598" s="118"/>
      <c r="AD598" s="111"/>
      <c r="AE598" s="122"/>
      <c r="AF598" s="122"/>
      <c r="AG598" s="122"/>
      <c r="AH598" s="122"/>
    </row>
    <row r="599" ht="22.5" customHeight="1">
      <c r="A599" s="73"/>
      <c r="B599" s="73"/>
      <c r="C599" s="73"/>
      <c r="D599" s="73"/>
      <c r="E599" s="330"/>
      <c r="F599" s="118"/>
      <c r="G599" s="118"/>
      <c r="H599" s="118"/>
      <c r="I599" s="118"/>
      <c r="J599" s="119"/>
      <c r="K599" s="120"/>
      <c r="L599" s="120"/>
      <c r="M599" s="120"/>
      <c r="N599" s="120"/>
      <c r="O599" s="118"/>
      <c r="P599" s="120"/>
      <c r="Q599" s="121"/>
      <c r="R599" s="109" t="b">
        <v>0</v>
      </c>
      <c r="S599" s="143"/>
      <c r="T599" s="110"/>
      <c r="U599" s="118"/>
      <c r="V599" s="118"/>
      <c r="W599" s="118"/>
      <c r="X599" s="118"/>
      <c r="Y599" s="118"/>
      <c r="Z599" s="118"/>
      <c r="AA599" s="118"/>
      <c r="AB599" s="118"/>
      <c r="AC599" s="118"/>
      <c r="AD599" s="111"/>
      <c r="AE599" s="122"/>
      <c r="AF599" s="122"/>
      <c r="AG599" s="122"/>
      <c r="AH599" s="122"/>
    </row>
    <row r="600" ht="22.5" customHeight="1">
      <c r="A600" s="73"/>
      <c r="B600" s="73"/>
      <c r="C600" s="73"/>
      <c r="D600" s="73"/>
      <c r="E600" s="330"/>
      <c r="F600" s="118"/>
      <c r="G600" s="118"/>
      <c r="H600" s="118"/>
      <c r="I600" s="118"/>
      <c r="J600" s="119"/>
      <c r="K600" s="120"/>
      <c r="L600" s="120"/>
      <c r="M600" s="120"/>
      <c r="N600" s="120"/>
      <c r="O600" s="118"/>
      <c r="P600" s="120"/>
      <c r="Q600" s="121"/>
      <c r="R600" s="109" t="b">
        <v>0</v>
      </c>
      <c r="S600" s="143"/>
      <c r="T600" s="110"/>
      <c r="U600" s="118"/>
      <c r="V600" s="118"/>
      <c r="W600" s="118"/>
      <c r="X600" s="118"/>
      <c r="Y600" s="118"/>
      <c r="Z600" s="118"/>
      <c r="AA600" s="118"/>
      <c r="AB600" s="118"/>
      <c r="AC600" s="118"/>
      <c r="AD600" s="111"/>
      <c r="AE600" s="122"/>
      <c r="AF600" s="122"/>
      <c r="AG600" s="122"/>
      <c r="AH600" s="122"/>
    </row>
    <row r="601" ht="22.5" customHeight="1">
      <c r="A601" s="73"/>
      <c r="B601" s="73"/>
      <c r="C601" s="73"/>
      <c r="D601" s="73"/>
      <c r="E601" s="330"/>
      <c r="F601" s="118"/>
      <c r="G601" s="118"/>
      <c r="H601" s="118"/>
      <c r="I601" s="118"/>
      <c r="J601" s="119"/>
      <c r="K601" s="120"/>
      <c r="L601" s="120"/>
      <c r="M601" s="120"/>
      <c r="N601" s="120"/>
      <c r="O601" s="118"/>
      <c r="P601" s="120"/>
      <c r="Q601" s="121"/>
      <c r="R601" s="109" t="b">
        <v>0</v>
      </c>
      <c r="S601" s="143"/>
      <c r="T601" s="110"/>
      <c r="U601" s="118"/>
      <c r="V601" s="118"/>
      <c r="W601" s="118"/>
      <c r="X601" s="118"/>
      <c r="Y601" s="118"/>
      <c r="Z601" s="118"/>
      <c r="AA601" s="118"/>
      <c r="AB601" s="118"/>
      <c r="AC601" s="118"/>
      <c r="AD601" s="111"/>
      <c r="AE601" s="122"/>
      <c r="AF601" s="122"/>
      <c r="AG601" s="122"/>
      <c r="AH601" s="122"/>
    </row>
    <row r="602" ht="22.5" customHeight="1">
      <c r="A602" s="73"/>
      <c r="B602" s="73"/>
      <c r="C602" s="73"/>
      <c r="D602" s="73"/>
      <c r="E602" s="330"/>
      <c r="F602" s="118"/>
      <c r="G602" s="118"/>
      <c r="H602" s="118"/>
      <c r="I602" s="118"/>
      <c r="J602" s="119"/>
      <c r="K602" s="120"/>
      <c r="L602" s="120"/>
      <c r="M602" s="120"/>
      <c r="N602" s="120"/>
      <c r="O602" s="118"/>
      <c r="P602" s="120"/>
      <c r="Q602" s="121"/>
      <c r="R602" s="109" t="b">
        <v>0</v>
      </c>
      <c r="S602" s="143"/>
      <c r="T602" s="110"/>
      <c r="U602" s="118"/>
      <c r="V602" s="118"/>
      <c r="W602" s="118"/>
      <c r="X602" s="118"/>
      <c r="Y602" s="118"/>
      <c r="Z602" s="118"/>
      <c r="AA602" s="118"/>
      <c r="AB602" s="118"/>
      <c r="AC602" s="118"/>
      <c r="AD602" s="111"/>
      <c r="AE602" s="122"/>
      <c r="AF602" s="122"/>
      <c r="AG602" s="122"/>
      <c r="AH602" s="122"/>
    </row>
    <row r="603" ht="22.5" customHeight="1">
      <c r="A603" s="73"/>
      <c r="B603" s="73"/>
      <c r="C603" s="73"/>
      <c r="D603" s="73"/>
      <c r="E603" s="330"/>
      <c r="F603" s="118"/>
      <c r="G603" s="118"/>
      <c r="H603" s="118"/>
      <c r="I603" s="118"/>
      <c r="J603" s="119"/>
      <c r="K603" s="120"/>
      <c r="L603" s="120"/>
      <c r="M603" s="120"/>
      <c r="N603" s="120"/>
      <c r="O603" s="118"/>
      <c r="P603" s="120"/>
      <c r="Q603" s="121"/>
      <c r="R603" s="109" t="b">
        <v>0</v>
      </c>
      <c r="S603" s="143"/>
      <c r="T603" s="110"/>
      <c r="U603" s="118"/>
      <c r="V603" s="118"/>
      <c r="W603" s="118"/>
      <c r="X603" s="118"/>
      <c r="Y603" s="118"/>
      <c r="Z603" s="118"/>
      <c r="AA603" s="118"/>
      <c r="AB603" s="118"/>
      <c r="AC603" s="118"/>
      <c r="AD603" s="111"/>
      <c r="AE603" s="122"/>
      <c r="AF603" s="122"/>
      <c r="AG603" s="122"/>
      <c r="AH603" s="122"/>
    </row>
    <row r="604" ht="22.5" customHeight="1">
      <c r="A604" s="73"/>
      <c r="B604" s="73"/>
      <c r="C604" s="73"/>
      <c r="D604" s="73"/>
      <c r="E604" s="330"/>
      <c r="F604" s="118"/>
      <c r="G604" s="118"/>
      <c r="H604" s="118"/>
      <c r="I604" s="118"/>
      <c r="J604" s="119"/>
      <c r="K604" s="120"/>
      <c r="L604" s="120"/>
      <c r="M604" s="120"/>
      <c r="N604" s="120"/>
      <c r="O604" s="118"/>
      <c r="P604" s="120"/>
      <c r="Q604" s="121"/>
      <c r="R604" s="109" t="b">
        <v>0</v>
      </c>
      <c r="S604" s="143"/>
      <c r="T604" s="110"/>
      <c r="U604" s="118"/>
      <c r="V604" s="118"/>
      <c r="W604" s="118"/>
      <c r="X604" s="118"/>
      <c r="Y604" s="118"/>
      <c r="Z604" s="118"/>
      <c r="AA604" s="118"/>
      <c r="AB604" s="118"/>
      <c r="AC604" s="118"/>
      <c r="AD604" s="111"/>
      <c r="AE604" s="122"/>
      <c r="AF604" s="122"/>
      <c r="AG604" s="122"/>
      <c r="AH604" s="122"/>
    </row>
    <row r="605" ht="22.5" customHeight="1">
      <c r="A605" s="73"/>
      <c r="B605" s="73"/>
      <c r="C605" s="73"/>
      <c r="D605" s="73"/>
      <c r="E605" s="330"/>
      <c r="F605" s="118"/>
      <c r="G605" s="118"/>
      <c r="H605" s="118"/>
      <c r="I605" s="118"/>
      <c r="J605" s="119"/>
      <c r="K605" s="120"/>
      <c r="L605" s="120"/>
      <c r="M605" s="120"/>
      <c r="N605" s="120"/>
      <c r="O605" s="118"/>
      <c r="P605" s="120"/>
      <c r="Q605" s="121"/>
      <c r="R605" s="109" t="b">
        <v>0</v>
      </c>
      <c r="S605" s="143"/>
      <c r="T605" s="110"/>
      <c r="U605" s="118"/>
      <c r="V605" s="118"/>
      <c r="W605" s="118"/>
      <c r="X605" s="118"/>
      <c r="Y605" s="118"/>
      <c r="Z605" s="118"/>
      <c r="AA605" s="118"/>
      <c r="AB605" s="118"/>
      <c r="AC605" s="118"/>
      <c r="AD605" s="111"/>
      <c r="AE605" s="122"/>
      <c r="AF605" s="122"/>
      <c r="AG605" s="122"/>
      <c r="AH605" s="122"/>
    </row>
    <row r="606" ht="22.5" customHeight="1">
      <c r="A606" s="73"/>
      <c r="B606" s="73"/>
      <c r="C606" s="73"/>
      <c r="D606" s="73"/>
      <c r="E606" s="330"/>
      <c r="F606" s="118"/>
      <c r="G606" s="118"/>
      <c r="H606" s="118"/>
      <c r="I606" s="118"/>
      <c r="J606" s="119"/>
      <c r="K606" s="120"/>
      <c r="L606" s="120"/>
      <c r="M606" s="120"/>
      <c r="N606" s="120"/>
      <c r="O606" s="118"/>
      <c r="P606" s="120"/>
      <c r="Q606" s="121"/>
      <c r="R606" s="109" t="b">
        <v>0</v>
      </c>
      <c r="S606" s="143"/>
      <c r="T606" s="110"/>
      <c r="U606" s="118"/>
      <c r="V606" s="118"/>
      <c r="W606" s="118"/>
      <c r="X606" s="118"/>
      <c r="Y606" s="118"/>
      <c r="Z606" s="118"/>
      <c r="AA606" s="118"/>
      <c r="AB606" s="118"/>
      <c r="AC606" s="118"/>
      <c r="AD606" s="111"/>
      <c r="AE606" s="122"/>
      <c r="AF606" s="122"/>
      <c r="AG606" s="122"/>
      <c r="AH606" s="122"/>
    </row>
    <row r="607" ht="22.5" customHeight="1">
      <c r="A607" s="73"/>
      <c r="B607" s="73"/>
      <c r="C607" s="73"/>
      <c r="D607" s="73"/>
      <c r="E607" s="330"/>
      <c r="F607" s="118"/>
      <c r="G607" s="118"/>
      <c r="H607" s="118"/>
      <c r="I607" s="118"/>
      <c r="J607" s="119"/>
      <c r="K607" s="120"/>
      <c r="L607" s="120"/>
      <c r="M607" s="120"/>
      <c r="N607" s="120"/>
      <c r="O607" s="118"/>
      <c r="P607" s="120"/>
      <c r="Q607" s="121"/>
      <c r="R607" s="109" t="b">
        <v>0</v>
      </c>
      <c r="S607" s="143"/>
      <c r="T607" s="110"/>
      <c r="U607" s="118"/>
      <c r="V607" s="118"/>
      <c r="W607" s="118"/>
      <c r="X607" s="118"/>
      <c r="Y607" s="118"/>
      <c r="Z607" s="118"/>
      <c r="AA607" s="118"/>
      <c r="AB607" s="118"/>
      <c r="AC607" s="118"/>
      <c r="AD607" s="111"/>
      <c r="AE607" s="122"/>
      <c r="AF607" s="122"/>
      <c r="AG607" s="122"/>
      <c r="AH607" s="122"/>
    </row>
    <row r="608" ht="22.5" customHeight="1">
      <c r="A608" s="73"/>
      <c r="B608" s="73"/>
      <c r="C608" s="73"/>
      <c r="D608" s="73"/>
      <c r="E608" s="330"/>
      <c r="F608" s="118"/>
      <c r="G608" s="118"/>
      <c r="H608" s="118"/>
      <c r="I608" s="118"/>
      <c r="J608" s="119"/>
      <c r="K608" s="120"/>
      <c r="L608" s="120"/>
      <c r="M608" s="120"/>
      <c r="N608" s="120"/>
      <c r="O608" s="118"/>
      <c r="P608" s="120"/>
      <c r="Q608" s="121"/>
      <c r="R608" s="109" t="b">
        <v>0</v>
      </c>
      <c r="S608" s="143"/>
      <c r="T608" s="110"/>
      <c r="U608" s="118"/>
      <c r="V608" s="118"/>
      <c r="W608" s="118"/>
      <c r="X608" s="118"/>
      <c r="Y608" s="118"/>
      <c r="Z608" s="118"/>
      <c r="AA608" s="118"/>
      <c r="AB608" s="118"/>
      <c r="AC608" s="118"/>
      <c r="AD608" s="111"/>
      <c r="AE608" s="122"/>
      <c r="AF608" s="122"/>
      <c r="AG608" s="122"/>
      <c r="AH608" s="122"/>
    </row>
    <row r="609" ht="22.5" customHeight="1">
      <c r="A609" s="73"/>
      <c r="B609" s="73"/>
      <c r="C609" s="73"/>
      <c r="D609" s="73"/>
      <c r="E609" s="330"/>
      <c r="F609" s="118"/>
      <c r="G609" s="118"/>
      <c r="H609" s="118"/>
      <c r="I609" s="118"/>
      <c r="J609" s="119"/>
      <c r="K609" s="120"/>
      <c r="L609" s="120"/>
      <c r="M609" s="120"/>
      <c r="N609" s="120"/>
      <c r="O609" s="118"/>
      <c r="P609" s="120"/>
      <c r="Q609" s="121"/>
      <c r="R609" s="109" t="b">
        <v>0</v>
      </c>
      <c r="S609" s="143"/>
      <c r="T609" s="110"/>
      <c r="U609" s="118"/>
      <c r="V609" s="118"/>
      <c r="W609" s="118"/>
      <c r="X609" s="118"/>
      <c r="Y609" s="118"/>
      <c r="Z609" s="118"/>
      <c r="AA609" s="118"/>
      <c r="AB609" s="118"/>
      <c r="AC609" s="118"/>
      <c r="AD609" s="111"/>
      <c r="AE609" s="122"/>
      <c r="AF609" s="122"/>
      <c r="AG609" s="122"/>
      <c r="AH609" s="122"/>
    </row>
    <row r="610" ht="22.5" customHeight="1">
      <c r="A610" s="73"/>
      <c r="B610" s="73"/>
      <c r="C610" s="73"/>
      <c r="D610" s="73"/>
      <c r="E610" s="330"/>
      <c r="F610" s="118"/>
      <c r="G610" s="118"/>
      <c r="H610" s="118"/>
      <c r="I610" s="118"/>
      <c r="J610" s="119"/>
      <c r="K610" s="120"/>
      <c r="L610" s="120"/>
      <c r="M610" s="120"/>
      <c r="N610" s="120"/>
      <c r="O610" s="118"/>
      <c r="P610" s="120"/>
      <c r="Q610" s="121"/>
      <c r="R610" s="109" t="b">
        <v>0</v>
      </c>
      <c r="S610" s="143"/>
      <c r="T610" s="110"/>
      <c r="U610" s="118"/>
      <c r="V610" s="118"/>
      <c r="W610" s="118"/>
      <c r="X610" s="118"/>
      <c r="Y610" s="118"/>
      <c r="Z610" s="118"/>
      <c r="AA610" s="118"/>
      <c r="AB610" s="118"/>
      <c r="AC610" s="118"/>
      <c r="AD610" s="111"/>
      <c r="AE610" s="122"/>
      <c r="AF610" s="122"/>
      <c r="AG610" s="122"/>
      <c r="AH610" s="122"/>
    </row>
    <row r="611" ht="22.5" customHeight="1">
      <c r="A611" s="73"/>
      <c r="B611" s="73"/>
      <c r="C611" s="73"/>
      <c r="D611" s="73"/>
      <c r="E611" s="330"/>
      <c r="F611" s="118"/>
      <c r="G611" s="118"/>
      <c r="H611" s="118"/>
      <c r="I611" s="118"/>
      <c r="J611" s="119"/>
      <c r="K611" s="120"/>
      <c r="L611" s="120"/>
      <c r="M611" s="120"/>
      <c r="N611" s="120"/>
      <c r="O611" s="118"/>
      <c r="P611" s="120"/>
      <c r="Q611" s="121"/>
      <c r="R611" s="109" t="b">
        <v>0</v>
      </c>
      <c r="S611" s="143"/>
      <c r="T611" s="110"/>
      <c r="U611" s="118"/>
      <c r="V611" s="118"/>
      <c r="W611" s="118"/>
      <c r="X611" s="118"/>
      <c r="Y611" s="118"/>
      <c r="Z611" s="118"/>
      <c r="AA611" s="118"/>
      <c r="AB611" s="118"/>
      <c r="AC611" s="118"/>
      <c r="AD611" s="111"/>
      <c r="AE611" s="122"/>
      <c r="AF611" s="122"/>
      <c r="AG611" s="122"/>
      <c r="AH611" s="122"/>
    </row>
    <row r="612" ht="22.5" customHeight="1">
      <c r="A612" s="73"/>
      <c r="B612" s="73"/>
      <c r="C612" s="73"/>
      <c r="D612" s="73"/>
      <c r="E612" s="330"/>
      <c r="F612" s="118"/>
      <c r="G612" s="118"/>
      <c r="H612" s="118"/>
      <c r="I612" s="118"/>
      <c r="J612" s="119"/>
      <c r="K612" s="120"/>
      <c r="L612" s="120"/>
      <c r="M612" s="120"/>
      <c r="N612" s="120"/>
      <c r="O612" s="118"/>
      <c r="P612" s="120"/>
      <c r="Q612" s="121"/>
      <c r="R612" s="109" t="b">
        <v>0</v>
      </c>
      <c r="S612" s="143"/>
      <c r="T612" s="110"/>
      <c r="U612" s="118"/>
      <c r="V612" s="118"/>
      <c r="W612" s="118"/>
      <c r="X612" s="118"/>
      <c r="Y612" s="118"/>
      <c r="Z612" s="118"/>
      <c r="AA612" s="118"/>
      <c r="AB612" s="118"/>
      <c r="AC612" s="118"/>
      <c r="AD612" s="111"/>
      <c r="AE612" s="122"/>
      <c r="AF612" s="122"/>
      <c r="AG612" s="122"/>
      <c r="AH612" s="122"/>
    </row>
    <row r="613" ht="22.5" customHeight="1">
      <c r="A613" s="73"/>
      <c r="B613" s="73"/>
      <c r="C613" s="73"/>
      <c r="D613" s="73"/>
      <c r="E613" s="330"/>
      <c r="F613" s="118"/>
      <c r="G613" s="118"/>
      <c r="H613" s="118"/>
      <c r="I613" s="118"/>
      <c r="J613" s="119"/>
      <c r="K613" s="120"/>
      <c r="L613" s="120"/>
      <c r="M613" s="120"/>
      <c r="N613" s="120"/>
      <c r="O613" s="118"/>
      <c r="P613" s="120"/>
      <c r="Q613" s="121"/>
      <c r="R613" s="109" t="b">
        <v>0</v>
      </c>
      <c r="S613" s="143"/>
      <c r="T613" s="110"/>
      <c r="U613" s="118"/>
      <c r="V613" s="118"/>
      <c r="W613" s="118"/>
      <c r="X613" s="118"/>
      <c r="Y613" s="118"/>
      <c r="Z613" s="118"/>
      <c r="AA613" s="118"/>
      <c r="AB613" s="118"/>
      <c r="AC613" s="118"/>
      <c r="AD613" s="111"/>
      <c r="AE613" s="122"/>
      <c r="AF613" s="122"/>
      <c r="AG613" s="122"/>
      <c r="AH613" s="122"/>
    </row>
    <row r="614" ht="22.5" customHeight="1">
      <c r="A614" s="73"/>
      <c r="B614" s="73"/>
      <c r="C614" s="73"/>
      <c r="D614" s="73"/>
      <c r="E614" s="330"/>
      <c r="F614" s="118"/>
      <c r="G614" s="118"/>
      <c r="H614" s="118"/>
      <c r="I614" s="118"/>
      <c r="J614" s="119"/>
      <c r="K614" s="120"/>
      <c r="L614" s="120"/>
      <c r="M614" s="120"/>
      <c r="N614" s="120"/>
      <c r="O614" s="118"/>
      <c r="P614" s="120"/>
      <c r="Q614" s="121"/>
      <c r="R614" s="109" t="b">
        <v>0</v>
      </c>
      <c r="S614" s="143"/>
      <c r="T614" s="110"/>
      <c r="U614" s="118"/>
      <c r="V614" s="118"/>
      <c r="W614" s="118"/>
      <c r="X614" s="118"/>
      <c r="Y614" s="118"/>
      <c r="Z614" s="118"/>
      <c r="AA614" s="118"/>
      <c r="AB614" s="118"/>
      <c r="AC614" s="118"/>
      <c r="AD614" s="111"/>
      <c r="AE614" s="122"/>
      <c r="AF614" s="122"/>
      <c r="AG614" s="122"/>
      <c r="AH614" s="122"/>
    </row>
    <row r="615" ht="22.5" customHeight="1">
      <c r="A615" s="73"/>
      <c r="B615" s="73"/>
      <c r="C615" s="73"/>
      <c r="D615" s="73"/>
      <c r="E615" s="330"/>
      <c r="F615" s="118"/>
      <c r="G615" s="118"/>
      <c r="H615" s="118"/>
      <c r="I615" s="118"/>
      <c r="J615" s="119"/>
      <c r="K615" s="120"/>
      <c r="L615" s="120"/>
      <c r="M615" s="120"/>
      <c r="N615" s="120"/>
      <c r="O615" s="118"/>
      <c r="P615" s="120"/>
      <c r="Q615" s="121"/>
      <c r="R615" s="109" t="b">
        <v>0</v>
      </c>
      <c r="S615" s="143"/>
      <c r="T615" s="110"/>
      <c r="U615" s="118"/>
      <c r="V615" s="118"/>
      <c r="W615" s="118"/>
      <c r="X615" s="118"/>
      <c r="Y615" s="118"/>
      <c r="Z615" s="118"/>
      <c r="AA615" s="118"/>
      <c r="AB615" s="118"/>
      <c r="AC615" s="118"/>
      <c r="AD615" s="111"/>
      <c r="AE615" s="122"/>
      <c r="AF615" s="122"/>
      <c r="AG615" s="122"/>
      <c r="AH615" s="122"/>
    </row>
    <row r="616" ht="22.5" customHeight="1">
      <c r="A616" s="73"/>
      <c r="B616" s="73"/>
      <c r="C616" s="73"/>
      <c r="D616" s="73"/>
      <c r="E616" s="330"/>
      <c r="F616" s="118"/>
      <c r="G616" s="118"/>
      <c r="H616" s="118"/>
      <c r="I616" s="118"/>
      <c r="J616" s="119"/>
      <c r="K616" s="120"/>
      <c r="L616" s="120"/>
      <c r="M616" s="120"/>
      <c r="N616" s="120"/>
      <c r="O616" s="118"/>
      <c r="P616" s="120"/>
      <c r="Q616" s="121"/>
      <c r="R616" s="109" t="b">
        <v>0</v>
      </c>
      <c r="S616" s="143"/>
      <c r="T616" s="110"/>
      <c r="U616" s="118"/>
      <c r="V616" s="118"/>
      <c r="W616" s="118"/>
      <c r="X616" s="118"/>
      <c r="Y616" s="118"/>
      <c r="Z616" s="118"/>
      <c r="AA616" s="118"/>
      <c r="AB616" s="118"/>
      <c r="AC616" s="118"/>
      <c r="AD616" s="111"/>
      <c r="AE616" s="122"/>
      <c r="AF616" s="122"/>
      <c r="AG616" s="122"/>
      <c r="AH616" s="122"/>
    </row>
    <row r="617" ht="22.5" customHeight="1">
      <c r="A617" s="73"/>
      <c r="B617" s="73"/>
      <c r="C617" s="73"/>
      <c r="D617" s="73"/>
      <c r="E617" s="330"/>
      <c r="F617" s="118"/>
      <c r="G617" s="118"/>
      <c r="H617" s="118"/>
      <c r="I617" s="118"/>
      <c r="J617" s="119"/>
      <c r="K617" s="120"/>
      <c r="L617" s="120"/>
      <c r="M617" s="120"/>
      <c r="N617" s="120"/>
      <c r="O617" s="118"/>
      <c r="P617" s="120"/>
      <c r="Q617" s="121"/>
      <c r="R617" s="109" t="b">
        <v>0</v>
      </c>
      <c r="S617" s="143"/>
      <c r="T617" s="110"/>
      <c r="U617" s="118"/>
      <c r="V617" s="118"/>
      <c r="W617" s="118"/>
      <c r="X617" s="118"/>
      <c r="Y617" s="118"/>
      <c r="Z617" s="118"/>
      <c r="AA617" s="118"/>
      <c r="AB617" s="118"/>
      <c r="AC617" s="118"/>
      <c r="AD617" s="111"/>
      <c r="AE617" s="122"/>
      <c r="AF617" s="122"/>
      <c r="AG617" s="122"/>
      <c r="AH617" s="122"/>
    </row>
    <row r="618" ht="22.5" customHeight="1">
      <c r="A618" s="73"/>
      <c r="B618" s="73"/>
      <c r="C618" s="73"/>
      <c r="D618" s="73"/>
      <c r="E618" s="330"/>
      <c r="F618" s="118"/>
      <c r="G618" s="118"/>
      <c r="H618" s="118"/>
      <c r="I618" s="118"/>
      <c r="J618" s="119"/>
      <c r="K618" s="120"/>
      <c r="L618" s="120"/>
      <c r="M618" s="120"/>
      <c r="N618" s="120"/>
      <c r="O618" s="118"/>
      <c r="P618" s="120"/>
      <c r="Q618" s="121"/>
      <c r="R618" s="109" t="b">
        <v>0</v>
      </c>
      <c r="S618" s="143"/>
      <c r="T618" s="110"/>
      <c r="U618" s="118"/>
      <c r="V618" s="118"/>
      <c r="W618" s="118"/>
      <c r="X618" s="118"/>
      <c r="Y618" s="118"/>
      <c r="Z618" s="118"/>
      <c r="AA618" s="118"/>
      <c r="AB618" s="118"/>
      <c r="AC618" s="118"/>
      <c r="AD618" s="111"/>
      <c r="AE618" s="122"/>
      <c r="AF618" s="122"/>
      <c r="AG618" s="122"/>
      <c r="AH618" s="122"/>
    </row>
    <row r="619" ht="22.5" customHeight="1">
      <c r="A619" s="73"/>
      <c r="B619" s="73"/>
      <c r="C619" s="73"/>
      <c r="D619" s="73"/>
      <c r="E619" s="330"/>
      <c r="F619" s="118"/>
      <c r="G619" s="118"/>
      <c r="H619" s="118"/>
      <c r="I619" s="118"/>
      <c r="J619" s="119"/>
      <c r="K619" s="120"/>
      <c r="L619" s="120"/>
      <c r="M619" s="120"/>
      <c r="N619" s="120"/>
      <c r="O619" s="118"/>
      <c r="P619" s="120"/>
      <c r="Q619" s="121"/>
      <c r="R619" s="109" t="b">
        <v>0</v>
      </c>
      <c r="S619" s="143"/>
      <c r="T619" s="110"/>
      <c r="U619" s="118"/>
      <c r="V619" s="118"/>
      <c r="W619" s="118"/>
      <c r="X619" s="118"/>
      <c r="Y619" s="118"/>
      <c r="Z619" s="118"/>
      <c r="AA619" s="118"/>
      <c r="AB619" s="118"/>
      <c r="AC619" s="118"/>
      <c r="AD619" s="111"/>
      <c r="AE619" s="122"/>
      <c r="AF619" s="122"/>
      <c r="AG619" s="122"/>
      <c r="AH619" s="122"/>
    </row>
    <row r="620" ht="22.5" customHeight="1">
      <c r="A620" s="73"/>
      <c r="B620" s="73"/>
      <c r="C620" s="73"/>
      <c r="D620" s="73"/>
      <c r="E620" s="330"/>
      <c r="F620" s="118"/>
      <c r="G620" s="118"/>
      <c r="H620" s="118"/>
      <c r="I620" s="118"/>
      <c r="J620" s="119"/>
      <c r="K620" s="120"/>
      <c r="L620" s="120"/>
      <c r="M620" s="120"/>
      <c r="N620" s="120"/>
      <c r="O620" s="118"/>
      <c r="P620" s="120"/>
      <c r="Q620" s="121"/>
      <c r="R620" s="109" t="b">
        <v>0</v>
      </c>
      <c r="S620" s="143"/>
      <c r="T620" s="110"/>
      <c r="U620" s="118"/>
      <c r="V620" s="118"/>
      <c r="W620" s="118"/>
      <c r="X620" s="118"/>
      <c r="Y620" s="118"/>
      <c r="Z620" s="118"/>
      <c r="AA620" s="118"/>
      <c r="AB620" s="118"/>
      <c r="AC620" s="118"/>
      <c r="AD620" s="111"/>
      <c r="AE620" s="122"/>
      <c r="AF620" s="122"/>
      <c r="AG620" s="122"/>
      <c r="AH620" s="122"/>
    </row>
    <row r="621" ht="22.5" customHeight="1">
      <c r="A621" s="73"/>
      <c r="B621" s="73"/>
      <c r="C621" s="73"/>
      <c r="D621" s="73"/>
      <c r="E621" s="330"/>
      <c r="F621" s="118"/>
      <c r="G621" s="118"/>
      <c r="H621" s="118"/>
      <c r="I621" s="118"/>
      <c r="J621" s="119"/>
      <c r="K621" s="120"/>
      <c r="L621" s="120"/>
      <c r="M621" s="120"/>
      <c r="N621" s="120"/>
      <c r="O621" s="118"/>
      <c r="P621" s="120"/>
      <c r="Q621" s="121"/>
      <c r="R621" s="109" t="b">
        <v>0</v>
      </c>
      <c r="S621" s="143"/>
      <c r="T621" s="110"/>
      <c r="U621" s="118"/>
      <c r="V621" s="118"/>
      <c r="W621" s="118"/>
      <c r="X621" s="118"/>
      <c r="Y621" s="118"/>
      <c r="Z621" s="118"/>
      <c r="AA621" s="118"/>
      <c r="AB621" s="118"/>
      <c r="AC621" s="118"/>
      <c r="AD621" s="111"/>
      <c r="AE621" s="122"/>
      <c r="AF621" s="122"/>
      <c r="AG621" s="122"/>
      <c r="AH621" s="122"/>
    </row>
    <row r="622" ht="22.5" customHeight="1">
      <c r="A622" s="73"/>
      <c r="B622" s="73"/>
      <c r="C622" s="73"/>
      <c r="D622" s="73"/>
      <c r="E622" s="330"/>
      <c r="F622" s="118"/>
      <c r="G622" s="118"/>
      <c r="H622" s="118"/>
      <c r="I622" s="118"/>
      <c r="J622" s="119"/>
      <c r="K622" s="120"/>
      <c r="L622" s="120"/>
      <c r="M622" s="120"/>
      <c r="N622" s="120"/>
      <c r="O622" s="118"/>
      <c r="P622" s="120"/>
      <c r="Q622" s="121"/>
      <c r="R622" s="109" t="b">
        <v>0</v>
      </c>
      <c r="S622" s="143"/>
      <c r="T622" s="110"/>
      <c r="U622" s="118"/>
      <c r="V622" s="118"/>
      <c r="W622" s="118"/>
      <c r="X622" s="118"/>
      <c r="Y622" s="118"/>
      <c r="Z622" s="118"/>
      <c r="AA622" s="118"/>
      <c r="AB622" s="118"/>
      <c r="AC622" s="118"/>
      <c r="AD622" s="111"/>
      <c r="AE622" s="122"/>
      <c r="AF622" s="122"/>
      <c r="AG622" s="122"/>
      <c r="AH622" s="122"/>
    </row>
    <row r="623" ht="22.5" customHeight="1">
      <c r="A623" s="73"/>
      <c r="B623" s="73"/>
      <c r="C623" s="73"/>
      <c r="D623" s="73"/>
      <c r="E623" s="330"/>
      <c r="F623" s="118"/>
      <c r="G623" s="118"/>
      <c r="H623" s="118"/>
      <c r="I623" s="118"/>
      <c r="J623" s="119"/>
      <c r="K623" s="120"/>
      <c r="L623" s="120"/>
      <c r="M623" s="120"/>
      <c r="N623" s="120"/>
      <c r="O623" s="118"/>
      <c r="P623" s="120"/>
      <c r="Q623" s="121"/>
      <c r="R623" s="109" t="b">
        <v>0</v>
      </c>
      <c r="S623" s="143"/>
      <c r="T623" s="110"/>
      <c r="U623" s="118"/>
      <c r="V623" s="118"/>
      <c r="W623" s="118"/>
      <c r="X623" s="118"/>
      <c r="Y623" s="118"/>
      <c r="Z623" s="118"/>
      <c r="AA623" s="118"/>
      <c r="AB623" s="118"/>
      <c r="AC623" s="118"/>
      <c r="AD623" s="111"/>
      <c r="AE623" s="122"/>
      <c r="AF623" s="122"/>
      <c r="AG623" s="122"/>
      <c r="AH623" s="122"/>
    </row>
    <row r="624" ht="22.5" customHeight="1">
      <c r="A624" s="73"/>
      <c r="B624" s="73"/>
      <c r="C624" s="73"/>
      <c r="D624" s="73"/>
      <c r="E624" s="330"/>
      <c r="F624" s="118"/>
      <c r="G624" s="118"/>
      <c r="H624" s="118"/>
      <c r="I624" s="118"/>
      <c r="J624" s="119"/>
      <c r="K624" s="120"/>
      <c r="L624" s="120"/>
      <c r="M624" s="120"/>
      <c r="N624" s="120"/>
      <c r="O624" s="118"/>
      <c r="P624" s="120"/>
      <c r="Q624" s="121"/>
      <c r="R624" s="109" t="b">
        <v>0</v>
      </c>
      <c r="S624" s="143"/>
      <c r="T624" s="110"/>
      <c r="U624" s="118"/>
      <c r="V624" s="118"/>
      <c r="W624" s="118"/>
      <c r="X624" s="118"/>
      <c r="Y624" s="118"/>
      <c r="Z624" s="118"/>
      <c r="AA624" s="118"/>
      <c r="AB624" s="118"/>
      <c r="AC624" s="118"/>
      <c r="AD624" s="111"/>
      <c r="AE624" s="122"/>
      <c r="AF624" s="122"/>
      <c r="AG624" s="122"/>
      <c r="AH624" s="122"/>
    </row>
    <row r="625" ht="22.5" customHeight="1">
      <c r="A625" s="73"/>
      <c r="B625" s="73"/>
      <c r="C625" s="73"/>
      <c r="D625" s="73"/>
      <c r="E625" s="330"/>
      <c r="F625" s="118"/>
      <c r="G625" s="118"/>
      <c r="H625" s="118"/>
      <c r="I625" s="118"/>
      <c r="J625" s="119"/>
      <c r="K625" s="120"/>
      <c r="L625" s="120"/>
      <c r="M625" s="120"/>
      <c r="N625" s="120"/>
      <c r="O625" s="118"/>
      <c r="P625" s="120"/>
      <c r="Q625" s="121"/>
      <c r="R625" s="109" t="b">
        <v>0</v>
      </c>
      <c r="S625" s="143"/>
      <c r="T625" s="110"/>
      <c r="U625" s="118"/>
      <c r="V625" s="118"/>
      <c r="W625" s="118"/>
      <c r="X625" s="118"/>
      <c r="Y625" s="118"/>
      <c r="Z625" s="118"/>
      <c r="AA625" s="118"/>
      <c r="AB625" s="118"/>
      <c r="AC625" s="118"/>
      <c r="AD625" s="111"/>
      <c r="AE625" s="122"/>
      <c r="AF625" s="122"/>
      <c r="AG625" s="122"/>
      <c r="AH625" s="122"/>
    </row>
    <row r="626" ht="22.5" customHeight="1">
      <c r="A626" s="73"/>
      <c r="B626" s="73"/>
      <c r="C626" s="73"/>
      <c r="D626" s="73"/>
      <c r="E626" s="330"/>
      <c r="F626" s="118"/>
      <c r="G626" s="118"/>
      <c r="H626" s="118"/>
      <c r="I626" s="118"/>
      <c r="J626" s="119"/>
      <c r="K626" s="120"/>
      <c r="L626" s="120"/>
      <c r="M626" s="120"/>
      <c r="N626" s="120"/>
      <c r="O626" s="118"/>
      <c r="P626" s="120"/>
      <c r="Q626" s="121"/>
      <c r="R626" s="109" t="b">
        <v>0</v>
      </c>
      <c r="S626" s="143"/>
      <c r="T626" s="110"/>
      <c r="U626" s="118"/>
      <c r="V626" s="118"/>
      <c r="W626" s="118"/>
      <c r="X626" s="118"/>
      <c r="Y626" s="118"/>
      <c r="Z626" s="118"/>
      <c r="AA626" s="118"/>
      <c r="AB626" s="118"/>
      <c r="AC626" s="118"/>
      <c r="AD626" s="111"/>
      <c r="AE626" s="122"/>
      <c r="AF626" s="122"/>
      <c r="AG626" s="122"/>
      <c r="AH626" s="122"/>
    </row>
    <row r="627" ht="22.5" customHeight="1">
      <c r="A627" s="73"/>
      <c r="B627" s="73"/>
      <c r="C627" s="73"/>
      <c r="D627" s="73"/>
      <c r="E627" s="330"/>
      <c r="F627" s="118"/>
      <c r="G627" s="118"/>
      <c r="H627" s="118"/>
      <c r="I627" s="118"/>
      <c r="J627" s="119"/>
      <c r="K627" s="120"/>
      <c r="L627" s="120"/>
      <c r="M627" s="120"/>
      <c r="N627" s="120"/>
      <c r="O627" s="118"/>
      <c r="P627" s="120"/>
      <c r="Q627" s="121"/>
      <c r="R627" s="109" t="b">
        <v>0</v>
      </c>
      <c r="S627" s="143"/>
      <c r="T627" s="110"/>
      <c r="U627" s="118"/>
      <c r="V627" s="118"/>
      <c r="W627" s="118"/>
      <c r="X627" s="118"/>
      <c r="Y627" s="118"/>
      <c r="Z627" s="118"/>
      <c r="AA627" s="118"/>
      <c r="AB627" s="118"/>
      <c r="AC627" s="118"/>
      <c r="AD627" s="111"/>
      <c r="AE627" s="122"/>
      <c r="AF627" s="122"/>
      <c r="AG627" s="122"/>
      <c r="AH627" s="122"/>
    </row>
    <row r="628" ht="22.5" customHeight="1">
      <c r="A628" s="73"/>
      <c r="B628" s="73"/>
      <c r="C628" s="73"/>
      <c r="D628" s="73"/>
      <c r="E628" s="330"/>
      <c r="F628" s="118"/>
      <c r="G628" s="118"/>
      <c r="H628" s="118"/>
      <c r="I628" s="118"/>
      <c r="J628" s="119"/>
      <c r="K628" s="120"/>
      <c r="L628" s="120"/>
      <c r="M628" s="120"/>
      <c r="N628" s="120"/>
      <c r="O628" s="118"/>
      <c r="P628" s="120"/>
      <c r="Q628" s="121"/>
      <c r="R628" s="109" t="b">
        <v>0</v>
      </c>
      <c r="S628" s="143"/>
      <c r="T628" s="110"/>
      <c r="U628" s="118"/>
      <c r="V628" s="118"/>
      <c r="W628" s="118"/>
      <c r="X628" s="118"/>
      <c r="Y628" s="118"/>
      <c r="Z628" s="118"/>
      <c r="AA628" s="118"/>
      <c r="AB628" s="118"/>
      <c r="AC628" s="118"/>
      <c r="AD628" s="111"/>
      <c r="AE628" s="122"/>
      <c r="AF628" s="122"/>
      <c r="AG628" s="122"/>
      <c r="AH628" s="122"/>
    </row>
    <row r="629" ht="22.5" customHeight="1">
      <c r="A629" s="73"/>
      <c r="B629" s="73"/>
      <c r="C629" s="73"/>
      <c r="D629" s="73"/>
      <c r="E629" s="330"/>
      <c r="F629" s="118"/>
      <c r="G629" s="118"/>
      <c r="H629" s="118"/>
      <c r="I629" s="118"/>
      <c r="J629" s="119"/>
      <c r="K629" s="120"/>
      <c r="L629" s="120"/>
      <c r="M629" s="120"/>
      <c r="N629" s="120"/>
      <c r="O629" s="118"/>
      <c r="P629" s="120"/>
      <c r="Q629" s="121"/>
      <c r="R629" s="109" t="b">
        <v>0</v>
      </c>
      <c r="S629" s="143"/>
      <c r="T629" s="110"/>
      <c r="U629" s="118"/>
      <c r="V629" s="118"/>
      <c r="W629" s="118"/>
      <c r="X629" s="118"/>
      <c r="Y629" s="118"/>
      <c r="Z629" s="118"/>
      <c r="AA629" s="118"/>
      <c r="AB629" s="118"/>
      <c r="AC629" s="118"/>
      <c r="AD629" s="111"/>
      <c r="AE629" s="122"/>
      <c r="AF629" s="122"/>
      <c r="AG629" s="122"/>
      <c r="AH629" s="122"/>
    </row>
    <row r="630" ht="22.5" customHeight="1">
      <c r="A630" s="73"/>
      <c r="B630" s="73"/>
      <c r="C630" s="73"/>
      <c r="D630" s="73"/>
      <c r="E630" s="330"/>
      <c r="F630" s="118"/>
      <c r="G630" s="118"/>
      <c r="H630" s="118"/>
      <c r="I630" s="118"/>
      <c r="J630" s="119"/>
      <c r="K630" s="120"/>
      <c r="L630" s="120"/>
      <c r="M630" s="120"/>
      <c r="N630" s="120"/>
      <c r="O630" s="118"/>
      <c r="P630" s="120"/>
      <c r="Q630" s="121"/>
      <c r="R630" s="109" t="b">
        <v>0</v>
      </c>
      <c r="S630" s="143"/>
      <c r="T630" s="110"/>
      <c r="U630" s="118"/>
      <c r="V630" s="118"/>
      <c r="W630" s="118"/>
      <c r="X630" s="118"/>
      <c r="Y630" s="118"/>
      <c r="Z630" s="118"/>
      <c r="AA630" s="118"/>
      <c r="AB630" s="118"/>
      <c r="AC630" s="118"/>
      <c r="AD630" s="111"/>
      <c r="AE630" s="122"/>
      <c r="AF630" s="122"/>
      <c r="AG630" s="122"/>
      <c r="AH630" s="122"/>
    </row>
    <row r="631" ht="22.5" customHeight="1">
      <c r="A631" s="73"/>
      <c r="B631" s="73"/>
      <c r="C631" s="73"/>
      <c r="D631" s="73"/>
      <c r="E631" s="330"/>
      <c r="F631" s="118"/>
      <c r="G631" s="118"/>
      <c r="H631" s="118"/>
      <c r="I631" s="118"/>
      <c r="J631" s="119"/>
      <c r="K631" s="120"/>
      <c r="L631" s="120"/>
      <c r="M631" s="120"/>
      <c r="N631" s="120"/>
      <c r="O631" s="118"/>
      <c r="P631" s="120"/>
      <c r="Q631" s="121"/>
      <c r="R631" s="109" t="b">
        <v>0</v>
      </c>
      <c r="S631" s="143"/>
      <c r="T631" s="110"/>
      <c r="U631" s="118"/>
      <c r="V631" s="118"/>
      <c r="W631" s="118"/>
      <c r="X631" s="118"/>
      <c r="Y631" s="118"/>
      <c r="Z631" s="118"/>
      <c r="AA631" s="118"/>
      <c r="AB631" s="118"/>
      <c r="AC631" s="118"/>
      <c r="AD631" s="111"/>
      <c r="AE631" s="122"/>
      <c r="AF631" s="122"/>
      <c r="AG631" s="122"/>
      <c r="AH631" s="122"/>
    </row>
    <row r="632" ht="22.5" customHeight="1">
      <c r="A632" s="73"/>
      <c r="B632" s="73"/>
      <c r="C632" s="73"/>
      <c r="D632" s="73"/>
      <c r="E632" s="330"/>
      <c r="F632" s="118"/>
      <c r="G632" s="118"/>
      <c r="H632" s="118"/>
      <c r="I632" s="118"/>
      <c r="J632" s="119"/>
      <c r="K632" s="120"/>
      <c r="L632" s="120"/>
      <c r="M632" s="120"/>
      <c r="N632" s="120"/>
      <c r="O632" s="118"/>
      <c r="P632" s="120"/>
      <c r="Q632" s="121"/>
      <c r="R632" s="109" t="b">
        <v>0</v>
      </c>
      <c r="S632" s="143"/>
      <c r="T632" s="110"/>
      <c r="U632" s="118"/>
      <c r="V632" s="118"/>
      <c r="W632" s="118"/>
      <c r="X632" s="118"/>
      <c r="Y632" s="118"/>
      <c r="Z632" s="118"/>
      <c r="AA632" s="118"/>
      <c r="AB632" s="118"/>
      <c r="AC632" s="118"/>
      <c r="AD632" s="111"/>
      <c r="AE632" s="122"/>
      <c r="AF632" s="122"/>
      <c r="AG632" s="122"/>
      <c r="AH632" s="122"/>
    </row>
    <row r="633" ht="22.5" customHeight="1">
      <c r="A633" s="73"/>
      <c r="B633" s="73"/>
      <c r="C633" s="73"/>
      <c r="D633" s="73"/>
      <c r="E633" s="330"/>
      <c r="F633" s="118"/>
      <c r="G633" s="118"/>
      <c r="H633" s="118"/>
      <c r="I633" s="118"/>
      <c r="J633" s="119"/>
      <c r="K633" s="120"/>
      <c r="L633" s="120"/>
      <c r="M633" s="120"/>
      <c r="N633" s="120"/>
      <c r="O633" s="118"/>
      <c r="P633" s="120"/>
      <c r="Q633" s="121"/>
      <c r="R633" s="109" t="b">
        <v>0</v>
      </c>
      <c r="S633" s="143"/>
      <c r="T633" s="110"/>
      <c r="U633" s="118"/>
      <c r="V633" s="118"/>
      <c r="W633" s="118"/>
      <c r="X633" s="118"/>
      <c r="Y633" s="118"/>
      <c r="Z633" s="118"/>
      <c r="AA633" s="118"/>
      <c r="AB633" s="118"/>
      <c r="AC633" s="118"/>
      <c r="AD633" s="111"/>
      <c r="AE633" s="122"/>
      <c r="AF633" s="122"/>
      <c r="AG633" s="122"/>
      <c r="AH633" s="122"/>
    </row>
    <row r="634" ht="22.5" customHeight="1">
      <c r="A634" s="73"/>
      <c r="B634" s="73"/>
      <c r="C634" s="73"/>
      <c r="D634" s="73"/>
      <c r="E634" s="330"/>
      <c r="F634" s="118"/>
      <c r="G634" s="118"/>
      <c r="H634" s="118"/>
      <c r="I634" s="118"/>
      <c r="J634" s="119"/>
      <c r="K634" s="120"/>
      <c r="L634" s="120"/>
      <c r="M634" s="120"/>
      <c r="N634" s="120"/>
      <c r="O634" s="118"/>
      <c r="P634" s="120"/>
      <c r="Q634" s="121"/>
      <c r="R634" s="109" t="b">
        <v>0</v>
      </c>
      <c r="S634" s="143"/>
      <c r="T634" s="110"/>
      <c r="U634" s="118"/>
      <c r="V634" s="118"/>
      <c r="W634" s="118"/>
      <c r="X634" s="118"/>
      <c r="Y634" s="118"/>
      <c r="Z634" s="118"/>
      <c r="AA634" s="118"/>
      <c r="AB634" s="118"/>
      <c r="AC634" s="118"/>
      <c r="AD634" s="111"/>
      <c r="AE634" s="122"/>
      <c r="AF634" s="122"/>
      <c r="AG634" s="122"/>
      <c r="AH634" s="122"/>
    </row>
    <row r="635" ht="22.5" customHeight="1">
      <c r="A635" s="73"/>
      <c r="B635" s="73"/>
      <c r="C635" s="73"/>
      <c r="D635" s="73"/>
      <c r="E635" s="330"/>
      <c r="F635" s="118"/>
      <c r="G635" s="118"/>
      <c r="H635" s="118"/>
      <c r="I635" s="118"/>
      <c r="J635" s="119"/>
      <c r="K635" s="120"/>
      <c r="L635" s="120"/>
      <c r="M635" s="120"/>
      <c r="N635" s="120"/>
      <c r="O635" s="118"/>
      <c r="P635" s="120"/>
      <c r="Q635" s="121"/>
      <c r="R635" s="109" t="b">
        <v>0</v>
      </c>
      <c r="S635" s="143"/>
      <c r="T635" s="110"/>
      <c r="U635" s="118"/>
      <c r="V635" s="118"/>
      <c r="W635" s="118"/>
      <c r="X635" s="118"/>
      <c r="Y635" s="118"/>
      <c r="Z635" s="118"/>
      <c r="AA635" s="118"/>
      <c r="AB635" s="118"/>
      <c r="AC635" s="118"/>
      <c r="AD635" s="111"/>
      <c r="AE635" s="122"/>
      <c r="AF635" s="122"/>
      <c r="AG635" s="122"/>
      <c r="AH635" s="122"/>
    </row>
    <row r="636" ht="22.5" customHeight="1">
      <c r="A636" s="73"/>
      <c r="B636" s="73"/>
      <c r="C636" s="73"/>
      <c r="D636" s="73"/>
      <c r="E636" s="330"/>
      <c r="F636" s="118"/>
      <c r="G636" s="118"/>
      <c r="H636" s="118"/>
      <c r="I636" s="118"/>
      <c r="J636" s="119"/>
      <c r="K636" s="120"/>
      <c r="L636" s="120"/>
      <c r="M636" s="120"/>
      <c r="N636" s="120"/>
      <c r="O636" s="118"/>
      <c r="P636" s="120"/>
      <c r="Q636" s="121"/>
      <c r="R636" s="109" t="b">
        <v>0</v>
      </c>
      <c r="S636" s="143"/>
      <c r="T636" s="110"/>
      <c r="U636" s="118"/>
      <c r="V636" s="118"/>
      <c r="W636" s="118"/>
      <c r="X636" s="118"/>
      <c r="Y636" s="118"/>
      <c r="Z636" s="118"/>
      <c r="AA636" s="118"/>
      <c r="AB636" s="118"/>
      <c r="AC636" s="118"/>
      <c r="AD636" s="111"/>
      <c r="AE636" s="122"/>
      <c r="AF636" s="122"/>
      <c r="AG636" s="122"/>
      <c r="AH636" s="122"/>
    </row>
    <row r="637" ht="22.5" customHeight="1">
      <c r="A637" s="73"/>
      <c r="B637" s="73"/>
      <c r="C637" s="73"/>
      <c r="D637" s="73"/>
      <c r="E637" s="330"/>
      <c r="F637" s="118"/>
      <c r="G637" s="118"/>
      <c r="H637" s="118"/>
      <c r="I637" s="118"/>
      <c r="J637" s="119"/>
      <c r="K637" s="120"/>
      <c r="L637" s="120"/>
      <c r="M637" s="120"/>
      <c r="N637" s="120"/>
      <c r="O637" s="118"/>
      <c r="P637" s="120"/>
      <c r="Q637" s="121"/>
      <c r="R637" s="109" t="b">
        <v>0</v>
      </c>
      <c r="S637" s="143"/>
      <c r="T637" s="110"/>
      <c r="U637" s="118"/>
      <c r="V637" s="118"/>
      <c r="W637" s="118"/>
      <c r="X637" s="118"/>
      <c r="Y637" s="118"/>
      <c r="Z637" s="118"/>
      <c r="AA637" s="118"/>
      <c r="AB637" s="118"/>
      <c r="AC637" s="118"/>
      <c r="AD637" s="111"/>
      <c r="AE637" s="122"/>
      <c r="AF637" s="122"/>
      <c r="AG637" s="122"/>
      <c r="AH637" s="122"/>
    </row>
    <row r="638" ht="22.5" customHeight="1">
      <c r="A638" s="73"/>
      <c r="B638" s="73"/>
      <c r="C638" s="73"/>
      <c r="D638" s="73"/>
      <c r="E638" s="330"/>
      <c r="F638" s="118"/>
      <c r="G638" s="118"/>
      <c r="H638" s="118"/>
      <c r="I638" s="118"/>
      <c r="J638" s="119"/>
      <c r="K638" s="120"/>
      <c r="L638" s="120"/>
      <c r="M638" s="120"/>
      <c r="N638" s="120"/>
      <c r="O638" s="118"/>
      <c r="P638" s="120"/>
      <c r="Q638" s="121"/>
      <c r="R638" s="109" t="b">
        <v>0</v>
      </c>
      <c r="S638" s="143"/>
      <c r="T638" s="110"/>
      <c r="U638" s="118"/>
      <c r="V638" s="118"/>
      <c r="W638" s="118"/>
      <c r="X638" s="118"/>
      <c r="Y638" s="118"/>
      <c r="Z638" s="118"/>
      <c r="AA638" s="118"/>
      <c r="AB638" s="118"/>
      <c r="AC638" s="118"/>
      <c r="AD638" s="111"/>
      <c r="AE638" s="122"/>
      <c r="AF638" s="122"/>
      <c r="AG638" s="122"/>
      <c r="AH638" s="122"/>
    </row>
    <row r="639" ht="22.5" customHeight="1">
      <c r="A639" s="73"/>
      <c r="B639" s="73"/>
      <c r="C639" s="73"/>
      <c r="D639" s="73"/>
      <c r="E639" s="330"/>
      <c r="F639" s="118"/>
      <c r="G639" s="118"/>
      <c r="H639" s="118"/>
      <c r="I639" s="118"/>
      <c r="J639" s="119"/>
      <c r="K639" s="120"/>
      <c r="L639" s="120"/>
      <c r="M639" s="120"/>
      <c r="N639" s="120"/>
      <c r="O639" s="118"/>
      <c r="P639" s="120"/>
      <c r="Q639" s="121"/>
      <c r="R639" s="109" t="b">
        <v>0</v>
      </c>
      <c r="S639" s="143"/>
      <c r="T639" s="110"/>
      <c r="U639" s="118"/>
      <c r="V639" s="118"/>
      <c r="W639" s="118"/>
      <c r="X639" s="118"/>
      <c r="Y639" s="118"/>
      <c r="Z639" s="118"/>
      <c r="AA639" s="118"/>
      <c r="AB639" s="118"/>
      <c r="AC639" s="118"/>
      <c r="AD639" s="111"/>
      <c r="AE639" s="122"/>
      <c r="AF639" s="122"/>
      <c r="AG639" s="122"/>
      <c r="AH639" s="122"/>
    </row>
    <row r="640" ht="22.5" customHeight="1">
      <c r="A640" s="73"/>
      <c r="B640" s="73"/>
      <c r="C640" s="73"/>
      <c r="D640" s="73"/>
      <c r="E640" s="330"/>
      <c r="F640" s="118"/>
      <c r="G640" s="118"/>
      <c r="H640" s="118"/>
      <c r="I640" s="118"/>
      <c r="J640" s="119"/>
      <c r="K640" s="120"/>
      <c r="L640" s="120"/>
      <c r="M640" s="120"/>
      <c r="N640" s="120"/>
      <c r="O640" s="118"/>
      <c r="P640" s="120"/>
      <c r="Q640" s="121"/>
      <c r="R640" s="109" t="b">
        <v>0</v>
      </c>
      <c r="S640" s="143"/>
      <c r="T640" s="110"/>
      <c r="U640" s="118"/>
      <c r="V640" s="118"/>
      <c r="W640" s="118"/>
      <c r="X640" s="118"/>
      <c r="Y640" s="118"/>
      <c r="Z640" s="118"/>
      <c r="AA640" s="118"/>
      <c r="AB640" s="118"/>
      <c r="AC640" s="118"/>
      <c r="AD640" s="111"/>
      <c r="AE640" s="122"/>
      <c r="AF640" s="122"/>
      <c r="AG640" s="122"/>
      <c r="AH640" s="122"/>
    </row>
    <row r="641" ht="22.5" customHeight="1">
      <c r="A641" s="73"/>
      <c r="B641" s="73"/>
      <c r="C641" s="73"/>
      <c r="D641" s="73"/>
      <c r="E641" s="330"/>
      <c r="F641" s="118"/>
      <c r="G641" s="118"/>
      <c r="H641" s="118"/>
      <c r="I641" s="118"/>
      <c r="J641" s="119"/>
      <c r="K641" s="120"/>
      <c r="L641" s="120"/>
      <c r="M641" s="120"/>
      <c r="N641" s="120"/>
      <c r="O641" s="118"/>
      <c r="P641" s="120"/>
      <c r="Q641" s="121"/>
      <c r="R641" s="109" t="b">
        <v>0</v>
      </c>
      <c r="S641" s="143"/>
      <c r="T641" s="110"/>
      <c r="U641" s="118"/>
      <c r="V641" s="118"/>
      <c r="W641" s="118"/>
      <c r="X641" s="118"/>
      <c r="Y641" s="118"/>
      <c r="Z641" s="118"/>
      <c r="AA641" s="118"/>
      <c r="AB641" s="118"/>
      <c r="AC641" s="118"/>
      <c r="AD641" s="111"/>
      <c r="AE641" s="122"/>
      <c r="AF641" s="122"/>
      <c r="AG641" s="122"/>
      <c r="AH641" s="122"/>
    </row>
    <row r="642" ht="22.5" customHeight="1">
      <c r="A642" s="73"/>
      <c r="B642" s="73"/>
      <c r="C642" s="73"/>
      <c r="D642" s="73"/>
      <c r="E642" s="330"/>
      <c r="F642" s="118"/>
      <c r="G642" s="118"/>
      <c r="H642" s="118"/>
      <c r="I642" s="118"/>
      <c r="J642" s="119"/>
      <c r="K642" s="120"/>
      <c r="L642" s="120"/>
      <c r="M642" s="120"/>
      <c r="N642" s="120"/>
      <c r="O642" s="118"/>
      <c r="P642" s="120"/>
      <c r="Q642" s="121"/>
      <c r="R642" s="109" t="b">
        <v>0</v>
      </c>
      <c r="S642" s="143"/>
      <c r="T642" s="110"/>
      <c r="U642" s="118"/>
      <c r="V642" s="118"/>
      <c r="W642" s="118"/>
      <c r="X642" s="118"/>
      <c r="Y642" s="118"/>
      <c r="Z642" s="118"/>
      <c r="AA642" s="118"/>
      <c r="AB642" s="118"/>
      <c r="AC642" s="118"/>
      <c r="AD642" s="111"/>
      <c r="AE642" s="122"/>
      <c r="AF642" s="122"/>
      <c r="AG642" s="122"/>
      <c r="AH642" s="122"/>
    </row>
    <row r="643" ht="22.5" customHeight="1">
      <c r="A643" s="73"/>
      <c r="B643" s="73"/>
      <c r="C643" s="73"/>
      <c r="D643" s="73"/>
      <c r="E643" s="330"/>
      <c r="F643" s="118"/>
      <c r="G643" s="118"/>
      <c r="H643" s="118"/>
      <c r="I643" s="118"/>
      <c r="J643" s="119"/>
      <c r="K643" s="120"/>
      <c r="L643" s="120"/>
      <c r="M643" s="120"/>
      <c r="N643" s="120"/>
      <c r="O643" s="118"/>
      <c r="P643" s="120"/>
      <c r="Q643" s="121"/>
      <c r="R643" s="109" t="b">
        <v>0</v>
      </c>
      <c r="S643" s="143"/>
      <c r="T643" s="110"/>
      <c r="U643" s="118"/>
      <c r="V643" s="118"/>
      <c r="W643" s="118"/>
      <c r="X643" s="118"/>
      <c r="Y643" s="118"/>
      <c r="Z643" s="118"/>
      <c r="AA643" s="118"/>
      <c r="AB643" s="118"/>
      <c r="AC643" s="118"/>
      <c r="AD643" s="111"/>
      <c r="AE643" s="122"/>
      <c r="AF643" s="122"/>
      <c r="AG643" s="122"/>
      <c r="AH643" s="122"/>
    </row>
    <row r="644" ht="22.5" customHeight="1">
      <c r="A644" s="73"/>
      <c r="B644" s="73"/>
      <c r="C644" s="73"/>
      <c r="D644" s="73"/>
      <c r="E644" s="330"/>
      <c r="F644" s="118"/>
      <c r="G644" s="118"/>
      <c r="H644" s="118"/>
      <c r="I644" s="118"/>
      <c r="J644" s="119"/>
      <c r="K644" s="120"/>
      <c r="L644" s="120"/>
      <c r="M644" s="120"/>
      <c r="N644" s="120"/>
      <c r="O644" s="118"/>
      <c r="P644" s="120"/>
      <c r="Q644" s="121"/>
      <c r="R644" s="109" t="b">
        <v>0</v>
      </c>
      <c r="S644" s="143"/>
      <c r="T644" s="110"/>
      <c r="U644" s="118"/>
      <c r="V644" s="118"/>
      <c r="W644" s="118"/>
      <c r="X644" s="118"/>
      <c r="Y644" s="118"/>
      <c r="Z644" s="118"/>
      <c r="AA644" s="118"/>
      <c r="AB644" s="118"/>
      <c r="AC644" s="118"/>
      <c r="AD644" s="111"/>
      <c r="AE644" s="122"/>
      <c r="AF644" s="122"/>
      <c r="AG644" s="122"/>
      <c r="AH644" s="122"/>
    </row>
    <row r="645" ht="22.5" customHeight="1">
      <c r="A645" s="73"/>
      <c r="B645" s="73"/>
      <c r="C645" s="73"/>
      <c r="D645" s="73"/>
      <c r="E645" s="330"/>
      <c r="F645" s="118"/>
      <c r="G645" s="118"/>
      <c r="H645" s="118"/>
      <c r="I645" s="118"/>
      <c r="J645" s="119"/>
      <c r="K645" s="120"/>
      <c r="L645" s="120"/>
      <c r="M645" s="120"/>
      <c r="N645" s="120"/>
      <c r="O645" s="118"/>
      <c r="P645" s="120"/>
      <c r="Q645" s="121"/>
      <c r="R645" s="109" t="b">
        <v>0</v>
      </c>
      <c r="S645" s="143"/>
      <c r="T645" s="110"/>
      <c r="U645" s="118"/>
      <c r="V645" s="118"/>
      <c r="W645" s="118"/>
      <c r="X645" s="118"/>
      <c r="Y645" s="118"/>
      <c r="Z645" s="118"/>
      <c r="AA645" s="118"/>
      <c r="AB645" s="118"/>
      <c r="AC645" s="118"/>
      <c r="AD645" s="111"/>
      <c r="AE645" s="122"/>
      <c r="AF645" s="122"/>
      <c r="AG645" s="122"/>
      <c r="AH645" s="122"/>
    </row>
    <row r="646" ht="22.5" customHeight="1">
      <c r="A646" s="73"/>
      <c r="B646" s="73"/>
      <c r="C646" s="73"/>
      <c r="D646" s="73"/>
      <c r="E646" s="330"/>
      <c r="F646" s="118"/>
      <c r="G646" s="118"/>
      <c r="H646" s="118"/>
      <c r="I646" s="118"/>
      <c r="J646" s="119"/>
      <c r="K646" s="120"/>
      <c r="L646" s="120"/>
      <c r="M646" s="120"/>
      <c r="N646" s="120"/>
      <c r="O646" s="118"/>
      <c r="P646" s="120"/>
      <c r="Q646" s="121"/>
      <c r="R646" s="109" t="b">
        <v>0</v>
      </c>
      <c r="S646" s="143"/>
      <c r="T646" s="110"/>
      <c r="U646" s="118"/>
      <c r="V646" s="118"/>
      <c r="W646" s="118"/>
      <c r="X646" s="118"/>
      <c r="Y646" s="118"/>
      <c r="Z646" s="118"/>
      <c r="AA646" s="118"/>
      <c r="AB646" s="118"/>
      <c r="AC646" s="118"/>
      <c r="AD646" s="111"/>
      <c r="AE646" s="122"/>
      <c r="AF646" s="122"/>
      <c r="AG646" s="122"/>
      <c r="AH646" s="122"/>
    </row>
    <row r="647" ht="22.5" customHeight="1">
      <c r="A647" s="73"/>
      <c r="B647" s="73"/>
      <c r="C647" s="73"/>
      <c r="D647" s="73"/>
      <c r="E647" s="330"/>
      <c r="F647" s="118"/>
      <c r="G647" s="118"/>
      <c r="H647" s="118"/>
      <c r="I647" s="118"/>
      <c r="J647" s="119"/>
      <c r="K647" s="120"/>
      <c r="L647" s="120"/>
      <c r="M647" s="120"/>
      <c r="N647" s="120"/>
      <c r="O647" s="118"/>
      <c r="P647" s="120"/>
      <c r="Q647" s="121"/>
      <c r="R647" s="109" t="b">
        <v>0</v>
      </c>
      <c r="S647" s="143"/>
      <c r="T647" s="110"/>
      <c r="U647" s="118"/>
      <c r="V647" s="118"/>
      <c r="W647" s="118"/>
      <c r="X647" s="118"/>
      <c r="Y647" s="118"/>
      <c r="Z647" s="118"/>
      <c r="AA647" s="118"/>
      <c r="AB647" s="118"/>
      <c r="AC647" s="118"/>
      <c r="AD647" s="111"/>
      <c r="AE647" s="122"/>
      <c r="AF647" s="122"/>
      <c r="AG647" s="122"/>
      <c r="AH647" s="122"/>
    </row>
    <row r="648" ht="22.5" customHeight="1">
      <c r="A648" s="73"/>
      <c r="B648" s="73"/>
      <c r="C648" s="73"/>
      <c r="D648" s="73"/>
      <c r="E648" s="330"/>
      <c r="F648" s="118"/>
      <c r="G648" s="118"/>
      <c r="H648" s="118"/>
      <c r="I648" s="118"/>
      <c r="J648" s="119"/>
      <c r="K648" s="120"/>
      <c r="L648" s="120"/>
      <c r="M648" s="120"/>
      <c r="N648" s="120"/>
      <c r="O648" s="118"/>
      <c r="P648" s="120"/>
      <c r="Q648" s="121"/>
      <c r="R648" s="109" t="b">
        <v>0</v>
      </c>
      <c r="S648" s="143"/>
      <c r="T648" s="110"/>
      <c r="U648" s="118"/>
      <c r="V648" s="118"/>
      <c r="W648" s="118"/>
      <c r="X648" s="118"/>
      <c r="Y648" s="118"/>
      <c r="Z648" s="118"/>
      <c r="AA648" s="118"/>
      <c r="AB648" s="118"/>
      <c r="AC648" s="118"/>
      <c r="AD648" s="111"/>
      <c r="AE648" s="122"/>
      <c r="AF648" s="122"/>
      <c r="AG648" s="122"/>
      <c r="AH648" s="122"/>
    </row>
    <row r="649" ht="22.5" customHeight="1">
      <c r="A649" s="73"/>
      <c r="B649" s="73"/>
      <c r="C649" s="73"/>
      <c r="D649" s="73"/>
      <c r="E649" s="330"/>
      <c r="F649" s="118"/>
      <c r="G649" s="118"/>
      <c r="H649" s="118"/>
      <c r="I649" s="118"/>
      <c r="J649" s="119"/>
      <c r="K649" s="120"/>
      <c r="L649" s="120"/>
      <c r="M649" s="120"/>
      <c r="N649" s="120"/>
      <c r="O649" s="118"/>
      <c r="P649" s="120"/>
      <c r="Q649" s="121"/>
      <c r="R649" s="109" t="b">
        <v>0</v>
      </c>
      <c r="S649" s="143"/>
      <c r="T649" s="110"/>
      <c r="U649" s="118"/>
      <c r="V649" s="118"/>
      <c r="W649" s="118"/>
      <c r="X649" s="118"/>
      <c r="Y649" s="118"/>
      <c r="Z649" s="118"/>
      <c r="AA649" s="118"/>
      <c r="AB649" s="118"/>
      <c r="AC649" s="118"/>
      <c r="AD649" s="111"/>
      <c r="AE649" s="122"/>
      <c r="AF649" s="122"/>
      <c r="AG649" s="122"/>
      <c r="AH649" s="122"/>
    </row>
    <row r="650" ht="22.5" customHeight="1">
      <c r="A650" s="73"/>
      <c r="B650" s="73"/>
      <c r="C650" s="73"/>
      <c r="D650" s="73"/>
      <c r="E650" s="330"/>
      <c r="F650" s="118"/>
      <c r="G650" s="118"/>
      <c r="H650" s="118"/>
      <c r="I650" s="118"/>
      <c r="J650" s="119"/>
      <c r="K650" s="120"/>
      <c r="L650" s="120"/>
      <c r="M650" s="120"/>
      <c r="N650" s="120"/>
      <c r="O650" s="118"/>
      <c r="P650" s="120"/>
      <c r="Q650" s="121"/>
      <c r="R650" s="109" t="b">
        <v>0</v>
      </c>
      <c r="S650" s="143"/>
      <c r="T650" s="110"/>
      <c r="U650" s="118"/>
      <c r="V650" s="118"/>
      <c r="W650" s="118"/>
      <c r="X650" s="118"/>
      <c r="Y650" s="118"/>
      <c r="Z650" s="118"/>
      <c r="AA650" s="118"/>
      <c r="AB650" s="118"/>
      <c r="AC650" s="118"/>
      <c r="AD650" s="111"/>
      <c r="AE650" s="122"/>
      <c r="AF650" s="122"/>
      <c r="AG650" s="122"/>
      <c r="AH650" s="122"/>
    </row>
    <row r="651" ht="22.5" customHeight="1">
      <c r="A651" s="73"/>
      <c r="B651" s="73"/>
      <c r="C651" s="73"/>
      <c r="D651" s="73"/>
      <c r="E651" s="330"/>
      <c r="F651" s="118"/>
      <c r="G651" s="118"/>
      <c r="H651" s="118"/>
      <c r="I651" s="118"/>
      <c r="J651" s="119"/>
      <c r="K651" s="120"/>
      <c r="L651" s="120"/>
      <c r="M651" s="120"/>
      <c r="N651" s="120"/>
      <c r="O651" s="118"/>
      <c r="P651" s="120"/>
      <c r="Q651" s="121"/>
      <c r="R651" s="109" t="b">
        <v>0</v>
      </c>
      <c r="S651" s="143"/>
      <c r="T651" s="110"/>
      <c r="U651" s="118"/>
      <c r="V651" s="118"/>
      <c r="W651" s="118"/>
      <c r="X651" s="118"/>
      <c r="Y651" s="118"/>
      <c r="Z651" s="118"/>
      <c r="AA651" s="118"/>
      <c r="AB651" s="118"/>
      <c r="AC651" s="118"/>
      <c r="AD651" s="111"/>
      <c r="AE651" s="122"/>
      <c r="AF651" s="122"/>
      <c r="AG651" s="122"/>
      <c r="AH651" s="122"/>
    </row>
    <row r="652" ht="22.5" customHeight="1">
      <c r="A652" s="73"/>
      <c r="B652" s="73"/>
      <c r="C652" s="73"/>
      <c r="D652" s="73"/>
      <c r="E652" s="330"/>
      <c r="F652" s="118"/>
      <c r="G652" s="118"/>
      <c r="H652" s="118"/>
      <c r="I652" s="118"/>
      <c r="J652" s="119"/>
      <c r="K652" s="120"/>
      <c r="L652" s="120"/>
      <c r="M652" s="120"/>
      <c r="N652" s="120"/>
      <c r="O652" s="118"/>
      <c r="P652" s="120"/>
      <c r="Q652" s="121"/>
      <c r="R652" s="109" t="b">
        <v>0</v>
      </c>
      <c r="S652" s="143"/>
      <c r="T652" s="110"/>
      <c r="U652" s="118"/>
      <c r="V652" s="118"/>
      <c r="W652" s="118"/>
      <c r="X652" s="118"/>
      <c r="Y652" s="118"/>
      <c r="Z652" s="118"/>
      <c r="AA652" s="118"/>
      <c r="AB652" s="118"/>
      <c r="AC652" s="118"/>
      <c r="AD652" s="111"/>
      <c r="AE652" s="122"/>
      <c r="AF652" s="122"/>
      <c r="AG652" s="122"/>
      <c r="AH652" s="122"/>
    </row>
    <row r="653" ht="22.5" customHeight="1">
      <c r="A653" s="73"/>
      <c r="B653" s="73"/>
      <c r="C653" s="73"/>
      <c r="D653" s="73"/>
      <c r="E653" s="330"/>
      <c r="F653" s="118"/>
      <c r="G653" s="118"/>
      <c r="H653" s="118"/>
      <c r="I653" s="118"/>
      <c r="J653" s="119"/>
      <c r="K653" s="120"/>
      <c r="L653" s="120"/>
      <c r="M653" s="120"/>
      <c r="N653" s="120"/>
      <c r="O653" s="118"/>
      <c r="P653" s="120"/>
      <c r="Q653" s="121"/>
      <c r="R653" s="109" t="b">
        <v>0</v>
      </c>
      <c r="S653" s="143"/>
      <c r="T653" s="110"/>
      <c r="U653" s="118"/>
      <c r="V653" s="118"/>
      <c r="W653" s="118"/>
      <c r="X653" s="118"/>
      <c r="Y653" s="118"/>
      <c r="Z653" s="118"/>
      <c r="AA653" s="118"/>
      <c r="AB653" s="118"/>
      <c r="AC653" s="118"/>
      <c r="AD653" s="111"/>
      <c r="AE653" s="122"/>
      <c r="AF653" s="122"/>
      <c r="AG653" s="122"/>
      <c r="AH653" s="122"/>
    </row>
    <row r="654" ht="22.5" customHeight="1">
      <c r="A654" s="73"/>
      <c r="B654" s="73"/>
      <c r="C654" s="73"/>
      <c r="D654" s="73"/>
      <c r="E654" s="330"/>
      <c r="F654" s="118"/>
      <c r="G654" s="118"/>
      <c r="H654" s="118"/>
      <c r="I654" s="118"/>
      <c r="J654" s="119"/>
      <c r="K654" s="120"/>
      <c r="L654" s="120"/>
      <c r="M654" s="120"/>
      <c r="N654" s="120"/>
      <c r="O654" s="118"/>
      <c r="P654" s="120"/>
      <c r="Q654" s="121"/>
      <c r="R654" s="109" t="b">
        <v>0</v>
      </c>
      <c r="S654" s="143"/>
      <c r="T654" s="110"/>
      <c r="U654" s="118"/>
      <c r="V654" s="118"/>
      <c r="W654" s="118"/>
      <c r="X654" s="118"/>
      <c r="Y654" s="118"/>
      <c r="Z654" s="118"/>
      <c r="AA654" s="118"/>
      <c r="AB654" s="118"/>
      <c r="AC654" s="118"/>
      <c r="AD654" s="111"/>
      <c r="AE654" s="122"/>
      <c r="AF654" s="122"/>
      <c r="AG654" s="122"/>
      <c r="AH654" s="122"/>
    </row>
    <row r="655" ht="22.5" customHeight="1">
      <c r="A655" s="73"/>
      <c r="B655" s="73"/>
      <c r="C655" s="73"/>
      <c r="D655" s="73"/>
      <c r="E655" s="330"/>
      <c r="F655" s="118"/>
      <c r="G655" s="118"/>
      <c r="H655" s="118"/>
      <c r="I655" s="118"/>
      <c r="J655" s="119"/>
      <c r="K655" s="120"/>
      <c r="L655" s="120"/>
      <c r="M655" s="120"/>
      <c r="N655" s="120"/>
      <c r="O655" s="118"/>
      <c r="P655" s="120"/>
      <c r="Q655" s="121"/>
      <c r="R655" s="109" t="b">
        <v>0</v>
      </c>
      <c r="S655" s="143"/>
      <c r="T655" s="110"/>
      <c r="U655" s="118"/>
      <c r="V655" s="118"/>
      <c r="W655" s="118"/>
      <c r="X655" s="118"/>
      <c r="Y655" s="118"/>
      <c r="Z655" s="118"/>
      <c r="AA655" s="118"/>
      <c r="AB655" s="118"/>
      <c r="AC655" s="118"/>
      <c r="AD655" s="111"/>
      <c r="AE655" s="122"/>
      <c r="AF655" s="122"/>
      <c r="AG655" s="122"/>
      <c r="AH655" s="122"/>
    </row>
    <row r="656" ht="22.5" customHeight="1">
      <c r="A656" s="73"/>
      <c r="B656" s="73"/>
      <c r="C656" s="73"/>
      <c r="D656" s="73"/>
      <c r="E656" s="330"/>
      <c r="F656" s="118"/>
      <c r="G656" s="118"/>
      <c r="H656" s="118"/>
      <c r="I656" s="118"/>
      <c r="J656" s="119"/>
      <c r="K656" s="120"/>
      <c r="L656" s="120"/>
      <c r="M656" s="120"/>
      <c r="N656" s="120"/>
      <c r="O656" s="118"/>
      <c r="P656" s="120"/>
      <c r="Q656" s="121"/>
      <c r="R656" s="109" t="b">
        <v>0</v>
      </c>
      <c r="S656" s="143"/>
      <c r="T656" s="110"/>
      <c r="U656" s="118"/>
      <c r="V656" s="118"/>
      <c r="W656" s="118"/>
      <c r="X656" s="118"/>
      <c r="Y656" s="118"/>
      <c r="Z656" s="118"/>
      <c r="AA656" s="118"/>
      <c r="AB656" s="118"/>
      <c r="AC656" s="118"/>
      <c r="AD656" s="111"/>
      <c r="AE656" s="122"/>
      <c r="AF656" s="122"/>
      <c r="AG656" s="122"/>
      <c r="AH656" s="122"/>
    </row>
    <row r="657" ht="22.5" customHeight="1">
      <c r="A657" s="73"/>
      <c r="B657" s="73"/>
      <c r="C657" s="73"/>
      <c r="D657" s="73"/>
      <c r="E657" s="330"/>
      <c r="F657" s="118"/>
      <c r="G657" s="118"/>
      <c r="H657" s="118"/>
      <c r="I657" s="118"/>
      <c r="J657" s="119"/>
      <c r="K657" s="120"/>
      <c r="L657" s="120"/>
      <c r="M657" s="120"/>
      <c r="N657" s="120"/>
      <c r="O657" s="118"/>
      <c r="P657" s="120"/>
      <c r="Q657" s="121"/>
      <c r="R657" s="109" t="b">
        <v>0</v>
      </c>
      <c r="S657" s="143"/>
      <c r="T657" s="110"/>
      <c r="U657" s="118"/>
      <c r="V657" s="118"/>
      <c r="W657" s="118"/>
      <c r="X657" s="118"/>
      <c r="Y657" s="118"/>
      <c r="Z657" s="118"/>
      <c r="AA657" s="118"/>
      <c r="AB657" s="118"/>
      <c r="AC657" s="118"/>
      <c r="AD657" s="111"/>
      <c r="AE657" s="122"/>
      <c r="AF657" s="122"/>
      <c r="AG657" s="122"/>
      <c r="AH657" s="122"/>
    </row>
    <row r="658" ht="22.5" customHeight="1">
      <c r="A658" s="73"/>
      <c r="B658" s="73"/>
      <c r="C658" s="73"/>
      <c r="D658" s="73"/>
      <c r="E658" s="330"/>
      <c r="F658" s="118"/>
      <c r="G658" s="118"/>
      <c r="H658" s="118"/>
      <c r="I658" s="118"/>
      <c r="J658" s="119"/>
      <c r="K658" s="120"/>
      <c r="L658" s="120"/>
      <c r="M658" s="120"/>
      <c r="N658" s="120"/>
      <c r="O658" s="118"/>
      <c r="P658" s="120"/>
      <c r="Q658" s="121"/>
      <c r="R658" s="109" t="b">
        <v>0</v>
      </c>
      <c r="S658" s="143"/>
      <c r="T658" s="110"/>
      <c r="U658" s="118"/>
      <c r="V658" s="118"/>
      <c r="W658" s="118"/>
      <c r="X658" s="118"/>
      <c r="Y658" s="118"/>
      <c r="Z658" s="118"/>
      <c r="AA658" s="118"/>
      <c r="AB658" s="118"/>
      <c r="AC658" s="118"/>
      <c r="AD658" s="111"/>
      <c r="AE658" s="122"/>
      <c r="AF658" s="122"/>
      <c r="AG658" s="122"/>
      <c r="AH658" s="122"/>
    </row>
    <row r="659" ht="22.5" customHeight="1">
      <c r="A659" s="73"/>
      <c r="B659" s="73"/>
      <c r="C659" s="73"/>
      <c r="D659" s="73"/>
      <c r="E659" s="330"/>
      <c r="F659" s="118"/>
      <c r="G659" s="118"/>
      <c r="H659" s="118"/>
      <c r="I659" s="118"/>
      <c r="J659" s="119"/>
      <c r="K659" s="120"/>
      <c r="L659" s="120"/>
      <c r="M659" s="120"/>
      <c r="N659" s="120"/>
      <c r="O659" s="118"/>
      <c r="P659" s="120"/>
      <c r="Q659" s="121"/>
      <c r="R659" s="109" t="b">
        <v>0</v>
      </c>
      <c r="S659" s="143"/>
      <c r="T659" s="110"/>
      <c r="U659" s="118"/>
      <c r="V659" s="118"/>
      <c r="W659" s="118"/>
      <c r="X659" s="118"/>
      <c r="Y659" s="118"/>
      <c r="Z659" s="118"/>
      <c r="AA659" s="118"/>
      <c r="AB659" s="118"/>
      <c r="AC659" s="118"/>
      <c r="AD659" s="111"/>
      <c r="AE659" s="122"/>
      <c r="AF659" s="122"/>
      <c r="AG659" s="122"/>
      <c r="AH659" s="122"/>
    </row>
    <row r="660" ht="22.5" customHeight="1">
      <c r="A660" s="73"/>
      <c r="B660" s="73"/>
      <c r="C660" s="73"/>
      <c r="D660" s="73"/>
      <c r="E660" s="330"/>
      <c r="F660" s="118"/>
      <c r="G660" s="118"/>
      <c r="H660" s="118"/>
      <c r="I660" s="118"/>
      <c r="J660" s="119"/>
      <c r="K660" s="120"/>
      <c r="L660" s="120"/>
      <c r="M660" s="120"/>
      <c r="N660" s="120"/>
      <c r="O660" s="118"/>
      <c r="P660" s="120"/>
      <c r="Q660" s="121"/>
      <c r="R660" s="109" t="b">
        <v>0</v>
      </c>
      <c r="S660" s="143"/>
      <c r="T660" s="110"/>
      <c r="U660" s="118"/>
      <c r="V660" s="118"/>
      <c r="W660" s="118"/>
      <c r="X660" s="118"/>
      <c r="Y660" s="118"/>
      <c r="Z660" s="118"/>
      <c r="AA660" s="118"/>
      <c r="AB660" s="118"/>
      <c r="AC660" s="118"/>
      <c r="AD660" s="111"/>
      <c r="AE660" s="122"/>
      <c r="AF660" s="122"/>
      <c r="AG660" s="122"/>
      <c r="AH660" s="122"/>
    </row>
    <row r="661" ht="22.5" customHeight="1">
      <c r="A661" s="73"/>
      <c r="B661" s="73"/>
      <c r="C661" s="73"/>
      <c r="D661" s="73"/>
      <c r="E661" s="330"/>
      <c r="F661" s="118"/>
      <c r="G661" s="118"/>
      <c r="H661" s="118"/>
      <c r="I661" s="118"/>
      <c r="J661" s="119"/>
      <c r="K661" s="120"/>
      <c r="L661" s="120"/>
      <c r="M661" s="120"/>
      <c r="N661" s="120"/>
      <c r="O661" s="118"/>
      <c r="P661" s="120"/>
      <c r="Q661" s="121"/>
      <c r="R661" s="109" t="b">
        <v>0</v>
      </c>
      <c r="S661" s="143"/>
      <c r="T661" s="110"/>
      <c r="U661" s="118"/>
      <c r="V661" s="118"/>
      <c r="W661" s="118"/>
      <c r="X661" s="118"/>
      <c r="Y661" s="118"/>
      <c r="Z661" s="118"/>
      <c r="AA661" s="118"/>
      <c r="AB661" s="118"/>
      <c r="AC661" s="118"/>
      <c r="AD661" s="111"/>
      <c r="AE661" s="122"/>
      <c r="AF661" s="122"/>
      <c r="AG661" s="122"/>
      <c r="AH661" s="122"/>
    </row>
    <row r="662" ht="22.5" customHeight="1">
      <c r="A662" s="73"/>
      <c r="B662" s="73"/>
      <c r="C662" s="73"/>
      <c r="D662" s="73"/>
      <c r="E662" s="330"/>
      <c r="F662" s="118"/>
      <c r="G662" s="118"/>
      <c r="H662" s="118"/>
      <c r="I662" s="118"/>
      <c r="J662" s="119"/>
      <c r="K662" s="120"/>
      <c r="L662" s="120"/>
      <c r="M662" s="120"/>
      <c r="N662" s="120"/>
      <c r="O662" s="118"/>
      <c r="P662" s="120"/>
      <c r="Q662" s="121"/>
      <c r="R662" s="109" t="b">
        <v>0</v>
      </c>
      <c r="S662" s="143"/>
      <c r="T662" s="110"/>
      <c r="U662" s="118"/>
      <c r="V662" s="118"/>
      <c r="W662" s="118"/>
      <c r="X662" s="118"/>
      <c r="Y662" s="118"/>
      <c r="Z662" s="118"/>
      <c r="AA662" s="118"/>
      <c r="AB662" s="118"/>
      <c r="AC662" s="118"/>
      <c r="AD662" s="111"/>
      <c r="AE662" s="122"/>
      <c r="AF662" s="122"/>
      <c r="AG662" s="122"/>
      <c r="AH662" s="122"/>
    </row>
    <row r="663" ht="22.5" customHeight="1">
      <c r="A663" s="73"/>
      <c r="B663" s="73"/>
      <c r="C663" s="73"/>
      <c r="D663" s="73"/>
      <c r="E663" s="330"/>
      <c r="F663" s="118"/>
      <c r="G663" s="118"/>
      <c r="H663" s="118"/>
      <c r="I663" s="118"/>
      <c r="J663" s="119"/>
      <c r="K663" s="120"/>
      <c r="L663" s="120"/>
      <c r="M663" s="120"/>
      <c r="N663" s="120"/>
      <c r="O663" s="118"/>
      <c r="P663" s="120"/>
      <c r="Q663" s="121"/>
      <c r="R663" s="109" t="b">
        <v>0</v>
      </c>
      <c r="S663" s="143"/>
      <c r="T663" s="110"/>
      <c r="U663" s="118"/>
      <c r="V663" s="118"/>
      <c r="W663" s="118"/>
      <c r="X663" s="118"/>
      <c r="Y663" s="118"/>
      <c r="Z663" s="118"/>
      <c r="AA663" s="118"/>
      <c r="AB663" s="118"/>
      <c r="AC663" s="118"/>
      <c r="AD663" s="111"/>
      <c r="AE663" s="122"/>
      <c r="AF663" s="122"/>
      <c r="AG663" s="122"/>
      <c r="AH663" s="122"/>
    </row>
    <row r="664" ht="22.5" customHeight="1">
      <c r="A664" s="73"/>
      <c r="B664" s="73"/>
      <c r="C664" s="73"/>
      <c r="D664" s="73"/>
      <c r="E664" s="330"/>
      <c r="F664" s="118"/>
      <c r="G664" s="118"/>
      <c r="H664" s="118"/>
      <c r="I664" s="118"/>
      <c r="J664" s="119"/>
      <c r="K664" s="120"/>
      <c r="L664" s="120"/>
      <c r="M664" s="120"/>
      <c r="N664" s="120"/>
      <c r="O664" s="118"/>
      <c r="P664" s="120"/>
      <c r="Q664" s="121"/>
      <c r="R664" s="109" t="b">
        <v>0</v>
      </c>
      <c r="S664" s="143"/>
      <c r="T664" s="110"/>
      <c r="U664" s="118"/>
      <c r="V664" s="118"/>
      <c r="W664" s="118"/>
      <c r="X664" s="118"/>
      <c r="Y664" s="118"/>
      <c r="Z664" s="118"/>
      <c r="AA664" s="118"/>
      <c r="AB664" s="118"/>
      <c r="AC664" s="118"/>
      <c r="AD664" s="111"/>
      <c r="AE664" s="122"/>
      <c r="AF664" s="122"/>
      <c r="AG664" s="122"/>
      <c r="AH664" s="122"/>
    </row>
    <row r="665" ht="22.5" customHeight="1">
      <c r="A665" s="73"/>
      <c r="B665" s="73"/>
      <c r="C665" s="73"/>
      <c r="D665" s="73"/>
      <c r="E665" s="330"/>
      <c r="F665" s="118"/>
      <c r="G665" s="118"/>
      <c r="H665" s="118"/>
      <c r="I665" s="118"/>
      <c r="J665" s="119"/>
      <c r="K665" s="120"/>
      <c r="L665" s="120"/>
      <c r="M665" s="120"/>
      <c r="N665" s="120"/>
      <c r="O665" s="118"/>
      <c r="P665" s="120"/>
      <c r="Q665" s="121"/>
      <c r="R665" s="109" t="b">
        <v>0</v>
      </c>
      <c r="S665" s="143"/>
      <c r="T665" s="110"/>
      <c r="U665" s="118"/>
      <c r="V665" s="118"/>
      <c r="W665" s="118"/>
      <c r="X665" s="118"/>
      <c r="Y665" s="118"/>
      <c r="Z665" s="118"/>
      <c r="AA665" s="118"/>
      <c r="AB665" s="118"/>
      <c r="AC665" s="118"/>
      <c r="AD665" s="111"/>
      <c r="AE665" s="122"/>
      <c r="AF665" s="122"/>
      <c r="AG665" s="122"/>
      <c r="AH665" s="122"/>
    </row>
    <row r="666" ht="22.5" customHeight="1">
      <c r="A666" s="73"/>
      <c r="B666" s="73"/>
      <c r="C666" s="73"/>
      <c r="D666" s="73"/>
      <c r="E666" s="330"/>
      <c r="F666" s="118"/>
      <c r="G666" s="118"/>
      <c r="H666" s="118"/>
      <c r="I666" s="118"/>
      <c r="J666" s="119"/>
      <c r="K666" s="120"/>
      <c r="L666" s="120"/>
      <c r="M666" s="120"/>
      <c r="N666" s="120"/>
      <c r="O666" s="118"/>
      <c r="P666" s="120"/>
      <c r="Q666" s="121"/>
      <c r="R666" s="109" t="b">
        <v>0</v>
      </c>
      <c r="S666" s="143"/>
      <c r="T666" s="110"/>
      <c r="U666" s="118"/>
      <c r="V666" s="118"/>
      <c r="W666" s="118"/>
      <c r="X666" s="118"/>
      <c r="Y666" s="118"/>
      <c r="Z666" s="118"/>
      <c r="AA666" s="118"/>
      <c r="AB666" s="118"/>
      <c r="AC666" s="118"/>
      <c r="AD666" s="111"/>
      <c r="AE666" s="122"/>
      <c r="AF666" s="122"/>
      <c r="AG666" s="122"/>
      <c r="AH666" s="122"/>
    </row>
    <row r="667" ht="22.5" customHeight="1">
      <c r="A667" s="73"/>
      <c r="B667" s="73"/>
      <c r="C667" s="73"/>
      <c r="D667" s="73"/>
      <c r="E667" s="330"/>
      <c r="F667" s="118"/>
      <c r="G667" s="118"/>
      <c r="H667" s="118"/>
      <c r="I667" s="118"/>
      <c r="J667" s="119"/>
      <c r="K667" s="120"/>
      <c r="L667" s="120"/>
      <c r="M667" s="120"/>
      <c r="N667" s="120"/>
      <c r="O667" s="118"/>
      <c r="P667" s="120"/>
      <c r="Q667" s="121"/>
      <c r="R667" s="109" t="b">
        <v>0</v>
      </c>
      <c r="S667" s="143"/>
      <c r="T667" s="110"/>
      <c r="U667" s="118"/>
      <c r="V667" s="118"/>
      <c r="W667" s="118"/>
      <c r="X667" s="118"/>
      <c r="Y667" s="118"/>
      <c r="Z667" s="118"/>
      <c r="AA667" s="118"/>
      <c r="AB667" s="118"/>
      <c r="AC667" s="118"/>
      <c r="AD667" s="111"/>
      <c r="AE667" s="122"/>
      <c r="AF667" s="122"/>
      <c r="AG667" s="122"/>
      <c r="AH667" s="122"/>
    </row>
    <row r="668" ht="22.5" customHeight="1">
      <c r="A668" s="73"/>
      <c r="B668" s="73"/>
      <c r="C668" s="73"/>
      <c r="D668" s="73"/>
      <c r="E668" s="330"/>
      <c r="F668" s="118"/>
      <c r="G668" s="118"/>
      <c r="H668" s="118"/>
      <c r="I668" s="118"/>
      <c r="J668" s="119"/>
      <c r="K668" s="120"/>
      <c r="L668" s="120"/>
      <c r="M668" s="120"/>
      <c r="N668" s="120"/>
      <c r="O668" s="118"/>
      <c r="P668" s="120"/>
      <c r="Q668" s="121"/>
      <c r="R668" s="109" t="b">
        <v>0</v>
      </c>
      <c r="S668" s="143"/>
      <c r="T668" s="110"/>
      <c r="U668" s="118"/>
      <c r="V668" s="118"/>
      <c r="W668" s="118"/>
      <c r="X668" s="118"/>
      <c r="Y668" s="118"/>
      <c r="Z668" s="118"/>
      <c r="AA668" s="118"/>
      <c r="AB668" s="118"/>
      <c r="AC668" s="118"/>
      <c r="AD668" s="111"/>
      <c r="AE668" s="122"/>
      <c r="AF668" s="122"/>
      <c r="AG668" s="122"/>
      <c r="AH668" s="122"/>
    </row>
    <row r="669" ht="22.5" customHeight="1">
      <c r="A669" s="73"/>
      <c r="B669" s="73"/>
      <c r="C669" s="73"/>
      <c r="D669" s="73"/>
      <c r="E669" s="330"/>
      <c r="F669" s="118"/>
      <c r="G669" s="118"/>
      <c r="H669" s="118"/>
      <c r="I669" s="118"/>
      <c r="J669" s="119"/>
      <c r="K669" s="120"/>
      <c r="L669" s="120"/>
      <c r="M669" s="120"/>
      <c r="N669" s="120"/>
      <c r="O669" s="118"/>
      <c r="P669" s="120"/>
      <c r="Q669" s="121"/>
      <c r="R669" s="109" t="b">
        <v>0</v>
      </c>
      <c r="S669" s="143"/>
      <c r="T669" s="110"/>
      <c r="U669" s="118"/>
      <c r="V669" s="118"/>
      <c r="W669" s="118"/>
      <c r="X669" s="118"/>
      <c r="Y669" s="118"/>
      <c r="Z669" s="118"/>
      <c r="AA669" s="118"/>
      <c r="AB669" s="118"/>
      <c r="AC669" s="118"/>
      <c r="AD669" s="111"/>
      <c r="AE669" s="122"/>
      <c r="AF669" s="122"/>
      <c r="AG669" s="122"/>
      <c r="AH669" s="122"/>
    </row>
    <row r="670" ht="22.5" customHeight="1">
      <c r="A670" s="73"/>
      <c r="B670" s="73"/>
      <c r="C670" s="73"/>
      <c r="D670" s="73"/>
      <c r="E670" s="330"/>
      <c r="F670" s="118"/>
      <c r="G670" s="118"/>
      <c r="H670" s="118"/>
      <c r="I670" s="118"/>
      <c r="J670" s="119"/>
      <c r="K670" s="120"/>
      <c r="L670" s="120"/>
      <c r="M670" s="120"/>
      <c r="N670" s="120"/>
      <c r="O670" s="118"/>
      <c r="P670" s="120"/>
      <c r="Q670" s="121"/>
      <c r="R670" s="109" t="b">
        <v>0</v>
      </c>
      <c r="S670" s="143"/>
      <c r="T670" s="110"/>
      <c r="U670" s="118"/>
      <c r="V670" s="118"/>
      <c r="W670" s="118"/>
      <c r="X670" s="118"/>
      <c r="Y670" s="118"/>
      <c r="Z670" s="118"/>
      <c r="AA670" s="118"/>
      <c r="AB670" s="118"/>
      <c r="AC670" s="118"/>
      <c r="AD670" s="111"/>
      <c r="AE670" s="122"/>
      <c r="AF670" s="122"/>
      <c r="AG670" s="122"/>
      <c r="AH670" s="122"/>
    </row>
    <row r="671" ht="22.5" customHeight="1">
      <c r="A671" s="73"/>
      <c r="B671" s="73"/>
      <c r="C671" s="73"/>
      <c r="D671" s="73"/>
      <c r="E671" s="330"/>
      <c r="F671" s="118"/>
      <c r="G671" s="118"/>
      <c r="H671" s="118"/>
      <c r="I671" s="118"/>
      <c r="J671" s="119"/>
      <c r="K671" s="120"/>
      <c r="L671" s="120"/>
      <c r="M671" s="120"/>
      <c r="N671" s="120"/>
      <c r="O671" s="118"/>
      <c r="P671" s="120"/>
      <c r="Q671" s="121"/>
      <c r="R671" s="109" t="b">
        <v>0</v>
      </c>
      <c r="S671" s="143"/>
      <c r="T671" s="110"/>
      <c r="U671" s="118"/>
      <c r="V671" s="118"/>
      <c r="W671" s="118"/>
      <c r="X671" s="118"/>
      <c r="Y671" s="118"/>
      <c r="Z671" s="118"/>
      <c r="AA671" s="118"/>
      <c r="AB671" s="118"/>
      <c r="AC671" s="118"/>
      <c r="AD671" s="111"/>
      <c r="AE671" s="122"/>
      <c r="AF671" s="122"/>
      <c r="AG671" s="122"/>
      <c r="AH671" s="122"/>
    </row>
    <row r="672" ht="22.5" customHeight="1">
      <c r="A672" s="73"/>
      <c r="B672" s="73"/>
      <c r="C672" s="73"/>
      <c r="D672" s="73"/>
      <c r="E672" s="330"/>
      <c r="F672" s="118"/>
      <c r="G672" s="118"/>
      <c r="H672" s="118"/>
      <c r="I672" s="118"/>
      <c r="J672" s="119"/>
      <c r="K672" s="120"/>
      <c r="L672" s="120"/>
      <c r="M672" s="120"/>
      <c r="N672" s="120"/>
      <c r="O672" s="118"/>
      <c r="P672" s="120"/>
      <c r="Q672" s="121"/>
      <c r="R672" s="109" t="b">
        <v>0</v>
      </c>
      <c r="S672" s="143"/>
      <c r="T672" s="110"/>
      <c r="U672" s="118"/>
      <c r="V672" s="118"/>
      <c r="W672" s="118"/>
      <c r="X672" s="118"/>
      <c r="Y672" s="118"/>
      <c r="Z672" s="118"/>
      <c r="AA672" s="118"/>
      <c r="AB672" s="118"/>
      <c r="AC672" s="118"/>
      <c r="AD672" s="111"/>
      <c r="AE672" s="122"/>
      <c r="AF672" s="122"/>
      <c r="AG672" s="122"/>
      <c r="AH672" s="122"/>
    </row>
    <row r="673" ht="22.5" customHeight="1">
      <c r="A673" s="73"/>
      <c r="B673" s="73"/>
      <c r="C673" s="73"/>
      <c r="D673" s="73"/>
      <c r="E673" s="330"/>
      <c r="F673" s="118"/>
      <c r="G673" s="118"/>
      <c r="H673" s="118"/>
      <c r="I673" s="118"/>
      <c r="J673" s="119"/>
      <c r="K673" s="120"/>
      <c r="L673" s="120"/>
      <c r="M673" s="120"/>
      <c r="N673" s="120"/>
      <c r="O673" s="118"/>
      <c r="P673" s="120"/>
      <c r="Q673" s="121"/>
      <c r="R673" s="109" t="b">
        <v>0</v>
      </c>
      <c r="S673" s="143"/>
      <c r="T673" s="110"/>
      <c r="U673" s="118"/>
      <c r="V673" s="118"/>
      <c r="W673" s="118"/>
      <c r="X673" s="118"/>
      <c r="Y673" s="118"/>
      <c r="Z673" s="118"/>
      <c r="AA673" s="118"/>
      <c r="AB673" s="118"/>
      <c r="AC673" s="118"/>
      <c r="AD673" s="111"/>
      <c r="AE673" s="122"/>
      <c r="AF673" s="122"/>
      <c r="AG673" s="122"/>
      <c r="AH673" s="122"/>
    </row>
    <row r="674" ht="22.5" customHeight="1">
      <c r="A674" s="73"/>
      <c r="B674" s="73"/>
      <c r="C674" s="73"/>
      <c r="D674" s="73"/>
      <c r="E674" s="330"/>
      <c r="F674" s="118"/>
      <c r="G674" s="118"/>
      <c r="H674" s="118"/>
      <c r="I674" s="118"/>
      <c r="J674" s="119"/>
      <c r="K674" s="120"/>
      <c r="L674" s="120"/>
      <c r="M674" s="120"/>
      <c r="N674" s="120"/>
      <c r="O674" s="118"/>
      <c r="P674" s="120"/>
      <c r="Q674" s="121"/>
      <c r="R674" s="109" t="b">
        <v>0</v>
      </c>
      <c r="S674" s="143"/>
      <c r="T674" s="110"/>
      <c r="U674" s="118"/>
      <c r="V674" s="118"/>
      <c r="W674" s="118"/>
      <c r="X674" s="118"/>
      <c r="Y674" s="118"/>
      <c r="Z674" s="118"/>
      <c r="AA674" s="118"/>
      <c r="AB674" s="118"/>
      <c r="AC674" s="118"/>
      <c r="AD674" s="111"/>
      <c r="AE674" s="122"/>
      <c r="AF674" s="122"/>
      <c r="AG674" s="122"/>
      <c r="AH674" s="122"/>
    </row>
    <row r="675" ht="22.5" customHeight="1">
      <c r="A675" s="73"/>
      <c r="B675" s="73"/>
      <c r="C675" s="73"/>
      <c r="D675" s="73"/>
      <c r="E675" s="330"/>
      <c r="F675" s="118"/>
      <c r="G675" s="118"/>
      <c r="H675" s="118"/>
      <c r="I675" s="118"/>
      <c r="J675" s="119"/>
      <c r="K675" s="120"/>
      <c r="L675" s="120"/>
      <c r="M675" s="120"/>
      <c r="N675" s="120"/>
      <c r="O675" s="118"/>
      <c r="P675" s="120"/>
      <c r="Q675" s="121"/>
      <c r="R675" s="109" t="b">
        <v>0</v>
      </c>
      <c r="S675" s="143"/>
      <c r="T675" s="110"/>
      <c r="U675" s="118"/>
      <c r="V675" s="118"/>
      <c r="W675" s="118"/>
      <c r="X675" s="118"/>
      <c r="Y675" s="118"/>
      <c r="Z675" s="118"/>
      <c r="AA675" s="118"/>
      <c r="AB675" s="118"/>
      <c r="AC675" s="118"/>
      <c r="AD675" s="111"/>
      <c r="AE675" s="122"/>
      <c r="AF675" s="122"/>
      <c r="AG675" s="122"/>
      <c r="AH675" s="122"/>
    </row>
    <row r="676" ht="22.5" customHeight="1">
      <c r="A676" s="73"/>
      <c r="B676" s="73"/>
      <c r="C676" s="73"/>
      <c r="D676" s="73"/>
      <c r="E676" s="330"/>
      <c r="F676" s="118"/>
      <c r="G676" s="118"/>
      <c r="H676" s="118"/>
      <c r="I676" s="118"/>
      <c r="J676" s="119"/>
      <c r="K676" s="120"/>
      <c r="L676" s="120"/>
      <c r="M676" s="120"/>
      <c r="N676" s="120"/>
      <c r="O676" s="118"/>
      <c r="P676" s="120"/>
      <c r="Q676" s="121"/>
      <c r="R676" s="109" t="b">
        <v>0</v>
      </c>
      <c r="S676" s="143"/>
      <c r="T676" s="110"/>
      <c r="U676" s="118"/>
      <c r="V676" s="118"/>
      <c r="W676" s="118"/>
      <c r="X676" s="118"/>
      <c r="Y676" s="118"/>
      <c r="Z676" s="118"/>
      <c r="AA676" s="118"/>
      <c r="AB676" s="118"/>
      <c r="AC676" s="118"/>
      <c r="AD676" s="111"/>
      <c r="AE676" s="122"/>
      <c r="AF676" s="122"/>
      <c r="AG676" s="122"/>
      <c r="AH676" s="122"/>
    </row>
    <row r="677" ht="22.5" customHeight="1">
      <c r="A677" s="73"/>
      <c r="B677" s="73"/>
      <c r="C677" s="73"/>
      <c r="D677" s="73"/>
      <c r="E677" s="330"/>
      <c r="F677" s="118"/>
      <c r="G677" s="118"/>
      <c r="H677" s="118"/>
      <c r="I677" s="118"/>
      <c r="J677" s="119"/>
      <c r="K677" s="120"/>
      <c r="L677" s="120"/>
      <c r="M677" s="120"/>
      <c r="N677" s="120"/>
      <c r="O677" s="118"/>
      <c r="P677" s="120"/>
      <c r="Q677" s="121"/>
      <c r="R677" s="109" t="b">
        <v>0</v>
      </c>
      <c r="S677" s="143"/>
      <c r="T677" s="110"/>
      <c r="U677" s="118"/>
      <c r="V677" s="118"/>
      <c r="W677" s="118"/>
      <c r="X677" s="118"/>
      <c r="Y677" s="118"/>
      <c r="Z677" s="118"/>
      <c r="AA677" s="118"/>
      <c r="AB677" s="118"/>
      <c r="AC677" s="118"/>
      <c r="AD677" s="111"/>
      <c r="AE677" s="122"/>
      <c r="AF677" s="122"/>
      <c r="AG677" s="122"/>
      <c r="AH677" s="122"/>
    </row>
    <row r="678" ht="22.5" customHeight="1">
      <c r="A678" s="73"/>
      <c r="B678" s="73"/>
      <c r="C678" s="73"/>
      <c r="D678" s="73"/>
      <c r="E678" s="330"/>
      <c r="F678" s="118"/>
      <c r="G678" s="118"/>
      <c r="H678" s="118"/>
      <c r="I678" s="118"/>
      <c r="J678" s="119"/>
      <c r="K678" s="120"/>
      <c r="L678" s="120"/>
      <c r="M678" s="120"/>
      <c r="N678" s="120"/>
      <c r="O678" s="118"/>
      <c r="P678" s="120"/>
      <c r="Q678" s="121"/>
      <c r="R678" s="109" t="b">
        <v>0</v>
      </c>
      <c r="S678" s="143"/>
      <c r="T678" s="110"/>
      <c r="U678" s="118"/>
      <c r="V678" s="118"/>
      <c r="W678" s="118"/>
      <c r="X678" s="118"/>
      <c r="Y678" s="118"/>
      <c r="Z678" s="118"/>
      <c r="AA678" s="118"/>
      <c r="AB678" s="118"/>
      <c r="AC678" s="118"/>
      <c r="AD678" s="111"/>
      <c r="AE678" s="122"/>
      <c r="AF678" s="122"/>
      <c r="AG678" s="122"/>
      <c r="AH678" s="122"/>
    </row>
    <row r="679" ht="22.5" customHeight="1">
      <c r="A679" s="73"/>
      <c r="B679" s="73"/>
      <c r="C679" s="73"/>
      <c r="D679" s="73"/>
      <c r="E679" s="330"/>
      <c r="F679" s="118"/>
      <c r="G679" s="118"/>
      <c r="H679" s="118"/>
      <c r="I679" s="118"/>
      <c r="J679" s="119"/>
      <c r="K679" s="120"/>
      <c r="L679" s="120"/>
      <c r="M679" s="120"/>
      <c r="N679" s="120"/>
      <c r="O679" s="118"/>
      <c r="P679" s="120"/>
      <c r="Q679" s="121"/>
      <c r="R679" s="109" t="b">
        <v>0</v>
      </c>
      <c r="S679" s="143"/>
      <c r="T679" s="110"/>
      <c r="U679" s="118"/>
      <c r="V679" s="118"/>
      <c r="W679" s="118"/>
      <c r="X679" s="118"/>
      <c r="Y679" s="118"/>
      <c r="Z679" s="118"/>
      <c r="AA679" s="118"/>
      <c r="AB679" s="118"/>
      <c r="AC679" s="118"/>
      <c r="AD679" s="111"/>
      <c r="AE679" s="122"/>
      <c r="AF679" s="122"/>
      <c r="AG679" s="122"/>
      <c r="AH679" s="122"/>
    </row>
    <row r="680" ht="22.5" customHeight="1">
      <c r="A680" s="73"/>
      <c r="B680" s="73"/>
      <c r="C680" s="73"/>
      <c r="D680" s="73"/>
      <c r="E680" s="330"/>
      <c r="F680" s="118"/>
      <c r="G680" s="118"/>
      <c r="H680" s="118"/>
      <c r="I680" s="118"/>
      <c r="J680" s="119"/>
      <c r="K680" s="120"/>
      <c r="L680" s="120"/>
      <c r="M680" s="120"/>
      <c r="N680" s="120"/>
      <c r="O680" s="118"/>
      <c r="P680" s="120"/>
      <c r="Q680" s="121"/>
      <c r="R680" s="109" t="b">
        <v>0</v>
      </c>
      <c r="S680" s="143"/>
      <c r="T680" s="110"/>
      <c r="U680" s="118"/>
      <c r="V680" s="118"/>
      <c r="W680" s="118"/>
      <c r="X680" s="118"/>
      <c r="Y680" s="118"/>
      <c r="Z680" s="118"/>
      <c r="AA680" s="118"/>
      <c r="AB680" s="118"/>
      <c r="AC680" s="118"/>
      <c r="AD680" s="111"/>
      <c r="AE680" s="122"/>
      <c r="AF680" s="122"/>
      <c r="AG680" s="122"/>
      <c r="AH680" s="122"/>
    </row>
    <row r="681" ht="22.5" customHeight="1">
      <c r="A681" s="73"/>
      <c r="B681" s="73"/>
      <c r="C681" s="73"/>
      <c r="D681" s="73"/>
      <c r="E681" s="330"/>
      <c r="F681" s="118"/>
      <c r="G681" s="118"/>
      <c r="H681" s="118"/>
      <c r="I681" s="118"/>
      <c r="J681" s="119"/>
      <c r="K681" s="120"/>
      <c r="L681" s="120"/>
      <c r="M681" s="120"/>
      <c r="N681" s="120"/>
      <c r="O681" s="118"/>
      <c r="P681" s="120"/>
      <c r="Q681" s="121"/>
      <c r="R681" s="109" t="b">
        <v>0</v>
      </c>
      <c r="S681" s="143"/>
      <c r="T681" s="110"/>
      <c r="U681" s="118"/>
      <c r="V681" s="118"/>
      <c r="W681" s="118"/>
      <c r="X681" s="118"/>
      <c r="Y681" s="118"/>
      <c r="Z681" s="118"/>
      <c r="AA681" s="118"/>
      <c r="AB681" s="118"/>
      <c r="AC681" s="118"/>
      <c r="AD681" s="111"/>
      <c r="AE681" s="122"/>
      <c r="AF681" s="122"/>
      <c r="AG681" s="122"/>
      <c r="AH681" s="122"/>
    </row>
    <row r="682" ht="22.5" customHeight="1">
      <c r="A682" s="73"/>
      <c r="B682" s="73"/>
      <c r="C682" s="73"/>
      <c r="D682" s="73"/>
      <c r="E682" s="330"/>
      <c r="F682" s="118"/>
      <c r="G682" s="118"/>
      <c r="H682" s="118"/>
      <c r="I682" s="118"/>
      <c r="J682" s="119"/>
      <c r="K682" s="120"/>
      <c r="L682" s="120"/>
      <c r="M682" s="120"/>
      <c r="N682" s="120"/>
      <c r="O682" s="118"/>
      <c r="P682" s="120"/>
      <c r="Q682" s="121"/>
      <c r="R682" s="109" t="b">
        <v>0</v>
      </c>
      <c r="S682" s="143"/>
      <c r="T682" s="110"/>
      <c r="U682" s="118"/>
      <c r="V682" s="118"/>
      <c r="W682" s="118"/>
      <c r="X682" s="118"/>
      <c r="Y682" s="118"/>
      <c r="Z682" s="118"/>
      <c r="AA682" s="118"/>
      <c r="AB682" s="118"/>
      <c r="AC682" s="118"/>
      <c r="AD682" s="111"/>
      <c r="AE682" s="122"/>
      <c r="AF682" s="122"/>
      <c r="AG682" s="122"/>
      <c r="AH682" s="122"/>
    </row>
    <row r="683" ht="22.5" customHeight="1">
      <c r="A683" s="73"/>
      <c r="B683" s="73"/>
      <c r="C683" s="73"/>
      <c r="D683" s="73"/>
      <c r="E683" s="330"/>
      <c r="F683" s="118"/>
      <c r="G683" s="118"/>
      <c r="H683" s="118"/>
      <c r="I683" s="118"/>
      <c r="J683" s="119"/>
      <c r="K683" s="120"/>
      <c r="L683" s="120"/>
      <c r="M683" s="120"/>
      <c r="N683" s="120"/>
      <c r="O683" s="118"/>
      <c r="P683" s="120"/>
      <c r="Q683" s="121"/>
      <c r="R683" s="109" t="b">
        <v>0</v>
      </c>
      <c r="S683" s="143"/>
      <c r="T683" s="110"/>
      <c r="U683" s="118"/>
      <c r="V683" s="118"/>
      <c r="W683" s="118"/>
      <c r="X683" s="118"/>
      <c r="Y683" s="118"/>
      <c r="Z683" s="118"/>
      <c r="AA683" s="118"/>
      <c r="AB683" s="118"/>
      <c r="AC683" s="118"/>
      <c r="AD683" s="111"/>
      <c r="AE683" s="122"/>
      <c r="AF683" s="122"/>
      <c r="AG683" s="122"/>
      <c r="AH683" s="122"/>
    </row>
    <row r="684" ht="22.5" customHeight="1">
      <c r="A684" s="73"/>
      <c r="B684" s="73"/>
      <c r="C684" s="73"/>
      <c r="D684" s="73"/>
      <c r="E684" s="330"/>
      <c r="F684" s="118"/>
      <c r="G684" s="118"/>
      <c r="H684" s="118"/>
      <c r="I684" s="118"/>
      <c r="J684" s="119"/>
      <c r="K684" s="120"/>
      <c r="L684" s="120"/>
      <c r="M684" s="120"/>
      <c r="N684" s="120"/>
      <c r="O684" s="118"/>
      <c r="P684" s="120"/>
      <c r="Q684" s="121"/>
      <c r="R684" s="109" t="b">
        <v>0</v>
      </c>
      <c r="S684" s="143"/>
      <c r="T684" s="110"/>
      <c r="U684" s="118"/>
      <c r="V684" s="118"/>
      <c r="W684" s="118"/>
      <c r="X684" s="118"/>
      <c r="Y684" s="118"/>
      <c r="Z684" s="118"/>
      <c r="AA684" s="118"/>
      <c r="AB684" s="118"/>
      <c r="AC684" s="118"/>
      <c r="AD684" s="111"/>
      <c r="AE684" s="122"/>
      <c r="AF684" s="122"/>
      <c r="AG684" s="122"/>
      <c r="AH684" s="122"/>
    </row>
    <row r="685" ht="22.5" customHeight="1">
      <c r="A685" s="73"/>
      <c r="B685" s="73"/>
      <c r="C685" s="73"/>
      <c r="D685" s="73"/>
      <c r="E685" s="330"/>
      <c r="F685" s="118"/>
      <c r="G685" s="118"/>
      <c r="H685" s="118"/>
      <c r="I685" s="118"/>
      <c r="J685" s="119"/>
      <c r="K685" s="120"/>
      <c r="L685" s="120"/>
      <c r="M685" s="120"/>
      <c r="N685" s="120"/>
      <c r="O685" s="118"/>
      <c r="P685" s="120"/>
      <c r="Q685" s="121"/>
      <c r="R685" s="109" t="b">
        <v>0</v>
      </c>
      <c r="S685" s="143"/>
      <c r="T685" s="110"/>
      <c r="U685" s="118"/>
      <c r="V685" s="118"/>
      <c r="W685" s="118"/>
      <c r="X685" s="118"/>
      <c r="Y685" s="118"/>
      <c r="Z685" s="118"/>
      <c r="AA685" s="118"/>
      <c r="AB685" s="118"/>
      <c r="AC685" s="118"/>
      <c r="AD685" s="111"/>
      <c r="AE685" s="122"/>
      <c r="AF685" s="122"/>
      <c r="AG685" s="122"/>
      <c r="AH685" s="122"/>
    </row>
    <row r="686" ht="22.5" customHeight="1">
      <c r="A686" s="73"/>
      <c r="B686" s="73"/>
      <c r="C686" s="73"/>
      <c r="D686" s="73"/>
      <c r="E686" s="330"/>
      <c r="F686" s="118"/>
      <c r="G686" s="118"/>
      <c r="H686" s="118"/>
      <c r="I686" s="118"/>
      <c r="J686" s="119"/>
      <c r="K686" s="120"/>
      <c r="L686" s="120"/>
      <c r="M686" s="120"/>
      <c r="N686" s="120"/>
      <c r="O686" s="118"/>
      <c r="P686" s="120"/>
      <c r="Q686" s="121"/>
      <c r="R686" s="109" t="b">
        <v>0</v>
      </c>
      <c r="S686" s="143"/>
      <c r="T686" s="110"/>
      <c r="U686" s="118"/>
      <c r="V686" s="118"/>
      <c r="W686" s="118"/>
      <c r="X686" s="118"/>
      <c r="Y686" s="118"/>
      <c r="Z686" s="118"/>
      <c r="AA686" s="118"/>
      <c r="AB686" s="118"/>
      <c r="AC686" s="118"/>
      <c r="AD686" s="111"/>
      <c r="AE686" s="122"/>
      <c r="AF686" s="122"/>
      <c r="AG686" s="122"/>
      <c r="AH686" s="122"/>
    </row>
    <row r="687" ht="22.5" customHeight="1">
      <c r="A687" s="73"/>
      <c r="B687" s="73"/>
      <c r="C687" s="73"/>
      <c r="D687" s="73"/>
      <c r="E687" s="330"/>
      <c r="F687" s="118"/>
      <c r="G687" s="118"/>
      <c r="H687" s="118"/>
      <c r="I687" s="118"/>
      <c r="J687" s="119"/>
      <c r="K687" s="120"/>
      <c r="L687" s="120"/>
      <c r="M687" s="120"/>
      <c r="N687" s="120"/>
      <c r="O687" s="118"/>
      <c r="P687" s="120"/>
      <c r="Q687" s="121"/>
      <c r="R687" s="109" t="b">
        <v>0</v>
      </c>
      <c r="S687" s="143"/>
      <c r="T687" s="110"/>
      <c r="U687" s="118"/>
      <c r="V687" s="118"/>
      <c r="W687" s="118"/>
      <c r="X687" s="118"/>
      <c r="Y687" s="118"/>
      <c r="Z687" s="118"/>
      <c r="AA687" s="118"/>
      <c r="AB687" s="118"/>
      <c r="AC687" s="118"/>
      <c r="AD687" s="111"/>
      <c r="AE687" s="122"/>
      <c r="AF687" s="122"/>
      <c r="AG687" s="122"/>
      <c r="AH687" s="122"/>
    </row>
    <row r="688" ht="22.5" customHeight="1">
      <c r="A688" s="73"/>
      <c r="B688" s="73"/>
      <c r="C688" s="73"/>
      <c r="D688" s="73"/>
      <c r="E688" s="330"/>
      <c r="F688" s="118"/>
      <c r="G688" s="118"/>
      <c r="H688" s="118"/>
      <c r="I688" s="118"/>
      <c r="J688" s="119"/>
      <c r="K688" s="120"/>
      <c r="L688" s="120"/>
      <c r="M688" s="120"/>
      <c r="N688" s="120"/>
      <c r="O688" s="118"/>
      <c r="P688" s="120"/>
      <c r="Q688" s="121"/>
      <c r="R688" s="109" t="b">
        <v>0</v>
      </c>
      <c r="S688" s="143"/>
      <c r="T688" s="110"/>
      <c r="U688" s="118"/>
      <c r="V688" s="118"/>
      <c r="W688" s="118"/>
      <c r="X688" s="118"/>
      <c r="Y688" s="118"/>
      <c r="Z688" s="118"/>
      <c r="AA688" s="118"/>
      <c r="AB688" s="118"/>
      <c r="AC688" s="118"/>
      <c r="AD688" s="111"/>
      <c r="AE688" s="122"/>
      <c r="AF688" s="122"/>
      <c r="AG688" s="122"/>
      <c r="AH688" s="122"/>
    </row>
    <row r="689" ht="22.5" customHeight="1">
      <c r="A689" s="73"/>
      <c r="B689" s="73"/>
      <c r="C689" s="73"/>
      <c r="D689" s="73"/>
      <c r="E689" s="330"/>
      <c r="F689" s="118"/>
      <c r="G689" s="118"/>
      <c r="H689" s="118"/>
      <c r="I689" s="118"/>
      <c r="J689" s="119"/>
      <c r="K689" s="120"/>
      <c r="L689" s="120"/>
      <c r="M689" s="120"/>
      <c r="N689" s="120"/>
      <c r="O689" s="118"/>
      <c r="P689" s="120"/>
      <c r="Q689" s="121"/>
      <c r="R689" s="109" t="b">
        <v>0</v>
      </c>
      <c r="S689" s="143"/>
      <c r="T689" s="110"/>
      <c r="U689" s="118"/>
      <c r="V689" s="118"/>
      <c r="W689" s="118"/>
      <c r="X689" s="118"/>
      <c r="Y689" s="118"/>
      <c r="Z689" s="118"/>
      <c r="AA689" s="118"/>
      <c r="AB689" s="118"/>
      <c r="AC689" s="118"/>
      <c r="AD689" s="111"/>
      <c r="AE689" s="122"/>
      <c r="AF689" s="122"/>
      <c r="AG689" s="122"/>
      <c r="AH689" s="122"/>
    </row>
    <row r="690" ht="22.5" customHeight="1">
      <c r="A690" s="73"/>
      <c r="B690" s="73"/>
      <c r="C690" s="73"/>
      <c r="D690" s="73"/>
      <c r="E690" s="330"/>
      <c r="F690" s="118"/>
      <c r="G690" s="118"/>
      <c r="H690" s="118"/>
      <c r="I690" s="118"/>
      <c r="J690" s="119"/>
      <c r="K690" s="120"/>
      <c r="L690" s="120"/>
      <c r="M690" s="120"/>
      <c r="N690" s="120"/>
      <c r="O690" s="118"/>
      <c r="P690" s="120"/>
      <c r="Q690" s="121"/>
      <c r="R690" s="109" t="b">
        <v>0</v>
      </c>
      <c r="S690" s="143"/>
      <c r="T690" s="110"/>
      <c r="U690" s="118"/>
      <c r="V690" s="118"/>
      <c r="W690" s="118"/>
      <c r="X690" s="118"/>
      <c r="Y690" s="118"/>
      <c r="Z690" s="118"/>
      <c r="AA690" s="118"/>
      <c r="AB690" s="118"/>
      <c r="AC690" s="118"/>
      <c r="AD690" s="111"/>
      <c r="AE690" s="122"/>
      <c r="AF690" s="122"/>
      <c r="AG690" s="122"/>
      <c r="AH690" s="122"/>
    </row>
    <row r="691" ht="22.5" customHeight="1">
      <c r="A691" s="73"/>
      <c r="B691" s="73"/>
      <c r="C691" s="73"/>
      <c r="D691" s="73"/>
      <c r="E691" s="330"/>
      <c r="F691" s="118"/>
      <c r="G691" s="118"/>
      <c r="H691" s="118"/>
      <c r="I691" s="118"/>
      <c r="J691" s="119"/>
      <c r="K691" s="120"/>
      <c r="L691" s="120"/>
      <c r="M691" s="120"/>
      <c r="N691" s="120"/>
      <c r="O691" s="118"/>
      <c r="P691" s="120"/>
      <c r="Q691" s="121"/>
      <c r="R691" s="109" t="b">
        <v>0</v>
      </c>
      <c r="S691" s="143"/>
      <c r="T691" s="110"/>
      <c r="U691" s="118"/>
      <c r="V691" s="118"/>
      <c r="W691" s="118"/>
      <c r="X691" s="118"/>
      <c r="Y691" s="118"/>
      <c r="Z691" s="118"/>
      <c r="AA691" s="118"/>
      <c r="AB691" s="118"/>
      <c r="AC691" s="118"/>
      <c r="AD691" s="111"/>
      <c r="AE691" s="122"/>
      <c r="AF691" s="122"/>
      <c r="AG691" s="122"/>
      <c r="AH691" s="122"/>
    </row>
    <row r="692" ht="22.5" customHeight="1">
      <c r="A692" s="73"/>
      <c r="B692" s="73"/>
      <c r="C692" s="73"/>
      <c r="D692" s="73"/>
      <c r="E692" s="330"/>
      <c r="F692" s="118"/>
      <c r="G692" s="118"/>
      <c r="H692" s="118"/>
      <c r="I692" s="118"/>
      <c r="J692" s="119"/>
      <c r="K692" s="120"/>
      <c r="L692" s="120"/>
      <c r="M692" s="120"/>
      <c r="N692" s="120"/>
      <c r="O692" s="118"/>
      <c r="P692" s="120"/>
      <c r="Q692" s="121"/>
      <c r="R692" s="109" t="b">
        <v>0</v>
      </c>
      <c r="S692" s="143"/>
      <c r="T692" s="110"/>
      <c r="U692" s="118"/>
      <c r="V692" s="118"/>
      <c r="W692" s="118"/>
      <c r="X692" s="118"/>
      <c r="Y692" s="118"/>
      <c r="Z692" s="118"/>
      <c r="AA692" s="118"/>
      <c r="AB692" s="118"/>
      <c r="AC692" s="118"/>
      <c r="AD692" s="111"/>
      <c r="AE692" s="122"/>
      <c r="AF692" s="122"/>
      <c r="AG692" s="122"/>
      <c r="AH692" s="122"/>
    </row>
    <row r="693" ht="22.5" customHeight="1">
      <c r="A693" s="73"/>
      <c r="B693" s="73"/>
      <c r="C693" s="73"/>
      <c r="D693" s="73"/>
      <c r="E693" s="330"/>
      <c r="F693" s="118"/>
      <c r="G693" s="118"/>
      <c r="H693" s="118"/>
      <c r="I693" s="118"/>
      <c r="J693" s="119"/>
      <c r="K693" s="120"/>
      <c r="L693" s="120"/>
      <c r="M693" s="120"/>
      <c r="N693" s="120"/>
      <c r="O693" s="118"/>
      <c r="P693" s="120"/>
      <c r="Q693" s="121"/>
      <c r="R693" s="109" t="b">
        <v>0</v>
      </c>
      <c r="S693" s="143"/>
      <c r="T693" s="110"/>
      <c r="U693" s="118"/>
      <c r="V693" s="118"/>
      <c r="W693" s="118"/>
      <c r="X693" s="118"/>
      <c r="Y693" s="118"/>
      <c r="Z693" s="118"/>
      <c r="AA693" s="118"/>
      <c r="AB693" s="118"/>
      <c r="AC693" s="118"/>
      <c r="AD693" s="111"/>
      <c r="AE693" s="122"/>
      <c r="AF693" s="122"/>
      <c r="AG693" s="122"/>
      <c r="AH693" s="122"/>
    </row>
    <row r="694" ht="22.5" customHeight="1">
      <c r="A694" s="73"/>
      <c r="B694" s="73"/>
      <c r="C694" s="73"/>
      <c r="D694" s="73"/>
      <c r="E694" s="330"/>
      <c r="F694" s="118"/>
      <c r="G694" s="118"/>
      <c r="H694" s="118"/>
      <c r="I694" s="118"/>
      <c r="J694" s="119"/>
      <c r="K694" s="120"/>
      <c r="L694" s="120"/>
      <c r="M694" s="120"/>
      <c r="N694" s="120"/>
      <c r="O694" s="118"/>
      <c r="P694" s="120"/>
      <c r="Q694" s="121"/>
      <c r="R694" s="109" t="b">
        <v>0</v>
      </c>
      <c r="S694" s="143"/>
      <c r="T694" s="110"/>
      <c r="U694" s="118"/>
      <c r="V694" s="118"/>
      <c r="W694" s="118"/>
      <c r="X694" s="118"/>
      <c r="Y694" s="118"/>
      <c r="Z694" s="118"/>
      <c r="AA694" s="118"/>
      <c r="AB694" s="118"/>
      <c r="AC694" s="118"/>
      <c r="AD694" s="111"/>
      <c r="AE694" s="122"/>
      <c r="AF694" s="122"/>
      <c r="AG694" s="122"/>
      <c r="AH694" s="122"/>
    </row>
    <row r="695" ht="22.5" customHeight="1">
      <c r="A695" s="73"/>
      <c r="B695" s="73"/>
      <c r="C695" s="73"/>
      <c r="D695" s="73"/>
      <c r="E695" s="330"/>
      <c r="F695" s="118"/>
      <c r="G695" s="118"/>
      <c r="H695" s="118"/>
      <c r="I695" s="118"/>
      <c r="J695" s="119"/>
      <c r="K695" s="120"/>
      <c r="L695" s="120"/>
      <c r="M695" s="120"/>
      <c r="N695" s="120"/>
      <c r="O695" s="118"/>
      <c r="P695" s="120"/>
      <c r="Q695" s="121"/>
      <c r="R695" s="109" t="b">
        <v>0</v>
      </c>
      <c r="S695" s="143"/>
      <c r="T695" s="110"/>
      <c r="U695" s="118"/>
      <c r="V695" s="118"/>
      <c r="W695" s="118"/>
      <c r="X695" s="118"/>
      <c r="Y695" s="118"/>
      <c r="Z695" s="118"/>
      <c r="AA695" s="118"/>
      <c r="AB695" s="118"/>
      <c r="AC695" s="118"/>
      <c r="AD695" s="111"/>
      <c r="AE695" s="122"/>
      <c r="AF695" s="122"/>
      <c r="AG695" s="122"/>
      <c r="AH695" s="122"/>
    </row>
    <row r="696" ht="22.5" customHeight="1">
      <c r="A696" s="73"/>
      <c r="B696" s="73"/>
      <c r="C696" s="73"/>
      <c r="D696" s="73"/>
      <c r="E696" s="330"/>
      <c r="F696" s="118"/>
      <c r="G696" s="118"/>
      <c r="H696" s="118"/>
      <c r="I696" s="118"/>
      <c r="J696" s="119"/>
      <c r="K696" s="120"/>
      <c r="L696" s="120"/>
      <c r="M696" s="120"/>
      <c r="N696" s="120"/>
      <c r="O696" s="118"/>
      <c r="P696" s="120"/>
      <c r="Q696" s="121"/>
      <c r="R696" s="109" t="b">
        <v>0</v>
      </c>
      <c r="S696" s="143"/>
      <c r="T696" s="110"/>
      <c r="U696" s="118"/>
      <c r="V696" s="118"/>
      <c r="W696" s="118"/>
      <c r="X696" s="118"/>
      <c r="Y696" s="118"/>
      <c r="Z696" s="118"/>
      <c r="AA696" s="118"/>
      <c r="AB696" s="118"/>
      <c r="AC696" s="118"/>
      <c r="AD696" s="111"/>
      <c r="AE696" s="122"/>
      <c r="AF696" s="122"/>
      <c r="AG696" s="122"/>
      <c r="AH696" s="122"/>
    </row>
    <row r="697" ht="22.5" customHeight="1">
      <c r="A697" s="73"/>
      <c r="B697" s="73"/>
      <c r="C697" s="73"/>
      <c r="D697" s="73"/>
      <c r="E697" s="330"/>
      <c r="F697" s="118"/>
      <c r="G697" s="118"/>
      <c r="H697" s="118"/>
      <c r="I697" s="118"/>
      <c r="J697" s="119"/>
      <c r="K697" s="120"/>
      <c r="L697" s="120"/>
      <c r="M697" s="120"/>
      <c r="N697" s="120"/>
      <c r="O697" s="118"/>
      <c r="P697" s="120"/>
      <c r="Q697" s="121"/>
      <c r="R697" s="109" t="b">
        <v>0</v>
      </c>
      <c r="S697" s="143"/>
      <c r="T697" s="110"/>
      <c r="U697" s="118"/>
      <c r="V697" s="118"/>
      <c r="W697" s="118"/>
      <c r="X697" s="118"/>
      <c r="Y697" s="118"/>
      <c r="Z697" s="118"/>
      <c r="AA697" s="118"/>
      <c r="AB697" s="118"/>
      <c r="AC697" s="118"/>
      <c r="AD697" s="111"/>
      <c r="AE697" s="122"/>
      <c r="AF697" s="122"/>
      <c r="AG697" s="122"/>
      <c r="AH697" s="122"/>
    </row>
    <row r="698" ht="22.5" customHeight="1">
      <c r="A698" s="73"/>
      <c r="B698" s="73"/>
      <c r="C698" s="73"/>
      <c r="D698" s="73"/>
      <c r="E698" s="330"/>
      <c r="F698" s="118"/>
      <c r="G698" s="118"/>
      <c r="H698" s="118"/>
      <c r="I698" s="118"/>
      <c r="J698" s="119"/>
      <c r="K698" s="120"/>
      <c r="L698" s="120"/>
      <c r="M698" s="120"/>
      <c r="N698" s="120"/>
      <c r="O698" s="118"/>
      <c r="P698" s="120"/>
      <c r="Q698" s="121"/>
      <c r="R698" s="109" t="b">
        <v>0</v>
      </c>
      <c r="S698" s="143"/>
      <c r="T698" s="110"/>
      <c r="U698" s="118"/>
      <c r="V698" s="118"/>
      <c r="W698" s="118"/>
      <c r="X698" s="118"/>
      <c r="Y698" s="118"/>
      <c r="Z698" s="118"/>
      <c r="AA698" s="118"/>
      <c r="AB698" s="118"/>
      <c r="AC698" s="118"/>
      <c r="AD698" s="111"/>
      <c r="AE698" s="122"/>
      <c r="AF698" s="122"/>
      <c r="AG698" s="122"/>
      <c r="AH698" s="122"/>
    </row>
    <row r="699" ht="22.5" customHeight="1">
      <c r="A699" s="73"/>
      <c r="B699" s="73"/>
      <c r="C699" s="73"/>
      <c r="D699" s="73"/>
      <c r="E699" s="330"/>
      <c r="F699" s="118"/>
      <c r="G699" s="118"/>
      <c r="H699" s="118"/>
      <c r="I699" s="118"/>
      <c r="J699" s="119"/>
      <c r="K699" s="120"/>
      <c r="L699" s="120"/>
      <c r="M699" s="120"/>
      <c r="N699" s="120"/>
      <c r="O699" s="118"/>
      <c r="P699" s="120"/>
      <c r="Q699" s="121"/>
      <c r="R699" s="109" t="b">
        <v>0</v>
      </c>
      <c r="S699" s="143"/>
      <c r="T699" s="110"/>
      <c r="U699" s="118"/>
      <c r="V699" s="118"/>
      <c r="W699" s="118"/>
      <c r="X699" s="118"/>
      <c r="Y699" s="118"/>
      <c r="Z699" s="118"/>
      <c r="AA699" s="118"/>
      <c r="AB699" s="118"/>
      <c r="AC699" s="118"/>
      <c r="AD699" s="111"/>
      <c r="AE699" s="122"/>
      <c r="AF699" s="122"/>
      <c r="AG699" s="122"/>
      <c r="AH699" s="122"/>
    </row>
    <row r="700" ht="22.5" customHeight="1">
      <c r="A700" s="73"/>
      <c r="B700" s="73"/>
      <c r="C700" s="73"/>
      <c r="D700" s="73"/>
      <c r="E700" s="330"/>
      <c r="F700" s="118"/>
      <c r="G700" s="118"/>
      <c r="H700" s="118"/>
      <c r="I700" s="118"/>
      <c r="J700" s="119"/>
      <c r="K700" s="120"/>
      <c r="L700" s="120"/>
      <c r="M700" s="120"/>
      <c r="N700" s="120"/>
      <c r="O700" s="118"/>
      <c r="P700" s="120"/>
      <c r="Q700" s="121"/>
      <c r="R700" s="109" t="b">
        <v>0</v>
      </c>
      <c r="S700" s="143"/>
      <c r="T700" s="110"/>
      <c r="U700" s="118"/>
      <c r="V700" s="118"/>
      <c r="W700" s="118"/>
      <c r="X700" s="118"/>
      <c r="Y700" s="118"/>
      <c r="Z700" s="118"/>
      <c r="AA700" s="118"/>
      <c r="AB700" s="118"/>
      <c r="AC700" s="118"/>
      <c r="AD700" s="111"/>
      <c r="AE700" s="122"/>
      <c r="AF700" s="122"/>
      <c r="AG700" s="122"/>
      <c r="AH700" s="122"/>
    </row>
    <row r="701" ht="22.5" customHeight="1">
      <c r="A701" s="73"/>
      <c r="B701" s="73"/>
      <c r="C701" s="73"/>
      <c r="D701" s="73"/>
      <c r="E701" s="330"/>
      <c r="F701" s="118"/>
      <c r="G701" s="118"/>
      <c r="H701" s="118"/>
      <c r="I701" s="118"/>
      <c r="J701" s="119"/>
      <c r="K701" s="120"/>
      <c r="L701" s="120"/>
      <c r="M701" s="120"/>
      <c r="N701" s="120"/>
      <c r="O701" s="118"/>
      <c r="P701" s="120"/>
      <c r="Q701" s="121"/>
      <c r="R701" s="109" t="b">
        <v>0</v>
      </c>
      <c r="S701" s="143"/>
      <c r="T701" s="110"/>
      <c r="U701" s="118"/>
      <c r="V701" s="118"/>
      <c r="W701" s="118"/>
      <c r="X701" s="118"/>
      <c r="Y701" s="118"/>
      <c r="Z701" s="118"/>
      <c r="AA701" s="118"/>
      <c r="AB701" s="118"/>
      <c r="AC701" s="118"/>
      <c r="AD701" s="111"/>
      <c r="AE701" s="122"/>
      <c r="AF701" s="122"/>
      <c r="AG701" s="122"/>
      <c r="AH701" s="122"/>
    </row>
    <row r="702" ht="22.5" customHeight="1">
      <c r="A702" s="73"/>
      <c r="B702" s="73"/>
      <c r="C702" s="73"/>
      <c r="D702" s="73"/>
      <c r="E702" s="330"/>
      <c r="F702" s="118"/>
      <c r="G702" s="118"/>
      <c r="H702" s="118"/>
      <c r="I702" s="118"/>
      <c r="J702" s="119"/>
      <c r="K702" s="120"/>
      <c r="L702" s="120"/>
      <c r="M702" s="120"/>
      <c r="N702" s="120"/>
      <c r="O702" s="118"/>
      <c r="P702" s="120"/>
      <c r="Q702" s="121"/>
      <c r="R702" s="109" t="b">
        <v>0</v>
      </c>
      <c r="S702" s="143"/>
      <c r="T702" s="110"/>
      <c r="U702" s="118"/>
      <c r="V702" s="118"/>
      <c r="W702" s="118"/>
      <c r="X702" s="118"/>
      <c r="Y702" s="118"/>
      <c r="Z702" s="118"/>
      <c r="AA702" s="118"/>
      <c r="AB702" s="118"/>
      <c r="AC702" s="118"/>
      <c r="AD702" s="111"/>
      <c r="AE702" s="122"/>
      <c r="AF702" s="122"/>
      <c r="AG702" s="122"/>
      <c r="AH702" s="122"/>
    </row>
    <row r="703" ht="22.5" customHeight="1">
      <c r="A703" s="73"/>
      <c r="B703" s="73"/>
      <c r="C703" s="73"/>
      <c r="D703" s="73"/>
      <c r="E703" s="330"/>
      <c r="F703" s="118"/>
      <c r="G703" s="118"/>
      <c r="H703" s="118"/>
      <c r="I703" s="118"/>
      <c r="J703" s="119"/>
      <c r="K703" s="120"/>
      <c r="L703" s="120"/>
      <c r="M703" s="120"/>
      <c r="N703" s="120"/>
      <c r="O703" s="118"/>
      <c r="P703" s="120"/>
      <c r="Q703" s="121"/>
      <c r="R703" s="109" t="b">
        <v>0</v>
      </c>
      <c r="S703" s="143"/>
      <c r="T703" s="110"/>
      <c r="U703" s="118"/>
      <c r="V703" s="118"/>
      <c r="W703" s="118"/>
      <c r="X703" s="118"/>
      <c r="Y703" s="118"/>
      <c r="Z703" s="118"/>
      <c r="AA703" s="118"/>
      <c r="AB703" s="118"/>
      <c r="AC703" s="118"/>
      <c r="AD703" s="111"/>
      <c r="AE703" s="122"/>
      <c r="AF703" s="122"/>
      <c r="AG703" s="122"/>
      <c r="AH703" s="122"/>
    </row>
    <row r="704" ht="22.5" customHeight="1">
      <c r="A704" s="73"/>
      <c r="B704" s="73"/>
      <c r="C704" s="73"/>
      <c r="D704" s="73"/>
      <c r="E704" s="330"/>
      <c r="F704" s="118"/>
      <c r="G704" s="118"/>
      <c r="H704" s="118"/>
      <c r="I704" s="118"/>
      <c r="J704" s="119"/>
      <c r="K704" s="120"/>
      <c r="L704" s="120"/>
      <c r="M704" s="120"/>
      <c r="N704" s="120"/>
      <c r="O704" s="118"/>
      <c r="P704" s="120"/>
      <c r="Q704" s="121"/>
      <c r="R704" s="109" t="b">
        <v>0</v>
      </c>
      <c r="S704" s="143"/>
      <c r="T704" s="110"/>
      <c r="U704" s="118"/>
      <c r="V704" s="118"/>
      <c r="W704" s="118"/>
      <c r="X704" s="118"/>
      <c r="Y704" s="118"/>
      <c r="Z704" s="118"/>
      <c r="AA704" s="118"/>
      <c r="AB704" s="118"/>
      <c r="AC704" s="118"/>
      <c r="AD704" s="111"/>
      <c r="AE704" s="122"/>
      <c r="AF704" s="122"/>
      <c r="AG704" s="122"/>
      <c r="AH704" s="122"/>
    </row>
    <row r="705" ht="22.5" customHeight="1">
      <c r="A705" s="73"/>
      <c r="B705" s="73"/>
      <c r="C705" s="73"/>
      <c r="D705" s="73"/>
      <c r="E705" s="330"/>
      <c r="F705" s="118"/>
      <c r="G705" s="118"/>
      <c r="H705" s="118"/>
      <c r="I705" s="118"/>
      <c r="J705" s="119"/>
      <c r="K705" s="120"/>
      <c r="L705" s="120"/>
      <c r="M705" s="120"/>
      <c r="N705" s="120"/>
      <c r="O705" s="118"/>
      <c r="P705" s="120"/>
      <c r="Q705" s="121"/>
      <c r="R705" s="109" t="b">
        <v>0</v>
      </c>
      <c r="S705" s="143"/>
      <c r="T705" s="110"/>
      <c r="U705" s="118"/>
      <c r="V705" s="118"/>
      <c r="W705" s="118"/>
      <c r="X705" s="118"/>
      <c r="Y705" s="118"/>
      <c r="Z705" s="118"/>
      <c r="AA705" s="118"/>
      <c r="AB705" s="118"/>
      <c r="AC705" s="118"/>
      <c r="AD705" s="111"/>
      <c r="AE705" s="122"/>
      <c r="AF705" s="122"/>
      <c r="AG705" s="122"/>
      <c r="AH705" s="122"/>
    </row>
    <row r="706" ht="22.5" customHeight="1">
      <c r="A706" s="73"/>
      <c r="B706" s="73"/>
      <c r="C706" s="73"/>
      <c r="D706" s="73"/>
      <c r="E706" s="330"/>
      <c r="F706" s="118"/>
      <c r="G706" s="118"/>
      <c r="H706" s="118"/>
      <c r="I706" s="118"/>
      <c r="J706" s="119"/>
      <c r="K706" s="120"/>
      <c r="L706" s="120"/>
      <c r="M706" s="120"/>
      <c r="N706" s="120"/>
      <c r="O706" s="118"/>
      <c r="P706" s="120"/>
      <c r="Q706" s="121"/>
      <c r="R706" s="109" t="b">
        <v>0</v>
      </c>
      <c r="S706" s="143"/>
      <c r="T706" s="110"/>
      <c r="U706" s="118"/>
      <c r="V706" s="118"/>
      <c r="W706" s="118"/>
      <c r="X706" s="118"/>
      <c r="Y706" s="118"/>
      <c r="Z706" s="118"/>
      <c r="AA706" s="118"/>
      <c r="AB706" s="118"/>
      <c r="AC706" s="118"/>
      <c r="AD706" s="111"/>
      <c r="AE706" s="122"/>
      <c r="AF706" s="122"/>
      <c r="AG706" s="122"/>
      <c r="AH706" s="122"/>
    </row>
    <row r="707" ht="22.5" customHeight="1">
      <c r="A707" s="73"/>
      <c r="B707" s="73"/>
      <c r="C707" s="73"/>
      <c r="D707" s="73"/>
      <c r="E707" s="330"/>
      <c r="F707" s="118"/>
      <c r="G707" s="118"/>
      <c r="H707" s="118"/>
      <c r="I707" s="118"/>
      <c r="J707" s="119"/>
      <c r="K707" s="120"/>
      <c r="L707" s="120"/>
      <c r="M707" s="120"/>
      <c r="N707" s="120"/>
      <c r="O707" s="118"/>
      <c r="P707" s="120"/>
      <c r="Q707" s="121"/>
      <c r="R707" s="109" t="b">
        <v>0</v>
      </c>
      <c r="S707" s="143"/>
      <c r="T707" s="110"/>
      <c r="U707" s="118"/>
      <c r="V707" s="118"/>
      <c r="W707" s="118"/>
      <c r="X707" s="118"/>
      <c r="Y707" s="118"/>
      <c r="Z707" s="118"/>
      <c r="AA707" s="118"/>
      <c r="AB707" s="118"/>
      <c r="AC707" s="118"/>
      <c r="AD707" s="111"/>
      <c r="AE707" s="122"/>
      <c r="AF707" s="122"/>
      <c r="AG707" s="122"/>
      <c r="AH707" s="122"/>
    </row>
    <row r="708" ht="22.5" customHeight="1">
      <c r="A708" s="73"/>
      <c r="B708" s="73"/>
      <c r="C708" s="73"/>
      <c r="D708" s="73"/>
      <c r="E708" s="330"/>
      <c r="F708" s="118"/>
      <c r="G708" s="118"/>
      <c r="H708" s="118"/>
      <c r="I708" s="118"/>
      <c r="J708" s="119"/>
      <c r="K708" s="120"/>
      <c r="L708" s="120"/>
      <c r="M708" s="120"/>
      <c r="N708" s="120"/>
      <c r="O708" s="118"/>
      <c r="P708" s="120"/>
      <c r="Q708" s="121"/>
      <c r="R708" s="109" t="b">
        <v>0</v>
      </c>
      <c r="S708" s="143"/>
      <c r="T708" s="110"/>
      <c r="U708" s="118"/>
      <c r="V708" s="118"/>
      <c r="W708" s="118"/>
      <c r="X708" s="118"/>
      <c r="Y708" s="118"/>
      <c r="Z708" s="118"/>
      <c r="AA708" s="118"/>
      <c r="AB708" s="118"/>
      <c r="AC708" s="118"/>
      <c r="AD708" s="111"/>
      <c r="AE708" s="122"/>
      <c r="AF708" s="122"/>
      <c r="AG708" s="122"/>
      <c r="AH708" s="122"/>
    </row>
    <row r="709" ht="22.5" customHeight="1">
      <c r="A709" s="73"/>
      <c r="B709" s="73"/>
      <c r="C709" s="73"/>
      <c r="D709" s="73"/>
      <c r="E709" s="330"/>
      <c r="F709" s="118"/>
      <c r="G709" s="118"/>
      <c r="H709" s="118"/>
      <c r="I709" s="118"/>
      <c r="J709" s="119"/>
      <c r="K709" s="120"/>
      <c r="L709" s="120"/>
      <c r="M709" s="120"/>
      <c r="N709" s="120"/>
      <c r="O709" s="118"/>
      <c r="P709" s="120"/>
      <c r="Q709" s="121"/>
      <c r="R709" s="109" t="b">
        <v>0</v>
      </c>
      <c r="S709" s="143"/>
      <c r="T709" s="110"/>
      <c r="U709" s="118"/>
      <c r="V709" s="118"/>
      <c r="W709" s="118"/>
      <c r="X709" s="118"/>
      <c r="Y709" s="118"/>
      <c r="Z709" s="118"/>
      <c r="AA709" s="118"/>
      <c r="AB709" s="118"/>
      <c r="AC709" s="118"/>
      <c r="AD709" s="111"/>
      <c r="AE709" s="122"/>
      <c r="AF709" s="122"/>
      <c r="AG709" s="122"/>
      <c r="AH709" s="122"/>
    </row>
    <row r="710" ht="22.5" customHeight="1">
      <c r="A710" s="73"/>
      <c r="B710" s="73"/>
      <c r="C710" s="73"/>
      <c r="D710" s="73"/>
      <c r="E710" s="330"/>
      <c r="F710" s="118"/>
      <c r="G710" s="118"/>
      <c r="H710" s="118"/>
      <c r="I710" s="118"/>
      <c r="J710" s="119"/>
      <c r="K710" s="120"/>
      <c r="L710" s="120"/>
      <c r="M710" s="120"/>
      <c r="N710" s="120"/>
      <c r="O710" s="118"/>
      <c r="P710" s="120"/>
      <c r="Q710" s="121"/>
      <c r="R710" s="109" t="b">
        <v>0</v>
      </c>
      <c r="S710" s="143"/>
      <c r="T710" s="110"/>
      <c r="U710" s="118"/>
      <c r="V710" s="118"/>
      <c r="W710" s="118"/>
      <c r="X710" s="118"/>
      <c r="Y710" s="118"/>
      <c r="Z710" s="118"/>
      <c r="AA710" s="118"/>
      <c r="AB710" s="118"/>
      <c r="AC710" s="118"/>
      <c r="AD710" s="111"/>
      <c r="AE710" s="122"/>
      <c r="AF710" s="122"/>
      <c r="AG710" s="122"/>
      <c r="AH710" s="122"/>
    </row>
    <row r="711" ht="22.5" customHeight="1">
      <c r="A711" s="73"/>
      <c r="B711" s="73"/>
      <c r="C711" s="73"/>
      <c r="D711" s="73"/>
      <c r="E711" s="330"/>
      <c r="F711" s="118"/>
      <c r="G711" s="118"/>
      <c r="H711" s="118"/>
      <c r="I711" s="118"/>
      <c r="J711" s="119"/>
      <c r="K711" s="120"/>
      <c r="L711" s="120"/>
      <c r="M711" s="120"/>
      <c r="N711" s="120"/>
      <c r="O711" s="118"/>
      <c r="P711" s="120"/>
      <c r="Q711" s="121"/>
      <c r="R711" s="109" t="b">
        <v>0</v>
      </c>
      <c r="S711" s="143"/>
      <c r="T711" s="110"/>
      <c r="U711" s="118"/>
      <c r="V711" s="118"/>
      <c r="W711" s="118"/>
      <c r="X711" s="118"/>
      <c r="Y711" s="118"/>
      <c r="Z711" s="118"/>
      <c r="AA711" s="118"/>
      <c r="AB711" s="118"/>
      <c r="AC711" s="118"/>
      <c r="AD711" s="111"/>
      <c r="AE711" s="122"/>
      <c r="AF711" s="122"/>
      <c r="AG711" s="122"/>
      <c r="AH711" s="122"/>
    </row>
    <row r="712" ht="22.5" customHeight="1">
      <c r="A712" s="73"/>
      <c r="B712" s="73"/>
      <c r="C712" s="73"/>
      <c r="D712" s="73"/>
      <c r="E712" s="330"/>
      <c r="F712" s="118"/>
      <c r="G712" s="118"/>
      <c r="H712" s="118"/>
      <c r="I712" s="118"/>
      <c r="J712" s="119"/>
      <c r="K712" s="120"/>
      <c r="L712" s="120"/>
      <c r="M712" s="120"/>
      <c r="N712" s="120"/>
      <c r="O712" s="118"/>
      <c r="P712" s="120"/>
      <c r="Q712" s="121"/>
      <c r="R712" s="109" t="b">
        <v>0</v>
      </c>
      <c r="S712" s="143"/>
      <c r="T712" s="110"/>
      <c r="U712" s="118"/>
      <c r="V712" s="118"/>
      <c r="W712" s="118"/>
      <c r="X712" s="118"/>
      <c r="Y712" s="118"/>
      <c r="Z712" s="118"/>
      <c r="AA712" s="118"/>
      <c r="AB712" s="118"/>
      <c r="AC712" s="118"/>
      <c r="AD712" s="111"/>
      <c r="AE712" s="122"/>
      <c r="AF712" s="122"/>
      <c r="AG712" s="122"/>
      <c r="AH712" s="122"/>
    </row>
    <row r="713" ht="22.5" customHeight="1">
      <c r="A713" s="73"/>
      <c r="B713" s="73"/>
      <c r="C713" s="73"/>
      <c r="D713" s="73"/>
      <c r="E713" s="330"/>
      <c r="F713" s="118"/>
      <c r="G713" s="118"/>
      <c r="H713" s="118"/>
      <c r="I713" s="118"/>
      <c r="J713" s="119"/>
      <c r="K713" s="120"/>
      <c r="L713" s="120"/>
      <c r="M713" s="120"/>
      <c r="N713" s="120"/>
      <c r="O713" s="118"/>
      <c r="P713" s="120"/>
      <c r="Q713" s="121"/>
      <c r="R713" s="109" t="b">
        <v>0</v>
      </c>
      <c r="S713" s="143"/>
      <c r="T713" s="110"/>
      <c r="U713" s="118"/>
      <c r="V713" s="118"/>
      <c r="W713" s="118"/>
      <c r="X713" s="118"/>
      <c r="Y713" s="118"/>
      <c r="Z713" s="118"/>
      <c r="AA713" s="118"/>
      <c r="AB713" s="118"/>
      <c r="AC713" s="118"/>
      <c r="AD713" s="111"/>
      <c r="AE713" s="122"/>
      <c r="AF713" s="122"/>
      <c r="AG713" s="122"/>
      <c r="AH713" s="122"/>
    </row>
    <row r="714" ht="22.5" customHeight="1">
      <c r="A714" s="73"/>
      <c r="B714" s="73"/>
      <c r="C714" s="73"/>
      <c r="D714" s="73"/>
      <c r="E714" s="330"/>
      <c r="F714" s="118"/>
      <c r="G714" s="118"/>
      <c r="H714" s="118"/>
      <c r="I714" s="118"/>
      <c r="J714" s="119"/>
      <c r="K714" s="120"/>
      <c r="L714" s="120"/>
      <c r="M714" s="120"/>
      <c r="N714" s="120"/>
      <c r="O714" s="118"/>
      <c r="P714" s="120"/>
      <c r="Q714" s="121"/>
      <c r="R714" s="109" t="b">
        <v>0</v>
      </c>
      <c r="S714" s="143"/>
      <c r="T714" s="110"/>
      <c r="U714" s="118"/>
      <c r="V714" s="118"/>
      <c r="W714" s="118"/>
      <c r="X714" s="118"/>
      <c r="Y714" s="118"/>
      <c r="Z714" s="118"/>
      <c r="AA714" s="118"/>
      <c r="AB714" s="118"/>
      <c r="AC714" s="118"/>
      <c r="AD714" s="111"/>
      <c r="AE714" s="122"/>
      <c r="AF714" s="122"/>
      <c r="AG714" s="122"/>
      <c r="AH714" s="122"/>
    </row>
    <row r="715" ht="22.5" customHeight="1">
      <c r="A715" s="73"/>
      <c r="B715" s="73"/>
      <c r="C715" s="73"/>
      <c r="D715" s="73"/>
      <c r="E715" s="330"/>
      <c r="F715" s="118"/>
      <c r="G715" s="118"/>
      <c r="H715" s="118"/>
      <c r="I715" s="118"/>
      <c r="J715" s="119"/>
      <c r="K715" s="120"/>
      <c r="L715" s="120"/>
      <c r="M715" s="120"/>
      <c r="N715" s="120"/>
      <c r="O715" s="118"/>
      <c r="P715" s="120"/>
      <c r="Q715" s="121"/>
      <c r="R715" s="109" t="b">
        <v>0</v>
      </c>
      <c r="S715" s="143"/>
      <c r="T715" s="110"/>
      <c r="U715" s="118"/>
      <c r="V715" s="118"/>
      <c r="W715" s="118"/>
      <c r="X715" s="118"/>
      <c r="Y715" s="118"/>
      <c r="Z715" s="118"/>
      <c r="AA715" s="118"/>
      <c r="AB715" s="118"/>
      <c r="AC715" s="118"/>
      <c r="AD715" s="111"/>
      <c r="AE715" s="122"/>
      <c r="AF715" s="122"/>
      <c r="AG715" s="122"/>
      <c r="AH715" s="122"/>
    </row>
    <row r="716" ht="22.5" customHeight="1">
      <c r="A716" s="73"/>
      <c r="B716" s="73"/>
      <c r="C716" s="73"/>
      <c r="D716" s="73"/>
      <c r="E716" s="330"/>
      <c r="F716" s="118"/>
      <c r="G716" s="118"/>
      <c r="H716" s="118"/>
      <c r="I716" s="118"/>
      <c r="J716" s="119"/>
      <c r="K716" s="120"/>
      <c r="L716" s="120"/>
      <c r="M716" s="120"/>
      <c r="N716" s="120"/>
      <c r="O716" s="118"/>
      <c r="P716" s="120"/>
      <c r="Q716" s="121"/>
      <c r="R716" s="109" t="b">
        <v>0</v>
      </c>
      <c r="S716" s="143"/>
      <c r="T716" s="110"/>
      <c r="U716" s="118"/>
      <c r="V716" s="118"/>
      <c r="W716" s="118"/>
      <c r="X716" s="118"/>
      <c r="Y716" s="118"/>
      <c r="Z716" s="118"/>
      <c r="AA716" s="118"/>
      <c r="AB716" s="118"/>
      <c r="AC716" s="118"/>
      <c r="AD716" s="111"/>
      <c r="AE716" s="122"/>
      <c r="AF716" s="122"/>
      <c r="AG716" s="122"/>
      <c r="AH716" s="122"/>
    </row>
    <row r="717" ht="22.5" customHeight="1">
      <c r="A717" s="73"/>
      <c r="B717" s="73"/>
      <c r="C717" s="73"/>
      <c r="D717" s="73"/>
      <c r="E717" s="330"/>
      <c r="F717" s="118"/>
      <c r="G717" s="118"/>
      <c r="H717" s="118"/>
      <c r="I717" s="118"/>
      <c r="J717" s="119"/>
      <c r="K717" s="120"/>
      <c r="L717" s="120"/>
      <c r="M717" s="120"/>
      <c r="N717" s="120"/>
      <c r="O717" s="118"/>
      <c r="P717" s="120"/>
      <c r="Q717" s="121"/>
      <c r="R717" s="109" t="b">
        <v>0</v>
      </c>
      <c r="S717" s="143"/>
      <c r="T717" s="110"/>
      <c r="U717" s="118"/>
      <c r="V717" s="118"/>
      <c r="W717" s="118"/>
      <c r="X717" s="118"/>
      <c r="Y717" s="118"/>
      <c r="Z717" s="118"/>
      <c r="AA717" s="118"/>
      <c r="AB717" s="118"/>
      <c r="AC717" s="118"/>
      <c r="AD717" s="111"/>
      <c r="AE717" s="122"/>
      <c r="AF717" s="122"/>
      <c r="AG717" s="122"/>
      <c r="AH717" s="122"/>
    </row>
    <row r="718" ht="22.5" customHeight="1">
      <c r="A718" s="73"/>
      <c r="B718" s="73"/>
      <c r="C718" s="73"/>
      <c r="D718" s="73"/>
      <c r="E718" s="330"/>
      <c r="F718" s="118"/>
      <c r="G718" s="118"/>
      <c r="H718" s="118"/>
      <c r="I718" s="118"/>
      <c r="J718" s="119"/>
      <c r="K718" s="120"/>
      <c r="L718" s="120"/>
      <c r="M718" s="120"/>
      <c r="N718" s="120"/>
      <c r="O718" s="118"/>
      <c r="P718" s="120"/>
      <c r="Q718" s="121"/>
      <c r="R718" s="109" t="b">
        <v>0</v>
      </c>
      <c r="S718" s="143"/>
      <c r="T718" s="110"/>
      <c r="U718" s="118"/>
      <c r="V718" s="118"/>
      <c r="W718" s="118"/>
      <c r="X718" s="118"/>
      <c r="Y718" s="118"/>
      <c r="Z718" s="118"/>
      <c r="AA718" s="118"/>
      <c r="AB718" s="118"/>
      <c r="AC718" s="118"/>
      <c r="AD718" s="111"/>
      <c r="AE718" s="122"/>
      <c r="AF718" s="122"/>
      <c r="AG718" s="122"/>
      <c r="AH718" s="122"/>
    </row>
    <row r="719" ht="22.5" customHeight="1">
      <c r="A719" s="73"/>
      <c r="B719" s="73"/>
      <c r="C719" s="73"/>
      <c r="D719" s="73"/>
      <c r="E719" s="330"/>
      <c r="F719" s="118"/>
      <c r="G719" s="118"/>
      <c r="H719" s="118"/>
      <c r="I719" s="118"/>
      <c r="J719" s="119"/>
      <c r="K719" s="120"/>
      <c r="L719" s="120"/>
      <c r="M719" s="120"/>
      <c r="N719" s="120"/>
      <c r="O719" s="118"/>
      <c r="P719" s="120"/>
      <c r="Q719" s="121"/>
      <c r="R719" s="109" t="b">
        <v>0</v>
      </c>
      <c r="S719" s="143"/>
      <c r="T719" s="110"/>
      <c r="U719" s="118"/>
      <c r="V719" s="118"/>
      <c r="W719" s="118"/>
      <c r="X719" s="118"/>
      <c r="Y719" s="118"/>
      <c r="Z719" s="118"/>
      <c r="AA719" s="118"/>
      <c r="AB719" s="118"/>
      <c r="AC719" s="118"/>
      <c r="AD719" s="111"/>
      <c r="AE719" s="122"/>
      <c r="AF719" s="122"/>
      <c r="AG719" s="122"/>
      <c r="AH719" s="122"/>
    </row>
    <row r="720" ht="22.5" customHeight="1">
      <c r="A720" s="73"/>
      <c r="B720" s="73"/>
      <c r="C720" s="73"/>
      <c r="D720" s="73"/>
      <c r="E720" s="330"/>
      <c r="F720" s="118"/>
      <c r="G720" s="118"/>
      <c r="H720" s="118"/>
      <c r="I720" s="118"/>
      <c r="J720" s="119"/>
      <c r="K720" s="120"/>
      <c r="L720" s="120"/>
      <c r="M720" s="120"/>
      <c r="N720" s="120"/>
      <c r="O720" s="118"/>
      <c r="P720" s="120"/>
      <c r="Q720" s="121"/>
      <c r="R720" s="109" t="b">
        <v>0</v>
      </c>
      <c r="S720" s="143"/>
      <c r="T720" s="110"/>
      <c r="U720" s="118"/>
      <c r="V720" s="118"/>
      <c r="W720" s="118"/>
      <c r="X720" s="118"/>
      <c r="Y720" s="118"/>
      <c r="Z720" s="118"/>
      <c r="AA720" s="118"/>
      <c r="AB720" s="118"/>
      <c r="AC720" s="118"/>
      <c r="AD720" s="111"/>
      <c r="AE720" s="122"/>
      <c r="AF720" s="122"/>
      <c r="AG720" s="122"/>
      <c r="AH720" s="122"/>
    </row>
    <row r="721" ht="22.5" customHeight="1">
      <c r="A721" s="73"/>
      <c r="B721" s="73"/>
      <c r="C721" s="73"/>
      <c r="D721" s="73"/>
      <c r="E721" s="330"/>
      <c r="F721" s="118"/>
      <c r="G721" s="118"/>
      <c r="H721" s="118"/>
      <c r="I721" s="118"/>
      <c r="J721" s="119"/>
      <c r="K721" s="120"/>
      <c r="L721" s="120"/>
      <c r="M721" s="120"/>
      <c r="N721" s="120"/>
      <c r="O721" s="118"/>
      <c r="P721" s="120"/>
      <c r="Q721" s="121"/>
      <c r="R721" s="109" t="b">
        <v>0</v>
      </c>
      <c r="S721" s="143"/>
      <c r="T721" s="110"/>
      <c r="U721" s="118"/>
      <c r="V721" s="118"/>
      <c r="W721" s="118"/>
      <c r="X721" s="118"/>
      <c r="Y721" s="118"/>
      <c r="Z721" s="118"/>
      <c r="AA721" s="118"/>
      <c r="AB721" s="118"/>
      <c r="AC721" s="118"/>
      <c r="AD721" s="111"/>
      <c r="AE721" s="122"/>
      <c r="AF721" s="122"/>
      <c r="AG721" s="122"/>
      <c r="AH721" s="122"/>
    </row>
    <row r="722" ht="22.5" customHeight="1">
      <c r="A722" s="73"/>
      <c r="B722" s="73"/>
      <c r="C722" s="73"/>
      <c r="D722" s="73"/>
      <c r="E722" s="330"/>
      <c r="F722" s="118"/>
      <c r="G722" s="118"/>
      <c r="H722" s="118"/>
      <c r="I722" s="118"/>
      <c r="J722" s="119"/>
      <c r="K722" s="120"/>
      <c r="L722" s="120"/>
      <c r="M722" s="120"/>
      <c r="N722" s="120"/>
      <c r="O722" s="118"/>
      <c r="P722" s="120"/>
      <c r="Q722" s="121"/>
      <c r="R722" s="109" t="b">
        <v>0</v>
      </c>
      <c r="S722" s="143"/>
      <c r="T722" s="110"/>
      <c r="U722" s="118"/>
      <c r="V722" s="118"/>
      <c r="W722" s="118"/>
      <c r="X722" s="118"/>
      <c r="Y722" s="118"/>
      <c r="Z722" s="118"/>
      <c r="AA722" s="118"/>
      <c r="AB722" s="118"/>
      <c r="AC722" s="118"/>
      <c r="AD722" s="111"/>
      <c r="AE722" s="122"/>
      <c r="AF722" s="122"/>
      <c r="AG722" s="122"/>
      <c r="AH722" s="122"/>
    </row>
    <row r="723" ht="22.5" customHeight="1">
      <c r="A723" s="73"/>
      <c r="B723" s="73"/>
      <c r="C723" s="73"/>
      <c r="D723" s="73"/>
      <c r="E723" s="330"/>
      <c r="F723" s="118"/>
      <c r="G723" s="118"/>
      <c r="H723" s="118"/>
      <c r="I723" s="118"/>
      <c r="J723" s="119"/>
      <c r="K723" s="120"/>
      <c r="L723" s="120"/>
      <c r="M723" s="120"/>
      <c r="N723" s="120"/>
      <c r="O723" s="118"/>
      <c r="P723" s="120"/>
      <c r="Q723" s="121"/>
      <c r="R723" s="109" t="b">
        <v>0</v>
      </c>
      <c r="S723" s="143"/>
      <c r="T723" s="110"/>
      <c r="U723" s="118"/>
      <c r="V723" s="118"/>
      <c r="W723" s="118"/>
      <c r="X723" s="118"/>
      <c r="Y723" s="118"/>
      <c r="Z723" s="118"/>
      <c r="AA723" s="118"/>
      <c r="AB723" s="118"/>
      <c r="AC723" s="118"/>
      <c r="AD723" s="111"/>
      <c r="AE723" s="122"/>
      <c r="AF723" s="122"/>
      <c r="AG723" s="122"/>
      <c r="AH723" s="122"/>
    </row>
    <row r="724" ht="22.5" customHeight="1">
      <c r="A724" s="73"/>
      <c r="B724" s="73"/>
      <c r="C724" s="73"/>
      <c r="D724" s="73"/>
      <c r="E724" s="330"/>
      <c r="F724" s="118"/>
      <c r="G724" s="118"/>
      <c r="H724" s="118"/>
      <c r="I724" s="118"/>
      <c r="J724" s="119"/>
      <c r="K724" s="120"/>
      <c r="L724" s="120"/>
      <c r="M724" s="120"/>
      <c r="N724" s="120"/>
      <c r="O724" s="118"/>
      <c r="P724" s="120"/>
      <c r="Q724" s="121"/>
      <c r="R724" s="109" t="b">
        <v>0</v>
      </c>
      <c r="S724" s="143"/>
      <c r="T724" s="110"/>
      <c r="U724" s="118"/>
      <c r="V724" s="118"/>
      <c r="W724" s="118"/>
      <c r="X724" s="118"/>
      <c r="Y724" s="118"/>
      <c r="Z724" s="118"/>
      <c r="AA724" s="118"/>
      <c r="AB724" s="118"/>
      <c r="AC724" s="118"/>
      <c r="AD724" s="111"/>
      <c r="AE724" s="122"/>
      <c r="AF724" s="122"/>
      <c r="AG724" s="122"/>
      <c r="AH724" s="122"/>
    </row>
    <row r="725" ht="22.5" customHeight="1">
      <c r="A725" s="73"/>
      <c r="B725" s="73"/>
      <c r="C725" s="73"/>
      <c r="D725" s="73"/>
      <c r="E725" s="330"/>
      <c r="F725" s="118"/>
      <c r="G725" s="118"/>
      <c r="H725" s="118"/>
      <c r="I725" s="118"/>
      <c r="J725" s="119"/>
      <c r="K725" s="120"/>
      <c r="L725" s="120"/>
      <c r="M725" s="120"/>
      <c r="N725" s="120"/>
      <c r="O725" s="118"/>
      <c r="P725" s="120"/>
      <c r="Q725" s="121"/>
      <c r="R725" s="109" t="b">
        <v>0</v>
      </c>
      <c r="S725" s="143"/>
      <c r="T725" s="110"/>
      <c r="U725" s="118"/>
      <c r="V725" s="118"/>
      <c r="W725" s="118"/>
      <c r="X725" s="118"/>
      <c r="Y725" s="118"/>
      <c r="Z725" s="118"/>
      <c r="AA725" s="118"/>
      <c r="AB725" s="118"/>
      <c r="AC725" s="118"/>
      <c r="AD725" s="111"/>
      <c r="AE725" s="122"/>
      <c r="AF725" s="122"/>
      <c r="AG725" s="122"/>
      <c r="AH725" s="122"/>
    </row>
    <row r="726" ht="22.5" customHeight="1">
      <c r="A726" s="73"/>
      <c r="B726" s="73"/>
      <c r="C726" s="73"/>
      <c r="D726" s="73"/>
      <c r="E726" s="330"/>
      <c r="F726" s="118"/>
      <c r="G726" s="118"/>
      <c r="H726" s="118"/>
      <c r="I726" s="118"/>
      <c r="J726" s="119"/>
      <c r="K726" s="120"/>
      <c r="L726" s="120"/>
      <c r="M726" s="120"/>
      <c r="N726" s="120"/>
      <c r="O726" s="118"/>
      <c r="P726" s="120"/>
      <c r="Q726" s="121"/>
      <c r="R726" s="109" t="b">
        <v>0</v>
      </c>
      <c r="S726" s="143"/>
      <c r="T726" s="110"/>
      <c r="U726" s="118"/>
      <c r="V726" s="118"/>
      <c r="W726" s="118"/>
      <c r="X726" s="118"/>
      <c r="Y726" s="118"/>
      <c r="Z726" s="118"/>
      <c r="AA726" s="118"/>
      <c r="AB726" s="118"/>
      <c r="AC726" s="118"/>
      <c r="AD726" s="111"/>
      <c r="AE726" s="122"/>
      <c r="AF726" s="122"/>
      <c r="AG726" s="122"/>
      <c r="AH726" s="122"/>
    </row>
    <row r="727" ht="22.5" customHeight="1">
      <c r="A727" s="73"/>
      <c r="B727" s="73"/>
      <c r="C727" s="73"/>
      <c r="D727" s="73"/>
      <c r="E727" s="330"/>
      <c r="F727" s="118"/>
      <c r="G727" s="118"/>
      <c r="H727" s="118"/>
      <c r="I727" s="118"/>
      <c r="J727" s="119"/>
      <c r="K727" s="120"/>
      <c r="L727" s="120"/>
      <c r="M727" s="120"/>
      <c r="N727" s="120"/>
      <c r="O727" s="118"/>
      <c r="P727" s="120"/>
      <c r="Q727" s="121"/>
      <c r="R727" s="109" t="b">
        <v>0</v>
      </c>
      <c r="S727" s="143"/>
      <c r="T727" s="110"/>
      <c r="U727" s="118"/>
      <c r="V727" s="118"/>
      <c r="W727" s="118"/>
      <c r="X727" s="118"/>
      <c r="Y727" s="118"/>
      <c r="Z727" s="118"/>
      <c r="AA727" s="118"/>
      <c r="AB727" s="118"/>
      <c r="AC727" s="118"/>
      <c r="AD727" s="111"/>
      <c r="AE727" s="122"/>
      <c r="AF727" s="122"/>
      <c r="AG727" s="122"/>
      <c r="AH727" s="122"/>
    </row>
    <row r="728" ht="22.5" customHeight="1">
      <c r="A728" s="73"/>
      <c r="B728" s="73"/>
      <c r="C728" s="73"/>
      <c r="D728" s="73"/>
      <c r="E728" s="330"/>
      <c r="F728" s="118"/>
      <c r="G728" s="118"/>
      <c r="H728" s="118"/>
      <c r="I728" s="118"/>
      <c r="J728" s="119"/>
      <c r="K728" s="120"/>
      <c r="L728" s="120"/>
      <c r="M728" s="120"/>
      <c r="N728" s="120"/>
      <c r="O728" s="118"/>
      <c r="P728" s="120"/>
      <c r="Q728" s="121"/>
      <c r="R728" s="109" t="b">
        <v>0</v>
      </c>
      <c r="S728" s="143"/>
      <c r="T728" s="110"/>
      <c r="U728" s="118"/>
      <c r="V728" s="118"/>
      <c r="W728" s="118"/>
      <c r="X728" s="118"/>
      <c r="Y728" s="118"/>
      <c r="Z728" s="118"/>
      <c r="AA728" s="118"/>
      <c r="AB728" s="118"/>
      <c r="AC728" s="118"/>
      <c r="AD728" s="111"/>
      <c r="AE728" s="122"/>
      <c r="AF728" s="122"/>
      <c r="AG728" s="122"/>
      <c r="AH728" s="122"/>
    </row>
    <row r="729" ht="22.5" customHeight="1">
      <c r="A729" s="73"/>
      <c r="B729" s="73"/>
      <c r="C729" s="73"/>
      <c r="D729" s="73"/>
      <c r="E729" s="330"/>
      <c r="F729" s="118"/>
      <c r="G729" s="118"/>
      <c r="H729" s="118"/>
      <c r="I729" s="118"/>
      <c r="J729" s="119"/>
      <c r="K729" s="120"/>
      <c r="L729" s="120"/>
      <c r="M729" s="120"/>
      <c r="N729" s="120"/>
      <c r="O729" s="118"/>
      <c r="P729" s="120"/>
      <c r="Q729" s="121"/>
      <c r="R729" s="109" t="b">
        <v>0</v>
      </c>
      <c r="S729" s="143"/>
      <c r="T729" s="110"/>
      <c r="U729" s="118"/>
      <c r="V729" s="118"/>
      <c r="W729" s="118"/>
      <c r="X729" s="118"/>
      <c r="Y729" s="118"/>
      <c r="Z729" s="118"/>
      <c r="AA729" s="118"/>
      <c r="AB729" s="118"/>
      <c r="AC729" s="118"/>
      <c r="AD729" s="111"/>
      <c r="AE729" s="122"/>
      <c r="AF729" s="122"/>
      <c r="AG729" s="122"/>
      <c r="AH729" s="122"/>
    </row>
    <row r="730" ht="22.5" customHeight="1">
      <c r="A730" s="73"/>
      <c r="B730" s="73"/>
      <c r="C730" s="73"/>
      <c r="D730" s="73"/>
      <c r="E730" s="330"/>
      <c r="F730" s="118"/>
      <c r="G730" s="118"/>
      <c r="H730" s="118"/>
      <c r="I730" s="118"/>
      <c r="J730" s="119"/>
      <c r="K730" s="120"/>
      <c r="L730" s="120"/>
      <c r="M730" s="120"/>
      <c r="N730" s="120"/>
      <c r="O730" s="118"/>
      <c r="P730" s="120"/>
      <c r="Q730" s="121"/>
      <c r="R730" s="109" t="b">
        <v>0</v>
      </c>
      <c r="S730" s="143"/>
      <c r="T730" s="110"/>
      <c r="U730" s="118"/>
      <c r="V730" s="118"/>
      <c r="W730" s="118"/>
      <c r="X730" s="118"/>
      <c r="Y730" s="118"/>
      <c r="Z730" s="118"/>
      <c r="AA730" s="118"/>
      <c r="AB730" s="118"/>
      <c r="AC730" s="118"/>
      <c r="AD730" s="111"/>
      <c r="AE730" s="122"/>
      <c r="AF730" s="122"/>
      <c r="AG730" s="122"/>
      <c r="AH730" s="122"/>
    </row>
    <row r="731" ht="22.5" customHeight="1">
      <c r="A731" s="73"/>
      <c r="B731" s="73"/>
      <c r="C731" s="73"/>
      <c r="D731" s="73"/>
      <c r="E731" s="330"/>
      <c r="F731" s="118"/>
      <c r="G731" s="118"/>
      <c r="H731" s="118"/>
      <c r="I731" s="118"/>
      <c r="J731" s="119"/>
      <c r="K731" s="120"/>
      <c r="L731" s="120"/>
      <c r="M731" s="120"/>
      <c r="N731" s="120"/>
      <c r="O731" s="118"/>
      <c r="P731" s="120"/>
      <c r="Q731" s="121"/>
      <c r="R731" s="109" t="b">
        <v>0</v>
      </c>
      <c r="S731" s="143"/>
      <c r="T731" s="110"/>
      <c r="U731" s="118"/>
      <c r="V731" s="118"/>
      <c r="W731" s="118"/>
      <c r="X731" s="118"/>
      <c r="Y731" s="118"/>
      <c r="Z731" s="118"/>
      <c r="AA731" s="118"/>
      <c r="AB731" s="118"/>
      <c r="AC731" s="118"/>
      <c r="AD731" s="111"/>
      <c r="AE731" s="122"/>
      <c r="AF731" s="122"/>
      <c r="AG731" s="122"/>
      <c r="AH731" s="122"/>
    </row>
    <row r="732" ht="22.5" customHeight="1">
      <c r="A732" s="73"/>
      <c r="B732" s="73"/>
      <c r="C732" s="73"/>
      <c r="D732" s="73"/>
      <c r="E732" s="330"/>
      <c r="F732" s="118"/>
      <c r="G732" s="118"/>
      <c r="H732" s="118"/>
      <c r="I732" s="118"/>
      <c r="J732" s="119"/>
      <c r="K732" s="120"/>
      <c r="L732" s="120"/>
      <c r="M732" s="120"/>
      <c r="N732" s="120"/>
      <c r="O732" s="118"/>
      <c r="P732" s="120"/>
      <c r="Q732" s="121"/>
      <c r="R732" s="109" t="b">
        <v>0</v>
      </c>
      <c r="S732" s="143"/>
      <c r="T732" s="110"/>
      <c r="U732" s="118"/>
      <c r="V732" s="118"/>
      <c r="W732" s="118"/>
      <c r="X732" s="118"/>
      <c r="Y732" s="118"/>
      <c r="Z732" s="118"/>
      <c r="AA732" s="118"/>
      <c r="AB732" s="118"/>
      <c r="AC732" s="118"/>
      <c r="AD732" s="111"/>
      <c r="AE732" s="122"/>
      <c r="AF732" s="122"/>
      <c r="AG732" s="122"/>
      <c r="AH732" s="122"/>
    </row>
    <row r="733" ht="22.5" customHeight="1">
      <c r="A733" s="73"/>
      <c r="B733" s="73"/>
      <c r="C733" s="73"/>
      <c r="D733" s="73"/>
      <c r="E733" s="330"/>
      <c r="F733" s="118"/>
      <c r="G733" s="118"/>
      <c r="H733" s="118"/>
      <c r="I733" s="118"/>
      <c r="J733" s="119"/>
      <c r="K733" s="120"/>
      <c r="L733" s="120"/>
      <c r="M733" s="120"/>
      <c r="N733" s="120"/>
      <c r="O733" s="118"/>
      <c r="P733" s="120"/>
      <c r="Q733" s="121"/>
      <c r="R733" s="109" t="b">
        <v>0</v>
      </c>
      <c r="S733" s="143"/>
      <c r="T733" s="110"/>
      <c r="U733" s="118"/>
      <c r="V733" s="118"/>
      <c r="W733" s="118"/>
      <c r="X733" s="118"/>
      <c r="Y733" s="118"/>
      <c r="Z733" s="118"/>
      <c r="AA733" s="118"/>
      <c r="AB733" s="118"/>
      <c r="AC733" s="118"/>
      <c r="AD733" s="111"/>
      <c r="AE733" s="122"/>
      <c r="AF733" s="122"/>
      <c r="AG733" s="122"/>
      <c r="AH733" s="122"/>
    </row>
    <row r="734" ht="22.5" customHeight="1">
      <c r="A734" s="73"/>
      <c r="B734" s="73"/>
      <c r="C734" s="73"/>
      <c r="D734" s="73"/>
      <c r="E734" s="330"/>
      <c r="F734" s="118"/>
      <c r="G734" s="118"/>
      <c r="H734" s="118"/>
      <c r="I734" s="118"/>
      <c r="J734" s="119"/>
      <c r="K734" s="120"/>
      <c r="L734" s="120"/>
      <c r="M734" s="120"/>
      <c r="N734" s="120"/>
      <c r="O734" s="118"/>
      <c r="P734" s="120"/>
      <c r="Q734" s="121"/>
      <c r="R734" s="109" t="b">
        <v>0</v>
      </c>
      <c r="S734" s="143"/>
      <c r="T734" s="110"/>
      <c r="U734" s="118"/>
      <c r="V734" s="118"/>
      <c r="W734" s="118"/>
      <c r="X734" s="118"/>
      <c r="Y734" s="118"/>
      <c r="Z734" s="118"/>
      <c r="AA734" s="118"/>
      <c r="AB734" s="118"/>
      <c r="AC734" s="118"/>
      <c r="AD734" s="111"/>
      <c r="AE734" s="122"/>
      <c r="AF734" s="122"/>
      <c r="AG734" s="122"/>
      <c r="AH734" s="122"/>
    </row>
    <row r="735" ht="22.5" customHeight="1">
      <c r="A735" s="73"/>
      <c r="B735" s="73"/>
      <c r="C735" s="73"/>
      <c r="D735" s="73"/>
      <c r="E735" s="330"/>
      <c r="F735" s="118"/>
      <c r="G735" s="118"/>
      <c r="H735" s="118"/>
      <c r="I735" s="118"/>
      <c r="J735" s="119"/>
      <c r="K735" s="120"/>
      <c r="L735" s="120"/>
      <c r="M735" s="120"/>
      <c r="N735" s="120"/>
      <c r="O735" s="118"/>
      <c r="P735" s="120"/>
      <c r="Q735" s="121"/>
      <c r="R735" s="109" t="b">
        <v>0</v>
      </c>
      <c r="S735" s="143"/>
      <c r="T735" s="110"/>
      <c r="U735" s="118"/>
      <c r="V735" s="118"/>
      <c r="W735" s="118"/>
      <c r="X735" s="118"/>
      <c r="Y735" s="118"/>
      <c r="Z735" s="118"/>
      <c r="AA735" s="118"/>
      <c r="AB735" s="118"/>
      <c r="AC735" s="118"/>
      <c r="AD735" s="111"/>
      <c r="AE735" s="122"/>
      <c r="AF735" s="122"/>
      <c r="AG735" s="122"/>
      <c r="AH735" s="122"/>
    </row>
    <row r="736" ht="22.5" customHeight="1">
      <c r="A736" s="73"/>
      <c r="B736" s="73"/>
      <c r="C736" s="73"/>
      <c r="D736" s="73"/>
      <c r="E736" s="330"/>
      <c r="F736" s="118"/>
      <c r="G736" s="118"/>
      <c r="H736" s="118"/>
      <c r="I736" s="118"/>
      <c r="J736" s="119"/>
      <c r="K736" s="120"/>
      <c r="L736" s="120"/>
      <c r="M736" s="120"/>
      <c r="N736" s="120"/>
      <c r="O736" s="118"/>
      <c r="P736" s="120"/>
      <c r="Q736" s="121"/>
      <c r="R736" s="109" t="b">
        <v>0</v>
      </c>
      <c r="S736" s="143"/>
      <c r="T736" s="110"/>
      <c r="U736" s="118"/>
      <c r="V736" s="118"/>
      <c r="W736" s="118"/>
      <c r="X736" s="118"/>
      <c r="Y736" s="118"/>
      <c r="Z736" s="118"/>
      <c r="AA736" s="118"/>
      <c r="AB736" s="118"/>
      <c r="AC736" s="118"/>
      <c r="AD736" s="111"/>
      <c r="AE736" s="122"/>
      <c r="AF736" s="122"/>
      <c r="AG736" s="122"/>
      <c r="AH736" s="122"/>
    </row>
    <row r="737" ht="22.5" customHeight="1">
      <c r="A737" s="73"/>
      <c r="B737" s="73"/>
      <c r="C737" s="73"/>
      <c r="D737" s="73"/>
      <c r="E737" s="330"/>
      <c r="F737" s="118"/>
      <c r="G737" s="118"/>
      <c r="H737" s="118"/>
      <c r="I737" s="118"/>
      <c r="J737" s="119"/>
      <c r="K737" s="120"/>
      <c r="L737" s="120"/>
      <c r="M737" s="120"/>
      <c r="N737" s="120"/>
      <c r="O737" s="118"/>
      <c r="P737" s="120"/>
      <c r="Q737" s="121"/>
      <c r="R737" s="109" t="b">
        <v>0</v>
      </c>
      <c r="S737" s="143"/>
      <c r="T737" s="110"/>
      <c r="U737" s="118"/>
      <c r="V737" s="118"/>
      <c r="W737" s="118"/>
      <c r="X737" s="118"/>
      <c r="Y737" s="118"/>
      <c r="Z737" s="118"/>
      <c r="AA737" s="118"/>
      <c r="AB737" s="118"/>
      <c r="AC737" s="118"/>
      <c r="AD737" s="111"/>
      <c r="AE737" s="122"/>
      <c r="AF737" s="122"/>
      <c r="AG737" s="122"/>
      <c r="AH737" s="122"/>
    </row>
    <row r="738" ht="22.5" customHeight="1">
      <c r="A738" s="73"/>
      <c r="B738" s="73"/>
      <c r="C738" s="73"/>
      <c r="D738" s="73"/>
      <c r="E738" s="330"/>
      <c r="F738" s="118"/>
      <c r="G738" s="118"/>
      <c r="H738" s="118"/>
      <c r="I738" s="118"/>
      <c r="J738" s="119"/>
      <c r="K738" s="120"/>
      <c r="L738" s="120"/>
      <c r="M738" s="120"/>
      <c r="N738" s="120"/>
      <c r="O738" s="118"/>
      <c r="P738" s="120"/>
      <c r="Q738" s="121"/>
      <c r="R738" s="109" t="b">
        <v>0</v>
      </c>
      <c r="S738" s="143"/>
      <c r="T738" s="110"/>
      <c r="U738" s="118"/>
      <c r="V738" s="118"/>
      <c r="W738" s="118"/>
      <c r="X738" s="118"/>
      <c r="Y738" s="118"/>
      <c r="Z738" s="118"/>
      <c r="AA738" s="118"/>
      <c r="AB738" s="118"/>
      <c r="AC738" s="118"/>
      <c r="AD738" s="111"/>
      <c r="AE738" s="122"/>
      <c r="AF738" s="122"/>
      <c r="AG738" s="122"/>
      <c r="AH738" s="122"/>
    </row>
    <row r="739" ht="22.5" customHeight="1">
      <c r="A739" s="73"/>
      <c r="B739" s="73"/>
      <c r="C739" s="73"/>
      <c r="D739" s="73"/>
      <c r="E739" s="330"/>
      <c r="F739" s="118"/>
      <c r="G739" s="118"/>
      <c r="H739" s="118"/>
      <c r="I739" s="118"/>
      <c r="J739" s="119"/>
      <c r="K739" s="120"/>
      <c r="L739" s="120"/>
      <c r="M739" s="120"/>
      <c r="N739" s="120"/>
      <c r="O739" s="118"/>
      <c r="P739" s="120"/>
      <c r="Q739" s="121"/>
      <c r="R739" s="109" t="b">
        <v>0</v>
      </c>
      <c r="S739" s="143"/>
      <c r="T739" s="110"/>
      <c r="U739" s="118"/>
      <c r="V739" s="118"/>
      <c r="W739" s="118"/>
      <c r="X739" s="118"/>
      <c r="Y739" s="118"/>
      <c r="Z739" s="118"/>
      <c r="AA739" s="118"/>
      <c r="AB739" s="118"/>
      <c r="AC739" s="118"/>
      <c r="AD739" s="111"/>
      <c r="AE739" s="122"/>
      <c r="AF739" s="122"/>
      <c r="AG739" s="122"/>
      <c r="AH739" s="122"/>
    </row>
    <row r="740" ht="22.5" customHeight="1">
      <c r="A740" s="73"/>
      <c r="B740" s="73"/>
      <c r="C740" s="73"/>
      <c r="D740" s="73"/>
      <c r="E740" s="330"/>
      <c r="F740" s="118"/>
      <c r="G740" s="118"/>
      <c r="H740" s="118"/>
      <c r="I740" s="118"/>
      <c r="J740" s="119"/>
      <c r="K740" s="120"/>
      <c r="L740" s="120"/>
      <c r="M740" s="120"/>
      <c r="N740" s="120"/>
      <c r="O740" s="118"/>
      <c r="P740" s="120"/>
      <c r="Q740" s="121"/>
      <c r="R740" s="109" t="b">
        <v>0</v>
      </c>
      <c r="S740" s="143"/>
      <c r="T740" s="110"/>
      <c r="U740" s="118"/>
      <c r="V740" s="118"/>
      <c r="W740" s="118"/>
      <c r="X740" s="118"/>
      <c r="Y740" s="118"/>
      <c r="Z740" s="118"/>
      <c r="AA740" s="118"/>
      <c r="AB740" s="118"/>
      <c r="AC740" s="118"/>
      <c r="AD740" s="111"/>
      <c r="AE740" s="122"/>
      <c r="AF740" s="122"/>
      <c r="AG740" s="122"/>
      <c r="AH740" s="122"/>
    </row>
    <row r="741" ht="22.5" customHeight="1">
      <c r="A741" s="73"/>
      <c r="B741" s="73"/>
      <c r="C741" s="73"/>
      <c r="D741" s="73"/>
      <c r="E741" s="330"/>
      <c r="F741" s="118"/>
      <c r="G741" s="118"/>
      <c r="H741" s="118"/>
      <c r="I741" s="118"/>
      <c r="J741" s="119"/>
      <c r="K741" s="120"/>
      <c r="L741" s="120"/>
      <c r="M741" s="120"/>
      <c r="N741" s="120"/>
      <c r="O741" s="118"/>
      <c r="P741" s="120"/>
      <c r="Q741" s="121"/>
      <c r="R741" s="109" t="b">
        <v>0</v>
      </c>
      <c r="S741" s="143"/>
      <c r="T741" s="110"/>
      <c r="U741" s="118"/>
      <c r="V741" s="118"/>
      <c r="W741" s="118"/>
      <c r="X741" s="118"/>
      <c r="Y741" s="118"/>
      <c r="Z741" s="118"/>
      <c r="AA741" s="118"/>
      <c r="AB741" s="118"/>
      <c r="AC741" s="118"/>
      <c r="AD741" s="111"/>
      <c r="AE741" s="122"/>
      <c r="AF741" s="122"/>
      <c r="AG741" s="122"/>
      <c r="AH741" s="122"/>
    </row>
    <row r="742" ht="22.5" customHeight="1">
      <c r="A742" s="73"/>
      <c r="B742" s="73"/>
      <c r="C742" s="73"/>
      <c r="D742" s="73"/>
      <c r="E742" s="330"/>
      <c r="F742" s="118"/>
      <c r="G742" s="118"/>
      <c r="H742" s="118"/>
      <c r="I742" s="118"/>
      <c r="J742" s="119"/>
      <c r="K742" s="120"/>
      <c r="L742" s="120"/>
      <c r="M742" s="120"/>
      <c r="N742" s="120"/>
      <c r="O742" s="118"/>
      <c r="P742" s="120"/>
      <c r="Q742" s="121"/>
      <c r="R742" s="109" t="b">
        <v>0</v>
      </c>
      <c r="S742" s="143"/>
      <c r="T742" s="110"/>
      <c r="U742" s="118"/>
      <c r="V742" s="118"/>
      <c r="W742" s="118"/>
      <c r="X742" s="118"/>
      <c r="Y742" s="118"/>
      <c r="Z742" s="118"/>
      <c r="AA742" s="118"/>
      <c r="AB742" s="118"/>
      <c r="AC742" s="118"/>
      <c r="AD742" s="111"/>
      <c r="AE742" s="122"/>
      <c r="AF742" s="122"/>
      <c r="AG742" s="122"/>
      <c r="AH742" s="122"/>
    </row>
    <row r="743" ht="22.5" customHeight="1">
      <c r="A743" s="73"/>
      <c r="B743" s="73"/>
      <c r="C743" s="73"/>
      <c r="D743" s="73"/>
      <c r="E743" s="330"/>
      <c r="F743" s="118"/>
      <c r="G743" s="118"/>
      <c r="H743" s="118"/>
      <c r="I743" s="118"/>
      <c r="J743" s="119"/>
      <c r="K743" s="120"/>
      <c r="L743" s="120"/>
      <c r="M743" s="120"/>
      <c r="N743" s="120"/>
      <c r="O743" s="118"/>
      <c r="P743" s="120"/>
      <c r="Q743" s="121"/>
      <c r="R743" s="109" t="b">
        <v>0</v>
      </c>
      <c r="S743" s="143"/>
      <c r="T743" s="110"/>
      <c r="U743" s="118"/>
      <c r="V743" s="118"/>
      <c r="W743" s="118"/>
      <c r="X743" s="118"/>
      <c r="Y743" s="118"/>
      <c r="Z743" s="118"/>
      <c r="AA743" s="118"/>
      <c r="AB743" s="118"/>
      <c r="AC743" s="118"/>
      <c r="AD743" s="111"/>
      <c r="AE743" s="122"/>
      <c r="AF743" s="122"/>
      <c r="AG743" s="122"/>
      <c r="AH743" s="122"/>
    </row>
    <row r="744" ht="22.5" customHeight="1">
      <c r="A744" s="73"/>
      <c r="B744" s="73"/>
      <c r="C744" s="73"/>
      <c r="D744" s="73"/>
      <c r="E744" s="330"/>
      <c r="F744" s="118"/>
      <c r="G744" s="118"/>
      <c r="H744" s="118"/>
      <c r="I744" s="118"/>
      <c r="J744" s="119"/>
      <c r="K744" s="120"/>
      <c r="L744" s="120"/>
      <c r="M744" s="120"/>
      <c r="N744" s="120"/>
      <c r="O744" s="118"/>
      <c r="P744" s="120"/>
      <c r="Q744" s="121"/>
      <c r="R744" s="109" t="b">
        <v>0</v>
      </c>
      <c r="S744" s="143"/>
      <c r="T744" s="110"/>
      <c r="U744" s="118"/>
      <c r="V744" s="118"/>
      <c r="W744" s="118"/>
      <c r="X744" s="118"/>
      <c r="Y744" s="118"/>
      <c r="Z744" s="118"/>
      <c r="AA744" s="118"/>
      <c r="AB744" s="118"/>
      <c r="AC744" s="118"/>
      <c r="AD744" s="111"/>
      <c r="AE744" s="122"/>
      <c r="AF744" s="122"/>
      <c r="AG744" s="122"/>
      <c r="AH744" s="122"/>
    </row>
    <row r="745" ht="22.5" customHeight="1">
      <c r="A745" s="73"/>
      <c r="B745" s="73"/>
      <c r="C745" s="73"/>
      <c r="D745" s="73"/>
      <c r="E745" s="330"/>
      <c r="F745" s="118"/>
      <c r="G745" s="118"/>
      <c r="H745" s="118"/>
      <c r="I745" s="118"/>
      <c r="J745" s="119"/>
      <c r="K745" s="120"/>
      <c r="L745" s="120"/>
      <c r="M745" s="120"/>
      <c r="N745" s="120"/>
      <c r="O745" s="118"/>
      <c r="P745" s="120"/>
      <c r="Q745" s="121"/>
      <c r="R745" s="109" t="b">
        <v>0</v>
      </c>
      <c r="S745" s="143"/>
      <c r="T745" s="110"/>
      <c r="U745" s="118"/>
      <c r="V745" s="118"/>
      <c r="W745" s="118"/>
      <c r="X745" s="118"/>
      <c r="Y745" s="118"/>
      <c r="Z745" s="118"/>
      <c r="AA745" s="118"/>
      <c r="AB745" s="118"/>
      <c r="AC745" s="118"/>
      <c r="AD745" s="111"/>
      <c r="AE745" s="122"/>
      <c r="AF745" s="122"/>
      <c r="AG745" s="122"/>
      <c r="AH745" s="122"/>
    </row>
    <row r="746" ht="22.5" customHeight="1">
      <c r="A746" s="73"/>
      <c r="B746" s="73"/>
      <c r="C746" s="73"/>
      <c r="D746" s="73"/>
      <c r="E746" s="330"/>
      <c r="F746" s="118"/>
      <c r="G746" s="118"/>
      <c r="H746" s="118"/>
      <c r="I746" s="118"/>
      <c r="J746" s="119"/>
      <c r="K746" s="120"/>
      <c r="L746" s="120"/>
      <c r="M746" s="120"/>
      <c r="N746" s="120"/>
      <c r="O746" s="118"/>
      <c r="P746" s="120"/>
      <c r="Q746" s="121"/>
      <c r="R746" s="109" t="b">
        <v>0</v>
      </c>
      <c r="S746" s="143"/>
      <c r="T746" s="110"/>
      <c r="U746" s="118"/>
      <c r="V746" s="118"/>
      <c r="W746" s="118"/>
      <c r="X746" s="118"/>
      <c r="Y746" s="118"/>
      <c r="Z746" s="118"/>
      <c r="AA746" s="118"/>
      <c r="AB746" s="118"/>
      <c r="AC746" s="118"/>
      <c r="AD746" s="111"/>
      <c r="AE746" s="122"/>
      <c r="AF746" s="122"/>
      <c r="AG746" s="122"/>
      <c r="AH746" s="122"/>
    </row>
    <row r="747" ht="22.5" customHeight="1">
      <c r="A747" s="73"/>
      <c r="B747" s="73"/>
      <c r="C747" s="73"/>
      <c r="D747" s="73"/>
      <c r="E747" s="330"/>
      <c r="F747" s="118"/>
      <c r="G747" s="118"/>
      <c r="H747" s="118"/>
      <c r="I747" s="118"/>
      <c r="J747" s="119"/>
      <c r="K747" s="120"/>
      <c r="L747" s="120"/>
      <c r="M747" s="120"/>
      <c r="N747" s="120"/>
      <c r="O747" s="118"/>
      <c r="P747" s="120"/>
      <c r="Q747" s="121"/>
      <c r="R747" s="109" t="b">
        <v>0</v>
      </c>
      <c r="S747" s="143"/>
      <c r="T747" s="110"/>
      <c r="U747" s="118"/>
      <c r="V747" s="118"/>
      <c r="W747" s="118"/>
      <c r="X747" s="118"/>
      <c r="Y747" s="118"/>
      <c r="Z747" s="118"/>
      <c r="AA747" s="118"/>
      <c r="AB747" s="118"/>
      <c r="AC747" s="118"/>
      <c r="AD747" s="111"/>
      <c r="AE747" s="122"/>
      <c r="AF747" s="122"/>
      <c r="AG747" s="122"/>
      <c r="AH747" s="122"/>
    </row>
    <row r="748" ht="22.5" customHeight="1">
      <c r="A748" s="73"/>
      <c r="B748" s="73"/>
      <c r="C748" s="73"/>
      <c r="D748" s="73"/>
      <c r="E748" s="330"/>
      <c r="F748" s="118"/>
      <c r="G748" s="118"/>
      <c r="H748" s="118"/>
      <c r="I748" s="118"/>
      <c r="J748" s="119"/>
      <c r="K748" s="120"/>
      <c r="L748" s="120"/>
      <c r="M748" s="120"/>
      <c r="N748" s="120"/>
      <c r="O748" s="118"/>
      <c r="P748" s="120"/>
      <c r="Q748" s="121"/>
      <c r="R748" s="109" t="b">
        <v>0</v>
      </c>
      <c r="S748" s="143"/>
      <c r="T748" s="110"/>
      <c r="U748" s="118"/>
      <c r="V748" s="118"/>
      <c r="W748" s="118"/>
      <c r="X748" s="118"/>
      <c r="Y748" s="118"/>
      <c r="Z748" s="118"/>
      <c r="AA748" s="118"/>
      <c r="AB748" s="118"/>
      <c r="AC748" s="118"/>
      <c r="AD748" s="111"/>
      <c r="AE748" s="122"/>
      <c r="AF748" s="122"/>
      <c r="AG748" s="122"/>
      <c r="AH748" s="122"/>
    </row>
    <row r="749" ht="22.5" customHeight="1">
      <c r="A749" s="73"/>
      <c r="B749" s="73"/>
      <c r="C749" s="73"/>
      <c r="D749" s="73"/>
      <c r="E749" s="330"/>
      <c r="F749" s="118"/>
      <c r="G749" s="118"/>
      <c r="H749" s="118"/>
      <c r="I749" s="118"/>
      <c r="J749" s="119"/>
      <c r="K749" s="120"/>
      <c r="L749" s="120"/>
      <c r="M749" s="120"/>
      <c r="N749" s="120"/>
      <c r="O749" s="118"/>
      <c r="P749" s="120"/>
      <c r="Q749" s="121"/>
      <c r="R749" s="109" t="b">
        <v>0</v>
      </c>
      <c r="S749" s="143"/>
      <c r="T749" s="110"/>
      <c r="U749" s="118"/>
      <c r="V749" s="118"/>
      <c r="W749" s="118"/>
      <c r="X749" s="118"/>
      <c r="Y749" s="118"/>
      <c r="Z749" s="118"/>
      <c r="AA749" s="118"/>
      <c r="AB749" s="118"/>
      <c r="AC749" s="118"/>
      <c r="AD749" s="111"/>
      <c r="AE749" s="122"/>
      <c r="AF749" s="122"/>
      <c r="AG749" s="122"/>
      <c r="AH749" s="122"/>
    </row>
    <row r="750" ht="22.5" customHeight="1">
      <c r="A750" s="73"/>
      <c r="B750" s="73"/>
      <c r="C750" s="73"/>
      <c r="D750" s="73"/>
      <c r="E750" s="330"/>
      <c r="F750" s="118"/>
      <c r="G750" s="118"/>
      <c r="H750" s="118"/>
      <c r="I750" s="118"/>
      <c r="J750" s="119"/>
      <c r="K750" s="120"/>
      <c r="L750" s="120"/>
      <c r="M750" s="120"/>
      <c r="N750" s="120"/>
      <c r="O750" s="118"/>
      <c r="P750" s="120"/>
      <c r="Q750" s="121"/>
      <c r="R750" s="109" t="b">
        <v>0</v>
      </c>
      <c r="S750" s="143"/>
      <c r="T750" s="110"/>
      <c r="U750" s="118"/>
      <c r="V750" s="118"/>
      <c r="W750" s="118"/>
      <c r="X750" s="118"/>
      <c r="Y750" s="118"/>
      <c r="Z750" s="118"/>
      <c r="AA750" s="118"/>
      <c r="AB750" s="118"/>
      <c r="AC750" s="118"/>
      <c r="AD750" s="111"/>
      <c r="AE750" s="122"/>
      <c r="AF750" s="122"/>
      <c r="AG750" s="122"/>
      <c r="AH750" s="122"/>
    </row>
    <row r="751" ht="22.5" customHeight="1">
      <c r="A751" s="73"/>
      <c r="B751" s="73"/>
      <c r="C751" s="73"/>
      <c r="D751" s="73"/>
      <c r="E751" s="330"/>
      <c r="F751" s="118"/>
      <c r="G751" s="118"/>
      <c r="H751" s="118"/>
      <c r="I751" s="118"/>
      <c r="J751" s="119"/>
      <c r="K751" s="120"/>
      <c r="L751" s="120"/>
      <c r="M751" s="120"/>
      <c r="N751" s="120"/>
      <c r="O751" s="118"/>
      <c r="P751" s="120"/>
      <c r="Q751" s="121"/>
      <c r="R751" s="109" t="b">
        <v>0</v>
      </c>
      <c r="S751" s="143"/>
      <c r="T751" s="110"/>
      <c r="U751" s="118"/>
      <c r="V751" s="118"/>
      <c r="W751" s="118"/>
      <c r="X751" s="118"/>
      <c r="Y751" s="118"/>
      <c r="Z751" s="118"/>
      <c r="AA751" s="118"/>
      <c r="AB751" s="118"/>
      <c r="AC751" s="118"/>
      <c r="AD751" s="111"/>
      <c r="AE751" s="122"/>
      <c r="AF751" s="122"/>
      <c r="AG751" s="122"/>
      <c r="AH751" s="122"/>
    </row>
    <row r="752" ht="22.5" customHeight="1">
      <c r="A752" s="73"/>
      <c r="B752" s="73"/>
      <c r="C752" s="73"/>
      <c r="D752" s="73"/>
      <c r="E752" s="330"/>
      <c r="F752" s="118"/>
      <c r="G752" s="118"/>
      <c r="H752" s="118"/>
      <c r="I752" s="118"/>
      <c r="J752" s="119"/>
      <c r="K752" s="120"/>
      <c r="L752" s="120"/>
      <c r="M752" s="120"/>
      <c r="N752" s="120"/>
      <c r="O752" s="118"/>
      <c r="P752" s="120"/>
      <c r="Q752" s="121"/>
      <c r="R752" s="109" t="b">
        <v>0</v>
      </c>
      <c r="S752" s="143"/>
      <c r="T752" s="110"/>
      <c r="U752" s="118"/>
      <c r="V752" s="118"/>
      <c r="W752" s="118"/>
      <c r="X752" s="118"/>
      <c r="Y752" s="118"/>
      <c r="Z752" s="118"/>
      <c r="AA752" s="118"/>
      <c r="AB752" s="118"/>
      <c r="AC752" s="118"/>
      <c r="AD752" s="111"/>
      <c r="AE752" s="122"/>
      <c r="AF752" s="122"/>
      <c r="AG752" s="122"/>
      <c r="AH752" s="122"/>
    </row>
    <row r="753" ht="22.5" customHeight="1">
      <c r="A753" s="73"/>
      <c r="B753" s="73"/>
      <c r="C753" s="73"/>
      <c r="D753" s="73"/>
      <c r="E753" s="330"/>
      <c r="F753" s="118"/>
      <c r="G753" s="118"/>
      <c r="H753" s="118"/>
      <c r="I753" s="118"/>
      <c r="J753" s="119"/>
      <c r="K753" s="120"/>
      <c r="L753" s="120"/>
      <c r="M753" s="120"/>
      <c r="N753" s="120"/>
      <c r="O753" s="118"/>
      <c r="P753" s="120"/>
      <c r="Q753" s="121"/>
      <c r="R753" s="109" t="b">
        <v>0</v>
      </c>
      <c r="S753" s="143"/>
      <c r="T753" s="110"/>
      <c r="U753" s="118"/>
      <c r="V753" s="118"/>
      <c r="W753" s="118"/>
      <c r="X753" s="118"/>
      <c r="Y753" s="118"/>
      <c r="Z753" s="118"/>
      <c r="AA753" s="118"/>
      <c r="AB753" s="118"/>
      <c r="AC753" s="118"/>
      <c r="AD753" s="111"/>
      <c r="AE753" s="122"/>
      <c r="AF753" s="122"/>
      <c r="AG753" s="122"/>
      <c r="AH753" s="122"/>
    </row>
    <row r="754" ht="22.5" customHeight="1">
      <c r="A754" s="73"/>
      <c r="B754" s="73"/>
      <c r="C754" s="73"/>
      <c r="D754" s="73"/>
      <c r="E754" s="330"/>
      <c r="F754" s="118"/>
      <c r="G754" s="118"/>
      <c r="H754" s="118"/>
      <c r="I754" s="118"/>
      <c r="J754" s="119"/>
      <c r="K754" s="120"/>
      <c r="L754" s="120"/>
      <c r="M754" s="120"/>
      <c r="N754" s="120"/>
      <c r="O754" s="118"/>
      <c r="P754" s="120"/>
      <c r="Q754" s="121"/>
      <c r="R754" s="109" t="b">
        <v>0</v>
      </c>
      <c r="S754" s="143"/>
      <c r="T754" s="110"/>
      <c r="U754" s="118"/>
      <c r="V754" s="118"/>
      <c r="W754" s="118"/>
      <c r="X754" s="118"/>
      <c r="Y754" s="118"/>
      <c r="Z754" s="118"/>
      <c r="AA754" s="118"/>
      <c r="AB754" s="118"/>
      <c r="AC754" s="118"/>
      <c r="AD754" s="111"/>
      <c r="AE754" s="122"/>
      <c r="AF754" s="122"/>
      <c r="AG754" s="122"/>
      <c r="AH754" s="122"/>
    </row>
    <row r="755" ht="22.5" customHeight="1">
      <c r="A755" s="73"/>
      <c r="B755" s="73"/>
      <c r="C755" s="73"/>
      <c r="D755" s="73"/>
      <c r="E755" s="330"/>
      <c r="F755" s="118"/>
      <c r="G755" s="118"/>
      <c r="H755" s="118"/>
      <c r="I755" s="118"/>
      <c r="J755" s="119"/>
      <c r="K755" s="120"/>
      <c r="L755" s="120"/>
      <c r="M755" s="120"/>
      <c r="N755" s="120"/>
      <c r="O755" s="118"/>
      <c r="P755" s="120"/>
      <c r="Q755" s="121"/>
      <c r="R755" s="109" t="b">
        <v>0</v>
      </c>
      <c r="S755" s="143"/>
      <c r="T755" s="110"/>
      <c r="U755" s="118"/>
      <c r="V755" s="118"/>
      <c r="W755" s="118"/>
      <c r="X755" s="118"/>
      <c r="Y755" s="118"/>
      <c r="Z755" s="118"/>
      <c r="AA755" s="118"/>
      <c r="AB755" s="118"/>
      <c r="AC755" s="118"/>
      <c r="AD755" s="111"/>
      <c r="AE755" s="122"/>
      <c r="AF755" s="122"/>
      <c r="AG755" s="122"/>
      <c r="AH755" s="122"/>
    </row>
    <row r="756" ht="22.5" customHeight="1">
      <c r="A756" s="73"/>
      <c r="B756" s="73"/>
      <c r="C756" s="73"/>
      <c r="D756" s="73"/>
      <c r="E756" s="330"/>
      <c r="F756" s="118"/>
      <c r="G756" s="118"/>
      <c r="H756" s="118"/>
      <c r="I756" s="118"/>
      <c r="J756" s="119"/>
      <c r="K756" s="120"/>
      <c r="L756" s="120"/>
      <c r="M756" s="120"/>
      <c r="N756" s="120"/>
      <c r="O756" s="118"/>
      <c r="P756" s="120"/>
      <c r="Q756" s="121"/>
      <c r="R756" s="109" t="b">
        <v>0</v>
      </c>
      <c r="S756" s="143"/>
      <c r="T756" s="110"/>
      <c r="U756" s="118"/>
      <c r="V756" s="118"/>
      <c r="W756" s="118"/>
      <c r="X756" s="118"/>
      <c r="Y756" s="118"/>
      <c r="Z756" s="118"/>
      <c r="AA756" s="118"/>
      <c r="AB756" s="118"/>
      <c r="AC756" s="118"/>
      <c r="AD756" s="111"/>
      <c r="AE756" s="122"/>
      <c r="AF756" s="122"/>
      <c r="AG756" s="122"/>
      <c r="AH756" s="122"/>
    </row>
    <row r="757" ht="22.5" customHeight="1">
      <c r="A757" s="73"/>
      <c r="B757" s="73"/>
      <c r="C757" s="73"/>
      <c r="D757" s="73"/>
      <c r="E757" s="330"/>
      <c r="F757" s="118"/>
      <c r="G757" s="118"/>
      <c r="H757" s="118"/>
      <c r="I757" s="118"/>
      <c r="J757" s="119"/>
      <c r="K757" s="120"/>
      <c r="L757" s="120"/>
      <c r="M757" s="120"/>
      <c r="N757" s="120"/>
      <c r="O757" s="118"/>
      <c r="P757" s="120"/>
      <c r="Q757" s="121"/>
      <c r="R757" s="109" t="b">
        <v>0</v>
      </c>
      <c r="S757" s="143"/>
      <c r="T757" s="110"/>
      <c r="U757" s="118"/>
      <c r="V757" s="118"/>
      <c r="W757" s="118"/>
      <c r="X757" s="118"/>
      <c r="Y757" s="118"/>
      <c r="Z757" s="118"/>
      <c r="AA757" s="118"/>
      <c r="AB757" s="118"/>
      <c r="AC757" s="118"/>
      <c r="AD757" s="111"/>
      <c r="AE757" s="122"/>
      <c r="AF757" s="122"/>
      <c r="AG757" s="122"/>
      <c r="AH757" s="122"/>
    </row>
    <row r="758" ht="22.5" customHeight="1">
      <c r="A758" s="73"/>
      <c r="B758" s="73"/>
      <c r="C758" s="73"/>
      <c r="D758" s="73"/>
      <c r="E758" s="330"/>
      <c r="F758" s="118"/>
      <c r="G758" s="118"/>
      <c r="H758" s="118"/>
      <c r="I758" s="118"/>
      <c r="J758" s="119"/>
      <c r="K758" s="120"/>
      <c r="L758" s="120"/>
      <c r="M758" s="120"/>
      <c r="N758" s="120"/>
      <c r="O758" s="118"/>
      <c r="P758" s="120"/>
      <c r="Q758" s="121"/>
      <c r="R758" s="109" t="b">
        <v>0</v>
      </c>
      <c r="S758" s="143"/>
      <c r="T758" s="110"/>
      <c r="U758" s="118"/>
      <c r="V758" s="118"/>
      <c r="W758" s="118"/>
      <c r="X758" s="118"/>
      <c r="Y758" s="118"/>
      <c r="Z758" s="118"/>
      <c r="AA758" s="118"/>
      <c r="AB758" s="118"/>
      <c r="AC758" s="118"/>
      <c r="AD758" s="111"/>
      <c r="AE758" s="122"/>
      <c r="AF758" s="122"/>
      <c r="AG758" s="122"/>
      <c r="AH758" s="122"/>
    </row>
    <row r="759" ht="22.5" customHeight="1">
      <c r="A759" s="73"/>
      <c r="B759" s="73"/>
      <c r="C759" s="73"/>
      <c r="D759" s="73"/>
      <c r="E759" s="330"/>
      <c r="F759" s="118"/>
      <c r="G759" s="118"/>
      <c r="H759" s="118"/>
      <c r="I759" s="118"/>
      <c r="J759" s="119"/>
      <c r="K759" s="120"/>
      <c r="L759" s="120"/>
      <c r="M759" s="120"/>
      <c r="N759" s="120"/>
      <c r="O759" s="118"/>
      <c r="P759" s="120"/>
      <c r="Q759" s="121"/>
      <c r="R759" s="109" t="b">
        <v>0</v>
      </c>
      <c r="S759" s="143"/>
      <c r="T759" s="110"/>
      <c r="U759" s="118"/>
      <c r="V759" s="118"/>
      <c r="W759" s="118"/>
      <c r="X759" s="118"/>
      <c r="Y759" s="118"/>
      <c r="Z759" s="118"/>
      <c r="AA759" s="118"/>
      <c r="AB759" s="118"/>
      <c r="AC759" s="118"/>
      <c r="AD759" s="111"/>
      <c r="AE759" s="122"/>
      <c r="AF759" s="122"/>
      <c r="AG759" s="122"/>
      <c r="AH759" s="122"/>
    </row>
    <row r="760" ht="22.5" customHeight="1">
      <c r="A760" s="73"/>
      <c r="B760" s="73"/>
      <c r="C760" s="73"/>
      <c r="D760" s="73"/>
      <c r="E760" s="330"/>
      <c r="F760" s="118"/>
      <c r="G760" s="118"/>
      <c r="H760" s="118"/>
      <c r="I760" s="118"/>
      <c r="J760" s="119"/>
      <c r="K760" s="120"/>
      <c r="L760" s="120"/>
      <c r="M760" s="120"/>
      <c r="N760" s="120"/>
      <c r="O760" s="118"/>
      <c r="P760" s="120"/>
      <c r="Q760" s="121"/>
      <c r="R760" s="109" t="b">
        <v>0</v>
      </c>
      <c r="S760" s="143"/>
      <c r="T760" s="110"/>
      <c r="U760" s="118"/>
      <c r="V760" s="118"/>
      <c r="W760" s="118"/>
      <c r="X760" s="118"/>
      <c r="Y760" s="118"/>
      <c r="Z760" s="118"/>
      <c r="AA760" s="118"/>
      <c r="AB760" s="118"/>
      <c r="AC760" s="118"/>
      <c r="AD760" s="111"/>
      <c r="AE760" s="122"/>
      <c r="AF760" s="122"/>
      <c r="AG760" s="122"/>
      <c r="AH760" s="122"/>
    </row>
    <row r="761" ht="22.5" customHeight="1">
      <c r="A761" s="73"/>
      <c r="B761" s="73"/>
      <c r="C761" s="73"/>
      <c r="D761" s="73"/>
      <c r="E761" s="330"/>
      <c r="F761" s="118"/>
      <c r="G761" s="118"/>
      <c r="H761" s="118"/>
      <c r="I761" s="118"/>
      <c r="J761" s="119"/>
      <c r="K761" s="120"/>
      <c r="L761" s="120"/>
      <c r="M761" s="120"/>
      <c r="N761" s="120"/>
      <c r="O761" s="118"/>
      <c r="P761" s="120"/>
      <c r="Q761" s="121"/>
      <c r="R761" s="109" t="b">
        <v>0</v>
      </c>
      <c r="S761" s="143"/>
      <c r="T761" s="110"/>
      <c r="U761" s="118"/>
      <c r="V761" s="118"/>
      <c r="W761" s="118"/>
      <c r="X761" s="118"/>
      <c r="Y761" s="118"/>
      <c r="Z761" s="118"/>
      <c r="AA761" s="118"/>
      <c r="AB761" s="118"/>
      <c r="AC761" s="118"/>
      <c r="AD761" s="111"/>
      <c r="AE761" s="122"/>
      <c r="AF761" s="122"/>
      <c r="AG761" s="122"/>
      <c r="AH761" s="122"/>
    </row>
    <row r="762" ht="22.5" customHeight="1">
      <c r="A762" s="73"/>
      <c r="B762" s="73"/>
      <c r="C762" s="73"/>
      <c r="D762" s="73"/>
      <c r="E762" s="330"/>
      <c r="F762" s="118"/>
      <c r="G762" s="118"/>
      <c r="H762" s="118"/>
      <c r="I762" s="118"/>
      <c r="J762" s="119"/>
      <c r="K762" s="120"/>
      <c r="L762" s="120"/>
      <c r="M762" s="120"/>
      <c r="N762" s="120"/>
      <c r="O762" s="118"/>
      <c r="P762" s="120"/>
      <c r="Q762" s="121"/>
      <c r="R762" s="109" t="b">
        <v>0</v>
      </c>
      <c r="S762" s="143"/>
      <c r="T762" s="110"/>
      <c r="U762" s="118"/>
      <c r="V762" s="118"/>
      <c r="W762" s="118"/>
      <c r="X762" s="118"/>
      <c r="Y762" s="118"/>
      <c r="Z762" s="118"/>
      <c r="AA762" s="118"/>
      <c r="AB762" s="118"/>
      <c r="AC762" s="118"/>
      <c r="AD762" s="111"/>
      <c r="AE762" s="122"/>
      <c r="AF762" s="122"/>
      <c r="AG762" s="122"/>
      <c r="AH762" s="122"/>
    </row>
    <row r="763" ht="22.5" customHeight="1">
      <c r="A763" s="73"/>
      <c r="B763" s="73"/>
      <c r="C763" s="73"/>
      <c r="D763" s="73"/>
      <c r="E763" s="330"/>
      <c r="F763" s="118"/>
      <c r="G763" s="118"/>
      <c r="H763" s="118"/>
      <c r="I763" s="118"/>
      <c r="J763" s="119"/>
      <c r="K763" s="120"/>
      <c r="L763" s="120"/>
      <c r="M763" s="120"/>
      <c r="N763" s="120"/>
      <c r="O763" s="118"/>
      <c r="P763" s="120"/>
      <c r="Q763" s="121"/>
      <c r="R763" s="109" t="b">
        <v>0</v>
      </c>
      <c r="S763" s="143"/>
      <c r="T763" s="110"/>
      <c r="U763" s="118"/>
      <c r="V763" s="118"/>
      <c r="W763" s="118"/>
      <c r="X763" s="118"/>
      <c r="Y763" s="118"/>
      <c r="Z763" s="118"/>
      <c r="AA763" s="118"/>
      <c r="AB763" s="118"/>
      <c r="AC763" s="118"/>
      <c r="AD763" s="111"/>
      <c r="AE763" s="122"/>
      <c r="AF763" s="122"/>
      <c r="AG763" s="122"/>
      <c r="AH763" s="122"/>
    </row>
    <row r="764" ht="22.5" customHeight="1">
      <c r="A764" s="73"/>
      <c r="B764" s="73"/>
      <c r="C764" s="73"/>
      <c r="D764" s="73"/>
      <c r="E764" s="330"/>
      <c r="F764" s="118"/>
      <c r="G764" s="118"/>
      <c r="H764" s="118"/>
      <c r="I764" s="118"/>
      <c r="J764" s="119"/>
      <c r="K764" s="120"/>
      <c r="L764" s="120"/>
      <c r="M764" s="120"/>
      <c r="N764" s="120"/>
      <c r="O764" s="118"/>
      <c r="P764" s="120"/>
      <c r="Q764" s="121"/>
      <c r="R764" s="109" t="b">
        <v>0</v>
      </c>
      <c r="S764" s="143"/>
      <c r="T764" s="110"/>
      <c r="U764" s="118"/>
      <c r="V764" s="118"/>
      <c r="W764" s="118"/>
      <c r="X764" s="118"/>
      <c r="Y764" s="118"/>
      <c r="Z764" s="118"/>
      <c r="AA764" s="118"/>
      <c r="AB764" s="118"/>
      <c r="AC764" s="118"/>
      <c r="AD764" s="111"/>
      <c r="AE764" s="122"/>
      <c r="AF764" s="122"/>
      <c r="AG764" s="122"/>
      <c r="AH764" s="122"/>
    </row>
    <row r="765" ht="22.5" customHeight="1">
      <c r="A765" s="73"/>
      <c r="B765" s="73"/>
      <c r="C765" s="73"/>
      <c r="D765" s="73"/>
      <c r="E765" s="330"/>
      <c r="F765" s="118"/>
      <c r="G765" s="118"/>
      <c r="H765" s="118"/>
      <c r="I765" s="118"/>
      <c r="J765" s="119"/>
      <c r="K765" s="120"/>
      <c r="L765" s="120"/>
      <c r="M765" s="120"/>
      <c r="N765" s="120"/>
      <c r="O765" s="118"/>
      <c r="P765" s="120"/>
      <c r="Q765" s="121"/>
      <c r="R765" s="109" t="b">
        <v>0</v>
      </c>
      <c r="S765" s="143"/>
      <c r="T765" s="110"/>
      <c r="U765" s="118"/>
      <c r="V765" s="118"/>
      <c r="W765" s="118"/>
      <c r="X765" s="118"/>
      <c r="Y765" s="118"/>
      <c r="Z765" s="118"/>
      <c r="AA765" s="118"/>
      <c r="AB765" s="118"/>
      <c r="AC765" s="118"/>
      <c r="AD765" s="111"/>
      <c r="AE765" s="122"/>
      <c r="AF765" s="122"/>
      <c r="AG765" s="122"/>
      <c r="AH765" s="122"/>
    </row>
    <row r="766" ht="22.5" customHeight="1">
      <c r="A766" s="73"/>
      <c r="B766" s="73"/>
      <c r="C766" s="73"/>
      <c r="D766" s="73"/>
      <c r="E766" s="330"/>
      <c r="F766" s="118"/>
      <c r="G766" s="118"/>
      <c r="H766" s="118"/>
      <c r="I766" s="118"/>
      <c r="J766" s="119"/>
      <c r="K766" s="120"/>
      <c r="L766" s="120"/>
      <c r="M766" s="120"/>
      <c r="N766" s="120"/>
      <c r="O766" s="118"/>
      <c r="P766" s="120"/>
      <c r="Q766" s="121"/>
      <c r="R766" s="109" t="b">
        <v>0</v>
      </c>
      <c r="S766" s="143"/>
      <c r="T766" s="110"/>
      <c r="U766" s="118"/>
      <c r="V766" s="118"/>
      <c r="W766" s="118"/>
      <c r="X766" s="118"/>
      <c r="Y766" s="118"/>
      <c r="Z766" s="118"/>
      <c r="AA766" s="118"/>
      <c r="AB766" s="118"/>
      <c r="AC766" s="118"/>
      <c r="AD766" s="111"/>
      <c r="AE766" s="122"/>
      <c r="AF766" s="122"/>
      <c r="AG766" s="122"/>
      <c r="AH766" s="122"/>
    </row>
    <row r="767" ht="22.5" customHeight="1">
      <c r="A767" s="73"/>
      <c r="B767" s="73"/>
      <c r="C767" s="73"/>
      <c r="D767" s="73"/>
      <c r="E767" s="330"/>
      <c r="F767" s="118"/>
      <c r="G767" s="118"/>
      <c r="H767" s="118"/>
      <c r="I767" s="118"/>
      <c r="J767" s="119"/>
      <c r="K767" s="120"/>
      <c r="L767" s="120"/>
      <c r="M767" s="120"/>
      <c r="N767" s="120"/>
      <c r="O767" s="118"/>
      <c r="P767" s="120"/>
      <c r="Q767" s="121"/>
      <c r="R767" s="109" t="b">
        <v>0</v>
      </c>
      <c r="S767" s="143"/>
      <c r="T767" s="110"/>
      <c r="U767" s="118"/>
      <c r="V767" s="118"/>
      <c r="W767" s="118"/>
      <c r="X767" s="118"/>
      <c r="Y767" s="118"/>
      <c r="Z767" s="118"/>
      <c r="AA767" s="118"/>
      <c r="AB767" s="118"/>
      <c r="AC767" s="118"/>
      <c r="AD767" s="111"/>
      <c r="AE767" s="122"/>
      <c r="AF767" s="122"/>
      <c r="AG767" s="122"/>
      <c r="AH767" s="122"/>
    </row>
    <row r="768" ht="22.5" customHeight="1">
      <c r="A768" s="73"/>
      <c r="B768" s="73"/>
      <c r="C768" s="73"/>
      <c r="D768" s="73"/>
      <c r="E768" s="330"/>
      <c r="F768" s="118"/>
      <c r="G768" s="118"/>
      <c r="H768" s="118"/>
      <c r="I768" s="118"/>
      <c r="J768" s="119"/>
      <c r="K768" s="120"/>
      <c r="L768" s="120"/>
      <c r="M768" s="120"/>
      <c r="N768" s="120"/>
      <c r="O768" s="118"/>
      <c r="P768" s="120"/>
      <c r="Q768" s="121"/>
      <c r="R768" s="109" t="b">
        <v>0</v>
      </c>
      <c r="S768" s="143"/>
      <c r="T768" s="110"/>
      <c r="U768" s="118"/>
      <c r="V768" s="118"/>
      <c r="W768" s="118"/>
      <c r="X768" s="118"/>
      <c r="Y768" s="118"/>
      <c r="Z768" s="118"/>
      <c r="AA768" s="118"/>
      <c r="AB768" s="118"/>
      <c r="AC768" s="118"/>
      <c r="AD768" s="111"/>
      <c r="AE768" s="122"/>
      <c r="AF768" s="122"/>
      <c r="AG768" s="122"/>
      <c r="AH768" s="122"/>
    </row>
    <row r="769" ht="22.5" customHeight="1">
      <c r="A769" s="73"/>
      <c r="B769" s="73"/>
      <c r="C769" s="73"/>
      <c r="D769" s="73"/>
      <c r="E769" s="330"/>
      <c r="F769" s="118"/>
      <c r="G769" s="118"/>
      <c r="H769" s="118"/>
      <c r="I769" s="118"/>
      <c r="J769" s="119"/>
      <c r="K769" s="120"/>
      <c r="L769" s="120"/>
      <c r="M769" s="120"/>
      <c r="N769" s="120"/>
      <c r="O769" s="118"/>
      <c r="P769" s="120"/>
      <c r="Q769" s="121"/>
      <c r="R769" s="109" t="b">
        <v>0</v>
      </c>
      <c r="S769" s="143"/>
      <c r="T769" s="110"/>
      <c r="U769" s="118"/>
      <c r="V769" s="118"/>
      <c r="W769" s="118"/>
      <c r="X769" s="118"/>
      <c r="Y769" s="118"/>
      <c r="Z769" s="118"/>
      <c r="AA769" s="118"/>
      <c r="AB769" s="118"/>
      <c r="AC769" s="118"/>
      <c r="AD769" s="111"/>
      <c r="AE769" s="122"/>
      <c r="AF769" s="122"/>
      <c r="AG769" s="122"/>
      <c r="AH769" s="122"/>
    </row>
    <row r="770" ht="22.5" customHeight="1">
      <c r="A770" s="73"/>
      <c r="B770" s="73"/>
      <c r="C770" s="73"/>
      <c r="D770" s="73"/>
      <c r="E770" s="330"/>
      <c r="F770" s="118"/>
      <c r="G770" s="118"/>
      <c r="H770" s="118"/>
      <c r="I770" s="118"/>
      <c r="J770" s="119"/>
      <c r="K770" s="120"/>
      <c r="L770" s="120"/>
      <c r="M770" s="120"/>
      <c r="N770" s="120"/>
      <c r="O770" s="118"/>
      <c r="P770" s="120"/>
      <c r="Q770" s="121"/>
      <c r="R770" s="109" t="b">
        <v>0</v>
      </c>
      <c r="S770" s="143"/>
      <c r="T770" s="110"/>
      <c r="U770" s="118"/>
      <c r="V770" s="118"/>
      <c r="W770" s="118"/>
      <c r="X770" s="118"/>
      <c r="Y770" s="118"/>
      <c r="Z770" s="118"/>
      <c r="AA770" s="118"/>
      <c r="AB770" s="118"/>
      <c r="AC770" s="118"/>
      <c r="AD770" s="111"/>
      <c r="AE770" s="122"/>
      <c r="AF770" s="122"/>
      <c r="AG770" s="122"/>
      <c r="AH770" s="122"/>
    </row>
    <row r="771" ht="22.5" customHeight="1">
      <c r="A771" s="73"/>
      <c r="B771" s="73"/>
      <c r="C771" s="73"/>
      <c r="D771" s="73"/>
      <c r="E771" s="330"/>
      <c r="F771" s="118"/>
      <c r="G771" s="118"/>
      <c r="H771" s="118"/>
      <c r="I771" s="118"/>
      <c r="J771" s="119"/>
      <c r="K771" s="120"/>
      <c r="L771" s="120"/>
      <c r="M771" s="120"/>
      <c r="N771" s="120"/>
      <c r="O771" s="118"/>
      <c r="P771" s="120"/>
      <c r="Q771" s="121"/>
      <c r="R771" s="109" t="b">
        <v>0</v>
      </c>
      <c r="S771" s="143"/>
      <c r="T771" s="110"/>
      <c r="U771" s="118"/>
      <c r="V771" s="118"/>
      <c r="W771" s="118"/>
      <c r="X771" s="118"/>
      <c r="Y771" s="118"/>
      <c r="Z771" s="118"/>
      <c r="AA771" s="118"/>
      <c r="AB771" s="118"/>
      <c r="AC771" s="118"/>
      <c r="AD771" s="111"/>
      <c r="AE771" s="122"/>
      <c r="AF771" s="122"/>
      <c r="AG771" s="122"/>
      <c r="AH771" s="122"/>
    </row>
    <row r="772" ht="22.5" customHeight="1">
      <c r="A772" s="73"/>
      <c r="B772" s="73"/>
      <c r="C772" s="73"/>
      <c r="D772" s="73"/>
      <c r="E772" s="330"/>
      <c r="F772" s="118"/>
      <c r="G772" s="118"/>
      <c r="H772" s="118"/>
      <c r="I772" s="118"/>
      <c r="J772" s="119"/>
      <c r="K772" s="120"/>
      <c r="L772" s="120"/>
      <c r="M772" s="120"/>
      <c r="N772" s="120"/>
      <c r="O772" s="118"/>
      <c r="P772" s="120"/>
      <c r="Q772" s="121"/>
      <c r="R772" s="109" t="b">
        <v>0</v>
      </c>
      <c r="S772" s="143"/>
      <c r="T772" s="110"/>
      <c r="U772" s="118"/>
      <c r="V772" s="118"/>
      <c r="W772" s="118"/>
      <c r="X772" s="118"/>
      <c r="Y772" s="118"/>
      <c r="Z772" s="118"/>
      <c r="AA772" s="118"/>
      <c r="AB772" s="118"/>
      <c r="AC772" s="118"/>
      <c r="AD772" s="111"/>
      <c r="AE772" s="122"/>
      <c r="AF772" s="122"/>
      <c r="AG772" s="122"/>
      <c r="AH772" s="122"/>
    </row>
    <row r="773" ht="22.5" customHeight="1">
      <c r="A773" s="73"/>
      <c r="B773" s="73"/>
      <c r="C773" s="73"/>
      <c r="D773" s="73"/>
      <c r="E773" s="330"/>
      <c r="F773" s="118"/>
      <c r="G773" s="118"/>
      <c r="H773" s="118"/>
      <c r="I773" s="118"/>
      <c r="J773" s="119"/>
      <c r="K773" s="120"/>
      <c r="L773" s="120"/>
      <c r="M773" s="120"/>
      <c r="N773" s="120"/>
      <c r="O773" s="118"/>
      <c r="P773" s="120"/>
      <c r="Q773" s="121"/>
      <c r="R773" s="109" t="b">
        <v>0</v>
      </c>
      <c r="S773" s="143"/>
      <c r="T773" s="110"/>
      <c r="U773" s="118"/>
      <c r="V773" s="118"/>
      <c r="W773" s="118"/>
      <c r="X773" s="118"/>
      <c r="Y773" s="118"/>
      <c r="Z773" s="118"/>
      <c r="AA773" s="118"/>
      <c r="AB773" s="118"/>
      <c r="AC773" s="118"/>
      <c r="AD773" s="111"/>
      <c r="AE773" s="122"/>
      <c r="AF773" s="122"/>
      <c r="AG773" s="122"/>
      <c r="AH773" s="122"/>
    </row>
    <row r="774" ht="22.5" customHeight="1">
      <c r="A774" s="73"/>
      <c r="B774" s="73"/>
      <c r="C774" s="73"/>
      <c r="D774" s="73"/>
      <c r="E774" s="330"/>
      <c r="F774" s="118"/>
      <c r="G774" s="118"/>
      <c r="H774" s="118"/>
      <c r="I774" s="118"/>
      <c r="J774" s="119"/>
      <c r="K774" s="120"/>
      <c r="L774" s="120"/>
      <c r="M774" s="120"/>
      <c r="N774" s="120"/>
      <c r="O774" s="118"/>
      <c r="P774" s="120"/>
      <c r="Q774" s="121"/>
      <c r="R774" s="109" t="b">
        <v>0</v>
      </c>
      <c r="S774" s="143"/>
      <c r="T774" s="110"/>
      <c r="U774" s="118"/>
      <c r="V774" s="118"/>
      <c r="W774" s="118"/>
      <c r="X774" s="118"/>
      <c r="Y774" s="118"/>
      <c r="Z774" s="118"/>
      <c r="AA774" s="118"/>
      <c r="AB774" s="118"/>
      <c r="AC774" s="118"/>
      <c r="AD774" s="111"/>
      <c r="AE774" s="122"/>
      <c r="AF774" s="122"/>
      <c r="AG774" s="122"/>
      <c r="AH774" s="122"/>
    </row>
    <row r="775" ht="22.5" customHeight="1">
      <c r="A775" s="73"/>
      <c r="B775" s="73"/>
      <c r="C775" s="73"/>
      <c r="D775" s="73"/>
      <c r="E775" s="330"/>
      <c r="F775" s="118"/>
      <c r="G775" s="118"/>
      <c r="H775" s="118"/>
      <c r="I775" s="118"/>
      <c r="J775" s="119"/>
      <c r="K775" s="120"/>
      <c r="L775" s="120"/>
      <c r="M775" s="120"/>
      <c r="N775" s="120"/>
      <c r="O775" s="118"/>
      <c r="P775" s="120"/>
      <c r="Q775" s="121"/>
      <c r="R775" s="109" t="b">
        <v>0</v>
      </c>
      <c r="S775" s="143"/>
      <c r="T775" s="110"/>
      <c r="U775" s="118"/>
      <c r="V775" s="118"/>
      <c r="W775" s="118"/>
      <c r="X775" s="118"/>
      <c r="Y775" s="118"/>
      <c r="Z775" s="118"/>
      <c r="AA775" s="118"/>
      <c r="AB775" s="118"/>
      <c r="AC775" s="118"/>
      <c r="AD775" s="111"/>
      <c r="AE775" s="122"/>
      <c r="AF775" s="122"/>
      <c r="AG775" s="122"/>
      <c r="AH775" s="122"/>
    </row>
    <row r="776" ht="22.5" customHeight="1">
      <c r="A776" s="73"/>
      <c r="B776" s="73"/>
      <c r="C776" s="73"/>
      <c r="D776" s="73"/>
      <c r="E776" s="330"/>
      <c r="F776" s="118"/>
      <c r="G776" s="118"/>
      <c r="H776" s="118"/>
      <c r="I776" s="118"/>
      <c r="J776" s="119"/>
      <c r="K776" s="120"/>
      <c r="L776" s="120"/>
      <c r="M776" s="120"/>
      <c r="N776" s="120"/>
      <c r="O776" s="118"/>
      <c r="P776" s="120"/>
      <c r="Q776" s="121"/>
      <c r="R776" s="109" t="b">
        <v>0</v>
      </c>
      <c r="S776" s="143"/>
      <c r="T776" s="110"/>
      <c r="U776" s="118"/>
      <c r="V776" s="118"/>
      <c r="W776" s="118"/>
      <c r="X776" s="118"/>
      <c r="Y776" s="118"/>
      <c r="Z776" s="118"/>
      <c r="AA776" s="118"/>
      <c r="AB776" s="118"/>
      <c r="AC776" s="118"/>
      <c r="AD776" s="111"/>
      <c r="AE776" s="122"/>
      <c r="AF776" s="122"/>
      <c r="AG776" s="122"/>
      <c r="AH776" s="122"/>
    </row>
    <row r="777" ht="22.5" customHeight="1">
      <c r="A777" s="73"/>
      <c r="B777" s="73"/>
      <c r="C777" s="73"/>
      <c r="D777" s="73"/>
      <c r="E777" s="330"/>
      <c r="F777" s="118"/>
      <c r="G777" s="118"/>
      <c r="H777" s="118"/>
      <c r="I777" s="118"/>
      <c r="J777" s="119"/>
      <c r="K777" s="120"/>
      <c r="L777" s="120"/>
      <c r="M777" s="120"/>
      <c r="N777" s="120"/>
      <c r="O777" s="118"/>
      <c r="P777" s="120"/>
      <c r="Q777" s="121"/>
      <c r="R777" s="109" t="b">
        <v>0</v>
      </c>
      <c r="S777" s="143"/>
      <c r="T777" s="110"/>
      <c r="U777" s="118"/>
      <c r="V777" s="118"/>
      <c r="W777" s="118"/>
      <c r="X777" s="118"/>
      <c r="Y777" s="118"/>
      <c r="Z777" s="118"/>
      <c r="AA777" s="118"/>
      <c r="AB777" s="118"/>
      <c r="AC777" s="118"/>
      <c r="AD777" s="111"/>
      <c r="AE777" s="122"/>
      <c r="AF777" s="122"/>
      <c r="AG777" s="122"/>
      <c r="AH777" s="122"/>
    </row>
    <row r="778" ht="22.5" customHeight="1">
      <c r="A778" s="73"/>
      <c r="B778" s="73"/>
      <c r="C778" s="73"/>
      <c r="D778" s="73"/>
      <c r="E778" s="330"/>
      <c r="F778" s="118"/>
      <c r="G778" s="118"/>
      <c r="H778" s="118"/>
      <c r="I778" s="118"/>
      <c r="J778" s="119"/>
      <c r="K778" s="120"/>
      <c r="L778" s="120"/>
      <c r="M778" s="120"/>
      <c r="N778" s="120"/>
      <c r="O778" s="118"/>
      <c r="P778" s="120"/>
      <c r="Q778" s="121"/>
      <c r="R778" s="109" t="b">
        <v>0</v>
      </c>
      <c r="S778" s="143"/>
      <c r="T778" s="110"/>
      <c r="U778" s="118"/>
      <c r="V778" s="118"/>
      <c r="W778" s="118"/>
      <c r="X778" s="118"/>
      <c r="Y778" s="118"/>
      <c r="Z778" s="118"/>
      <c r="AA778" s="118"/>
      <c r="AB778" s="118"/>
      <c r="AC778" s="118"/>
      <c r="AD778" s="111"/>
      <c r="AE778" s="122"/>
      <c r="AF778" s="122"/>
      <c r="AG778" s="122"/>
      <c r="AH778" s="122"/>
    </row>
    <row r="779" ht="22.5" customHeight="1">
      <c r="A779" s="73"/>
      <c r="B779" s="73"/>
      <c r="C779" s="73"/>
      <c r="D779" s="73"/>
      <c r="E779" s="330"/>
      <c r="F779" s="118"/>
      <c r="G779" s="118"/>
      <c r="H779" s="118"/>
      <c r="I779" s="118"/>
      <c r="J779" s="119"/>
      <c r="K779" s="120"/>
      <c r="L779" s="120"/>
      <c r="M779" s="120"/>
      <c r="N779" s="120"/>
      <c r="O779" s="118"/>
      <c r="P779" s="120"/>
      <c r="Q779" s="121"/>
      <c r="R779" s="109" t="b">
        <v>0</v>
      </c>
      <c r="S779" s="143"/>
      <c r="T779" s="110"/>
      <c r="U779" s="118"/>
      <c r="V779" s="118"/>
      <c r="W779" s="118"/>
      <c r="X779" s="118"/>
      <c r="Y779" s="118"/>
      <c r="Z779" s="118"/>
      <c r="AA779" s="118"/>
      <c r="AB779" s="118"/>
      <c r="AC779" s="118"/>
      <c r="AD779" s="111"/>
      <c r="AE779" s="122"/>
      <c r="AF779" s="122"/>
      <c r="AG779" s="122"/>
      <c r="AH779" s="122"/>
    </row>
    <row r="780" ht="22.5" customHeight="1">
      <c r="A780" s="73"/>
      <c r="B780" s="73"/>
      <c r="C780" s="73"/>
      <c r="D780" s="73"/>
      <c r="E780" s="330"/>
      <c r="F780" s="118"/>
      <c r="G780" s="118"/>
      <c r="H780" s="118"/>
      <c r="I780" s="118"/>
      <c r="J780" s="119"/>
      <c r="K780" s="120"/>
      <c r="L780" s="120"/>
      <c r="M780" s="120"/>
      <c r="N780" s="120"/>
      <c r="O780" s="118"/>
      <c r="P780" s="120"/>
      <c r="Q780" s="121"/>
      <c r="R780" s="109" t="b">
        <v>0</v>
      </c>
      <c r="S780" s="143"/>
      <c r="T780" s="110"/>
      <c r="U780" s="118"/>
      <c r="V780" s="118"/>
      <c r="W780" s="118"/>
      <c r="X780" s="118"/>
      <c r="Y780" s="118"/>
      <c r="Z780" s="118"/>
      <c r="AA780" s="118"/>
      <c r="AB780" s="118"/>
      <c r="AC780" s="118"/>
      <c r="AD780" s="111"/>
      <c r="AE780" s="122"/>
      <c r="AF780" s="122"/>
      <c r="AG780" s="122"/>
      <c r="AH780" s="122"/>
    </row>
    <row r="781" ht="22.5" customHeight="1">
      <c r="A781" s="73"/>
      <c r="B781" s="73"/>
      <c r="C781" s="73"/>
      <c r="D781" s="73"/>
      <c r="E781" s="330"/>
      <c r="F781" s="118"/>
      <c r="G781" s="118"/>
      <c r="H781" s="118"/>
      <c r="I781" s="118"/>
      <c r="J781" s="119"/>
      <c r="K781" s="120"/>
      <c r="L781" s="120"/>
      <c r="M781" s="120"/>
      <c r="N781" s="120"/>
      <c r="O781" s="118"/>
      <c r="P781" s="120"/>
      <c r="Q781" s="121"/>
      <c r="R781" s="109" t="b">
        <v>0</v>
      </c>
      <c r="S781" s="143"/>
      <c r="T781" s="110"/>
      <c r="U781" s="118"/>
      <c r="V781" s="118"/>
      <c r="W781" s="118"/>
      <c r="X781" s="118"/>
      <c r="Y781" s="118"/>
      <c r="Z781" s="118"/>
      <c r="AA781" s="118"/>
      <c r="AB781" s="118"/>
      <c r="AC781" s="118"/>
      <c r="AD781" s="111"/>
      <c r="AE781" s="122"/>
      <c r="AF781" s="122"/>
      <c r="AG781" s="122"/>
      <c r="AH781" s="122"/>
    </row>
    <row r="782" ht="22.5" customHeight="1">
      <c r="A782" s="73"/>
      <c r="B782" s="73"/>
      <c r="C782" s="73"/>
      <c r="D782" s="73"/>
      <c r="E782" s="330"/>
      <c r="F782" s="118"/>
      <c r="G782" s="118"/>
      <c r="H782" s="118"/>
      <c r="I782" s="118"/>
      <c r="J782" s="119"/>
      <c r="K782" s="120"/>
      <c r="L782" s="120"/>
      <c r="M782" s="120"/>
      <c r="N782" s="120"/>
      <c r="O782" s="118"/>
      <c r="P782" s="120"/>
      <c r="Q782" s="121"/>
      <c r="R782" s="109" t="b">
        <v>0</v>
      </c>
      <c r="S782" s="143"/>
      <c r="T782" s="110"/>
      <c r="U782" s="118"/>
      <c r="V782" s="118"/>
      <c r="W782" s="118"/>
      <c r="X782" s="118"/>
      <c r="Y782" s="118"/>
      <c r="Z782" s="118"/>
      <c r="AA782" s="118"/>
      <c r="AB782" s="118"/>
      <c r="AC782" s="118"/>
      <c r="AD782" s="111"/>
      <c r="AE782" s="122"/>
      <c r="AF782" s="122"/>
      <c r="AG782" s="122"/>
      <c r="AH782" s="122"/>
    </row>
    <row r="783" ht="22.5" customHeight="1">
      <c r="A783" s="73"/>
      <c r="B783" s="73"/>
      <c r="C783" s="73"/>
      <c r="D783" s="73"/>
      <c r="E783" s="330"/>
      <c r="F783" s="118"/>
      <c r="G783" s="118"/>
      <c r="H783" s="118"/>
      <c r="I783" s="118"/>
      <c r="J783" s="119"/>
      <c r="K783" s="120"/>
      <c r="L783" s="120"/>
      <c r="M783" s="120"/>
      <c r="N783" s="120"/>
      <c r="O783" s="118"/>
      <c r="P783" s="120"/>
      <c r="Q783" s="121"/>
      <c r="R783" s="109" t="b">
        <v>0</v>
      </c>
      <c r="S783" s="143"/>
      <c r="T783" s="110"/>
      <c r="U783" s="118"/>
      <c r="V783" s="118"/>
      <c r="W783" s="118"/>
      <c r="X783" s="118"/>
      <c r="Y783" s="118"/>
      <c r="Z783" s="118"/>
      <c r="AA783" s="118"/>
      <c r="AB783" s="118"/>
      <c r="AC783" s="118"/>
      <c r="AD783" s="111"/>
      <c r="AE783" s="122"/>
      <c r="AF783" s="122"/>
      <c r="AG783" s="122"/>
      <c r="AH783" s="122"/>
    </row>
    <row r="784" ht="22.5" customHeight="1">
      <c r="A784" s="73"/>
      <c r="B784" s="73"/>
      <c r="C784" s="73"/>
      <c r="D784" s="73"/>
      <c r="E784" s="330"/>
      <c r="F784" s="118"/>
      <c r="G784" s="118"/>
      <c r="H784" s="118"/>
      <c r="I784" s="118"/>
      <c r="J784" s="119"/>
      <c r="K784" s="120"/>
      <c r="L784" s="120"/>
      <c r="M784" s="120"/>
      <c r="N784" s="120"/>
      <c r="O784" s="118"/>
      <c r="P784" s="120"/>
      <c r="Q784" s="121"/>
      <c r="R784" s="109" t="b">
        <v>0</v>
      </c>
      <c r="S784" s="143"/>
      <c r="T784" s="110"/>
      <c r="U784" s="118"/>
      <c r="V784" s="118"/>
      <c r="W784" s="118"/>
      <c r="X784" s="118"/>
      <c r="Y784" s="118"/>
      <c r="Z784" s="118"/>
      <c r="AA784" s="118"/>
      <c r="AB784" s="118"/>
      <c r="AC784" s="118"/>
      <c r="AD784" s="111"/>
      <c r="AE784" s="122"/>
      <c r="AF784" s="122"/>
      <c r="AG784" s="122"/>
      <c r="AH784" s="122"/>
    </row>
    <row r="785" ht="22.5" customHeight="1">
      <c r="A785" s="73"/>
      <c r="B785" s="73"/>
      <c r="C785" s="73"/>
      <c r="D785" s="73"/>
      <c r="E785" s="330"/>
      <c r="F785" s="118"/>
      <c r="G785" s="118"/>
      <c r="H785" s="118"/>
      <c r="I785" s="118"/>
      <c r="J785" s="119"/>
      <c r="K785" s="120"/>
      <c r="L785" s="120"/>
      <c r="M785" s="120"/>
      <c r="N785" s="120"/>
      <c r="O785" s="118"/>
      <c r="P785" s="120"/>
      <c r="Q785" s="121"/>
      <c r="R785" s="109" t="b">
        <v>0</v>
      </c>
      <c r="S785" s="143"/>
      <c r="T785" s="110"/>
      <c r="U785" s="118"/>
      <c r="V785" s="118"/>
      <c r="W785" s="118"/>
      <c r="X785" s="118"/>
      <c r="Y785" s="118"/>
      <c r="Z785" s="118"/>
      <c r="AA785" s="118"/>
      <c r="AB785" s="118"/>
      <c r="AC785" s="118"/>
      <c r="AD785" s="111"/>
      <c r="AE785" s="122"/>
      <c r="AF785" s="122"/>
      <c r="AG785" s="122"/>
      <c r="AH785" s="122"/>
    </row>
    <row r="786" ht="22.5" customHeight="1">
      <c r="A786" s="73"/>
      <c r="B786" s="73"/>
      <c r="C786" s="73"/>
      <c r="D786" s="73"/>
      <c r="E786" s="330"/>
      <c r="F786" s="118"/>
      <c r="G786" s="118"/>
      <c r="H786" s="118"/>
      <c r="I786" s="118"/>
      <c r="J786" s="119"/>
      <c r="K786" s="120"/>
      <c r="L786" s="120"/>
      <c r="M786" s="120"/>
      <c r="N786" s="120"/>
      <c r="O786" s="118"/>
      <c r="P786" s="120"/>
      <c r="Q786" s="121"/>
      <c r="R786" s="109" t="b">
        <v>0</v>
      </c>
      <c r="S786" s="143"/>
      <c r="T786" s="110"/>
      <c r="U786" s="118"/>
      <c r="V786" s="118"/>
      <c r="W786" s="118"/>
      <c r="X786" s="118"/>
      <c r="Y786" s="118"/>
      <c r="Z786" s="118"/>
      <c r="AA786" s="118"/>
      <c r="AB786" s="118"/>
      <c r="AC786" s="118"/>
      <c r="AD786" s="111"/>
      <c r="AE786" s="122"/>
      <c r="AF786" s="122"/>
      <c r="AG786" s="122"/>
      <c r="AH786" s="122"/>
    </row>
    <row r="787" ht="22.5" customHeight="1">
      <c r="A787" s="73"/>
      <c r="B787" s="73"/>
      <c r="C787" s="73"/>
      <c r="D787" s="73"/>
      <c r="E787" s="330"/>
      <c r="F787" s="118"/>
      <c r="G787" s="118"/>
      <c r="H787" s="118"/>
      <c r="I787" s="118"/>
      <c r="J787" s="119"/>
      <c r="K787" s="120"/>
      <c r="L787" s="120"/>
      <c r="M787" s="120"/>
      <c r="N787" s="120"/>
      <c r="O787" s="118"/>
      <c r="P787" s="120"/>
      <c r="Q787" s="121"/>
      <c r="R787" s="109" t="b">
        <v>0</v>
      </c>
      <c r="S787" s="143"/>
      <c r="T787" s="110"/>
      <c r="U787" s="118"/>
      <c r="V787" s="118"/>
      <c r="W787" s="118"/>
      <c r="X787" s="118"/>
      <c r="Y787" s="118"/>
      <c r="Z787" s="118"/>
      <c r="AA787" s="118"/>
      <c r="AB787" s="118"/>
      <c r="AC787" s="118"/>
      <c r="AD787" s="111"/>
      <c r="AE787" s="122"/>
      <c r="AF787" s="122"/>
      <c r="AG787" s="122"/>
      <c r="AH787" s="122"/>
    </row>
    <row r="788" ht="22.5" customHeight="1">
      <c r="A788" s="73"/>
      <c r="B788" s="73"/>
      <c r="C788" s="73"/>
      <c r="D788" s="73"/>
      <c r="E788" s="330"/>
      <c r="F788" s="118"/>
      <c r="G788" s="118"/>
      <c r="H788" s="118"/>
      <c r="I788" s="118"/>
      <c r="J788" s="119"/>
      <c r="K788" s="120"/>
      <c r="L788" s="120"/>
      <c r="M788" s="120"/>
      <c r="N788" s="120"/>
      <c r="O788" s="118"/>
      <c r="P788" s="120"/>
      <c r="Q788" s="121"/>
      <c r="R788" s="109" t="b">
        <v>0</v>
      </c>
      <c r="S788" s="143"/>
      <c r="T788" s="110"/>
      <c r="U788" s="118"/>
      <c r="V788" s="118"/>
      <c r="W788" s="118"/>
      <c r="X788" s="118"/>
      <c r="Y788" s="118"/>
      <c r="Z788" s="118"/>
      <c r="AA788" s="118"/>
      <c r="AB788" s="118"/>
      <c r="AC788" s="118"/>
      <c r="AD788" s="111"/>
      <c r="AE788" s="122"/>
      <c r="AF788" s="122"/>
      <c r="AG788" s="122"/>
      <c r="AH788" s="122"/>
    </row>
    <row r="789" ht="22.5" customHeight="1">
      <c r="A789" s="73"/>
      <c r="B789" s="73"/>
      <c r="C789" s="73"/>
      <c r="D789" s="73"/>
      <c r="E789" s="330"/>
      <c r="F789" s="118"/>
      <c r="G789" s="118"/>
      <c r="H789" s="118"/>
      <c r="I789" s="118"/>
      <c r="J789" s="119"/>
      <c r="K789" s="120"/>
      <c r="L789" s="120"/>
      <c r="M789" s="120"/>
      <c r="N789" s="120"/>
      <c r="O789" s="118"/>
      <c r="P789" s="120"/>
      <c r="Q789" s="121"/>
      <c r="R789" s="109" t="b">
        <v>0</v>
      </c>
      <c r="S789" s="143"/>
      <c r="T789" s="110"/>
      <c r="U789" s="118"/>
      <c r="V789" s="118"/>
      <c r="W789" s="118"/>
      <c r="X789" s="118"/>
      <c r="Y789" s="118"/>
      <c r="Z789" s="118"/>
      <c r="AA789" s="118"/>
      <c r="AB789" s="118"/>
      <c r="AC789" s="118"/>
      <c r="AD789" s="111"/>
      <c r="AE789" s="122"/>
      <c r="AF789" s="122"/>
      <c r="AG789" s="122"/>
      <c r="AH789" s="122"/>
    </row>
    <row r="790" ht="22.5" customHeight="1">
      <c r="A790" s="73"/>
      <c r="B790" s="73"/>
      <c r="C790" s="73"/>
      <c r="D790" s="73"/>
      <c r="E790" s="330"/>
      <c r="F790" s="118"/>
      <c r="G790" s="118"/>
      <c r="H790" s="118"/>
      <c r="I790" s="118"/>
      <c r="J790" s="119"/>
      <c r="K790" s="120"/>
      <c r="L790" s="120"/>
      <c r="M790" s="120"/>
      <c r="N790" s="120"/>
      <c r="O790" s="118"/>
      <c r="P790" s="120"/>
      <c r="Q790" s="121"/>
      <c r="R790" s="109" t="b">
        <v>0</v>
      </c>
      <c r="S790" s="143"/>
      <c r="T790" s="110"/>
      <c r="U790" s="118"/>
      <c r="V790" s="118"/>
      <c r="W790" s="118"/>
      <c r="X790" s="118"/>
      <c r="Y790" s="118"/>
      <c r="Z790" s="118"/>
      <c r="AA790" s="118"/>
      <c r="AB790" s="118"/>
      <c r="AC790" s="118"/>
      <c r="AD790" s="111"/>
      <c r="AE790" s="122"/>
      <c r="AF790" s="122"/>
      <c r="AG790" s="122"/>
      <c r="AH790" s="122"/>
    </row>
    <row r="791" ht="22.5" customHeight="1">
      <c r="A791" s="73"/>
      <c r="B791" s="73"/>
      <c r="C791" s="73"/>
      <c r="D791" s="73"/>
      <c r="E791" s="330"/>
      <c r="F791" s="118"/>
      <c r="G791" s="118"/>
      <c r="H791" s="118"/>
      <c r="I791" s="118"/>
      <c r="J791" s="119"/>
      <c r="K791" s="120"/>
      <c r="L791" s="120"/>
      <c r="M791" s="120"/>
      <c r="N791" s="120"/>
      <c r="O791" s="118"/>
      <c r="P791" s="120"/>
      <c r="Q791" s="121"/>
      <c r="R791" s="109" t="b">
        <v>0</v>
      </c>
      <c r="S791" s="143"/>
      <c r="T791" s="110"/>
      <c r="U791" s="118"/>
      <c r="V791" s="118"/>
      <c r="W791" s="118"/>
      <c r="X791" s="118"/>
      <c r="Y791" s="118"/>
      <c r="Z791" s="118"/>
      <c r="AA791" s="118"/>
      <c r="AB791" s="118"/>
      <c r="AC791" s="118"/>
      <c r="AD791" s="111"/>
      <c r="AE791" s="122"/>
      <c r="AF791" s="122"/>
      <c r="AG791" s="122"/>
      <c r="AH791" s="122"/>
    </row>
    <row r="792" ht="22.5" customHeight="1">
      <c r="A792" s="73"/>
      <c r="B792" s="73"/>
      <c r="C792" s="73"/>
      <c r="D792" s="73"/>
      <c r="E792" s="330"/>
      <c r="F792" s="118"/>
      <c r="G792" s="118"/>
      <c r="H792" s="118"/>
      <c r="I792" s="118"/>
      <c r="J792" s="119"/>
      <c r="K792" s="120"/>
      <c r="L792" s="120"/>
      <c r="M792" s="120"/>
      <c r="N792" s="120"/>
      <c r="O792" s="118"/>
      <c r="P792" s="120"/>
      <c r="Q792" s="121"/>
      <c r="R792" s="109" t="b">
        <v>0</v>
      </c>
      <c r="S792" s="143"/>
      <c r="T792" s="110"/>
      <c r="U792" s="118"/>
      <c r="V792" s="118"/>
      <c r="W792" s="118"/>
      <c r="X792" s="118"/>
      <c r="Y792" s="118"/>
      <c r="Z792" s="118"/>
      <c r="AA792" s="118"/>
      <c r="AB792" s="118"/>
      <c r="AC792" s="118"/>
      <c r="AD792" s="111"/>
      <c r="AE792" s="122"/>
      <c r="AF792" s="122"/>
      <c r="AG792" s="122"/>
      <c r="AH792" s="122"/>
    </row>
    <row r="793" ht="22.5" customHeight="1">
      <c r="A793" s="73"/>
      <c r="B793" s="73"/>
      <c r="C793" s="73"/>
      <c r="D793" s="73"/>
      <c r="E793" s="330"/>
      <c r="F793" s="118"/>
      <c r="G793" s="118"/>
      <c r="H793" s="118"/>
      <c r="I793" s="118"/>
      <c r="J793" s="119"/>
      <c r="K793" s="120"/>
      <c r="L793" s="120"/>
      <c r="M793" s="120"/>
      <c r="N793" s="120"/>
      <c r="O793" s="118"/>
      <c r="P793" s="120"/>
      <c r="Q793" s="121"/>
      <c r="R793" s="109" t="b">
        <v>0</v>
      </c>
      <c r="S793" s="143"/>
      <c r="T793" s="110"/>
      <c r="U793" s="118"/>
      <c r="V793" s="118"/>
      <c r="W793" s="118"/>
      <c r="X793" s="118"/>
      <c r="Y793" s="118"/>
      <c r="Z793" s="118"/>
      <c r="AA793" s="118"/>
      <c r="AB793" s="118"/>
      <c r="AC793" s="118"/>
      <c r="AD793" s="111"/>
      <c r="AE793" s="122"/>
      <c r="AF793" s="122"/>
      <c r="AG793" s="122"/>
      <c r="AH793" s="122"/>
    </row>
    <row r="794" ht="22.5" customHeight="1">
      <c r="A794" s="73"/>
      <c r="B794" s="73"/>
      <c r="C794" s="73"/>
      <c r="D794" s="73"/>
      <c r="E794" s="330"/>
      <c r="F794" s="118"/>
      <c r="G794" s="118"/>
      <c r="H794" s="118"/>
      <c r="I794" s="118"/>
      <c r="J794" s="119"/>
      <c r="K794" s="120"/>
      <c r="L794" s="120"/>
      <c r="M794" s="120"/>
      <c r="N794" s="120"/>
      <c r="O794" s="118"/>
      <c r="P794" s="120"/>
      <c r="Q794" s="121"/>
      <c r="R794" s="109" t="b">
        <v>0</v>
      </c>
      <c r="S794" s="143"/>
      <c r="T794" s="110"/>
      <c r="U794" s="118"/>
      <c r="V794" s="118"/>
      <c r="W794" s="118"/>
      <c r="X794" s="118"/>
      <c r="Y794" s="118"/>
      <c r="Z794" s="118"/>
      <c r="AA794" s="118"/>
      <c r="AB794" s="118"/>
      <c r="AC794" s="118"/>
      <c r="AD794" s="111"/>
      <c r="AE794" s="122"/>
      <c r="AF794" s="122"/>
      <c r="AG794" s="122"/>
      <c r="AH794" s="122"/>
    </row>
    <row r="795" ht="22.5" customHeight="1">
      <c r="A795" s="73"/>
      <c r="B795" s="73"/>
      <c r="C795" s="73"/>
      <c r="D795" s="73"/>
      <c r="E795" s="330"/>
      <c r="F795" s="118"/>
      <c r="G795" s="118"/>
      <c r="H795" s="118"/>
      <c r="I795" s="118"/>
      <c r="J795" s="119"/>
      <c r="K795" s="120"/>
      <c r="L795" s="120"/>
      <c r="M795" s="120"/>
      <c r="N795" s="120"/>
      <c r="O795" s="118"/>
      <c r="P795" s="120"/>
      <c r="Q795" s="121"/>
      <c r="R795" s="109" t="b">
        <v>0</v>
      </c>
      <c r="S795" s="143"/>
      <c r="T795" s="110"/>
      <c r="U795" s="118"/>
      <c r="V795" s="118"/>
      <c r="W795" s="118"/>
      <c r="X795" s="118"/>
      <c r="Y795" s="118"/>
      <c r="Z795" s="118"/>
      <c r="AA795" s="118"/>
      <c r="AB795" s="118"/>
      <c r="AC795" s="118"/>
      <c r="AD795" s="111"/>
      <c r="AE795" s="122"/>
      <c r="AF795" s="122"/>
      <c r="AG795" s="122"/>
      <c r="AH795" s="122"/>
    </row>
    <row r="796" ht="22.5" customHeight="1">
      <c r="A796" s="73"/>
      <c r="B796" s="73"/>
      <c r="C796" s="73"/>
      <c r="D796" s="73"/>
      <c r="E796" s="330"/>
      <c r="F796" s="118"/>
      <c r="G796" s="118"/>
      <c r="H796" s="118"/>
      <c r="I796" s="118"/>
      <c r="J796" s="119"/>
      <c r="K796" s="120"/>
      <c r="L796" s="120"/>
      <c r="M796" s="120"/>
      <c r="N796" s="120"/>
      <c r="O796" s="118"/>
      <c r="P796" s="120"/>
      <c r="Q796" s="121"/>
      <c r="R796" s="109" t="b">
        <v>0</v>
      </c>
      <c r="S796" s="143"/>
      <c r="T796" s="110"/>
      <c r="U796" s="118"/>
      <c r="V796" s="118"/>
      <c r="W796" s="118"/>
      <c r="X796" s="118"/>
      <c r="Y796" s="118"/>
      <c r="Z796" s="118"/>
      <c r="AA796" s="118"/>
      <c r="AB796" s="118"/>
      <c r="AC796" s="118"/>
      <c r="AD796" s="111"/>
      <c r="AE796" s="122"/>
      <c r="AF796" s="122"/>
      <c r="AG796" s="122"/>
      <c r="AH796" s="122"/>
    </row>
    <row r="797" ht="22.5" customHeight="1">
      <c r="A797" s="73"/>
      <c r="B797" s="73"/>
      <c r="C797" s="73"/>
      <c r="D797" s="73"/>
      <c r="E797" s="330"/>
      <c r="F797" s="118"/>
      <c r="G797" s="118"/>
      <c r="H797" s="118"/>
      <c r="I797" s="118"/>
      <c r="J797" s="119"/>
      <c r="K797" s="120"/>
      <c r="L797" s="120"/>
      <c r="M797" s="120"/>
      <c r="N797" s="120"/>
      <c r="O797" s="118"/>
      <c r="P797" s="120"/>
      <c r="Q797" s="121"/>
      <c r="R797" s="109" t="b">
        <v>0</v>
      </c>
      <c r="S797" s="143"/>
      <c r="T797" s="110"/>
      <c r="U797" s="118"/>
      <c r="V797" s="118"/>
      <c r="W797" s="118"/>
      <c r="X797" s="118"/>
      <c r="Y797" s="118"/>
      <c r="Z797" s="118"/>
      <c r="AA797" s="118"/>
      <c r="AB797" s="118"/>
      <c r="AC797" s="118"/>
      <c r="AD797" s="111"/>
      <c r="AE797" s="122"/>
      <c r="AF797" s="122"/>
      <c r="AG797" s="122"/>
      <c r="AH797" s="122"/>
    </row>
    <row r="798" ht="22.5" customHeight="1">
      <c r="A798" s="73"/>
      <c r="B798" s="73"/>
      <c r="C798" s="73"/>
      <c r="D798" s="73"/>
      <c r="E798" s="330"/>
      <c r="F798" s="118"/>
      <c r="G798" s="118"/>
      <c r="H798" s="118"/>
      <c r="I798" s="118"/>
      <c r="J798" s="119"/>
      <c r="K798" s="120"/>
      <c r="L798" s="120"/>
      <c r="M798" s="120"/>
      <c r="N798" s="120"/>
      <c r="O798" s="118"/>
      <c r="P798" s="120"/>
      <c r="Q798" s="121"/>
      <c r="R798" s="109" t="b">
        <v>0</v>
      </c>
      <c r="S798" s="143"/>
      <c r="T798" s="110"/>
      <c r="U798" s="118"/>
      <c r="V798" s="118"/>
      <c r="W798" s="118"/>
      <c r="X798" s="118"/>
      <c r="Y798" s="118"/>
      <c r="Z798" s="118"/>
      <c r="AA798" s="118"/>
      <c r="AB798" s="118"/>
      <c r="AC798" s="118"/>
      <c r="AD798" s="111"/>
      <c r="AE798" s="122"/>
      <c r="AF798" s="122"/>
      <c r="AG798" s="122"/>
      <c r="AH798" s="122"/>
    </row>
    <row r="799" ht="22.5" customHeight="1">
      <c r="A799" s="73"/>
      <c r="B799" s="73"/>
      <c r="C799" s="73"/>
      <c r="D799" s="73"/>
      <c r="E799" s="330"/>
      <c r="F799" s="118"/>
      <c r="G799" s="118"/>
      <c r="H799" s="118"/>
      <c r="I799" s="118"/>
      <c r="J799" s="119"/>
      <c r="K799" s="120"/>
      <c r="L799" s="120"/>
      <c r="M799" s="120"/>
      <c r="N799" s="120"/>
      <c r="O799" s="118"/>
      <c r="P799" s="120"/>
      <c r="Q799" s="121"/>
      <c r="R799" s="109" t="b">
        <v>0</v>
      </c>
      <c r="S799" s="143"/>
      <c r="T799" s="110"/>
      <c r="U799" s="118"/>
      <c r="V799" s="118"/>
      <c r="W799" s="118"/>
      <c r="X799" s="118"/>
      <c r="Y799" s="118"/>
      <c r="Z799" s="118"/>
      <c r="AA799" s="118"/>
      <c r="AB799" s="118"/>
      <c r="AC799" s="118"/>
      <c r="AD799" s="111"/>
      <c r="AE799" s="122"/>
      <c r="AF799" s="122"/>
      <c r="AG799" s="122"/>
      <c r="AH799" s="122"/>
    </row>
    <row r="800" ht="22.5" customHeight="1">
      <c r="A800" s="73"/>
      <c r="B800" s="73"/>
      <c r="C800" s="73"/>
      <c r="D800" s="73"/>
      <c r="E800" s="330"/>
      <c r="F800" s="118"/>
      <c r="G800" s="118"/>
      <c r="H800" s="118"/>
      <c r="I800" s="118"/>
      <c r="J800" s="119"/>
      <c r="K800" s="120"/>
      <c r="L800" s="120"/>
      <c r="M800" s="120"/>
      <c r="N800" s="120"/>
      <c r="O800" s="118"/>
      <c r="P800" s="120"/>
      <c r="Q800" s="121"/>
      <c r="R800" s="109" t="b">
        <v>0</v>
      </c>
      <c r="S800" s="143"/>
      <c r="T800" s="110"/>
      <c r="U800" s="118"/>
      <c r="V800" s="118"/>
      <c r="W800" s="118"/>
      <c r="X800" s="118"/>
      <c r="Y800" s="118"/>
      <c r="Z800" s="118"/>
      <c r="AA800" s="118"/>
      <c r="AB800" s="118"/>
      <c r="AC800" s="118"/>
      <c r="AD800" s="111"/>
      <c r="AE800" s="122"/>
      <c r="AF800" s="122"/>
      <c r="AG800" s="122"/>
      <c r="AH800" s="122"/>
    </row>
    <row r="801" ht="22.5" customHeight="1">
      <c r="A801" s="73"/>
      <c r="B801" s="73"/>
      <c r="C801" s="73"/>
      <c r="D801" s="73"/>
      <c r="E801" s="330"/>
      <c r="F801" s="118"/>
      <c r="G801" s="118"/>
      <c r="H801" s="118"/>
      <c r="I801" s="118"/>
      <c r="J801" s="119"/>
      <c r="K801" s="120"/>
      <c r="L801" s="120"/>
      <c r="M801" s="120"/>
      <c r="N801" s="120"/>
      <c r="O801" s="118"/>
      <c r="P801" s="120"/>
      <c r="Q801" s="121"/>
      <c r="R801" s="109" t="b">
        <v>0</v>
      </c>
      <c r="S801" s="143"/>
      <c r="T801" s="110"/>
      <c r="U801" s="118"/>
      <c r="V801" s="118"/>
      <c r="W801" s="118"/>
      <c r="X801" s="118"/>
      <c r="Y801" s="118"/>
      <c r="Z801" s="118"/>
      <c r="AA801" s="118"/>
      <c r="AB801" s="118"/>
      <c r="AC801" s="118"/>
      <c r="AD801" s="111"/>
      <c r="AE801" s="122"/>
      <c r="AF801" s="122"/>
      <c r="AG801" s="122"/>
      <c r="AH801" s="122"/>
    </row>
    <row r="802" ht="22.5" customHeight="1">
      <c r="A802" s="73"/>
      <c r="B802" s="73"/>
      <c r="C802" s="73"/>
      <c r="D802" s="73"/>
      <c r="E802" s="330"/>
      <c r="F802" s="118"/>
      <c r="G802" s="118"/>
      <c r="H802" s="118"/>
      <c r="I802" s="118"/>
      <c r="J802" s="119"/>
      <c r="K802" s="120"/>
      <c r="L802" s="120"/>
      <c r="M802" s="120"/>
      <c r="N802" s="120"/>
      <c r="O802" s="118"/>
      <c r="P802" s="120"/>
      <c r="Q802" s="121"/>
      <c r="R802" s="109" t="b">
        <v>0</v>
      </c>
      <c r="S802" s="143"/>
      <c r="T802" s="110"/>
      <c r="U802" s="118"/>
      <c r="V802" s="118"/>
      <c r="W802" s="118"/>
      <c r="X802" s="118"/>
      <c r="Y802" s="118"/>
      <c r="Z802" s="118"/>
      <c r="AA802" s="118"/>
      <c r="AB802" s="118"/>
      <c r="AC802" s="118"/>
      <c r="AD802" s="111"/>
      <c r="AE802" s="122"/>
      <c r="AF802" s="122"/>
      <c r="AG802" s="122"/>
      <c r="AH802" s="122"/>
    </row>
    <row r="803" ht="22.5" customHeight="1">
      <c r="A803" s="73"/>
      <c r="B803" s="73"/>
      <c r="C803" s="73"/>
      <c r="D803" s="73"/>
      <c r="E803" s="330"/>
      <c r="F803" s="118"/>
      <c r="G803" s="118"/>
      <c r="H803" s="118"/>
      <c r="I803" s="118"/>
      <c r="J803" s="119"/>
      <c r="K803" s="120"/>
      <c r="L803" s="120"/>
      <c r="M803" s="120"/>
      <c r="N803" s="120"/>
      <c r="O803" s="118"/>
      <c r="P803" s="120"/>
      <c r="Q803" s="121"/>
      <c r="R803" s="109" t="b">
        <v>0</v>
      </c>
      <c r="S803" s="143"/>
      <c r="T803" s="110"/>
      <c r="U803" s="118"/>
      <c r="V803" s="118"/>
      <c r="W803" s="118"/>
      <c r="X803" s="118"/>
      <c r="Y803" s="118"/>
      <c r="Z803" s="118"/>
      <c r="AA803" s="118"/>
      <c r="AB803" s="118"/>
      <c r="AC803" s="118"/>
      <c r="AD803" s="111"/>
      <c r="AE803" s="122"/>
      <c r="AF803" s="122"/>
      <c r="AG803" s="122"/>
      <c r="AH803" s="122"/>
    </row>
    <row r="804" ht="22.5" customHeight="1">
      <c r="A804" s="73"/>
      <c r="B804" s="73"/>
      <c r="C804" s="73"/>
      <c r="D804" s="73"/>
      <c r="E804" s="330"/>
      <c r="F804" s="118"/>
      <c r="G804" s="118"/>
      <c r="H804" s="118"/>
      <c r="I804" s="118"/>
      <c r="J804" s="119"/>
      <c r="K804" s="120"/>
      <c r="L804" s="120"/>
      <c r="M804" s="120"/>
      <c r="N804" s="120"/>
      <c r="O804" s="118"/>
      <c r="P804" s="120"/>
      <c r="Q804" s="121"/>
      <c r="R804" s="109" t="b">
        <v>0</v>
      </c>
      <c r="S804" s="143"/>
      <c r="T804" s="110"/>
      <c r="U804" s="118"/>
      <c r="V804" s="118"/>
      <c r="W804" s="118"/>
      <c r="X804" s="118"/>
      <c r="Y804" s="118"/>
      <c r="Z804" s="118"/>
      <c r="AA804" s="118"/>
      <c r="AB804" s="118"/>
      <c r="AC804" s="118"/>
      <c r="AD804" s="111"/>
      <c r="AE804" s="122"/>
      <c r="AF804" s="122"/>
      <c r="AG804" s="122"/>
      <c r="AH804" s="122"/>
    </row>
    <row r="805" ht="22.5" customHeight="1">
      <c r="A805" s="73"/>
      <c r="B805" s="73"/>
      <c r="C805" s="73"/>
      <c r="D805" s="73"/>
      <c r="E805" s="330"/>
      <c r="F805" s="118"/>
      <c r="G805" s="118"/>
      <c r="H805" s="118"/>
      <c r="I805" s="118"/>
      <c r="J805" s="119"/>
      <c r="K805" s="120"/>
      <c r="L805" s="120"/>
      <c r="M805" s="120"/>
      <c r="N805" s="120"/>
      <c r="O805" s="118"/>
      <c r="P805" s="120"/>
      <c r="Q805" s="121"/>
      <c r="R805" s="109" t="b">
        <v>0</v>
      </c>
      <c r="S805" s="143"/>
      <c r="T805" s="110"/>
      <c r="U805" s="118"/>
      <c r="V805" s="118"/>
      <c r="W805" s="118"/>
      <c r="X805" s="118"/>
      <c r="Y805" s="118"/>
      <c r="Z805" s="118"/>
      <c r="AA805" s="118"/>
      <c r="AB805" s="118"/>
      <c r="AC805" s="118"/>
      <c r="AD805" s="111"/>
      <c r="AE805" s="122"/>
      <c r="AF805" s="122"/>
      <c r="AG805" s="122"/>
      <c r="AH805" s="122"/>
    </row>
    <row r="806" ht="22.5" customHeight="1">
      <c r="A806" s="73"/>
      <c r="B806" s="73"/>
      <c r="C806" s="73"/>
      <c r="D806" s="73"/>
      <c r="E806" s="330"/>
      <c r="F806" s="118"/>
      <c r="G806" s="118"/>
      <c r="H806" s="118"/>
      <c r="I806" s="118"/>
      <c r="J806" s="119"/>
      <c r="K806" s="120"/>
      <c r="L806" s="120"/>
      <c r="M806" s="120"/>
      <c r="N806" s="120"/>
      <c r="O806" s="118"/>
      <c r="P806" s="120"/>
      <c r="Q806" s="121"/>
      <c r="R806" s="109" t="b">
        <v>0</v>
      </c>
      <c r="S806" s="143"/>
      <c r="T806" s="110"/>
      <c r="U806" s="118"/>
      <c r="V806" s="118"/>
      <c r="W806" s="118"/>
      <c r="X806" s="118"/>
      <c r="Y806" s="118"/>
      <c r="Z806" s="118"/>
      <c r="AA806" s="118"/>
      <c r="AB806" s="118"/>
      <c r="AC806" s="118"/>
      <c r="AD806" s="111"/>
      <c r="AE806" s="122"/>
      <c r="AF806" s="122"/>
      <c r="AG806" s="122"/>
      <c r="AH806" s="122"/>
    </row>
    <row r="807" ht="22.5" customHeight="1">
      <c r="A807" s="73"/>
      <c r="B807" s="73"/>
      <c r="C807" s="73"/>
      <c r="D807" s="73"/>
      <c r="E807" s="330"/>
      <c r="F807" s="118"/>
      <c r="G807" s="118"/>
      <c r="H807" s="118"/>
      <c r="I807" s="118"/>
      <c r="J807" s="119"/>
      <c r="K807" s="120"/>
      <c r="L807" s="120"/>
      <c r="M807" s="120"/>
      <c r="N807" s="120"/>
      <c r="O807" s="118"/>
      <c r="P807" s="120"/>
      <c r="Q807" s="121"/>
      <c r="R807" s="109" t="b">
        <v>0</v>
      </c>
      <c r="S807" s="143"/>
      <c r="T807" s="110"/>
      <c r="U807" s="118"/>
      <c r="V807" s="118"/>
      <c r="W807" s="118"/>
      <c r="X807" s="118"/>
      <c r="Y807" s="118"/>
      <c r="Z807" s="118"/>
      <c r="AA807" s="118"/>
      <c r="AB807" s="118"/>
      <c r="AC807" s="118"/>
      <c r="AD807" s="111"/>
      <c r="AE807" s="122"/>
      <c r="AF807" s="122"/>
      <c r="AG807" s="122"/>
      <c r="AH807" s="122"/>
    </row>
    <row r="808" ht="22.5" customHeight="1">
      <c r="A808" s="73"/>
      <c r="B808" s="73"/>
      <c r="C808" s="73"/>
      <c r="D808" s="73"/>
      <c r="E808" s="330"/>
      <c r="F808" s="118"/>
      <c r="G808" s="118"/>
      <c r="H808" s="118"/>
      <c r="I808" s="118"/>
      <c r="J808" s="119"/>
      <c r="K808" s="120"/>
      <c r="L808" s="120"/>
      <c r="M808" s="120"/>
      <c r="N808" s="120"/>
      <c r="O808" s="118"/>
      <c r="P808" s="120"/>
      <c r="Q808" s="121"/>
      <c r="R808" s="109" t="b">
        <v>0</v>
      </c>
      <c r="S808" s="143"/>
      <c r="T808" s="110"/>
      <c r="U808" s="118"/>
      <c r="V808" s="118"/>
      <c r="W808" s="118"/>
      <c r="X808" s="118"/>
      <c r="Y808" s="118"/>
      <c r="Z808" s="118"/>
      <c r="AA808" s="118"/>
      <c r="AB808" s="118"/>
      <c r="AC808" s="118"/>
      <c r="AD808" s="111"/>
      <c r="AE808" s="122"/>
      <c r="AF808" s="122"/>
      <c r="AG808" s="122"/>
      <c r="AH808" s="122"/>
    </row>
    <row r="809" ht="22.5" customHeight="1">
      <c r="A809" s="73"/>
      <c r="B809" s="73"/>
      <c r="C809" s="73"/>
      <c r="D809" s="73"/>
      <c r="E809" s="330"/>
      <c r="F809" s="118"/>
      <c r="G809" s="118"/>
      <c r="H809" s="118"/>
      <c r="I809" s="118"/>
      <c r="J809" s="119"/>
      <c r="K809" s="120"/>
      <c r="L809" s="120"/>
      <c r="M809" s="120"/>
      <c r="N809" s="120"/>
      <c r="O809" s="118"/>
      <c r="P809" s="120"/>
      <c r="Q809" s="121"/>
      <c r="R809" s="109" t="b">
        <v>0</v>
      </c>
      <c r="S809" s="143"/>
      <c r="T809" s="110"/>
      <c r="U809" s="118"/>
      <c r="V809" s="118"/>
      <c r="W809" s="118"/>
      <c r="X809" s="118"/>
      <c r="Y809" s="118"/>
      <c r="Z809" s="118"/>
      <c r="AA809" s="118"/>
      <c r="AB809" s="118"/>
      <c r="AC809" s="118"/>
      <c r="AD809" s="111"/>
      <c r="AE809" s="122"/>
      <c r="AF809" s="122"/>
      <c r="AG809" s="122"/>
      <c r="AH809" s="122"/>
    </row>
    <row r="810" ht="22.5" customHeight="1">
      <c r="A810" s="73"/>
      <c r="B810" s="73"/>
      <c r="C810" s="73"/>
      <c r="D810" s="73"/>
      <c r="E810" s="330"/>
      <c r="F810" s="118"/>
      <c r="G810" s="118"/>
      <c r="H810" s="118"/>
      <c r="I810" s="118"/>
      <c r="J810" s="119"/>
      <c r="K810" s="120"/>
      <c r="L810" s="120"/>
      <c r="M810" s="120"/>
      <c r="N810" s="120"/>
      <c r="O810" s="118"/>
      <c r="P810" s="120"/>
      <c r="Q810" s="121"/>
      <c r="R810" s="109" t="b">
        <v>0</v>
      </c>
      <c r="S810" s="143"/>
      <c r="T810" s="110"/>
      <c r="U810" s="118"/>
      <c r="V810" s="118"/>
      <c r="W810" s="118"/>
      <c r="X810" s="118"/>
      <c r="Y810" s="118"/>
      <c r="Z810" s="118"/>
      <c r="AA810" s="118"/>
      <c r="AB810" s="118"/>
      <c r="AC810" s="118"/>
      <c r="AD810" s="111"/>
      <c r="AE810" s="122"/>
      <c r="AF810" s="122"/>
      <c r="AG810" s="122"/>
      <c r="AH810" s="122"/>
    </row>
    <row r="811" ht="22.5" customHeight="1">
      <c r="A811" s="73"/>
      <c r="B811" s="73"/>
      <c r="C811" s="73"/>
      <c r="D811" s="73"/>
      <c r="E811" s="330"/>
      <c r="F811" s="118"/>
      <c r="G811" s="118"/>
      <c r="H811" s="118"/>
      <c r="I811" s="118"/>
      <c r="J811" s="119"/>
      <c r="K811" s="120"/>
      <c r="L811" s="120"/>
      <c r="M811" s="120"/>
      <c r="N811" s="120"/>
      <c r="O811" s="118"/>
      <c r="P811" s="120"/>
      <c r="Q811" s="121"/>
      <c r="R811" s="109" t="b">
        <v>0</v>
      </c>
      <c r="S811" s="143"/>
      <c r="T811" s="110"/>
      <c r="U811" s="118"/>
      <c r="V811" s="118"/>
      <c r="W811" s="118"/>
      <c r="X811" s="118"/>
      <c r="Y811" s="118"/>
      <c r="Z811" s="118"/>
      <c r="AA811" s="118"/>
      <c r="AB811" s="118"/>
      <c r="AC811" s="118"/>
      <c r="AD811" s="111"/>
      <c r="AE811" s="122"/>
      <c r="AF811" s="122"/>
      <c r="AG811" s="122"/>
      <c r="AH811" s="122"/>
    </row>
    <row r="812" ht="22.5" customHeight="1">
      <c r="A812" s="73"/>
      <c r="B812" s="73"/>
      <c r="C812" s="73"/>
      <c r="D812" s="73"/>
      <c r="E812" s="330"/>
      <c r="F812" s="118"/>
      <c r="G812" s="118"/>
      <c r="H812" s="118"/>
      <c r="I812" s="118"/>
      <c r="J812" s="119"/>
      <c r="K812" s="120"/>
      <c r="L812" s="120"/>
      <c r="M812" s="120"/>
      <c r="N812" s="120"/>
      <c r="O812" s="118"/>
      <c r="P812" s="120"/>
      <c r="Q812" s="121"/>
      <c r="R812" s="109" t="b">
        <v>0</v>
      </c>
      <c r="S812" s="143"/>
      <c r="T812" s="110"/>
      <c r="U812" s="118"/>
      <c r="V812" s="118"/>
      <c r="W812" s="118"/>
      <c r="X812" s="118"/>
      <c r="Y812" s="118"/>
      <c r="Z812" s="118"/>
      <c r="AA812" s="118"/>
      <c r="AB812" s="118"/>
      <c r="AC812" s="118"/>
      <c r="AD812" s="111"/>
      <c r="AE812" s="122"/>
      <c r="AF812" s="122"/>
      <c r="AG812" s="122"/>
      <c r="AH812" s="122"/>
    </row>
    <row r="813" ht="22.5" customHeight="1">
      <c r="A813" s="73"/>
      <c r="B813" s="73"/>
      <c r="C813" s="73"/>
      <c r="D813" s="73"/>
      <c r="E813" s="330"/>
      <c r="F813" s="118"/>
      <c r="G813" s="118"/>
      <c r="H813" s="118"/>
      <c r="I813" s="118"/>
      <c r="J813" s="119"/>
      <c r="K813" s="120"/>
      <c r="L813" s="120"/>
      <c r="M813" s="120"/>
      <c r="N813" s="120"/>
      <c r="O813" s="118"/>
      <c r="P813" s="120"/>
      <c r="Q813" s="121"/>
      <c r="R813" s="109" t="b">
        <v>0</v>
      </c>
      <c r="S813" s="143"/>
      <c r="T813" s="110"/>
      <c r="U813" s="118"/>
      <c r="V813" s="118"/>
      <c r="W813" s="118"/>
      <c r="X813" s="118"/>
      <c r="Y813" s="118"/>
      <c r="Z813" s="118"/>
      <c r="AA813" s="118"/>
      <c r="AB813" s="118"/>
      <c r="AC813" s="118"/>
      <c r="AD813" s="111"/>
      <c r="AE813" s="122"/>
      <c r="AF813" s="122"/>
      <c r="AG813" s="122"/>
      <c r="AH813" s="122"/>
    </row>
    <row r="814" ht="22.5" customHeight="1">
      <c r="A814" s="73"/>
      <c r="B814" s="73"/>
      <c r="C814" s="73"/>
      <c r="D814" s="73"/>
      <c r="E814" s="330"/>
      <c r="F814" s="118"/>
      <c r="G814" s="118"/>
      <c r="H814" s="118"/>
      <c r="I814" s="118"/>
      <c r="J814" s="119"/>
      <c r="K814" s="120"/>
      <c r="L814" s="120"/>
      <c r="M814" s="120"/>
      <c r="N814" s="120"/>
      <c r="O814" s="118"/>
      <c r="P814" s="120"/>
      <c r="Q814" s="121"/>
      <c r="R814" s="109" t="b">
        <v>0</v>
      </c>
      <c r="S814" s="143"/>
      <c r="T814" s="110"/>
      <c r="U814" s="118"/>
      <c r="V814" s="118"/>
      <c r="W814" s="118"/>
      <c r="X814" s="118"/>
      <c r="Y814" s="118"/>
      <c r="Z814" s="118"/>
      <c r="AA814" s="118"/>
      <c r="AB814" s="118"/>
      <c r="AC814" s="118"/>
      <c r="AD814" s="111"/>
      <c r="AE814" s="122"/>
      <c r="AF814" s="122"/>
      <c r="AG814" s="122"/>
      <c r="AH814" s="122"/>
    </row>
    <row r="815" ht="22.5" customHeight="1">
      <c r="A815" s="73"/>
      <c r="B815" s="73"/>
      <c r="C815" s="73"/>
      <c r="D815" s="73"/>
      <c r="E815" s="330"/>
      <c r="F815" s="118"/>
      <c r="G815" s="118"/>
      <c r="H815" s="118"/>
      <c r="I815" s="118"/>
      <c r="J815" s="119"/>
      <c r="K815" s="120"/>
      <c r="L815" s="120"/>
      <c r="M815" s="120"/>
      <c r="N815" s="120"/>
      <c r="O815" s="118"/>
      <c r="P815" s="120"/>
      <c r="Q815" s="121"/>
      <c r="R815" s="109" t="b">
        <v>0</v>
      </c>
      <c r="S815" s="143"/>
      <c r="T815" s="110"/>
      <c r="U815" s="118"/>
      <c r="V815" s="118"/>
      <c r="W815" s="118"/>
      <c r="X815" s="118"/>
      <c r="Y815" s="118"/>
      <c r="Z815" s="118"/>
      <c r="AA815" s="118"/>
      <c r="AB815" s="118"/>
      <c r="AC815" s="118"/>
      <c r="AD815" s="111"/>
      <c r="AE815" s="122"/>
      <c r="AF815" s="122"/>
      <c r="AG815" s="122"/>
      <c r="AH815" s="122"/>
    </row>
    <row r="816" ht="22.5" customHeight="1">
      <c r="A816" s="73"/>
      <c r="B816" s="73"/>
      <c r="C816" s="73"/>
      <c r="D816" s="73"/>
      <c r="E816" s="330"/>
      <c r="F816" s="118"/>
      <c r="G816" s="118"/>
      <c r="H816" s="118"/>
      <c r="I816" s="118"/>
      <c r="J816" s="119"/>
      <c r="K816" s="120"/>
      <c r="L816" s="120"/>
      <c r="M816" s="120"/>
      <c r="N816" s="120"/>
      <c r="O816" s="118"/>
      <c r="P816" s="120"/>
      <c r="Q816" s="121"/>
      <c r="R816" s="109" t="b">
        <v>0</v>
      </c>
      <c r="S816" s="143"/>
      <c r="T816" s="110"/>
      <c r="U816" s="118"/>
      <c r="V816" s="118"/>
      <c r="W816" s="118"/>
      <c r="X816" s="118"/>
      <c r="Y816" s="118"/>
      <c r="Z816" s="118"/>
      <c r="AA816" s="118"/>
      <c r="AB816" s="118"/>
      <c r="AC816" s="118"/>
      <c r="AD816" s="111"/>
      <c r="AE816" s="122"/>
      <c r="AF816" s="122"/>
      <c r="AG816" s="122"/>
      <c r="AH816" s="122"/>
    </row>
    <row r="817" ht="22.5" customHeight="1">
      <c r="A817" s="73"/>
      <c r="B817" s="73"/>
      <c r="C817" s="73"/>
      <c r="D817" s="73"/>
      <c r="E817" s="330"/>
      <c r="F817" s="118"/>
      <c r="G817" s="118"/>
      <c r="H817" s="118"/>
      <c r="I817" s="118"/>
      <c r="J817" s="119"/>
      <c r="K817" s="120"/>
      <c r="L817" s="120"/>
      <c r="M817" s="120"/>
      <c r="N817" s="120"/>
      <c r="O817" s="118"/>
      <c r="P817" s="120"/>
      <c r="Q817" s="121"/>
      <c r="R817" s="109" t="b">
        <v>0</v>
      </c>
      <c r="S817" s="143"/>
      <c r="T817" s="110"/>
      <c r="U817" s="118"/>
      <c r="V817" s="118"/>
      <c r="W817" s="118"/>
      <c r="X817" s="118"/>
      <c r="Y817" s="118"/>
      <c r="Z817" s="118"/>
      <c r="AA817" s="118"/>
      <c r="AB817" s="118"/>
      <c r="AC817" s="118"/>
      <c r="AD817" s="111"/>
      <c r="AE817" s="122"/>
      <c r="AF817" s="122"/>
      <c r="AG817" s="122"/>
      <c r="AH817" s="122"/>
    </row>
    <row r="818" ht="22.5" customHeight="1">
      <c r="A818" s="73"/>
      <c r="B818" s="73"/>
      <c r="C818" s="73"/>
      <c r="D818" s="73"/>
      <c r="E818" s="330"/>
      <c r="F818" s="118"/>
      <c r="G818" s="118"/>
      <c r="H818" s="118"/>
      <c r="I818" s="118"/>
      <c r="J818" s="119"/>
      <c r="K818" s="120"/>
      <c r="L818" s="120"/>
      <c r="M818" s="120"/>
      <c r="N818" s="120"/>
      <c r="O818" s="118"/>
      <c r="P818" s="120"/>
      <c r="Q818" s="121"/>
      <c r="R818" s="109" t="b">
        <v>0</v>
      </c>
      <c r="S818" s="143"/>
      <c r="T818" s="110"/>
      <c r="U818" s="118"/>
      <c r="V818" s="118"/>
      <c r="W818" s="118"/>
      <c r="X818" s="118"/>
      <c r="Y818" s="118"/>
      <c r="Z818" s="118"/>
      <c r="AA818" s="118"/>
      <c r="AB818" s="118"/>
      <c r="AC818" s="118"/>
      <c r="AD818" s="111"/>
      <c r="AE818" s="122"/>
      <c r="AF818" s="122"/>
      <c r="AG818" s="122"/>
      <c r="AH818" s="122"/>
    </row>
    <row r="819" ht="22.5" customHeight="1">
      <c r="A819" s="73"/>
      <c r="B819" s="73"/>
      <c r="C819" s="73"/>
      <c r="D819" s="73"/>
      <c r="E819" s="330"/>
      <c r="F819" s="118"/>
      <c r="G819" s="118"/>
      <c r="H819" s="118"/>
      <c r="I819" s="118"/>
      <c r="J819" s="119"/>
      <c r="K819" s="120"/>
      <c r="L819" s="120"/>
      <c r="M819" s="120"/>
      <c r="N819" s="120"/>
      <c r="O819" s="118"/>
      <c r="P819" s="120"/>
      <c r="Q819" s="121"/>
      <c r="R819" s="109" t="b">
        <v>0</v>
      </c>
      <c r="S819" s="143"/>
      <c r="T819" s="110"/>
      <c r="U819" s="118"/>
      <c r="V819" s="118"/>
      <c r="W819" s="118"/>
      <c r="X819" s="118"/>
      <c r="Y819" s="118"/>
      <c r="Z819" s="118"/>
      <c r="AA819" s="118"/>
      <c r="AB819" s="118"/>
      <c r="AC819" s="118"/>
      <c r="AD819" s="111"/>
      <c r="AE819" s="122"/>
      <c r="AF819" s="122"/>
      <c r="AG819" s="122"/>
      <c r="AH819" s="122"/>
    </row>
    <row r="820" ht="22.5" customHeight="1">
      <c r="A820" s="73"/>
      <c r="B820" s="73"/>
      <c r="C820" s="73"/>
      <c r="D820" s="73"/>
      <c r="E820" s="330"/>
      <c r="F820" s="118"/>
      <c r="G820" s="118"/>
      <c r="H820" s="118"/>
      <c r="I820" s="118"/>
      <c r="J820" s="119"/>
      <c r="K820" s="120"/>
      <c r="L820" s="120"/>
      <c r="M820" s="120"/>
      <c r="N820" s="120"/>
      <c r="O820" s="118"/>
      <c r="P820" s="120"/>
      <c r="Q820" s="121"/>
      <c r="R820" s="109" t="b">
        <v>0</v>
      </c>
      <c r="S820" s="143"/>
      <c r="T820" s="110"/>
      <c r="U820" s="118"/>
      <c r="V820" s="118"/>
      <c r="W820" s="118"/>
      <c r="X820" s="118"/>
      <c r="Y820" s="118"/>
      <c r="Z820" s="118"/>
      <c r="AA820" s="118"/>
      <c r="AB820" s="118"/>
      <c r="AC820" s="118"/>
      <c r="AD820" s="111"/>
      <c r="AE820" s="122"/>
      <c r="AF820" s="122"/>
      <c r="AG820" s="122"/>
      <c r="AH820" s="122"/>
    </row>
    <row r="821" ht="22.5" customHeight="1">
      <c r="A821" s="73"/>
      <c r="B821" s="73"/>
      <c r="C821" s="73"/>
      <c r="D821" s="73"/>
      <c r="E821" s="330"/>
      <c r="F821" s="118"/>
      <c r="G821" s="118"/>
      <c r="H821" s="118"/>
      <c r="I821" s="118"/>
      <c r="J821" s="119"/>
      <c r="K821" s="120"/>
      <c r="L821" s="120"/>
      <c r="M821" s="120"/>
      <c r="N821" s="120"/>
      <c r="O821" s="118"/>
      <c r="P821" s="120"/>
      <c r="Q821" s="121"/>
      <c r="R821" s="109" t="b">
        <v>0</v>
      </c>
      <c r="S821" s="143"/>
      <c r="T821" s="110"/>
      <c r="U821" s="118"/>
      <c r="V821" s="118"/>
      <c r="W821" s="118"/>
      <c r="X821" s="118"/>
      <c r="Y821" s="118"/>
      <c r="Z821" s="118"/>
      <c r="AA821" s="118"/>
      <c r="AB821" s="118"/>
      <c r="AC821" s="118"/>
      <c r="AD821" s="111"/>
      <c r="AE821" s="122"/>
      <c r="AF821" s="122"/>
      <c r="AG821" s="122"/>
      <c r="AH821" s="122"/>
    </row>
    <row r="822" ht="22.5" customHeight="1">
      <c r="A822" s="73"/>
      <c r="B822" s="73"/>
      <c r="C822" s="73"/>
      <c r="D822" s="73"/>
      <c r="E822" s="330"/>
      <c r="F822" s="118"/>
      <c r="G822" s="118"/>
      <c r="H822" s="118"/>
      <c r="I822" s="118"/>
      <c r="J822" s="119"/>
      <c r="K822" s="120"/>
      <c r="L822" s="120"/>
      <c r="M822" s="120"/>
      <c r="N822" s="120"/>
      <c r="O822" s="118"/>
      <c r="P822" s="120"/>
      <c r="Q822" s="121"/>
      <c r="R822" s="109" t="b">
        <v>0</v>
      </c>
      <c r="S822" s="143"/>
      <c r="T822" s="110"/>
      <c r="U822" s="118"/>
      <c r="V822" s="118"/>
      <c r="W822" s="118"/>
      <c r="X822" s="118"/>
      <c r="Y822" s="118"/>
      <c r="Z822" s="118"/>
      <c r="AA822" s="118"/>
      <c r="AB822" s="118"/>
      <c r="AC822" s="118"/>
      <c r="AD822" s="111"/>
      <c r="AE822" s="122"/>
      <c r="AF822" s="122"/>
      <c r="AG822" s="122"/>
      <c r="AH822" s="122"/>
    </row>
    <row r="823" ht="22.5" customHeight="1">
      <c r="A823" s="73"/>
      <c r="B823" s="73"/>
      <c r="C823" s="73"/>
      <c r="D823" s="73"/>
      <c r="E823" s="330"/>
      <c r="F823" s="118"/>
      <c r="G823" s="118"/>
      <c r="H823" s="118"/>
      <c r="I823" s="118"/>
      <c r="J823" s="119"/>
      <c r="K823" s="120"/>
      <c r="L823" s="120"/>
      <c r="M823" s="120"/>
      <c r="N823" s="120"/>
      <c r="O823" s="118"/>
      <c r="P823" s="120"/>
      <c r="Q823" s="121"/>
      <c r="R823" s="109" t="b">
        <v>0</v>
      </c>
      <c r="S823" s="143"/>
      <c r="T823" s="110"/>
      <c r="U823" s="118"/>
      <c r="V823" s="118"/>
      <c r="W823" s="118"/>
      <c r="X823" s="118"/>
      <c r="Y823" s="118"/>
      <c r="Z823" s="118"/>
      <c r="AA823" s="118"/>
      <c r="AB823" s="118"/>
      <c r="AC823" s="118"/>
      <c r="AD823" s="111"/>
      <c r="AE823" s="122"/>
      <c r="AF823" s="122"/>
      <c r="AG823" s="122"/>
      <c r="AH823" s="122"/>
    </row>
    <row r="824" ht="22.5" customHeight="1">
      <c r="A824" s="73"/>
      <c r="B824" s="73"/>
      <c r="C824" s="73"/>
      <c r="D824" s="73"/>
      <c r="E824" s="330"/>
      <c r="F824" s="118"/>
      <c r="G824" s="118"/>
      <c r="H824" s="118"/>
      <c r="I824" s="118"/>
      <c r="J824" s="119"/>
      <c r="K824" s="120"/>
      <c r="L824" s="120"/>
      <c r="M824" s="120"/>
      <c r="N824" s="120"/>
      <c r="O824" s="118"/>
      <c r="P824" s="120"/>
      <c r="Q824" s="121"/>
      <c r="R824" s="109" t="b">
        <v>0</v>
      </c>
      <c r="S824" s="143"/>
      <c r="T824" s="110"/>
      <c r="U824" s="118"/>
      <c r="V824" s="118"/>
      <c r="W824" s="118"/>
      <c r="X824" s="118"/>
      <c r="Y824" s="118"/>
      <c r="Z824" s="118"/>
      <c r="AA824" s="118"/>
      <c r="AB824" s="118"/>
      <c r="AC824" s="118"/>
      <c r="AD824" s="111"/>
      <c r="AE824" s="122"/>
      <c r="AF824" s="122"/>
      <c r="AG824" s="122"/>
      <c r="AH824" s="122"/>
    </row>
    <row r="825" ht="22.5" customHeight="1">
      <c r="A825" s="73"/>
      <c r="B825" s="73"/>
      <c r="C825" s="73"/>
      <c r="D825" s="73"/>
      <c r="E825" s="330"/>
      <c r="F825" s="118"/>
      <c r="G825" s="118"/>
      <c r="H825" s="118"/>
      <c r="I825" s="118"/>
      <c r="J825" s="119"/>
      <c r="K825" s="120"/>
      <c r="L825" s="120"/>
      <c r="M825" s="120"/>
      <c r="N825" s="120"/>
      <c r="O825" s="118"/>
      <c r="P825" s="120"/>
      <c r="Q825" s="121"/>
      <c r="R825" s="109" t="b">
        <v>0</v>
      </c>
      <c r="S825" s="143"/>
      <c r="T825" s="110"/>
      <c r="U825" s="118"/>
      <c r="V825" s="118"/>
      <c r="W825" s="118"/>
      <c r="X825" s="118"/>
      <c r="Y825" s="118"/>
      <c r="Z825" s="118"/>
      <c r="AA825" s="118"/>
      <c r="AB825" s="118"/>
      <c r="AC825" s="118"/>
      <c r="AD825" s="111"/>
      <c r="AE825" s="122"/>
      <c r="AF825" s="122"/>
      <c r="AG825" s="122"/>
      <c r="AH825" s="122"/>
    </row>
    <row r="826" ht="22.5" customHeight="1">
      <c r="A826" s="73"/>
      <c r="B826" s="73"/>
      <c r="C826" s="73"/>
      <c r="D826" s="73"/>
      <c r="E826" s="330"/>
      <c r="F826" s="118"/>
      <c r="G826" s="118"/>
      <c r="H826" s="118"/>
      <c r="I826" s="118"/>
      <c r="J826" s="119"/>
      <c r="K826" s="120"/>
      <c r="L826" s="120"/>
      <c r="M826" s="120"/>
      <c r="N826" s="120"/>
      <c r="O826" s="118"/>
      <c r="P826" s="120"/>
      <c r="Q826" s="121"/>
      <c r="R826" s="109" t="b">
        <v>0</v>
      </c>
      <c r="S826" s="143"/>
      <c r="T826" s="110"/>
      <c r="U826" s="118"/>
      <c r="V826" s="118"/>
      <c r="W826" s="118"/>
      <c r="X826" s="118"/>
      <c r="Y826" s="118"/>
      <c r="Z826" s="118"/>
      <c r="AA826" s="118"/>
      <c r="AB826" s="118"/>
      <c r="AC826" s="118"/>
      <c r="AD826" s="111"/>
      <c r="AE826" s="122"/>
      <c r="AF826" s="122"/>
      <c r="AG826" s="122"/>
      <c r="AH826" s="122"/>
    </row>
    <row r="827" ht="22.5" customHeight="1">
      <c r="A827" s="73"/>
      <c r="B827" s="73"/>
      <c r="C827" s="73"/>
      <c r="D827" s="73"/>
      <c r="E827" s="330"/>
      <c r="F827" s="118"/>
      <c r="G827" s="118"/>
      <c r="H827" s="118"/>
      <c r="I827" s="118"/>
      <c r="J827" s="119"/>
      <c r="K827" s="120"/>
      <c r="L827" s="120"/>
      <c r="M827" s="120"/>
      <c r="N827" s="120"/>
      <c r="O827" s="118"/>
      <c r="P827" s="120"/>
      <c r="Q827" s="121"/>
      <c r="R827" s="109" t="b">
        <v>0</v>
      </c>
      <c r="S827" s="143"/>
      <c r="T827" s="110"/>
      <c r="U827" s="118"/>
      <c r="V827" s="118"/>
      <c r="W827" s="118"/>
      <c r="X827" s="118"/>
      <c r="Y827" s="118"/>
      <c r="Z827" s="118"/>
      <c r="AA827" s="118"/>
      <c r="AB827" s="118"/>
      <c r="AC827" s="118"/>
      <c r="AD827" s="111"/>
      <c r="AE827" s="122"/>
      <c r="AF827" s="122"/>
      <c r="AG827" s="122"/>
      <c r="AH827" s="122"/>
    </row>
    <row r="828" ht="22.5" customHeight="1">
      <c r="A828" s="73"/>
      <c r="B828" s="73"/>
      <c r="C828" s="73"/>
      <c r="D828" s="73"/>
      <c r="E828" s="330"/>
      <c r="F828" s="118"/>
      <c r="G828" s="118"/>
      <c r="H828" s="118"/>
      <c r="I828" s="118"/>
      <c r="J828" s="119"/>
      <c r="K828" s="120"/>
      <c r="L828" s="120"/>
      <c r="M828" s="120"/>
      <c r="N828" s="120"/>
      <c r="O828" s="118"/>
      <c r="P828" s="120"/>
      <c r="Q828" s="121"/>
      <c r="R828" s="109" t="b">
        <v>0</v>
      </c>
      <c r="S828" s="143"/>
      <c r="T828" s="110"/>
      <c r="U828" s="118"/>
      <c r="V828" s="118"/>
      <c r="W828" s="118"/>
      <c r="X828" s="118"/>
      <c r="Y828" s="118"/>
      <c r="Z828" s="118"/>
      <c r="AA828" s="118"/>
      <c r="AB828" s="118"/>
      <c r="AC828" s="118"/>
      <c r="AD828" s="111"/>
      <c r="AE828" s="122"/>
      <c r="AF828" s="122"/>
      <c r="AG828" s="122"/>
      <c r="AH828" s="122"/>
    </row>
    <row r="829" ht="22.5" customHeight="1">
      <c r="A829" s="73"/>
      <c r="B829" s="73"/>
      <c r="C829" s="73"/>
      <c r="D829" s="73"/>
      <c r="E829" s="330"/>
      <c r="F829" s="118"/>
      <c r="G829" s="118"/>
      <c r="H829" s="118"/>
      <c r="I829" s="118"/>
      <c r="J829" s="119"/>
      <c r="K829" s="120"/>
      <c r="L829" s="120"/>
      <c r="M829" s="120"/>
      <c r="N829" s="120"/>
      <c r="O829" s="118"/>
      <c r="P829" s="120"/>
      <c r="Q829" s="121"/>
      <c r="R829" s="109" t="b">
        <v>0</v>
      </c>
      <c r="S829" s="143"/>
      <c r="T829" s="110"/>
      <c r="U829" s="118"/>
      <c r="V829" s="118"/>
      <c r="W829" s="118"/>
      <c r="X829" s="118"/>
      <c r="Y829" s="118"/>
      <c r="Z829" s="118"/>
      <c r="AA829" s="118"/>
      <c r="AB829" s="118"/>
      <c r="AC829" s="118"/>
      <c r="AD829" s="111"/>
      <c r="AE829" s="122"/>
      <c r="AF829" s="122"/>
      <c r="AG829" s="122"/>
      <c r="AH829" s="122"/>
    </row>
    <row r="830" ht="22.5" customHeight="1">
      <c r="A830" s="73"/>
      <c r="B830" s="73"/>
      <c r="C830" s="73"/>
      <c r="D830" s="73"/>
      <c r="E830" s="330"/>
      <c r="F830" s="118"/>
      <c r="G830" s="118"/>
      <c r="H830" s="118"/>
      <c r="I830" s="118"/>
      <c r="J830" s="119"/>
      <c r="K830" s="120"/>
      <c r="L830" s="120"/>
      <c r="M830" s="120"/>
      <c r="N830" s="120"/>
      <c r="O830" s="118"/>
      <c r="P830" s="120"/>
      <c r="Q830" s="121"/>
      <c r="R830" s="109" t="b">
        <v>0</v>
      </c>
      <c r="S830" s="143"/>
      <c r="T830" s="110"/>
      <c r="U830" s="118"/>
      <c r="V830" s="118"/>
      <c r="W830" s="118"/>
      <c r="X830" s="118"/>
      <c r="Y830" s="118"/>
      <c r="Z830" s="118"/>
      <c r="AA830" s="118"/>
      <c r="AB830" s="118"/>
      <c r="AC830" s="118"/>
      <c r="AD830" s="111"/>
      <c r="AE830" s="122"/>
      <c r="AF830" s="122"/>
      <c r="AG830" s="122"/>
      <c r="AH830" s="122"/>
    </row>
    <row r="831" ht="22.5" customHeight="1">
      <c r="A831" s="73"/>
      <c r="B831" s="73"/>
      <c r="C831" s="73"/>
      <c r="D831" s="73"/>
      <c r="E831" s="330"/>
      <c r="F831" s="118"/>
      <c r="G831" s="118"/>
      <c r="H831" s="118"/>
      <c r="I831" s="118"/>
      <c r="J831" s="119"/>
      <c r="K831" s="120"/>
      <c r="L831" s="120"/>
      <c r="M831" s="120"/>
      <c r="N831" s="120"/>
      <c r="O831" s="118"/>
      <c r="P831" s="120"/>
      <c r="Q831" s="121"/>
      <c r="R831" s="109" t="b">
        <v>0</v>
      </c>
      <c r="S831" s="143"/>
      <c r="T831" s="110"/>
      <c r="U831" s="118"/>
      <c r="V831" s="118"/>
      <c r="W831" s="118"/>
      <c r="X831" s="118"/>
      <c r="Y831" s="118"/>
      <c r="Z831" s="118"/>
      <c r="AA831" s="118"/>
      <c r="AB831" s="118"/>
      <c r="AC831" s="118"/>
      <c r="AD831" s="111"/>
      <c r="AE831" s="122"/>
      <c r="AF831" s="122"/>
      <c r="AG831" s="122"/>
      <c r="AH831" s="122"/>
    </row>
    <row r="832" ht="22.5" customHeight="1">
      <c r="A832" s="73"/>
      <c r="B832" s="73"/>
      <c r="C832" s="73"/>
      <c r="D832" s="73"/>
      <c r="E832" s="330"/>
      <c r="F832" s="118"/>
      <c r="G832" s="118"/>
      <c r="H832" s="118"/>
      <c r="I832" s="118"/>
      <c r="J832" s="119"/>
      <c r="K832" s="120"/>
      <c r="L832" s="120"/>
      <c r="M832" s="120"/>
      <c r="N832" s="120"/>
      <c r="O832" s="118"/>
      <c r="P832" s="120"/>
      <c r="Q832" s="121"/>
      <c r="R832" s="109" t="b">
        <v>0</v>
      </c>
      <c r="S832" s="143"/>
      <c r="T832" s="110"/>
      <c r="U832" s="118"/>
      <c r="V832" s="118"/>
      <c r="W832" s="118"/>
      <c r="X832" s="118"/>
      <c r="Y832" s="118"/>
      <c r="Z832" s="118"/>
      <c r="AA832" s="118"/>
      <c r="AB832" s="118"/>
      <c r="AC832" s="118"/>
      <c r="AD832" s="111"/>
      <c r="AE832" s="122"/>
      <c r="AF832" s="122"/>
      <c r="AG832" s="122"/>
      <c r="AH832" s="122"/>
    </row>
    <row r="833" ht="22.5" customHeight="1">
      <c r="A833" s="73"/>
      <c r="B833" s="73"/>
      <c r="C833" s="73"/>
      <c r="D833" s="73"/>
      <c r="E833" s="330"/>
      <c r="F833" s="118"/>
      <c r="G833" s="118"/>
      <c r="H833" s="118"/>
      <c r="I833" s="118"/>
      <c r="J833" s="119"/>
      <c r="K833" s="120"/>
      <c r="L833" s="120"/>
      <c r="M833" s="120"/>
      <c r="N833" s="120"/>
      <c r="O833" s="118"/>
      <c r="P833" s="120"/>
      <c r="Q833" s="121"/>
      <c r="R833" s="109" t="b">
        <v>0</v>
      </c>
      <c r="S833" s="143"/>
      <c r="T833" s="110"/>
      <c r="U833" s="118"/>
      <c r="V833" s="118"/>
      <c r="W833" s="118"/>
      <c r="X833" s="118"/>
      <c r="Y833" s="118"/>
      <c r="Z833" s="118"/>
      <c r="AA833" s="118"/>
      <c r="AB833" s="118"/>
      <c r="AC833" s="118"/>
      <c r="AD833" s="111"/>
      <c r="AE833" s="122"/>
      <c r="AF833" s="122"/>
      <c r="AG833" s="122"/>
      <c r="AH833" s="122"/>
    </row>
    <row r="834" ht="22.5" customHeight="1">
      <c r="A834" s="73"/>
      <c r="B834" s="73"/>
      <c r="C834" s="73"/>
      <c r="D834" s="73"/>
      <c r="E834" s="330"/>
      <c r="F834" s="118"/>
      <c r="G834" s="118"/>
      <c r="H834" s="118"/>
      <c r="I834" s="118"/>
      <c r="J834" s="119"/>
      <c r="K834" s="120"/>
      <c r="L834" s="120"/>
      <c r="M834" s="120"/>
      <c r="N834" s="120"/>
      <c r="O834" s="118"/>
      <c r="P834" s="120"/>
      <c r="Q834" s="121"/>
      <c r="R834" s="109" t="b">
        <v>0</v>
      </c>
      <c r="S834" s="143"/>
      <c r="T834" s="110"/>
      <c r="U834" s="118"/>
      <c r="V834" s="118"/>
      <c r="W834" s="118"/>
      <c r="X834" s="118"/>
      <c r="Y834" s="118"/>
      <c r="Z834" s="118"/>
      <c r="AA834" s="118"/>
      <c r="AB834" s="118"/>
      <c r="AC834" s="118"/>
      <c r="AD834" s="111"/>
      <c r="AE834" s="122"/>
      <c r="AF834" s="122"/>
      <c r="AG834" s="122"/>
      <c r="AH834" s="122"/>
    </row>
    <row r="835" ht="22.5" customHeight="1">
      <c r="A835" s="73"/>
      <c r="B835" s="73"/>
      <c r="C835" s="73"/>
      <c r="D835" s="73"/>
      <c r="E835" s="330"/>
      <c r="F835" s="118"/>
      <c r="G835" s="118"/>
      <c r="H835" s="118"/>
      <c r="I835" s="118"/>
      <c r="J835" s="119"/>
      <c r="K835" s="120"/>
      <c r="L835" s="120"/>
      <c r="M835" s="120"/>
      <c r="N835" s="120"/>
      <c r="O835" s="118"/>
      <c r="P835" s="120"/>
      <c r="Q835" s="121"/>
      <c r="R835" s="109" t="b">
        <v>0</v>
      </c>
      <c r="S835" s="143"/>
      <c r="T835" s="110"/>
      <c r="U835" s="118"/>
      <c r="V835" s="118"/>
      <c r="W835" s="118"/>
      <c r="X835" s="118"/>
      <c r="Y835" s="118"/>
      <c r="Z835" s="118"/>
      <c r="AA835" s="118"/>
      <c r="AB835" s="118"/>
      <c r="AC835" s="118"/>
      <c r="AD835" s="111"/>
      <c r="AE835" s="122"/>
      <c r="AF835" s="122"/>
      <c r="AG835" s="122"/>
      <c r="AH835" s="122"/>
    </row>
    <row r="836" ht="22.5" customHeight="1">
      <c r="A836" s="73"/>
      <c r="B836" s="73"/>
      <c r="C836" s="73"/>
      <c r="D836" s="73"/>
      <c r="E836" s="330"/>
      <c r="F836" s="118"/>
      <c r="G836" s="118"/>
      <c r="H836" s="118"/>
      <c r="I836" s="118"/>
      <c r="J836" s="119"/>
      <c r="K836" s="120"/>
      <c r="L836" s="120"/>
      <c r="M836" s="120"/>
      <c r="N836" s="120"/>
      <c r="O836" s="118"/>
      <c r="P836" s="120"/>
      <c r="Q836" s="121"/>
      <c r="R836" s="109" t="b">
        <v>0</v>
      </c>
      <c r="S836" s="143"/>
      <c r="T836" s="110"/>
      <c r="U836" s="118"/>
      <c r="V836" s="118"/>
      <c r="W836" s="118"/>
      <c r="X836" s="118"/>
      <c r="Y836" s="118"/>
      <c r="Z836" s="118"/>
      <c r="AA836" s="118"/>
      <c r="AB836" s="118"/>
      <c r="AC836" s="118"/>
      <c r="AD836" s="111"/>
      <c r="AE836" s="122"/>
      <c r="AF836" s="122"/>
      <c r="AG836" s="122"/>
      <c r="AH836" s="122"/>
    </row>
    <row r="837" ht="22.5" customHeight="1">
      <c r="A837" s="73"/>
      <c r="B837" s="73"/>
      <c r="C837" s="73"/>
      <c r="D837" s="73"/>
      <c r="E837" s="330"/>
      <c r="F837" s="118"/>
      <c r="G837" s="118"/>
      <c r="H837" s="118"/>
      <c r="I837" s="118"/>
      <c r="J837" s="119"/>
      <c r="K837" s="120"/>
      <c r="L837" s="120"/>
      <c r="M837" s="120"/>
      <c r="N837" s="120"/>
      <c r="O837" s="118"/>
      <c r="P837" s="120"/>
      <c r="Q837" s="121"/>
      <c r="R837" s="109" t="b">
        <v>0</v>
      </c>
      <c r="S837" s="143"/>
      <c r="T837" s="110"/>
      <c r="U837" s="118"/>
      <c r="V837" s="118"/>
      <c r="W837" s="118"/>
      <c r="X837" s="118"/>
      <c r="Y837" s="118"/>
      <c r="Z837" s="118"/>
      <c r="AA837" s="118"/>
      <c r="AB837" s="118"/>
      <c r="AC837" s="118"/>
      <c r="AD837" s="111"/>
      <c r="AE837" s="122"/>
      <c r="AF837" s="122"/>
      <c r="AG837" s="122"/>
      <c r="AH837" s="122"/>
    </row>
    <row r="838" ht="22.5" customHeight="1">
      <c r="A838" s="73"/>
      <c r="B838" s="73"/>
      <c r="C838" s="73"/>
      <c r="D838" s="73"/>
      <c r="E838" s="330"/>
      <c r="F838" s="118"/>
      <c r="G838" s="118"/>
      <c r="H838" s="118"/>
      <c r="I838" s="118"/>
      <c r="J838" s="119"/>
      <c r="K838" s="120"/>
      <c r="L838" s="120"/>
      <c r="M838" s="120"/>
      <c r="N838" s="120"/>
      <c r="O838" s="118"/>
      <c r="P838" s="120"/>
      <c r="Q838" s="121"/>
      <c r="R838" s="109" t="b">
        <v>0</v>
      </c>
      <c r="S838" s="143"/>
      <c r="T838" s="110"/>
      <c r="U838" s="118"/>
      <c r="V838" s="118"/>
      <c r="W838" s="118"/>
      <c r="X838" s="118"/>
      <c r="Y838" s="118"/>
      <c r="Z838" s="118"/>
      <c r="AA838" s="118"/>
      <c r="AB838" s="118"/>
      <c r="AC838" s="118"/>
      <c r="AD838" s="111"/>
      <c r="AE838" s="122"/>
      <c r="AF838" s="122"/>
      <c r="AG838" s="122"/>
      <c r="AH838" s="122"/>
    </row>
    <row r="839" ht="22.5" customHeight="1">
      <c r="A839" s="73"/>
      <c r="B839" s="73"/>
      <c r="C839" s="73"/>
      <c r="D839" s="73"/>
      <c r="E839" s="330"/>
      <c r="F839" s="118"/>
      <c r="G839" s="118"/>
      <c r="H839" s="118"/>
      <c r="I839" s="118"/>
      <c r="J839" s="119"/>
      <c r="K839" s="120"/>
      <c r="L839" s="120"/>
      <c r="M839" s="120"/>
      <c r="N839" s="120"/>
      <c r="O839" s="118"/>
      <c r="P839" s="120"/>
      <c r="Q839" s="121"/>
      <c r="R839" s="109" t="b">
        <v>0</v>
      </c>
      <c r="S839" s="143"/>
      <c r="T839" s="110"/>
      <c r="U839" s="118"/>
      <c r="V839" s="118"/>
      <c r="W839" s="118"/>
      <c r="X839" s="118"/>
      <c r="Y839" s="118"/>
      <c r="Z839" s="118"/>
      <c r="AA839" s="118"/>
      <c r="AB839" s="118"/>
      <c r="AC839" s="118"/>
      <c r="AD839" s="111"/>
      <c r="AE839" s="122"/>
      <c r="AF839" s="122"/>
      <c r="AG839" s="122"/>
      <c r="AH839" s="122"/>
    </row>
    <row r="840" ht="22.5" customHeight="1">
      <c r="A840" s="73"/>
      <c r="B840" s="73"/>
      <c r="C840" s="73"/>
      <c r="D840" s="73"/>
      <c r="E840" s="330"/>
      <c r="F840" s="118"/>
      <c r="G840" s="118"/>
      <c r="H840" s="118"/>
      <c r="I840" s="118"/>
      <c r="J840" s="119"/>
      <c r="K840" s="120"/>
      <c r="L840" s="120"/>
      <c r="M840" s="120"/>
      <c r="N840" s="120"/>
      <c r="O840" s="118"/>
      <c r="P840" s="120"/>
      <c r="Q840" s="121"/>
      <c r="R840" s="109" t="b">
        <v>0</v>
      </c>
      <c r="S840" s="143"/>
      <c r="T840" s="110"/>
      <c r="U840" s="118"/>
      <c r="V840" s="118"/>
      <c r="W840" s="118"/>
      <c r="X840" s="118"/>
      <c r="Y840" s="118"/>
      <c r="Z840" s="118"/>
      <c r="AA840" s="118"/>
      <c r="AB840" s="118"/>
      <c r="AC840" s="118"/>
      <c r="AD840" s="111"/>
      <c r="AE840" s="122"/>
      <c r="AF840" s="122"/>
      <c r="AG840" s="122"/>
      <c r="AH840" s="122"/>
    </row>
    <row r="841" ht="22.5" customHeight="1">
      <c r="A841" s="73"/>
      <c r="B841" s="73"/>
      <c r="C841" s="73"/>
      <c r="D841" s="73"/>
      <c r="E841" s="330"/>
      <c r="F841" s="118"/>
      <c r="G841" s="118"/>
      <c r="H841" s="118"/>
      <c r="I841" s="118"/>
      <c r="J841" s="119"/>
      <c r="K841" s="120"/>
      <c r="L841" s="120"/>
      <c r="M841" s="120"/>
      <c r="N841" s="120"/>
      <c r="O841" s="118"/>
      <c r="P841" s="120"/>
      <c r="Q841" s="121"/>
      <c r="R841" s="109" t="b">
        <v>0</v>
      </c>
      <c r="S841" s="143"/>
      <c r="T841" s="110"/>
      <c r="U841" s="118"/>
      <c r="V841" s="118"/>
      <c r="W841" s="118"/>
      <c r="X841" s="118"/>
      <c r="Y841" s="118"/>
      <c r="Z841" s="118"/>
      <c r="AA841" s="118"/>
      <c r="AB841" s="118"/>
      <c r="AC841" s="118"/>
      <c r="AD841" s="111"/>
      <c r="AE841" s="122"/>
      <c r="AF841" s="122"/>
      <c r="AG841" s="122"/>
      <c r="AH841" s="122"/>
    </row>
    <row r="842" ht="22.5" customHeight="1">
      <c r="A842" s="73"/>
      <c r="B842" s="73"/>
      <c r="C842" s="73"/>
      <c r="D842" s="73"/>
      <c r="E842" s="330"/>
      <c r="F842" s="118"/>
      <c r="G842" s="118"/>
      <c r="H842" s="118"/>
      <c r="I842" s="118"/>
      <c r="J842" s="119"/>
      <c r="K842" s="120"/>
      <c r="L842" s="120"/>
      <c r="M842" s="120"/>
      <c r="N842" s="120"/>
      <c r="O842" s="118"/>
      <c r="P842" s="120"/>
      <c r="Q842" s="121"/>
      <c r="R842" s="109" t="b">
        <v>0</v>
      </c>
      <c r="S842" s="143"/>
      <c r="T842" s="110"/>
      <c r="U842" s="118"/>
      <c r="V842" s="118"/>
      <c r="W842" s="118"/>
      <c r="X842" s="118"/>
      <c r="Y842" s="118"/>
      <c r="Z842" s="118"/>
      <c r="AA842" s="118"/>
      <c r="AB842" s="118"/>
      <c r="AC842" s="118"/>
      <c r="AD842" s="111"/>
      <c r="AE842" s="122"/>
      <c r="AF842" s="122"/>
      <c r="AG842" s="122"/>
      <c r="AH842" s="122"/>
    </row>
    <row r="843" ht="22.5" customHeight="1">
      <c r="A843" s="73"/>
      <c r="B843" s="73"/>
      <c r="C843" s="73"/>
      <c r="D843" s="73"/>
      <c r="E843" s="330"/>
      <c r="F843" s="118"/>
      <c r="G843" s="118"/>
      <c r="H843" s="118"/>
      <c r="I843" s="118"/>
      <c r="J843" s="119"/>
      <c r="K843" s="120"/>
      <c r="L843" s="120"/>
      <c r="M843" s="120"/>
      <c r="N843" s="120"/>
      <c r="O843" s="118"/>
      <c r="P843" s="120"/>
      <c r="Q843" s="121"/>
      <c r="R843" s="109" t="b">
        <v>0</v>
      </c>
      <c r="S843" s="143"/>
      <c r="T843" s="110"/>
      <c r="U843" s="118"/>
      <c r="V843" s="118"/>
      <c r="W843" s="118"/>
      <c r="X843" s="118"/>
      <c r="Y843" s="118"/>
      <c r="Z843" s="118"/>
      <c r="AA843" s="118"/>
      <c r="AB843" s="118"/>
      <c r="AC843" s="118"/>
      <c r="AD843" s="111"/>
      <c r="AE843" s="122"/>
      <c r="AF843" s="122"/>
      <c r="AG843" s="122"/>
      <c r="AH843" s="122"/>
    </row>
    <row r="844" ht="22.5" customHeight="1">
      <c r="A844" s="73"/>
      <c r="B844" s="73"/>
      <c r="C844" s="73"/>
      <c r="D844" s="73"/>
      <c r="E844" s="330"/>
      <c r="F844" s="118"/>
      <c r="G844" s="118"/>
      <c r="H844" s="118"/>
      <c r="I844" s="118"/>
      <c r="J844" s="119"/>
      <c r="K844" s="120"/>
      <c r="L844" s="120"/>
      <c r="M844" s="120"/>
      <c r="N844" s="120"/>
      <c r="O844" s="118"/>
      <c r="P844" s="120"/>
      <c r="Q844" s="121"/>
      <c r="R844" s="109" t="b">
        <v>0</v>
      </c>
      <c r="S844" s="143"/>
      <c r="T844" s="110"/>
      <c r="U844" s="118"/>
      <c r="V844" s="118"/>
      <c r="W844" s="118"/>
      <c r="X844" s="118"/>
      <c r="Y844" s="118"/>
      <c r="Z844" s="118"/>
      <c r="AA844" s="118"/>
      <c r="AB844" s="118"/>
      <c r="AC844" s="118"/>
      <c r="AD844" s="111"/>
      <c r="AE844" s="122"/>
      <c r="AF844" s="122"/>
      <c r="AG844" s="122"/>
      <c r="AH844" s="122"/>
    </row>
    <row r="845" ht="22.5" customHeight="1">
      <c r="A845" s="73"/>
      <c r="B845" s="73"/>
      <c r="C845" s="73"/>
      <c r="D845" s="73"/>
      <c r="E845" s="330"/>
      <c r="F845" s="118"/>
      <c r="G845" s="118"/>
      <c r="H845" s="118"/>
      <c r="I845" s="118"/>
      <c r="J845" s="119"/>
      <c r="K845" s="120"/>
      <c r="L845" s="120"/>
      <c r="M845" s="120"/>
      <c r="N845" s="120"/>
      <c r="O845" s="118"/>
      <c r="P845" s="120"/>
      <c r="Q845" s="121"/>
      <c r="R845" s="109" t="b">
        <v>0</v>
      </c>
      <c r="S845" s="143"/>
      <c r="T845" s="110"/>
      <c r="U845" s="118"/>
      <c r="V845" s="118"/>
      <c r="W845" s="118"/>
      <c r="X845" s="118"/>
      <c r="Y845" s="118"/>
      <c r="Z845" s="118"/>
      <c r="AA845" s="118"/>
      <c r="AB845" s="118"/>
      <c r="AC845" s="118"/>
      <c r="AD845" s="111"/>
      <c r="AE845" s="122"/>
      <c r="AF845" s="122"/>
      <c r="AG845" s="122"/>
      <c r="AH845" s="122"/>
    </row>
    <row r="846" ht="22.5" customHeight="1">
      <c r="A846" s="73"/>
      <c r="B846" s="73"/>
      <c r="C846" s="73"/>
      <c r="D846" s="73"/>
      <c r="E846" s="330"/>
      <c r="F846" s="118"/>
      <c r="G846" s="118"/>
      <c r="H846" s="118"/>
      <c r="I846" s="118"/>
      <c r="J846" s="119"/>
      <c r="K846" s="120"/>
      <c r="L846" s="120"/>
      <c r="M846" s="120"/>
      <c r="N846" s="120"/>
      <c r="O846" s="118"/>
      <c r="P846" s="120"/>
      <c r="Q846" s="121"/>
      <c r="R846" s="109" t="b">
        <v>0</v>
      </c>
      <c r="S846" s="143"/>
      <c r="T846" s="110"/>
      <c r="U846" s="118"/>
      <c r="V846" s="118"/>
      <c r="W846" s="118"/>
      <c r="X846" s="118"/>
      <c r="Y846" s="118"/>
      <c r="Z846" s="118"/>
      <c r="AA846" s="118"/>
      <c r="AB846" s="118"/>
      <c r="AC846" s="118"/>
      <c r="AD846" s="111"/>
      <c r="AE846" s="122"/>
      <c r="AF846" s="122"/>
      <c r="AG846" s="122"/>
      <c r="AH846" s="122"/>
    </row>
    <row r="847" ht="22.5" customHeight="1">
      <c r="A847" s="73"/>
      <c r="B847" s="73"/>
      <c r="C847" s="73"/>
      <c r="D847" s="73"/>
      <c r="E847" s="330"/>
      <c r="F847" s="118"/>
      <c r="G847" s="118"/>
      <c r="H847" s="118"/>
      <c r="I847" s="118"/>
      <c r="J847" s="119"/>
      <c r="K847" s="120"/>
      <c r="L847" s="120"/>
      <c r="M847" s="120"/>
      <c r="N847" s="120"/>
      <c r="O847" s="118"/>
      <c r="P847" s="120"/>
      <c r="Q847" s="121"/>
      <c r="R847" s="109" t="b">
        <v>0</v>
      </c>
      <c r="S847" s="143"/>
      <c r="T847" s="110"/>
      <c r="U847" s="118"/>
      <c r="V847" s="118"/>
      <c r="W847" s="118"/>
      <c r="X847" s="118"/>
      <c r="Y847" s="118"/>
      <c r="Z847" s="118"/>
      <c r="AA847" s="118"/>
      <c r="AB847" s="118"/>
      <c r="AC847" s="118"/>
      <c r="AD847" s="111"/>
      <c r="AE847" s="122"/>
      <c r="AF847" s="122"/>
      <c r="AG847" s="122"/>
      <c r="AH847" s="122"/>
    </row>
    <row r="848" ht="22.5" customHeight="1">
      <c r="A848" s="73"/>
      <c r="B848" s="73"/>
      <c r="C848" s="73"/>
      <c r="D848" s="73"/>
      <c r="E848" s="330"/>
      <c r="F848" s="118"/>
      <c r="G848" s="118"/>
      <c r="H848" s="118"/>
      <c r="I848" s="118"/>
      <c r="J848" s="119"/>
      <c r="K848" s="120"/>
      <c r="L848" s="120"/>
      <c r="M848" s="120"/>
      <c r="N848" s="120"/>
      <c r="O848" s="118"/>
      <c r="P848" s="120"/>
      <c r="Q848" s="121"/>
      <c r="R848" s="109" t="b">
        <v>0</v>
      </c>
      <c r="S848" s="143"/>
      <c r="T848" s="110"/>
      <c r="U848" s="118"/>
      <c r="V848" s="118"/>
      <c r="W848" s="118"/>
      <c r="X848" s="118"/>
      <c r="Y848" s="118"/>
      <c r="Z848" s="118"/>
      <c r="AA848" s="118"/>
      <c r="AB848" s="118"/>
      <c r="AC848" s="118"/>
      <c r="AD848" s="111"/>
      <c r="AE848" s="122"/>
      <c r="AF848" s="122"/>
      <c r="AG848" s="122"/>
      <c r="AH848" s="122"/>
    </row>
    <row r="849" ht="22.5" customHeight="1">
      <c r="A849" s="73"/>
      <c r="B849" s="73"/>
      <c r="C849" s="73"/>
      <c r="D849" s="73"/>
      <c r="E849" s="330"/>
      <c r="F849" s="118"/>
      <c r="G849" s="118"/>
      <c r="H849" s="118"/>
      <c r="I849" s="118"/>
      <c r="J849" s="119"/>
      <c r="K849" s="120"/>
      <c r="L849" s="120"/>
      <c r="M849" s="120"/>
      <c r="N849" s="120"/>
      <c r="O849" s="118"/>
      <c r="P849" s="120"/>
      <c r="Q849" s="121"/>
      <c r="R849" s="109" t="b">
        <v>0</v>
      </c>
      <c r="S849" s="143"/>
      <c r="T849" s="110"/>
      <c r="U849" s="118"/>
      <c r="V849" s="118"/>
      <c r="W849" s="118"/>
      <c r="X849" s="118"/>
      <c r="Y849" s="118"/>
      <c r="Z849" s="118"/>
      <c r="AA849" s="118"/>
      <c r="AB849" s="118"/>
      <c r="AC849" s="118"/>
      <c r="AD849" s="111"/>
      <c r="AE849" s="122"/>
      <c r="AF849" s="122"/>
      <c r="AG849" s="122"/>
      <c r="AH849" s="122"/>
    </row>
    <row r="850" ht="22.5" customHeight="1">
      <c r="A850" s="73"/>
      <c r="B850" s="73"/>
      <c r="C850" s="73"/>
      <c r="D850" s="73"/>
      <c r="E850" s="330"/>
      <c r="F850" s="118"/>
      <c r="G850" s="118"/>
      <c r="H850" s="118"/>
      <c r="I850" s="118"/>
      <c r="J850" s="119"/>
      <c r="K850" s="120"/>
      <c r="L850" s="120"/>
      <c r="M850" s="120"/>
      <c r="N850" s="120"/>
      <c r="O850" s="118"/>
      <c r="P850" s="120"/>
      <c r="Q850" s="121"/>
      <c r="R850" s="109" t="b">
        <v>0</v>
      </c>
      <c r="S850" s="143"/>
      <c r="T850" s="110"/>
      <c r="U850" s="118"/>
      <c r="V850" s="118"/>
      <c r="W850" s="118"/>
      <c r="X850" s="118"/>
      <c r="Y850" s="118"/>
      <c r="Z850" s="118"/>
      <c r="AA850" s="118"/>
      <c r="AB850" s="118"/>
      <c r="AC850" s="118"/>
      <c r="AD850" s="111"/>
      <c r="AE850" s="122"/>
      <c r="AF850" s="122"/>
      <c r="AG850" s="122"/>
      <c r="AH850" s="122"/>
    </row>
    <row r="851" ht="22.5" customHeight="1">
      <c r="A851" s="73"/>
      <c r="B851" s="73"/>
      <c r="C851" s="73"/>
      <c r="D851" s="73"/>
      <c r="E851" s="330"/>
      <c r="F851" s="118"/>
      <c r="G851" s="118"/>
      <c r="H851" s="118"/>
      <c r="I851" s="118"/>
      <c r="J851" s="119"/>
      <c r="K851" s="120"/>
      <c r="L851" s="120"/>
      <c r="M851" s="120"/>
      <c r="N851" s="120"/>
      <c r="O851" s="118"/>
      <c r="P851" s="120"/>
      <c r="Q851" s="121"/>
      <c r="R851" s="109" t="b">
        <v>0</v>
      </c>
      <c r="S851" s="143"/>
      <c r="T851" s="110"/>
      <c r="U851" s="118"/>
      <c r="V851" s="118"/>
      <c r="W851" s="118"/>
      <c r="X851" s="118"/>
      <c r="Y851" s="118"/>
      <c r="Z851" s="118"/>
      <c r="AA851" s="118"/>
      <c r="AB851" s="118"/>
      <c r="AC851" s="118"/>
      <c r="AD851" s="111"/>
      <c r="AE851" s="122"/>
      <c r="AF851" s="122"/>
      <c r="AG851" s="122"/>
      <c r="AH851" s="122"/>
    </row>
    <row r="852" ht="22.5" customHeight="1">
      <c r="A852" s="73"/>
      <c r="B852" s="73"/>
      <c r="C852" s="73"/>
      <c r="D852" s="73"/>
      <c r="E852" s="330"/>
      <c r="F852" s="118"/>
      <c r="G852" s="118"/>
      <c r="H852" s="118"/>
      <c r="I852" s="118"/>
      <c r="J852" s="119"/>
      <c r="K852" s="120"/>
      <c r="L852" s="120"/>
      <c r="M852" s="120"/>
      <c r="N852" s="120"/>
      <c r="O852" s="118"/>
      <c r="P852" s="120"/>
      <c r="Q852" s="121"/>
      <c r="R852" s="109" t="b">
        <v>0</v>
      </c>
      <c r="S852" s="143"/>
      <c r="T852" s="110"/>
      <c r="U852" s="118"/>
      <c r="V852" s="118"/>
      <c r="W852" s="118"/>
      <c r="X852" s="118"/>
      <c r="Y852" s="118"/>
      <c r="Z852" s="118"/>
      <c r="AA852" s="118"/>
      <c r="AB852" s="118"/>
      <c r="AC852" s="118"/>
      <c r="AD852" s="111"/>
      <c r="AE852" s="122"/>
      <c r="AF852" s="122"/>
      <c r="AG852" s="122"/>
      <c r="AH852" s="122"/>
    </row>
    <row r="853" ht="22.5" customHeight="1">
      <c r="A853" s="73"/>
      <c r="B853" s="73"/>
      <c r="C853" s="73"/>
      <c r="D853" s="73"/>
      <c r="E853" s="330"/>
      <c r="F853" s="118"/>
      <c r="G853" s="118"/>
      <c r="H853" s="118"/>
      <c r="I853" s="118"/>
      <c r="J853" s="119"/>
      <c r="K853" s="120"/>
      <c r="L853" s="120"/>
      <c r="M853" s="120"/>
      <c r="N853" s="120"/>
      <c r="O853" s="118"/>
      <c r="P853" s="120"/>
      <c r="Q853" s="121"/>
      <c r="R853" s="109" t="b">
        <v>0</v>
      </c>
      <c r="S853" s="143"/>
      <c r="T853" s="110"/>
      <c r="U853" s="118"/>
      <c r="V853" s="118"/>
      <c r="W853" s="118"/>
      <c r="X853" s="118"/>
      <c r="Y853" s="118"/>
      <c r="Z853" s="118"/>
      <c r="AA853" s="118"/>
      <c r="AB853" s="118"/>
      <c r="AC853" s="118"/>
      <c r="AD853" s="111"/>
      <c r="AE853" s="122"/>
      <c r="AF853" s="122"/>
      <c r="AG853" s="122"/>
      <c r="AH853" s="122"/>
    </row>
    <row r="854" ht="22.5" customHeight="1">
      <c r="A854" s="73"/>
      <c r="B854" s="73"/>
      <c r="C854" s="73"/>
      <c r="D854" s="73"/>
      <c r="E854" s="330"/>
      <c r="F854" s="118"/>
      <c r="G854" s="118"/>
      <c r="H854" s="118"/>
      <c r="I854" s="118"/>
      <c r="J854" s="119"/>
      <c r="K854" s="120"/>
      <c r="L854" s="120"/>
      <c r="M854" s="120"/>
      <c r="N854" s="120"/>
      <c r="O854" s="118"/>
      <c r="P854" s="120"/>
      <c r="Q854" s="121"/>
      <c r="R854" s="109" t="b">
        <v>0</v>
      </c>
      <c r="S854" s="143"/>
      <c r="T854" s="110"/>
      <c r="U854" s="118"/>
      <c r="V854" s="118"/>
      <c r="W854" s="118"/>
      <c r="X854" s="118"/>
      <c r="Y854" s="118"/>
      <c r="Z854" s="118"/>
      <c r="AA854" s="118"/>
      <c r="AB854" s="118"/>
      <c r="AC854" s="118"/>
      <c r="AD854" s="111"/>
      <c r="AE854" s="122"/>
      <c r="AF854" s="122"/>
      <c r="AG854" s="122"/>
      <c r="AH854" s="122"/>
    </row>
    <row r="855" ht="22.5" customHeight="1">
      <c r="A855" s="73"/>
      <c r="B855" s="73"/>
      <c r="C855" s="73"/>
      <c r="D855" s="73"/>
      <c r="E855" s="330"/>
      <c r="F855" s="118"/>
      <c r="G855" s="118"/>
      <c r="H855" s="118"/>
      <c r="I855" s="118"/>
      <c r="J855" s="119"/>
      <c r="K855" s="120"/>
      <c r="L855" s="120"/>
      <c r="M855" s="120"/>
      <c r="N855" s="120"/>
      <c r="O855" s="118"/>
      <c r="P855" s="120"/>
      <c r="Q855" s="121"/>
      <c r="R855" s="109" t="b">
        <v>0</v>
      </c>
      <c r="S855" s="143"/>
      <c r="T855" s="110"/>
      <c r="U855" s="118"/>
      <c r="V855" s="118"/>
      <c r="W855" s="118"/>
      <c r="X855" s="118"/>
      <c r="Y855" s="118"/>
      <c r="Z855" s="118"/>
      <c r="AA855" s="118"/>
      <c r="AB855" s="118"/>
      <c r="AC855" s="118"/>
      <c r="AD855" s="111"/>
      <c r="AE855" s="122"/>
      <c r="AF855" s="122"/>
      <c r="AG855" s="122"/>
      <c r="AH855" s="122"/>
    </row>
    <row r="856" ht="22.5" customHeight="1">
      <c r="A856" s="73"/>
      <c r="B856" s="73"/>
      <c r="C856" s="73"/>
      <c r="D856" s="73"/>
      <c r="E856" s="330"/>
      <c r="F856" s="118"/>
      <c r="G856" s="118"/>
      <c r="H856" s="118"/>
      <c r="I856" s="118"/>
      <c r="J856" s="119"/>
      <c r="K856" s="120"/>
      <c r="L856" s="120"/>
      <c r="M856" s="120"/>
      <c r="N856" s="120"/>
      <c r="O856" s="118"/>
      <c r="P856" s="120"/>
      <c r="Q856" s="121"/>
      <c r="R856" s="109" t="b">
        <v>0</v>
      </c>
      <c r="S856" s="143"/>
      <c r="T856" s="110"/>
      <c r="U856" s="118"/>
      <c r="V856" s="118"/>
      <c r="W856" s="118"/>
      <c r="X856" s="118"/>
      <c r="Y856" s="118"/>
      <c r="Z856" s="118"/>
      <c r="AA856" s="118"/>
      <c r="AB856" s="118"/>
      <c r="AC856" s="118"/>
      <c r="AD856" s="111"/>
      <c r="AE856" s="122"/>
      <c r="AF856" s="122"/>
      <c r="AG856" s="122"/>
      <c r="AH856" s="122"/>
    </row>
    <row r="857" ht="22.5" customHeight="1">
      <c r="A857" s="73"/>
      <c r="B857" s="73"/>
      <c r="C857" s="73"/>
      <c r="D857" s="73"/>
      <c r="E857" s="330"/>
      <c r="F857" s="118"/>
      <c r="G857" s="118"/>
      <c r="H857" s="118"/>
      <c r="I857" s="118"/>
      <c r="J857" s="119"/>
      <c r="K857" s="120"/>
      <c r="L857" s="120"/>
      <c r="M857" s="120"/>
      <c r="N857" s="120"/>
      <c r="O857" s="118"/>
      <c r="P857" s="120"/>
      <c r="Q857" s="121"/>
      <c r="R857" s="109" t="b">
        <v>0</v>
      </c>
      <c r="S857" s="143"/>
      <c r="T857" s="110"/>
      <c r="U857" s="118"/>
      <c r="V857" s="118"/>
      <c r="W857" s="118"/>
      <c r="X857" s="118"/>
      <c r="Y857" s="118"/>
      <c r="Z857" s="118"/>
      <c r="AA857" s="118"/>
      <c r="AB857" s="118"/>
      <c r="AC857" s="118"/>
      <c r="AD857" s="111"/>
      <c r="AE857" s="122"/>
      <c r="AF857" s="122"/>
      <c r="AG857" s="122"/>
      <c r="AH857" s="122"/>
    </row>
    <row r="858" ht="22.5" customHeight="1">
      <c r="A858" s="73"/>
      <c r="B858" s="73"/>
      <c r="C858" s="73"/>
      <c r="D858" s="73"/>
      <c r="E858" s="330"/>
      <c r="F858" s="118"/>
      <c r="G858" s="118"/>
      <c r="H858" s="118"/>
      <c r="I858" s="118"/>
      <c r="J858" s="119"/>
      <c r="K858" s="120"/>
      <c r="L858" s="120"/>
      <c r="M858" s="120"/>
      <c r="N858" s="120"/>
      <c r="O858" s="118"/>
      <c r="P858" s="120"/>
      <c r="Q858" s="121"/>
      <c r="R858" s="109" t="b">
        <v>0</v>
      </c>
      <c r="S858" s="143"/>
      <c r="T858" s="110"/>
      <c r="U858" s="118"/>
      <c r="V858" s="118"/>
      <c r="W858" s="118"/>
      <c r="X858" s="118"/>
      <c r="Y858" s="118"/>
      <c r="Z858" s="118"/>
      <c r="AA858" s="118"/>
      <c r="AB858" s="118"/>
      <c r="AC858" s="118"/>
      <c r="AD858" s="111"/>
      <c r="AE858" s="122"/>
      <c r="AF858" s="122"/>
      <c r="AG858" s="122"/>
      <c r="AH858" s="122"/>
    </row>
    <row r="859" ht="22.5" customHeight="1">
      <c r="A859" s="73"/>
      <c r="B859" s="73"/>
      <c r="C859" s="73"/>
      <c r="D859" s="73"/>
      <c r="E859" s="330"/>
      <c r="F859" s="118"/>
      <c r="G859" s="118"/>
      <c r="H859" s="118"/>
      <c r="I859" s="118"/>
      <c r="J859" s="119"/>
      <c r="K859" s="120"/>
      <c r="L859" s="120"/>
      <c r="M859" s="120"/>
      <c r="N859" s="120"/>
      <c r="O859" s="118"/>
      <c r="P859" s="120"/>
      <c r="Q859" s="121"/>
      <c r="R859" s="109" t="b">
        <v>0</v>
      </c>
      <c r="S859" s="143"/>
      <c r="T859" s="110"/>
      <c r="U859" s="118"/>
      <c r="V859" s="118"/>
      <c r="W859" s="118"/>
      <c r="X859" s="118"/>
      <c r="Y859" s="118"/>
      <c r="Z859" s="118"/>
      <c r="AA859" s="118"/>
      <c r="AB859" s="118"/>
      <c r="AC859" s="118"/>
      <c r="AD859" s="111"/>
      <c r="AE859" s="122"/>
      <c r="AF859" s="122"/>
      <c r="AG859" s="122"/>
      <c r="AH859" s="122"/>
    </row>
    <row r="860" ht="22.5" customHeight="1">
      <c r="A860" s="73"/>
      <c r="B860" s="73"/>
      <c r="C860" s="73"/>
      <c r="D860" s="73"/>
      <c r="E860" s="330"/>
      <c r="F860" s="118"/>
      <c r="G860" s="118"/>
      <c r="H860" s="118"/>
      <c r="I860" s="118"/>
      <c r="J860" s="119"/>
      <c r="K860" s="120"/>
      <c r="L860" s="120"/>
      <c r="M860" s="120"/>
      <c r="N860" s="120"/>
      <c r="O860" s="118"/>
      <c r="P860" s="120"/>
      <c r="Q860" s="121"/>
      <c r="R860" s="109" t="b">
        <v>0</v>
      </c>
      <c r="S860" s="143"/>
      <c r="T860" s="110"/>
      <c r="U860" s="118"/>
      <c r="V860" s="118"/>
      <c r="W860" s="118"/>
      <c r="X860" s="118"/>
      <c r="Y860" s="118"/>
      <c r="Z860" s="118"/>
      <c r="AA860" s="118"/>
      <c r="AB860" s="118"/>
      <c r="AC860" s="118"/>
      <c r="AD860" s="111"/>
      <c r="AE860" s="122"/>
      <c r="AF860" s="122"/>
      <c r="AG860" s="122"/>
      <c r="AH860" s="122"/>
    </row>
    <row r="861" ht="22.5" customHeight="1">
      <c r="A861" s="73"/>
      <c r="B861" s="73"/>
      <c r="C861" s="73"/>
      <c r="D861" s="73"/>
      <c r="E861" s="330"/>
      <c r="F861" s="118"/>
      <c r="G861" s="118"/>
      <c r="H861" s="118"/>
      <c r="I861" s="118"/>
      <c r="J861" s="119"/>
      <c r="K861" s="120"/>
      <c r="L861" s="120"/>
      <c r="M861" s="120"/>
      <c r="N861" s="120"/>
      <c r="O861" s="118"/>
      <c r="P861" s="120"/>
      <c r="Q861" s="121"/>
      <c r="R861" s="109" t="b">
        <v>0</v>
      </c>
      <c r="S861" s="143"/>
      <c r="T861" s="110"/>
      <c r="U861" s="118"/>
      <c r="V861" s="118"/>
      <c r="W861" s="118"/>
      <c r="X861" s="118"/>
      <c r="Y861" s="118"/>
      <c r="Z861" s="118"/>
      <c r="AA861" s="118"/>
      <c r="AB861" s="118"/>
      <c r="AC861" s="118"/>
      <c r="AD861" s="111"/>
      <c r="AE861" s="122"/>
      <c r="AF861" s="122"/>
      <c r="AG861" s="122"/>
      <c r="AH861" s="122"/>
    </row>
    <row r="862" ht="22.5" customHeight="1">
      <c r="A862" s="73"/>
      <c r="B862" s="73"/>
      <c r="C862" s="73"/>
      <c r="D862" s="73"/>
      <c r="E862" s="330"/>
      <c r="F862" s="118"/>
      <c r="G862" s="118"/>
      <c r="H862" s="118"/>
      <c r="I862" s="118"/>
      <c r="J862" s="119"/>
      <c r="K862" s="120"/>
      <c r="L862" s="120"/>
      <c r="M862" s="120"/>
      <c r="N862" s="120"/>
      <c r="O862" s="118"/>
      <c r="P862" s="120"/>
      <c r="Q862" s="121"/>
      <c r="R862" s="109" t="b">
        <v>0</v>
      </c>
      <c r="S862" s="143"/>
      <c r="T862" s="110"/>
      <c r="U862" s="118"/>
      <c r="V862" s="118"/>
      <c r="W862" s="118"/>
      <c r="X862" s="118"/>
      <c r="Y862" s="118"/>
      <c r="Z862" s="118"/>
      <c r="AA862" s="118"/>
      <c r="AB862" s="118"/>
      <c r="AC862" s="118"/>
      <c r="AD862" s="111"/>
      <c r="AE862" s="122"/>
      <c r="AF862" s="122"/>
      <c r="AG862" s="122"/>
      <c r="AH862" s="122"/>
    </row>
    <row r="863" ht="22.5" customHeight="1">
      <c r="A863" s="73"/>
      <c r="B863" s="73"/>
      <c r="C863" s="73"/>
      <c r="D863" s="73"/>
      <c r="E863" s="330"/>
      <c r="F863" s="118"/>
      <c r="G863" s="118"/>
      <c r="H863" s="118"/>
      <c r="I863" s="118"/>
      <c r="J863" s="119"/>
      <c r="K863" s="120"/>
      <c r="L863" s="120"/>
      <c r="M863" s="120"/>
      <c r="N863" s="120"/>
      <c r="O863" s="118"/>
      <c r="P863" s="120"/>
      <c r="Q863" s="121"/>
      <c r="R863" s="109" t="b">
        <v>0</v>
      </c>
      <c r="S863" s="143"/>
      <c r="T863" s="110"/>
      <c r="U863" s="118"/>
      <c r="V863" s="118"/>
      <c r="W863" s="118"/>
      <c r="X863" s="118"/>
      <c r="Y863" s="118"/>
      <c r="Z863" s="118"/>
      <c r="AA863" s="118"/>
      <c r="AB863" s="118"/>
      <c r="AC863" s="118"/>
      <c r="AD863" s="111"/>
      <c r="AE863" s="122"/>
      <c r="AF863" s="122"/>
      <c r="AG863" s="122"/>
      <c r="AH863" s="122"/>
    </row>
    <row r="864" ht="22.5" customHeight="1">
      <c r="A864" s="73"/>
      <c r="B864" s="73"/>
      <c r="C864" s="73"/>
      <c r="D864" s="73"/>
      <c r="E864" s="330"/>
      <c r="F864" s="118"/>
      <c r="G864" s="118"/>
      <c r="H864" s="118"/>
      <c r="I864" s="118"/>
      <c r="J864" s="119"/>
      <c r="K864" s="120"/>
      <c r="L864" s="120"/>
      <c r="M864" s="120"/>
      <c r="N864" s="120"/>
      <c r="O864" s="118"/>
      <c r="P864" s="120"/>
      <c r="Q864" s="121"/>
      <c r="R864" s="109" t="b">
        <v>0</v>
      </c>
      <c r="S864" s="143"/>
      <c r="T864" s="110"/>
      <c r="U864" s="118"/>
      <c r="V864" s="118"/>
      <c r="W864" s="118"/>
      <c r="X864" s="118"/>
      <c r="Y864" s="118"/>
      <c r="Z864" s="118"/>
      <c r="AA864" s="118"/>
      <c r="AB864" s="118"/>
      <c r="AC864" s="118"/>
      <c r="AD864" s="111"/>
      <c r="AE864" s="122"/>
      <c r="AF864" s="122"/>
      <c r="AG864" s="122"/>
      <c r="AH864" s="122"/>
    </row>
    <row r="865" ht="22.5" customHeight="1">
      <c r="A865" s="73"/>
      <c r="B865" s="73"/>
      <c r="C865" s="73"/>
      <c r="D865" s="73"/>
      <c r="E865" s="330"/>
      <c r="F865" s="118"/>
      <c r="G865" s="118"/>
      <c r="H865" s="118"/>
      <c r="I865" s="118"/>
      <c r="J865" s="119"/>
      <c r="K865" s="120"/>
      <c r="L865" s="120"/>
      <c r="M865" s="120"/>
      <c r="N865" s="120"/>
      <c r="O865" s="118"/>
      <c r="P865" s="120"/>
      <c r="Q865" s="121"/>
      <c r="R865" s="109" t="b">
        <v>0</v>
      </c>
      <c r="S865" s="143"/>
      <c r="T865" s="110"/>
      <c r="U865" s="118"/>
      <c r="V865" s="118"/>
      <c r="W865" s="118"/>
      <c r="X865" s="118"/>
      <c r="Y865" s="118"/>
      <c r="Z865" s="118"/>
      <c r="AA865" s="118"/>
      <c r="AB865" s="118"/>
      <c r="AC865" s="118"/>
      <c r="AD865" s="111"/>
      <c r="AE865" s="122"/>
      <c r="AF865" s="122"/>
      <c r="AG865" s="122"/>
      <c r="AH865" s="122"/>
    </row>
    <row r="866" ht="22.5" customHeight="1">
      <c r="A866" s="73"/>
      <c r="B866" s="73"/>
      <c r="C866" s="73"/>
      <c r="D866" s="73"/>
      <c r="E866" s="330"/>
      <c r="F866" s="118"/>
      <c r="G866" s="118"/>
      <c r="H866" s="118"/>
      <c r="I866" s="118"/>
      <c r="J866" s="119"/>
      <c r="K866" s="120"/>
      <c r="L866" s="120"/>
      <c r="M866" s="120"/>
      <c r="N866" s="120"/>
      <c r="O866" s="118"/>
      <c r="P866" s="120"/>
      <c r="Q866" s="121"/>
      <c r="R866" s="109" t="b">
        <v>0</v>
      </c>
      <c r="S866" s="143"/>
      <c r="T866" s="110"/>
      <c r="U866" s="118"/>
      <c r="V866" s="118"/>
      <c r="W866" s="118"/>
      <c r="X866" s="118"/>
      <c r="Y866" s="118"/>
      <c r="Z866" s="118"/>
      <c r="AA866" s="118"/>
      <c r="AB866" s="118"/>
      <c r="AC866" s="118"/>
      <c r="AD866" s="111"/>
      <c r="AE866" s="122"/>
      <c r="AF866" s="122"/>
      <c r="AG866" s="122"/>
      <c r="AH866" s="122"/>
    </row>
    <row r="867" ht="22.5" customHeight="1">
      <c r="A867" s="73"/>
      <c r="B867" s="73"/>
      <c r="C867" s="73"/>
      <c r="D867" s="73"/>
      <c r="E867" s="330"/>
      <c r="F867" s="118"/>
      <c r="G867" s="118"/>
      <c r="H867" s="118"/>
      <c r="I867" s="118"/>
      <c r="J867" s="119"/>
      <c r="K867" s="120"/>
      <c r="L867" s="120"/>
      <c r="M867" s="120"/>
      <c r="N867" s="120"/>
      <c r="O867" s="118"/>
      <c r="P867" s="120"/>
      <c r="Q867" s="121"/>
      <c r="R867" s="109" t="b">
        <v>0</v>
      </c>
      <c r="S867" s="143"/>
      <c r="T867" s="110"/>
      <c r="U867" s="118"/>
      <c r="V867" s="118"/>
      <c r="W867" s="118"/>
      <c r="X867" s="118"/>
      <c r="Y867" s="118"/>
      <c r="Z867" s="118"/>
      <c r="AA867" s="118"/>
      <c r="AB867" s="118"/>
      <c r="AC867" s="118"/>
      <c r="AD867" s="111"/>
      <c r="AE867" s="122"/>
      <c r="AF867" s="122"/>
      <c r="AG867" s="122"/>
      <c r="AH867" s="122"/>
    </row>
    <row r="868" ht="22.5" customHeight="1">
      <c r="A868" s="73"/>
      <c r="B868" s="73"/>
      <c r="C868" s="73"/>
      <c r="D868" s="73"/>
      <c r="E868" s="330"/>
      <c r="F868" s="118"/>
      <c r="G868" s="118"/>
      <c r="H868" s="118"/>
      <c r="I868" s="118"/>
      <c r="J868" s="119"/>
      <c r="K868" s="120"/>
      <c r="L868" s="120"/>
      <c r="M868" s="120"/>
      <c r="N868" s="120"/>
      <c r="O868" s="118"/>
      <c r="P868" s="120"/>
      <c r="Q868" s="121"/>
      <c r="R868" s="109" t="b">
        <v>0</v>
      </c>
      <c r="S868" s="143"/>
      <c r="T868" s="110"/>
      <c r="U868" s="118"/>
      <c r="V868" s="118"/>
      <c r="W868" s="118"/>
      <c r="X868" s="118"/>
      <c r="Y868" s="118"/>
      <c r="Z868" s="118"/>
      <c r="AA868" s="118"/>
      <c r="AB868" s="118"/>
      <c r="AC868" s="118"/>
      <c r="AD868" s="111"/>
      <c r="AE868" s="122"/>
      <c r="AF868" s="122"/>
      <c r="AG868" s="122"/>
      <c r="AH868" s="122"/>
    </row>
    <row r="869" ht="22.5" customHeight="1">
      <c r="A869" s="73"/>
      <c r="B869" s="73"/>
      <c r="C869" s="73"/>
      <c r="D869" s="73"/>
      <c r="E869" s="330"/>
      <c r="F869" s="118"/>
      <c r="G869" s="118"/>
      <c r="H869" s="118"/>
      <c r="I869" s="118"/>
      <c r="J869" s="119"/>
      <c r="K869" s="120"/>
      <c r="L869" s="120"/>
      <c r="M869" s="120"/>
      <c r="N869" s="120"/>
      <c r="O869" s="118"/>
      <c r="P869" s="120"/>
      <c r="Q869" s="121"/>
      <c r="R869" s="109" t="b">
        <v>0</v>
      </c>
      <c r="S869" s="143"/>
      <c r="T869" s="110"/>
      <c r="U869" s="118"/>
      <c r="V869" s="118"/>
      <c r="W869" s="118"/>
      <c r="X869" s="118"/>
      <c r="Y869" s="118"/>
      <c r="Z869" s="118"/>
      <c r="AA869" s="118"/>
      <c r="AB869" s="118"/>
      <c r="AC869" s="118"/>
      <c r="AD869" s="111"/>
      <c r="AE869" s="122"/>
      <c r="AF869" s="122"/>
      <c r="AG869" s="122"/>
      <c r="AH869" s="122"/>
    </row>
    <row r="870" ht="22.5" customHeight="1">
      <c r="A870" s="73"/>
      <c r="B870" s="73"/>
      <c r="C870" s="73"/>
      <c r="D870" s="73"/>
      <c r="E870" s="330"/>
      <c r="F870" s="118"/>
      <c r="G870" s="118"/>
      <c r="H870" s="118"/>
      <c r="I870" s="118"/>
      <c r="J870" s="119"/>
      <c r="K870" s="120"/>
      <c r="L870" s="120"/>
      <c r="M870" s="120"/>
      <c r="N870" s="120"/>
      <c r="O870" s="118"/>
      <c r="P870" s="120"/>
      <c r="Q870" s="121"/>
      <c r="R870" s="109" t="b">
        <v>0</v>
      </c>
      <c r="S870" s="143"/>
      <c r="T870" s="110"/>
      <c r="U870" s="118"/>
      <c r="V870" s="118"/>
      <c r="W870" s="118"/>
      <c r="X870" s="118"/>
      <c r="Y870" s="118"/>
      <c r="Z870" s="118"/>
      <c r="AA870" s="118"/>
      <c r="AB870" s="118"/>
      <c r="AC870" s="118"/>
      <c r="AD870" s="111"/>
      <c r="AE870" s="122"/>
      <c r="AF870" s="122"/>
      <c r="AG870" s="122"/>
      <c r="AH870" s="122"/>
    </row>
    <row r="871" ht="22.5" customHeight="1">
      <c r="A871" s="73"/>
      <c r="B871" s="73"/>
      <c r="C871" s="73"/>
      <c r="D871" s="73"/>
      <c r="E871" s="330"/>
      <c r="F871" s="118"/>
      <c r="G871" s="118"/>
      <c r="H871" s="118"/>
      <c r="I871" s="118"/>
      <c r="J871" s="119"/>
      <c r="K871" s="120"/>
      <c r="L871" s="120"/>
      <c r="M871" s="120"/>
      <c r="N871" s="120"/>
      <c r="O871" s="118"/>
      <c r="P871" s="120"/>
      <c r="Q871" s="121"/>
      <c r="R871" s="109" t="b">
        <v>0</v>
      </c>
      <c r="S871" s="143"/>
      <c r="T871" s="110"/>
      <c r="U871" s="118"/>
      <c r="V871" s="118"/>
      <c r="W871" s="118"/>
      <c r="X871" s="118"/>
      <c r="Y871" s="118"/>
      <c r="Z871" s="118"/>
      <c r="AA871" s="118"/>
      <c r="AB871" s="118"/>
      <c r="AC871" s="118"/>
      <c r="AD871" s="111"/>
      <c r="AE871" s="122"/>
      <c r="AF871" s="122"/>
      <c r="AG871" s="122"/>
      <c r="AH871" s="122"/>
    </row>
    <row r="872" ht="22.5" customHeight="1">
      <c r="A872" s="73"/>
      <c r="B872" s="73"/>
      <c r="C872" s="73"/>
      <c r="D872" s="73"/>
      <c r="E872" s="330"/>
      <c r="F872" s="118"/>
      <c r="G872" s="118"/>
      <c r="H872" s="118"/>
      <c r="I872" s="118"/>
      <c r="J872" s="119"/>
      <c r="K872" s="120"/>
      <c r="L872" s="120"/>
      <c r="M872" s="120"/>
      <c r="N872" s="120"/>
      <c r="O872" s="118"/>
      <c r="P872" s="120"/>
      <c r="Q872" s="121"/>
      <c r="R872" s="109" t="b">
        <v>0</v>
      </c>
      <c r="S872" s="143"/>
      <c r="T872" s="110"/>
      <c r="U872" s="118"/>
      <c r="V872" s="118"/>
      <c r="W872" s="118"/>
      <c r="X872" s="118"/>
      <c r="Y872" s="118"/>
      <c r="Z872" s="118"/>
      <c r="AA872" s="118"/>
      <c r="AB872" s="118"/>
      <c r="AC872" s="118"/>
      <c r="AD872" s="111"/>
      <c r="AE872" s="122"/>
      <c r="AF872" s="122"/>
      <c r="AG872" s="122"/>
      <c r="AH872" s="122"/>
    </row>
    <row r="873" ht="22.5" customHeight="1">
      <c r="A873" s="73"/>
      <c r="B873" s="73"/>
      <c r="C873" s="73"/>
      <c r="D873" s="73"/>
      <c r="E873" s="330"/>
      <c r="F873" s="118"/>
      <c r="G873" s="118"/>
      <c r="H873" s="118"/>
      <c r="I873" s="118"/>
      <c r="J873" s="119"/>
      <c r="K873" s="120"/>
      <c r="L873" s="120"/>
      <c r="M873" s="120"/>
      <c r="N873" s="120"/>
      <c r="O873" s="118"/>
      <c r="P873" s="120"/>
      <c r="Q873" s="121"/>
      <c r="R873" s="109" t="b">
        <v>0</v>
      </c>
      <c r="S873" s="143"/>
      <c r="T873" s="110"/>
      <c r="U873" s="118"/>
      <c r="V873" s="118"/>
      <c r="W873" s="118"/>
      <c r="X873" s="118"/>
      <c r="Y873" s="118"/>
      <c r="Z873" s="118"/>
      <c r="AA873" s="118"/>
      <c r="AB873" s="118"/>
      <c r="AC873" s="118"/>
      <c r="AD873" s="111"/>
      <c r="AE873" s="122"/>
      <c r="AF873" s="122"/>
      <c r="AG873" s="122"/>
      <c r="AH873" s="122"/>
    </row>
    <row r="874" ht="22.5" customHeight="1">
      <c r="A874" s="73"/>
      <c r="B874" s="73"/>
      <c r="C874" s="73"/>
      <c r="D874" s="73"/>
      <c r="E874" s="330"/>
      <c r="F874" s="118"/>
      <c r="G874" s="118"/>
      <c r="H874" s="118"/>
      <c r="I874" s="118"/>
      <c r="J874" s="119"/>
      <c r="K874" s="120"/>
      <c r="L874" s="120"/>
      <c r="M874" s="120"/>
      <c r="N874" s="120"/>
      <c r="O874" s="118"/>
      <c r="P874" s="120"/>
      <c r="Q874" s="121"/>
      <c r="R874" s="109" t="b">
        <v>0</v>
      </c>
      <c r="S874" s="143"/>
      <c r="T874" s="110"/>
      <c r="U874" s="118"/>
      <c r="V874" s="118"/>
      <c r="W874" s="118"/>
      <c r="X874" s="118"/>
      <c r="Y874" s="118"/>
      <c r="Z874" s="118"/>
      <c r="AA874" s="118"/>
      <c r="AB874" s="118"/>
      <c r="AC874" s="118"/>
      <c r="AD874" s="111"/>
      <c r="AE874" s="122"/>
      <c r="AF874" s="122"/>
      <c r="AG874" s="122"/>
      <c r="AH874" s="122"/>
    </row>
    <row r="875" ht="22.5" customHeight="1">
      <c r="A875" s="73"/>
      <c r="B875" s="73"/>
      <c r="C875" s="73"/>
      <c r="D875" s="73"/>
      <c r="E875" s="330"/>
      <c r="F875" s="118"/>
      <c r="G875" s="118"/>
      <c r="H875" s="118"/>
      <c r="I875" s="118"/>
      <c r="J875" s="119"/>
      <c r="K875" s="120"/>
      <c r="L875" s="120"/>
      <c r="M875" s="120"/>
      <c r="N875" s="120"/>
      <c r="O875" s="118"/>
      <c r="P875" s="120"/>
      <c r="Q875" s="121"/>
      <c r="R875" s="109" t="b">
        <v>0</v>
      </c>
      <c r="S875" s="143"/>
      <c r="T875" s="110"/>
      <c r="U875" s="118"/>
      <c r="V875" s="118"/>
      <c r="W875" s="118"/>
      <c r="X875" s="118"/>
      <c r="Y875" s="118"/>
      <c r="Z875" s="118"/>
      <c r="AA875" s="118"/>
      <c r="AB875" s="118"/>
      <c r="AC875" s="118"/>
      <c r="AD875" s="111"/>
      <c r="AE875" s="122"/>
      <c r="AF875" s="122"/>
      <c r="AG875" s="122"/>
      <c r="AH875" s="122"/>
    </row>
    <row r="876" ht="22.5" customHeight="1">
      <c r="A876" s="73"/>
      <c r="B876" s="73"/>
      <c r="C876" s="73"/>
      <c r="D876" s="73"/>
      <c r="E876" s="330"/>
      <c r="F876" s="118"/>
      <c r="G876" s="118"/>
      <c r="H876" s="118"/>
      <c r="I876" s="118"/>
      <c r="J876" s="119"/>
      <c r="K876" s="120"/>
      <c r="L876" s="120"/>
      <c r="M876" s="120"/>
      <c r="N876" s="120"/>
      <c r="O876" s="118"/>
      <c r="P876" s="120"/>
      <c r="Q876" s="121"/>
      <c r="R876" s="109" t="b">
        <v>0</v>
      </c>
      <c r="S876" s="143"/>
      <c r="T876" s="110"/>
      <c r="U876" s="118"/>
      <c r="V876" s="118"/>
      <c r="W876" s="118"/>
      <c r="X876" s="118"/>
      <c r="Y876" s="118"/>
      <c r="Z876" s="118"/>
      <c r="AA876" s="118"/>
      <c r="AB876" s="118"/>
      <c r="AC876" s="118"/>
      <c r="AD876" s="111"/>
      <c r="AE876" s="122"/>
      <c r="AF876" s="122"/>
      <c r="AG876" s="122"/>
      <c r="AH876" s="122"/>
    </row>
    <row r="877" ht="22.5" customHeight="1">
      <c r="A877" s="73"/>
      <c r="B877" s="73"/>
      <c r="C877" s="73"/>
      <c r="D877" s="73"/>
      <c r="E877" s="330"/>
      <c r="F877" s="118"/>
      <c r="G877" s="118"/>
      <c r="H877" s="118"/>
      <c r="I877" s="118"/>
      <c r="J877" s="119"/>
      <c r="K877" s="120"/>
      <c r="L877" s="120"/>
      <c r="M877" s="120"/>
      <c r="N877" s="120"/>
      <c r="O877" s="118"/>
      <c r="P877" s="120"/>
      <c r="Q877" s="121"/>
      <c r="R877" s="109" t="b">
        <v>0</v>
      </c>
      <c r="S877" s="143"/>
      <c r="T877" s="110"/>
      <c r="U877" s="118"/>
      <c r="V877" s="118"/>
      <c r="W877" s="118"/>
      <c r="X877" s="118"/>
      <c r="Y877" s="118"/>
      <c r="Z877" s="118"/>
      <c r="AA877" s="118"/>
      <c r="AB877" s="118"/>
      <c r="AC877" s="118"/>
      <c r="AD877" s="111"/>
      <c r="AE877" s="122"/>
      <c r="AF877" s="122"/>
      <c r="AG877" s="122"/>
      <c r="AH877" s="122"/>
    </row>
    <row r="878" ht="22.5" customHeight="1">
      <c r="A878" s="73"/>
      <c r="B878" s="73"/>
      <c r="C878" s="73"/>
      <c r="D878" s="73"/>
      <c r="E878" s="330"/>
      <c r="F878" s="118"/>
      <c r="G878" s="118"/>
      <c r="H878" s="118"/>
      <c r="I878" s="118"/>
      <c r="J878" s="119"/>
      <c r="K878" s="120"/>
      <c r="L878" s="120"/>
      <c r="M878" s="120"/>
      <c r="N878" s="120"/>
      <c r="O878" s="118"/>
      <c r="P878" s="120"/>
      <c r="Q878" s="121"/>
      <c r="R878" s="109" t="b">
        <v>0</v>
      </c>
      <c r="S878" s="143"/>
      <c r="T878" s="110"/>
      <c r="U878" s="118"/>
      <c r="V878" s="118"/>
      <c r="W878" s="118"/>
      <c r="X878" s="118"/>
      <c r="Y878" s="118"/>
      <c r="Z878" s="118"/>
      <c r="AA878" s="118"/>
      <c r="AB878" s="118"/>
      <c r="AC878" s="118"/>
      <c r="AD878" s="111"/>
      <c r="AE878" s="122"/>
      <c r="AF878" s="122"/>
      <c r="AG878" s="122"/>
      <c r="AH878" s="122"/>
    </row>
    <row r="879" ht="22.5" customHeight="1">
      <c r="A879" s="73"/>
      <c r="B879" s="73"/>
      <c r="C879" s="73"/>
      <c r="D879" s="73"/>
      <c r="E879" s="330"/>
      <c r="F879" s="118"/>
      <c r="G879" s="118"/>
      <c r="H879" s="118"/>
      <c r="I879" s="118"/>
      <c r="J879" s="119"/>
      <c r="K879" s="120"/>
      <c r="L879" s="120"/>
      <c r="M879" s="120"/>
      <c r="N879" s="120"/>
      <c r="O879" s="118"/>
      <c r="P879" s="120"/>
      <c r="Q879" s="121"/>
      <c r="R879" s="109" t="b">
        <v>0</v>
      </c>
      <c r="S879" s="143"/>
      <c r="T879" s="110"/>
      <c r="U879" s="118"/>
      <c r="V879" s="118"/>
      <c r="W879" s="118"/>
      <c r="X879" s="118"/>
      <c r="Y879" s="118"/>
      <c r="Z879" s="118"/>
      <c r="AA879" s="118"/>
      <c r="AB879" s="118"/>
      <c r="AC879" s="118"/>
      <c r="AD879" s="111"/>
      <c r="AE879" s="122"/>
      <c r="AF879" s="122"/>
      <c r="AG879" s="122"/>
      <c r="AH879" s="122"/>
    </row>
    <row r="880" ht="22.5" customHeight="1">
      <c r="A880" s="73"/>
      <c r="B880" s="73"/>
      <c r="C880" s="73"/>
      <c r="D880" s="73"/>
      <c r="E880" s="330"/>
      <c r="F880" s="118"/>
      <c r="G880" s="118"/>
      <c r="H880" s="118"/>
      <c r="I880" s="118"/>
      <c r="J880" s="119"/>
      <c r="K880" s="120"/>
      <c r="L880" s="120"/>
      <c r="M880" s="120"/>
      <c r="N880" s="120"/>
      <c r="O880" s="118"/>
      <c r="P880" s="120"/>
      <c r="Q880" s="121"/>
      <c r="R880" s="109" t="b">
        <v>0</v>
      </c>
      <c r="S880" s="143"/>
      <c r="T880" s="110"/>
      <c r="U880" s="118"/>
      <c r="V880" s="118"/>
      <c r="W880" s="118"/>
      <c r="X880" s="118"/>
      <c r="Y880" s="118"/>
      <c r="Z880" s="118"/>
      <c r="AA880" s="118"/>
      <c r="AB880" s="118"/>
      <c r="AC880" s="118"/>
      <c r="AD880" s="111"/>
      <c r="AE880" s="122"/>
      <c r="AF880" s="122"/>
      <c r="AG880" s="122"/>
      <c r="AH880" s="122"/>
    </row>
    <row r="881" ht="22.5" customHeight="1">
      <c r="A881" s="73"/>
      <c r="B881" s="73"/>
      <c r="C881" s="73"/>
      <c r="D881" s="73"/>
      <c r="E881" s="330"/>
      <c r="F881" s="118"/>
      <c r="G881" s="118"/>
      <c r="H881" s="118"/>
      <c r="I881" s="118"/>
      <c r="J881" s="119"/>
      <c r="K881" s="120"/>
      <c r="L881" s="120"/>
      <c r="M881" s="120"/>
      <c r="N881" s="120"/>
      <c r="O881" s="118"/>
      <c r="P881" s="120"/>
      <c r="Q881" s="121"/>
      <c r="R881" s="109" t="b">
        <v>0</v>
      </c>
      <c r="S881" s="143"/>
      <c r="T881" s="110"/>
      <c r="U881" s="118"/>
      <c r="V881" s="118"/>
      <c r="W881" s="118"/>
      <c r="X881" s="118"/>
      <c r="Y881" s="118"/>
      <c r="Z881" s="118"/>
      <c r="AA881" s="118"/>
      <c r="AB881" s="118"/>
      <c r="AC881" s="118"/>
      <c r="AD881" s="111"/>
      <c r="AE881" s="122"/>
      <c r="AF881" s="122"/>
      <c r="AG881" s="122"/>
      <c r="AH881" s="122"/>
    </row>
    <row r="882" ht="22.5" customHeight="1">
      <c r="A882" s="73"/>
      <c r="B882" s="73"/>
      <c r="C882" s="73"/>
      <c r="D882" s="73"/>
      <c r="E882" s="330"/>
      <c r="F882" s="118"/>
      <c r="G882" s="118"/>
      <c r="H882" s="118"/>
      <c r="I882" s="118"/>
      <c r="J882" s="119"/>
      <c r="K882" s="120"/>
      <c r="L882" s="120"/>
      <c r="M882" s="120"/>
      <c r="N882" s="120"/>
      <c r="O882" s="118"/>
      <c r="P882" s="120"/>
      <c r="Q882" s="121"/>
      <c r="R882" s="109" t="b">
        <v>0</v>
      </c>
      <c r="S882" s="143"/>
      <c r="T882" s="110"/>
      <c r="U882" s="118"/>
      <c r="V882" s="118"/>
      <c r="W882" s="118"/>
      <c r="X882" s="118"/>
      <c r="Y882" s="118"/>
      <c r="Z882" s="118"/>
      <c r="AA882" s="118"/>
      <c r="AB882" s="118"/>
      <c r="AC882" s="118"/>
      <c r="AD882" s="111"/>
      <c r="AE882" s="122"/>
      <c r="AF882" s="122"/>
      <c r="AG882" s="122"/>
      <c r="AH882" s="122"/>
    </row>
    <row r="883" ht="22.5" customHeight="1">
      <c r="A883" s="73"/>
      <c r="B883" s="73"/>
      <c r="C883" s="73"/>
      <c r="D883" s="73"/>
      <c r="E883" s="330"/>
      <c r="F883" s="118"/>
      <c r="G883" s="118"/>
      <c r="H883" s="118"/>
      <c r="I883" s="118"/>
      <c r="J883" s="119"/>
      <c r="K883" s="120"/>
      <c r="L883" s="120"/>
      <c r="M883" s="120"/>
      <c r="N883" s="120"/>
      <c r="O883" s="118"/>
      <c r="P883" s="120"/>
      <c r="Q883" s="121"/>
      <c r="R883" s="109" t="b">
        <v>0</v>
      </c>
      <c r="S883" s="143"/>
      <c r="T883" s="110"/>
      <c r="U883" s="118"/>
      <c r="V883" s="118"/>
      <c r="W883" s="118"/>
      <c r="X883" s="118"/>
      <c r="Y883" s="118"/>
      <c r="Z883" s="118"/>
      <c r="AA883" s="118"/>
      <c r="AB883" s="118"/>
      <c r="AC883" s="118"/>
      <c r="AD883" s="111"/>
      <c r="AE883" s="122"/>
      <c r="AF883" s="122"/>
      <c r="AG883" s="122"/>
      <c r="AH883" s="122"/>
    </row>
    <row r="884" ht="22.5" customHeight="1">
      <c r="A884" s="73"/>
      <c r="B884" s="73"/>
      <c r="C884" s="73"/>
      <c r="D884" s="73"/>
      <c r="E884" s="330"/>
      <c r="F884" s="118"/>
      <c r="G884" s="118"/>
      <c r="H884" s="118"/>
      <c r="I884" s="118"/>
      <c r="J884" s="119"/>
      <c r="K884" s="120"/>
      <c r="L884" s="120"/>
      <c r="M884" s="120"/>
      <c r="N884" s="120"/>
      <c r="O884" s="118"/>
      <c r="P884" s="120"/>
      <c r="Q884" s="121"/>
      <c r="R884" s="109" t="b">
        <v>0</v>
      </c>
      <c r="S884" s="143"/>
      <c r="T884" s="110"/>
      <c r="U884" s="118"/>
      <c r="V884" s="118"/>
      <c r="W884" s="118"/>
      <c r="X884" s="118"/>
      <c r="Y884" s="118"/>
      <c r="Z884" s="118"/>
      <c r="AA884" s="118"/>
      <c r="AB884" s="118"/>
      <c r="AC884" s="118"/>
      <c r="AD884" s="111"/>
      <c r="AE884" s="122"/>
      <c r="AF884" s="122"/>
      <c r="AG884" s="122"/>
      <c r="AH884" s="122"/>
    </row>
    <row r="885" ht="22.5" customHeight="1">
      <c r="A885" s="73"/>
      <c r="B885" s="73"/>
      <c r="C885" s="73"/>
      <c r="D885" s="73"/>
      <c r="E885" s="330"/>
      <c r="F885" s="118"/>
      <c r="G885" s="118"/>
      <c r="H885" s="118"/>
      <c r="I885" s="118"/>
      <c r="J885" s="119"/>
      <c r="K885" s="120"/>
      <c r="L885" s="120"/>
      <c r="M885" s="120"/>
      <c r="N885" s="120"/>
      <c r="O885" s="118"/>
      <c r="P885" s="120"/>
      <c r="Q885" s="121"/>
      <c r="R885" s="109" t="b">
        <v>0</v>
      </c>
      <c r="S885" s="143"/>
      <c r="T885" s="110"/>
      <c r="U885" s="118"/>
      <c r="V885" s="118"/>
      <c r="W885" s="118"/>
      <c r="X885" s="118"/>
      <c r="Y885" s="118"/>
      <c r="Z885" s="118"/>
      <c r="AA885" s="118"/>
      <c r="AB885" s="118"/>
      <c r="AC885" s="118"/>
      <c r="AD885" s="111"/>
      <c r="AE885" s="122"/>
      <c r="AF885" s="122"/>
      <c r="AG885" s="122"/>
      <c r="AH885" s="122"/>
    </row>
    <row r="886" ht="22.5" customHeight="1">
      <c r="A886" s="73"/>
      <c r="B886" s="73"/>
      <c r="C886" s="73"/>
      <c r="D886" s="73"/>
      <c r="E886" s="330"/>
      <c r="F886" s="118"/>
      <c r="G886" s="118"/>
      <c r="H886" s="118"/>
      <c r="I886" s="118"/>
      <c r="J886" s="119"/>
      <c r="K886" s="120"/>
      <c r="L886" s="120"/>
      <c r="M886" s="120"/>
      <c r="N886" s="120"/>
      <c r="O886" s="118"/>
      <c r="P886" s="120"/>
      <c r="Q886" s="121"/>
      <c r="R886" s="109" t="b">
        <v>0</v>
      </c>
      <c r="S886" s="143"/>
      <c r="T886" s="110"/>
      <c r="U886" s="118"/>
      <c r="V886" s="118"/>
      <c r="W886" s="118"/>
      <c r="X886" s="118"/>
      <c r="Y886" s="118"/>
      <c r="Z886" s="118"/>
      <c r="AA886" s="118"/>
      <c r="AB886" s="118"/>
      <c r="AC886" s="118"/>
      <c r="AD886" s="111"/>
      <c r="AE886" s="122"/>
      <c r="AF886" s="122"/>
      <c r="AG886" s="122"/>
      <c r="AH886" s="122"/>
    </row>
    <row r="887" ht="22.5" customHeight="1">
      <c r="A887" s="73"/>
      <c r="B887" s="73"/>
      <c r="C887" s="73"/>
      <c r="D887" s="73"/>
      <c r="E887" s="330"/>
      <c r="F887" s="118"/>
      <c r="G887" s="118"/>
      <c r="H887" s="118"/>
      <c r="I887" s="118"/>
      <c r="J887" s="119"/>
      <c r="K887" s="120"/>
      <c r="L887" s="120"/>
      <c r="M887" s="120"/>
      <c r="N887" s="120"/>
      <c r="O887" s="118"/>
      <c r="P887" s="120"/>
      <c r="Q887" s="121"/>
      <c r="R887" s="109" t="b">
        <v>0</v>
      </c>
      <c r="S887" s="143"/>
      <c r="T887" s="110"/>
      <c r="U887" s="118"/>
      <c r="V887" s="118"/>
      <c r="W887" s="118"/>
      <c r="X887" s="118"/>
      <c r="Y887" s="118"/>
      <c r="Z887" s="118"/>
      <c r="AA887" s="118"/>
      <c r="AB887" s="118"/>
      <c r="AC887" s="118"/>
      <c r="AD887" s="111"/>
      <c r="AE887" s="122"/>
      <c r="AF887" s="122"/>
      <c r="AG887" s="122"/>
      <c r="AH887" s="122"/>
    </row>
    <row r="888" ht="22.5" customHeight="1">
      <c r="A888" s="73"/>
      <c r="B888" s="73"/>
      <c r="C888" s="73"/>
      <c r="D888" s="73"/>
      <c r="E888" s="330"/>
      <c r="F888" s="118"/>
      <c r="G888" s="118"/>
      <c r="H888" s="118"/>
      <c r="I888" s="118"/>
      <c r="J888" s="119"/>
      <c r="K888" s="120"/>
      <c r="L888" s="120"/>
      <c r="M888" s="120"/>
      <c r="N888" s="120"/>
      <c r="O888" s="118"/>
      <c r="P888" s="120"/>
      <c r="Q888" s="121"/>
      <c r="R888" s="109" t="b">
        <v>0</v>
      </c>
      <c r="S888" s="143"/>
      <c r="T888" s="110"/>
      <c r="U888" s="118"/>
      <c r="V888" s="118"/>
      <c r="W888" s="118"/>
      <c r="X888" s="118"/>
      <c r="Y888" s="118"/>
      <c r="Z888" s="118"/>
      <c r="AA888" s="118"/>
      <c r="AB888" s="118"/>
      <c r="AC888" s="118"/>
      <c r="AD888" s="111"/>
      <c r="AE888" s="122"/>
      <c r="AF888" s="122"/>
      <c r="AG888" s="122"/>
      <c r="AH888" s="122"/>
    </row>
    <row r="889" ht="22.5" customHeight="1">
      <c r="A889" s="73"/>
      <c r="B889" s="73"/>
      <c r="C889" s="73"/>
      <c r="D889" s="73"/>
      <c r="E889" s="330"/>
      <c r="F889" s="118"/>
      <c r="G889" s="118"/>
      <c r="H889" s="118"/>
      <c r="I889" s="118"/>
      <c r="J889" s="119"/>
      <c r="K889" s="120"/>
      <c r="L889" s="120"/>
      <c r="M889" s="120"/>
      <c r="N889" s="120"/>
      <c r="O889" s="118"/>
      <c r="P889" s="120"/>
      <c r="Q889" s="121"/>
      <c r="R889" s="109" t="b">
        <v>0</v>
      </c>
      <c r="S889" s="143"/>
      <c r="T889" s="110"/>
      <c r="U889" s="118"/>
      <c r="V889" s="118"/>
      <c r="W889" s="118"/>
      <c r="X889" s="118"/>
      <c r="Y889" s="118"/>
      <c r="Z889" s="118"/>
      <c r="AA889" s="118"/>
      <c r="AB889" s="118"/>
      <c r="AC889" s="118"/>
      <c r="AD889" s="111"/>
      <c r="AE889" s="122"/>
      <c r="AF889" s="122"/>
      <c r="AG889" s="122"/>
      <c r="AH889" s="122"/>
    </row>
    <row r="890" ht="22.5" customHeight="1">
      <c r="A890" s="73"/>
      <c r="B890" s="73"/>
      <c r="C890" s="73"/>
      <c r="D890" s="73"/>
      <c r="E890" s="330"/>
      <c r="F890" s="118"/>
      <c r="G890" s="118"/>
      <c r="H890" s="118"/>
      <c r="I890" s="118"/>
      <c r="J890" s="119"/>
      <c r="K890" s="120"/>
      <c r="L890" s="120"/>
      <c r="M890" s="120"/>
      <c r="N890" s="120"/>
      <c r="O890" s="118"/>
      <c r="P890" s="120"/>
      <c r="Q890" s="121"/>
      <c r="R890" s="109" t="b">
        <v>0</v>
      </c>
      <c r="S890" s="143"/>
      <c r="T890" s="110"/>
      <c r="U890" s="118"/>
      <c r="V890" s="118"/>
      <c r="W890" s="118"/>
      <c r="X890" s="118"/>
      <c r="Y890" s="118"/>
      <c r="Z890" s="118"/>
      <c r="AA890" s="118"/>
      <c r="AB890" s="118"/>
      <c r="AC890" s="118"/>
      <c r="AD890" s="111"/>
      <c r="AE890" s="122"/>
      <c r="AF890" s="122"/>
      <c r="AG890" s="122"/>
      <c r="AH890" s="122"/>
    </row>
    <row r="891" ht="22.5" customHeight="1">
      <c r="A891" s="73"/>
      <c r="B891" s="73"/>
      <c r="C891" s="73"/>
      <c r="D891" s="73"/>
      <c r="E891" s="330"/>
      <c r="F891" s="118"/>
      <c r="G891" s="118"/>
      <c r="H891" s="118"/>
      <c r="I891" s="118"/>
      <c r="J891" s="119"/>
      <c r="K891" s="120"/>
      <c r="L891" s="120"/>
      <c r="M891" s="120"/>
      <c r="N891" s="120"/>
      <c r="O891" s="118"/>
      <c r="P891" s="120"/>
      <c r="Q891" s="121"/>
      <c r="R891" s="109" t="b">
        <v>0</v>
      </c>
      <c r="S891" s="143"/>
      <c r="T891" s="110"/>
      <c r="U891" s="118"/>
      <c r="V891" s="118"/>
      <c r="W891" s="118"/>
      <c r="X891" s="118"/>
      <c r="Y891" s="118"/>
      <c r="Z891" s="118"/>
      <c r="AA891" s="118"/>
      <c r="AB891" s="118"/>
      <c r="AC891" s="118"/>
      <c r="AD891" s="111"/>
      <c r="AE891" s="122"/>
      <c r="AF891" s="122"/>
      <c r="AG891" s="122"/>
      <c r="AH891" s="122"/>
    </row>
    <row r="892" ht="22.5" customHeight="1">
      <c r="A892" s="73"/>
      <c r="B892" s="73"/>
      <c r="C892" s="73"/>
      <c r="D892" s="73"/>
      <c r="E892" s="330"/>
      <c r="F892" s="118"/>
      <c r="G892" s="118"/>
      <c r="H892" s="118"/>
      <c r="I892" s="118"/>
      <c r="J892" s="119"/>
      <c r="K892" s="120"/>
      <c r="L892" s="120"/>
      <c r="M892" s="120"/>
      <c r="N892" s="120"/>
      <c r="O892" s="118"/>
      <c r="P892" s="120"/>
      <c r="Q892" s="121"/>
      <c r="R892" s="109" t="b">
        <v>0</v>
      </c>
      <c r="S892" s="143"/>
      <c r="T892" s="110"/>
      <c r="U892" s="118"/>
      <c r="V892" s="118"/>
      <c r="W892" s="118"/>
      <c r="X892" s="118"/>
      <c r="Y892" s="118"/>
      <c r="Z892" s="118"/>
      <c r="AA892" s="118"/>
      <c r="AB892" s="118"/>
      <c r="AC892" s="118"/>
      <c r="AD892" s="111"/>
      <c r="AE892" s="122"/>
      <c r="AF892" s="122"/>
      <c r="AG892" s="122"/>
      <c r="AH892" s="122"/>
    </row>
    <row r="893" ht="22.5" customHeight="1">
      <c r="A893" s="73"/>
      <c r="B893" s="73"/>
      <c r="C893" s="73"/>
      <c r="D893" s="73"/>
      <c r="E893" s="330"/>
      <c r="F893" s="118"/>
      <c r="G893" s="118"/>
      <c r="H893" s="118"/>
      <c r="I893" s="118"/>
      <c r="J893" s="119"/>
      <c r="K893" s="120"/>
      <c r="L893" s="120"/>
      <c r="M893" s="120"/>
      <c r="N893" s="120"/>
      <c r="O893" s="118"/>
      <c r="P893" s="120"/>
      <c r="Q893" s="121"/>
      <c r="R893" s="109" t="b">
        <v>0</v>
      </c>
      <c r="S893" s="143"/>
      <c r="T893" s="110"/>
      <c r="U893" s="118"/>
      <c r="V893" s="118"/>
      <c r="W893" s="118"/>
      <c r="X893" s="118"/>
      <c r="Y893" s="118"/>
      <c r="Z893" s="118"/>
      <c r="AA893" s="118"/>
      <c r="AB893" s="118"/>
      <c r="AC893" s="118"/>
      <c r="AD893" s="111"/>
      <c r="AE893" s="122"/>
      <c r="AF893" s="122"/>
      <c r="AG893" s="122"/>
      <c r="AH893" s="122"/>
    </row>
    <row r="894" ht="22.5" customHeight="1">
      <c r="A894" s="73"/>
      <c r="B894" s="73"/>
      <c r="C894" s="73"/>
      <c r="D894" s="73"/>
      <c r="E894" s="330"/>
      <c r="F894" s="118"/>
      <c r="G894" s="118"/>
      <c r="H894" s="118"/>
      <c r="I894" s="118"/>
      <c r="J894" s="119"/>
      <c r="K894" s="120"/>
      <c r="L894" s="120"/>
      <c r="M894" s="120"/>
      <c r="N894" s="120"/>
      <c r="O894" s="118"/>
      <c r="P894" s="120"/>
      <c r="Q894" s="121"/>
      <c r="R894" s="109" t="b">
        <v>0</v>
      </c>
      <c r="S894" s="143"/>
      <c r="T894" s="110"/>
      <c r="U894" s="118"/>
      <c r="V894" s="118"/>
      <c r="W894" s="118"/>
      <c r="X894" s="118"/>
      <c r="Y894" s="118"/>
      <c r="Z894" s="118"/>
      <c r="AA894" s="118"/>
      <c r="AB894" s="118"/>
      <c r="AC894" s="118"/>
      <c r="AD894" s="111"/>
      <c r="AE894" s="122"/>
      <c r="AF894" s="122"/>
      <c r="AG894" s="122"/>
      <c r="AH894" s="122"/>
    </row>
    <row r="895" ht="22.5" customHeight="1">
      <c r="A895" s="73"/>
      <c r="B895" s="73"/>
      <c r="C895" s="73"/>
      <c r="D895" s="73"/>
      <c r="E895" s="330"/>
      <c r="F895" s="118"/>
      <c r="G895" s="118"/>
      <c r="H895" s="118"/>
      <c r="I895" s="118"/>
      <c r="J895" s="119"/>
      <c r="K895" s="120"/>
      <c r="L895" s="120"/>
      <c r="M895" s="120"/>
      <c r="N895" s="120"/>
      <c r="O895" s="118"/>
      <c r="P895" s="120"/>
      <c r="Q895" s="121"/>
      <c r="R895" s="109" t="b">
        <v>0</v>
      </c>
      <c r="S895" s="143"/>
      <c r="T895" s="110"/>
      <c r="U895" s="118"/>
      <c r="V895" s="118"/>
      <c r="W895" s="118"/>
      <c r="X895" s="118"/>
      <c r="Y895" s="118"/>
      <c r="Z895" s="118"/>
      <c r="AA895" s="118"/>
      <c r="AB895" s="118"/>
      <c r="AC895" s="118"/>
      <c r="AD895" s="111"/>
      <c r="AE895" s="122"/>
      <c r="AF895" s="122"/>
      <c r="AG895" s="122"/>
      <c r="AH895" s="122"/>
    </row>
    <row r="896" ht="22.5" customHeight="1">
      <c r="A896" s="73"/>
      <c r="B896" s="73"/>
      <c r="C896" s="73"/>
      <c r="D896" s="73"/>
      <c r="E896" s="330"/>
      <c r="F896" s="118"/>
      <c r="G896" s="118"/>
      <c r="H896" s="118"/>
      <c r="I896" s="118"/>
      <c r="J896" s="119"/>
      <c r="K896" s="120"/>
      <c r="L896" s="120"/>
      <c r="M896" s="120"/>
      <c r="N896" s="120"/>
      <c r="O896" s="118"/>
      <c r="P896" s="120"/>
      <c r="Q896" s="121"/>
      <c r="R896" s="109" t="b">
        <v>0</v>
      </c>
      <c r="S896" s="143"/>
      <c r="T896" s="110"/>
      <c r="U896" s="118"/>
      <c r="V896" s="118"/>
      <c r="W896" s="118"/>
      <c r="X896" s="118"/>
      <c r="Y896" s="118"/>
      <c r="Z896" s="118"/>
      <c r="AA896" s="118"/>
      <c r="AB896" s="118"/>
      <c r="AC896" s="118"/>
      <c r="AD896" s="111"/>
      <c r="AE896" s="122"/>
      <c r="AF896" s="122"/>
      <c r="AG896" s="122"/>
      <c r="AH896" s="122"/>
    </row>
    <row r="897" ht="22.5" customHeight="1">
      <c r="A897" s="73"/>
      <c r="B897" s="73"/>
      <c r="C897" s="73"/>
      <c r="D897" s="73"/>
      <c r="E897" s="330"/>
      <c r="F897" s="118"/>
      <c r="G897" s="118"/>
      <c r="H897" s="118"/>
      <c r="I897" s="118"/>
      <c r="J897" s="119"/>
      <c r="K897" s="120"/>
      <c r="L897" s="120"/>
      <c r="M897" s="120"/>
      <c r="N897" s="120"/>
      <c r="O897" s="118"/>
      <c r="P897" s="120"/>
      <c r="Q897" s="121"/>
      <c r="R897" s="109" t="b">
        <v>0</v>
      </c>
      <c r="S897" s="143"/>
      <c r="T897" s="110"/>
      <c r="U897" s="118"/>
      <c r="V897" s="118"/>
      <c r="W897" s="118"/>
      <c r="X897" s="118"/>
      <c r="Y897" s="118"/>
      <c r="Z897" s="118"/>
      <c r="AA897" s="118"/>
      <c r="AB897" s="118"/>
      <c r="AC897" s="118"/>
      <c r="AD897" s="111"/>
      <c r="AE897" s="122"/>
      <c r="AF897" s="122"/>
      <c r="AG897" s="122"/>
      <c r="AH897" s="122"/>
    </row>
    <row r="898" ht="22.5" customHeight="1">
      <c r="A898" s="73"/>
      <c r="B898" s="73"/>
      <c r="C898" s="73"/>
      <c r="D898" s="73"/>
      <c r="E898" s="330"/>
      <c r="F898" s="118"/>
      <c r="G898" s="118"/>
      <c r="H898" s="118"/>
      <c r="I898" s="118"/>
      <c r="J898" s="119"/>
      <c r="K898" s="120"/>
      <c r="L898" s="120"/>
      <c r="M898" s="120"/>
      <c r="N898" s="120"/>
      <c r="O898" s="118"/>
      <c r="P898" s="120"/>
      <c r="Q898" s="121"/>
      <c r="R898" s="109" t="b">
        <v>0</v>
      </c>
      <c r="S898" s="143"/>
      <c r="T898" s="110"/>
      <c r="U898" s="118"/>
      <c r="V898" s="118"/>
      <c r="W898" s="118"/>
      <c r="X898" s="118"/>
      <c r="Y898" s="118"/>
      <c r="Z898" s="118"/>
      <c r="AA898" s="118"/>
      <c r="AB898" s="118"/>
      <c r="AC898" s="118"/>
      <c r="AD898" s="111"/>
      <c r="AE898" s="122"/>
      <c r="AF898" s="122"/>
      <c r="AG898" s="122"/>
      <c r="AH898" s="122"/>
    </row>
    <row r="899" ht="22.5" customHeight="1">
      <c r="A899" s="73"/>
      <c r="B899" s="73"/>
      <c r="C899" s="73"/>
      <c r="D899" s="73"/>
      <c r="E899" s="330"/>
      <c r="F899" s="118"/>
      <c r="G899" s="118"/>
      <c r="H899" s="118"/>
      <c r="I899" s="118"/>
      <c r="J899" s="119"/>
      <c r="K899" s="120"/>
      <c r="L899" s="120"/>
      <c r="M899" s="120"/>
      <c r="N899" s="120"/>
      <c r="O899" s="118"/>
      <c r="P899" s="120"/>
      <c r="Q899" s="121"/>
      <c r="R899" s="109" t="b">
        <v>0</v>
      </c>
      <c r="S899" s="143"/>
      <c r="T899" s="110"/>
      <c r="U899" s="118"/>
      <c r="V899" s="118"/>
      <c r="W899" s="118"/>
      <c r="X899" s="118"/>
      <c r="Y899" s="118"/>
      <c r="Z899" s="118"/>
      <c r="AA899" s="118"/>
      <c r="AB899" s="118"/>
      <c r="AC899" s="118"/>
      <c r="AD899" s="111"/>
      <c r="AE899" s="122"/>
      <c r="AF899" s="122"/>
      <c r="AG899" s="122"/>
      <c r="AH899" s="122"/>
    </row>
    <row r="900" ht="22.5" customHeight="1">
      <c r="A900" s="73"/>
      <c r="B900" s="73"/>
      <c r="C900" s="73"/>
      <c r="D900" s="73"/>
      <c r="E900" s="330"/>
      <c r="F900" s="118"/>
      <c r="G900" s="118"/>
      <c r="H900" s="118"/>
      <c r="I900" s="118"/>
      <c r="J900" s="119"/>
      <c r="K900" s="120"/>
      <c r="L900" s="120"/>
      <c r="M900" s="120"/>
      <c r="N900" s="120"/>
      <c r="O900" s="118"/>
      <c r="P900" s="120"/>
      <c r="Q900" s="121"/>
      <c r="R900" s="109" t="b">
        <v>0</v>
      </c>
      <c r="S900" s="143"/>
      <c r="T900" s="110"/>
      <c r="U900" s="118"/>
      <c r="V900" s="118"/>
      <c r="W900" s="118"/>
      <c r="X900" s="118"/>
      <c r="Y900" s="118"/>
      <c r="Z900" s="118"/>
      <c r="AA900" s="118"/>
      <c r="AB900" s="118"/>
      <c r="AC900" s="118"/>
      <c r="AD900" s="111"/>
      <c r="AE900" s="122"/>
      <c r="AF900" s="122"/>
      <c r="AG900" s="122"/>
      <c r="AH900" s="122"/>
    </row>
    <row r="901" ht="22.5" customHeight="1">
      <c r="A901" s="73"/>
      <c r="B901" s="73"/>
      <c r="C901" s="73"/>
      <c r="D901" s="73"/>
      <c r="E901" s="330"/>
      <c r="F901" s="118"/>
      <c r="G901" s="118"/>
      <c r="H901" s="118"/>
      <c r="I901" s="118"/>
      <c r="J901" s="119"/>
      <c r="K901" s="120"/>
      <c r="L901" s="120"/>
      <c r="M901" s="120"/>
      <c r="N901" s="120"/>
      <c r="O901" s="118"/>
      <c r="P901" s="120"/>
      <c r="Q901" s="121"/>
      <c r="R901" s="109" t="b">
        <v>0</v>
      </c>
      <c r="S901" s="143"/>
      <c r="T901" s="110"/>
      <c r="U901" s="118"/>
      <c r="V901" s="118"/>
      <c r="W901" s="118"/>
      <c r="X901" s="118"/>
      <c r="Y901" s="118"/>
      <c r="Z901" s="118"/>
      <c r="AA901" s="118"/>
      <c r="AB901" s="118"/>
      <c r="AC901" s="118"/>
      <c r="AD901" s="111"/>
      <c r="AE901" s="122"/>
      <c r="AF901" s="122"/>
      <c r="AG901" s="122"/>
      <c r="AH901" s="122"/>
    </row>
    <row r="902" ht="22.5" customHeight="1">
      <c r="A902" s="73"/>
      <c r="B902" s="73"/>
      <c r="C902" s="73"/>
      <c r="D902" s="73"/>
      <c r="E902" s="330"/>
      <c r="F902" s="118"/>
      <c r="G902" s="118"/>
      <c r="H902" s="118"/>
      <c r="I902" s="118"/>
      <c r="J902" s="119"/>
      <c r="K902" s="120"/>
      <c r="L902" s="120"/>
      <c r="M902" s="120"/>
      <c r="N902" s="120"/>
      <c r="O902" s="118"/>
      <c r="P902" s="120"/>
      <c r="Q902" s="121"/>
      <c r="R902" s="109" t="b">
        <v>0</v>
      </c>
      <c r="S902" s="143"/>
      <c r="T902" s="110"/>
      <c r="U902" s="118"/>
      <c r="V902" s="118"/>
      <c r="W902" s="118"/>
      <c r="X902" s="118"/>
      <c r="Y902" s="118"/>
      <c r="Z902" s="118"/>
      <c r="AA902" s="118"/>
      <c r="AB902" s="118"/>
      <c r="AC902" s="118"/>
      <c r="AD902" s="111"/>
      <c r="AE902" s="122"/>
      <c r="AF902" s="122"/>
      <c r="AG902" s="122"/>
      <c r="AH902" s="122"/>
    </row>
    <row r="903" ht="22.5" customHeight="1">
      <c r="A903" s="73"/>
      <c r="B903" s="73"/>
      <c r="C903" s="73"/>
      <c r="D903" s="73"/>
      <c r="E903" s="330"/>
      <c r="F903" s="118"/>
      <c r="G903" s="118"/>
      <c r="H903" s="118"/>
      <c r="I903" s="118"/>
      <c r="J903" s="119"/>
      <c r="K903" s="120"/>
      <c r="L903" s="120"/>
      <c r="M903" s="120"/>
      <c r="N903" s="120"/>
      <c r="O903" s="118"/>
      <c r="P903" s="120"/>
      <c r="Q903" s="121"/>
      <c r="R903" s="109" t="b">
        <v>0</v>
      </c>
      <c r="S903" s="143"/>
      <c r="T903" s="110"/>
      <c r="U903" s="118"/>
      <c r="V903" s="118"/>
      <c r="W903" s="118"/>
      <c r="X903" s="118"/>
      <c r="Y903" s="118"/>
      <c r="Z903" s="118"/>
      <c r="AA903" s="118"/>
      <c r="AB903" s="118"/>
      <c r="AC903" s="118"/>
      <c r="AD903" s="111"/>
      <c r="AE903" s="122"/>
      <c r="AF903" s="122"/>
      <c r="AG903" s="122"/>
      <c r="AH903" s="122"/>
    </row>
    <row r="904" ht="22.5" customHeight="1">
      <c r="A904" s="73"/>
      <c r="B904" s="73"/>
      <c r="C904" s="73"/>
      <c r="D904" s="73"/>
      <c r="E904" s="330"/>
      <c r="F904" s="118"/>
      <c r="G904" s="118"/>
      <c r="H904" s="118"/>
      <c r="I904" s="118"/>
      <c r="J904" s="119"/>
      <c r="K904" s="120"/>
      <c r="L904" s="120"/>
      <c r="M904" s="120"/>
      <c r="N904" s="120"/>
      <c r="O904" s="118"/>
      <c r="P904" s="120"/>
      <c r="Q904" s="121"/>
      <c r="R904" s="109" t="b">
        <v>0</v>
      </c>
      <c r="S904" s="143"/>
      <c r="T904" s="110"/>
      <c r="U904" s="118"/>
      <c r="V904" s="118"/>
      <c r="W904" s="118"/>
      <c r="X904" s="118"/>
      <c r="Y904" s="118"/>
      <c r="Z904" s="118"/>
      <c r="AA904" s="118"/>
      <c r="AB904" s="118"/>
      <c r="AC904" s="118"/>
      <c r="AD904" s="111"/>
      <c r="AE904" s="122"/>
      <c r="AF904" s="122"/>
      <c r="AG904" s="122"/>
      <c r="AH904" s="122"/>
    </row>
    <row r="905" ht="22.5" customHeight="1">
      <c r="A905" s="73"/>
      <c r="B905" s="73"/>
      <c r="C905" s="73"/>
      <c r="D905" s="73"/>
      <c r="E905" s="330"/>
      <c r="F905" s="118"/>
      <c r="G905" s="118"/>
      <c r="H905" s="118"/>
      <c r="I905" s="118"/>
      <c r="J905" s="119"/>
      <c r="K905" s="120"/>
      <c r="L905" s="120"/>
      <c r="M905" s="120"/>
      <c r="N905" s="120"/>
      <c r="O905" s="118"/>
      <c r="P905" s="120"/>
      <c r="Q905" s="121"/>
      <c r="R905" s="109" t="b">
        <v>0</v>
      </c>
      <c r="S905" s="143"/>
      <c r="T905" s="110"/>
      <c r="U905" s="118"/>
      <c r="V905" s="118"/>
      <c r="W905" s="118"/>
      <c r="X905" s="118"/>
      <c r="Y905" s="118"/>
      <c r="Z905" s="118"/>
      <c r="AA905" s="118"/>
      <c r="AB905" s="118"/>
      <c r="AC905" s="118"/>
      <c r="AD905" s="111"/>
      <c r="AE905" s="122"/>
      <c r="AF905" s="122"/>
      <c r="AG905" s="122"/>
      <c r="AH905" s="122"/>
    </row>
    <row r="906" ht="22.5" customHeight="1">
      <c r="A906" s="73"/>
      <c r="B906" s="73"/>
      <c r="C906" s="73"/>
      <c r="D906" s="73"/>
      <c r="E906" s="330"/>
      <c r="F906" s="118"/>
      <c r="G906" s="118"/>
      <c r="H906" s="118"/>
      <c r="I906" s="118"/>
      <c r="J906" s="119"/>
      <c r="K906" s="120"/>
      <c r="L906" s="120"/>
      <c r="M906" s="120"/>
      <c r="N906" s="120"/>
      <c r="O906" s="118"/>
      <c r="P906" s="120"/>
      <c r="Q906" s="121"/>
      <c r="R906" s="109" t="b">
        <v>0</v>
      </c>
      <c r="S906" s="143"/>
      <c r="T906" s="110"/>
      <c r="U906" s="118"/>
      <c r="V906" s="118"/>
      <c r="W906" s="118"/>
      <c r="X906" s="118"/>
      <c r="Y906" s="118"/>
      <c r="Z906" s="118"/>
      <c r="AA906" s="118"/>
      <c r="AB906" s="118"/>
      <c r="AC906" s="118"/>
      <c r="AD906" s="111"/>
      <c r="AE906" s="122"/>
      <c r="AF906" s="122"/>
      <c r="AG906" s="122"/>
      <c r="AH906" s="122"/>
    </row>
    <row r="907" ht="22.5" customHeight="1">
      <c r="A907" s="73"/>
      <c r="B907" s="73"/>
      <c r="C907" s="73"/>
      <c r="D907" s="73"/>
      <c r="E907" s="330"/>
      <c r="F907" s="118"/>
      <c r="G907" s="118"/>
      <c r="H907" s="118"/>
      <c r="I907" s="118"/>
      <c r="J907" s="119"/>
      <c r="K907" s="120"/>
      <c r="L907" s="120"/>
      <c r="M907" s="120"/>
      <c r="N907" s="120"/>
      <c r="O907" s="118"/>
      <c r="P907" s="120"/>
      <c r="Q907" s="121"/>
      <c r="R907" s="109" t="b">
        <v>0</v>
      </c>
      <c r="S907" s="143"/>
      <c r="T907" s="110"/>
      <c r="U907" s="118"/>
      <c r="V907" s="118"/>
      <c r="W907" s="118"/>
      <c r="X907" s="118"/>
      <c r="Y907" s="118"/>
      <c r="Z907" s="118"/>
      <c r="AA907" s="118"/>
      <c r="AB907" s="118"/>
      <c r="AC907" s="118"/>
      <c r="AD907" s="111"/>
      <c r="AE907" s="122"/>
      <c r="AF907" s="122"/>
      <c r="AG907" s="122"/>
      <c r="AH907" s="122"/>
    </row>
    <row r="908" ht="22.5" customHeight="1">
      <c r="A908" s="73"/>
      <c r="B908" s="73"/>
      <c r="C908" s="73"/>
      <c r="D908" s="73"/>
      <c r="E908" s="330"/>
      <c r="F908" s="118"/>
      <c r="G908" s="118"/>
      <c r="H908" s="118"/>
      <c r="I908" s="118"/>
      <c r="J908" s="119"/>
      <c r="K908" s="120"/>
      <c r="L908" s="120"/>
      <c r="M908" s="120"/>
      <c r="N908" s="120"/>
      <c r="O908" s="118"/>
      <c r="P908" s="120"/>
      <c r="Q908" s="121"/>
      <c r="R908" s="109" t="b">
        <v>0</v>
      </c>
      <c r="S908" s="143"/>
      <c r="T908" s="110"/>
      <c r="U908" s="118"/>
      <c r="V908" s="118"/>
      <c r="W908" s="118"/>
      <c r="X908" s="118"/>
      <c r="Y908" s="118"/>
      <c r="Z908" s="118"/>
      <c r="AA908" s="118"/>
      <c r="AB908" s="118"/>
      <c r="AC908" s="118"/>
      <c r="AD908" s="111"/>
      <c r="AE908" s="122"/>
      <c r="AF908" s="122"/>
      <c r="AG908" s="122"/>
      <c r="AH908" s="122"/>
    </row>
    <row r="909" ht="22.5" customHeight="1">
      <c r="A909" s="73"/>
      <c r="B909" s="73"/>
      <c r="C909" s="73"/>
      <c r="D909" s="73"/>
      <c r="E909" s="330"/>
      <c r="F909" s="118"/>
      <c r="G909" s="118"/>
      <c r="H909" s="118"/>
      <c r="I909" s="118"/>
      <c r="J909" s="119"/>
      <c r="K909" s="120"/>
      <c r="L909" s="120"/>
      <c r="M909" s="120"/>
      <c r="N909" s="120"/>
      <c r="O909" s="118"/>
      <c r="P909" s="120"/>
      <c r="Q909" s="121"/>
      <c r="R909" s="109" t="b">
        <v>0</v>
      </c>
      <c r="S909" s="143"/>
      <c r="T909" s="110"/>
      <c r="U909" s="118"/>
      <c r="V909" s="118"/>
      <c r="W909" s="118"/>
      <c r="X909" s="118"/>
      <c r="Y909" s="118"/>
      <c r="Z909" s="118"/>
      <c r="AA909" s="118"/>
      <c r="AB909" s="118"/>
      <c r="AC909" s="118"/>
      <c r="AD909" s="111"/>
      <c r="AE909" s="122"/>
      <c r="AF909" s="122"/>
      <c r="AG909" s="122"/>
      <c r="AH909" s="122"/>
    </row>
    <row r="910" ht="22.5" customHeight="1">
      <c r="A910" s="73"/>
      <c r="B910" s="73"/>
      <c r="C910" s="73"/>
      <c r="D910" s="73"/>
      <c r="E910" s="330"/>
      <c r="F910" s="118"/>
      <c r="G910" s="118"/>
      <c r="H910" s="118"/>
      <c r="I910" s="118"/>
      <c r="J910" s="119"/>
      <c r="K910" s="120"/>
      <c r="L910" s="120"/>
      <c r="M910" s="120"/>
      <c r="N910" s="120"/>
      <c r="O910" s="118"/>
      <c r="P910" s="120"/>
      <c r="Q910" s="121"/>
      <c r="R910" s="109" t="b">
        <v>0</v>
      </c>
      <c r="S910" s="143"/>
      <c r="T910" s="110"/>
      <c r="U910" s="118"/>
      <c r="V910" s="118"/>
      <c r="W910" s="118"/>
      <c r="X910" s="118"/>
      <c r="Y910" s="118"/>
      <c r="Z910" s="118"/>
      <c r="AA910" s="118"/>
      <c r="AB910" s="118"/>
      <c r="AC910" s="118"/>
      <c r="AD910" s="111"/>
      <c r="AE910" s="122"/>
      <c r="AF910" s="122"/>
      <c r="AG910" s="122"/>
      <c r="AH910" s="122"/>
    </row>
    <row r="911" ht="22.5" customHeight="1">
      <c r="A911" s="73"/>
      <c r="B911" s="73"/>
      <c r="C911" s="73"/>
      <c r="D911" s="73"/>
      <c r="E911" s="330"/>
      <c r="F911" s="118"/>
      <c r="G911" s="118"/>
      <c r="H911" s="118"/>
      <c r="I911" s="118"/>
      <c r="J911" s="119"/>
      <c r="K911" s="120"/>
      <c r="L911" s="120"/>
      <c r="M911" s="120"/>
      <c r="N911" s="120"/>
      <c r="O911" s="118"/>
      <c r="P911" s="120"/>
      <c r="Q911" s="121"/>
      <c r="R911" s="109" t="b">
        <v>0</v>
      </c>
      <c r="S911" s="143"/>
      <c r="T911" s="110"/>
      <c r="U911" s="118"/>
      <c r="V911" s="118"/>
      <c r="W911" s="118"/>
      <c r="X911" s="118"/>
      <c r="Y911" s="118"/>
      <c r="Z911" s="118"/>
      <c r="AA911" s="118"/>
      <c r="AB911" s="118"/>
      <c r="AC911" s="118"/>
      <c r="AD911" s="111"/>
      <c r="AE911" s="122"/>
      <c r="AF911" s="122"/>
      <c r="AG911" s="122"/>
      <c r="AH911" s="122"/>
    </row>
    <row r="912" ht="22.5" customHeight="1">
      <c r="A912" s="73"/>
      <c r="B912" s="73"/>
      <c r="C912" s="73"/>
      <c r="D912" s="73"/>
      <c r="E912" s="330"/>
      <c r="F912" s="118"/>
      <c r="G912" s="118"/>
      <c r="H912" s="118"/>
      <c r="I912" s="118"/>
      <c r="J912" s="119"/>
      <c r="K912" s="120"/>
      <c r="L912" s="120"/>
      <c r="M912" s="120"/>
      <c r="N912" s="120"/>
      <c r="O912" s="118"/>
      <c r="P912" s="120"/>
      <c r="Q912" s="121"/>
      <c r="R912" s="109" t="b">
        <v>0</v>
      </c>
      <c r="S912" s="143"/>
      <c r="T912" s="110"/>
      <c r="U912" s="118"/>
      <c r="V912" s="118"/>
      <c r="W912" s="118"/>
      <c r="X912" s="118"/>
      <c r="Y912" s="118"/>
      <c r="Z912" s="118"/>
      <c r="AA912" s="118"/>
      <c r="AB912" s="118"/>
      <c r="AC912" s="118"/>
      <c r="AD912" s="111"/>
      <c r="AE912" s="122"/>
      <c r="AF912" s="122"/>
      <c r="AG912" s="122"/>
      <c r="AH912" s="122"/>
    </row>
    <row r="913" ht="22.5" customHeight="1">
      <c r="A913" s="73"/>
      <c r="B913" s="73"/>
      <c r="C913" s="73"/>
      <c r="D913" s="73"/>
      <c r="E913" s="330"/>
      <c r="F913" s="118"/>
      <c r="G913" s="118"/>
      <c r="H913" s="118"/>
      <c r="I913" s="118"/>
      <c r="J913" s="119"/>
      <c r="K913" s="120"/>
      <c r="L913" s="120"/>
      <c r="M913" s="120"/>
      <c r="N913" s="120"/>
      <c r="O913" s="118"/>
      <c r="P913" s="120"/>
      <c r="Q913" s="121"/>
      <c r="R913" s="109" t="b">
        <v>0</v>
      </c>
      <c r="S913" s="143"/>
      <c r="T913" s="110"/>
      <c r="U913" s="118"/>
      <c r="V913" s="118"/>
      <c r="W913" s="118"/>
      <c r="X913" s="118"/>
      <c r="Y913" s="118"/>
      <c r="Z913" s="118"/>
      <c r="AA913" s="118"/>
      <c r="AB913" s="118"/>
      <c r="AC913" s="118"/>
      <c r="AD913" s="111"/>
      <c r="AE913" s="122"/>
      <c r="AF913" s="122"/>
      <c r="AG913" s="122"/>
      <c r="AH913" s="122"/>
    </row>
    <row r="914" ht="22.5" customHeight="1">
      <c r="A914" s="73"/>
      <c r="B914" s="73"/>
      <c r="C914" s="73"/>
      <c r="D914" s="73"/>
      <c r="E914" s="330"/>
      <c r="F914" s="118"/>
      <c r="G914" s="118"/>
      <c r="H914" s="118"/>
      <c r="I914" s="118"/>
      <c r="J914" s="119"/>
      <c r="K914" s="120"/>
      <c r="L914" s="120"/>
      <c r="M914" s="120"/>
      <c r="N914" s="120"/>
      <c r="O914" s="118"/>
      <c r="P914" s="120"/>
      <c r="Q914" s="121"/>
      <c r="R914" s="109" t="b">
        <v>0</v>
      </c>
      <c r="S914" s="143"/>
      <c r="T914" s="110"/>
      <c r="U914" s="118"/>
      <c r="V914" s="118"/>
      <c r="W914" s="118"/>
      <c r="X914" s="118"/>
      <c r="Y914" s="118"/>
      <c r="Z914" s="118"/>
      <c r="AA914" s="118"/>
      <c r="AB914" s="118"/>
      <c r="AC914" s="118"/>
      <c r="AD914" s="111"/>
      <c r="AE914" s="122"/>
      <c r="AF914" s="122"/>
      <c r="AG914" s="122"/>
      <c r="AH914" s="122"/>
    </row>
    <row r="915" ht="22.5" customHeight="1">
      <c r="A915" s="73"/>
      <c r="B915" s="73"/>
      <c r="C915" s="73"/>
      <c r="D915" s="73"/>
      <c r="E915" s="330"/>
      <c r="F915" s="118"/>
      <c r="G915" s="118"/>
      <c r="H915" s="118"/>
      <c r="I915" s="118"/>
      <c r="J915" s="119"/>
      <c r="K915" s="120"/>
      <c r="L915" s="120"/>
      <c r="M915" s="120"/>
      <c r="N915" s="120"/>
      <c r="O915" s="118"/>
      <c r="P915" s="120"/>
      <c r="Q915" s="121"/>
      <c r="R915" s="109" t="b">
        <v>0</v>
      </c>
      <c r="S915" s="143"/>
      <c r="T915" s="110"/>
      <c r="U915" s="118"/>
      <c r="V915" s="118"/>
      <c r="W915" s="118"/>
      <c r="X915" s="118"/>
      <c r="Y915" s="118"/>
      <c r="Z915" s="118"/>
      <c r="AA915" s="118"/>
      <c r="AB915" s="118"/>
      <c r="AC915" s="118"/>
      <c r="AD915" s="111"/>
      <c r="AE915" s="122"/>
      <c r="AF915" s="122"/>
      <c r="AG915" s="122"/>
      <c r="AH915" s="122"/>
    </row>
    <row r="916" ht="22.5" customHeight="1">
      <c r="A916" s="73"/>
      <c r="B916" s="73"/>
      <c r="C916" s="73"/>
      <c r="D916" s="73"/>
      <c r="E916" s="330"/>
      <c r="F916" s="118"/>
      <c r="G916" s="118"/>
      <c r="H916" s="118"/>
      <c r="I916" s="118"/>
      <c r="J916" s="119"/>
      <c r="K916" s="120"/>
      <c r="L916" s="120"/>
      <c r="M916" s="120"/>
      <c r="N916" s="120"/>
      <c r="O916" s="118"/>
      <c r="P916" s="120"/>
      <c r="Q916" s="121"/>
      <c r="R916" s="109" t="b">
        <v>0</v>
      </c>
      <c r="S916" s="143"/>
      <c r="T916" s="110"/>
      <c r="U916" s="118"/>
      <c r="V916" s="118"/>
      <c r="W916" s="118"/>
      <c r="X916" s="118"/>
      <c r="Y916" s="118"/>
      <c r="Z916" s="118"/>
      <c r="AA916" s="118"/>
      <c r="AB916" s="118"/>
      <c r="AC916" s="118"/>
      <c r="AD916" s="111"/>
      <c r="AE916" s="122"/>
      <c r="AF916" s="122"/>
      <c r="AG916" s="122"/>
      <c r="AH916" s="122"/>
    </row>
    <row r="917" ht="22.5" customHeight="1">
      <c r="A917" s="73"/>
      <c r="B917" s="73"/>
      <c r="C917" s="73"/>
      <c r="D917" s="73"/>
      <c r="E917" s="330"/>
      <c r="F917" s="118"/>
      <c r="G917" s="118"/>
      <c r="H917" s="118"/>
      <c r="I917" s="118"/>
      <c r="J917" s="119"/>
      <c r="K917" s="120"/>
      <c r="L917" s="120"/>
      <c r="M917" s="120"/>
      <c r="N917" s="120"/>
      <c r="O917" s="118"/>
      <c r="P917" s="120"/>
      <c r="Q917" s="121"/>
      <c r="R917" s="109" t="b">
        <v>0</v>
      </c>
      <c r="S917" s="143"/>
      <c r="T917" s="110"/>
      <c r="U917" s="118"/>
      <c r="V917" s="118"/>
      <c r="W917" s="118"/>
      <c r="X917" s="118"/>
      <c r="Y917" s="118"/>
      <c r="Z917" s="118"/>
      <c r="AA917" s="118"/>
      <c r="AB917" s="118"/>
      <c r="AC917" s="118"/>
      <c r="AD917" s="111"/>
      <c r="AE917" s="122"/>
      <c r="AF917" s="122"/>
      <c r="AG917" s="122"/>
      <c r="AH917" s="122"/>
    </row>
    <row r="918" ht="22.5" customHeight="1">
      <c r="A918" s="73"/>
      <c r="B918" s="73"/>
      <c r="C918" s="73"/>
      <c r="D918" s="73"/>
      <c r="E918" s="330"/>
      <c r="F918" s="118"/>
      <c r="G918" s="118"/>
      <c r="H918" s="118"/>
      <c r="I918" s="118"/>
      <c r="J918" s="119"/>
      <c r="K918" s="120"/>
      <c r="L918" s="120"/>
      <c r="M918" s="120"/>
      <c r="N918" s="120"/>
      <c r="O918" s="118"/>
      <c r="P918" s="120"/>
      <c r="Q918" s="121"/>
      <c r="R918" s="109" t="b">
        <v>0</v>
      </c>
      <c r="S918" s="143"/>
      <c r="T918" s="110"/>
      <c r="U918" s="118"/>
      <c r="V918" s="118"/>
      <c r="W918" s="118"/>
      <c r="X918" s="118"/>
      <c r="Y918" s="118"/>
      <c r="Z918" s="118"/>
      <c r="AA918" s="118"/>
      <c r="AB918" s="118"/>
      <c r="AC918" s="118"/>
      <c r="AD918" s="111"/>
      <c r="AE918" s="122"/>
      <c r="AF918" s="122"/>
      <c r="AG918" s="122"/>
      <c r="AH918" s="122"/>
    </row>
    <row r="919" ht="22.5" customHeight="1">
      <c r="A919" s="73"/>
      <c r="B919" s="73"/>
      <c r="C919" s="73"/>
      <c r="D919" s="73"/>
      <c r="E919" s="330"/>
      <c r="F919" s="118"/>
      <c r="G919" s="118"/>
      <c r="H919" s="118"/>
      <c r="I919" s="118"/>
      <c r="J919" s="119"/>
      <c r="K919" s="120"/>
      <c r="L919" s="120"/>
      <c r="M919" s="120"/>
      <c r="N919" s="120"/>
      <c r="O919" s="118"/>
      <c r="P919" s="120"/>
      <c r="Q919" s="121"/>
      <c r="R919" s="109" t="b">
        <v>0</v>
      </c>
      <c r="S919" s="143"/>
      <c r="T919" s="110"/>
      <c r="U919" s="118"/>
      <c r="V919" s="118"/>
      <c r="W919" s="118"/>
      <c r="X919" s="118"/>
      <c r="Y919" s="118"/>
      <c r="Z919" s="118"/>
      <c r="AA919" s="118"/>
      <c r="AB919" s="118"/>
      <c r="AC919" s="118"/>
      <c r="AD919" s="111"/>
      <c r="AE919" s="122"/>
      <c r="AF919" s="122"/>
      <c r="AG919" s="122"/>
      <c r="AH919" s="122"/>
    </row>
    <row r="920" ht="22.5" customHeight="1">
      <c r="A920" s="73"/>
      <c r="B920" s="73"/>
      <c r="C920" s="73"/>
      <c r="D920" s="73"/>
      <c r="E920" s="330"/>
      <c r="F920" s="118"/>
      <c r="G920" s="118"/>
      <c r="H920" s="118"/>
      <c r="I920" s="118"/>
      <c r="J920" s="119"/>
      <c r="K920" s="120"/>
      <c r="L920" s="120"/>
      <c r="M920" s="120"/>
      <c r="N920" s="120"/>
      <c r="O920" s="118"/>
      <c r="P920" s="120"/>
      <c r="Q920" s="121"/>
      <c r="R920" s="109" t="b">
        <v>0</v>
      </c>
      <c r="S920" s="143"/>
      <c r="T920" s="110"/>
      <c r="U920" s="118"/>
      <c r="V920" s="118"/>
      <c r="W920" s="118"/>
      <c r="X920" s="118"/>
      <c r="Y920" s="118"/>
      <c r="Z920" s="118"/>
      <c r="AA920" s="118"/>
      <c r="AB920" s="118"/>
      <c r="AC920" s="118"/>
      <c r="AD920" s="111"/>
      <c r="AE920" s="122"/>
      <c r="AF920" s="122"/>
      <c r="AG920" s="122"/>
      <c r="AH920" s="122"/>
    </row>
    <row r="921" ht="22.5" customHeight="1">
      <c r="A921" s="73"/>
      <c r="B921" s="73"/>
      <c r="C921" s="73"/>
      <c r="D921" s="73"/>
      <c r="E921" s="330"/>
      <c r="F921" s="118"/>
      <c r="G921" s="118"/>
      <c r="H921" s="118"/>
      <c r="I921" s="118"/>
      <c r="J921" s="119"/>
      <c r="K921" s="120"/>
      <c r="L921" s="120"/>
      <c r="M921" s="120"/>
      <c r="N921" s="120"/>
      <c r="O921" s="118"/>
      <c r="P921" s="120"/>
      <c r="Q921" s="121"/>
      <c r="R921" s="109" t="b">
        <v>0</v>
      </c>
      <c r="S921" s="143"/>
      <c r="T921" s="110"/>
      <c r="U921" s="118"/>
      <c r="V921" s="118"/>
      <c r="W921" s="118"/>
      <c r="X921" s="118"/>
      <c r="Y921" s="118"/>
      <c r="Z921" s="118"/>
      <c r="AA921" s="118"/>
      <c r="AB921" s="118"/>
      <c r="AC921" s="118"/>
      <c r="AD921" s="111"/>
      <c r="AE921" s="122"/>
      <c r="AF921" s="122"/>
      <c r="AG921" s="122"/>
      <c r="AH921" s="122"/>
    </row>
    <row r="922" ht="22.5" customHeight="1">
      <c r="A922" s="73"/>
      <c r="B922" s="73"/>
      <c r="C922" s="73"/>
      <c r="D922" s="73"/>
      <c r="E922" s="330"/>
      <c r="F922" s="118"/>
      <c r="G922" s="118"/>
      <c r="H922" s="118"/>
      <c r="I922" s="118"/>
      <c r="J922" s="119"/>
      <c r="K922" s="120"/>
      <c r="L922" s="120"/>
      <c r="M922" s="120"/>
      <c r="N922" s="120"/>
      <c r="O922" s="118"/>
      <c r="P922" s="120"/>
      <c r="Q922" s="121"/>
      <c r="R922" s="109" t="b">
        <v>0</v>
      </c>
      <c r="S922" s="143"/>
      <c r="T922" s="110"/>
      <c r="U922" s="118"/>
      <c r="V922" s="118"/>
      <c r="W922" s="118"/>
      <c r="X922" s="118"/>
      <c r="Y922" s="118"/>
      <c r="Z922" s="118"/>
      <c r="AA922" s="118"/>
      <c r="AB922" s="118"/>
      <c r="AC922" s="118"/>
      <c r="AD922" s="111"/>
      <c r="AE922" s="122"/>
      <c r="AF922" s="122"/>
      <c r="AG922" s="122"/>
      <c r="AH922" s="122"/>
    </row>
    <row r="923" ht="22.5" customHeight="1">
      <c r="A923" s="73"/>
      <c r="B923" s="73"/>
      <c r="C923" s="73"/>
      <c r="D923" s="73"/>
      <c r="E923" s="330"/>
      <c r="F923" s="118"/>
      <c r="G923" s="118"/>
      <c r="H923" s="118"/>
      <c r="I923" s="118"/>
      <c r="J923" s="119"/>
      <c r="K923" s="120"/>
      <c r="L923" s="120"/>
      <c r="M923" s="120"/>
      <c r="N923" s="120"/>
      <c r="O923" s="118"/>
      <c r="P923" s="120"/>
      <c r="Q923" s="121"/>
      <c r="R923" s="109" t="b">
        <v>0</v>
      </c>
      <c r="S923" s="143"/>
      <c r="T923" s="110"/>
      <c r="U923" s="118"/>
      <c r="V923" s="118"/>
      <c r="W923" s="118"/>
      <c r="X923" s="118"/>
      <c r="Y923" s="118"/>
      <c r="Z923" s="118"/>
      <c r="AA923" s="118"/>
      <c r="AB923" s="118"/>
      <c r="AC923" s="118"/>
      <c r="AD923" s="111"/>
      <c r="AE923" s="122"/>
      <c r="AF923" s="122"/>
      <c r="AG923" s="122"/>
      <c r="AH923" s="122"/>
    </row>
    <row r="924" ht="22.5" customHeight="1">
      <c r="A924" s="73"/>
      <c r="B924" s="73"/>
      <c r="C924" s="73"/>
      <c r="D924" s="73"/>
      <c r="E924" s="330"/>
      <c r="F924" s="118"/>
      <c r="G924" s="118"/>
      <c r="H924" s="118"/>
      <c r="I924" s="118"/>
      <c r="J924" s="119"/>
      <c r="K924" s="120"/>
      <c r="L924" s="120"/>
      <c r="M924" s="120"/>
      <c r="N924" s="120"/>
      <c r="O924" s="118"/>
      <c r="P924" s="120"/>
      <c r="Q924" s="121"/>
      <c r="R924" s="109" t="b">
        <v>0</v>
      </c>
      <c r="S924" s="143"/>
      <c r="T924" s="110"/>
      <c r="U924" s="118"/>
      <c r="V924" s="118"/>
      <c r="W924" s="118"/>
      <c r="X924" s="118"/>
      <c r="Y924" s="118"/>
      <c r="Z924" s="118"/>
      <c r="AA924" s="118"/>
      <c r="AB924" s="118"/>
      <c r="AC924" s="118"/>
      <c r="AD924" s="111"/>
      <c r="AE924" s="122"/>
      <c r="AF924" s="122"/>
      <c r="AG924" s="122"/>
      <c r="AH924" s="122"/>
    </row>
    <row r="925" ht="22.5" customHeight="1">
      <c r="A925" s="73"/>
      <c r="B925" s="73"/>
      <c r="C925" s="73"/>
      <c r="D925" s="73"/>
      <c r="E925" s="330"/>
      <c r="F925" s="118"/>
      <c r="G925" s="118"/>
      <c r="H925" s="118"/>
      <c r="I925" s="118"/>
      <c r="J925" s="119"/>
      <c r="K925" s="120"/>
      <c r="L925" s="120"/>
      <c r="M925" s="120"/>
      <c r="N925" s="120"/>
      <c r="O925" s="118"/>
      <c r="P925" s="120"/>
      <c r="Q925" s="121"/>
      <c r="R925" s="109" t="b">
        <v>0</v>
      </c>
      <c r="S925" s="143"/>
      <c r="T925" s="110"/>
      <c r="U925" s="118"/>
      <c r="V925" s="118"/>
      <c r="W925" s="118"/>
      <c r="X925" s="118"/>
      <c r="Y925" s="118"/>
      <c r="Z925" s="118"/>
      <c r="AA925" s="118"/>
      <c r="AB925" s="118"/>
      <c r="AC925" s="118"/>
      <c r="AD925" s="111"/>
      <c r="AE925" s="122"/>
      <c r="AF925" s="122"/>
      <c r="AG925" s="122"/>
      <c r="AH925" s="122"/>
    </row>
    <row r="926" ht="22.5" customHeight="1">
      <c r="A926" s="73"/>
      <c r="B926" s="73"/>
      <c r="C926" s="73"/>
      <c r="D926" s="73"/>
      <c r="E926" s="330"/>
      <c r="F926" s="118"/>
      <c r="G926" s="118"/>
      <c r="H926" s="118"/>
      <c r="I926" s="118"/>
      <c r="J926" s="119"/>
      <c r="K926" s="120"/>
      <c r="L926" s="120"/>
      <c r="M926" s="120"/>
      <c r="N926" s="120"/>
      <c r="O926" s="118"/>
      <c r="P926" s="120"/>
      <c r="Q926" s="121"/>
      <c r="R926" s="109" t="b">
        <v>0</v>
      </c>
      <c r="S926" s="143"/>
      <c r="T926" s="110"/>
      <c r="U926" s="118"/>
      <c r="V926" s="118"/>
      <c r="W926" s="118"/>
      <c r="X926" s="118"/>
      <c r="Y926" s="118"/>
      <c r="Z926" s="118"/>
      <c r="AA926" s="118"/>
      <c r="AB926" s="118"/>
      <c r="AC926" s="118"/>
      <c r="AD926" s="111"/>
      <c r="AE926" s="122"/>
      <c r="AF926" s="122"/>
      <c r="AG926" s="122"/>
      <c r="AH926" s="122"/>
    </row>
    <row r="927" ht="22.5" customHeight="1">
      <c r="A927" s="73"/>
      <c r="B927" s="73"/>
      <c r="C927" s="73"/>
      <c r="D927" s="73"/>
      <c r="E927" s="330"/>
      <c r="F927" s="118"/>
      <c r="G927" s="118"/>
      <c r="H927" s="118"/>
      <c r="I927" s="118"/>
      <c r="J927" s="119"/>
      <c r="K927" s="120"/>
      <c r="L927" s="120"/>
      <c r="M927" s="120"/>
      <c r="N927" s="120"/>
      <c r="O927" s="118"/>
      <c r="P927" s="120"/>
      <c r="Q927" s="121"/>
      <c r="R927" s="109" t="b">
        <v>0</v>
      </c>
      <c r="S927" s="143"/>
      <c r="T927" s="110"/>
      <c r="U927" s="118"/>
      <c r="V927" s="118"/>
      <c r="W927" s="118"/>
      <c r="X927" s="118"/>
      <c r="Y927" s="118"/>
      <c r="Z927" s="118"/>
      <c r="AA927" s="118"/>
      <c r="AB927" s="118"/>
      <c r="AC927" s="118"/>
      <c r="AD927" s="111"/>
      <c r="AE927" s="122"/>
      <c r="AF927" s="122"/>
      <c r="AG927" s="122"/>
      <c r="AH927" s="122"/>
    </row>
    <row r="928" ht="22.5" customHeight="1">
      <c r="A928" s="73"/>
      <c r="B928" s="73"/>
      <c r="C928" s="73"/>
      <c r="D928" s="73"/>
      <c r="E928" s="330"/>
      <c r="F928" s="118"/>
      <c r="G928" s="118"/>
      <c r="H928" s="118"/>
      <c r="I928" s="118"/>
      <c r="J928" s="119"/>
      <c r="K928" s="120"/>
      <c r="L928" s="120"/>
      <c r="M928" s="120"/>
      <c r="N928" s="120"/>
      <c r="O928" s="118"/>
      <c r="P928" s="120"/>
      <c r="Q928" s="121"/>
      <c r="R928" s="109" t="b">
        <v>0</v>
      </c>
      <c r="S928" s="143"/>
      <c r="T928" s="110"/>
      <c r="U928" s="118"/>
      <c r="V928" s="118"/>
      <c r="W928" s="118"/>
      <c r="X928" s="118"/>
      <c r="Y928" s="118"/>
      <c r="Z928" s="118"/>
      <c r="AA928" s="118"/>
      <c r="AB928" s="118"/>
      <c r="AC928" s="118"/>
      <c r="AD928" s="111"/>
      <c r="AE928" s="122"/>
      <c r="AF928" s="122"/>
      <c r="AG928" s="122"/>
      <c r="AH928" s="122"/>
    </row>
    <row r="929" ht="22.5" customHeight="1">
      <c r="A929" s="73"/>
      <c r="B929" s="73"/>
      <c r="C929" s="73"/>
      <c r="D929" s="73"/>
      <c r="E929" s="330"/>
      <c r="F929" s="118"/>
      <c r="G929" s="118"/>
      <c r="H929" s="118"/>
      <c r="I929" s="118"/>
      <c r="J929" s="119"/>
      <c r="K929" s="120"/>
      <c r="L929" s="120"/>
      <c r="M929" s="120"/>
      <c r="N929" s="120"/>
      <c r="O929" s="118"/>
      <c r="P929" s="120"/>
      <c r="Q929" s="121"/>
      <c r="R929" s="109" t="b">
        <v>0</v>
      </c>
      <c r="S929" s="143"/>
      <c r="T929" s="110"/>
      <c r="U929" s="118"/>
      <c r="V929" s="118"/>
      <c r="W929" s="118"/>
      <c r="X929" s="118"/>
      <c r="Y929" s="118"/>
      <c r="Z929" s="118"/>
      <c r="AA929" s="118"/>
      <c r="AB929" s="118"/>
      <c r="AC929" s="118"/>
      <c r="AD929" s="111"/>
      <c r="AE929" s="122"/>
      <c r="AF929" s="122"/>
      <c r="AG929" s="122"/>
      <c r="AH929" s="122"/>
    </row>
    <row r="930" ht="22.5" customHeight="1">
      <c r="A930" s="73"/>
      <c r="B930" s="73"/>
      <c r="C930" s="73"/>
      <c r="D930" s="73"/>
      <c r="E930" s="330"/>
      <c r="F930" s="118"/>
      <c r="G930" s="118"/>
      <c r="H930" s="118"/>
      <c r="I930" s="118"/>
      <c r="J930" s="119"/>
      <c r="K930" s="120"/>
      <c r="L930" s="120"/>
      <c r="M930" s="120"/>
      <c r="N930" s="120"/>
      <c r="O930" s="118"/>
      <c r="P930" s="120"/>
      <c r="Q930" s="121"/>
      <c r="R930" s="109" t="b">
        <v>0</v>
      </c>
      <c r="S930" s="143"/>
      <c r="T930" s="110"/>
      <c r="U930" s="118"/>
      <c r="V930" s="118"/>
      <c r="W930" s="118"/>
      <c r="X930" s="118"/>
      <c r="Y930" s="118"/>
      <c r="Z930" s="118"/>
      <c r="AA930" s="118"/>
      <c r="AB930" s="118"/>
      <c r="AC930" s="118"/>
      <c r="AD930" s="111"/>
      <c r="AE930" s="122"/>
      <c r="AF930" s="122"/>
      <c r="AG930" s="122"/>
      <c r="AH930" s="122"/>
    </row>
    <row r="931" ht="22.5" customHeight="1">
      <c r="A931" s="73"/>
      <c r="B931" s="73"/>
      <c r="C931" s="73"/>
      <c r="D931" s="73"/>
      <c r="E931" s="330"/>
      <c r="F931" s="118"/>
      <c r="G931" s="118"/>
      <c r="H931" s="118"/>
      <c r="I931" s="118"/>
      <c r="J931" s="119"/>
      <c r="K931" s="120"/>
      <c r="L931" s="120"/>
      <c r="M931" s="120"/>
      <c r="N931" s="120"/>
      <c r="O931" s="118"/>
      <c r="P931" s="120"/>
      <c r="Q931" s="121"/>
      <c r="R931" s="109" t="b">
        <v>0</v>
      </c>
      <c r="S931" s="143"/>
      <c r="T931" s="110"/>
      <c r="U931" s="118"/>
      <c r="V931" s="118"/>
      <c r="W931" s="118"/>
      <c r="X931" s="118"/>
      <c r="Y931" s="118"/>
      <c r="Z931" s="118"/>
      <c r="AA931" s="118"/>
      <c r="AB931" s="118"/>
      <c r="AC931" s="118"/>
      <c r="AD931" s="111"/>
      <c r="AE931" s="122"/>
      <c r="AF931" s="122"/>
      <c r="AG931" s="122"/>
      <c r="AH931" s="122"/>
    </row>
    <row r="932" ht="22.5" customHeight="1">
      <c r="A932" s="73"/>
      <c r="B932" s="73"/>
      <c r="C932" s="73"/>
      <c r="D932" s="73"/>
      <c r="E932" s="330"/>
      <c r="F932" s="118"/>
      <c r="G932" s="118"/>
      <c r="H932" s="118"/>
      <c r="I932" s="118"/>
      <c r="J932" s="119"/>
      <c r="K932" s="120"/>
      <c r="L932" s="120"/>
      <c r="M932" s="120"/>
      <c r="N932" s="120"/>
      <c r="O932" s="118"/>
      <c r="P932" s="120"/>
      <c r="Q932" s="121"/>
      <c r="R932" s="109" t="b">
        <v>0</v>
      </c>
      <c r="S932" s="143"/>
      <c r="T932" s="110"/>
      <c r="U932" s="118"/>
      <c r="V932" s="118"/>
      <c r="W932" s="118"/>
      <c r="X932" s="118"/>
      <c r="Y932" s="118"/>
      <c r="Z932" s="118"/>
      <c r="AA932" s="118"/>
      <c r="AB932" s="118"/>
      <c r="AC932" s="118"/>
      <c r="AD932" s="111"/>
      <c r="AE932" s="122"/>
      <c r="AF932" s="122"/>
      <c r="AG932" s="122"/>
      <c r="AH932" s="122"/>
    </row>
    <row r="933" ht="22.5" customHeight="1">
      <c r="A933" s="73"/>
      <c r="B933" s="73"/>
      <c r="C933" s="73"/>
      <c r="D933" s="73"/>
      <c r="E933" s="330"/>
      <c r="F933" s="118"/>
      <c r="G933" s="118"/>
      <c r="H933" s="118"/>
      <c r="I933" s="118"/>
      <c r="J933" s="119"/>
      <c r="K933" s="120"/>
      <c r="L933" s="120"/>
      <c r="M933" s="120"/>
      <c r="N933" s="120"/>
      <c r="O933" s="118"/>
      <c r="P933" s="120"/>
      <c r="Q933" s="121"/>
      <c r="R933" s="109" t="b">
        <v>0</v>
      </c>
      <c r="S933" s="143"/>
      <c r="T933" s="110"/>
      <c r="U933" s="118"/>
      <c r="V933" s="118"/>
      <c r="W933" s="118"/>
      <c r="X933" s="118"/>
      <c r="Y933" s="118"/>
      <c r="Z933" s="118"/>
      <c r="AA933" s="118"/>
      <c r="AB933" s="118"/>
      <c r="AC933" s="118"/>
      <c r="AD933" s="111"/>
      <c r="AE933" s="122"/>
      <c r="AF933" s="122"/>
      <c r="AG933" s="122"/>
      <c r="AH933" s="122"/>
    </row>
    <row r="934" ht="22.5" customHeight="1">
      <c r="A934" s="73"/>
      <c r="B934" s="73"/>
      <c r="C934" s="73"/>
      <c r="D934" s="73"/>
      <c r="E934" s="330"/>
      <c r="F934" s="118"/>
      <c r="G934" s="118"/>
      <c r="H934" s="118"/>
      <c r="I934" s="118"/>
      <c r="J934" s="119"/>
      <c r="K934" s="120"/>
      <c r="L934" s="120"/>
      <c r="M934" s="120"/>
      <c r="N934" s="120"/>
      <c r="O934" s="118"/>
      <c r="P934" s="120"/>
      <c r="Q934" s="121"/>
      <c r="R934" s="109" t="b">
        <v>0</v>
      </c>
      <c r="S934" s="143"/>
      <c r="T934" s="110"/>
      <c r="U934" s="118"/>
      <c r="V934" s="118"/>
      <c r="W934" s="118"/>
      <c r="X934" s="118"/>
      <c r="Y934" s="118"/>
      <c r="Z934" s="118"/>
      <c r="AA934" s="118"/>
      <c r="AB934" s="118"/>
      <c r="AC934" s="118"/>
      <c r="AD934" s="111"/>
      <c r="AE934" s="122"/>
      <c r="AF934" s="122"/>
      <c r="AG934" s="122"/>
      <c r="AH934" s="122"/>
    </row>
    <row r="935" ht="22.5" customHeight="1">
      <c r="A935" s="73"/>
      <c r="B935" s="73"/>
      <c r="C935" s="73"/>
      <c r="D935" s="73"/>
      <c r="E935" s="330"/>
      <c r="F935" s="118"/>
      <c r="G935" s="118"/>
      <c r="H935" s="118"/>
      <c r="I935" s="118"/>
      <c r="J935" s="119"/>
      <c r="K935" s="120"/>
      <c r="L935" s="120"/>
      <c r="M935" s="120"/>
      <c r="N935" s="120"/>
      <c r="O935" s="118"/>
      <c r="P935" s="120"/>
      <c r="Q935" s="121"/>
      <c r="R935" s="109" t="b">
        <v>0</v>
      </c>
      <c r="S935" s="143"/>
      <c r="T935" s="110"/>
      <c r="U935" s="118"/>
      <c r="V935" s="118"/>
      <c r="W935" s="118"/>
      <c r="X935" s="118"/>
      <c r="Y935" s="118"/>
      <c r="Z935" s="118"/>
      <c r="AA935" s="118"/>
      <c r="AB935" s="118"/>
      <c r="AC935" s="118"/>
      <c r="AD935" s="111"/>
      <c r="AE935" s="122"/>
      <c r="AF935" s="122"/>
      <c r="AG935" s="122"/>
      <c r="AH935" s="122"/>
    </row>
    <row r="936" ht="22.5" customHeight="1">
      <c r="A936" s="73"/>
      <c r="B936" s="73"/>
      <c r="C936" s="73"/>
      <c r="D936" s="73"/>
      <c r="E936" s="330"/>
      <c r="F936" s="118"/>
      <c r="G936" s="118"/>
      <c r="H936" s="118"/>
      <c r="I936" s="118"/>
      <c r="J936" s="119"/>
      <c r="K936" s="120"/>
      <c r="L936" s="120"/>
      <c r="M936" s="120"/>
      <c r="N936" s="120"/>
      <c r="O936" s="118"/>
      <c r="P936" s="120"/>
      <c r="Q936" s="121"/>
      <c r="R936" s="109" t="b">
        <v>0</v>
      </c>
      <c r="S936" s="143"/>
      <c r="T936" s="110"/>
      <c r="U936" s="118"/>
      <c r="V936" s="118"/>
      <c r="W936" s="118"/>
      <c r="X936" s="118"/>
      <c r="Y936" s="118"/>
      <c r="Z936" s="118"/>
      <c r="AA936" s="118"/>
      <c r="AB936" s="118"/>
      <c r="AC936" s="118"/>
      <c r="AD936" s="111"/>
      <c r="AE936" s="122"/>
      <c r="AF936" s="122"/>
      <c r="AG936" s="122"/>
      <c r="AH936" s="122"/>
    </row>
    <row r="937" ht="22.5" customHeight="1">
      <c r="A937" s="73"/>
      <c r="B937" s="73"/>
      <c r="C937" s="73"/>
      <c r="D937" s="73"/>
      <c r="E937" s="330"/>
      <c r="F937" s="118"/>
      <c r="G937" s="118"/>
      <c r="H937" s="118"/>
      <c r="I937" s="118"/>
      <c r="J937" s="119"/>
      <c r="K937" s="120"/>
      <c r="L937" s="120"/>
      <c r="M937" s="120"/>
      <c r="N937" s="120"/>
      <c r="O937" s="118"/>
      <c r="P937" s="120"/>
      <c r="Q937" s="121"/>
      <c r="R937" s="109" t="b">
        <v>0</v>
      </c>
      <c r="S937" s="143"/>
      <c r="T937" s="110"/>
      <c r="U937" s="118"/>
      <c r="V937" s="118"/>
      <c r="W937" s="118"/>
      <c r="X937" s="118"/>
      <c r="Y937" s="118"/>
      <c r="Z937" s="118"/>
      <c r="AA937" s="118"/>
      <c r="AB937" s="118"/>
      <c r="AC937" s="118"/>
      <c r="AD937" s="111"/>
      <c r="AE937" s="122"/>
      <c r="AF937" s="122"/>
      <c r="AG937" s="122"/>
      <c r="AH937" s="122"/>
    </row>
    <row r="938" ht="22.5" customHeight="1">
      <c r="A938" s="73"/>
      <c r="B938" s="73"/>
      <c r="C938" s="73"/>
      <c r="D938" s="73"/>
      <c r="E938" s="330"/>
      <c r="F938" s="118"/>
      <c r="G938" s="118"/>
      <c r="H938" s="118"/>
      <c r="I938" s="118"/>
      <c r="J938" s="119"/>
      <c r="K938" s="120"/>
      <c r="L938" s="120"/>
      <c r="M938" s="120"/>
      <c r="N938" s="120"/>
      <c r="O938" s="118"/>
      <c r="P938" s="120"/>
      <c r="Q938" s="121"/>
      <c r="R938" s="109" t="b">
        <v>0</v>
      </c>
      <c r="S938" s="143"/>
      <c r="T938" s="110"/>
      <c r="U938" s="118"/>
      <c r="V938" s="118"/>
      <c r="W938" s="118"/>
      <c r="X938" s="118"/>
      <c r="Y938" s="118"/>
      <c r="Z938" s="118"/>
      <c r="AA938" s="118"/>
      <c r="AB938" s="118"/>
      <c r="AC938" s="118"/>
      <c r="AD938" s="111"/>
      <c r="AE938" s="122"/>
      <c r="AF938" s="122"/>
      <c r="AG938" s="122"/>
      <c r="AH938" s="122"/>
    </row>
    <row r="939" ht="22.5" customHeight="1">
      <c r="A939" s="73"/>
      <c r="B939" s="73"/>
      <c r="C939" s="73"/>
      <c r="D939" s="73"/>
      <c r="E939" s="330"/>
      <c r="F939" s="118"/>
      <c r="G939" s="118"/>
      <c r="H939" s="118"/>
      <c r="I939" s="118"/>
      <c r="J939" s="119"/>
      <c r="K939" s="120"/>
      <c r="L939" s="120"/>
      <c r="M939" s="120"/>
      <c r="N939" s="120"/>
      <c r="O939" s="118"/>
      <c r="P939" s="120"/>
      <c r="Q939" s="121"/>
      <c r="R939" s="109" t="b">
        <v>0</v>
      </c>
      <c r="S939" s="143"/>
      <c r="T939" s="110"/>
      <c r="U939" s="118"/>
      <c r="V939" s="118"/>
      <c r="W939" s="118"/>
      <c r="X939" s="118"/>
      <c r="Y939" s="118"/>
      <c r="Z939" s="118"/>
      <c r="AA939" s="118"/>
      <c r="AB939" s="118"/>
      <c r="AC939" s="118"/>
      <c r="AD939" s="111"/>
      <c r="AE939" s="122"/>
      <c r="AF939" s="122"/>
      <c r="AG939" s="122"/>
      <c r="AH939" s="122"/>
    </row>
    <row r="940" ht="22.5" customHeight="1">
      <c r="A940" s="73"/>
      <c r="B940" s="73"/>
      <c r="C940" s="73"/>
      <c r="D940" s="73"/>
      <c r="E940" s="330"/>
      <c r="F940" s="118"/>
      <c r="G940" s="118"/>
      <c r="H940" s="118"/>
      <c r="I940" s="118"/>
      <c r="J940" s="119"/>
      <c r="K940" s="120"/>
      <c r="L940" s="120"/>
      <c r="M940" s="120"/>
      <c r="N940" s="120"/>
      <c r="O940" s="118"/>
      <c r="P940" s="120"/>
      <c r="Q940" s="121"/>
      <c r="R940" s="109" t="b">
        <v>0</v>
      </c>
      <c r="S940" s="143"/>
      <c r="T940" s="110"/>
      <c r="U940" s="118"/>
      <c r="V940" s="118"/>
      <c r="W940" s="118"/>
      <c r="X940" s="118"/>
      <c r="Y940" s="118"/>
      <c r="Z940" s="118"/>
      <c r="AA940" s="118"/>
      <c r="AB940" s="118"/>
      <c r="AC940" s="118"/>
      <c r="AD940" s="111"/>
      <c r="AE940" s="122"/>
      <c r="AF940" s="122"/>
      <c r="AG940" s="122"/>
      <c r="AH940" s="122"/>
    </row>
    <row r="941" ht="22.5" customHeight="1">
      <c r="A941" s="73"/>
      <c r="B941" s="73"/>
      <c r="C941" s="73"/>
      <c r="D941" s="73"/>
      <c r="E941" s="330"/>
      <c r="F941" s="118"/>
      <c r="G941" s="118"/>
      <c r="H941" s="118"/>
      <c r="I941" s="118"/>
      <c r="J941" s="119"/>
      <c r="K941" s="120"/>
      <c r="L941" s="120"/>
      <c r="M941" s="120"/>
      <c r="N941" s="120"/>
      <c r="O941" s="118"/>
      <c r="P941" s="120"/>
      <c r="Q941" s="121"/>
      <c r="R941" s="109" t="b">
        <v>0</v>
      </c>
      <c r="S941" s="143"/>
      <c r="T941" s="110"/>
      <c r="U941" s="118"/>
      <c r="V941" s="118"/>
      <c r="W941" s="118"/>
      <c r="X941" s="118"/>
      <c r="Y941" s="118"/>
      <c r="Z941" s="118"/>
      <c r="AA941" s="118"/>
      <c r="AB941" s="118"/>
      <c r="AC941" s="118"/>
      <c r="AD941" s="111"/>
      <c r="AE941" s="122"/>
      <c r="AF941" s="122"/>
      <c r="AG941" s="122"/>
      <c r="AH941" s="122"/>
    </row>
    <row r="942" ht="22.5" customHeight="1">
      <c r="A942" s="73"/>
      <c r="B942" s="73"/>
      <c r="C942" s="73"/>
      <c r="D942" s="73"/>
      <c r="E942" s="330"/>
      <c r="F942" s="118"/>
      <c r="G942" s="118"/>
      <c r="H942" s="118"/>
      <c r="I942" s="118"/>
      <c r="J942" s="119"/>
      <c r="K942" s="120"/>
      <c r="L942" s="120"/>
      <c r="M942" s="120"/>
      <c r="N942" s="120"/>
      <c r="O942" s="118"/>
      <c r="P942" s="120"/>
      <c r="Q942" s="121"/>
      <c r="R942" s="109" t="b">
        <v>0</v>
      </c>
      <c r="S942" s="143"/>
      <c r="T942" s="110"/>
      <c r="U942" s="118"/>
      <c r="V942" s="118"/>
      <c r="W942" s="118"/>
      <c r="X942" s="118"/>
      <c r="Y942" s="118"/>
      <c r="Z942" s="118"/>
      <c r="AA942" s="118"/>
      <c r="AB942" s="118"/>
      <c r="AC942" s="118"/>
      <c r="AD942" s="111"/>
      <c r="AE942" s="122"/>
      <c r="AF942" s="122"/>
      <c r="AG942" s="122"/>
      <c r="AH942" s="122"/>
    </row>
    <row r="943" ht="22.5" customHeight="1">
      <c r="A943" s="73"/>
      <c r="B943" s="73"/>
      <c r="C943" s="73"/>
      <c r="D943" s="73"/>
      <c r="E943" s="330"/>
      <c r="F943" s="118"/>
      <c r="G943" s="118"/>
      <c r="H943" s="118"/>
      <c r="I943" s="118"/>
      <c r="J943" s="119"/>
      <c r="K943" s="120"/>
      <c r="L943" s="120"/>
      <c r="M943" s="120"/>
      <c r="N943" s="120"/>
      <c r="O943" s="118"/>
      <c r="P943" s="120"/>
      <c r="Q943" s="121"/>
      <c r="R943" s="109" t="b">
        <v>0</v>
      </c>
      <c r="S943" s="143"/>
      <c r="T943" s="110"/>
      <c r="U943" s="118"/>
      <c r="V943" s="118"/>
      <c r="W943" s="118"/>
      <c r="X943" s="118"/>
      <c r="Y943" s="118"/>
      <c r="Z943" s="118"/>
      <c r="AA943" s="118"/>
      <c r="AB943" s="118"/>
      <c r="AC943" s="118"/>
      <c r="AD943" s="111"/>
      <c r="AE943" s="122"/>
      <c r="AF943" s="122"/>
      <c r="AG943" s="122"/>
      <c r="AH943" s="122"/>
    </row>
    <row r="944" ht="22.5" customHeight="1">
      <c r="A944" s="73"/>
      <c r="B944" s="73"/>
      <c r="C944" s="73"/>
      <c r="D944" s="73"/>
      <c r="E944" s="330"/>
      <c r="F944" s="118"/>
      <c r="G944" s="118"/>
      <c r="H944" s="118"/>
      <c r="I944" s="118"/>
      <c r="J944" s="119"/>
      <c r="K944" s="120"/>
      <c r="L944" s="120"/>
      <c r="M944" s="120"/>
      <c r="N944" s="120"/>
      <c r="O944" s="118"/>
      <c r="P944" s="120"/>
      <c r="Q944" s="121"/>
      <c r="R944" s="109" t="b">
        <v>0</v>
      </c>
      <c r="S944" s="143"/>
      <c r="T944" s="110"/>
      <c r="U944" s="118"/>
      <c r="V944" s="118"/>
      <c r="W944" s="118"/>
      <c r="X944" s="118"/>
      <c r="Y944" s="118"/>
      <c r="Z944" s="118"/>
      <c r="AA944" s="118"/>
      <c r="AB944" s="118"/>
      <c r="AC944" s="118"/>
      <c r="AD944" s="111"/>
      <c r="AE944" s="122"/>
      <c r="AF944" s="122"/>
      <c r="AG944" s="122"/>
      <c r="AH944" s="122"/>
    </row>
    <row r="945" ht="22.5" customHeight="1">
      <c r="A945" s="73"/>
      <c r="B945" s="73"/>
      <c r="C945" s="73"/>
      <c r="D945" s="73"/>
      <c r="E945" s="330"/>
      <c r="F945" s="118"/>
      <c r="G945" s="118"/>
      <c r="H945" s="118"/>
      <c r="I945" s="118"/>
      <c r="J945" s="119"/>
      <c r="K945" s="120"/>
      <c r="L945" s="120"/>
      <c r="M945" s="120"/>
      <c r="N945" s="120"/>
      <c r="O945" s="118"/>
      <c r="P945" s="120"/>
      <c r="Q945" s="121"/>
      <c r="R945" s="109" t="b">
        <v>0</v>
      </c>
      <c r="S945" s="143"/>
      <c r="T945" s="110"/>
      <c r="U945" s="118"/>
      <c r="V945" s="118"/>
      <c r="W945" s="118"/>
      <c r="X945" s="118"/>
      <c r="Y945" s="118"/>
      <c r="Z945" s="118"/>
      <c r="AA945" s="118"/>
      <c r="AB945" s="118"/>
      <c r="AC945" s="118"/>
      <c r="AD945" s="111"/>
      <c r="AE945" s="122"/>
      <c r="AF945" s="122"/>
      <c r="AG945" s="122"/>
      <c r="AH945" s="122"/>
    </row>
    <row r="946" ht="22.5" customHeight="1">
      <c r="A946" s="73"/>
      <c r="B946" s="73"/>
      <c r="C946" s="73"/>
      <c r="D946" s="73"/>
      <c r="E946" s="330"/>
      <c r="F946" s="118"/>
      <c r="G946" s="118"/>
      <c r="H946" s="118"/>
      <c r="I946" s="118"/>
      <c r="J946" s="119"/>
      <c r="K946" s="120"/>
      <c r="L946" s="120"/>
      <c r="M946" s="120"/>
      <c r="N946" s="120"/>
      <c r="O946" s="118"/>
      <c r="P946" s="120"/>
      <c r="Q946" s="121"/>
      <c r="R946" s="109" t="b">
        <v>0</v>
      </c>
      <c r="S946" s="143"/>
      <c r="T946" s="110"/>
      <c r="U946" s="118"/>
      <c r="V946" s="118"/>
      <c r="W946" s="118"/>
      <c r="X946" s="118"/>
      <c r="Y946" s="118"/>
      <c r="Z946" s="118"/>
      <c r="AA946" s="118"/>
      <c r="AB946" s="118"/>
      <c r="AC946" s="118"/>
      <c r="AD946" s="111"/>
      <c r="AE946" s="122"/>
      <c r="AF946" s="122"/>
      <c r="AG946" s="122"/>
      <c r="AH946" s="122"/>
    </row>
    <row r="947" ht="22.5" customHeight="1">
      <c r="A947" s="73"/>
      <c r="B947" s="73"/>
      <c r="C947" s="73"/>
      <c r="D947" s="73"/>
      <c r="E947" s="330"/>
      <c r="F947" s="118"/>
      <c r="G947" s="118"/>
      <c r="H947" s="118"/>
      <c r="I947" s="118"/>
      <c r="J947" s="119"/>
      <c r="K947" s="120"/>
      <c r="L947" s="120"/>
      <c r="M947" s="120"/>
      <c r="N947" s="120"/>
      <c r="O947" s="118"/>
      <c r="P947" s="120"/>
      <c r="Q947" s="121"/>
      <c r="R947" s="109" t="b">
        <v>0</v>
      </c>
      <c r="S947" s="143"/>
      <c r="T947" s="110"/>
      <c r="U947" s="118"/>
      <c r="V947" s="118"/>
      <c r="W947" s="118"/>
      <c r="X947" s="118"/>
      <c r="Y947" s="118"/>
      <c r="Z947" s="118"/>
      <c r="AA947" s="118"/>
      <c r="AB947" s="118"/>
      <c r="AC947" s="118"/>
      <c r="AD947" s="111"/>
      <c r="AE947" s="122"/>
      <c r="AF947" s="122"/>
      <c r="AG947" s="122"/>
      <c r="AH947" s="122"/>
    </row>
    <row r="948" ht="22.5" customHeight="1">
      <c r="A948" s="73"/>
      <c r="B948" s="73"/>
      <c r="C948" s="73"/>
      <c r="D948" s="73"/>
      <c r="E948" s="330"/>
      <c r="F948" s="118"/>
      <c r="G948" s="118"/>
      <c r="H948" s="118"/>
      <c r="I948" s="118"/>
      <c r="J948" s="119"/>
      <c r="K948" s="120"/>
      <c r="L948" s="120"/>
      <c r="M948" s="120"/>
      <c r="N948" s="120"/>
      <c r="O948" s="118"/>
      <c r="P948" s="120"/>
      <c r="Q948" s="121"/>
      <c r="R948" s="109" t="b">
        <v>0</v>
      </c>
      <c r="S948" s="143"/>
      <c r="T948" s="110"/>
      <c r="U948" s="118"/>
      <c r="V948" s="118"/>
      <c r="W948" s="118"/>
      <c r="X948" s="118"/>
      <c r="Y948" s="118"/>
      <c r="Z948" s="118"/>
      <c r="AA948" s="118"/>
      <c r="AB948" s="118"/>
      <c r="AC948" s="118"/>
      <c r="AD948" s="111"/>
      <c r="AE948" s="122"/>
      <c r="AF948" s="122"/>
      <c r="AG948" s="122"/>
      <c r="AH948" s="122"/>
    </row>
    <row r="949" ht="22.5" customHeight="1">
      <c r="A949" s="73"/>
      <c r="B949" s="73"/>
      <c r="C949" s="73"/>
      <c r="D949" s="73"/>
      <c r="E949" s="330"/>
      <c r="F949" s="118"/>
      <c r="G949" s="118"/>
      <c r="H949" s="118"/>
      <c r="I949" s="118"/>
      <c r="J949" s="119"/>
      <c r="K949" s="120"/>
      <c r="L949" s="120"/>
      <c r="M949" s="120"/>
      <c r="N949" s="120"/>
      <c r="O949" s="118"/>
      <c r="P949" s="120"/>
      <c r="Q949" s="121"/>
      <c r="R949" s="109" t="b">
        <v>0</v>
      </c>
      <c r="S949" s="143"/>
      <c r="T949" s="110"/>
      <c r="U949" s="118"/>
      <c r="V949" s="118"/>
      <c r="W949" s="118"/>
      <c r="X949" s="118"/>
      <c r="Y949" s="118"/>
      <c r="Z949" s="118"/>
      <c r="AA949" s="118"/>
      <c r="AB949" s="118"/>
      <c r="AC949" s="118"/>
      <c r="AD949" s="111"/>
      <c r="AE949" s="122"/>
      <c r="AF949" s="122"/>
      <c r="AG949" s="122"/>
      <c r="AH949" s="122"/>
    </row>
    <row r="950" ht="22.5" customHeight="1">
      <c r="A950" s="73"/>
      <c r="B950" s="73"/>
      <c r="C950" s="73"/>
      <c r="D950" s="73"/>
      <c r="E950" s="330"/>
      <c r="F950" s="118"/>
      <c r="G950" s="118"/>
      <c r="H950" s="118"/>
      <c r="I950" s="118"/>
      <c r="J950" s="119"/>
      <c r="K950" s="120"/>
      <c r="L950" s="120"/>
      <c r="M950" s="120"/>
      <c r="N950" s="120"/>
      <c r="O950" s="118"/>
      <c r="P950" s="120"/>
      <c r="Q950" s="121"/>
      <c r="R950" s="109" t="b">
        <v>0</v>
      </c>
      <c r="S950" s="143"/>
      <c r="T950" s="110"/>
      <c r="U950" s="118"/>
      <c r="V950" s="118"/>
      <c r="W950" s="118"/>
      <c r="X950" s="118"/>
      <c r="Y950" s="118"/>
      <c r="Z950" s="118"/>
      <c r="AA950" s="118"/>
      <c r="AB950" s="118"/>
      <c r="AC950" s="118"/>
      <c r="AD950" s="111"/>
      <c r="AE950" s="122"/>
      <c r="AF950" s="122"/>
      <c r="AG950" s="122"/>
      <c r="AH950" s="122"/>
    </row>
    <row r="951" ht="22.5" customHeight="1">
      <c r="A951" s="73"/>
      <c r="B951" s="73"/>
      <c r="C951" s="73"/>
      <c r="D951" s="73"/>
      <c r="E951" s="330"/>
      <c r="F951" s="118"/>
      <c r="G951" s="118"/>
      <c r="H951" s="118"/>
      <c r="I951" s="118"/>
      <c r="J951" s="119"/>
      <c r="K951" s="120"/>
      <c r="L951" s="120"/>
      <c r="M951" s="120"/>
      <c r="N951" s="120"/>
      <c r="O951" s="118"/>
      <c r="P951" s="120"/>
      <c r="Q951" s="121"/>
      <c r="R951" s="109" t="b">
        <v>0</v>
      </c>
      <c r="S951" s="143"/>
      <c r="T951" s="110"/>
      <c r="U951" s="118"/>
      <c r="V951" s="118"/>
      <c r="W951" s="118"/>
      <c r="X951" s="118"/>
      <c r="Y951" s="118"/>
      <c r="Z951" s="118"/>
      <c r="AA951" s="118"/>
      <c r="AB951" s="118"/>
      <c r="AC951" s="118"/>
      <c r="AD951" s="111"/>
      <c r="AE951" s="122"/>
      <c r="AF951" s="122"/>
      <c r="AG951" s="122"/>
      <c r="AH951" s="122"/>
    </row>
    <row r="952" ht="22.5" customHeight="1">
      <c r="A952" s="73"/>
      <c r="B952" s="73"/>
      <c r="C952" s="73"/>
      <c r="D952" s="73"/>
      <c r="E952" s="330"/>
      <c r="F952" s="118"/>
      <c r="G952" s="118"/>
      <c r="H952" s="118"/>
      <c r="I952" s="118"/>
      <c r="J952" s="119"/>
      <c r="K952" s="120"/>
      <c r="L952" s="120"/>
      <c r="M952" s="120"/>
      <c r="N952" s="120"/>
      <c r="O952" s="118"/>
      <c r="P952" s="120"/>
      <c r="Q952" s="121"/>
      <c r="R952" s="109" t="b">
        <v>0</v>
      </c>
      <c r="S952" s="143"/>
      <c r="T952" s="110"/>
      <c r="U952" s="118"/>
      <c r="V952" s="118"/>
      <c r="W952" s="118"/>
      <c r="X952" s="118"/>
      <c r="Y952" s="118"/>
      <c r="Z952" s="118"/>
      <c r="AA952" s="118"/>
      <c r="AB952" s="118"/>
      <c r="AC952" s="118"/>
      <c r="AD952" s="111"/>
      <c r="AE952" s="122"/>
      <c r="AF952" s="122"/>
      <c r="AG952" s="122"/>
      <c r="AH952" s="122"/>
    </row>
    <row r="953" ht="22.5" customHeight="1">
      <c r="A953" s="73"/>
      <c r="B953" s="73"/>
      <c r="C953" s="73"/>
      <c r="D953" s="73"/>
      <c r="E953" s="330"/>
      <c r="F953" s="118"/>
      <c r="G953" s="118"/>
      <c r="H953" s="118"/>
      <c r="I953" s="118"/>
      <c r="J953" s="119"/>
      <c r="K953" s="120"/>
      <c r="L953" s="120"/>
      <c r="M953" s="120"/>
      <c r="N953" s="120"/>
      <c r="O953" s="118"/>
      <c r="P953" s="120"/>
      <c r="Q953" s="121"/>
      <c r="R953" s="109" t="b">
        <v>0</v>
      </c>
      <c r="S953" s="143"/>
      <c r="T953" s="110"/>
      <c r="U953" s="118"/>
      <c r="V953" s="118"/>
      <c r="W953" s="118"/>
      <c r="X953" s="118"/>
      <c r="Y953" s="118"/>
      <c r="Z953" s="118"/>
      <c r="AA953" s="118"/>
      <c r="AB953" s="118"/>
      <c r="AC953" s="118"/>
      <c r="AD953" s="111"/>
      <c r="AE953" s="122"/>
      <c r="AF953" s="122"/>
      <c r="AG953" s="122"/>
      <c r="AH953" s="122"/>
    </row>
    <row r="954" ht="22.5" customHeight="1">
      <c r="A954" s="73"/>
      <c r="B954" s="73"/>
      <c r="C954" s="73"/>
      <c r="D954" s="73"/>
      <c r="E954" s="330"/>
      <c r="F954" s="118"/>
      <c r="G954" s="118"/>
      <c r="H954" s="118"/>
      <c r="I954" s="118"/>
      <c r="J954" s="119"/>
      <c r="K954" s="120"/>
      <c r="L954" s="120"/>
      <c r="M954" s="120"/>
      <c r="N954" s="120"/>
      <c r="O954" s="118"/>
      <c r="P954" s="120"/>
      <c r="Q954" s="121"/>
      <c r="R954" s="109" t="b">
        <v>0</v>
      </c>
      <c r="S954" s="143"/>
      <c r="T954" s="110"/>
      <c r="U954" s="118"/>
      <c r="V954" s="118"/>
      <c r="W954" s="118"/>
      <c r="X954" s="118"/>
      <c r="Y954" s="118"/>
      <c r="Z954" s="118"/>
      <c r="AA954" s="118"/>
      <c r="AB954" s="118"/>
      <c r="AC954" s="118"/>
      <c r="AD954" s="111"/>
      <c r="AE954" s="122"/>
      <c r="AF954" s="122"/>
      <c r="AG954" s="122"/>
      <c r="AH954" s="122"/>
    </row>
    <row r="955" ht="22.5" customHeight="1">
      <c r="A955" s="73"/>
      <c r="B955" s="73"/>
      <c r="C955" s="73"/>
      <c r="D955" s="73"/>
      <c r="E955" s="330"/>
      <c r="F955" s="118"/>
      <c r="G955" s="118"/>
      <c r="H955" s="118"/>
      <c r="I955" s="118"/>
      <c r="J955" s="119"/>
      <c r="K955" s="120"/>
      <c r="L955" s="120"/>
      <c r="M955" s="120"/>
      <c r="N955" s="120"/>
      <c r="O955" s="118"/>
      <c r="P955" s="120"/>
      <c r="Q955" s="121"/>
      <c r="R955" s="109" t="b">
        <v>0</v>
      </c>
      <c r="S955" s="143"/>
      <c r="T955" s="110"/>
      <c r="U955" s="118"/>
      <c r="V955" s="118"/>
      <c r="W955" s="118"/>
      <c r="X955" s="118"/>
      <c r="Y955" s="118"/>
      <c r="Z955" s="118"/>
      <c r="AA955" s="118"/>
      <c r="AB955" s="118"/>
      <c r="AC955" s="118"/>
      <c r="AD955" s="111"/>
      <c r="AE955" s="122"/>
      <c r="AF955" s="122"/>
      <c r="AG955" s="122"/>
      <c r="AH955" s="122"/>
    </row>
    <row r="956" ht="22.5" customHeight="1">
      <c r="A956" s="73"/>
      <c r="B956" s="73"/>
      <c r="C956" s="73"/>
      <c r="D956" s="73"/>
      <c r="E956" s="330"/>
      <c r="F956" s="118"/>
      <c r="G956" s="118"/>
      <c r="H956" s="118"/>
      <c r="I956" s="118"/>
      <c r="J956" s="119"/>
      <c r="K956" s="120"/>
      <c r="L956" s="120"/>
      <c r="M956" s="120"/>
      <c r="N956" s="120"/>
      <c r="O956" s="118"/>
      <c r="P956" s="120"/>
      <c r="Q956" s="121"/>
      <c r="R956" s="109" t="b">
        <v>0</v>
      </c>
      <c r="S956" s="143"/>
      <c r="T956" s="110"/>
      <c r="U956" s="118"/>
      <c r="V956" s="118"/>
      <c r="W956" s="118"/>
      <c r="X956" s="118"/>
      <c r="Y956" s="118"/>
      <c r="Z956" s="118"/>
      <c r="AA956" s="118"/>
      <c r="AB956" s="118"/>
      <c r="AC956" s="118"/>
      <c r="AD956" s="111"/>
      <c r="AE956" s="122"/>
      <c r="AF956" s="122"/>
      <c r="AG956" s="122"/>
      <c r="AH956" s="122"/>
    </row>
    <row r="957" ht="22.5" customHeight="1">
      <c r="A957" s="73"/>
      <c r="B957" s="73"/>
      <c r="C957" s="73"/>
      <c r="D957" s="73"/>
      <c r="E957" s="330"/>
      <c r="F957" s="118"/>
      <c r="G957" s="118"/>
      <c r="H957" s="118"/>
      <c r="I957" s="118"/>
      <c r="J957" s="119"/>
      <c r="K957" s="120"/>
      <c r="L957" s="120"/>
      <c r="M957" s="120"/>
      <c r="N957" s="120"/>
      <c r="O957" s="118"/>
      <c r="P957" s="120"/>
      <c r="Q957" s="121"/>
      <c r="R957" s="109" t="b">
        <v>0</v>
      </c>
      <c r="S957" s="143"/>
      <c r="T957" s="110"/>
      <c r="U957" s="118"/>
      <c r="V957" s="118"/>
      <c r="W957" s="118"/>
      <c r="X957" s="118"/>
      <c r="Y957" s="118"/>
      <c r="Z957" s="118"/>
      <c r="AA957" s="118"/>
      <c r="AB957" s="118"/>
      <c r="AC957" s="118"/>
      <c r="AD957" s="111"/>
      <c r="AE957" s="122"/>
      <c r="AF957" s="122"/>
      <c r="AG957" s="122"/>
      <c r="AH957" s="122"/>
    </row>
    <row r="958" ht="22.5" customHeight="1">
      <c r="A958" s="73"/>
      <c r="B958" s="73"/>
      <c r="C958" s="73"/>
      <c r="D958" s="73"/>
      <c r="E958" s="330"/>
      <c r="F958" s="118"/>
      <c r="G958" s="118"/>
      <c r="H958" s="118"/>
      <c r="I958" s="118"/>
      <c r="J958" s="119"/>
      <c r="K958" s="120"/>
      <c r="L958" s="120"/>
      <c r="M958" s="120"/>
      <c r="N958" s="120"/>
      <c r="O958" s="118"/>
      <c r="P958" s="120"/>
      <c r="Q958" s="121"/>
      <c r="R958" s="109" t="b">
        <v>0</v>
      </c>
      <c r="S958" s="143"/>
      <c r="T958" s="110"/>
      <c r="U958" s="118"/>
      <c r="V958" s="118"/>
      <c r="W958" s="118"/>
      <c r="X958" s="118"/>
      <c r="Y958" s="118"/>
      <c r="Z958" s="118"/>
      <c r="AA958" s="118"/>
      <c r="AB958" s="118"/>
      <c r="AC958" s="118"/>
      <c r="AD958" s="111"/>
      <c r="AE958" s="122"/>
      <c r="AF958" s="122"/>
      <c r="AG958" s="122"/>
      <c r="AH958" s="122"/>
    </row>
    <row r="959" ht="22.5" customHeight="1">
      <c r="A959" s="73"/>
      <c r="B959" s="73"/>
      <c r="C959" s="73"/>
      <c r="D959" s="73"/>
      <c r="E959" s="330"/>
      <c r="F959" s="118"/>
      <c r="G959" s="118"/>
      <c r="H959" s="118"/>
      <c r="I959" s="118"/>
      <c r="J959" s="119"/>
      <c r="K959" s="120"/>
      <c r="L959" s="120"/>
      <c r="M959" s="120"/>
      <c r="N959" s="120"/>
      <c r="O959" s="118"/>
      <c r="P959" s="120"/>
      <c r="Q959" s="121"/>
      <c r="R959" s="109" t="b">
        <v>0</v>
      </c>
      <c r="S959" s="143"/>
      <c r="T959" s="110"/>
      <c r="U959" s="118"/>
      <c r="V959" s="118"/>
      <c r="W959" s="118"/>
      <c r="X959" s="118"/>
      <c r="Y959" s="118"/>
      <c r="Z959" s="118"/>
      <c r="AA959" s="118"/>
      <c r="AB959" s="118"/>
      <c r="AC959" s="118"/>
      <c r="AD959" s="111"/>
      <c r="AE959" s="122"/>
      <c r="AF959" s="122"/>
      <c r="AG959" s="122"/>
      <c r="AH959" s="122"/>
    </row>
    <row r="960" ht="22.5" customHeight="1">
      <c r="A960" s="73"/>
      <c r="B960" s="73"/>
      <c r="C960" s="73"/>
      <c r="D960" s="73"/>
      <c r="E960" s="330"/>
      <c r="F960" s="118"/>
      <c r="G960" s="118"/>
      <c r="H960" s="118"/>
      <c r="I960" s="118"/>
      <c r="J960" s="119"/>
      <c r="K960" s="120"/>
      <c r="L960" s="120"/>
      <c r="M960" s="120"/>
      <c r="N960" s="120"/>
      <c r="O960" s="118"/>
      <c r="P960" s="120"/>
      <c r="Q960" s="121"/>
      <c r="R960" s="109" t="b">
        <v>0</v>
      </c>
      <c r="S960" s="143"/>
      <c r="T960" s="110"/>
      <c r="U960" s="118"/>
      <c r="V960" s="118"/>
      <c r="W960" s="118"/>
      <c r="X960" s="118"/>
      <c r="Y960" s="118"/>
      <c r="Z960" s="118"/>
      <c r="AA960" s="118"/>
      <c r="AB960" s="118"/>
      <c r="AC960" s="118"/>
      <c r="AD960" s="111"/>
      <c r="AE960" s="122"/>
      <c r="AF960" s="122"/>
      <c r="AG960" s="122"/>
      <c r="AH960" s="122"/>
    </row>
    <row r="961" ht="22.5" customHeight="1">
      <c r="A961" s="73"/>
      <c r="B961" s="73"/>
      <c r="C961" s="73"/>
      <c r="D961" s="73"/>
      <c r="E961" s="330"/>
      <c r="F961" s="118"/>
      <c r="G961" s="118"/>
      <c r="H961" s="118"/>
      <c r="I961" s="118"/>
      <c r="J961" s="119"/>
      <c r="K961" s="120"/>
      <c r="L961" s="120"/>
      <c r="M961" s="120"/>
      <c r="N961" s="120"/>
      <c r="O961" s="118"/>
      <c r="P961" s="120"/>
      <c r="Q961" s="121"/>
      <c r="R961" s="109" t="b">
        <v>0</v>
      </c>
      <c r="S961" s="143"/>
      <c r="T961" s="110"/>
      <c r="U961" s="118"/>
      <c r="V961" s="118"/>
      <c r="W961" s="118"/>
      <c r="X961" s="118"/>
      <c r="Y961" s="118"/>
      <c r="Z961" s="118"/>
      <c r="AA961" s="118"/>
      <c r="AB961" s="118"/>
      <c r="AC961" s="118"/>
      <c r="AD961" s="111"/>
      <c r="AE961" s="122"/>
      <c r="AF961" s="122"/>
      <c r="AG961" s="122"/>
      <c r="AH961" s="122"/>
    </row>
    <row r="962" ht="22.5" customHeight="1">
      <c r="A962" s="73"/>
      <c r="B962" s="73"/>
      <c r="C962" s="73"/>
      <c r="D962" s="73"/>
      <c r="E962" s="330"/>
      <c r="F962" s="118"/>
      <c r="G962" s="118"/>
      <c r="H962" s="118"/>
      <c r="I962" s="118"/>
      <c r="J962" s="119"/>
      <c r="K962" s="120"/>
      <c r="L962" s="120"/>
      <c r="M962" s="120"/>
      <c r="N962" s="120"/>
      <c r="O962" s="118"/>
      <c r="P962" s="120"/>
      <c r="Q962" s="121"/>
      <c r="R962" s="109" t="b">
        <v>0</v>
      </c>
      <c r="S962" s="143"/>
      <c r="T962" s="110"/>
      <c r="U962" s="118"/>
      <c r="V962" s="118"/>
      <c r="W962" s="118"/>
      <c r="X962" s="118"/>
      <c r="Y962" s="118"/>
      <c r="Z962" s="118"/>
      <c r="AA962" s="118"/>
      <c r="AB962" s="118"/>
      <c r="AC962" s="118"/>
      <c r="AD962" s="111"/>
      <c r="AE962" s="122"/>
      <c r="AF962" s="122"/>
      <c r="AG962" s="122"/>
      <c r="AH962" s="122"/>
    </row>
    <row r="963" ht="22.5" customHeight="1">
      <c r="A963" s="73"/>
      <c r="B963" s="73"/>
      <c r="C963" s="73"/>
      <c r="D963" s="73"/>
      <c r="E963" s="330"/>
      <c r="F963" s="118"/>
      <c r="G963" s="118"/>
      <c r="H963" s="118"/>
      <c r="I963" s="118"/>
      <c r="J963" s="119"/>
      <c r="K963" s="120"/>
      <c r="L963" s="120"/>
      <c r="M963" s="120"/>
      <c r="N963" s="120"/>
      <c r="O963" s="118"/>
      <c r="P963" s="120"/>
      <c r="Q963" s="121"/>
      <c r="R963" s="109" t="b">
        <v>0</v>
      </c>
      <c r="S963" s="143"/>
      <c r="T963" s="110"/>
      <c r="U963" s="118"/>
      <c r="V963" s="118"/>
      <c r="W963" s="118"/>
      <c r="X963" s="118"/>
      <c r="Y963" s="118"/>
      <c r="Z963" s="118"/>
      <c r="AA963" s="118"/>
      <c r="AB963" s="118"/>
      <c r="AC963" s="118"/>
      <c r="AD963" s="111"/>
      <c r="AE963" s="122"/>
      <c r="AF963" s="122"/>
      <c r="AG963" s="122"/>
      <c r="AH963" s="122"/>
    </row>
    <row r="964" ht="22.5" customHeight="1">
      <c r="A964" s="73"/>
      <c r="B964" s="73"/>
      <c r="C964" s="73"/>
      <c r="D964" s="73"/>
      <c r="E964" s="330"/>
      <c r="F964" s="118"/>
      <c r="G964" s="118"/>
      <c r="H964" s="118"/>
      <c r="I964" s="118"/>
      <c r="J964" s="119"/>
      <c r="K964" s="120"/>
      <c r="L964" s="120"/>
      <c r="M964" s="120"/>
      <c r="N964" s="120"/>
      <c r="O964" s="118"/>
      <c r="P964" s="120"/>
      <c r="Q964" s="121"/>
      <c r="R964" s="109" t="b">
        <v>0</v>
      </c>
      <c r="S964" s="143"/>
      <c r="T964" s="110"/>
      <c r="U964" s="118"/>
      <c r="V964" s="118"/>
      <c r="W964" s="118"/>
      <c r="X964" s="118"/>
      <c r="Y964" s="118"/>
      <c r="Z964" s="118"/>
      <c r="AA964" s="118"/>
      <c r="AB964" s="118"/>
      <c r="AC964" s="118"/>
      <c r="AD964" s="111"/>
      <c r="AE964" s="122"/>
      <c r="AF964" s="122"/>
      <c r="AG964" s="122"/>
      <c r="AH964" s="122"/>
    </row>
    <row r="965" ht="22.5" customHeight="1">
      <c r="A965" s="73"/>
      <c r="B965" s="73"/>
      <c r="C965" s="73"/>
      <c r="D965" s="73"/>
      <c r="E965" s="330"/>
      <c r="F965" s="118"/>
      <c r="G965" s="118"/>
      <c r="H965" s="118"/>
      <c r="I965" s="118"/>
      <c r="J965" s="119"/>
      <c r="K965" s="120"/>
      <c r="L965" s="120"/>
      <c r="M965" s="120"/>
      <c r="N965" s="120"/>
      <c r="O965" s="118"/>
      <c r="P965" s="120"/>
      <c r="Q965" s="121"/>
      <c r="R965" s="109" t="b">
        <v>0</v>
      </c>
      <c r="S965" s="143"/>
      <c r="T965" s="110"/>
      <c r="U965" s="118"/>
      <c r="V965" s="118"/>
      <c r="W965" s="118"/>
      <c r="X965" s="118"/>
      <c r="Y965" s="118"/>
      <c r="Z965" s="118"/>
      <c r="AA965" s="118"/>
      <c r="AB965" s="118"/>
      <c r="AC965" s="118"/>
      <c r="AD965" s="111"/>
      <c r="AE965" s="122"/>
      <c r="AF965" s="122"/>
      <c r="AG965" s="122"/>
      <c r="AH965" s="122"/>
    </row>
    <row r="966" ht="22.5" customHeight="1">
      <c r="A966" s="73"/>
      <c r="B966" s="73"/>
      <c r="C966" s="73"/>
      <c r="D966" s="73"/>
      <c r="E966" s="330"/>
      <c r="F966" s="118"/>
      <c r="G966" s="118"/>
      <c r="H966" s="118"/>
      <c r="I966" s="118"/>
      <c r="J966" s="119"/>
      <c r="K966" s="120"/>
      <c r="L966" s="120"/>
      <c r="M966" s="120"/>
      <c r="N966" s="120"/>
      <c r="O966" s="118"/>
      <c r="P966" s="120"/>
      <c r="Q966" s="121"/>
      <c r="R966" s="109" t="b">
        <v>0</v>
      </c>
      <c r="S966" s="143"/>
      <c r="T966" s="110"/>
      <c r="U966" s="118"/>
      <c r="V966" s="118"/>
      <c r="W966" s="118"/>
      <c r="X966" s="118"/>
      <c r="Y966" s="118"/>
      <c r="Z966" s="118"/>
      <c r="AA966" s="118"/>
      <c r="AB966" s="118"/>
      <c r="AC966" s="118"/>
      <c r="AD966" s="111"/>
      <c r="AE966" s="122"/>
      <c r="AF966" s="122"/>
      <c r="AG966" s="122"/>
      <c r="AH966" s="122"/>
    </row>
    <row r="967" ht="22.5" customHeight="1">
      <c r="A967" s="73"/>
      <c r="B967" s="73"/>
      <c r="C967" s="73"/>
      <c r="D967" s="73"/>
      <c r="E967" s="330"/>
      <c r="F967" s="118"/>
      <c r="G967" s="118"/>
      <c r="H967" s="118"/>
      <c r="I967" s="118"/>
      <c r="J967" s="119"/>
      <c r="K967" s="120"/>
      <c r="L967" s="120"/>
      <c r="M967" s="120"/>
      <c r="N967" s="120"/>
      <c r="O967" s="118"/>
      <c r="P967" s="120"/>
      <c r="Q967" s="121"/>
      <c r="R967" s="109" t="b">
        <v>0</v>
      </c>
      <c r="S967" s="143"/>
      <c r="T967" s="110"/>
      <c r="U967" s="118"/>
      <c r="V967" s="118"/>
      <c r="W967" s="118"/>
      <c r="X967" s="118"/>
      <c r="Y967" s="118"/>
      <c r="Z967" s="118"/>
      <c r="AA967" s="118"/>
      <c r="AB967" s="118"/>
      <c r="AC967" s="118"/>
      <c r="AD967" s="111"/>
      <c r="AE967" s="122"/>
      <c r="AF967" s="122"/>
      <c r="AG967" s="122"/>
      <c r="AH967" s="122"/>
    </row>
    <row r="968" ht="22.5" customHeight="1">
      <c r="A968" s="73"/>
      <c r="B968" s="73"/>
      <c r="C968" s="73"/>
      <c r="D968" s="73"/>
      <c r="E968" s="330"/>
      <c r="F968" s="118"/>
      <c r="G968" s="118"/>
      <c r="H968" s="118"/>
      <c r="I968" s="118"/>
      <c r="J968" s="119"/>
      <c r="K968" s="120"/>
      <c r="L968" s="120"/>
      <c r="M968" s="120"/>
      <c r="N968" s="120"/>
      <c r="O968" s="118"/>
      <c r="P968" s="120"/>
      <c r="Q968" s="121"/>
      <c r="R968" s="109" t="b">
        <v>0</v>
      </c>
      <c r="S968" s="143"/>
      <c r="T968" s="110"/>
      <c r="U968" s="118"/>
      <c r="V968" s="118"/>
      <c r="W968" s="118"/>
      <c r="X968" s="118"/>
      <c r="Y968" s="118"/>
      <c r="Z968" s="118"/>
      <c r="AA968" s="118"/>
      <c r="AB968" s="118"/>
      <c r="AC968" s="118"/>
      <c r="AD968" s="111"/>
      <c r="AE968" s="122"/>
      <c r="AF968" s="122"/>
      <c r="AG968" s="122"/>
      <c r="AH968" s="122"/>
    </row>
    <row r="969" ht="22.5" customHeight="1">
      <c r="A969" s="73"/>
      <c r="B969" s="73"/>
      <c r="C969" s="73"/>
      <c r="D969" s="73"/>
      <c r="E969" s="330"/>
      <c r="F969" s="118"/>
      <c r="G969" s="118"/>
      <c r="H969" s="118"/>
      <c r="I969" s="118"/>
      <c r="J969" s="119"/>
      <c r="K969" s="120"/>
      <c r="L969" s="120"/>
      <c r="M969" s="120"/>
      <c r="N969" s="120"/>
      <c r="O969" s="118"/>
      <c r="P969" s="120"/>
      <c r="Q969" s="121"/>
      <c r="R969" s="109" t="b">
        <v>0</v>
      </c>
      <c r="S969" s="143"/>
      <c r="T969" s="110"/>
      <c r="U969" s="118"/>
      <c r="V969" s="118"/>
      <c r="W969" s="118"/>
      <c r="X969" s="118"/>
      <c r="Y969" s="118"/>
      <c r="Z969" s="118"/>
      <c r="AA969" s="118"/>
      <c r="AB969" s="118"/>
      <c r="AC969" s="118"/>
      <c r="AD969" s="111"/>
      <c r="AE969" s="122"/>
      <c r="AF969" s="122"/>
      <c r="AG969" s="122"/>
      <c r="AH969" s="122"/>
    </row>
    <row r="970" ht="22.5" customHeight="1">
      <c r="A970" s="73"/>
      <c r="B970" s="73"/>
      <c r="C970" s="73"/>
      <c r="D970" s="73"/>
      <c r="E970" s="330"/>
      <c r="F970" s="118"/>
      <c r="G970" s="118"/>
      <c r="H970" s="118"/>
      <c r="I970" s="118"/>
      <c r="J970" s="119"/>
      <c r="K970" s="120"/>
      <c r="L970" s="120"/>
      <c r="M970" s="120"/>
      <c r="N970" s="120"/>
      <c r="O970" s="118"/>
      <c r="P970" s="120"/>
      <c r="Q970" s="121"/>
      <c r="R970" s="109" t="b">
        <v>0</v>
      </c>
      <c r="S970" s="143"/>
      <c r="T970" s="110"/>
      <c r="U970" s="118"/>
      <c r="V970" s="118"/>
      <c r="W970" s="118"/>
      <c r="X970" s="118"/>
      <c r="Y970" s="118"/>
      <c r="Z970" s="118"/>
      <c r="AA970" s="118"/>
      <c r="AB970" s="118"/>
      <c r="AC970" s="118"/>
      <c r="AD970" s="111"/>
      <c r="AE970" s="122"/>
      <c r="AF970" s="122"/>
      <c r="AG970" s="122"/>
      <c r="AH970" s="122"/>
    </row>
    <row r="971" ht="22.5" customHeight="1">
      <c r="A971" s="73"/>
      <c r="B971" s="73"/>
      <c r="C971" s="73"/>
      <c r="D971" s="73"/>
      <c r="E971" s="330"/>
      <c r="F971" s="118"/>
      <c r="G971" s="118"/>
      <c r="H971" s="118"/>
      <c r="I971" s="118"/>
      <c r="J971" s="119"/>
      <c r="K971" s="120"/>
      <c r="L971" s="120"/>
      <c r="M971" s="120"/>
      <c r="N971" s="120"/>
      <c r="O971" s="118"/>
      <c r="P971" s="120"/>
      <c r="Q971" s="121"/>
      <c r="R971" s="109" t="b">
        <v>0</v>
      </c>
      <c r="S971" s="143"/>
      <c r="T971" s="110"/>
      <c r="U971" s="118"/>
      <c r="V971" s="118"/>
      <c r="W971" s="118"/>
      <c r="X971" s="118"/>
      <c r="Y971" s="118"/>
      <c r="Z971" s="118"/>
      <c r="AA971" s="118"/>
      <c r="AB971" s="118"/>
      <c r="AC971" s="118"/>
      <c r="AD971" s="111"/>
      <c r="AE971" s="122"/>
      <c r="AF971" s="122"/>
      <c r="AG971" s="122"/>
      <c r="AH971" s="122"/>
    </row>
    <row r="972" ht="22.5" customHeight="1">
      <c r="A972" s="73"/>
      <c r="B972" s="73"/>
      <c r="C972" s="73"/>
      <c r="D972" s="73"/>
      <c r="E972" s="330"/>
      <c r="F972" s="118"/>
      <c r="G972" s="118"/>
      <c r="H972" s="118"/>
      <c r="I972" s="118"/>
      <c r="J972" s="119"/>
      <c r="K972" s="120"/>
      <c r="L972" s="120"/>
      <c r="M972" s="120"/>
      <c r="N972" s="120"/>
      <c r="O972" s="118"/>
      <c r="P972" s="120"/>
      <c r="Q972" s="121"/>
      <c r="R972" s="109" t="b">
        <v>0</v>
      </c>
      <c r="S972" s="143"/>
      <c r="T972" s="110"/>
      <c r="U972" s="118"/>
      <c r="V972" s="118"/>
      <c r="W972" s="118"/>
      <c r="X972" s="118"/>
      <c r="Y972" s="118"/>
      <c r="Z972" s="118"/>
      <c r="AA972" s="118"/>
      <c r="AB972" s="118"/>
      <c r="AC972" s="118"/>
      <c r="AD972" s="111"/>
      <c r="AE972" s="122"/>
      <c r="AF972" s="122"/>
      <c r="AG972" s="122"/>
      <c r="AH972" s="122"/>
    </row>
    <row r="973" ht="22.5" customHeight="1">
      <c r="A973" s="73"/>
      <c r="B973" s="73"/>
      <c r="C973" s="73"/>
      <c r="D973" s="73"/>
      <c r="E973" s="330"/>
      <c r="F973" s="118"/>
      <c r="G973" s="118"/>
      <c r="H973" s="118"/>
      <c r="I973" s="118"/>
      <c r="J973" s="119"/>
      <c r="K973" s="120"/>
      <c r="L973" s="120"/>
      <c r="M973" s="120"/>
      <c r="N973" s="120"/>
      <c r="O973" s="118"/>
      <c r="P973" s="120"/>
      <c r="Q973" s="121"/>
      <c r="R973" s="109" t="b">
        <v>0</v>
      </c>
      <c r="S973" s="143"/>
      <c r="T973" s="110"/>
      <c r="U973" s="118"/>
      <c r="V973" s="118"/>
      <c r="W973" s="118"/>
      <c r="X973" s="118"/>
      <c r="Y973" s="118"/>
      <c r="Z973" s="118"/>
      <c r="AA973" s="118"/>
      <c r="AB973" s="118"/>
      <c r="AC973" s="118"/>
      <c r="AD973" s="111"/>
      <c r="AE973" s="122"/>
      <c r="AF973" s="122"/>
      <c r="AG973" s="122"/>
      <c r="AH973" s="122"/>
    </row>
    <row r="974" ht="22.5" customHeight="1">
      <c r="A974" s="73"/>
      <c r="B974" s="73"/>
      <c r="C974" s="73"/>
      <c r="D974" s="73"/>
      <c r="E974" s="330"/>
      <c r="F974" s="118"/>
      <c r="G974" s="118"/>
      <c r="H974" s="118"/>
      <c r="I974" s="118"/>
      <c r="J974" s="119"/>
      <c r="K974" s="120"/>
      <c r="L974" s="120"/>
      <c r="M974" s="120"/>
      <c r="N974" s="120"/>
      <c r="O974" s="118"/>
      <c r="P974" s="120"/>
      <c r="Q974" s="121"/>
      <c r="R974" s="109" t="b">
        <v>0</v>
      </c>
      <c r="S974" s="143"/>
      <c r="T974" s="110"/>
      <c r="U974" s="118"/>
      <c r="V974" s="118"/>
      <c r="W974" s="118"/>
      <c r="X974" s="118"/>
      <c r="Y974" s="118"/>
      <c r="Z974" s="118"/>
      <c r="AA974" s="118"/>
      <c r="AB974" s="118"/>
      <c r="AC974" s="118"/>
      <c r="AD974" s="111"/>
      <c r="AE974" s="122"/>
      <c r="AF974" s="122"/>
      <c r="AG974" s="122"/>
      <c r="AH974" s="122"/>
    </row>
  </sheetData>
  <conditionalFormatting sqref="S1:S974">
    <cfRule type="containsText" dxfId="7" priority="1" operator="containsText" text="Observar">
      <formula>NOT(ISERROR(SEARCH(("Observar"),(S1))))</formula>
    </cfRule>
  </conditionalFormatting>
  <conditionalFormatting sqref="S1:S974">
    <cfRule type="containsText" dxfId="8" priority="2" operator="containsText" text="Aguardar Recuo">
      <formula>NOT(ISERROR(SEARCH(("Aguardar Recuo"),(S1))))</formula>
    </cfRule>
  </conditionalFormatting>
  <conditionalFormatting sqref="S1:S974">
    <cfRule type="containsText" dxfId="5" priority="3" operator="containsText" text="Forca Consolidada">
      <formula>NOT(ISERROR(SEARCH(("Forca Consolidada"),(S1))))</formula>
    </cfRule>
  </conditionalFormatting>
  <dataValidations>
    <dataValidation type="list" allowBlank="1" sqref="J3:J974">
      <formula1>"ACTIVA,W,SB,N"</formula1>
    </dataValidation>
    <dataValidation type="custom" allowBlank="1" showDropDown="1" sqref="Q3:Q974">
      <formula1>OR(NOT(ISERROR(DATEVALUE(Q3))), AND(ISNUMBER(Q3), LEFT(CELL("format", Q3))="D"))</formula1>
    </dataValidation>
    <dataValidation type="custom" allowBlank="1" showDropDown="1" sqref="K3:N974 P3:P974">
      <formula1>AND(ISNUMBER(K3),(NOT(OR(NOT(ISERROR(DATEVALUE(K3))), AND(ISNUMBER(K3), LEFT(CELL("format", K3))="D")))))</formula1>
    </dataValidation>
  </dataValidations>
  <hyperlinks>
    <hyperlink r:id="rId1" ref="F13"/>
    <hyperlink r:id="rId2" ref="F91"/>
  </hyperlinks>
  <drawing r:id="rId3"/>
  <tableParts count="1">
    <tablePart r:id="rId5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8E26E"/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  <col customWidth="1" min="4" max="4" width="10.38"/>
    <col customWidth="1" min="5" max="6" width="6.13"/>
    <col customWidth="1" min="7" max="7" width="5.75"/>
    <col customWidth="1" min="8" max="8" width="9.38"/>
    <col customWidth="1" min="9" max="11" width="5.13"/>
    <col customWidth="1" min="12" max="12" width="5.75"/>
    <col customWidth="1" min="13" max="13" width="7.0"/>
    <col customWidth="1" min="14" max="14" width="8.38"/>
    <col customWidth="1" min="16" max="16" width="27.13"/>
    <col customWidth="1" min="19" max="19" width="13.63"/>
    <col customWidth="1" min="20" max="20" width="14.13"/>
    <col customWidth="1" min="21" max="21" width="15.0"/>
    <col customWidth="1" min="22" max="22" width="22.13"/>
    <col customWidth="1" min="23" max="23" width="15.0"/>
    <col customWidth="1" min="24" max="24" width="15.5"/>
    <col customWidth="1" min="29" max="29" width="15.75"/>
  </cols>
  <sheetData>
    <row r="1">
      <c r="A1" s="76" t="s">
        <v>117</v>
      </c>
      <c r="B1" s="77" t="s">
        <v>116</v>
      </c>
      <c r="C1" s="78" t="s">
        <v>118</v>
      </c>
      <c r="D1" s="78" t="s">
        <v>119</v>
      </c>
      <c r="E1" s="78" t="s">
        <v>120</v>
      </c>
      <c r="F1" s="78" t="s">
        <v>121</v>
      </c>
      <c r="G1" s="77" t="s">
        <v>122</v>
      </c>
      <c r="H1" s="78" t="s">
        <v>123</v>
      </c>
      <c r="I1" s="78" t="s">
        <v>124</v>
      </c>
      <c r="J1" s="78" t="s">
        <v>125</v>
      </c>
      <c r="K1" s="78" t="s">
        <v>126</v>
      </c>
      <c r="L1" s="77" t="s">
        <v>127</v>
      </c>
      <c r="M1" s="77" t="s">
        <v>128</v>
      </c>
      <c r="N1" s="77" t="s">
        <v>129</v>
      </c>
      <c r="O1" s="78" t="s">
        <v>130</v>
      </c>
      <c r="P1" s="77" t="s">
        <v>131</v>
      </c>
      <c r="Q1" s="7" t="s">
        <v>132</v>
      </c>
      <c r="R1" s="7" t="s">
        <v>133</v>
      </c>
      <c r="S1" s="7" t="s">
        <v>134</v>
      </c>
      <c r="T1" s="7" t="s">
        <v>135</v>
      </c>
      <c r="U1" s="7" t="s">
        <v>136</v>
      </c>
      <c r="V1" s="7" t="s">
        <v>137</v>
      </c>
      <c r="W1" s="81" t="s">
        <v>138</v>
      </c>
      <c r="X1" s="81" t="s">
        <v>139</v>
      </c>
      <c r="Y1" s="81" t="s">
        <v>140</v>
      </c>
      <c r="Z1" s="81" t="s">
        <v>141</v>
      </c>
      <c r="AA1" s="81" t="s">
        <v>142</v>
      </c>
      <c r="AB1" s="81" t="s">
        <v>143</v>
      </c>
      <c r="AC1" s="81" t="s">
        <v>144</v>
      </c>
    </row>
    <row r="2">
      <c r="A2" s="83"/>
      <c r="Q2" s="84" t="s">
        <v>132</v>
      </c>
      <c r="R2" s="84" t="s">
        <v>133</v>
      </c>
      <c r="S2" s="84" t="s">
        <v>134</v>
      </c>
      <c r="T2" s="84" t="s">
        <v>135</v>
      </c>
      <c r="U2" s="84" t="s">
        <v>136</v>
      </c>
      <c r="V2" s="84" t="s">
        <v>137</v>
      </c>
      <c r="W2" s="7"/>
    </row>
    <row r="3">
      <c r="A3" s="88" t="s">
        <v>146</v>
      </c>
      <c r="B3" s="4" t="s">
        <v>147</v>
      </c>
      <c r="C3" s="4" t="s">
        <v>148</v>
      </c>
      <c r="D3" s="90"/>
      <c r="O3" s="4"/>
      <c r="P3" s="4" t="s">
        <v>150</v>
      </c>
      <c r="Q3" s="84"/>
      <c r="R3" s="84"/>
      <c r="S3" s="84"/>
      <c r="T3" s="84"/>
      <c r="U3" s="84"/>
      <c r="V3" s="84"/>
      <c r="W3" s="4" t="s">
        <v>105</v>
      </c>
      <c r="X3" s="4">
        <v>255.49</v>
      </c>
      <c r="Y3" s="4">
        <v>249.0</v>
      </c>
      <c r="AA3" s="4">
        <v>3.14</v>
      </c>
      <c r="AC3" s="81">
        <f t="shared" ref="AC3:AC267" si="1">(Z3-X3) * AA3</f>
        <v>-802.2386</v>
      </c>
    </row>
    <row r="4">
      <c r="A4" s="88" t="s">
        <v>156</v>
      </c>
      <c r="B4" s="4" t="s">
        <v>157</v>
      </c>
      <c r="C4" s="4" t="s">
        <v>158</v>
      </c>
      <c r="D4" s="90">
        <v>12.26</v>
      </c>
      <c r="O4" s="4" t="b">
        <v>1</v>
      </c>
      <c r="P4" s="4" t="s">
        <v>160</v>
      </c>
      <c r="Q4" s="91">
        <v>12.47</v>
      </c>
      <c r="R4" s="91">
        <v>12.1</v>
      </c>
      <c r="S4" s="91">
        <v>11.73</v>
      </c>
      <c r="T4" s="91">
        <v>12.65</v>
      </c>
      <c r="U4" s="91" t="s">
        <v>161</v>
      </c>
      <c r="V4" s="91" t="s">
        <v>162</v>
      </c>
      <c r="W4" s="4" t="s">
        <v>109</v>
      </c>
      <c r="X4" s="4">
        <v>12.19</v>
      </c>
      <c r="Y4" s="4">
        <v>11.75</v>
      </c>
      <c r="Z4" s="4">
        <v>11.7</v>
      </c>
      <c r="AA4" s="4">
        <v>56.31</v>
      </c>
      <c r="AC4" s="81">
        <f t="shared" si="1"/>
        <v>-27.5919</v>
      </c>
    </row>
    <row r="5">
      <c r="A5" s="88" t="s">
        <v>164</v>
      </c>
      <c r="B5" s="4" t="s">
        <v>166</v>
      </c>
      <c r="C5" s="4" t="s">
        <v>167</v>
      </c>
      <c r="D5" s="90">
        <v>43.21</v>
      </c>
      <c r="E5" s="90">
        <v>41.26</v>
      </c>
      <c r="F5" s="90">
        <v>43.55</v>
      </c>
      <c r="H5" s="90">
        <v>6.81</v>
      </c>
      <c r="I5" s="90">
        <v>72.8</v>
      </c>
      <c r="J5" s="90">
        <v>14.06</v>
      </c>
      <c r="K5" s="4" t="s">
        <v>169</v>
      </c>
      <c r="L5" s="4" t="s">
        <v>170</v>
      </c>
      <c r="M5" s="90">
        <v>28.0</v>
      </c>
      <c r="N5" s="92">
        <v>45709.328280671296</v>
      </c>
      <c r="O5" s="4" t="b">
        <v>1</v>
      </c>
      <c r="P5" s="4" t="s">
        <v>172</v>
      </c>
      <c r="Q5" s="91">
        <v>43.87</v>
      </c>
      <c r="R5" s="91">
        <v>42.18</v>
      </c>
      <c r="S5" s="91">
        <v>40.49</v>
      </c>
      <c r="T5" s="91">
        <v>44.72</v>
      </c>
      <c r="U5" s="91" t="s">
        <v>161</v>
      </c>
      <c r="V5" s="91" t="s">
        <v>173</v>
      </c>
      <c r="W5" s="7"/>
      <c r="AC5" s="81">
        <f t="shared" si="1"/>
        <v>0</v>
      </c>
    </row>
    <row r="6">
      <c r="A6" s="88"/>
      <c r="B6" s="4" t="s">
        <v>175</v>
      </c>
      <c r="C6" s="4" t="s">
        <v>176</v>
      </c>
      <c r="D6" s="90">
        <v>42.88</v>
      </c>
      <c r="O6" s="4" t="b">
        <v>1</v>
      </c>
      <c r="P6" s="4" t="s">
        <v>177</v>
      </c>
      <c r="Q6" s="91">
        <v>42.67</v>
      </c>
      <c r="R6" s="91" t="s">
        <v>18</v>
      </c>
      <c r="S6" s="91" t="s">
        <v>18</v>
      </c>
      <c r="T6" s="91" t="s">
        <v>18</v>
      </c>
      <c r="U6" s="91" t="s">
        <v>179</v>
      </c>
      <c r="V6" s="91" t="s">
        <v>180</v>
      </c>
      <c r="W6" s="4" t="s">
        <v>105</v>
      </c>
      <c r="X6" s="4">
        <v>42.48</v>
      </c>
      <c r="Y6" s="4">
        <v>41.5</v>
      </c>
      <c r="AA6" s="4">
        <v>21.26</v>
      </c>
      <c r="AC6" s="81">
        <f t="shared" si="1"/>
        <v>-903.1248</v>
      </c>
    </row>
    <row r="7">
      <c r="A7" s="88" t="s">
        <v>182</v>
      </c>
      <c r="B7" s="4" t="s">
        <v>183</v>
      </c>
      <c r="C7" s="4" t="s">
        <v>184</v>
      </c>
      <c r="D7" s="90">
        <v>111.46</v>
      </c>
      <c r="E7" s="90">
        <v>108.83</v>
      </c>
      <c r="F7" s="90">
        <v>111.5</v>
      </c>
      <c r="M7" s="90">
        <v>57.13</v>
      </c>
      <c r="N7" s="92">
        <v>45827.33328304398</v>
      </c>
      <c r="O7" s="4" t="b">
        <v>1</v>
      </c>
      <c r="P7" s="4" t="s">
        <v>185</v>
      </c>
      <c r="Q7" s="91">
        <v>110.43</v>
      </c>
      <c r="R7" s="91" t="s">
        <v>18</v>
      </c>
      <c r="S7" s="91" t="s">
        <v>18</v>
      </c>
      <c r="T7" s="91" t="s">
        <v>18</v>
      </c>
      <c r="U7" s="91" t="s">
        <v>179</v>
      </c>
      <c r="V7" s="91" t="s">
        <v>187</v>
      </c>
      <c r="W7" s="7"/>
      <c r="AC7" s="81">
        <f t="shared" si="1"/>
        <v>0</v>
      </c>
    </row>
    <row r="8">
      <c r="A8" s="88" t="s">
        <v>188</v>
      </c>
      <c r="B8" s="4" t="s">
        <v>189</v>
      </c>
      <c r="C8" s="4" t="s">
        <v>190</v>
      </c>
      <c r="D8" s="90">
        <v>149.92</v>
      </c>
      <c r="O8" s="4" t="b">
        <v>1</v>
      </c>
      <c r="P8" s="4" t="s">
        <v>191</v>
      </c>
      <c r="Q8" s="91">
        <v>151.47</v>
      </c>
      <c r="R8" s="91">
        <v>148.14</v>
      </c>
      <c r="S8" s="91">
        <v>144.81</v>
      </c>
      <c r="T8" s="91">
        <v>153.13</v>
      </c>
      <c r="U8" s="91" t="s">
        <v>161</v>
      </c>
      <c r="V8" s="91" t="s">
        <v>192</v>
      </c>
      <c r="W8" s="7"/>
      <c r="AC8" s="81">
        <f t="shared" si="1"/>
        <v>0</v>
      </c>
    </row>
    <row r="9">
      <c r="A9" s="88" t="s">
        <v>194</v>
      </c>
      <c r="B9" s="4" t="s">
        <v>195</v>
      </c>
      <c r="C9" s="4" t="s">
        <v>196</v>
      </c>
      <c r="D9" s="90">
        <v>177.64</v>
      </c>
      <c r="E9" s="90">
        <v>172.0</v>
      </c>
      <c r="F9" s="90">
        <v>177.75</v>
      </c>
      <c r="H9" s="90">
        <v>7.79</v>
      </c>
      <c r="I9" s="90">
        <v>66.59</v>
      </c>
      <c r="J9" s="90">
        <v>18.67</v>
      </c>
      <c r="K9" s="90">
        <v>5.75</v>
      </c>
      <c r="L9" s="4" t="s">
        <v>197</v>
      </c>
      <c r="M9" s="90">
        <v>123.26</v>
      </c>
      <c r="N9" s="92">
        <v>45814.37938008102</v>
      </c>
      <c r="O9" s="4" t="b">
        <v>1</v>
      </c>
      <c r="P9" s="4" t="s">
        <v>198</v>
      </c>
      <c r="Q9" s="4">
        <v>182.2</v>
      </c>
      <c r="R9" s="4">
        <v>175.49</v>
      </c>
      <c r="S9" s="4">
        <v>168.78</v>
      </c>
      <c r="T9" s="4">
        <v>185.55</v>
      </c>
      <c r="U9" s="4" t="s">
        <v>161</v>
      </c>
      <c r="V9" s="4" t="s">
        <v>200</v>
      </c>
      <c r="W9" s="7"/>
      <c r="AC9" s="81">
        <f t="shared" si="1"/>
        <v>0</v>
      </c>
    </row>
    <row r="10">
      <c r="A10" s="88" t="s">
        <v>202</v>
      </c>
      <c r="B10" s="4" t="s">
        <v>203</v>
      </c>
      <c r="C10" s="4" t="s">
        <v>204</v>
      </c>
      <c r="D10" s="90">
        <v>27.66</v>
      </c>
      <c r="E10" s="90">
        <v>27.34</v>
      </c>
      <c r="F10" s="90">
        <v>27.66</v>
      </c>
      <c r="O10" s="4" t="b">
        <v>1</v>
      </c>
      <c r="P10" s="4" t="s">
        <v>206</v>
      </c>
      <c r="Q10" s="4">
        <v>27.79</v>
      </c>
      <c r="R10" s="4">
        <v>27.32</v>
      </c>
      <c r="S10" s="4">
        <v>26.85</v>
      </c>
      <c r="T10" s="4">
        <v>28.02</v>
      </c>
      <c r="U10" s="4" t="s">
        <v>161</v>
      </c>
      <c r="V10" s="4" t="s">
        <v>207</v>
      </c>
      <c r="W10" s="4" t="s">
        <v>115</v>
      </c>
      <c r="X10" s="4">
        <v>27.57</v>
      </c>
      <c r="Y10" s="4">
        <v>27.01</v>
      </c>
      <c r="Z10" s="4">
        <v>27.57</v>
      </c>
      <c r="AA10" s="4">
        <v>88.65</v>
      </c>
      <c r="AC10" s="81">
        <f t="shared" si="1"/>
        <v>0</v>
      </c>
    </row>
    <row r="11">
      <c r="A11" s="88" t="s">
        <v>210</v>
      </c>
      <c r="B11" s="4" t="s">
        <v>211</v>
      </c>
      <c r="C11" s="4" t="s">
        <v>212</v>
      </c>
      <c r="D11" s="90">
        <v>113.24</v>
      </c>
      <c r="E11" s="90">
        <v>110.85</v>
      </c>
      <c r="F11" s="90">
        <v>113.77</v>
      </c>
      <c r="L11" s="4" t="s">
        <v>213</v>
      </c>
      <c r="M11" s="90">
        <v>117.11</v>
      </c>
      <c r="N11" s="92">
        <v>45856.30512809027</v>
      </c>
      <c r="O11" s="4" t="b">
        <v>1</v>
      </c>
      <c r="P11" s="4" t="s">
        <v>215</v>
      </c>
      <c r="Q11" s="4">
        <v>115.25</v>
      </c>
      <c r="R11" s="4">
        <v>113.19</v>
      </c>
      <c r="S11" s="4">
        <v>111.13</v>
      </c>
      <c r="T11" s="4">
        <v>116.28</v>
      </c>
      <c r="U11" s="4" t="s">
        <v>161</v>
      </c>
      <c r="V11" s="4" t="s">
        <v>216</v>
      </c>
      <c r="W11" s="7"/>
      <c r="AC11" s="81">
        <f t="shared" si="1"/>
        <v>0</v>
      </c>
    </row>
    <row r="12">
      <c r="A12" s="88" t="s">
        <v>218</v>
      </c>
      <c r="B12" s="4" t="s">
        <v>219</v>
      </c>
      <c r="C12" s="4" t="s">
        <v>221</v>
      </c>
      <c r="D12" s="90">
        <v>357.61</v>
      </c>
      <c r="E12" s="90">
        <v>351.33</v>
      </c>
      <c r="F12" s="90">
        <v>363.28</v>
      </c>
      <c r="H12" s="90">
        <v>26.17</v>
      </c>
      <c r="I12" s="90">
        <v>81.35</v>
      </c>
      <c r="J12" s="90">
        <v>35.38</v>
      </c>
      <c r="K12" s="90">
        <v>7.33</v>
      </c>
      <c r="L12" s="4" t="s">
        <v>170</v>
      </c>
      <c r="M12" s="90">
        <v>248.89</v>
      </c>
      <c r="N12" s="92">
        <v>45814.12637445602</v>
      </c>
      <c r="O12" s="4" t="b">
        <v>1</v>
      </c>
      <c r="P12" s="4" t="s">
        <v>223</v>
      </c>
      <c r="Q12" s="4">
        <v>359.92</v>
      </c>
      <c r="R12" s="4">
        <v>351.43</v>
      </c>
      <c r="S12" s="4">
        <v>342.94</v>
      </c>
      <c r="T12" s="4">
        <v>364.17</v>
      </c>
      <c r="U12" s="4" t="s">
        <v>161</v>
      </c>
      <c r="V12" s="4" t="s">
        <v>224</v>
      </c>
      <c r="W12" s="7"/>
      <c r="AC12" s="81">
        <f t="shared" si="1"/>
        <v>0</v>
      </c>
    </row>
    <row r="13">
      <c r="A13" s="88" t="s">
        <v>226</v>
      </c>
      <c r="B13" s="4" t="s">
        <v>227</v>
      </c>
      <c r="C13" s="4" t="s">
        <v>228</v>
      </c>
      <c r="D13" s="90">
        <v>380.1</v>
      </c>
      <c r="E13" s="90">
        <v>380.1</v>
      </c>
      <c r="F13" s="90">
        <v>386.3</v>
      </c>
      <c r="M13" s="90">
        <v>335.95</v>
      </c>
      <c r="O13" s="4" t="b">
        <v>1</v>
      </c>
      <c r="P13" s="4" t="s">
        <v>229</v>
      </c>
      <c r="Q13" s="4">
        <v>36.95</v>
      </c>
      <c r="R13" s="4" t="s">
        <v>18</v>
      </c>
      <c r="S13" s="4" t="s">
        <v>18</v>
      </c>
      <c r="T13" s="4" t="s">
        <v>18</v>
      </c>
      <c r="U13" s="4" t="s">
        <v>179</v>
      </c>
      <c r="V13" s="4" t="s">
        <v>231</v>
      </c>
      <c r="W13" s="7"/>
      <c r="AC13" s="81">
        <f t="shared" si="1"/>
        <v>0</v>
      </c>
    </row>
    <row r="14">
      <c r="A14" s="88" t="s">
        <v>232</v>
      </c>
      <c r="B14" s="4" t="s">
        <v>203</v>
      </c>
      <c r="C14" s="4" t="s">
        <v>204</v>
      </c>
      <c r="D14" s="90">
        <v>27.64</v>
      </c>
      <c r="E14" s="90">
        <v>27.55</v>
      </c>
      <c r="F14" s="90">
        <v>27.81</v>
      </c>
      <c r="O14" s="4" t="b">
        <v>1</v>
      </c>
      <c r="P14" s="4" t="s">
        <v>233</v>
      </c>
      <c r="Q14" s="4">
        <v>27.66</v>
      </c>
      <c r="R14" s="4">
        <v>27.19</v>
      </c>
      <c r="S14" s="4">
        <v>26.72</v>
      </c>
      <c r="T14" s="4">
        <v>27.89</v>
      </c>
      <c r="U14" s="4" t="s">
        <v>161</v>
      </c>
      <c r="V14" s="4" t="s">
        <v>234</v>
      </c>
      <c r="W14" s="7"/>
      <c r="AC14" s="81">
        <f t="shared" si="1"/>
        <v>0</v>
      </c>
    </row>
    <row r="15">
      <c r="A15" s="88" t="s">
        <v>237</v>
      </c>
      <c r="B15" s="4" t="s">
        <v>238</v>
      </c>
      <c r="C15" s="4" t="s">
        <v>239</v>
      </c>
      <c r="D15" s="90">
        <v>211.57</v>
      </c>
      <c r="O15" s="4" t="b">
        <v>1</v>
      </c>
      <c r="P15" s="4" t="s">
        <v>240</v>
      </c>
      <c r="Q15" s="4">
        <v>211.9</v>
      </c>
      <c r="R15" s="4">
        <v>208.02</v>
      </c>
      <c r="S15" s="4">
        <v>204.14</v>
      </c>
      <c r="T15" s="4">
        <v>213.84</v>
      </c>
      <c r="U15" s="4" t="s">
        <v>161</v>
      </c>
      <c r="V15" s="4" t="s">
        <v>242</v>
      </c>
      <c r="W15" s="7"/>
      <c r="AC15" s="81">
        <f t="shared" si="1"/>
        <v>0</v>
      </c>
    </row>
    <row r="16">
      <c r="A16" s="88" t="s">
        <v>246</v>
      </c>
      <c r="B16" s="4" t="s">
        <v>247</v>
      </c>
      <c r="C16" s="4" t="s">
        <v>248</v>
      </c>
      <c r="D16" s="90">
        <v>133.19</v>
      </c>
      <c r="O16" s="4" t="b">
        <v>1</v>
      </c>
      <c r="P16" s="4" t="s">
        <v>250</v>
      </c>
      <c r="Q16" s="4">
        <v>133.2</v>
      </c>
      <c r="R16" s="4">
        <v>130.01</v>
      </c>
      <c r="S16" s="4">
        <v>126.82</v>
      </c>
      <c r="T16" s="4">
        <v>134.79</v>
      </c>
      <c r="U16" s="4" t="s">
        <v>161</v>
      </c>
      <c r="V16" s="4" t="s">
        <v>252</v>
      </c>
      <c r="W16" s="4" t="s">
        <v>109</v>
      </c>
      <c r="X16" s="4">
        <v>132.51</v>
      </c>
      <c r="Y16" s="4">
        <v>128.72</v>
      </c>
      <c r="Z16" s="4">
        <v>128.76</v>
      </c>
      <c r="AA16" s="4">
        <v>13.06</v>
      </c>
      <c r="AC16" s="81">
        <f t="shared" si="1"/>
        <v>-48.975</v>
      </c>
    </row>
    <row r="17">
      <c r="A17" s="88" t="s">
        <v>253</v>
      </c>
      <c r="B17" s="4" t="s">
        <v>254</v>
      </c>
      <c r="C17" s="4" t="s">
        <v>255</v>
      </c>
      <c r="D17" s="90">
        <v>497.75</v>
      </c>
      <c r="E17" s="90">
        <v>493.17</v>
      </c>
      <c r="F17" s="90">
        <v>501.47</v>
      </c>
      <c r="O17" s="4" t="b">
        <v>1</v>
      </c>
      <c r="P17" s="4" t="s">
        <v>257</v>
      </c>
      <c r="Q17" s="4">
        <v>498.65</v>
      </c>
      <c r="R17" s="4">
        <v>489.56</v>
      </c>
      <c r="S17" s="4">
        <v>480.47</v>
      </c>
      <c r="T17" s="4">
        <v>503.19</v>
      </c>
      <c r="U17" s="4" t="s">
        <v>161</v>
      </c>
      <c r="V17" s="4" t="s">
        <v>258</v>
      </c>
      <c r="W17" s="7"/>
      <c r="AC17" s="81">
        <f t="shared" si="1"/>
        <v>0</v>
      </c>
    </row>
    <row r="18">
      <c r="A18" s="88" t="s">
        <v>261</v>
      </c>
      <c r="B18" s="4" t="s">
        <v>262</v>
      </c>
      <c r="C18" s="4" t="s">
        <v>263</v>
      </c>
      <c r="D18" s="90">
        <v>57.03</v>
      </c>
      <c r="O18" s="4" t="b">
        <v>1</v>
      </c>
      <c r="P18" s="4" t="s">
        <v>264</v>
      </c>
      <c r="Q18" s="4">
        <v>57.1</v>
      </c>
      <c r="R18" s="4">
        <v>56.22</v>
      </c>
      <c r="S18" s="4">
        <v>55.34</v>
      </c>
      <c r="T18" s="4">
        <v>57.54</v>
      </c>
      <c r="U18" s="4" t="s">
        <v>161</v>
      </c>
      <c r="V18" s="4" t="s">
        <v>266</v>
      </c>
      <c r="W18" s="7"/>
      <c r="AC18" s="81">
        <f t="shared" si="1"/>
        <v>0</v>
      </c>
    </row>
    <row r="19">
      <c r="A19" s="88" t="s">
        <v>269</v>
      </c>
      <c r="B19" s="4" t="s">
        <v>270</v>
      </c>
      <c r="C19" s="4" t="s">
        <v>271</v>
      </c>
      <c r="O19" s="4" t="b">
        <v>1</v>
      </c>
      <c r="P19" s="4" t="s">
        <v>273</v>
      </c>
      <c r="Q19" s="4">
        <v>370.9</v>
      </c>
      <c r="R19" s="4">
        <v>358.77</v>
      </c>
      <c r="S19" s="4">
        <v>346.64</v>
      </c>
      <c r="T19" s="4">
        <v>376.96</v>
      </c>
      <c r="U19" s="4" t="s">
        <v>161</v>
      </c>
      <c r="V19" s="4" t="s">
        <v>276</v>
      </c>
      <c r="W19" s="7"/>
      <c r="AC19" s="81">
        <f t="shared" si="1"/>
        <v>0</v>
      </c>
    </row>
    <row r="20">
      <c r="A20" s="88" t="s">
        <v>279</v>
      </c>
      <c r="B20" s="4" t="s">
        <v>183</v>
      </c>
      <c r="C20" s="4" t="s">
        <v>184</v>
      </c>
      <c r="D20" s="90">
        <v>110.24</v>
      </c>
      <c r="E20" s="90">
        <v>109.32</v>
      </c>
      <c r="F20" s="90">
        <v>111.44</v>
      </c>
      <c r="G20" s="4" t="s">
        <v>282</v>
      </c>
      <c r="M20" s="90">
        <v>57.13</v>
      </c>
      <c r="N20" s="92">
        <v>45827.33328304398</v>
      </c>
      <c r="O20" s="4" t="b">
        <v>1</v>
      </c>
      <c r="P20" s="4" t="s">
        <v>283</v>
      </c>
      <c r="Q20" s="4">
        <v>110.81</v>
      </c>
      <c r="R20" s="4">
        <v>108.61</v>
      </c>
      <c r="S20" s="4">
        <v>106.41</v>
      </c>
      <c r="T20" s="4">
        <v>111.91</v>
      </c>
      <c r="U20" s="4" t="s">
        <v>161</v>
      </c>
      <c r="V20" s="4" t="s">
        <v>286</v>
      </c>
      <c r="W20" s="7"/>
      <c r="AC20" s="81">
        <f t="shared" si="1"/>
        <v>0</v>
      </c>
    </row>
    <row r="21">
      <c r="A21" s="88" t="s">
        <v>288</v>
      </c>
      <c r="B21" s="4" t="s">
        <v>289</v>
      </c>
      <c r="C21" s="4" t="s">
        <v>290</v>
      </c>
      <c r="D21" s="90">
        <v>23.89</v>
      </c>
      <c r="G21" s="4" t="s">
        <v>282</v>
      </c>
      <c r="O21" s="4" t="b">
        <v>1</v>
      </c>
      <c r="P21" s="4" t="s">
        <v>293</v>
      </c>
      <c r="Q21" s="4">
        <v>25.81</v>
      </c>
      <c r="R21" s="4">
        <v>24.23</v>
      </c>
      <c r="S21" s="4">
        <v>22.65</v>
      </c>
      <c r="T21" s="4">
        <v>26.6</v>
      </c>
      <c r="U21" s="4" t="s">
        <v>161</v>
      </c>
      <c r="V21" s="4" t="s">
        <v>294</v>
      </c>
      <c r="W21" s="7"/>
      <c r="AC21" s="81">
        <f t="shared" si="1"/>
        <v>0</v>
      </c>
    </row>
    <row r="22">
      <c r="A22" s="88" t="s">
        <v>299</v>
      </c>
      <c r="B22" s="4" t="s">
        <v>300</v>
      </c>
      <c r="C22" s="4" t="s">
        <v>301</v>
      </c>
      <c r="D22" s="90">
        <v>36.85</v>
      </c>
      <c r="E22" s="90">
        <v>35.36</v>
      </c>
      <c r="F22" s="90">
        <v>37.12</v>
      </c>
      <c r="M22" s="90">
        <v>44.04</v>
      </c>
      <c r="N22" s="92">
        <v>46219.39700707176</v>
      </c>
      <c r="O22" s="4" t="b">
        <v>1</v>
      </c>
      <c r="P22" s="4" t="s">
        <v>304</v>
      </c>
      <c r="Q22" s="4">
        <v>39.77</v>
      </c>
      <c r="R22" s="4">
        <v>37.76</v>
      </c>
      <c r="S22" s="4">
        <v>35.75</v>
      </c>
      <c r="T22" s="4">
        <v>40.78</v>
      </c>
      <c r="U22" s="4" t="s">
        <v>161</v>
      </c>
      <c r="V22" s="4" t="s">
        <v>306</v>
      </c>
      <c r="W22" s="7"/>
      <c r="AC22" s="81">
        <f t="shared" si="1"/>
        <v>0</v>
      </c>
    </row>
    <row r="23">
      <c r="A23" s="88" t="s">
        <v>309</v>
      </c>
      <c r="B23" s="4" t="s">
        <v>183</v>
      </c>
      <c r="C23" s="113" t="s">
        <v>310</v>
      </c>
      <c r="D23" s="90"/>
      <c r="O23" s="4"/>
      <c r="P23" s="114" t="s">
        <v>312</v>
      </c>
      <c r="Q23" s="4">
        <v>111.44</v>
      </c>
      <c r="R23" s="4">
        <v>109.27</v>
      </c>
      <c r="S23" s="4">
        <v>109.27</v>
      </c>
      <c r="T23" s="4">
        <v>112.5</v>
      </c>
      <c r="U23" s="4" t="s">
        <v>161</v>
      </c>
      <c r="V23" s="4" t="s">
        <v>314</v>
      </c>
      <c r="W23" s="4" t="s">
        <v>115</v>
      </c>
      <c r="X23" s="4">
        <v>109.27</v>
      </c>
      <c r="Y23" s="4">
        <v>109.27</v>
      </c>
      <c r="Z23" s="4">
        <v>109.24</v>
      </c>
      <c r="AA23" s="4">
        <v>25.0</v>
      </c>
      <c r="AC23" s="81">
        <f t="shared" si="1"/>
        <v>-0.75</v>
      </c>
    </row>
    <row r="24">
      <c r="A24" s="88" t="s">
        <v>309</v>
      </c>
      <c r="B24" s="4" t="s">
        <v>289</v>
      </c>
      <c r="C24" s="113" t="s">
        <v>290</v>
      </c>
      <c r="D24" s="90"/>
      <c r="O24" s="4"/>
      <c r="P24" s="114" t="s">
        <v>319</v>
      </c>
      <c r="Q24" s="4">
        <v>23.59</v>
      </c>
      <c r="R24" s="4" t="s">
        <v>18</v>
      </c>
      <c r="S24" s="4" t="s">
        <v>18</v>
      </c>
      <c r="T24" s="4" t="s">
        <v>18</v>
      </c>
      <c r="U24" s="4" t="s">
        <v>179</v>
      </c>
      <c r="V24" s="4" t="s">
        <v>321</v>
      </c>
      <c r="W24" s="4" t="s">
        <v>107</v>
      </c>
      <c r="X24" s="4">
        <v>23.4</v>
      </c>
      <c r="Y24" s="4">
        <v>21.37</v>
      </c>
      <c r="Z24" s="4">
        <v>26.04</v>
      </c>
      <c r="AA24" s="4">
        <v>26.0</v>
      </c>
      <c r="AC24" s="81">
        <f t="shared" si="1"/>
        <v>68.64</v>
      </c>
    </row>
    <row r="25">
      <c r="A25" s="88" t="s">
        <v>309</v>
      </c>
      <c r="B25" s="4" t="s">
        <v>324</v>
      </c>
      <c r="C25" s="113" t="s">
        <v>325</v>
      </c>
      <c r="D25" s="90"/>
      <c r="O25" s="4"/>
      <c r="P25" s="114" t="s">
        <v>326</v>
      </c>
      <c r="Q25" s="4">
        <v>277.3</v>
      </c>
      <c r="R25" s="4">
        <v>272.68</v>
      </c>
      <c r="S25" s="4">
        <v>268.06</v>
      </c>
      <c r="T25" s="4">
        <v>279.61</v>
      </c>
      <c r="U25" s="4" t="s">
        <v>161</v>
      </c>
      <c r="V25" s="4" t="s">
        <v>329</v>
      </c>
      <c r="W25" s="4" t="s">
        <v>109</v>
      </c>
      <c r="X25" s="4">
        <v>274.99</v>
      </c>
      <c r="Y25" s="4">
        <v>270.07</v>
      </c>
      <c r="Z25" s="4">
        <v>270.0</v>
      </c>
      <c r="AA25" s="4">
        <v>9.0</v>
      </c>
      <c r="AC25" s="81">
        <f t="shared" si="1"/>
        <v>-44.91</v>
      </c>
    </row>
    <row r="26">
      <c r="A26" s="88" t="s">
        <v>309</v>
      </c>
      <c r="B26" s="4" t="s">
        <v>330</v>
      </c>
      <c r="C26" s="4" t="s">
        <v>331</v>
      </c>
      <c r="D26" s="90"/>
      <c r="O26" s="4"/>
      <c r="P26" s="114" t="s">
        <v>333</v>
      </c>
      <c r="Q26" s="4">
        <v>175.16</v>
      </c>
      <c r="R26" s="4">
        <v>165.94</v>
      </c>
      <c r="S26" s="4">
        <v>156.72</v>
      </c>
      <c r="T26" s="4">
        <v>179.77</v>
      </c>
      <c r="U26" s="4" t="s">
        <v>161</v>
      </c>
      <c r="V26" s="4" t="s">
        <v>336</v>
      </c>
      <c r="W26" s="4" t="s">
        <v>107</v>
      </c>
      <c r="X26" s="4">
        <v>180.97</v>
      </c>
      <c r="Y26" s="4">
        <v>171.43</v>
      </c>
      <c r="Z26" s="4">
        <v>181.61</v>
      </c>
      <c r="AA26" s="4">
        <v>5.0</v>
      </c>
      <c r="AC26" s="81">
        <f t="shared" si="1"/>
        <v>3.2</v>
      </c>
    </row>
    <row r="27">
      <c r="A27" s="88" t="s">
        <v>341</v>
      </c>
      <c r="B27" s="4" t="s">
        <v>342</v>
      </c>
      <c r="C27" s="4" t="s">
        <v>343</v>
      </c>
      <c r="D27" s="90"/>
      <c r="O27" s="4"/>
      <c r="P27" s="114" t="s">
        <v>345</v>
      </c>
      <c r="Q27" s="4">
        <v>229.3</v>
      </c>
      <c r="R27" s="4">
        <v>220.01</v>
      </c>
      <c r="S27" s="4">
        <v>210.72</v>
      </c>
      <c r="T27" s="4">
        <v>233.95</v>
      </c>
      <c r="U27" s="4" t="s">
        <v>161</v>
      </c>
      <c r="V27" s="4" t="s">
        <v>347</v>
      </c>
      <c r="W27" s="4" t="s">
        <v>109</v>
      </c>
      <c r="X27" s="4">
        <v>225.12</v>
      </c>
      <c r="Y27" s="4">
        <v>215.92</v>
      </c>
      <c r="Z27" s="4">
        <v>216.01</v>
      </c>
      <c r="AA27" s="4">
        <v>5.3</v>
      </c>
      <c r="AC27" s="81">
        <f t="shared" si="1"/>
        <v>-48.283</v>
      </c>
    </row>
    <row r="28">
      <c r="A28" s="88" t="s">
        <v>349</v>
      </c>
      <c r="B28" s="4" t="s">
        <v>350</v>
      </c>
      <c r="C28" s="4" t="s">
        <v>351</v>
      </c>
      <c r="D28" s="90"/>
      <c r="O28" s="4"/>
      <c r="P28" s="114" t="s">
        <v>352</v>
      </c>
      <c r="Q28" s="4"/>
      <c r="R28" s="4"/>
      <c r="S28" s="4"/>
      <c r="T28" s="4"/>
      <c r="U28" s="4"/>
      <c r="V28" s="4"/>
      <c r="W28" s="4" t="s">
        <v>109</v>
      </c>
      <c r="X28" s="4">
        <v>71.59</v>
      </c>
      <c r="Y28" s="4">
        <v>69.17</v>
      </c>
      <c r="Z28" s="4">
        <v>69.18</v>
      </c>
      <c r="AA28" s="4">
        <v>20.66</v>
      </c>
      <c r="AC28" s="81">
        <f t="shared" si="1"/>
        <v>-49.7906</v>
      </c>
    </row>
    <row r="29">
      <c r="A29" s="88" t="s">
        <v>355</v>
      </c>
      <c r="B29" s="4" t="s">
        <v>324</v>
      </c>
      <c r="C29" s="4" t="s">
        <v>325</v>
      </c>
      <c r="D29" s="90">
        <v>283.53</v>
      </c>
      <c r="O29" s="4" t="b">
        <v>1</v>
      </c>
      <c r="P29" s="4" t="s">
        <v>357</v>
      </c>
      <c r="Q29" s="4">
        <v>280.67</v>
      </c>
      <c r="R29" s="4" t="s">
        <v>18</v>
      </c>
      <c r="S29" s="4" t="s">
        <v>18</v>
      </c>
      <c r="T29" s="4" t="s">
        <v>18</v>
      </c>
      <c r="U29" s="4" t="s">
        <v>179</v>
      </c>
      <c r="V29" s="4" t="s">
        <v>360</v>
      </c>
      <c r="W29" s="4" t="s">
        <v>109</v>
      </c>
      <c r="X29" s="4">
        <v>282.24</v>
      </c>
      <c r="Y29" s="4">
        <v>276.62</v>
      </c>
      <c r="Z29" s="4">
        <v>276.74</v>
      </c>
      <c r="AA29" s="4">
        <v>8.45</v>
      </c>
      <c r="AC29" s="81">
        <f t="shared" si="1"/>
        <v>-46.475</v>
      </c>
    </row>
    <row r="30">
      <c r="A30" s="88" t="s">
        <v>363</v>
      </c>
      <c r="B30" s="4" t="s">
        <v>364</v>
      </c>
      <c r="C30" s="4" t="s">
        <v>365</v>
      </c>
      <c r="D30" s="90">
        <v>110.47</v>
      </c>
      <c r="E30" s="90">
        <v>109.0</v>
      </c>
      <c r="F30" s="90">
        <v>112.2</v>
      </c>
      <c r="H30" s="90">
        <v>7.93</v>
      </c>
      <c r="I30" s="90">
        <v>0.0</v>
      </c>
      <c r="J30" s="90">
        <v>21.44</v>
      </c>
      <c r="K30" s="90">
        <v>3.13</v>
      </c>
      <c r="O30" s="4" t="b">
        <v>1</v>
      </c>
      <c r="P30" s="4" t="s">
        <v>368</v>
      </c>
      <c r="Q30" s="4">
        <v>111.99</v>
      </c>
      <c r="R30" s="4">
        <v>109.67</v>
      </c>
      <c r="S30" s="4">
        <v>107.35</v>
      </c>
      <c r="T30" s="4">
        <v>113.15</v>
      </c>
      <c r="U30" s="4" t="s">
        <v>161</v>
      </c>
      <c r="V30" s="4" t="s">
        <v>369</v>
      </c>
      <c r="W30" s="7"/>
      <c r="AC30" s="81">
        <f t="shared" si="1"/>
        <v>0</v>
      </c>
    </row>
    <row r="31">
      <c r="A31" s="88" t="s">
        <v>372</v>
      </c>
      <c r="B31" s="4" t="s">
        <v>203</v>
      </c>
      <c r="C31" s="4" t="s">
        <v>204</v>
      </c>
      <c r="D31" s="90">
        <v>29.02</v>
      </c>
      <c r="E31" s="90">
        <v>28.71</v>
      </c>
      <c r="F31" s="90">
        <v>29.09</v>
      </c>
      <c r="O31" s="4" t="b">
        <v>1</v>
      </c>
      <c r="P31" s="4" t="s">
        <v>374</v>
      </c>
      <c r="Q31" s="4">
        <v>29.21</v>
      </c>
      <c r="R31" s="4">
        <v>28.67</v>
      </c>
      <c r="S31" s="4">
        <v>28.13</v>
      </c>
      <c r="T31" s="4">
        <v>29.48</v>
      </c>
      <c r="U31" s="4" t="s">
        <v>161</v>
      </c>
      <c r="V31" s="4" t="s">
        <v>375</v>
      </c>
      <c r="W31" s="7"/>
      <c r="AC31" s="81">
        <f t="shared" si="1"/>
        <v>0</v>
      </c>
    </row>
    <row r="32">
      <c r="A32" s="88" t="s">
        <v>381</v>
      </c>
      <c r="B32" s="4" t="s">
        <v>203</v>
      </c>
      <c r="C32" s="4" t="s">
        <v>204</v>
      </c>
      <c r="D32" s="90">
        <v>28.55</v>
      </c>
      <c r="E32" s="90">
        <v>28.47</v>
      </c>
      <c r="F32" s="90">
        <v>29.09</v>
      </c>
      <c r="O32" s="4" t="b">
        <v>1</v>
      </c>
      <c r="P32" s="4" t="s">
        <v>383</v>
      </c>
      <c r="Q32" s="4">
        <v>29.09</v>
      </c>
      <c r="R32" s="4">
        <v>28.54</v>
      </c>
      <c r="S32" s="4">
        <v>27.99</v>
      </c>
      <c r="T32" s="4">
        <v>29.36</v>
      </c>
      <c r="U32" s="4" t="s">
        <v>161</v>
      </c>
      <c r="V32" s="4" t="s">
        <v>385</v>
      </c>
      <c r="W32" s="4" t="s">
        <v>111</v>
      </c>
      <c r="AC32" s="81">
        <f t="shared" si="1"/>
        <v>0</v>
      </c>
    </row>
    <row r="33">
      <c r="A33" s="88" t="s">
        <v>389</v>
      </c>
      <c r="B33" s="4" t="s">
        <v>238</v>
      </c>
      <c r="C33" s="4" t="s">
        <v>239</v>
      </c>
      <c r="D33" s="90">
        <v>211.05</v>
      </c>
      <c r="O33" s="4" t="b">
        <v>1</v>
      </c>
      <c r="P33" s="4" t="s">
        <v>392</v>
      </c>
      <c r="Q33" s="4">
        <v>212.72</v>
      </c>
      <c r="R33" s="4">
        <v>209.34</v>
      </c>
      <c r="S33" s="4">
        <v>205.96</v>
      </c>
      <c r="T33" s="4">
        <v>214.41</v>
      </c>
      <c r="U33" s="4" t="s">
        <v>161</v>
      </c>
      <c r="V33" s="4" t="s">
        <v>394</v>
      </c>
      <c r="W33" s="4" t="s">
        <v>111</v>
      </c>
      <c r="AC33" s="81">
        <f t="shared" si="1"/>
        <v>0</v>
      </c>
    </row>
    <row r="34">
      <c r="A34" s="88" t="s">
        <v>398</v>
      </c>
      <c r="B34" s="4" t="s">
        <v>289</v>
      </c>
      <c r="C34" s="4" t="s">
        <v>290</v>
      </c>
      <c r="D34" s="90">
        <v>25.32</v>
      </c>
      <c r="G34" s="4" t="s">
        <v>282</v>
      </c>
      <c r="O34" s="4" t="b">
        <v>1</v>
      </c>
      <c r="P34" s="4" t="s">
        <v>401</v>
      </c>
      <c r="Q34" s="4">
        <v>24.58</v>
      </c>
      <c r="R34" s="4" t="s">
        <v>18</v>
      </c>
      <c r="S34" s="4" t="s">
        <v>18</v>
      </c>
      <c r="T34" s="4" t="s">
        <v>18</v>
      </c>
      <c r="U34" s="4" t="s">
        <v>179</v>
      </c>
      <c r="V34" s="4" t="s">
        <v>404</v>
      </c>
      <c r="W34" s="7"/>
      <c r="X34" s="81"/>
      <c r="Y34" s="81"/>
      <c r="Z34" s="81"/>
      <c r="AA34" s="81"/>
      <c r="AB34" s="81"/>
      <c r="AC34" s="81">
        <f t="shared" si="1"/>
        <v>0</v>
      </c>
    </row>
    <row r="35">
      <c r="A35" s="88" t="s">
        <v>407</v>
      </c>
      <c r="B35" s="4" t="s">
        <v>203</v>
      </c>
      <c r="C35" s="4" t="s">
        <v>204</v>
      </c>
      <c r="D35" s="90">
        <v>28.46</v>
      </c>
      <c r="E35" s="90">
        <v>27.64</v>
      </c>
      <c r="F35" s="90">
        <v>28.7</v>
      </c>
      <c r="O35" s="4" t="b">
        <v>1</v>
      </c>
      <c r="P35" s="4" t="s">
        <v>409</v>
      </c>
      <c r="Q35" s="4">
        <v>29.09</v>
      </c>
      <c r="R35" s="4">
        <v>28.57</v>
      </c>
      <c r="S35" s="4">
        <v>28.05</v>
      </c>
      <c r="T35" s="4">
        <v>29.35</v>
      </c>
      <c r="U35" s="4" t="s">
        <v>161</v>
      </c>
      <c r="V35" s="4" t="s">
        <v>411</v>
      </c>
      <c r="W35" s="7"/>
      <c r="X35" s="81"/>
      <c r="Y35" s="81"/>
      <c r="Z35" s="81"/>
      <c r="AA35" s="81"/>
      <c r="AB35" s="81"/>
      <c r="AC35" s="81">
        <f t="shared" si="1"/>
        <v>0</v>
      </c>
    </row>
    <row r="36">
      <c r="A36" s="88" t="s">
        <v>415</v>
      </c>
      <c r="B36" s="4" t="s">
        <v>416</v>
      </c>
      <c r="C36" s="4" t="s">
        <v>417</v>
      </c>
      <c r="D36" s="90">
        <v>257.54</v>
      </c>
      <c r="E36" s="90">
        <v>254.39</v>
      </c>
      <c r="F36" s="90">
        <v>262.28</v>
      </c>
      <c r="G36" s="4" t="s">
        <v>282</v>
      </c>
      <c r="O36" s="4" t="b">
        <v>1</v>
      </c>
      <c r="P36" s="4" t="s">
        <v>419</v>
      </c>
      <c r="Q36" s="4">
        <v>260.89</v>
      </c>
      <c r="R36" s="4">
        <v>251.8</v>
      </c>
      <c r="S36" s="4">
        <v>242.71</v>
      </c>
      <c r="T36" s="4">
        <v>265.44</v>
      </c>
      <c r="U36" s="4" t="s">
        <v>161</v>
      </c>
      <c r="V36" s="4" t="s">
        <v>421</v>
      </c>
      <c r="W36" s="7"/>
      <c r="X36" s="81"/>
      <c r="Y36" s="81"/>
      <c r="Z36" s="81"/>
      <c r="AA36" s="81"/>
      <c r="AB36" s="81"/>
      <c r="AC36" s="81">
        <f t="shared" si="1"/>
        <v>0</v>
      </c>
    </row>
    <row r="37">
      <c r="A37" s="88" t="s">
        <v>423</v>
      </c>
      <c r="B37" s="4" t="s">
        <v>424</v>
      </c>
      <c r="C37" s="4" t="s">
        <v>425</v>
      </c>
      <c r="D37" s="90">
        <v>292.79</v>
      </c>
      <c r="E37" s="90">
        <v>286.26</v>
      </c>
      <c r="F37" s="90">
        <v>294.13</v>
      </c>
      <c r="O37" s="4" t="b">
        <v>1</v>
      </c>
      <c r="P37" s="4" t="s">
        <v>427</v>
      </c>
      <c r="Q37" s="4">
        <v>294.3</v>
      </c>
      <c r="R37" s="4">
        <v>284.9</v>
      </c>
      <c r="S37" s="4">
        <v>275.5</v>
      </c>
      <c r="T37" s="4">
        <v>299.0</v>
      </c>
      <c r="U37" s="4" t="s">
        <v>161</v>
      </c>
      <c r="V37" s="4" t="s">
        <v>428</v>
      </c>
      <c r="W37" s="4" t="s">
        <v>109</v>
      </c>
      <c r="X37" s="70">
        <v>290.88</v>
      </c>
      <c r="Y37" s="70">
        <v>279.63</v>
      </c>
      <c r="Z37" s="70">
        <v>279.6</v>
      </c>
      <c r="AA37" s="70">
        <v>4.43</v>
      </c>
      <c r="AB37" s="81"/>
      <c r="AC37" s="81">
        <f t="shared" si="1"/>
        <v>-49.9704</v>
      </c>
    </row>
    <row r="38">
      <c r="A38" s="88" t="s">
        <v>432</v>
      </c>
      <c r="B38" s="4" t="s">
        <v>433</v>
      </c>
      <c r="C38" s="4" t="s">
        <v>434</v>
      </c>
      <c r="D38" s="90">
        <v>377.94</v>
      </c>
      <c r="E38" s="90">
        <v>369.43</v>
      </c>
      <c r="F38" s="90">
        <v>379.44</v>
      </c>
      <c r="H38" s="90">
        <v>13.08</v>
      </c>
      <c r="I38" s="90">
        <v>48.27</v>
      </c>
      <c r="J38" s="90">
        <v>44.69</v>
      </c>
      <c r="K38" s="90">
        <v>17.04</v>
      </c>
      <c r="L38" s="4" t="s">
        <v>197</v>
      </c>
      <c r="M38" s="90">
        <v>352.49</v>
      </c>
      <c r="N38" s="92">
        <v>46079.72386462963</v>
      </c>
      <c r="O38" s="4" t="b">
        <v>1</v>
      </c>
      <c r="P38" s="4" t="s">
        <v>437</v>
      </c>
      <c r="Q38" s="4">
        <v>380.12</v>
      </c>
      <c r="R38" s="4">
        <v>367.75</v>
      </c>
      <c r="S38" s="4">
        <v>355.38</v>
      </c>
      <c r="T38" s="4">
        <v>386.3</v>
      </c>
      <c r="U38" s="4" t="s">
        <v>161</v>
      </c>
      <c r="V38" s="4" t="s">
        <v>439</v>
      </c>
      <c r="W38" s="7"/>
      <c r="X38" s="81"/>
      <c r="Y38" s="81"/>
      <c r="Z38" s="81"/>
      <c r="AA38" s="81"/>
      <c r="AB38" s="81"/>
      <c r="AC38" s="81">
        <f t="shared" si="1"/>
        <v>0</v>
      </c>
    </row>
    <row r="39">
      <c r="A39" s="88" t="s">
        <v>441</v>
      </c>
      <c r="B39" s="4" t="s">
        <v>416</v>
      </c>
      <c r="C39" s="4" t="s">
        <v>417</v>
      </c>
      <c r="D39" s="90">
        <v>256.0</v>
      </c>
      <c r="E39" s="90">
        <v>249.0</v>
      </c>
      <c r="F39" s="90">
        <v>263.53</v>
      </c>
      <c r="G39" s="4" t="s">
        <v>282</v>
      </c>
      <c r="O39" s="4" t="b">
        <v>1</v>
      </c>
      <c r="P39" s="4" t="s">
        <v>443</v>
      </c>
      <c r="Q39" s="4">
        <v>260.37</v>
      </c>
      <c r="R39" s="4">
        <v>251.57</v>
      </c>
      <c r="S39" s="4">
        <v>242.77</v>
      </c>
      <c r="T39" s="4">
        <v>264.77</v>
      </c>
      <c r="U39" s="4" t="s">
        <v>161</v>
      </c>
      <c r="V39" s="4" t="s">
        <v>444</v>
      </c>
      <c r="W39" s="7"/>
      <c r="X39" s="81"/>
      <c r="Y39" s="81"/>
      <c r="Z39" s="81"/>
      <c r="AA39" s="81"/>
      <c r="AB39" s="81"/>
      <c r="AC39" s="81">
        <f t="shared" si="1"/>
        <v>0</v>
      </c>
    </row>
    <row r="40">
      <c r="A40" s="88" t="s">
        <v>445</v>
      </c>
      <c r="B40" s="4" t="s">
        <v>254</v>
      </c>
      <c r="C40" s="4" t="s">
        <v>255</v>
      </c>
      <c r="D40" s="90">
        <v>513.53</v>
      </c>
      <c r="E40" s="90">
        <v>504.87</v>
      </c>
      <c r="F40" s="90">
        <v>517.78</v>
      </c>
      <c r="O40" s="4" t="b">
        <v>1</v>
      </c>
      <c r="P40" s="4" t="s">
        <v>446</v>
      </c>
      <c r="Q40" s="4">
        <v>511.68</v>
      </c>
      <c r="R40" s="4" t="s">
        <v>18</v>
      </c>
      <c r="S40" s="4" t="s">
        <v>18</v>
      </c>
      <c r="T40" s="4" t="s">
        <v>18</v>
      </c>
      <c r="U40" s="4" t="s">
        <v>179</v>
      </c>
      <c r="V40" s="4" t="s">
        <v>448</v>
      </c>
      <c r="W40" s="4" t="s">
        <v>109</v>
      </c>
      <c r="X40" s="70">
        <v>509.79</v>
      </c>
      <c r="Y40" s="70">
        <v>500.5</v>
      </c>
      <c r="Z40" s="70">
        <v>498.0</v>
      </c>
      <c r="AA40" s="70">
        <v>4.48</v>
      </c>
      <c r="AB40" s="7">
        <f t="shared" ref="AB40:AB1309" si="2">IF(OR(W40="WIN", W40="LOSS"), (Z40-X40)/(X40-Y40), "")</f>
        <v>-1.269106566</v>
      </c>
      <c r="AC40" s="81">
        <f t="shared" si="1"/>
        <v>-52.8192</v>
      </c>
    </row>
    <row r="41">
      <c r="A41" s="88" t="s">
        <v>456</v>
      </c>
      <c r="B41" s="4" t="s">
        <v>457</v>
      </c>
      <c r="C41" s="4" t="s">
        <v>458</v>
      </c>
      <c r="D41" s="90">
        <v>148.42</v>
      </c>
      <c r="E41" s="90">
        <v>145.04</v>
      </c>
      <c r="F41" s="90">
        <v>150.53</v>
      </c>
      <c r="M41" s="90">
        <v>90.18</v>
      </c>
      <c r="N41" s="92">
        <v>45805.76461986111</v>
      </c>
      <c r="O41" s="4" t="b">
        <v>1</v>
      </c>
      <c r="P41" s="4" t="s">
        <v>459</v>
      </c>
      <c r="Q41" s="4">
        <v>148.74</v>
      </c>
      <c r="R41" s="4">
        <v>142.17</v>
      </c>
      <c r="S41" s="4">
        <v>135.6</v>
      </c>
      <c r="T41" s="4">
        <v>152.02</v>
      </c>
      <c r="U41" s="4" t="s">
        <v>161</v>
      </c>
      <c r="V41" s="4" t="s">
        <v>461</v>
      </c>
      <c r="W41" s="7"/>
      <c r="X41" s="81"/>
      <c r="Y41" s="81"/>
      <c r="Z41" s="81"/>
      <c r="AA41" s="81"/>
      <c r="AB41" s="7" t="str">
        <f t="shared" si="2"/>
        <v/>
      </c>
      <c r="AC41" s="81">
        <f t="shared" si="1"/>
        <v>0</v>
      </c>
    </row>
    <row r="42">
      <c r="A42" s="88" t="s">
        <v>466</v>
      </c>
      <c r="B42" s="4" t="s">
        <v>467</v>
      </c>
      <c r="C42" s="4" t="s">
        <v>235</v>
      </c>
      <c r="D42" s="4" t="s">
        <v>468</v>
      </c>
      <c r="E42" s="4" t="s">
        <v>469</v>
      </c>
      <c r="F42" s="4" t="s">
        <v>471</v>
      </c>
      <c r="G42" s="4" t="s">
        <v>472</v>
      </c>
      <c r="H42" s="4" t="s">
        <v>473</v>
      </c>
      <c r="I42" s="4" t="s">
        <v>474</v>
      </c>
      <c r="O42" s="4"/>
      <c r="P42" s="70" t="s">
        <v>475</v>
      </c>
      <c r="Q42" s="4">
        <v>1182.5</v>
      </c>
      <c r="R42" s="4">
        <v>1163.83</v>
      </c>
      <c r="S42" s="4">
        <v>1145.16</v>
      </c>
      <c r="T42" s="4">
        <v>1191.84</v>
      </c>
      <c r="U42" s="4" t="s">
        <v>161</v>
      </c>
      <c r="V42" s="4" t="s">
        <v>477</v>
      </c>
      <c r="W42" s="7"/>
      <c r="X42" s="81"/>
      <c r="Y42" s="81"/>
      <c r="Z42" s="81"/>
      <c r="AA42" s="81"/>
      <c r="AB42" s="7" t="str">
        <f t="shared" si="2"/>
        <v/>
      </c>
      <c r="AC42" s="81">
        <f t="shared" si="1"/>
        <v>0</v>
      </c>
    </row>
    <row r="43">
      <c r="A43" s="88" t="s">
        <v>482</v>
      </c>
      <c r="B43" s="4" t="s">
        <v>342</v>
      </c>
      <c r="C43" s="4" t="s">
        <v>483</v>
      </c>
      <c r="D43" s="90">
        <v>270.58</v>
      </c>
      <c r="E43" s="4" t="e">
        <v>#N/A</v>
      </c>
      <c r="F43" s="4" t="e">
        <v>#N/A</v>
      </c>
      <c r="O43" s="4" t="b">
        <v>1</v>
      </c>
      <c r="P43" s="4" t="s">
        <v>486</v>
      </c>
      <c r="Q43" s="4">
        <v>267.0</v>
      </c>
      <c r="R43" s="4" t="s">
        <v>18</v>
      </c>
      <c r="S43" s="4" t="s">
        <v>18</v>
      </c>
      <c r="T43" s="4" t="s">
        <v>18</v>
      </c>
      <c r="U43" s="4" t="s">
        <v>179</v>
      </c>
      <c r="V43" s="4" t="s">
        <v>488</v>
      </c>
      <c r="W43" s="7"/>
      <c r="X43" s="81"/>
      <c r="Y43" s="81"/>
      <c r="Z43" s="81"/>
      <c r="AA43" s="81"/>
      <c r="AB43" s="7" t="str">
        <f t="shared" si="2"/>
        <v/>
      </c>
      <c r="AC43" s="81">
        <f t="shared" si="1"/>
        <v>0</v>
      </c>
    </row>
    <row r="44">
      <c r="A44" s="88" t="s">
        <v>494</v>
      </c>
      <c r="B44" s="4" t="s">
        <v>433</v>
      </c>
      <c r="C44" s="4" t="s">
        <v>434</v>
      </c>
      <c r="D44" s="90">
        <v>369.88</v>
      </c>
      <c r="E44" s="90">
        <v>356.83</v>
      </c>
      <c r="F44" s="90">
        <v>373.03</v>
      </c>
      <c r="H44" s="90">
        <v>13.08</v>
      </c>
      <c r="I44" s="90">
        <v>48.27</v>
      </c>
      <c r="J44" s="90">
        <v>44.69</v>
      </c>
      <c r="K44" s="90">
        <v>17.04</v>
      </c>
      <c r="L44" s="4" t="s">
        <v>197</v>
      </c>
      <c r="M44" s="90">
        <v>352.49</v>
      </c>
      <c r="N44" s="92">
        <v>46079.72386462963</v>
      </c>
      <c r="O44" s="4" t="b">
        <v>1</v>
      </c>
      <c r="P44" s="4" t="s">
        <v>500</v>
      </c>
      <c r="Q44" s="4">
        <v>375.68</v>
      </c>
      <c r="R44" s="4">
        <v>363.09</v>
      </c>
      <c r="S44" s="4">
        <v>350.5</v>
      </c>
      <c r="T44" s="4">
        <v>381.97</v>
      </c>
      <c r="U44" s="4" t="s">
        <v>161</v>
      </c>
      <c r="V44" s="4" t="s">
        <v>502</v>
      </c>
      <c r="W44" s="7"/>
      <c r="X44" s="81"/>
      <c r="Y44" s="81"/>
      <c r="Z44" s="81"/>
      <c r="AA44" s="81"/>
      <c r="AB44" s="7" t="str">
        <f t="shared" si="2"/>
        <v/>
      </c>
      <c r="AC44" s="81">
        <f t="shared" si="1"/>
        <v>0</v>
      </c>
    </row>
    <row r="45">
      <c r="A45" s="88" t="s">
        <v>505</v>
      </c>
      <c r="B45" s="4" t="s">
        <v>455</v>
      </c>
      <c r="C45" s="4" t="s">
        <v>507</v>
      </c>
      <c r="D45" s="90">
        <v>185.62</v>
      </c>
      <c r="E45" s="90">
        <v>168.73</v>
      </c>
      <c r="F45" s="90">
        <v>185.73</v>
      </c>
      <c r="M45" s="90">
        <v>315.51</v>
      </c>
      <c r="N45" s="92">
        <v>45707.37273732639</v>
      </c>
      <c r="O45" s="4" t="b">
        <v>1</v>
      </c>
      <c r="P45" s="4" t="s">
        <v>508</v>
      </c>
      <c r="Q45" s="4">
        <v>193.4</v>
      </c>
      <c r="R45" s="4">
        <v>184.69</v>
      </c>
      <c r="S45" s="4">
        <v>175.98</v>
      </c>
      <c r="T45" s="4">
        <v>197.75</v>
      </c>
      <c r="U45" s="4" t="s">
        <v>161</v>
      </c>
      <c r="V45" s="4" t="s">
        <v>509</v>
      </c>
      <c r="W45" s="7"/>
      <c r="X45" s="81"/>
      <c r="Y45" s="81"/>
      <c r="Z45" s="81"/>
      <c r="AA45" s="81"/>
      <c r="AB45" s="7" t="str">
        <f t="shared" si="2"/>
        <v/>
      </c>
      <c r="AC45" s="81">
        <f t="shared" si="1"/>
        <v>0</v>
      </c>
    </row>
    <row r="46">
      <c r="A46" s="88" t="s">
        <v>512</v>
      </c>
      <c r="B46" s="4" t="s">
        <v>513</v>
      </c>
      <c r="C46" s="4" t="s">
        <v>513</v>
      </c>
      <c r="D46" s="90">
        <v>189.88</v>
      </c>
      <c r="E46" s="90">
        <v>181.14</v>
      </c>
      <c r="F46" s="90">
        <v>190.8</v>
      </c>
      <c r="H46" s="90">
        <v>-5.0</v>
      </c>
      <c r="I46" s="90">
        <v>58.72</v>
      </c>
      <c r="J46" s="90">
        <v>39.72</v>
      </c>
      <c r="K46" s="90">
        <v>4.63</v>
      </c>
      <c r="M46" s="90">
        <v>238.78</v>
      </c>
      <c r="N46" s="92">
        <v>45770.36725606481</v>
      </c>
      <c r="O46" s="4" t="b">
        <v>1</v>
      </c>
      <c r="P46" s="4" t="s">
        <v>515</v>
      </c>
      <c r="Q46" s="4">
        <v>222.32</v>
      </c>
      <c r="R46" s="4">
        <v>217.47</v>
      </c>
      <c r="S46" s="4">
        <v>212.62</v>
      </c>
      <c r="T46" s="4">
        <v>224.75</v>
      </c>
      <c r="U46" s="4" t="s">
        <v>161</v>
      </c>
      <c r="V46" s="4" t="s">
        <v>517</v>
      </c>
      <c r="W46" s="4" t="s">
        <v>109</v>
      </c>
      <c r="X46" s="70">
        <v>219.91</v>
      </c>
      <c r="Y46" s="70">
        <v>214.38</v>
      </c>
      <c r="Z46" s="70">
        <v>214.38</v>
      </c>
      <c r="AA46" s="70">
        <v>8.59</v>
      </c>
      <c r="AB46" s="7">
        <f t="shared" si="2"/>
        <v>-1</v>
      </c>
      <c r="AC46" s="81">
        <f t="shared" si="1"/>
        <v>-47.5027</v>
      </c>
    </row>
    <row r="47">
      <c r="A47" s="88" t="s">
        <v>521</v>
      </c>
      <c r="B47" s="4" t="s">
        <v>289</v>
      </c>
      <c r="C47" s="4" t="s">
        <v>290</v>
      </c>
      <c r="D47" s="90">
        <v>25.63</v>
      </c>
      <c r="G47" s="4" t="s">
        <v>282</v>
      </c>
      <c r="O47" s="4" t="b">
        <v>1</v>
      </c>
      <c r="P47" s="4" t="s">
        <v>523</v>
      </c>
      <c r="Q47" s="4">
        <v>25.68</v>
      </c>
      <c r="R47" s="4">
        <v>24.44</v>
      </c>
      <c r="S47" s="4">
        <v>23.2</v>
      </c>
      <c r="T47" s="4">
        <v>26.3</v>
      </c>
      <c r="U47" s="4" t="s">
        <v>161</v>
      </c>
      <c r="V47" s="4" t="s">
        <v>525</v>
      </c>
      <c r="W47" s="7"/>
      <c r="X47" s="81"/>
      <c r="Y47" s="81"/>
      <c r="Z47" s="81"/>
      <c r="AA47" s="81"/>
      <c r="AB47" s="7" t="str">
        <f t="shared" si="2"/>
        <v/>
      </c>
      <c r="AC47" s="81">
        <f t="shared" si="1"/>
        <v>0</v>
      </c>
    </row>
    <row r="48">
      <c r="A48" s="88" t="s">
        <v>526</v>
      </c>
      <c r="B48" s="4" t="s">
        <v>416</v>
      </c>
      <c r="C48" s="4" t="s">
        <v>417</v>
      </c>
      <c r="D48" s="90">
        <v>252.05</v>
      </c>
      <c r="E48" s="90">
        <v>230.05</v>
      </c>
      <c r="F48" s="90">
        <v>254.48</v>
      </c>
      <c r="G48" s="4" t="s">
        <v>282</v>
      </c>
      <c r="O48" s="4" t="b">
        <v>1</v>
      </c>
      <c r="P48" s="4" t="s">
        <v>528</v>
      </c>
      <c r="Q48" s="4">
        <v>261.5</v>
      </c>
      <c r="R48" s="4">
        <v>253.15</v>
      </c>
      <c r="S48" s="4">
        <v>244.8</v>
      </c>
      <c r="T48" s="4">
        <v>265.68</v>
      </c>
      <c r="U48" s="4" t="s">
        <v>161</v>
      </c>
      <c r="V48" s="4" t="s">
        <v>529</v>
      </c>
      <c r="W48" s="4" t="s">
        <v>109</v>
      </c>
      <c r="X48" s="70">
        <v>314.24</v>
      </c>
      <c r="Y48" s="70">
        <v>246.21</v>
      </c>
      <c r="Z48" s="70">
        <v>246.15</v>
      </c>
      <c r="AA48" s="70">
        <v>0.856</v>
      </c>
      <c r="AB48" s="7">
        <f t="shared" si="2"/>
        <v>-1.000881964</v>
      </c>
      <c r="AC48" s="81">
        <f t="shared" si="1"/>
        <v>-58.28504</v>
      </c>
    </row>
    <row r="49">
      <c r="A49" s="88" t="s">
        <v>530</v>
      </c>
      <c r="B49" s="4" t="s">
        <v>330</v>
      </c>
      <c r="C49" s="4" t="s">
        <v>532</v>
      </c>
      <c r="D49" s="90">
        <v>188.59</v>
      </c>
      <c r="E49" s="90">
        <v>180.0</v>
      </c>
      <c r="F49" s="90">
        <v>190.99</v>
      </c>
      <c r="M49" s="90">
        <v>146.06</v>
      </c>
      <c r="N49" s="92">
        <v>45706.703309131946</v>
      </c>
      <c r="O49" s="4" t="b">
        <v>1</v>
      </c>
      <c r="P49" s="4" t="s">
        <v>533</v>
      </c>
      <c r="Q49" s="4">
        <v>187.5</v>
      </c>
      <c r="R49" s="4" t="s">
        <v>18</v>
      </c>
      <c r="S49" s="4" t="s">
        <v>18</v>
      </c>
      <c r="T49" s="4" t="s">
        <v>18</v>
      </c>
      <c r="U49" s="4" t="s">
        <v>179</v>
      </c>
      <c r="V49" s="4" t="s">
        <v>535</v>
      </c>
      <c r="W49" s="4" t="s">
        <v>109</v>
      </c>
      <c r="X49" s="70">
        <v>186.99</v>
      </c>
      <c r="Y49" s="70">
        <v>177.6</v>
      </c>
      <c r="Z49" s="70">
        <v>177.63</v>
      </c>
      <c r="AA49" s="70">
        <v>5.31</v>
      </c>
      <c r="AB49" s="7">
        <f t="shared" si="2"/>
        <v>-0.9968051118</v>
      </c>
      <c r="AC49" s="81">
        <f t="shared" si="1"/>
        <v>-49.7016</v>
      </c>
    </row>
    <row r="50">
      <c r="A50" s="88" t="s">
        <v>539</v>
      </c>
      <c r="B50" s="4" t="s">
        <v>313</v>
      </c>
      <c r="C50" s="4" t="s">
        <v>540</v>
      </c>
      <c r="D50" s="90">
        <v>157.5</v>
      </c>
      <c r="E50" s="90">
        <v>156.15</v>
      </c>
      <c r="F50" s="90">
        <v>159.65</v>
      </c>
      <c r="H50" s="90">
        <v>23.4</v>
      </c>
      <c r="I50" s="90">
        <v>82.38</v>
      </c>
      <c r="J50" s="90">
        <v>60.69</v>
      </c>
      <c r="K50" s="90">
        <v>5.4</v>
      </c>
      <c r="L50" s="4" t="s">
        <v>542</v>
      </c>
      <c r="M50" s="90">
        <v>292.0</v>
      </c>
      <c r="N50" s="92">
        <v>45706.404897939814</v>
      </c>
      <c r="O50" s="4" t="b">
        <v>1</v>
      </c>
      <c r="P50" s="4" t="s">
        <v>543</v>
      </c>
      <c r="Q50" s="4">
        <v>107.43</v>
      </c>
      <c r="R50" s="4">
        <v>104.55</v>
      </c>
      <c r="S50" s="4">
        <v>101.67</v>
      </c>
      <c r="T50" s="4">
        <v>108.87</v>
      </c>
      <c r="U50" s="4" t="s">
        <v>161</v>
      </c>
      <c r="V50" s="4" t="s">
        <v>545</v>
      </c>
      <c r="W50" s="7"/>
      <c r="X50" s="81"/>
      <c r="Y50" s="81"/>
      <c r="Z50" s="81"/>
      <c r="AA50" s="81"/>
      <c r="AB50" s="7" t="str">
        <f t="shared" si="2"/>
        <v/>
      </c>
      <c r="AC50" s="81">
        <f t="shared" si="1"/>
        <v>0</v>
      </c>
    </row>
    <row r="51">
      <c r="A51" s="88" t="s">
        <v>548</v>
      </c>
      <c r="B51" s="4" t="s">
        <v>549</v>
      </c>
      <c r="C51" s="4" t="s">
        <v>550</v>
      </c>
      <c r="D51" s="90">
        <v>236.93</v>
      </c>
      <c r="E51" s="90">
        <v>232.0</v>
      </c>
      <c r="F51" s="90">
        <v>238.52</v>
      </c>
      <c r="G51" s="4" t="s">
        <v>282</v>
      </c>
      <c r="O51" s="4" t="b">
        <v>1</v>
      </c>
      <c r="P51" s="4" t="s">
        <v>551</v>
      </c>
      <c r="Q51" s="4">
        <v>235.94</v>
      </c>
      <c r="R51" s="4" t="s">
        <v>18</v>
      </c>
      <c r="S51" s="4" t="s">
        <v>18</v>
      </c>
      <c r="T51" s="4" t="s">
        <v>18</v>
      </c>
      <c r="U51" s="4" t="s">
        <v>179</v>
      </c>
      <c r="V51" s="4" t="s">
        <v>553</v>
      </c>
      <c r="W51" s="7"/>
      <c r="X51" s="81"/>
      <c r="Y51" s="81"/>
      <c r="Z51" s="81"/>
      <c r="AA51" s="81"/>
      <c r="AB51" s="7" t="str">
        <f t="shared" si="2"/>
        <v/>
      </c>
      <c r="AC51" s="81">
        <f t="shared" si="1"/>
        <v>0</v>
      </c>
    </row>
    <row r="52">
      <c r="A52" s="88" t="s">
        <v>557</v>
      </c>
      <c r="B52" s="4" t="s">
        <v>457</v>
      </c>
      <c r="C52" s="4" t="s">
        <v>458</v>
      </c>
      <c r="D52" s="90">
        <v>147.75</v>
      </c>
      <c r="E52" s="90">
        <v>130.24</v>
      </c>
      <c r="F52" s="90">
        <v>154.58</v>
      </c>
      <c r="M52" s="90">
        <v>90.18</v>
      </c>
      <c r="N52" s="92">
        <v>45805.76461986111</v>
      </c>
      <c r="O52" s="4" t="b">
        <v>1</v>
      </c>
      <c r="P52" s="4" t="s">
        <v>560</v>
      </c>
      <c r="Q52" s="4">
        <v>150.5</v>
      </c>
      <c r="R52" s="4">
        <v>144.29</v>
      </c>
      <c r="S52" s="4">
        <v>138.08</v>
      </c>
      <c r="T52" s="4">
        <v>153.6</v>
      </c>
      <c r="U52" s="4" t="s">
        <v>161</v>
      </c>
      <c r="V52" s="4" t="s">
        <v>563</v>
      </c>
      <c r="W52" s="4"/>
      <c r="X52" s="81"/>
      <c r="Y52" s="81"/>
      <c r="Z52" s="81"/>
      <c r="AA52" s="81"/>
      <c r="AB52" s="7" t="str">
        <f t="shared" si="2"/>
        <v/>
      </c>
      <c r="AC52" s="81">
        <f t="shared" si="1"/>
        <v>0</v>
      </c>
    </row>
    <row r="53">
      <c r="A53" s="88" t="s">
        <v>566</v>
      </c>
      <c r="B53" s="4" t="s">
        <v>457</v>
      </c>
      <c r="C53" s="4" t="s">
        <v>235</v>
      </c>
      <c r="D53" s="4" t="s">
        <v>568</v>
      </c>
      <c r="E53" s="4" t="s">
        <v>570</v>
      </c>
      <c r="F53" s="4" t="s">
        <v>571</v>
      </c>
      <c r="G53" s="4" t="s">
        <v>572</v>
      </c>
      <c r="H53" s="4" t="s">
        <v>574</v>
      </c>
      <c r="I53" s="4" t="s">
        <v>575</v>
      </c>
      <c r="O53" s="4"/>
      <c r="P53" s="4" t="s">
        <v>577</v>
      </c>
      <c r="Q53" s="90"/>
      <c r="W53" s="4" t="s">
        <v>111</v>
      </c>
      <c r="X53" s="81"/>
      <c r="Y53" s="81"/>
      <c r="Z53" s="81"/>
      <c r="AA53" s="81"/>
      <c r="AB53" s="7" t="str">
        <f t="shared" si="2"/>
        <v/>
      </c>
      <c r="AC53" s="81">
        <f t="shared" si="1"/>
        <v>0</v>
      </c>
    </row>
    <row r="54">
      <c r="A54" s="88" t="s">
        <v>579</v>
      </c>
      <c r="B54" s="4" t="s">
        <v>580</v>
      </c>
      <c r="C54" s="4" t="s">
        <v>581</v>
      </c>
      <c r="D54" s="90">
        <v>142.76</v>
      </c>
      <c r="E54" s="90">
        <v>137.12</v>
      </c>
      <c r="F54" s="90">
        <v>143.19</v>
      </c>
      <c r="O54" s="4" t="b">
        <v>1</v>
      </c>
      <c r="P54" s="4" t="s">
        <v>583</v>
      </c>
      <c r="Q54" s="90">
        <v>1.0</v>
      </c>
      <c r="W54" s="4" t="s">
        <v>111</v>
      </c>
      <c r="X54" s="81"/>
      <c r="Y54" s="81"/>
      <c r="Z54" s="81"/>
      <c r="AA54" s="81"/>
      <c r="AB54" s="7" t="str">
        <f t="shared" si="2"/>
        <v/>
      </c>
      <c r="AC54" s="81">
        <f t="shared" si="1"/>
        <v>0</v>
      </c>
    </row>
    <row r="55">
      <c r="A55" s="88" t="s">
        <v>585</v>
      </c>
      <c r="B55" s="4" t="s">
        <v>586</v>
      </c>
      <c r="C55" s="4" t="s">
        <v>587</v>
      </c>
      <c r="D55" s="90">
        <v>68.73</v>
      </c>
      <c r="E55" s="90">
        <v>63.61</v>
      </c>
      <c r="F55" s="90">
        <v>70.79</v>
      </c>
      <c r="H55" s="90">
        <v>24.65</v>
      </c>
      <c r="I55" s="90">
        <v>73.45</v>
      </c>
      <c r="J55" s="90">
        <v>44.84</v>
      </c>
      <c r="K55" s="90">
        <v>7.18</v>
      </c>
      <c r="L55" s="4" t="s">
        <v>588</v>
      </c>
      <c r="M55" s="90">
        <v>72.55</v>
      </c>
      <c r="N55" s="92">
        <v>45973.399707951394</v>
      </c>
      <c r="O55" s="4" t="b">
        <v>1</v>
      </c>
      <c r="P55" s="4" t="s">
        <v>589</v>
      </c>
      <c r="Q55" s="90">
        <v>1.0</v>
      </c>
      <c r="W55" s="4" t="s">
        <v>109</v>
      </c>
      <c r="X55" s="70">
        <v>67.5</v>
      </c>
      <c r="Y55" s="70">
        <v>62.5</v>
      </c>
      <c r="Z55" s="70">
        <v>62.44</v>
      </c>
      <c r="AA55" s="70">
        <v>9.36</v>
      </c>
      <c r="AB55" s="7">
        <f t="shared" si="2"/>
        <v>-1.012</v>
      </c>
      <c r="AC55" s="81">
        <f t="shared" si="1"/>
        <v>-47.3616</v>
      </c>
    </row>
    <row r="56">
      <c r="A56" s="88" t="s">
        <v>591</v>
      </c>
      <c r="B56" s="4" t="s">
        <v>289</v>
      </c>
      <c r="C56" s="4" t="s">
        <v>290</v>
      </c>
      <c r="D56" s="90">
        <v>24.82</v>
      </c>
      <c r="G56" s="4" t="s">
        <v>282</v>
      </c>
      <c r="O56" s="4" t="b">
        <v>1</v>
      </c>
      <c r="P56" s="4" t="s">
        <v>593</v>
      </c>
      <c r="Q56" s="90">
        <v>4.0</v>
      </c>
      <c r="W56" s="4"/>
      <c r="X56" s="81"/>
      <c r="Y56" s="81"/>
      <c r="Z56" s="81"/>
      <c r="AA56" s="81"/>
      <c r="AB56" s="7" t="str">
        <f t="shared" si="2"/>
        <v/>
      </c>
      <c r="AC56" s="81">
        <f t="shared" si="1"/>
        <v>0</v>
      </c>
    </row>
    <row r="57">
      <c r="A57" s="88" t="s">
        <v>596</v>
      </c>
      <c r="B57" s="4" t="s">
        <v>597</v>
      </c>
      <c r="C57" s="4" t="s">
        <v>598</v>
      </c>
      <c r="D57" s="90">
        <v>158.83</v>
      </c>
      <c r="E57" s="90">
        <v>141.21</v>
      </c>
      <c r="F57" s="90">
        <v>161.37</v>
      </c>
      <c r="H57" s="90">
        <v>5.14</v>
      </c>
      <c r="I57" s="90">
        <v>67.62</v>
      </c>
      <c r="J57" s="90">
        <v>23.09</v>
      </c>
      <c r="K57" s="90">
        <v>1.35</v>
      </c>
      <c r="L57" s="4" t="s">
        <v>170</v>
      </c>
      <c r="M57" s="90">
        <v>30.54</v>
      </c>
      <c r="N57" s="92">
        <v>45841.41908578704</v>
      </c>
      <c r="O57" s="4" t="b">
        <v>1</v>
      </c>
      <c r="P57" s="4" t="s">
        <v>600</v>
      </c>
      <c r="Q57" s="90">
        <v>1.0</v>
      </c>
      <c r="W57" s="4"/>
      <c r="X57" s="81"/>
      <c r="Y57" s="81"/>
      <c r="Z57" s="81"/>
      <c r="AA57" s="81"/>
      <c r="AB57" s="7" t="str">
        <f t="shared" si="2"/>
        <v/>
      </c>
      <c r="AC57" s="81">
        <f t="shared" si="1"/>
        <v>0</v>
      </c>
    </row>
    <row r="58">
      <c r="A58" s="88" t="s">
        <v>602</v>
      </c>
      <c r="B58" s="4" t="s">
        <v>227</v>
      </c>
      <c r="C58" s="4" t="s">
        <v>228</v>
      </c>
      <c r="D58" s="90">
        <v>388.5</v>
      </c>
      <c r="E58" s="90">
        <v>386.6</v>
      </c>
      <c r="F58" s="90">
        <v>393.0</v>
      </c>
      <c r="M58" s="90">
        <v>335.95</v>
      </c>
      <c r="O58" s="4" t="b">
        <v>1</v>
      </c>
      <c r="P58" s="4" t="s">
        <v>604</v>
      </c>
      <c r="Q58" s="90">
        <v>5.0</v>
      </c>
      <c r="W58" s="4"/>
      <c r="X58" s="81"/>
      <c r="Y58" s="81"/>
      <c r="Z58" s="81"/>
      <c r="AA58" s="81"/>
      <c r="AB58" s="7" t="str">
        <f t="shared" si="2"/>
        <v/>
      </c>
      <c r="AC58" s="81">
        <f t="shared" si="1"/>
        <v>0</v>
      </c>
    </row>
    <row r="59">
      <c r="A59" s="88" t="s">
        <v>605</v>
      </c>
      <c r="B59" s="4" t="s">
        <v>289</v>
      </c>
      <c r="C59" s="4" t="s">
        <v>290</v>
      </c>
      <c r="D59" s="90">
        <v>24.14</v>
      </c>
      <c r="O59" s="4" t="b">
        <v>1</v>
      </c>
      <c r="P59" s="4" t="s">
        <v>606</v>
      </c>
      <c r="Q59" s="4">
        <v>25.35</v>
      </c>
      <c r="R59" s="4">
        <v>24.25</v>
      </c>
      <c r="S59" s="4">
        <v>23.15</v>
      </c>
      <c r="T59" s="4">
        <v>25.9</v>
      </c>
      <c r="U59" s="4" t="s">
        <v>161</v>
      </c>
      <c r="V59" s="4" t="s">
        <v>608</v>
      </c>
      <c r="W59" s="4" t="s">
        <v>109</v>
      </c>
      <c r="X59" s="70">
        <v>41.01</v>
      </c>
      <c r="Y59" s="70">
        <v>23.16</v>
      </c>
      <c r="Z59" s="70">
        <v>23.16</v>
      </c>
      <c r="AA59" s="70">
        <v>18.0</v>
      </c>
      <c r="AB59" s="7">
        <f t="shared" si="2"/>
        <v>-1</v>
      </c>
      <c r="AC59" s="81">
        <f t="shared" si="1"/>
        <v>-321.3</v>
      </c>
    </row>
    <row r="60">
      <c r="A60" s="88" t="s">
        <v>611</v>
      </c>
      <c r="B60" s="4" t="s">
        <v>612</v>
      </c>
      <c r="C60" s="4" t="s">
        <v>613</v>
      </c>
      <c r="D60" s="90">
        <v>599.86</v>
      </c>
      <c r="E60" s="90">
        <v>584.22</v>
      </c>
      <c r="F60" s="90">
        <v>599.99</v>
      </c>
      <c r="G60" s="4" t="s">
        <v>615</v>
      </c>
      <c r="M60" s="90">
        <v>588.03</v>
      </c>
      <c r="N60" s="92">
        <v>45912.10145469908</v>
      </c>
      <c r="O60" s="4" t="b">
        <v>1</v>
      </c>
      <c r="P60" s="4" t="s">
        <v>617</v>
      </c>
      <c r="Q60" s="4">
        <v>601.18</v>
      </c>
      <c r="R60" s="4">
        <v>591.24</v>
      </c>
      <c r="S60" s="4">
        <v>581.3</v>
      </c>
      <c r="T60" s="4">
        <v>606.15</v>
      </c>
      <c r="U60" s="4" t="s">
        <v>161</v>
      </c>
      <c r="V60" s="4" t="s">
        <v>618</v>
      </c>
      <c r="W60" s="4" t="s">
        <v>109</v>
      </c>
      <c r="X60" s="70">
        <v>597.12</v>
      </c>
      <c r="Y60" s="70">
        <v>585.94</v>
      </c>
      <c r="Z60" s="70">
        <v>586.08</v>
      </c>
      <c r="AA60" s="70">
        <v>4.0</v>
      </c>
      <c r="AB60" s="7">
        <f t="shared" si="2"/>
        <v>-0.9874776386</v>
      </c>
      <c r="AC60" s="81">
        <f t="shared" si="1"/>
        <v>-44.16</v>
      </c>
    </row>
    <row r="61">
      <c r="A61" s="88" t="s">
        <v>622</v>
      </c>
      <c r="B61" s="4" t="s">
        <v>227</v>
      </c>
      <c r="C61" s="4" t="s">
        <v>228</v>
      </c>
      <c r="D61" s="90">
        <v>392.5</v>
      </c>
      <c r="E61" s="90">
        <v>387.2</v>
      </c>
      <c r="F61" s="90">
        <v>393.75</v>
      </c>
      <c r="M61" s="90">
        <v>335.95</v>
      </c>
      <c r="O61" s="4" t="b">
        <v>1</v>
      </c>
      <c r="P61" s="4" t="s">
        <v>624</v>
      </c>
      <c r="Q61" s="4">
        <v>38.34</v>
      </c>
      <c r="R61" s="4">
        <v>37.35</v>
      </c>
      <c r="S61" s="4">
        <v>36.36</v>
      </c>
      <c r="T61" s="4">
        <v>38.84</v>
      </c>
      <c r="U61" s="4" t="s">
        <v>161</v>
      </c>
      <c r="V61" s="4" t="s">
        <v>627</v>
      </c>
      <c r="W61" s="4"/>
      <c r="X61" s="81"/>
      <c r="Y61" s="81"/>
      <c r="Z61" s="81"/>
      <c r="AA61" s="81"/>
      <c r="AB61" s="7" t="str">
        <f t="shared" si="2"/>
        <v/>
      </c>
      <c r="AC61" s="81">
        <f t="shared" si="1"/>
        <v>0</v>
      </c>
    </row>
    <row r="62">
      <c r="A62" s="88" t="s">
        <v>632</v>
      </c>
      <c r="B62" s="4" t="s">
        <v>457</v>
      </c>
      <c r="C62" s="4" t="s">
        <v>458</v>
      </c>
      <c r="D62" s="90">
        <v>112.36</v>
      </c>
      <c r="E62" s="90">
        <v>109.83</v>
      </c>
      <c r="F62" s="90">
        <v>113.42</v>
      </c>
      <c r="M62" s="90">
        <v>90.18</v>
      </c>
      <c r="N62" s="92">
        <v>45805.76461986111</v>
      </c>
      <c r="O62" s="4" t="b">
        <v>1</v>
      </c>
      <c r="P62" s="4" t="s">
        <v>634</v>
      </c>
      <c r="Q62" s="4">
        <v>112.89</v>
      </c>
      <c r="R62" s="4">
        <v>108.2</v>
      </c>
      <c r="S62" s="4">
        <v>103.51</v>
      </c>
      <c r="T62" s="4">
        <v>115.23</v>
      </c>
      <c r="U62" s="4" t="s">
        <v>161</v>
      </c>
      <c r="V62" s="4" t="s">
        <v>637</v>
      </c>
      <c r="W62" s="4"/>
      <c r="X62" s="81"/>
      <c r="Y62" s="81"/>
      <c r="Z62" s="81"/>
      <c r="AA62" s="81"/>
      <c r="AB62" s="7" t="str">
        <f t="shared" si="2"/>
        <v/>
      </c>
      <c r="AC62" s="81">
        <f t="shared" si="1"/>
        <v>0</v>
      </c>
    </row>
    <row r="63">
      <c r="A63" s="88" t="s">
        <v>642</v>
      </c>
      <c r="B63" s="4" t="s">
        <v>364</v>
      </c>
      <c r="C63" s="4" t="s">
        <v>365</v>
      </c>
      <c r="D63" s="90">
        <v>116.64</v>
      </c>
      <c r="E63" s="90">
        <v>113.45</v>
      </c>
      <c r="F63" s="90">
        <v>116.66</v>
      </c>
      <c r="H63" s="90">
        <v>7.93</v>
      </c>
      <c r="I63" s="90">
        <v>0.0</v>
      </c>
      <c r="J63" s="90">
        <v>21.44</v>
      </c>
      <c r="K63" s="90">
        <v>3.13</v>
      </c>
      <c r="O63" s="4" t="b">
        <v>1</v>
      </c>
      <c r="P63" s="4" t="s">
        <v>646</v>
      </c>
      <c r="Q63" s="4">
        <v>117.34</v>
      </c>
      <c r="R63" s="4">
        <v>115.17</v>
      </c>
      <c r="S63" s="4">
        <v>113.0</v>
      </c>
      <c r="T63" s="4">
        <v>118.42</v>
      </c>
      <c r="U63" s="4" t="s">
        <v>161</v>
      </c>
      <c r="V63" s="4" t="s">
        <v>648</v>
      </c>
      <c r="W63" s="4" t="s">
        <v>109</v>
      </c>
      <c r="X63" s="70">
        <v>116.1</v>
      </c>
      <c r="Y63" s="70">
        <v>113.61</v>
      </c>
      <c r="Z63" s="70">
        <v>112.67</v>
      </c>
      <c r="AA63" s="70">
        <v>28.8</v>
      </c>
      <c r="AB63" s="7">
        <f t="shared" si="2"/>
        <v>-1.37751004</v>
      </c>
      <c r="AC63" s="81">
        <f t="shared" si="1"/>
        <v>-98.784</v>
      </c>
    </row>
    <row r="64">
      <c r="A64" s="88" t="s">
        <v>651</v>
      </c>
      <c r="B64" s="4" t="s">
        <v>324</v>
      </c>
      <c r="C64" s="4" t="s">
        <v>365</v>
      </c>
      <c r="D64" s="90">
        <v>280.81</v>
      </c>
      <c r="O64" s="4" t="b">
        <v>1</v>
      </c>
      <c r="P64" s="4" t="s">
        <v>653</v>
      </c>
      <c r="Q64" s="4">
        <v>285.59</v>
      </c>
      <c r="R64" s="4">
        <v>279.69</v>
      </c>
      <c r="S64" s="4">
        <v>273.79</v>
      </c>
      <c r="T64" s="4">
        <v>288.54</v>
      </c>
      <c r="U64" s="4" t="s">
        <v>161</v>
      </c>
      <c r="V64" s="4" t="s">
        <v>655</v>
      </c>
      <c r="W64" s="7"/>
      <c r="X64" s="81"/>
      <c r="Y64" s="81"/>
      <c r="Z64" s="81"/>
      <c r="AA64" s="81"/>
      <c r="AB64" s="7" t="str">
        <f t="shared" si="2"/>
        <v/>
      </c>
      <c r="AC64" s="81">
        <f t="shared" si="1"/>
        <v>0</v>
      </c>
    </row>
    <row r="65">
      <c r="A65" s="88" t="s">
        <v>658</v>
      </c>
      <c r="B65" s="4" t="s">
        <v>289</v>
      </c>
      <c r="C65" s="4" t="s">
        <v>365</v>
      </c>
      <c r="D65" s="90">
        <v>22.83</v>
      </c>
      <c r="O65" s="4" t="b">
        <v>1</v>
      </c>
      <c r="P65" s="4" t="s">
        <v>660</v>
      </c>
      <c r="Q65" s="4">
        <v>24.19</v>
      </c>
      <c r="R65" s="4">
        <v>23.15</v>
      </c>
      <c r="S65" s="4">
        <v>22.11</v>
      </c>
      <c r="T65" s="4">
        <v>24.71</v>
      </c>
      <c r="U65" s="4" t="s">
        <v>161</v>
      </c>
      <c r="V65" s="4" t="s">
        <v>662</v>
      </c>
      <c r="W65" s="7"/>
      <c r="X65" s="81"/>
      <c r="Y65" s="81"/>
      <c r="Z65" s="81"/>
      <c r="AA65" s="81"/>
      <c r="AB65" s="7" t="str">
        <f t="shared" si="2"/>
        <v/>
      </c>
      <c r="AC65" s="81">
        <f t="shared" si="1"/>
        <v>0</v>
      </c>
    </row>
    <row r="66">
      <c r="A66" s="88" t="s">
        <v>664</v>
      </c>
      <c r="B66" s="4" t="s">
        <v>586</v>
      </c>
      <c r="C66" s="4" t="s">
        <v>365</v>
      </c>
      <c r="D66" s="90">
        <v>72.69</v>
      </c>
      <c r="E66" s="90">
        <v>65.25</v>
      </c>
      <c r="F66" s="90">
        <v>72.96</v>
      </c>
      <c r="H66" s="90">
        <v>24.65</v>
      </c>
      <c r="I66" s="90">
        <v>73.45</v>
      </c>
      <c r="J66" s="90">
        <v>44.84</v>
      </c>
      <c r="K66" s="90">
        <v>7.18</v>
      </c>
      <c r="L66" s="4" t="s">
        <v>588</v>
      </c>
      <c r="M66" s="90">
        <v>72.55</v>
      </c>
      <c r="N66" s="92">
        <v>45973.399707951394</v>
      </c>
      <c r="O66" s="4" t="b">
        <v>1</v>
      </c>
      <c r="P66" s="4" t="s">
        <v>667</v>
      </c>
      <c r="Q66" s="4">
        <v>72.02</v>
      </c>
      <c r="R66" s="4" t="s">
        <v>18</v>
      </c>
      <c r="S66" s="4" t="s">
        <v>18</v>
      </c>
      <c r="T66" s="4" t="s">
        <v>18</v>
      </c>
      <c r="U66" s="4" t="s">
        <v>179</v>
      </c>
      <c r="V66" s="4" t="s">
        <v>668</v>
      </c>
      <c r="W66" s="7"/>
      <c r="X66" s="81"/>
      <c r="Y66" s="81"/>
      <c r="Z66" s="81"/>
      <c r="AA66" s="81"/>
      <c r="AB66" s="7" t="str">
        <f t="shared" si="2"/>
        <v/>
      </c>
      <c r="AC66" s="81">
        <f t="shared" si="1"/>
        <v>0</v>
      </c>
    </row>
    <row r="67">
      <c r="A67" s="88" t="s">
        <v>671</v>
      </c>
      <c r="B67" s="4" t="s">
        <v>597</v>
      </c>
      <c r="C67" s="4" t="s">
        <v>365</v>
      </c>
      <c r="D67" s="90">
        <v>145.13</v>
      </c>
      <c r="E67" s="90">
        <v>132.42</v>
      </c>
      <c r="F67" s="90">
        <v>159.47</v>
      </c>
      <c r="G67" s="4" t="s">
        <v>673</v>
      </c>
      <c r="H67" s="90">
        <v>5.14</v>
      </c>
      <c r="I67" s="90">
        <v>67.62</v>
      </c>
      <c r="J67" s="90">
        <v>23.09</v>
      </c>
      <c r="K67" s="90">
        <v>1.35</v>
      </c>
      <c r="L67" s="4" t="s">
        <v>170</v>
      </c>
      <c r="M67" s="90">
        <v>30.54</v>
      </c>
      <c r="N67" s="92">
        <v>45841.41908578704</v>
      </c>
      <c r="O67" s="4" t="b">
        <v>1</v>
      </c>
      <c r="P67" s="4" t="s">
        <v>675</v>
      </c>
      <c r="Q67" s="4">
        <v>145.49</v>
      </c>
      <c r="R67" s="4">
        <v>134.55</v>
      </c>
      <c r="S67" s="4">
        <v>123.61</v>
      </c>
      <c r="T67" s="4">
        <v>150.96</v>
      </c>
      <c r="U67" s="4" t="s">
        <v>161</v>
      </c>
      <c r="V67" s="4" t="s">
        <v>677</v>
      </c>
      <c r="W67" s="7"/>
      <c r="X67" s="81"/>
      <c r="Y67" s="81"/>
      <c r="Z67" s="81"/>
      <c r="AA67" s="81"/>
      <c r="AB67" s="7" t="str">
        <f t="shared" si="2"/>
        <v/>
      </c>
      <c r="AC67" s="81">
        <f t="shared" si="1"/>
        <v>0</v>
      </c>
    </row>
    <row r="68">
      <c r="A68" s="88" t="s">
        <v>679</v>
      </c>
      <c r="B68" s="4" t="s">
        <v>227</v>
      </c>
      <c r="C68" s="4" t="s">
        <v>365</v>
      </c>
      <c r="D68" s="90">
        <v>386.6</v>
      </c>
      <c r="E68" s="90">
        <v>379.85</v>
      </c>
      <c r="F68" s="90">
        <v>387.4</v>
      </c>
      <c r="M68" s="90">
        <v>335.95</v>
      </c>
      <c r="O68" s="4" t="b">
        <v>1</v>
      </c>
      <c r="P68" s="4" t="s">
        <v>681</v>
      </c>
      <c r="Q68" s="4">
        <v>36.85</v>
      </c>
      <c r="R68" s="4">
        <v>35.92</v>
      </c>
      <c r="S68" s="4">
        <v>34.99</v>
      </c>
      <c r="T68" s="4">
        <v>37.32</v>
      </c>
      <c r="U68" s="4" t="s">
        <v>161</v>
      </c>
      <c r="V68" s="4" t="s">
        <v>682</v>
      </c>
      <c r="W68" s="7"/>
      <c r="X68" s="81"/>
      <c r="Y68" s="81"/>
      <c r="Z68" s="81"/>
      <c r="AA68" s="81"/>
      <c r="AB68" s="7" t="str">
        <f t="shared" si="2"/>
        <v/>
      </c>
      <c r="AC68" s="81">
        <f t="shared" si="1"/>
        <v>0</v>
      </c>
    </row>
    <row r="69">
      <c r="A69" s="88" t="s">
        <v>684</v>
      </c>
      <c r="B69" s="4" t="s">
        <v>457</v>
      </c>
      <c r="C69" s="4" t="s">
        <v>365</v>
      </c>
      <c r="D69" s="90">
        <v>109.01</v>
      </c>
      <c r="E69" s="90">
        <v>105.4</v>
      </c>
      <c r="F69" s="90">
        <v>109.53</v>
      </c>
      <c r="M69" s="90">
        <v>90.18</v>
      </c>
      <c r="N69" s="92">
        <v>45805.76461986111</v>
      </c>
      <c r="O69" s="4" t="b">
        <v>1</v>
      </c>
      <c r="P69" s="4" t="s">
        <v>687</v>
      </c>
      <c r="Q69" s="4">
        <v>113.42</v>
      </c>
      <c r="R69" s="4">
        <v>108.7</v>
      </c>
      <c r="S69" s="4">
        <v>103.98</v>
      </c>
      <c r="T69" s="4">
        <v>115.78</v>
      </c>
      <c r="U69" s="4" t="s">
        <v>161</v>
      </c>
      <c r="V69" s="4" t="s">
        <v>689</v>
      </c>
      <c r="W69" s="7"/>
      <c r="X69" s="81"/>
      <c r="Y69" s="81"/>
      <c r="Z69" s="81"/>
      <c r="AA69" s="81"/>
      <c r="AB69" s="7" t="str">
        <f t="shared" si="2"/>
        <v/>
      </c>
      <c r="AC69" s="81">
        <f t="shared" si="1"/>
        <v>0</v>
      </c>
    </row>
    <row r="70">
      <c r="A70" s="88" t="s">
        <v>693</v>
      </c>
      <c r="B70" s="4" t="s">
        <v>238</v>
      </c>
      <c r="C70" s="4" t="s">
        <v>239</v>
      </c>
      <c r="D70" s="90">
        <v>205.77</v>
      </c>
      <c r="O70" s="4" t="b">
        <v>1</v>
      </c>
      <c r="P70" s="4" t="s">
        <v>695</v>
      </c>
      <c r="Q70" s="4">
        <v>207.82</v>
      </c>
      <c r="R70" s="4">
        <v>204.11</v>
      </c>
      <c r="S70" s="4">
        <v>200.4</v>
      </c>
      <c r="T70" s="4">
        <v>209.68</v>
      </c>
      <c r="U70" s="4" t="s">
        <v>161</v>
      </c>
      <c r="V70" s="4" t="s">
        <v>696</v>
      </c>
      <c r="W70" s="7"/>
      <c r="X70" s="81"/>
      <c r="Y70" s="81"/>
      <c r="Z70" s="81"/>
      <c r="AA70" s="81"/>
      <c r="AB70" s="7" t="str">
        <f t="shared" si="2"/>
        <v/>
      </c>
      <c r="AC70" s="81">
        <f t="shared" si="1"/>
        <v>0</v>
      </c>
    </row>
    <row r="71">
      <c r="A71" s="88" t="s">
        <v>700</v>
      </c>
      <c r="B71" s="4" t="s">
        <v>586</v>
      </c>
      <c r="C71" s="4" t="s">
        <v>587</v>
      </c>
      <c r="D71" s="90">
        <v>66.65</v>
      </c>
      <c r="E71" s="90">
        <v>61.7</v>
      </c>
      <c r="F71" s="90">
        <v>68.96</v>
      </c>
      <c r="H71" s="90">
        <v>24.65</v>
      </c>
      <c r="I71" s="90">
        <v>73.45</v>
      </c>
      <c r="J71" s="90">
        <v>44.84</v>
      </c>
      <c r="K71" s="90">
        <v>7.18</v>
      </c>
      <c r="L71" s="4" t="s">
        <v>588</v>
      </c>
      <c r="M71" s="90">
        <v>72.55</v>
      </c>
      <c r="N71" s="92">
        <v>45973.399707951394</v>
      </c>
      <c r="O71" s="4" t="b">
        <v>1</v>
      </c>
      <c r="P71" s="4" t="s">
        <v>703</v>
      </c>
      <c r="Q71" s="4">
        <v>68.9</v>
      </c>
      <c r="R71" s="4">
        <v>65.28</v>
      </c>
      <c r="S71" s="4">
        <v>61.66</v>
      </c>
      <c r="T71" s="4">
        <v>70.71</v>
      </c>
      <c r="U71" s="4" t="s">
        <v>161</v>
      </c>
      <c r="V71" s="4" t="s">
        <v>704</v>
      </c>
      <c r="W71" s="7"/>
      <c r="X71" s="81"/>
      <c r="Y71" s="81"/>
      <c r="Z71" s="81"/>
      <c r="AA71" s="81"/>
      <c r="AB71" s="7" t="str">
        <f t="shared" si="2"/>
        <v/>
      </c>
      <c r="AC71" s="81">
        <f t="shared" si="1"/>
        <v>0</v>
      </c>
    </row>
    <row r="72">
      <c r="A72" s="88" t="s">
        <v>708</v>
      </c>
      <c r="B72" s="4" t="s">
        <v>289</v>
      </c>
      <c r="C72" s="4" t="s">
        <v>290</v>
      </c>
      <c r="D72" s="90">
        <v>21.57</v>
      </c>
      <c r="O72" s="4" t="b">
        <v>1</v>
      </c>
      <c r="P72" s="4" t="s">
        <v>710</v>
      </c>
      <c r="Q72" s="4">
        <v>22.81</v>
      </c>
      <c r="R72" s="4">
        <v>21.82</v>
      </c>
      <c r="S72" s="4">
        <v>20.83</v>
      </c>
      <c r="T72" s="4">
        <v>23.3</v>
      </c>
      <c r="U72" s="4" t="s">
        <v>161</v>
      </c>
      <c r="V72" s="4" t="s">
        <v>713</v>
      </c>
      <c r="W72" s="7"/>
      <c r="X72" s="81"/>
      <c r="Y72" s="81"/>
      <c r="Z72" s="81"/>
      <c r="AA72" s="81"/>
      <c r="AB72" s="7" t="str">
        <f t="shared" si="2"/>
        <v/>
      </c>
      <c r="AC72" s="81">
        <f t="shared" si="1"/>
        <v>0</v>
      </c>
    </row>
    <row r="73">
      <c r="A73" s="88" t="s">
        <v>715</v>
      </c>
      <c r="B73" s="4" t="s">
        <v>549</v>
      </c>
      <c r="C73" s="4" t="s">
        <v>550</v>
      </c>
      <c r="D73" s="90">
        <v>222.36</v>
      </c>
      <c r="E73" s="90">
        <v>216.01</v>
      </c>
      <c r="F73" s="90">
        <v>224.04</v>
      </c>
      <c r="O73" s="4" t="b">
        <v>1</v>
      </c>
      <c r="P73" s="4" t="s">
        <v>717</v>
      </c>
      <c r="Q73" s="4">
        <v>223.63</v>
      </c>
      <c r="R73" s="4">
        <v>215.81</v>
      </c>
      <c r="S73" s="4">
        <v>208.0</v>
      </c>
      <c r="T73" s="4">
        <v>227.53</v>
      </c>
      <c r="U73" s="4" t="s">
        <v>161</v>
      </c>
      <c r="V73" s="4" t="s">
        <v>718</v>
      </c>
      <c r="W73" s="4" t="s">
        <v>107</v>
      </c>
      <c r="X73" s="70">
        <v>220.8</v>
      </c>
      <c r="Y73" s="70">
        <v>232.0</v>
      </c>
      <c r="Z73" s="70">
        <v>232.0</v>
      </c>
      <c r="AA73" s="70">
        <v>16.01</v>
      </c>
      <c r="AB73" s="7">
        <f t="shared" si="2"/>
        <v>-1</v>
      </c>
      <c r="AC73" s="81">
        <f t="shared" si="1"/>
        <v>179.312</v>
      </c>
    </row>
    <row r="74">
      <c r="A74" s="88" t="s">
        <v>719</v>
      </c>
      <c r="B74" s="4" t="s">
        <v>227</v>
      </c>
      <c r="C74" s="4" t="s">
        <v>228</v>
      </c>
      <c r="D74" s="90">
        <v>385.8</v>
      </c>
      <c r="E74" s="90">
        <v>381.75</v>
      </c>
      <c r="F74" s="90">
        <v>386.15</v>
      </c>
      <c r="M74" s="90">
        <v>335.95</v>
      </c>
      <c r="O74" s="4" t="b">
        <v>1</v>
      </c>
      <c r="P74" s="4" t="s">
        <v>720</v>
      </c>
      <c r="Q74" s="4">
        <v>36.29</v>
      </c>
      <c r="R74" s="4">
        <v>35.36</v>
      </c>
      <c r="S74" s="4">
        <v>34.43</v>
      </c>
      <c r="T74" s="4">
        <v>36.76</v>
      </c>
      <c r="U74" s="4" t="s">
        <v>161</v>
      </c>
      <c r="V74" s="4" t="s">
        <v>722</v>
      </c>
      <c r="W74" s="7"/>
      <c r="X74" s="81"/>
      <c r="Y74" s="81"/>
      <c r="Z74" s="81"/>
      <c r="AA74" s="81"/>
      <c r="AB74" s="7" t="str">
        <f t="shared" si="2"/>
        <v/>
      </c>
      <c r="AC74" s="81">
        <f t="shared" si="1"/>
        <v>0</v>
      </c>
    </row>
    <row r="75">
      <c r="A75" s="88" t="s">
        <v>723</v>
      </c>
      <c r="B75" s="4" t="s">
        <v>211</v>
      </c>
      <c r="C75" s="4" t="s">
        <v>212</v>
      </c>
      <c r="D75" s="90">
        <v>130.53</v>
      </c>
      <c r="E75" s="90">
        <v>121.88</v>
      </c>
      <c r="F75" s="90">
        <v>130.62</v>
      </c>
      <c r="G75" s="4" t="s">
        <v>615</v>
      </c>
      <c r="L75" s="4" t="s">
        <v>213</v>
      </c>
      <c r="M75" s="90">
        <v>117.11</v>
      </c>
      <c r="N75" s="92">
        <v>45856.30512809027</v>
      </c>
      <c r="O75" s="4" t="b">
        <v>1</v>
      </c>
      <c r="P75" s="4" t="s">
        <v>724</v>
      </c>
      <c r="Q75" s="4">
        <v>125.61</v>
      </c>
      <c r="R75" s="4" t="s">
        <v>18</v>
      </c>
      <c r="S75" s="4" t="s">
        <v>18</v>
      </c>
      <c r="T75" s="4" t="s">
        <v>18</v>
      </c>
      <c r="U75" s="4" t="s">
        <v>179</v>
      </c>
      <c r="V75" s="4" t="s">
        <v>725</v>
      </c>
      <c r="W75" s="4" t="s">
        <v>109</v>
      </c>
      <c r="X75" s="70">
        <v>125.56</v>
      </c>
      <c r="Y75" s="70">
        <v>121.83</v>
      </c>
      <c r="Z75" s="70">
        <v>121.6</v>
      </c>
      <c r="AA75" s="70">
        <v>41.19</v>
      </c>
      <c r="AB75" s="7">
        <f t="shared" si="2"/>
        <v>-1.061662198</v>
      </c>
      <c r="AC75" s="81">
        <f t="shared" si="1"/>
        <v>-163.1124</v>
      </c>
    </row>
    <row r="76">
      <c r="A76" s="88" t="s">
        <v>727</v>
      </c>
      <c r="B76" s="4" t="s">
        <v>203</v>
      </c>
      <c r="C76" s="4" t="s">
        <v>204</v>
      </c>
      <c r="D76" s="90">
        <v>28.24</v>
      </c>
      <c r="E76" s="90">
        <v>27.58</v>
      </c>
      <c r="F76" s="90">
        <v>28.44</v>
      </c>
      <c r="O76" s="4" t="b">
        <v>1</v>
      </c>
      <c r="P76" s="4" t="s">
        <v>729</v>
      </c>
      <c r="Q76" s="4">
        <v>28.09</v>
      </c>
      <c r="R76" s="4" t="s">
        <v>18</v>
      </c>
      <c r="S76" s="4" t="s">
        <v>18</v>
      </c>
      <c r="T76" s="4" t="s">
        <v>18</v>
      </c>
      <c r="U76" s="4" t="s">
        <v>179</v>
      </c>
      <c r="V76" s="4" t="s">
        <v>731</v>
      </c>
      <c r="W76" s="7"/>
      <c r="X76" s="81"/>
      <c r="Y76" s="81"/>
      <c r="Z76" s="81"/>
      <c r="AA76" s="81"/>
      <c r="AB76" s="7" t="str">
        <f t="shared" si="2"/>
        <v/>
      </c>
      <c r="AC76" s="81">
        <f t="shared" si="1"/>
        <v>0</v>
      </c>
    </row>
    <row r="77">
      <c r="A77" s="88" t="s">
        <v>733</v>
      </c>
      <c r="B77" s="4" t="s">
        <v>227</v>
      </c>
      <c r="C77" s="4" t="s">
        <v>228</v>
      </c>
      <c r="D77" s="90">
        <v>382.55</v>
      </c>
      <c r="E77" s="90">
        <v>373.65</v>
      </c>
      <c r="F77" s="90">
        <v>384.6</v>
      </c>
      <c r="M77" s="90">
        <v>335.95</v>
      </c>
      <c r="O77" s="4" t="b">
        <v>1</v>
      </c>
      <c r="P77" s="4" t="s">
        <v>734</v>
      </c>
      <c r="Q77" s="4">
        <v>35.48</v>
      </c>
      <c r="R77" s="4">
        <v>34.58</v>
      </c>
      <c r="S77" s="4">
        <v>33.68</v>
      </c>
      <c r="T77" s="4">
        <v>35.93</v>
      </c>
      <c r="U77" s="4" t="s">
        <v>161</v>
      </c>
      <c r="V77" s="4" t="s">
        <v>735</v>
      </c>
      <c r="W77" s="7"/>
      <c r="X77" s="81"/>
      <c r="Y77" s="81"/>
      <c r="Z77" s="81"/>
      <c r="AA77" s="81"/>
      <c r="AB77" s="7" t="str">
        <f t="shared" si="2"/>
        <v/>
      </c>
      <c r="AC77" s="81">
        <f t="shared" si="1"/>
        <v>0</v>
      </c>
    </row>
    <row r="78">
      <c r="A78" s="88" t="s">
        <v>737</v>
      </c>
      <c r="B78" s="4" t="s">
        <v>211</v>
      </c>
      <c r="C78" s="4" t="s">
        <v>212</v>
      </c>
      <c r="D78" s="90">
        <v>128.9</v>
      </c>
      <c r="E78" s="90">
        <v>127.54</v>
      </c>
      <c r="F78" s="90">
        <v>129.5</v>
      </c>
      <c r="G78" s="4" t="s">
        <v>615</v>
      </c>
      <c r="L78" s="4" t="s">
        <v>213</v>
      </c>
      <c r="M78" s="90">
        <v>117.11</v>
      </c>
      <c r="N78" s="92">
        <v>45856.30512809027</v>
      </c>
      <c r="O78" s="4" t="b">
        <v>1</v>
      </c>
      <c r="P78" s="4" t="s">
        <v>740</v>
      </c>
      <c r="Q78" s="4">
        <v>126.92</v>
      </c>
      <c r="R78" s="4" t="s">
        <v>18</v>
      </c>
      <c r="S78" s="4" t="s">
        <v>18</v>
      </c>
      <c r="T78" s="4" t="s">
        <v>18</v>
      </c>
      <c r="U78" s="4" t="s">
        <v>179</v>
      </c>
      <c r="V78" s="4" t="s">
        <v>741</v>
      </c>
      <c r="W78" s="7"/>
      <c r="X78" s="81"/>
      <c r="Y78" s="81"/>
      <c r="Z78" s="81"/>
      <c r="AA78" s="81"/>
      <c r="AB78" s="7" t="str">
        <f t="shared" si="2"/>
        <v/>
      </c>
      <c r="AC78" s="81">
        <f t="shared" si="1"/>
        <v>0</v>
      </c>
    </row>
    <row r="79">
      <c r="A79" s="88" t="s">
        <v>745</v>
      </c>
      <c r="B79" s="4" t="s">
        <v>324</v>
      </c>
      <c r="C79" s="4" t="s">
        <v>325</v>
      </c>
      <c r="D79" s="90">
        <v>269.31</v>
      </c>
      <c r="O79" s="4" t="b">
        <v>1</v>
      </c>
      <c r="P79" s="4" t="s">
        <v>747</v>
      </c>
      <c r="Q79" s="4">
        <v>277.95</v>
      </c>
      <c r="R79" s="4">
        <v>271.57</v>
      </c>
      <c r="S79" s="4">
        <v>265.19</v>
      </c>
      <c r="T79" s="4">
        <v>281.14</v>
      </c>
      <c r="U79" s="4" t="s">
        <v>161</v>
      </c>
      <c r="V79" s="4" t="s">
        <v>748</v>
      </c>
      <c r="W79" s="7"/>
      <c r="X79" s="81"/>
      <c r="Y79" s="81"/>
      <c r="Z79" s="81"/>
      <c r="AA79" s="81"/>
      <c r="AB79" s="7" t="str">
        <f t="shared" si="2"/>
        <v/>
      </c>
      <c r="AC79" s="81">
        <f t="shared" si="1"/>
        <v>0</v>
      </c>
    </row>
    <row r="80">
      <c r="A80" s="88" t="s">
        <v>750</v>
      </c>
      <c r="B80" s="4" t="s">
        <v>549</v>
      </c>
      <c r="C80" s="4" t="s">
        <v>550</v>
      </c>
      <c r="D80" s="90">
        <v>216.35</v>
      </c>
      <c r="E80" s="90">
        <v>212.66</v>
      </c>
      <c r="F80" s="90">
        <v>222.81</v>
      </c>
      <c r="O80" s="4" t="b">
        <v>1</v>
      </c>
      <c r="P80" s="4" t="s">
        <v>752</v>
      </c>
      <c r="Q80" s="4">
        <v>220.7</v>
      </c>
      <c r="R80" s="4">
        <v>212.91</v>
      </c>
      <c r="S80" s="4">
        <v>205.12</v>
      </c>
      <c r="T80" s="4">
        <v>224.59</v>
      </c>
      <c r="U80" s="4" t="s">
        <v>161</v>
      </c>
      <c r="V80" s="4" t="s">
        <v>754</v>
      </c>
      <c r="W80" s="7"/>
      <c r="X80" s="81"/>
      <c r="Y80" s="81"/>
      <c r="Z80" s="81"/>
      <c r="AA80" s="81"/>
      <c r="AB80" s="7" t="str">
        <f t="shared" si="2"/>
        <v/>
      </c>
      <c r="AC80" s="81">
        <f t="shared" si="1"/>
        <v>0</v>
      </c>
    </row>
    <row r="81">
      <c r="A81" s="88" t="s">
        <v>757</v>
      </c>
      <c r="B81" s="4" t="s">
        <v>612</v>
      </c>
      <c r="C81" s="4" t="s">
        <v>613</v>
      </c>
      <c r="D81" s="90">
        <v>574.31</v>
      </c>
      <c r="E81" s="90">
        <v>563.18</v>
      </c>
      <c r="F81" s="90">
        <v>578.5</v>
      </c>
      <c r="G81" s="4" t="s">
        <v>615</v>
      </c>
      <c r="M81" s="90">
        <v>588.03</v>
      </c>
      <c r="N81" s="92">
        <v>45912.10145469908</v>
      </c>
      <c r="O81" s="4" t="b">
        <v>1</v>
      </c>
      <c r="P81" s="4" t="s">
        <v>760</v>
      </c>
      <c r="Q81" s="4">
        <v>582.86</v>
      </c>
      <c r="R81" s="4">
        <v>572.65</v>
      </c>
      <c r="S81" s="4">
        <v>562.44</v>
      </c>
      <c r="T81" s="4">
        <v>587.97</v>
      </c>
      <c r="U81" s="4" t="s">
        <v>161</v>
      </c>
      <c r="V81" s="4" t="s">
        <v>763</v>
      </c>
      <c r="W81" s="4" t="s">
        <v>109</v>
      </c>
      <c r="X81" s="70">
        <v>572.09</v>
      </c>
      <c r="Y81" s="70">
        <v>572.09</v>
      </c>
      <c r="Z81" s="70">
        <v>572.09</v>
      </c>
      <c r="AA81" s="70">
        <v>4.08</v>
      </c>
      <c r="AB81" s="7" t="str">
        <f t="shared" si="2"/>
        <v>#DIV/0!</v>
      </c>
      <c r="AC81" s="81">
        <f t="shared" si="1"/>
        <v>0</v>
      </c>
    </row>
    <row r="82">
      <c r="A82" s="88" t="s">
        <v>767</v>
      </c>
      <c r="B82" s="4" t="s">
        <v>211</v>
      </c>
      <c r="C82" s="4" t="s">
        <v>212</v>
      </c>
      <c r="D82" s="90">
        <v>128.15</v>
      </c>
      <c r="E82" s="90">
        <v>126.34</v>
      </c>
      <c r="F82" s="90">
        <v>128.79</v>
      </c>
      <c r="G82" s="4" t="s">
        <v>615</v>
      </c>
      <c r="L82" s="4" t="s">
        <v>213</v>
      </c>
      <c r="M82" s="90">
        <v>117.11</v>
      </c>
      <c r="N82" s="92">
        <v>45856.30512809027</v>
      </c>
      <c r="O82" s="4" t="b">
        <v>1</v>
      </c>
      <c r="P82" s="4" t="s">
        <v>770</v>
      </c>
      <c r="Q82" s="4">
        <v>128.76</v>
      </c>
      <c r="R82" s="4">
        <v>125.93</v>
      </c>
      <c r="S82" s="4">
        <v>123.1</v>
      </c>
      <c r="T82" s="4">
        <v>130.17</v>
      </c>
      <c r="U82" s="4" t="s">
        <v>161</v>
      </c>
      <c r="V82" s="4" t="s">
        <v>773</v>
      </c>
      <c r="W82" s="4" t="s">
        <v>107</v>
      </c>
      <c r="X82" s="70">
        <v>122.7</v>
      </c>
      <c r="Y82" s="70">
        <v>119.42</v>
      </c>
      <c r="Z82" s="70">
        <v>127.8</v>
      </c>
      <c r="AA82" s="70">
        <v>30.53</v>
      </c>
      <c r="AB82" s="7">
        <f t="shared" si="2"/>
        <v>1.554878049</v>
      </c>
      <c r="AC82" s="81">
        <f t="shared" si="1"/>
        <v>155.703</v>
      </c>
    </row>
    <row r="83">
      <c r="A83" s="88" t="s">
        <v>784</v>
      </c>
      <c r="B83" s="4" t="s">
        <v>68</v>
      </c>
      <c r="C83" s="4" t="s">
        <v>787</v>
      </c>
      <c r="D83" s="90">
        <v>330.83</v>
      </c>
      <c r="E83" s="90">
        <v>313.02</v>
      </c>
      <c r="F83" s="90">
        <v>332.22</v>
      </c>
      <c r="H83" s="90">
        <v>-11.0</v>
      </c>
      <c r="I83" s="90">
        <v>54.75</v>
      </c>
      <c r="J83" s="90">
        <v>29.18</v>
      </c>
      <c r="K83" s="90">
        <v>6.52</v>
      </c>
      <c r="L83" s="4" t="s">
        <v>197</v>
      </c>
      <c r="M83" s="90">
        <v>184.62</v>
      </c>
      <c r="N83" s="92">
        <v>45853.691538831015</v>
      </c>
      <c r="O83" s="4" t="b">
        <v>1</v>
      </c>
      <c r="P83" s="4" t="s">
        <v>790</v>
      </c>
      <c r="Q83" s="4">
        <v>331.83</v>
      </c>
      <c r="R83" s="4">
        <v>313.83</v>
      </c>
      <c r="S83" s="4">
        <v>295.83</v>
      </c>
      <c r="T83" s="4">
        <v>340.83</v>
      </c>
      <c r="U83" s="4" t="s">
        <v>161</v>
      </c>
      <c r="V83" s="4" t="s">
        <v>792</v>
      </c>
      <c r="W83" s="7"/>
      <c r="X83" s="81"/>
      <c r="Y83" s="81"/>
      <c r="Z83" s="81"/>
      <c r="AA83" s="81"/>
      <c r="AB83" s="7" t="str">
        <f t="shared" si="2"/>
        <v/>
      </c>
      <c r="AC83" s="81">
        <f t="shared" si="1"/>
        <v>0</v>
      </c>
    </row>
    <row r="84">
      <c r="A84" s="88" t="s">
        <v>797</v>
      </c>
      <c r="B84" s="4" t="s">
        <v>798</v>
      </c>
      <c r="C84" s="4" t="s">
        <v>799</v>
      </c>
      <c r="D84" s="90">
        <v>153.28</v>
      </c>
      <c r="E84" s="90">
        <v>147.89</v>
      </c>
      <c r="F84" s="90">
        <v>154.89</v>
      </c>
      <c r="H84" s="90">
        <v>-16.41</v>
      </c>
      <c r="I84" s="90">
        <v>27.65</v>
      </c>
      <c r="J84" s="90">
        <v>36.4</v>
      </c>
      <c r="K84" s="90">
        <v>8.44</v>
      </c>
      <c r="M84" s="90">
        <v>181.52</v>
      </c>
      <c r="N84" s="92">
        <v>46219.377022280096</v>
      </c>
      <c r="O84" s="4" t="b">
        <v>1</v>
      </c>
      <c r="P84" s="4" t="s">
        <v>801</v>
      </c>
      <c r="Q84" s="4">
        <v>159.25</v>
      </c>
      <c r="R84" s="4">
        <v>152.27</v>
      </c>
      <c r="S84" s="4">
        <v>145.29</v>
      </c>
      <c r="T84" s="4">
        <v>162.74</v>
      </c>
      <c r="U84" s="4" t="s">
        <v>161</v>
      </c>
      <c r="V84" s="4" t="s">
        <v>803</v>
      </c>
      <c r="W84" s="7"/>
      <c r="X84" s="81"/>
      <c r="Y84" s="81"/>
      <c r="Z84" s="81"/>
      <c r="AA84" s="81"/>
      <c r="AB84" s="7" t="str">
        <f t="shared" si="2"/>
        <v/>
      </c>
      <c r="AC84" s="81">
        <f t="shared" si="1"/>
        <v>0</v>
      </c>
    </row>
    <row r="85">
      <c r="A85" s="138" t="s">
        <v>806</v>
      </c>
      <c r="B85" s="4" t="s">
        <v>262</v>
      </c>
      <c r="C85" s="4" t="s">
        <v>263</v>
      </c>
      <c r="D85" s="90">
        <v>59.03</v>
      </c>
      <c r="O85" s="4" t="b">
        <v>1</v>
      </c>
      <c r="P85" s="4" t="s">
        <v>810</v>
      </c>
      <c r="Q85" s="4">
        <v>59.35</v>
      </c>
      <c r="R85" s="4">
        <v>58.05</v>
      </c>
      <c r="S85" s="4">
        <v>56.75</v>
      </c>
      <c r="T85" s="4">
        <v>60.0</v>
      </c>
      <c r="U85" s="4" t="s">
        <v>161</v>
      </c>
      <c r="V85" s="4" t="s">
        <v>812</v>
      </c>
      <c r="W85" s="4" t="s">
        <v>109</v>
      </c>
      <c r="X85" s="70">
        <v>58.76</v>
      </c>
      <c r="Y85" s="70">
        <v>57.32</v>
      </c>
      <c r="Z85" s="70">
        <v>57.42</v>
      </c>
      <c r="AA85" s="70">
        <v>64.1</v>
      </c>
      <c r="AB85" s="7">
        <f t="shared" si="2"/>
        <v>-0.9305555556</v>
      </c>
      <c r="AC85" s="81">
        <f t="shared" si="1"/>
        <v>-85.894</v>
      </c>
    </row>
    <row r="86">
      <c r="A86" s="138" t="s">
        <v>817</v>
      </c>
      <c r="B86" s="4" t="s">
        <v>334</v>
      </c>
      <c r="C86" s="4" t="s">
        <v>339</v>
      </c>
      <c r="D86" s="90">
        <v>184.98</v>
      </c>
      <c r="O86" s="4" t="b">
        <v>1</v>
      </c>
      <c r="P86" s="4" t="s">
        <v>819</v>
      </c>
      <c r="Q86" s="4">
        <v>184.11</v>
      </c>
      <c r="R86" s="4" t="s">
        <v>18</v>
      </c>
      <c r="S86" s="4" t="s">
        <v>18</v>
      </c>
      <c r="T86" s="4" t="s">
        <v>18</v>
      </c>
      <c r="U86" s="4" t="s">
        <v>179</v>
      </c>
      <c r="V86" s="4" t="s">
        <v>821</v>
      </c>
      <c r="W86" s="90"/>
      <c r="X86" s="81"/>
      <c r="Y86" s="81"/>
      <c r="Z86" s="81"/>
      <c r="AA86" s="81"/>
      <c r="AB86" s="7" t="str">
        <f t="shared" si="2"/>
        <v/>
      </c>
      <c r="AC86" s="81">
        <f t="shared" si="1"/>
        <v>0</v>
      </c>
    </row>
    <row r="87">
      <c r="A87" s="88" t="s">
        <v>825</v>
      </c>
      <c r="B87" s="4" t="s">
        <v>259</v>
      </c>
      <c r="C87" s="4" t="s">
        <v>827</v>
      </c>
      <c r="D87" s="90">
        <v>12.69</v>
      </c>
      <c r="E87" s="90">
        <v>11.05</v>
      </c>
      <c r="F87" s="90">
        <v>12.87</v>
      </c>
      <c r="O87" s="4" t="b">
        <v>1</v>
      </c>
      <c r="P87" s="4" t="s">
        <v>829</v>
      </c>
      <c r="Q87" s="4">
        <v>12.68</v>
      </c>
      <c r="R87" s="4" t="s">
        <v>18</v>
      </c>
      <c r="S87" s="4" t="s">
        <v>18</v>
      </c>
      <c r="T87" s="4" t="s">
        <v>18</v>
      </c>
      <c r="U87" s="4" t="s">
        <v>179</v>
      </c>
      <c r="V87" s="4" t="s">
        <v>832</v>
      </c>
      <c r="W87" s="90"/>
      <c r="X87" s="81"/>
      <c r="Y87" s="81"/>
      <c r="Z87" s="81"/>
      <c r="AA87" s="81"/>
      <c r="AB87" s="7" t="str">
        <f t="shared" si="2"/>
        <v/>
      </c>
      <c r="AC87" s="81">
        <f t="shared" si="1"/>
        <v>0</v>
      </c>
    </row>
    <row r="88">
      <c r="A88" s="88" t="s">
        <v>834</v>
      </c>
      <c r="B88" s="4" t="s">
        <v>549</v>
      </c>
      <c r="C88" s="4" t="s">
        <v>550</v>
      </c>
      <c r="D88" s="90">
        <v>212.0</v>
      </c>
      <c r="E88" s="90">
        <v>206.25</v>
      </c>
      <c r="F88" s="90">
        <v>216.35</v>
      </c>
      <c r="O88" s="4" t="b">
        <v>1</v>
      </c>
      <c r="P88" s="4" t="s">
        <v>837</v>
      </c>
      <c r="Q88" s="4">
        <v>215.0</v>
      </c>
      <c r="R88" s="4">
        <v>206.97</v>
      </c>
      <c r="S88" s="4">
        <v>198.94</v>
      </c>
      <c r="T88" s="4">
        <v>219.01</v>
      </c>
      <c r="U88" s="4" t="s">
        <v>161</v>
      </c>
      <c r="V88" s="4" t="s">
        <v>840</v>
      </c>
      <c r="W88" s="4" t="s">
        <v>111</v>
      </c>
      <c r="X88" s="81"/>
      <c r="Y88" s="81"/>
      <c r="Z88" s="81"/>
      <c r="AA88" s="81"/>
      <c r="AB88" s="7" t="str">
        <f t="shared" si="2"/>
        <v/>
      </c>
      <c r="AC88" s="81">
        <f t="shared" si="1"/>
        <v>0</v>
      </c>
    </row>
    <row r="89">
      <c r="A89" s="138" t="s">
        <v>846</v>
      </c>
      <c r="B89" s="4" t="s">
        <v>166</v>
      </c>
      <c r="C89" s="4" t="s">
        <v>167</v>
      </c>
      <c r="D89" s="90">
        <v>43.1</v>
      </c>
      <c r="E89" s="90">
        <v>42.07</v>
      </c>
      <c r="F89" s="90">
        <v>43.55</v>
      </c>
      <c r="G89" s="4" t="s">
        <v>673</v>
      </c>
      <c r="H89" s="90">
        <v>6.81</v>
      </c>
      <c r="I89" s="90">
        <v>72.8</v>
      </c>
      <c r="J89" s="90">
        <v>14.06</v>
      </c>
      <c r="K89" s="4" t="s">
        <v>169</v>
      </c>
      <c r="L89" s="4" t="s">
        <v>170</v>
      </c>
      <c r="M89" s="90">
        <v>28.0</v>
      </c>
      <c r="N89" s="92">
        <v>45709.328280671296</v>
      </c>
      <c r="O89" s="4" t="b">
        <v>1</v>
      </c>
      <c r="P89" s="4" t="s">
        <v>853</v>
      </c>
      <c r="Q89" s="4">
        <v>43.23</v>
      </c>
      <c r="R89" s="4">
        <v>41.08</v>
      </c>
      <c r="S89" s="4">
        <v>38.92</v>
      </c>
      <c r="T89" s="4">
        <v>44.32</v>
      </c>
      <c r="U89" s="4" t="s">
        <v>161</v>
      </c>
      <c r="V89" s="4" t="s">
        <v>855</v>
      </c>
      <c r="W89" s="90"/>
      <c r="X89" s="81"/>
      <c r="Y89" s="81"/>
      <c r="Z89" s="81"/>
      <c r="AA89" s="81"/>
      <c r="AB89" s="7" t="str">
        <f t="shared" si="2"/>
        <v/>
      </c>
      <c r="AC89" s="81">
        <f t="shared" si="1"/>
        <v>0</v>
      </c>
    </row>
    <row r="90">
      <c r="A90" s="88" t="s">
        <v>861</v>
      </c>
      <c r="B90" s="4" t="s">
        <v>330</v>
      </c>
      <c r="C90" s="4" t="s">
        <v>532</v>
      </c>
      <c r="D90" s="90">
        <v>185.8</v>
      </c>
      <c r="E90" s="90">
        <v>182.09</v>
      </c>
      <c r="F90" s="90">
        <v>192.73</v>
      </c>
      <c r="M90" s="90">
        <v>146.06</v>
      </c>
      <c r="N90" s="92">
        <v>45706.703309131946</v>
      </c>
      <c r="O90" s="4" t="b">
        <v>1</v>
      </c>
      <c r="P90" s="4" t="s">
        <v>864</v>
      </c>
      <c r="Q90" s="4">
        <v>187.41</v>
      </c>
      <c r="R90" s="4">
        <v>178.11</v>
      </c>
      <c r="S90" s="4">
        <v>168.81</v>
      </c>
      <c r="T90" s="4">
        <v>192.06</v>
      </c>
      <c r="U90" s="4" t="s">
        <v>161</v>
      </c>
      <c r="V90" s="4" t="s">
        <v>865</v>
      </c>
      <c r="W90" s="4" t="s">
        <v>107</v>
      </c>
      <c r="X90" s="70">
        <v>182.68</v>
      </c>
      <c r="Y90" s="70">
        <v>172.78</v>
      </c>
      <c r="Z90" s="70">
        <v>184.1</v>
      </c>
      <c r="AA90" s="70">
        <v>8.96</v>
      </c>
      <c r="AB90" s="7">
        <f t="shared" si="2"/>
        <v>0.1434343434</v>
      </c>
      <c r="AC90" s="81">
        <f t="shared" si="1"/>
        <v>12.7232</v>
      </c>
    </row>
    <row r="91">
      <c r="A91" s="88" t="s">
        <v>872</v>
      </c>
      <c r="B91" s="4" t="s">
        <v>68</v>
      </c>
      <c r="C91" s="4" t="s">
        <v>787</v>
      </c>
      <c r="D91" s="90">
        <v>310.59</v>
      </c>
      <c r="E91" s="90">
        <v>290.49</v>
      </c>
      <c r="F91" s="90">
        <v>312.66</v>
      </c>
      <c r="H91" s="90">
        <v>-11.0</v>
      </c>
      <c r="I91" s="90">
        <v>54.75</v>
      </c>
      <c r="J91" s="90">
        <v>29.18</v>
      </c>
      <c r="K91" s="90">
        <v>6.52</v>
      </c>
      <c r="L91" s="4" t="s">
        <v>197</v>
      </c>
      <c r="M91" s="90">
        <v>184.62</v>
      </c>
      <c r="N91" s="92">
        <v>45853.691538831015</v>
      </c>
      <c r="O91" s="4" t="b">
        <v>1</v>
      </c>
      <c r="P91" s="4" t="s">
        <v>876</v>
      </c>
      <c r="Q91" s="4">
        <v>310.13</v>
      </c>
      <c r="R91" s="4" t="s">
        <v>18</v>
      </c>
      <c r="S91" s="4" t="s">
        <v>18</v>
      </c>
      <c r="T91" s="4" t="s">
        <v>18</v>
      </c>
      <c r="U91" s="4" t="s">
        <v>179</v>
      </c>
      <c r="V91" s="4" t="s">
        <v>878</v>
      </c>
      <c r="W91" s="4" t="s">
        <v>107</v>
      </c>
      <c r="X91" s="70">
        <v>303.99</v>
      </c>
      <c r="Y91" s="70">
        <v>287.41</v>
      </c>
      <c r="Z91" s="70">
        <v>305.63</v>
      </c>
      <c r="AA91" s="70">
        <v>5.03</v>
      </c>
      <c r="AB91" s="7">
        <f t="shared" si="2"/>
        <v>0.09891435464</v>
      </c>
      <c r="AC91" s="81">
        <f t="shared" si="1"/>
        <v>8.2492</v>
      </c>
    </row>
    <row r="92">
      <c r="A92" s="88" t="s">
        <v>881</v>
      </c>
      <c r="B92" s="4" t="s">
        <v>882</v>
      </c>
      <c r="C92" s="4" t="s">
        <v>883</v>
      </c>
      <c r="D92" s="90">
        <v>529.42</v>
      </c>
      <c r="E92" s="90">
        <v>523.0</v>
      </c>
      <c r="F92" s="90">
        <v>537.74</v>
      </c>
      <c r="G92" s="4" t="s">
        <v>615</v>
      </c>
      <c r="H92" s="90">
        <v>3.53</v>
      </c>
      <c r="I92" s="90">
        <v>60.7</v>
      </c>
      <c r="J92" s="90">
        <v>12.67</v>
      </c>
      <c r="K92" s="90">
        <v>6.13</v>
      </c>
      <c r="M92" s="90">
        <v>480.42</v>
      </c>
      <c r="N92" s="92">
        <v>45709.677997314815</v>
      </c>
      <c r="O92" s="4" t="b">
        <v>1</v>
      </c>
      <c r="P92" s="4" t="s">
        <v>885</v>
      </c>
      <c r="Q92" s="4" t="s">
        <v>886</v>
      </c>
      <c r="R92" s="4" t="s">
        <v>18</v>
      </c>
      <c r="S92" s="4" t="s">
        <v>18</v>
      </c>
      <c r="T92" s="4" t="s">
        <v>18</v>
      </c>
      <c r="U92" s="4" t="s">
        <v>887</v>
      </c>
      <c r="V92" s="4" t="s">
        <v>888</v>
      </c>
      <c r="W92" s="90"/>
      <c r="X92" s="81"/>
      <c r="Y92" s="81"/>
      <c r="Z92" s="81"/>
      <c r="AA92" s="81"/>
      <c r="AB92" s="7" t="str">
        <f t="shared" si="2"/>
        <v/>
      </c>
      <c r="AC92" s="81">
        <f t="shared" si="1"/>
        <v>0</v>
      </c>
    </row>
    <row r="93">
      <c r="A93" s="88" t="s">
        <v>890</v>
      </c>
      <c r="B93" s="4" t="s">
        <v>455</v>
      </c>
      <c r="C93" s="4" t="s">
        <v>507</v>
      </c>
      <c r="D93" s="90">
        <v>151.87</v>
      </c>
      <c r="E93" s="90">
        <v>145.0</v>
      </c>
      <c r="F93" s="90">
        <v>153.99</v>
      </c>
      <c r="M93" s="90">
        <v>315.51</v>
      </c>
      <c r="N93" s="92">
        <v>45707.37273732639</v>
      </c>
      <c r="O93" s="4" t="b">
        <v>1</v>
      </c>
      <c r="P93" s="4" t="s">
        <v>893</v>
      </c>
      <c r="Q93" s="4">
        <v>154.78</v>
      </c>
      <c r="R93" s="4">
        <v>148.05</v>
      </c>
      <c r="S93" s="4">
        <v>141.32</v>
      </c>
      <c r="T93" s="4">
        <v>158.15</v>
      </c>
      <c r="U93" s="4" t="s">
        <v>161</v>
      </c>
      <c r="V93" s="4" t="s">
        <v>896</v>
      </c>
      <c r="W93" s="90"/>
      <c r="X93" s="81"/>
      <c r="Y93" s="81"/>
      <c r="Z93" s="81"/>
      <c r="AA93" s="81"/>
      <c r="AB93" s="7" t="str">
        <f t="shared" si="2"/>
        <v/>
      </c>
      <c r="AC93" s="81">
        <f t="shared" si="1"/>
        <v>0</v>
      </c>
    </row>
    <row r="94">
      <c r="A94" s="88" t="s">
        <v>903</v>
      </c>
      <c r="B94" s="4" t="s">
        <v>259</v>
      </c>
      <c r="C94" s="4" t="s">
        <v>827</v>
      </c>
      <c r="D94" s="90">
        <v>12.19</v>
      </c>
      <c r="E94" s="90">
        <v>11.05</v>
      </c>
      <c r="F94" s="90">
        <v>12.25</v>
      </c>
      <c r="O94" s="4" t="b">
        <v>1</v>
      </c>
      <c r="P94" s="4" t="s">
        <v>906</v>
      </c>
      <c r="Q94" s="4">
        <v>12.65</v>
      </c>
      <c r="R94" s="4">
        <v>11.97</v>
      </c>
      <c r="S94" s="4">
        <v>11.29</v>
      </c>
      <c r="T94" s="4">
        <v>12.99</v>
      </c>
      <c r="U94" s="4" t="s">
        <v>161</v>
      </c>
      <c r="V94" s="4" t="s">
        <v>909</v>
      </c>
      <c r="W94" s="90"/>
      <c r="X94" s="81"/>
      <c r="Y94" s="81"/>
      <c r="Z94" s="81"/>
      <c r="AA94" s="81"/>
      <c r="AB94" s="7" t="str">
        <f t="shared" si="2"/>
        <v/>
      </c>
      <c r="AC94" s="81">
        <f t="shared" si="1"/>
        <v>0</v>
      </c>
    </row>
    <row r="95">
      <c r="A95" s="88" t="s">
        <v>912</v>
      </c>
      <c r="B95" s="4" t="s">
        <v>457</v>
      </c>
      <c r="C95" s="4" t="s">
        <v>458</v>
      </c>
      <c r="D95" s="90">
        <v>118.53</v>
      </c>
      <c r="E95" s="90">
        <v>112.98</v>
      </c>
      <c r="F95" s="90">
        <v>118.97</v>
      </c>
      <c r="M95" s="90">
        <v>90.18</v>
      </c>
      <c r="N95" s="92">
        <v>45805.76461986111</v>
      </c>
      <c r="O95" s="4" t="b">
        <v>1</v>
      </c>
      <c r="P95" s="4" t="s">
        <v>914</v>
      </c>
      <c r="Q95" s="4">
        <v>119.74</v>
      </c>
      <c r="R95" s="4">
        <v>115.33</v>
      </c>
      <c r="S95" s="4">
        <v>110.92</v>
      </c>
      <c r="T95" s="4">
        <v>121.94</v>
      </c>
      <c r="U95" s="4" t="s">
        <v>161</v>
      </c>
      <c r="V95" s="4" t="s">
        <v>915</v>
      </c>
      <c r="W95" s="4" t="s">
        <v>109</v>
      </c>
      <c r="X95" s="70">
        <v>117.1</v>
      </c>
      <c r="Y95" s="70">
        <v>112.36</v>
      </c>
      <c r="Z95" s="70">
        <v>112.33</v>
      </c>
      <c r="AA95" s="70">
        <v>18.9</v>
      </c>
      <c r="AB95" s="7">
        <f t="shared" si="2"/>
        <v>-1.006329114</v>
      </c>
      <c r="AC95" s="81">
        <f t="shared" si="1"/>
        <v>-90.153</v>
      </c>
    </row>
    <row r="96">
      <c r="A96" s="88" t="s">
        <v>919</v>
      </c>
      <c r="B96" s="4" t="s">
        <v>920</v>
      </c>
      <c r="C96" s="4" t="s">
        <v>921</v>
      </c>
      <c r="D96" s="90">
        <v>272.63</v>
      </c>
      <c r="O96" s="4" t="b">
        <v>1</v>
      </c>
      <c r="P96" s="4" t="s">
        <v>923</v>
      </c>
      <c r="Q96" s="4">
        <v>276.45</v>
      </c>
      <c r="R96" s="4">
        <v>268.26</v>
      </c>
      <c r="S96" s="4">
        <v>260.07</v>
      </c>
      <c r="T96" s="4">
        <v>280.55</v>
      </c>
      <c r="U96" s="4" t="s">
        <v>161</v>
      </c>
      <c r="V96" s="4" t="s">
        <v>926</v>
      </c>
      <c r="W96" s="90"/>
      <c r="X96" s="81"/>
      <c r="Y96" s="81"/>
      <c r="Z96" s="81"/>
      <c r="AA96" s="81"/>
      <c r="AB96" s="7" t="str">
        <f t="shared" si="2"/>
        <v/>
      </c>
      <c r="AC96" s="81">
        <f t="shared" si="1"/>
        <v>0</v>
      </c>
    </row>
    <row r="97">
      <c r="A97" s="88" t="s">
        <v>929</v>
      </c>
      <c r="B97" s="4" t="s">
        <v>175</v>
      </c>
      <c r="C97" s="4" t="s">
        <v>176</v>
      </c>
      <c r="D97" s="90">
        <v>39.85</v>
      </c>
      <c r="O97" s="4" t="b">
        <v>1</v>
      </c>
      <c r="P97" s="4" t="s">
        <v>930</v>
      </c>
      <c r="Q97" s="4">
        <v>39.89</v>
      </c>
      <c r="R97" s="4">
        <v>38.94</v>
      </c>
      <c r="S97" s="4">
        <v>37.99</v>
      </c>
      <c r="T97" s="4">
        <v>40.36</v>
      </c>
      <c r="U97" s="4" t="s">
        <v>161</v>
      </c>
      <c r="V97" s="4" t="s">
        <v>932</v>
      </c>
      <c r="W97" s="90"/>
      <c r="X97" s="81"/>
      <c r="Y97" s="81"/>
      <c r="Z97" s="81"/>
      <c r="AA97" s="81"/>
      <c r="AB97" s="7" t="str">
        <f t="shared" si="2"/>
        <v/>
      </c>
      <c r="AC97" s="81">
        <f t="shared" si="1"/>
        <v>0</v>
      </c>
    </row>
    <row r="98">
      <c r="A98" s="88" t="s">
        <v>934</v>
      </c>
      <c r="B98" s="4" t="s">
        <v>467</v>
      </c>
      <c r="C98" s="4" t="s">
        <v>935</v>
      </c>
      <c r="D98" s="90">
        <v>1136.39</v>
      </c>
      <c r="O98" s="4" t="b">
        <v>1</v>
      </c>
      <c r="P98" s="4" t="s">
        <v>937</v>
      </c>
      <c r="Q98" s="4">
        <v>1139.98</v>
      </c>
      <c r="R98" s="4">
        <v>1115.04</v>
      </c>
      <c r="S98" s="4">
        <v>1090.1</v>
      </c>
      <c r="T98" s="4">
        <v>1152.45</v>
      </c>
      <c r="U98" s="4" t="s">
        <v>161</v>
      </c>
      <c r="V98" s="4" t="s">
        <v>938</v>
      </c>
      <c r="W98" s="90"/>
      <c r="X98" s="81"/>
      <c r="Y98" s="81"/>
      <c r="Z98" s="81"/>
      <c r="AA98" s="81"/>
      <c r="AB98" s="7" t="str">
        <f t="shared" si="2"/>
        <v/>
      </c>
      <c r="AC98" s="81">
        <f t="shared" si="1"/>
        <v>0</v>
      </c>
    </row>
    <row r="99">
      <c r="A99" s="88" t="s">
        <v>941</v>
      </c>
      <c r="B99" s="4" t="s">
        <v>942</v>
      </c>
      <c r="C99" s="4" t="s">
        <v>943</v>
      </c>
      <c r="D99" s="90">
        <v>3.23</v>
      </c>
      <c r="O99" s="4" t="b">
        <v>1</v>
      </c>
      <c r="P99" s="4" t="s">
        <v>945</v>
      </c>
      <c r="Q99" s="4">
        <v>1.12</v>
      </c>
      <c r="R99" s="4">
        <v>0.0</v>
      </c>
      <c r="S99" s="4">
        <v>-1.12</v>
      </c>
      <c r="T99" s="4">
        <v>1.68</v>
      </c>
      <c r="U99" s="4" t="s">
        <v>161</v>
      </c>
      <c r="V99" s="4" t="s">
        <v>946</v>
      </c>
      <c r="W99" s="90"/>
      <c r="X99" s="81"/>
      <c r="Y99" s="81"/>
      <c r="Z99" s="81"/>
      <c r="AA99" s="81"/>
      <c r="AB99" s="7" t="str">
        <f t="shared" si="2"/>
        <v/>
      </c>
      <c r="AC99" s="81">
        <f t="shared" si="1"/>
        <v>0</v>
      </c>
    </row>
    <row r="100">
      <c r="A100" s="88" t="s">
        <v>948</v>
      </c>
      <c r="B100" s="4" t="s">
        <v>157</v>
      </c>
      <c r="C100" s="4" t="s">
        <v>158</v>
      </c>
      <c r="D100" s="90">
        <v>12.62</v>
      </c>
      <c r="O100" s="4" t="b">
        <v>1</v>
      </c>
      <c r="P100" s="4" t="s">
        <v>950</v>
      </c>
      <c r="Q100" s="4">
        <v>12.78</v>
      </c>
      <c r="R100" s="4">
        <v>12.19</v>
      </c>
      <c r="S100" s="4">
        <v>11.6</v>
      </c>
      <c r="T100" s="4">
        <v>13.07</v>
      </c>
      <c r="U100" s="4" t="s">
        <v>161</v>
      </c>
      <c r="V100" s="4" t="s">
        <v>952</v>
      </c>
      <c r="W100" s="90"/>
      <c r="X100" s="81"/>
      <c r="Y100" s="81"/>
      <c r="Z100" s="81"/>
      <c r="AA100" s="81"/>
      <c r="AB100" s="7" t="str">
        <f t="shared" si="2"/>
        <v/>
      </c>
      <c r="AC100" s="81">
        <f t="shared" si="1"/>
        <v>0</v>
      </c>
    </row>
    <row r="101">
      <c r="A101" s="88" t="s">
        <v>953</v>
      </c>
      <c r="B101" s="4" t="s">
        <v>954</v>
      </c>
      <c r="C101" s="4" t="s">
        <v>955</v>
      </c>
      <c r="D101" s="90">
        <v>7.33</v>
      </c>
      <c r="E101" s="90">
        <v>7.16</v>
      </c>
      <c r="F101" s="90">
        <v>7.4</v>
      </c>
      <c r="G101" s="4" t="s">
        <v>957</v>
      </c>
      <c r="H101" s="90">
        <v>0.71</v>
      </c>
      <c r="I101" s="90">
        <v>56.25</v>
      </c>
      <c r="J101" s="90">
        <v>35.21</v>
      </c>
      <c r="K101" s="90">
        <v>0.37</v>
      </c>
      <c r="L101" s="4" t="s">
        <v>197</v>
      </c>
      <c r="M101" s="90">
        <v>6.17</v>
      </c>
      <c r="N101" s="92">
        <v>46079.41762620371</v>
      </c>
      <c r="O101" s="4" t="b">
        <v>1</v>
      </c>
      <c r="P101" s="4" t="s">
        <v>960</v>
      </c>
      <c r="Q101" s="4">
        <v>7.6</v>
      </c>
      <c r="R101" s="4">
        <v>7.13</v>
      </c>
      <c r="S101" s="4">
        <v>6.66</v>
      </c>
      <c r="T101" s="4">
        <v>7.83</v>
      </c>
      <c r="U101" s="4" t="s">
        <v>161</v>
      </c>
      <c r="V101" s="4" t="s">
        <v>963</v>
      </c>
      <c r="W101" s="90"/>
      <c r="X101" s="81"/>
      <c r="Y101" s="81"/>
      <c r="Z101" s="81"/>
      <c r="AA101" s="81"/>
      <c r="AB101" s="7" t="str">
        <f t="shared" si="2"/>
        <v/>
      </c>
      <c r="AC101" s="81">
        <f t="shared" si="1"/>
        <v>0</v>
      </c>
    </row>
    <row r="102">
      <c r="A102" s="88" t="s">
        <v>966</v>
      </c>
      <c r="B102" s="4" t="s">
        <v>818</v>
      </c>
      <c r="C102" s="4" t="s">
        <v>968</v>
      </c>
      <c r="D102" s="90">
        <v>385.0</v>
      </c>
      <c r="E102" s="90">
        <v>363.78</v>
      </c>
      <c r="F102" s="90">
        <v>385.66</v>
      </c>
      <c r="G102" s="4" t="s">
        <v>957</v>
      </c>
      <c r="H102" s="90">
        <v>0.47</v>
      </c>
      <c r="I102" s="90">
        <v>28.9</v>
      </c>
      <c r="J102" s="90">
        <v>47.68</v>
      </c>
      <c r="K102" s="90">
        <v>7.69</v>
      </c>
      <c r="L102" s="4" t="s">
        <v>197</v>
      </c>
      <c r="M102" s="90">
        <v>175.87</v>
      </c>
      <c r="N102" s="92">
        <v>46079.320398587966</v>
      </c>
      <c r="O102" s="4" t="b">
        <v>1</v>
      </c>
      <c r="P102" s="4" t="s">
        <v>972</v>
      </c>
      <c r="Q102" s="4">
        <v>393.48</v>
      </c>
      <c r="R102" s="4">
        <v>377.75</v>
      </c>
      <c r="S102" s="4">
        <v>362.03</v>
      </c>
      <c r="T102" s="4">
        <v>401.33</v>
      </c>
      <c r="U102" s="4" t="s">
        <v>161</v>
      </c>
      <c r="V102" s="4" t="s">
        <v>974</v>
      </c>
      <c r="W102" s="90"/>
      <c r="X102" s="81"/>
      <c r="Y102" s="81"/>
      <c r="Z102" s="81"/>
      <c r="AA102" s="81"/>
      <c r="AB102" s="7" t="str">
        <f t="shared" si="2"/>
        <v/>
      </c>
      <c r="AC102" s="81">
        <f t="shared" si="1"/>
        <v>0</v>
      </c>
    </row>
    <row r="103">
      <c r="A103" s="88" t="s">
        <v>976</v>
      </c>
      <c r="B103" s="4" t="s">
        <v>977</v>
      </c>
      <c r="C103" s="4">
        <v>10.0</v>
      </c>
      <c r="D103" s="90">
        <v>37.79</v>
      </c>
      <c r="E103" s="90">
        <v>36.24</v>
      </c>
      <c r="F103" s="90">
        <v>37.99</v>
      </c>
      <c r="G103" s="4" t="s">
        <v>673</v>
      </c>
      <c r="M103" s="90">
        <v>102.75</v>
      </c>
      <c r="N103" s="92">
        <v>45966.805508715275</v>
      </c>
      <c r="O103" s="4" t="b">
        <v>1</v>
      </c>
      <c r="P103" s="4" t="s">
        <v>978</v>
      </c>
      <c r="Q103" s="4">
        <v>39.68</v>
      </c>
      <c r="R103" s="4">
        <v>37.07</v>
      </c>
      <c r="S103" s="4">
        <v>34.46</v>
      </c>
      <c r="T103" s="4">
        <v>40.98</v>
      </c>
      <c r="U103" s="4" t="s">
        <v>161</v>
      </c>
      <c r="V103" s="4" t="s">
        <v>980</v>
      </c>
      <c r="W103" s="90"/>
      <c r="X103" s="81"/>
      <c r="Y103" s="81"/>
      <c r="Z103" s="81"/>
      <c r="AA103" s="81"/>
      <c r="AB103" s="7" t="str">
        <f t="shared" si="2"/>
        <v/>
      </c>
      <c r="AC103" s="81">
        <f t="shared" si="1"/>
        <v>0</v>
      </c>
    </row>
    <row r="104">
      <c r="A104" s="88" t="s">
        <v>981</v>
      </c>
      <c r="B104" s="4" t="s">
        <v>166</v>
      </c>
      <c r="C104" s="4" t="s">
        <v>167</v>
      </c>
      <c r="D104" s="90">
        <v>43.0</v>
      </c>
      <c r="E104" s="90">
        <v>41.77</v>
      </c>
      <c r="F104" s="90">
        <v>44.38</v>
      </c>
      <c r="G104" s="4" t="s">
        <v>673</v>
      </c>
      <c r="H104" s="90">
        <v>6.81</v>
      </c>
      <c r="I104" s="90">
        <v>72.8</v>
      </c>
      <c r="J104" s="90">
        <v>14.06</v>
      </c>
      <c r="K104" s="4" t="s">
        <v>169</v>
      </c>
      <c r="L104" s="4" t="s">
        <v>170</v>
      </c>
      <c r="M104" s="90">
        <v>28.0</v>
      </c>
      <c r="N104" s="92">
        <v>45709.328280671296</v>
      </c>
      <c r="O104" s="4" t="b">
        <v>1</v>
      </c>
      <c r="P104" s="4" t="s">
        <v>984</v>
      </c>
      <c r="Q104" s="4">
        <v>43.55</v>
      </c>
      <c r="R104" s="4">
        <v>41.43</v>
      </c>
      <c r="S104" s="4">
        <v>39.31</v>
      </c>
      <c r="T104" s="4">
        <v>44.61</v>
      </c>
      <c r="U104" s="4" t="s">
        <v>161</v>
      </c>
      <c r="V104" s="4" t="s">
        <v>986</v>
      </c>
      <c r="W104" s="90"/>
      <c r="X104" s="81"/>
      <c r="Y104" s="81"/>
      <c r="Z104" s="81"/>
      <c r="AA104" s="81"/>
      <c r="AB104" s="7" t="str">
        <f t="shared" si="2"/>
        <v/>
      </c>
      <c r="AC104" s="81">
        <f t="shared" si="1"/>
        <v>0</v>
      </c>
    </row>
    <row r="105">
      <c r="A105" s="88" t="s">
        <v>988</v>
      </c>
      <c r="B105" s="4" t="s">
        <v>270</v>
      </c>
      <c r="C105" s="4" t="s">
        <v>271</v>
      </c>
      <c r="D105" s="90">
        <v>328.58</v>
      </c>
      <c r="E105" s="90">
        <v>321.25</v>
      </c>
      <c r="F105" s="90">
        <v>333.73</v>
      </c>
      <c r="M105" s="90">
        <v>318.38</v>
      </c>
      <c r="N105" s="92">
        <v>45826.37594136574</v>
      </c>
      <c r="O105" s="4" t="b">
        <v>1</v>
      </c>
      <c r="P105" s="4" t="s">
        <v>990</v>
      </c>
      <c r="Q105" s="4">
        <v>332.05</v>
      </c>
      <c r="R105" s="4">
        <v>319.77</v>
      </c>
      <c r="S105" s="4">
        <v>307.49</v>
      </c>
      <c r="T105" s="4">
        <v>338.19</v>
      </c>
      <c r="U105" s="4" t="s">
        <v>161</v>
      </c>
      <c r="V105" s="4" t="s">
        <v>992</v>
      </c>
      <c r="W105" s="90"/>
      <c r="X105" s="81"/>
      <c r="Y105" s="81"/>
      <c r="Z105" s="81"/>
      <c r="AA105" s="81"/>
      <c r="AB105" s="7" t="str">
        <f t="shared" si="2"/>
        <v/>
      </c>
      <c r="AC105" s="81">
        <f t="shared" si="1"/>
        <v>0</v>
      </c>
    </row>
    <row r="106">
      <c r="A106" s="88" t="s">
        <v>994</v>
      </c>
      <c r="B106" s="4" t="s">
        <v>995</v>
      </c>
      <c r="C106" s="4" t="s">
        <v>996</v>
      </c>
      <c r="D106" s="90">
        <v>5.22</v>
      </c>
      <c r="E106" s="90">
        <v>5.2</v>
      </c>
      <c r="F106" s="90">
        <v>5.23</v>
      </c>
      <c r="G106" s="4" t="s">
        <v>673</v>
      </c>
      <c r="H106" s="90">
        <v>0.43</v>
      </c>
      <c r="I106" s="90">
        <v>66.99</v>
      </c>
      <c r="J106" s="90">
        <v>19.96</v>
      </c>
      <c r="K106" s="90">
        <v>0.18</v>
      </c>
      <c r="L106" s="4" t="s">
        <v>998</v>
      </c>
      <c r="M106" s="90">
        <v>2.42</v>
      </c>
      <c r="N106" s="92">
        <v>45856.303116469906</v>
      </c>
      <c r="O106" s="4" t="b">
        <v>1</v>
      </c>
      <c r="P106" s="4" t="s">
        <v>999</v>
      </c>
      <c r="Q106" s="4">
        <v>5.23</v>
      </c>
      <c r="R106" s="4">
        <v>5.21</v>
      </c>
      <c r="S106" s="4">
        <v>5.19</v>
      </c>
      <c r="T106" s="4">
        <v>5.24</v>
      </c>
      <c r="U106" s="4" t="s">
        <v>161</v>
      </c>
      <c r="V106" s="4" t="s">
        <v>1000</v>
      </c>
      <c r="W106" s="90"/>
      <c r="X106" s="81"/>
      <c r="Y106" s="81"/>
      <c r="Z106" s="81"/>
      <c r="AA106" s="81"/>
      <c r="AB106" s="7" t="str">
        <f t="shared" si="2"/>
        <v/>
      </c>
      <c r="AC106" s="81">
        <f t="shared" si="1"/>
        <v>0</v>
      </c>
    </row>
    <row r="107">
      <c r="A107" s="88" t="s">
        <v>1001</v>
      </c>
      <c r="B107" s="4" t="s">
        <v>1002</v>
      </c>
      <c r="C107" s="4" t="s">
        <v>1003</v>
      </c>
      <c r="D107" s="90">
        <v>71.13</v>
      </c>
      <c r="E107" s="90">
        <v>69.27</v>
      </c>
      <c r="F107" s="90">
        <v>71.35</v>
      </c>
      <c r="O107" s="4" t="b">
        <v>1</v>
      </c>
      <c r="P107" s="4" t="s">
        <v>1005</v>
      </c>
      <c r="Q107" s="4">
        <v>71.01</v>
      </c>
      <c r="R107" s="4" t="s">
        <v>18</v>
      </c>
      <c r="S107" s="4" t="s">
        <v>18</v>
      </c>
      <c r="T107" s="4" t="s">
        <v>18</v>
      </c>
      <c r="U107" s="4" t="s">
        <v>179</v>
      </c>
      <c r="V107" s="4" t="s">
        <v>1006</v>
      </c>
      <c r="W107" s="90"/>
      <c r="X107" s="81"/>
      <c r="Y107" s="81"/>
      <c r="Z107" s="81"/>
      <c r="AA107" s="81"/>
      <c r="AB107" s="7" t="str">
        <f t="shared" si="2"/>
        <v/>
      </c>
      <c r="AC107" s="81">
        <f t="shared" si="1"/>
        <v>0</v>
      </c>
    </row>
    <row r="108">
      <c r="A108" s="88" t="s">
        <v>1008</v>
      </c>
      <c r="B108" s="4" t="s">
        <v>513</v>
      </c>
      <c r="C108" s="4" t="s">
        <v>513</v>
      </c>
      <c r="D108" s="90">
        <v>177.96</v>
      </c>
      <c r="E108" s="90">
        <v>173.82</v>
      </c>
      <c r="F108" s="90">
        <v>179.56</v>
      </c>
      <c r="G108" s="4" t="s">
        <v>615</v>
      </c>
      <c r="H108" s="90">
        <v>-5.0</v>
      </c>
      <c r="I108" s="90">
        <v>58.72</v>
      </c>
      <c r="J108" s="90">
        <v>39.72</v>
      </c>
      <c r="K108" s="90">
        <v>4.63</v>
      </c>
      <c r="M108" s="90">
        <v>238.78</v>
      </c>
      <c r="N108" s="92">
        <v>45770.36725606481</v>
      </c>
      <c r="O108" s="4" t="b">
        <v>1</v>
      </c>
      <c r="P108" s="4" t="s">
        <v>1011</v>
      </c>
      <c r="Q108" s="4">
        <v>207.51</v>
      </c>
      <c r="R108" s="4">
        <v>201.86</v>
      </c>
      <c r="S108" s="4">
        <v>196.21</v>
      </c>
      <c r="T108" s="4">
        <v>210.33</v>
      </c>
      <c r="U108" s="4" t="s">
        <v>161</v>
      </c>
      <c r="V108" s="4" t="s">
        <v>1013</v>
      </c>
      <c r="W108" s="90"/>
      <c r="X108" s="81"/>
      <c r="Y108" s="81"/>
      <c r="Z108" s="81"/>
      <c r="AA108" s="81"/>
      <c r="AB108" s="7" t="str">
        <f t="shared" si="2"/>
        <v/>
      </c>
      <c r="AC108" s="81">
        <f t="shared" si="1"/>
        <v>0</v>
      </c>
    </row>
    <row r="109">
      <c r="A109" s="88" t="s">
        <v>1016</v>
      </c>
      <c r="B109" s="4" t="s">
        <v>1017</v>
      </c>
      <c r="C109" s="4" t="s">
        <v>1018</v>
      </c>
      <c r="D109" s="90">
        <v>82.83</v>
      </c>
      <c r="E109" s="90">
        <v>77.38</v>
      </c>
      <c r="F109" s="90">
        <v>83.25</v>
      </c>
      <c r="H109" s="90">
        <v>7.29</v>
      </c>
      <c r="I109" s="90">
        <v>72.27</v>
      </c>
      <c r="J109" s="90">
        <v>23.53</v>
      </c>
      <c r="K109" s="90">
        <v>1.75</v>
      </c>
      <c r="L109" s="4" t="s">
        <v>542</v>
      </c>
      <c r="M109" s="90">
        <v>47.03</v>
      </c>
      <c r="N109" s="92">
        <v>45895.30139100694</v>
      </c>
      <c r="O109" s="4" t="b">
        <v>1</v>
      </c>
      <c r="P109" s="4" t="s">
        <v>1020</v>
      </c>
      <c r="Q109" s="4">
        <v>86.82</v>
      </c>
      <c r="R109" s="4">
        <v>81.58</v>
      </c>
      <c r="S109" s="4">
        <v>76.34</v>
      </c>
      <c r="T109" s="4">
        <v>89.44</v>
      </c>
      <c r="U109" s="4" t="s">
        <v>161</v>
      </c>
      <c r="V109" s="4" t="s">
        <v>1021</v>
      </c>
      <c r="W109" s="90"/>
      <c r="X109" s="81"/>
      <c r="Y109" s="81"/>
      <c r="Z109" s="81"/>
      <c r="AA109" s="81"/>
      <c r="AB109" s="7" t="str">
        <f t="shared" si="2"/>
        <v/>
      </c>
      <c r="AC109" s="81">
        <f t="shared" si="1"/>
        <v>0</v>
      </c>
    </row>
    <row r="110">
      <c r="A110" s="88" t="s">
        <v>1022</v>
      </c>
      <c r="B110" s="4" t="s">
        <v>330</v>
      </c>
      <c r="C110" s="142" t="s">
        <v>532</v>
      </c>
      <c r="D110" s="90">
        <v>183.48</v>
      </c>
      <c r="E110" s="90">
        <v>178.3</v>
      </c>
      <c r="F110" s="90">
        <v>184.39</v>
      </c>
      <c r="M110" s="90">
        <v>146.06</v>
      </c>
      <c r="N110" s="92">
        <v>45706.703309131946</v>
      </c>
      <c r="O110" s="4" t="b">
        <v>1</v>
      </c>
      <c r="P110" s="4" t="s">
        <v>1026</v>
      </c>
      <c r="Q110" s="4">
        <v>192.73</v>
      </c>
      <c r="R110" s="4">
        <v>183.19</v>
      </c>
      <c r="S110" s="4">
        <v>173.65</v>
      </c>
      <c r="T110" s="4">
        <v>197.5</v>
      </c>
      <c r="U110" s="4" t="s">
        <v>161</v>
      </c>
      <c r="V110" s="4" t="s">
        <v>1028</v>
      </c>
      <c r="W110" s="90"/>
      <c r="X110" s="81"/>
      <c r="Y110" s="81"/>
      <c r="Z110" s="81"/>
      <c r="AA110" s="81"/>
      <c r="AB110" s="7" t="str">
        <f t="shared" si="2"/>
        <v/>
      </c>
      <c r="AC110" s="81">
        <f t="shared" si="1"/>
        <v>0</v>
      </c>
    </row>
    <row r="111">
      <c r="A111" s="88" t="s">
        <v>1030</v>
      </c>
      <c r="B111" s="4" t="s">
        <v>1031</v>
      </c>
      <c r="C111" s="4" t="s">
        <v>1033</v>
      </c>
      <c r="D111" s="90">
        <v>363.86</v>
      </c>
      <c r="M111" s="90">
        <v>184.45</v>
      </c>
      <c r="N111" s="92">
        <v>45888.649150196754</v>
      </c>
      <c r="O111" s="4" t="b">
        <v>1</v>
      </c>
      <c r="P111" s="4" t="s">
        <v>1034</v>
      </c>
      <c r="Q111" s="4">
        <v>382.37</v>
      </c>
      <c r="R111" s="4">
        <v>368.04</v>
      </c>
      <c r="S111" s="4">
        <v>353.71</v>
      </c>
      <c r="T111" s="4">
        <v>389.54</v>
      </c>
      <c r="U111" s="4" t="s">
        <v>161</v>
      </c>
      <c r="V111" s="4" t="s">
        <v>1035</v>
      </c>
      <c r="W111" s="90"/>
      <c r="X111" s="81"/>
      <c r="Y111" s="81"/>
      <c r="Z111" s="81"/>
      <c r="AA111" s="81"/>
      <c r="AB111" s="7" t="str">
        <f t="shared" si="2"/>
        <v/>
      </c>
      <c r="AC111" s="81">
        <f t="shared" si="1"/>
        <v>0</v>
      </c>
    </row>
    <row r="112">
      <c r="A112" s="88" t="s">
        <v>1037</v>
      </c>
      <c r="B112" s="4" t="s">
        <v>798</v>
      </c>
      <c r="C112" s="4" t="s">
        <v>799</v>
      </c>
      <c r="D112" s="90">
        <v>147.02</v>
      </c>
      <c r="E112" s="90">
        <v>142.34</v>
      </c>
      <c r="F112" s="90">
        <v>147.16</v>
      </c>
      <c r="H112" s="90">
        <v>-16.41</v>
      </c>
      <c r="I112" s="90">
        <v>27.65</v>
      </c>
      <c r="J112" s="90">
        <v>36.4</v>
      </c>
      <c r="K112" s="90">
        <v>8.44</v>
      </c>
      <c r="M112" s="90">
        <v>181.52</v>
      </c>
      <c r="N112" s="92">
        <v>46219.377022280096</v>
      </c>
      <c r="O112" s="4" t="b">
        <v>1</v>
      </c>
      <c r="P112" s="4" t="s">
        <v>1040</v>
      </c>
      <c r="Q112" s="4">
        <v>150.8</v>
      </c>
      <c r="R112" s="4">
        <v>144.21</v>
      </c>
      <c r="S112" s="4">
        <v>137.62</v>
      </c>
      <c r="T112" s="4">
        <v>154.09</v>
      </c>
      <c r="U112" s="4" t="s">
        <v>161</v>
      </c>
      <c r="V112" s="4" t="s">
        <v>1042</v>
      </c>
      <c r="W112" s="90"/>
      <c r="X112" s="81"/>
      <c r="Y112" s="81"/>
      <c r="Z112" s="81"/>
      <c r="AA112" s="81"/>
      <c r="AB112" s="7" t="str">
        <f t="shared" si="2"/>
        <v/>
      </c>
      <c r="AC112" s="81">
        <f t="shared" si="1"/>
        <v>0</v>
      </c>
    </row>
    <row r="113">
      <c r="A113" s="88" t="s">
        <v>1045</v>
      </c>
      <c r="B113" s="4" t="s">
        <v>1046</v>
      </c>
      <c r="C113" s="4" t="s">
        <v>1047</v>
      </c>
      <c r="D113" s="90">
        <v>6.56</v>
      </c>
      <c r="E113" s="90">
        <v>6.46</v>
      </c>
      <c r="F113" s="90">
        <v>6.59</v>
      </c>
      <c r="M113" s="90">
        <v>173.12</v>
      </c>
      <c r="N113" s="92">
        <v>45708.41577071759</v>
      </c>
      <c r="O113" s="4" t="b">
        <v>1</v>
      </c>
      <c r="P113" s="4" t="s">
        <v>1049</v>
      </c>
      <c r="Q113" s="4">
        <v>6.54</v>
      </c>
      <c r="R113" s="4" t="s">
        <v>18</v>
      </c>
      <c r="S113" s="4" t="s">
        <v>18</v>
      </c>
      <c r="T113" s="4" t="s">
        <v>18</v>
      </c>
      <c r="U113" s="4" t="s">
        <v>179</v>
      </c>
      <c r="V113" s="4" t="s">
        <v>1050</v>
      </c>
      <c r="W113" s="90"/>
      <c r="X113" s="81"/>
      <c r="Y113" s="81"/>
      <c r="Z113" s="81"/>
      <c r="AA113" s="81"/>
      <c r="AB113" s="7" t="str">
        <f t="shared" si="2"/>
        <v/>
      </c>
      <c r="AC113" s="81">
        <f t="shared" si="1"/>
        <v>0</v>
      </c>
    </row>
    <row r="114">
      <c r="A114" s="88" t="s">
        <v>1052</v>
      </c>
      <c r="B114" s="4" t="s">
        <v>254</v>
      </c>
      <c r="C114" s="4" t="s">
        <v>255</v>
      </c>
      <c r="D114" s="90">
        <v>499.99</v>
      </c>
      <c r="E114" s="90">
        <v>498.73</v>
      </c>
      <c r="F114" s="90">
        <v>505.18</v>
      </c>
      <c r="O114" s="4" t="b">
        <v>1</v>
      </c>
      <c r="P114" s="4" t="s">
        <v>1053</v>
      </c>
      <c r="Q114" s="4">
        <v>512.91</v>
      </c>
      <c r="R114" s="4">
        <v>499.88</v>
      </c>
      <c r="S114" s="4">
        <v>486.85</v>
      </c>
      <c r="T114" s="4">
        <v>519.42</v>
      </c>
      <c r="U114" s="4" t="s">
        <v>161</v>
      </c>
      <c r="V114" s="4" t="s">
        <v>1054</v>
      </c>
      <c r="W114" s="90"/>
      <c r="X114" s="81"/>
      <c r="Y114" s="81"/>
      <c r="Z114" s="81"/>
      <c r="AA114" s="81"/>
      <c r="AB114" s="7" t="str">
        <f t="shared" si="2"/>
        <v/>
      </c>
      <c r="AC114" s="81">
        <f t="shared" si="1"/>
        <v>0</v>
      </c>
    </row>
    <row r="115">
      <c r="A115" s="88" t="s">
        <v>1056</v>
      </c>
      <c r="B115" s="4" t="s">
        <v>1057</v>
      </c>
      <c r="C115" s="4" t="s">
        <v>1058</v>
      </c>
      <c r="D115" s="90">
        <v>44.43</v>
      </c>
      <c r="E115" s="90">
        <v>40.0</v>
      </c>
      <c r="F115" s="90">
        <v>44.62</v>
      </c>
      <c r="H115" s="90">
        <v>-2.1</v>
      </c>
      <c r="I115" s="90">
        <v>50.61</v>
      </c>
      <c r="J115" s="90">
        <v>29.81</v>
      </c>
      <c r="K115" s="90">
        <v>3.37</v>
      </c>
      <c r="L115" s="4" t="s">
        <v>998</v>
      </c>
      <c r="M115" s="90">
        <v>41.06</v>
      </c>
      <c r="N115" s="92">
        <v>45868.35878219907</v>
      </c>
      <c r="O115" s="4" t="b">
        <v>1</v>
      </c>
      <c r="P115" s="4" t="s">
        <v>1059</v>
      </c>
      <c r="Q115" s="4">
        <v>44.2</v>
      </c>
      <c r="R115" s="4" t="s">
        <v>18</v>
      </c>
      <c r="S115" s="4" t="s">
        <v>18</v>
      </c>
      <c r="T115" s="4" t="s">
        <v>18</v>
      </c>
      <c r="U115" s="4" t="s">
        <v>179</v>
      </c>
      <c r="V115" s="4" t="s">
        <v>1060</v>
      </c>
      <c r="W115" s="90"/>
      <c r="X115" s="81"/>
      <c r="Y115" s="81"/>
      <c r="Z115" s="81"/>
      <c r="AA115" s="81"/>
      <c r="AB115" s="7" t="str">
        <f t="shared" si="2"/>
        <v/>
      </c>
      <c r="AC115" s="81">
        <f t="shared" si="1"/>
        <v>0</v>
      </c>
    </row>
    <row r="116">
      <c r="A116" s="88" t="s">
        <v>1064</v>
      </c>
      <c r="B116" s="4" t="s">
        <v>1065</v>
      </c>
      <c r="C116" s="4" t="s">
        <v>1066</v>
      </c>
      <c r="D116" s="90">
        <v>310.89</v>
      </c>
      <c r="E116" s="90">
        <v>303.36</v>
      </c>
      <c r="F116" s="90">
        <v>312.7</v>
      </c>
      <c r="G116" s="4" t="s">
        <v>615</v>
      </c>
      <c r="H116" s="90">
        <v>18.32</v>
      </c>
      <c r="I116" s="90">
        <v>70.4</v>
      </c>
      <c r="J116" s="90">
        <v>21.06</v>
      </c>
      <c r="K116" s="90">
        <v>6.57</v>
      </c>
      <c r="L116" s="4" t="s">
        <v>542</v>
      </c>
      <c r="M116" s="90">
        <v>238.54</v>
      </c>
      <c r="N116" s="92">
        <v>45708.6095084375</v>
      </c>
      <c r="O116" s="4" t="b">
        <v>1</v>
      </c>
      <c r="P116" s="4" t="s">
        <v>1069</v>
      </c>
      <c r="Q116" s="4">
        <v>312.34</v>
      </c>
      <c r="R116" s="4">
        <v>301.78</v>
      </c>
      <c r="S116" s="4">
        <v>291.22</v>
      </c>
      <c r="T116" s="4">
        <v>317.62</v>
      </c>
      <c r="U116" s="4" t="s">
        <v>161</v>
      </c>
      <c r="V116" s="4" t="s">
        <v>1072</v>
      </c>
      <c r="W116" s="90"/>
      <c r="X116" s="81"/>
      <c r="Y116" s="81"/>
      <c r="Z116" s="81"/>
      <c r="AA116" s="81"/>
      <c r="AB116" s="7" t="str">
        <f t="shared" si="2"/>
        <v/>
      </c>
      <c r="AC116" s="81">
        <f t="shared" si="1"/>
        <v>0</v>
      </c>
    </row>
    <row r="117">
      <c r="A117" s="88" t="s">
        <v>1076</v>
      </c>
      <c r="B117" s="4" t="s">
        <v>1077</v>
      </c>
      <c r="C117" s="4" t="s">
        <v>1079</v>
      </c>
      <c r="D117" s="90">
        <v>4.7</v>
      </c>
      <c r="E117" s="90">
        <v>4.26</v>
      </c>
      <c r="F117" s="90">
        <v>4.74</v>
      </c>
      <c r="G117" s="4" t="s">
        <v>673</v>
      </c>
      <c r="L117" s="4" t="s">
        <v>588</v>
      </c>
      <c r="M117" s="90">
        <v>14.62</v>
      </c>
      <c r="N117" s="92">
        <v>45852.921677280094</v>
      </c>
      <c r="O117" s="4" t="b">
        <v>1</v>
      </c>
      <c r="P117" s="4" t="s">
        <v>1082</v>
      </c>
      <c r="Q117" s="4">
        <v>4.86</v>
      </c>
      <c r="R117" s="4">
        <v>4.55</v>
      </c>
      <c r="S117" s="4">
        <v>4.24</v>
      </c>
      <c r="T117" s="4">
        <v>5.02</v>
      </c>
      <c r="U117" s="4" t="s">
        <v>161</v>
      </c>
      <c r="V117" s="4" t="s">
        <v>1083</v>
      </c>
      <c r="W117" s="90"/>
      <c r="X117" s="81"/>
      <c r="Y117" s="81"/>
      <c r="Z117" s="81"/>
      <c r="AA117" s="81"/>
      <c r="AB117" s="7" t="str">
        <f t="shared" si="2"/>
        <v/>
      </c>
      <c r="AC117" s="81">
        <f t="shared" si="1"/>
        <v>0</v>
      </c>
    </row>
    <row r="118">
      <c r="A118" s="88" t="s">
        <v>1086</v>
      </c>
      <c r="B118" s="4" t="s">
        <v>68</v>
      </c>
      <c r="C118" s="4" t="s">
        <v>787</v>
      </c>
      <c r="D118" s="90">
        <v>300.27</v>
      </c>
      <c r="E118" s="90">
        <v>295.89</v>
      </c>
      <c r="F118" s="90">
        <v>324.73</v>
      </c>
      <c r="H118" s="90">
        <v>-11.0</v>
      </c>
      <c r="I118" s="90">
        <v>54.75</v>
      </c>
      <c r="J118" s="90">
        <v>29.18</v>
      </c>
      <c r="K118" s="90">
        <v>6.52</v>
      </c>
      <c r="L118" s="4" t="s">
        <v>197</v>
      </c>
      <c r="M118" s="90">
        <v>184.62</v>
      </c>
      <c r="N118" s="92">
        <v>45853.691538831015</v>
      </c>
      <c r="O118" s="4" t="b">
        <v>1</v>
      </c>
      <c r="P118" s="4" t="s">
        <v>1088</v>
      </c>
      <c r="Q118" s="4">
        <v>304.14</v>
      </c>
      <c r="R118" s="4">
        <v>288.57</v>
      </c>
      <c r="S118" s="4">
        <v>273.0</v>
      </c>
      <c r="T118" s="4">
        <v>311.93</v>
      </c>
      <c r="U118" s="4" t="s">
        <v>161</v>
      </c>
      <c r="V118" s="4" t="s">
        <v>1089</v>
      </c>
      <c r="W118" s="90"/>
      <c r="X118" s="81"/>
      <c r="Y118" s="81"/>
      <c r="Z118" s="81"/>
      <c r="AA118" s="81"/>
      <c r="AB118" s="7" t="str">
        <f t="shared" si="2"/>
        <v/>
      </c>
      <c r="AC118" s="81">
        <f t="shared" si="1"/>
        <v>0</v>
      </c>
    </row>
    <row r="119">
      <c r="A119" s="138" t="s">
        <v>1090</v>
      </c>
      <c r="B119" s="4" t="s">
        <v>455</v>
      </c>
      <c r="C119" s="4" t="s">
        <v>507</v>
      </c>
      <c r="D119" s="90">
        <v>149.07</v>
      </c>
      <c r="E119" s="90">
        <v>141.51</v>
      </c>
      <c r="F119" s="90">
        <v>153.2</v>
      </c>
      <c r="M119" s="90">
        <v>315.51</v>
      </c>
      <c r="N119" s="92">
        <v>45707.37273732639</v>
      </c>
      <c r="O119" s="4" t="b">
        <v>1</v>
      </c>
      <c r="P119" s="4" t="s">
        <v>1091</v>
      </c>
      <c r="Q119" s="4">
        <v>153.99</v>
      </c>
      <c r="R119" s="4">
        <v>147.39</v>
      </c>
      <c r="S119" s="4">
        <v>140.79</v>
      </c>
      <c r="T119" s="4">
        <v>157.29</v>
      </c>
      <c r="U119" s="4" t="s">
        <v>161</v>
      </c>
      <c r="V119" s="4" t="s">
        <v>1092</v>
      </c>
      <c r="W119" s="90"/>
      <c r="X119" s="81"/>
      <c r="Y119" s="81"/>
      <c r="Z119" s="81"/>
      <c r="AA119" s="81"/>
      <c r="AB119" s="7" t="str">
        <f t="shared" si="2"/>
        <v/>
      </c>
      <c r="AC119" s="81">
        <f t="shared" si="1"/>
        <v>0</v>
      </c>
    </row>
    <row r="120">
      <c r="A120" s="88" t="s">
        <v>1093</v>
      </c>
      <c r="B120" s="4" t="s">
        <v>913</v>
      </c>
      <c r="C120" s="4" t="s">
        <v>1094</v>
      </c>
      <c r="D120" s="90">
        <v>346.8</v>
      </c>
      <c r="E120" s="90">
        <v>336.67</v>
      </c>
      <c r="F120" s="90">
        <v>350.93</v>
      </c>
      <c r="O120" s="4" t="b">
        <v>1</v>
      </c>
      <c r="P120" s="4" t="s">
        <v>1095</v>
      </c>
      <c r="Q120" s="4">
        <v>350.26</v>
      </c>
      <c r="R120" s="4">
        <v>331.58</v>
      </c>
      <c r="S120" s="4">
        <v>312.9</v>
      </c>
      <c r="T120" s="4">
        <v>359.6</v>
      </c>
      <c r="U120" s="4" t="s">
        <v>161</v>
      </c>
      <c r="V120" s="4" t="s">
        <v>1096</v>
      </c>
      <c r="W120" s="90"/>
      <c r="X120" s="81"/>
      <c r="Y120" s="81"/>
      <c r="Z120" s="81"/>
      <c r="AA120" s="81"/>
      <c r="AB120" s="7" t="str">
        <f t="shared" si="2"/>
        <v/>
      </c>
      <c r="AC120" s="81">
        <f t="shared" si="1"/>
        <v>0</v>
      </c>
    </row>
    <row r="121">
      <c r="A121" s="88" t="s">
        <v>1098</v>
      </c>
      <c r="B121" s="4" t="s">
        <v>259</v>
      </c>
      <c r="C121" s="4" t="s">
        <v>827</v>
      </c>
      <c r="D121" s="90">
        <v>11.26</v>
      </c>
      <c r="E121" s="90">
        <v>10.8</v>
      </c>
      <c r="F121" s="90">
        <v>11.38</v>
      </c>
      <c r="O121" s="4" t="b">
        <v>1</v>
      </c>
      <c r="P121" s="4" t="s">
        <v>1100</v>
      </c>
      <c r="Q121" s="4">
        <v>11.86</v>
      </c>
      <c r="R121" s="4">
        <v>11.21</v>
      </c>
      <c r="S121" s="4">
        <v>10.57</v>
      </c>
      <c r="T121" s="4">
        <v>12.18</v>
      </c>
      <c r="U121" s="4" t="s">
        <v>161</v>
      </c>
      <c r="V121" s="4" t="s">
        <v>1102</v>
      </c>
      <c r="W121" s="90"/>
      <c r="X121" s="81"/>
      <c r="Y121" s="81"/>
      <c r="Z121" s="81"/>
      <c r="AA121" s="81"/>
      <c r="AB121" s="7" t="str">
        <f t="shared" si="2"/>
        <v/>
      </c>
      <c r="AC121" s="81">
        <f t="shared" si="1"/>
        <v>0</v>
      </c>
    </row>
    <row r="122">
      <c r="A122" s="88" t="s">
        <v>1105</v>
      </c>
      <c r="B122" s="4" t="s">
        <v>1106</v>
      </c>
      <c r="C122" s="4" t="s">
        <v>1107</v>
      </c>
      <c r="D122" s="90">
        <v>274.48</v>
      </c>
      <c r="E122" s="90">
        <v>272.75</v>
      </c>
      <c r="F122" s="90">
        <v>278.31</v>
      </c>
      <c r="G122" s="4" t="s">
        <v>957</v>
      </c>
      <c r="H122" s="90">
        <v>1.93</v>
      </c>
      <c r="I122" s="90">
        <v>58.43</v>
      </c>
      <c r="J122" s="90">
        <v>18.49</v>
      </c>
      <c r="K122" s="90">
        <v>5.28</v>
      </c>
      <c r="L122" s="4" t="s">
        <v>170</v>
      </c>
      <c r="M122" s="90">
        <v>206.0</v>
      </c>
      <c r="N122" s="92">
        <v>45812.240284687505</v>
      </c>
      <c r="O122" s="4" t="b">
        <v>1</v>
      </c>
      <c r="P122" s="4" t="s">
        <v>1110</v>
      </c>
      <c r="Q122" s="4">
        <v>277.94</v>
      </c>
      <c r="R122" s="4">
        <v>271.38</v>
      </c>
      <c r="S122" s="4">
        <v>264.82</v>
      </c>
      <c r="T122" s="4">
        <v>281.22</v>
      </c>
      <c r="U122" s="4" t="s">
        <v>161</v>
      </c>
      <c r="V122" s="4" t="s">
        <v>1111</v>
      </c>
      <c r="W122" s="90"/>
      <c r="X122" s="81"/>
      <c r="Y122" s="81"/>
      <c r="Z122" s="81"/>
      <c r="AA122" s="81"/>
      <c r="AB122" s="7" t="str">
        <f t="shared" si="2"/>
        <v/>
      </c>
      <c r="AC122" s="81">
        <f t="shared" si="1"/>
        <v>0</v>
      </c>
    </row>
    <row r="123">
      <c r="A123" s="88" t="s">
        <v>1112</v>
      </c>
      <c r="B123" s="4" t="s">
        <v>211</v>
      </c>
      <c r="C123" s="4" t="s">
        <v>212</v>
      </c>
      <c r="D123" s="90">
        <v>128.41</v>
      </c>
      <c r="E123" s="90">
        <v>126.07</v>
      </c>
      <c r="F123" s="90">
        <v>128.62</v>
      </c>
      <c r="G123" s="4" t="s">
        <v>615</v>
      </c>
      <c r="L123" s="4" t="s">
        <v>213</v>
      </c>
      <c r="M123" s="90">
        <v>117.11</v>
      </c>
      <c r="N123" s="92">
        <v>45856.30512809027</v>
      </c>
      <c r="O123" s="4" t="b">
        <v>1</v>
      </c>
      <c r="P123" s="4" t="s">
        <v>1114</v>
      </c>
      <c r="Q123" s="4">
        <v>130.06</v>
      </c>
      <c r="R123" s="4">
        <v>127.34</v>
      </c>
      <c r="S123" s="4">
        <v>124.62</v>
      </c>
      <c r="T123" s="4">
        <v>131.42</v>
      </c>
      <c r="U123" s="4" t="s">
        <v>161</v>
      </c>
      <c r="V123" s="4" t="s">
        <v>1116</v>
      </c>
      <c r="W123" s="90"/>
      <c r="X123" s="81"/>
      <c r="Y123" s="81"/>
      <c r="Z123" s="81"/>
      <c r="AA123" s="81"/>
      <c r="AB123" s="7" t="str">
        <f t="shared" si="2"/>
        <v/>
      </c>
      <c r="AC123" s="81">
        <f t="shared" si="1"/>
        <v>0</v>
      </c>
    </row>
    <row r="124">
      <c r="A124" s="88" t="s">
        <v>1117</v>
      </c>
      <c r="B124" s="4" t="s">
        <v>457</v>
      </c>
      <c r="C124" s="4" t="s">
        <v>458</v>
      </c>
      <c r="D124" s="90">
        <v>112.62</v>
      </c>
      <c r="E124" s="90">
        <v>108.16</v>
      </c>
      <c r="F124" s="90">
        <v>112.83</v>
      </c>
      <c r="M124" s="90">
        <v>90.18</v>
      </c>
      <c r="N124" s="92">
        <v>45805.76461986111</v>
      </c>
      <c r="O124" s="4" t="b">
        <v>1</v>
      </c>
      <c r="P124" s="4" t="s">
        <v>1118</v>
      </c>
      <c r="Q124" s="4">
        <v>117.47</v>
      </c>
      <c r="R124" s="4">
        <v>113.22</v>
      </c>
      <c r="S124" s="4">
        <v>108.97</v>
      </c>
      <c r="T124" s="4">
        <v>119.6</v>
      </c>
      <c r="U124" s="4" t="s">
        <v>161</v>
      </c>
      <c r="V124" s="4" t="s">
        <v>1119</v>
      </c>
      <c r="W124" s="90"/>
      <c r="X124" s="81"/>
      <c r="Y124" s="81"/>
      <c r="Z124" s="81"/>
      <c r="AA124" s="81"/>
      <c r="AB124" s="7" t="str">
        <f t="shared" si="2"/>
        <v/>
      </c>
      <c r="AC124" s="81">
        <f t="shared" si="1"/>
        <v>0</v>
      </c>
    </row>
    <row r="125">
      <c r="A125" s="88" t="s">
        <v>1121</v>
      </c>
      <c r="B125" s="4" t="s">
        <v>324</v>
      </c>
      <c r="C125" s="4" t="s">
        <v>325</v>
      </c>
      <c r="D125" s="90">
        <v>273.51</v>
      </c>
      <c r="O125" s="4" t="b">
        <v>1</v>
      </c>
      <c r="P125" s="4" t="s">
        <v>1123</v>
      </c>
      <c r="Q125" s="4">
        <v>275.23</v>
      </c>
      <c r="R125" s="4">
        <v>267.14</v>
      </c>
      <c r="S125" s="4">
        <v>259.05</v>
      </c>
      <c r="T125" s="4">
        <v>279.27</v>
      </c>
      <c r="U125" s="4" t="s">
        <v>161</v>
      </c>
      <c r="V125" s="4" t="s">
        <v>1125</v>
      </c>
      <c r="W125" s="90"/>
      <c r="X125" s="81"/>
      <c r="Y125" s="81"/>
      <c r="Z125" s="81"/>
      <c r="AA125" s="81"/>
      <c r="AB125" s="7" t="str">
        <f t="shared" si="2"/>
        <v/>
      </c>
      <c r="AC125" s="81">
        <f t="shared" si="1"/>
        <v>0</v>
      </c>
    </row>
    <row r="126">
      <c r="A126" s="88" t="s">
        <v>1127</v>
      </c>
      <c r="B126" s="4" t="s">
        <v>954</v>
      </c>
      <c r="C126" s="4" t="s">
        <v>955</v>
      </c>
      <c r="D126" s="90">
        <v>7.14</v>
      </c>
      <c r="E126" s="90">
        <v>6.86</v>
      </c>
      <c r="F126" s="90">
        <v>7.21</v>
      </c>
      <c r="G126" s="4" t="s">
        <v>957</v>
      </c>
      <c r="H126" s="90">
        <v>0.71</v>
      </c>
      <c r="I126" s="90">
        <v>56.25</v>
      </c>
      <c r="J126" s="90">
        <v>35.21</v>
      </c>
      <c r="K126" s="90">
        <v>0.37</v>
      </c>
      <c r="L126" s="4" t="s">
        <v>197</v>
      </c>
      <c r="M126" s="90">
        <v>6.17</v>
      </c>
      <c r="N126" s="92">
        <v>46079.41762620371</v>
      </c>
      <c r="O126" s="4" t="b">
        <v>1</v>
      </c>
      <c r="P126" s="4" t="s">
        <v>1128</v>
      </c>
      <c r="Q126" s="4">
        <v>7.4</v>
      </c>
      <c r="R126" s="4">
        <v>6.92</v>
      </c>
      <c r="S126" s="4">
        <v>6.44</v>
      </c>
      <c r="T126" s="4">
        <v>7.64</v>
      </c>
      <c r="U126" s="4" t="s">
        <v>161</v>
      </c>
      <c r="V126" s="4" t="s">
        <v>1129</v>
      </c>
      <c r="W126" s="90"/>
      <c r="X126" s="81"/>
      <c r="Y126" s="81"/>
      <c r="Z126" s="81"/>
      <c r="AA126" s="81"/>
      <c r="AB126" s="7" t="str">
        <f t="shared" si="2"/>
        <v/>
      </c>
      <c r="AC126" s="81">
        <f t="shared" si="1"/>
        <v>0</v>
      </c>
    </row>
    <row r="127">
      <c r="A127" s="138" t="s">
        <v>1132</v>
      </c>
      <c r="B127" s="4" t="s">
        <v>818</v>
      </c>
      <c r="C127" s="4" t="s">
        <v>968</v>
      </c>
      <c r="D127" s="90">
        <v>367.24</v>
      </c>
      <c r="E127" s="90">
        <v>355.71</v>
      </c>
      <c r="F127" s="90">
        <v>369.99</v>
      </c>
      <c r="G127" s="4" t="s">
        <v>957</v>
      </c>
      <c r="H127" s="90">
        <v>0.47</v>
      </c>
      <c r="I127" s="90">
        <v>28.9</v>
      </c>
      <c r="J127" s="90">
        <v>47.68</v>
      </c>
      <c r="K127" s="90">
        <v>7.69</v>
      </c>
      <c r="L127" s="4" t="s">
        <v>197</v>
      </c>
      <c r="M127" s="90">
        <v>175.87</v>
      </c>
      <c r="N127" s="92">
        <v>46079.320398587966</v>
      </c>
      <c r="O127" s="4" t="b">
        <v>1</v>
      </c>
      <c r="P127" s="4" t="s">
        <v>1133</v>
      </c>
      <c r="Q127" s="4">
        <v>382.37</v>
      </c>
      <c r="R127" s="4">
        <v>367.49</v>
      </c>
      <c r="S127" s="4">
        <v>352.61</v>
      </c>
      <c r="T127" s="4">
        <v>389.81</v>
      </c>
      <c r="U127" s="4" t="s">
        <v>161</v>
      </c>
      <c r="V127" s="4" t="s">
        <v>1134</v>
      </c>
      <c r="W127" s="90"/>
      <c r="X127" s="81"/>
      <c r="Y127" s="81"/>
      <c r="Z127" s="81"/>
      <c r="AA127" s="81"/>
      <c r="AB127" s="7" t="str">
        <f t="shared" si="2"/>
        <v/>
      </c>
      <c r="AC127" s="81">
        <f t="shared" si="1"/>
        <v>0</v>
      </c>
    </row>
    <row r="128">
      <c r="A128" s="138" t="s">
        <v>1136</v>
      </c>
      <c r="B128" s="4" t="s">
        <v>364</v>
      </c>
      <c r="C128" s="4" t="s">
        <v>365</v>
      </c>
      <c r="D128" s="90">
        <v>107.96</v>
      </c>
      <c r="E128" s="90">
        <v>105.56</v>
      </c>
      <c r="F128" s="90">
        <v>107.99</v>
      </c>
      <c r="H128" s="90">
        <v>7.93</v>
      </c>
      <c r="I128" s="90">
        <v>0.0</v>
      </c>
      <c r="J128" s="90">
        <v>21.44</v>
      </c>
      <c r="K128" s="90">
        <v>3.13</v>
      </c>
      <c r="O128" s="4" t="b">
        <v>1</v>
      </c>
      <c r="P128" s="4" t="s">
        <v>1138</v>
      </c>
      <c r="Q128" s="4">
        <v>107.97</v>
      </c>
      <c r="R128" s="4">
        <v>105.51</v>
      </c>
      <c r="S128" s="4">
        <v>103.05</v>
      </c>
      <c r="T128" s="4">
        <v>109.2</v>
      </c>
      <c r="U128" s="4" t="s">
        <v>161</v>
      </c>
      <c r="V128" s="4" t="s">
        <v>1140</v>
      </c>
      <c r="W128" s="90"/>
      <c r="X128" s="81"/>
      <c r="Y128" s="81"/>
      <c r="Z128" s="81"/>
      <c r="AA128" s="81"/>
      <c r="AB128" s="7" t="str">
        <f t="shared" si="2"/>
        <v/>
      </c>
      <c r="AC128" s="81">
        <f t="shared" si="1"/>
        <v>0</v>
      </c>
    </row>
    <row r="129">
      <c r="A129" s="138" t="s">
        <v>1143</v>
      </c>
      <c r="B129" s="4" t="s">
        <v>175</v>
      </c>
      <c r="C129" s="4" t="s">
        <v>176</v>
      </c>
      <c r="D129" s="90">
        <v>39.45</v>
      </c>
      <c r="O129" s="4" t="b">
        <v>1</v>
      </c>
      <c r="P129" s="4" t="s">
        <v>1145</v>
      </c>
      <c r="Q129" s="4">
        <v>39.77</v>
      </c>
      <c r="R129" s="4">
        <v>38.84</v>
      </c>
      <c r="S129" s="4">
        <v>37.91</v>
      </c>
      <c r="T129" s="4">
        <v>40.23</v>
      </c>
      <c r="U129" s="4" t="s">
        <v>161</v>
      </c>
      <c r="V129" s="4" t="s">
        <v>1147</v>
      </c>
      <c r="W129" s="90"/>
      <c r="X129" s="81"/>
      <c r="Y129" s="81"/>
      <c r="Z129" s="81"/>
      <c r="AA129" s="81"/>
      <c r="AB129" s="7" t="str">
        <f t="shared" si="2"/>
        <v/>
      </c>
      <c r="AC129" s="81">
        <f t="shared" si="1"/>
        <v>0</v>
      </c>
    </row>
    <row r="130">
      <c r="A130" s="88" t="s">
        <v>1151</v>
      </c>
      <c r="B130" s="4" t="s">
        <v>1152</v>
      </c>
      <c r="C130" s="142" t="s">
        <v>1153</v>
      </c>
      <c r="D130" s="90">
        <v>370.47</v>
      </c>
      <c r="E130" s="90">
        <v>365.25</v>
      </c>
      <c r="F130" s="90">
        <v>371.1</v>
      </c>
      <c r="G130" s="4" t="s">
        <v>615</v>
      </c>
      <c r="M130" s="90">
        <v>351.99</v>
      </c>
      <c r="N130" s="92">
        <v>45721.7049833912</v>
      </c>
      <c r="O130" s="4" t="b">
        <v>1</v>
      </c>
      <c r="P130" s="4" t="s">
        <v>1156</v>
      </c>
      <c r="Q130" s="4">
        <v>369.81</v>
      </c>
      <c r="R130" s="4" t="s">
        <v>18</v>
      </c>
      <c r="S130" s="4" t="s">
        <v>18</v>
      </c>
      <c r="T130" s="4" t="s">
        <v>18</v>
      </c>
      <c r="U130" s="4" t="s">
        <v>179</v>
      </c>
      <c r="V130" s="4" t="s">
        <v>1158</v>
      </c>
      <c r="W130" s="90"/>
      <c r="X130" s="81"/>
      <c r="Y130" s="81"/>
      <c r="Z130" s="81"/>
      <c r="AA130" s="81"/>
      <c r="AB130" s="7" t="str">
        <f t="shared" si="2"/>
        <v/>
      </c>
      <c r="AC130" s="81">
        <f t="shared" si="1"/>
        <v>0</v>
      </c>
    </row>
    <row r="131">
      <c r="A131" s="88" t="s">
        <v>1161</v>
      </c>
      <c r="B131" s="4" t="s">
        <v>166</v>
      </c>
      <c r="C131" s="4" t="s">
        <v>167</v>
      </c>
      <c r="D131" s="90">
        <v>40.81</v>
      </c>
      <c r="E131" s="90">
        <v>34.8</v>
      </c>
      <c r="F131" s="90">
        <v>41.66</v>
      </c>
      <c r="G131" s="4" t="s">
        <v>673</v>
      </c>
      <c r="H131" s="90">
        <v>6.81</v>
      </c>
      <c r="I131" s="90">
        <v>72.8</v>
      </c>
      <c r="J131" s="90">
        <v>14.06</v>
      </c>
      <c r="K131" s="4" t="s">
        <v>169</v>
      </c>
      <c r="L131" s="4" t="s">
        <v>170</v>
      </c>
      <c r="M131" s="90">
        <v>28.0</v>
      </c>
      <c r="N131" s="92">
        <v>45709.328280671296</v>
      </c>
      <c r="O131" s="4" t="b">
        <v>1</v>
      </c>
      <c r="P131" s="4" t="s">
        <v>1164</v>
      </c>
      <c r="Q131" s="4">
        <v>44.36</v>
      </c>
      <c r="R131" s="4">
        <v>42.29</v>
      </c>
      <c r="S131" s="4">
        <v>40.22</v>
      </c>
      <c r="T131" s="4">
        <v>45.39</v>
      </c>
      <c r="U131" s="4" t="s">
        <v>161</v>
      </c>
      <c r="V131" s="4" t="s">
        <v>1165</v>
      </c>
      <c r="W131" s="90"/>
      <c r="X131" s="81"/>
      <c r="Y131" s="81"/>
      <c r="Z131" s="81"/>
      <c r="AA131" s="81"/>
      <c r="AB131" s="7" t="str">
        <f t="shared" si="2"/>
        <v/>
      </c>
      <c r="AC131" s="81">
        <f t="shared" si="1"/>
        <v>0</v>
      </c>
    </row>
    <row r="132">
      <c r="A132" s="88" t="s">
        <v>1167</v>
      </c>
      <c r="B132" s="4" t="s">
        <v>513</v>
      </c>
      <c r="C132" s="4" t="s">
        <v>513</v>
      </c>
      <c r="D132" s="90">
        <v>170.98</v>
      </c>
      <c r="E132" s="90">
        <v>168.08</v>
      </c>
      <c r="F132" s="90">
        <v>173.1</v>
      </c>
      <c r="G132" s="4" t="s">
        <v>615</v>
      </c>
      <c r="H132" s="90">
        <v>-5.0</v>
      </c>
      <c r="I132" s="90">
        <v>58.72</v>
      </c>
      <c r="J132" s="90">
        <v>39.72</v>
      </c>
      <c r="K132" s="90">
        <v>4.63</v>
      </c>
      <c r="M132" s="90">
        <v>238.78</v>
      </c>
      <c r="N132" s="92">
        <v>45770.36725606481</v>
      </c>
      <c r="O132" s="4" t="b">
        <v>1</v>
      </c>
      <c r="P132" s="4" t="s">
        <v>1168</v>
      </c>
      <c r="Q132" s="4">
        <v>207.53</v>
      </c>
      <c r="R132" s="4">
        <v>201.8</v>
      </c>
      <c r="S132" s="4">
        <v>196.07</v>
      </c>
      <c r="T132" s="4">
        <v>210.4</v>
      </c>
      <c r="U132" s="4" t="s">
        <v>161</v>
      </c>
      <c r="V132" s="4" t="s">
        <v>1169</v>
      </c>
      <c r="W132" s="90"/>
      <c r="X132" s="81"/>
      <c r="Y132" s="81"/>
      <c r="Z132" s="81"/>
      <c r="AA132" s="81"/>
      <c r="AB132" s="7" t="str">
        <f t="shared" si="2"/>
        <v/>
      </c>
      <c r="AC132" s="81">
        <f t="shared" si="1"/>
        <v>0</v>
      </c>
    </row>
    <row r="133">
      <c r="A133" s="88" t="s">
        <v>1170</v>
      </c>
      <c r="B133" s="4" t="s">
        <v>1017</v>
      </c>
      <c r="C133" s="4" t="s">
        <v>1018</v>
      </c>
      <c r="D133" s="90">
        <v>75.67</v>
      </c>
      <c r="E133" s="90">
        <v>72.3</v>
      </c>
      <c r="F133" s="90">
        <v>80.19</v>
      </c>
      <c r="H133" s="90">
        <v>7.29</v>
      </c>
      <c r="I133" s="90">
        <v>72.27</v>
      </c>
      <c r="J133" s="90">
        <v>23.53</v>
      </c>
      <c r="K133" s="90">
        <v>1.75</v>
      </c>
      <c r="L133" s="4" t="s">
        <v>542</v>
      </c>
      <c r="M133" s="90">
        <v>47.03</v>
      </c>
      <c r="N133" s="92">
        <v>45895.30139100694</v>
      </c>
      <c r="O133" s="4" t="b">
        <v>1</v>
      </c>
      <c r="P133" s="4" t="s">
        <v>1171</v>
      </c>
      <c r="Q133" s="4">
        <v>81.55</v>
      </c>
      <c r="R133" s="4">
        <v>76.44</v>
      </c>
      <c r="S133" s="4">
        <v>71.33</v>
      </c>
      <c r="T133" s="4">
        <v>84.11</v>
      </c>
      <c r="U133" s="4" t="s">
        <v>161</v>
      </c>
      <c r="V133" s="4" t="s">
        <v>1172</v>
      </c>
      <c r="W133" s="90"/>
      <c r="X133" s="81"/>
      <c r="Y133" s="81"/>
      <c r="Z133" s="81"/>
      <c r="AA133" s="81"/>
      <c r="AB133" s="7" t="str">
        <f t="shared" si="2"/>
        <v/>
      </c>
      <c r="AC133" s="81">
        <f t="shared" si="1"/>
        <v>0</v>
      </c>
    </row>
    <row r="134">
      <c r="A134" s="88" t="s">
        <v>1175</v>
      </c>
      <c r="B134" s="4" t="s">
        <v>254</v>
      </c>
      <c r="C134" s="4" t="s">
        <v>255</v>
      </c>
      <c r="D134" s="90">
        <v>499.86</v>
      </c>
      <c r="E134" s="90">
        <v>488.52</v>
      </c>
      <c r="F134" s="90">
        <v>501.56</v>
      </c>
      <c r="O134" s="4" t="b">
        <v>1</v>
      </c>
      <c r="P134" s="4" t="s">
        <v>1177</v>
      </c>
      <c r="Q134" s="4">
        <v>505.18</v>
      </c>
      <c r="R134" s="4">
        <v>491.64</v>
      </c>
      <c r="S134" s="4">
        <v>478.1</v>
      </c>
      <c r="T134" s="4">
        <v>511.95</v>
      </c>
      <c r="U134" s="4" t="s">
        <v>161</v>
      </c>
      <c r="V134" s="4" t="s">
        <v>1178</v>
      </c>
      <c r="W134" s="90"/>
      <c r="X134" s="81"/>
      <c r="Y134" s="81"/>
      <c r="Z134" s="81"/>
      <c r="AA134" s="81"/>
      <c r="AB134" s="7" t="str">
        <f t="shared" si="2"/>
        <v/>
      </c>
      <c r="AC134" s="81">
        <f t="shared" si="1"/>
        <v>0</v>
      </c>
    </row>
    <row r="135">
      <c r="A135" s="88" t="s">
        <v>1184</v>
      </c>
      <c r="B135" s="4" t="s">
        <v>612</v>
      </c>
      <c r="C135" s="4" t="s">
        <v>613</v>
      </c>
      <c r="D135" s="90">
        <v>575.95</v>
      </c>
      <c r="E135" s="90">
        <v>566.37</v>
      </c>
      <c r="F135" s="90">
        <v>576.36</v>
      </c>
      <c r="G135" s="4" t="s">
        <v>615</v>
      </c>
      <c r="M135" s="90">
        <v>588.03</v>
      </c>
      <c r="N135" s="92">
        <v>45912.10145469908</v>
      </c>
      <c r="O135" s="4" t="b">
        <v>1</v>
      </c>
      <c r="P135" s="4" t="s">
        <v>1185</v>
      </c>
      <c r="Q135" s="4">
        <v>572.99</v>
      </c>
      <c r="R135" s="4" t="s">
        <v>18</v>
      </c>
      <c r="S135" s="4" t="s">
        <v>18</v>
      </c>
      <c r="T135" s="4" t="s">
        <v>18</v>
      </c>
      <c r="U135" s="4" t="s">
        <v>179</v>
      </c>
      <c r="V135" s="4" t="s">
        <v>1187</v>
      </c>
      <c r="W135" s="90"/>
      <c r="X135" s="81"/>
      <c r="Y135" s="81"/>
      <c r="Z135" s="81"/>
      <c r="AA135" s="81"/>
      <c r="AB135" s="7" t="str">
        <f t="shared" si="2"/>
        <v/>
      </c>
      <c r="AC135" s="81">
        <f t="shared" si="1"/>
        <v>0</v>
      </c>
    </row>
    <row r="136">
      <c r="A136" s="88" t="s">
        <v>1188</v>
      </c>
      <c r="B136" s="4" t="s">
        <v>1189</v>
      </c>
      <c r="C136" s="4" t="s">
        <v>1190</v>
      </c>
      <c r="D136" s="90">
        <v>153.75</v>
      </c>
      <c r="E136" s="90">
        <v>152.05</v>
      </c>
      <c r="F136" s="90">
        <v>154.0</v>
      </c>
      <c r="O136" s="4" t="b">
        <v>1</v>
      </c>
      <c r="P136" s="4" t="s">
        <v>1191</v>
      </c>
      <c r="Q136" s="4">
        <v>52.3</v>
      </c>
      <c r="R136" s="4" t="s">
        <v>18</v>
      </c>
      <c r="S136" s="4" t="s">
        <v>18</v>
      </c>
      <c r="T136" s="4" t="s">
        <v>18</v>
      </c>
      <c r="U136" s="4" t="s">
        <v>179</v>
      </c>
      <c r="V136" s="4" t="s">
        <v>1192</v>
      </c>
      <c r="W136" s="90"/>
      <c r="X136" s="81"/>
      <c r="Y136" s="81"/>
      <c r="Z136" s="81"/>
      <c r="AA136" s="81"/>
      <c r="AB136" s="7" t="str">
        <f t="shared" si="2"/>
        <v/>
      </c>
      <c r="AC136" s="81">
        <f t="shared" si="1"/>
        <v>0</v>
      </c>
    </row>
    <row r="137">
      <c r="A137" s="88" t="s">
        <v>1194</v>
      </c>
      <c r="B137" s="4" t="s">
        <v>882</v>
      </c>
      <c r="C137" s="4" t="s">
        <v>883</v>
      </c>
      <c r="D137" s="90">
        <v>524.61</v>
      </c>
      <c r="E137" s="90">
        <v>517.21</v>
      </c>
      <c r="F137" s="90">
        <v>525.44</v>
      </c>
      <c r="G137" s="4" t="s">
        <v>615</v>
      </c>
      <c r="H137" s="90">
        <v>3.53</v>
      </c>
      <c r="I137" s="90">
        <v>60.7</v>
      </c>
      <c r="J137" s="90">
        <v>12.67</v>
      </c>
      <c r="K137" s="90">
        <v>6.13</v>
      </c>
      <c r="M137" s="90">
        <v>480.42</v>
      </c>
      <c r="N137" s="92">
        <v>45709.677997314815</v>
      </c>
      <c r="O137" s="4" t="b">
        <v>1</v>
      </c>
      <c r="P137" s="4" t="s">
        <v>1197</v>
      </c>
      <c r="Q137" s="4" t="s">
        <v>886</v>
      </c>
      <c r="R137" s="4" t="s">
        <v>18</v>
      </c>
      <c r="S137" s="4" t="s">
        <v>18</v>
      </c>
      <c r="T137" s="4" t="s">
        <v>18</v>
      </c>
      <c r="U137" s="4" t="s">
        <v>887</v>
      </c>
      <c r="V137" s="4" t="s">
        <v>1198</v>
      </c>
      <c r="W137" s="90"/>
      <c r="X137" s="81"/>
      <c r="Y137" s="81"/>
      <c r="Z137" s="81"/>
      <c r="AA137" s="81"/>
      <c r="AB137" s="7" t="str">
        <f t="shared" si="2"/>
        <v/>
      </c>
      <c r="AC137" s="81">
        <f t="shared" si="1"/>
        <v>0</v>
      </c>
    </row>
    <row r="138">
      <c r="A138" s="88" t="s">
        <v>1200</v>
      </c>
      <c r="B138" s="4" t="s">
        <v>1201</v>
      </c>
      <c r="C138" s="4" t="s">
        <v>1202</v>
      </c>
      <c r="D138" s="90">
        <v>164.8</v>
      </c>
      <c r="E138" s="90">
        <v>163.3</v>
      </c>
      <c r="F138" s="90">
        <v>165.3</v>
      </c>
      <c r="H138" s="90">
        <v>-17.08</v>
      </c>
      <c r="I138" s="90">
        <v>27.68</v>
      </c>
      <c r="J138" s="90">
        <v>16.91</v>
      </c>
      <c r="K138" s="90">
        <v>4.95</v>
      </c>
      <c r="L138" s="4" t="s">
        <v>1204</v>
      </c>
      <c r="M138" s="90">
        <v>194.44</v>
      </c>
      <c r="N138" s="92">
        <v>45827.34319833333</v>
      </c>
      <c r="O138" s="4" t="b">
        <v>1</v>
      </c>
      <c r="P138" s="4" t="s">
        <v>1205</v>
      </c>
      <c r="Q138" s="4" t="s">
        <v>886</v>
      </c>
      <c r="R138" s="4" t="s">
        <v>18</v>
      </c>
      <c r="S138" s="4" t="s">
        <v>18</v>
      </c>
      <c r="T138" s="4" t="s">
        <v>18</v>
      </c>
      <c r="U138" s="4" t="s">
        <v>887</v>
      </c>
      <c r="V138" s="4" t="s">
        <v>1207</v>
      </c>
      <c r="W138" s="90"/>
      <c r="X138" s="81"/>
      <c r="Y138" s="81"/>
      <c r="Z138" s="81"/>
      <c r="AA138" s="81"/>
      <c r="AB138" s="7" t="str">
        <f t="shared" si="2"/>
        <v/>
      </c>
      <c r="AC138" s="81">
        <f t="shared" si="1"/>
        <v>0</v>
      </c>
    </row>
    <row r="139">
      <c r="A139" s="88" t="s">
        <v>1210</v>
      </c>
      <c r="B139" s="4" t="s">
        <v>457</v>
      </c>
      <c r="C139" s="4" t="s">
        <v>458</v>
      </c>
      <c r="D139" s="90">
        <v>110.48</v>
      </c>
      <c r="E139" s="90">
        <v>108.49</v>
      </c>
      <c r="F139" s="90">
        <v>111.99</v>
      </c>
      <c r="M139" s="90">
        <v>90.18</v>
      </c>
      <c r="N139" s="92">
        <v>45805.76461986111</v>
      </c>
      <c r="O139" s="4" t="b">
        <v>1</v>
      </c>
      <c r="P139" s="4" t="s">
        <v>1211</v>
      </c>
      <c r="Q139" s="4">
        <v>112.29</v>
      </c>
      <c r="R139" s="4">
        <v>108.1</v>
      </c>
      <c r="S139" s="4">
        <v>103.91</v>
      </c>
      <c r="T139" s="4">
        <v>114.39</v>
      </c>
      <c r="U139" s="4" t="s">
        <v>161</v>
      </c>
      <c r="V139" s="4" t="s">
        <v>1212</v>
      </c>
      <c r="W139" s="90"/>
      <c r="X139" s="81"/>
      <c r="Y139" s="81"/>
      <c r="Z139" s="81"/>
      <c r="AA139" s="81"/>
      <c r="AB139" s="7" t="str">
        <f t="shared" si="2"/>
        <v/>
      </c>
      <c r="AC139" s="81">
        <f t="shared" si="1"/>
        <v>0</v>
      </c>
    </row>
    <row r="140">
      <c r="A140" s="88" t="s">
        <v>1214</v>
      </c>
      <c r="B140" s="4" t="s">
        <v>920</v>
      </c>
      <c r="C140" s="4" t="s">
        <v>921</v>
      </c>
      <c r="D140" s="90">
        <v>274.74</v>
      </c>
      <c r="O140" s="4" t="b">
        <v>1</v>
      </c>
      <c r="P140" s="4" t="s">
        <v>1216</v>
      </c>
      <c r="Q140" s="4">
        <v>274.16</v>
      </c>
      <c r="R140" s="4" t="s">
        <v>18</v>
      </c>
      <c r="S140" s="4" t="s">
        <v>18</v>
      </c>
      <c r="T140" s="4" t="s">
        <v>18</v>
      </c>
      <c r="U140" s="4" t="s">
        <v>179</v>
      </c>
      <c r="V140" s="4" t="s">
        <v>1218</v>
      </c>
      <c r="W140" s="90"/>
      <c r="X140" s="81"/>
      <c r="Y140" s="81"/>
      <c r="Z140" s="81"/>
      <c r="AA140" s="81"/>
      <c r="AB140" s="7" t="str">
        <f t="shared" si="2"/>
        <v/>
      </c>
      <c r="AC140" s="81">
        <f t="shared" si="1"/>
        <v>0</v>
      </c>
    </row>
    <row r="141">
      <c r="A141" s="88" t="s">
        <v>1222</v>
      </c>
      <c r="B141" s="4" t="s">
        <v>175</v>
      </c>
      <c r="C141" s="4" t="s">
        <v>176</v>
      </c>
      <c r="D141" s="90">
        <v>38.72</v>
      </c>
      <c r="O141" s="4" t="b">
        <v>1</v>
      </c>
      <c r="P141" s="4" t="s">
        <v>1223</v>
      </c>
      <c r="Q141" s="4">
        <v>39.39</v>
      </c>
      <c r="R141" s="4">
        <v>38.44</v>
      </c>
      <c r="S141" s="4">
        <v>37.49</v>
      </c>
      <c r="T141" s="4">
        <v>39.86</v>
      </c>
      <c r="U141" s="4" t="s">
        <v>161</v>
      </c>
      <c r="V141" s="4" t="s">
        <v>1226</v>
      </c>
      <c r="W141" s="90"/>
      <c r="X141" s="81"/>
      <c r="Y141" s="81"/>
      <c r="Z141" s="81"/>
      <c r="AA141" s="81"/>
      <c r="AB141" s="7" t="str">
        <f t="shared" si="2"/>
        <v/>
      </c>
      <c r="AC141" s="81">
        <f t="shared" si="1"/>
        <v>0</v>
      </c>
    </row>
    <row r="142">
      <c r="A142" s="88" t="s">
        <v>1229</v>
      </c>
      <c r="B142" s="4" t="s">
        <v>1230</v>
      </c>
      <c r="C142" s="4" t="s">
        <v>1230</v>
      </c>
      <c r="D142" s="90">
        <v>235.92</v>
      </c>
      <c r="E142" s="90">
        <v>233.46</v>
      </c>
      <c r="F142" s="90">
        <v>238.96</v>
      </c>
      <c r="O142" s="4" t="b">
        <v>1</v>
      </c>
      <c r="P142" s="4" t="s">
        <v>1233</v>
      </c>
      <c r="Q142" s="4">
        <v>233.58</v>
      </c>
      <c r="R142" s="4" t="s">
        <v>18</v>
      </c>
      <c r="S142" s="4" t="s">
        <v>18</v>
      </c>
      <c r="T142" s="4" t="s">
        <v>18</v>
      </c>
      <c r="U142" s="4" t="s">
        <v>179</v>
      </c>
      <c r="V142" s="4" t="s">
        <v>1234</v>
      </c>
      <c r="W142" s="90"/>
      <c r="X142" s="81"/>
      <c r="Y142" s="81"/>
      <c r="Z142" s="81"/>
      <c r="AA142" s="81"/>
      <c r="AB142" s="7" t="str">
        <f t="shared" si="2"/>
        <v/>
      </c>
      <c r="AC142" s="81">
        <f t="shared" si="1"/>
        <v>0</v>
      </c>
    </row>
    <row r="143">
      <c r="A143" s="88" t="s">
        <v>1236</v>
      </c>
      <c r="B143" s="4" t="s">
        <v>364</v>
      </c>
      <c r="C143" s="4" t="s">
        <v>365</v>
      </c>
      <c r="D143" s="90">
        <v>105.71</v>
      </c>
      <c r="E143" s="90">
        <v>104.2</v>
      </c>
      <c r="F143" s="90">
        <v>106.76</v>
      </c>
      <c r="H143" s="90">
        <v>7.93</v>
      </c>
      <c r="I143" s="90">
        <v>0.0</v>
      </c>
      <c r="J143" s="90">
        <v>21.44</v>
      </c>
      <c r="K143" s="90">
        <v>3.13</v>
      </c>
      <c r="O143" s="4" t="b">
        <v>1</v>
      </c>
      <c r="P143" s="4" t="s">
        <v>1239</v>
      </c>
      <c r="Q143" s="4">
        <v>107.99</v>
      </c>
      <c r="R143" s="4">
        <v>105.51</v>
      </c>
      <c r="S143" s="4">
        <v>103.03</v>
      </c>
      <c r="T143" s="4">
        <v>109.23</v>
      </c>
      <c r="U143" s="4" t="s">
        <v>161</v>
      </c>
      <c r="V143" s="4" t="s">
        <v>1240</v>
      </c>
      <c r="W143" s="90"/>
      <c r="X143" s="81"/>
      <c r="Y143" s="81"/>
      <c r="Z143" s="81"/>
      <c r="AA143" s="81"/>
      <c r="AB143" s="7" t="str">
        <f t="shared" si="2"/>
        <v/>
      </c>
      <c r="AC143" s="81">
        <f t="shared" si="1"/>
        <v>0</v>
      </c>
    </row>
    <row r="144">
      <c r="A144" s="88" t="s">
        <v>1241</v>
      </c>
      <c r="B144" s="4" t="s">
        <v>818</v>
      </c>
      <c r="C144" s="4" t="s">
        <v>968</v>
      </c>
      <c r="D144" s="90">
        <v>363.82</v>
      </c>
      <c r="E144" s="90">
        <v>353.69</v>
      </c>
      <c r="F144" s="90">
        <v>367.92</v>
      </c>
      <c r="G144" s="4" t="s">
        <v>957</v>
      </c>
      <c r="H144" s="90">
        <v>0.47</v>
      </c>
      <c r="I144" s="90">
        <v>28.9</v>
      </c>
      <c r="J144" s="90">
        <v>47.68</v>
      </c>
      <c r="K144" s="90">
        <v>7.69</v>
      </c>
      <c r="L144" s="4" t="s">
        <v>197</v>
      </c>
      <c r="M144" s="90">
        <v>175.87</v>
      </c>
      <c r="N144" s="92">
        <v>46079.320398587966</v>
      </c>
      <c r="O144" s="4" t="b">
        <v>1</v>
      </c>
      <c r="P144" s="4" t="s">
        <v>1244</v>
      </c>
      <c r="Q144" s="4">
        <v>369.99</v>
      </c>
      <c r="R144" s="4">
        <v>355.03</v>
      </c>
      <c r="S144" s="4">
        <v>340.07</v>
      </c>
      <c r="T144" s="4">
        <v>377.47</v>
      </c>
      <c r="U144" s="4" t="s">
        <v>161</v>
      </c>
      <c r="V144" s="4" t="s">
        <v>1245</v>
      </c>
      <c r="W144" s="90"/>
      <c r="X144" s="81"/>
      <c r="Y144" s="81"/>
      <c r="Z144" s="81"/>
      <c r="AA144" s="81"/>
      <c r="AB144" s="7" t="str">
        <f t="shared" si="2"/>
        <v/>
      </c>
      <c r="AC144" s="81">
        <f t="shared" si="1"/>
        <v>0</v>
      </c>
    </row>
    <row r="145">
      <c r="A145" s="88" t="s">
        <v>1247</v>
      </c>
      <c r="B145" s="4" t="s">
        <v>1249</v>
      </c>
      <c r="C145" s="4" t="s">
        <v>1250</v>
      </c>
      <c r="D145" s="90">
        <v>412.75</v>
      </c>
      <c r="E145" s="90">
        <v>397.8</v>
      </c>
      <c r="F145" s="90">
        <v>416.36</v>
      </c>
      <c r="M145" s="90">
        <v>282.77</v>
      </c>
      <c r="N145" s="92">
        <v>45793.54257520833</v>
      </c>
      <c r="O145" s="4" t="b">
        <v>1</v>
      </c>
      <c r="P145" s="4" t="s">
        <v>1251</v>
      </c>
      <c r="Q145" s="4">
        <v>416.97</v>
      </c>
      <c r="R145" s="4">
        <v>405.18</v>
      </c>
      <c r="S145" s="4">
        <v>393.39</v>
      </c>
      <c r="T145" s="4">
        <v>422.87</v>
      </c>
      <c r="U145" s="4" t="s">
        <v>161</v>
      </c>
      <c r="V145" s="4" t="s">
        <v>1253</v>
      </c>
      <c r="W145" s="90"/>
      <c r="X145" s="81"/>
      <c r="Y145" s="81"/>
      <c r="Z145" s="81"/>
      <c r="AA145" s="81"/>
      <c r="AB145" s="7" t="str">
        <f t="shared" si="2"/>
        <v/>
      </c>
      <c r="AC145" s="81">
        <f t="shared" si="1"/>
        <v>0</v>
      </c>
    </row>
    <row r="146">
      <c r="A146" s="88" t="s">
        <v>1255</v>
      </c>
      <c r="B146" s="4" t="s">
        <v>995</v>
      </c>
      <c r="C146" s="4" t="s">
        <v>996</v>
      </c>
      <c r="D146" s="90">
        <v>5.22</v>
      </c>
      <c r="E146" s="90">
        <v>5.18</v>
      </c>
      <c r="F146" s="90">
        <v>5.22</v>
      </c>
      <c r="G146" s="4" t="s">
        <v>673</v>
      </c>
      <c r="H146" s="90">
        <v>0.43</v>
      </c>
      <c r="I146" s="90">
        <v>66.99</v>
      </c>
      <c r="J146" s="90">
        <v>19.96</v>
      </c>
      <c r="K146" s="90">
        <v>0.18</v>
      </c>
      <c r="L146" s="4" t="s">
        <v>998</v>
      </c>
      <c r="M146" s="90">
        <v>2.42</v>
      </c>
      <c r="N146" s="92">
        <v>45856.303116469906</v>
      </c>
      <c r="O146" s="4" t="b">
        <v>1</v>
      </c>
      <c r="P146" s="4" t="s">
        <v>1258</v>
      </c>
      <c r="Q146" s="4">
        <v>5.23</v>
      </c>
      <c r="R146" s="4">
        <v>5.21</v>
      </c>
      <c r="S146" s="4">
        <v>5.19</v>
      </c>
      <c r="T146" s="4">
        <v>5.24</v>
      </c>
      <c r="U146" s="4" t="s">
        <v>161</v>
      </c>
      <c r="V146" s="4" t="s">
        <v>1259</v>
      </c>
      <c r="W146" s="90"/>
      <c r="X146" s="81"/>
      <c r="Y146" s="81"/>
      <c r="Z146" s="81"/>
      <c r="AA146" s="81"/>
      <c r="AB146" s="7" t="str">
        <f t="shared" si="2"/>
        <v/>
      </c>
      <c r="AC146" s="81">
        <f t="shared" si="1"/>
        <v>0</v>
      </c>
    </row>
    <row r="147">
      <c r="A147" s="88" t="s">
        <v>1261</v>
      </c>
      <c r="B147" s="4" t="s">
        <v>1017</v>
      </c>
      <c r="C147" s="4" t="s">
        <v>1018</v>
      </c>
      <c r="D147" s="90">
        <v>74.82</v>
      </c>
      <c r="E147" s="90">
        <v>72.91</v>
      </c>
      <c r="F147" s="90">
        <v>77.3</v>
      </c>
      <c r="H147" s="90">
        <v>7.29</v>
      </c>
      <c r="I147" s="90">
        <v>72.27</v>
      </c>
      <c r="J147" s="90">
        <v>23.53</v>
      </c>
      <c r="K147" s="90">
        <v>1.75</v>
      </c>
      <c r="L147" s="4" t="s">
        <v>542</v>
      </c>
      <c r="M147" s="90">
        <v>47.03</v>
      </c>
      <c r="N147" s="92">
        <v>45895.30139100694</v>
      </c>
      <c r="O147" s="4" t="b">
        <v>1</v>
      </c>
      <c r="P147" s="4" t="s">
        <v>1262</v>
      </c>
      <c r="Q147" s="4">
        <v>80.02</v>
      </c>
      <c r="R147" s="4">
        <v>75.04</v>
      </c>
      <c r="S147" s="4">
        <v>70.06</v>
      </c>
      <c r="T147" s="4">
        <v>82.51</v>
      </c>
      <c r="U147" s="4" t="s">
        <v>161</v>
      </c>
      <c r="V147" s="4" t="s">
        <v>1263</v>
      </c>
      <c r="W147" s="90"/>
      <c r="X147" s="81"/>
      <c r="Y147" s="81"/>
      <c r="Z147" s="81"/>
      <c r="AA147" s="81"/>
      <c r="AB147" s="7" t="str">
        <f t="shared" si="2"/>
        <v/>
      </c>
      <c r="AC147" s="81">
        <f t="shared" si="1"/>
        <v>0</v>
      </c>
    </row>
    <row r="148">
      <c r="A148" s="88" t="s">
        <v>1264</v>
      </c>
      <c r="B148" s="4" t="s">
        <v>330</v>
      </c>
      <c r="C148" s="142" t="s">
        <v>532</v>
      </c>
      <c r="D148" s="90">
        <v>183.25</v>
      </c>
      <c r="E148" s="90">
        <v>181.09</v>
      </c>
      <c r="F148" s="90">
        <v>201.54</v>
      </c>
      <c r="M148" s="90">
        <v>146.06</v>
      </c>
      <c r="N148" s="92">
        <v>45706.703309131946</v>
      </c>
      <c r="O148" s="4" t="b">
        <v>1</v>
      </c>
      <c r="P148" s="4" t="s">
        <v>1266</v>
      </c>
      <c r="Q148" s="4">
        <v>183.39</v>
      </c>
      <c r="R148" s="4">
        <v>174.12</v>
      </c>
      <c r="S148" s="4">
        <v>164.85</v>
      </c>
      <c r="T148" s="4">
        <v>188.02</v>
      </c>
      <c r="U148" s="4" t="s">
        <v>161</v>
      </c>
      <c r="V148" s="4" t="s">
        <v>1268</v>
      </c>
      <c r="W148" s="4" t="s">
        <v>107</v>
      </c>
      <c r="X148" s="70">
        <v>177.6</v>
      </c>
      <c r="Y148" s="70">
        <v>170.28</v>
      </c>
      <c r="Z148" s="70">
        <v>189.83</v>
      </c>
      <c r="AA148" s="70">
        <v>4.49</v>
      </c>
      <c r="AB148" s="7">
        <f t="shared" si="2"/>
        <v>1.670765027</v>
      </c>
      <c r="AC148" s="81">
        <f t="shared" si="1"/>
        <v>54.9127</v>
      </c>
    </row>
    <row r="149">
      <c r="A149" s="88" t="s">
        <v>1271</v>
      </c>
      <c r="B149" s="4" t="s">
        <v>1046</v>
      </c>
      <c r="C149" s="4" t="s">
        <v>1047</v>
      </c>
      <c r="D149" s="90">
        <v>6.42</v>
      </c>
      <c r="E149" s="90">
        <v>6.31</v>
      </c>
      <c r="F149" s="90">
        <v>6.47</v>
      </c>
      <c r="M149" s="90">
        <v>173.12</v>
      </c>
      <c r="N149" s="92">
        <v>45708.41577071759</v>
      </c>
      <c r="O149" s="4" t="b">
        <v>1</v>
      </c>
      <c r="P149" s="4" t="s">
        <v>1272</v>
      </c>
      <c r="Q149" s="4">
        <v>6.48</v>
      </c>
      <c r="R149" s="4">
        <v>6.34</v>
      </c>
      <c r="S149" s="4">
        <v>6.2</v>
      </c>
      <c r="T149" s="4">
        <v>6.55</v>
      </c>
      <c r="U149" s="4" t="s">
        <v>161</v>
      </c>
      <c r="V149" s="4" t="s">
        <v>1274</v>
      </c>
      <c r="W149" s="90"/>
      <c r="X149" s="81"/>
      <c r="Y149" s="81"/>
      <c r="Z149" s="81"/>
      <c r="AA149" s="81"/>
      <c r="AB149" s="7" t="str">
        <f t="shared" si="2"/>
        <v/>
      </c>
      <c r="AC149" s="81">
        <f t="shared" si="1"/>
        <v>0</v>
      </c>
    </row>
    <row r="150">
      <c r="A150" s="88" t="s">
        <v>1276</v>
      </c>
      <c r="B150" s="4" t="s">
        <v>193</v>
      </c>
      <c r="C150" s="4" t="s">
        <v>199</v>
      </c>
      <c r="D150" s="90">
        <v>311.0</v>
      </c>
      <c r="E150" s="90">
        <v>305.67</v>
      </c>
      <c r="F150" s="90">
        <v>311.71</v>
      </c>
      <c r="G150" s="4" t="s">
        <v>615</v>
      </c>
      <c r="H150" s="90">
        <v>11.27</v>
      </c>
      <c r="I150" s="90">
        <v>59.69</v>
      </c>
      <c r="J150" s="90">
        <v>19.99</v>
      </c>
      <c r="K150" s="90">
        <v>5.47</v>
      </c>
      <c r="L150" s="4" t="s">
        <v>245</v>
      </c>
      <c r="M150" s="90">
        <v>205.2</v>
      </c>
      <c r="N150" s="92">
        <v>45761.64357159722</v>
      </c>
      <c r="O150" s="4" t="b">
        <v>1</v>
      </c>
      <c r="P150" s="4" t="s">
        <v>1277</v>
      </c>
      <c r="Q150" s="4">
        <v>316.29</v>
      </c>
      <c r="R150" s="4">
        <v>308.72</v>
      </c>
      <c r="S150" s="4">
        <v>301.15</v>
      </c>
      <c r="T150" s="4">
        <v>320.07</v>
      </c>
      <c r="U150" s="4" t="s">
        <v>161</v>
      </c>
      <c r="V150" s="4" t="s">
        <v>1278</v>
      </c>
      <c r="W150" s="90"/>
      <c r="X150" s="81"/>
      <c r="Y150" s="81"/>
      <c r="Z150" s="81"/>
      <c r="AA150" s="81"/>
      <c r="AB150" s="7" t="str">
        <f t="shared" si="2"/>
        <v/>
      </c>
      <c r="AC150" s="81">
        <f t="shared" si="1"/>
        <v>0</v>
      </c>
    </row>
    <row r="151">
      <c r="A151" s="88" t="s">
        <v>1280</v>
      </c>
      <c r="B151" s="4" t="s">
        <v>1201</v>
      </c>
      <c r="C151" s="4" t="s">
        <v>1202</v>
      </c>
      <c r="D151" s="90">
        <v>163.0</v>
      </c>
      <c r="E151" s="90">
        <v>160.2</v>
      </c>
      <c r="F151" s="90">
        <v>164.65</v>
      </c>
      <c r="H151" s="90">
        <v>-17.08</v>
      </c>
      <c r="I151" s="90">
        <v>27.68</v>
      </c>
      <c r="J151" s="90">
        <v>16.91</v>
      </c>
      <c r="K151" s="90">
        <v>4.95</v>
      </c>
      <c r="L151" s="4" t="s">
        <v>1204</v>
      </c>
      <c r="M151" s="90">
        <v>194.44</v>
      </c>
      <c r="N151" s="92">
        <v>45827.34319833333</v>
      </c>
      <c r="O151" s="4" t="b">
        <v>1</v>
      </c>
      <c r="P151" s="4" t="s">
        <v>1281</v>
      </c>
      <c r="Q151" s="4" t="s">
        <v>886</v>
      </c>
      <c r="R151" s="4" t="s">
        <v>18</v>
      </c>
      <c r="S151" s="4" t="s">
        <v>18</v>
      </c>
      <c r="T151" s="4" t="s">
        <v>18</v>
      </c>
      <c r="U151" s="4" t="s">
        <v>887</v>
      </c>
      <c r="V151" s="4" t="s">
        <v>1282</v>
      </c>
      <c r="W151" s="90"/>
      <c r="X151" s="81"/>
      <c r="Y151" s="81"/>
      <c r="Z151" s="81"/>
      <c r="AA151" s="81"/>
      <c r="AB151" s="7" t="str">
        <f t="shared" si="2"/>
        <v/>
      </c>
      <c r="AC151" s="81">
        <f t="shared" si="1"/>
        <v>0</v>
      </c>
    </row>
    <row r="152">
      <c r="A152" s="138" t="s">
        <v>1283</v>
      </c>
      <c r="B152" s="4" t="s">
        <v>324</v>
      </c>
      <c r="C152" s="4" t="s">
        <v>325</v>
      </c>
      <c r="O152" s="4" t="b">
        <v>1</v>
      </c>
      <c r="P152" s="4" t="s">
        <v>721</v>
      </c>
      <c r="Q152" s="4">
        <v>274.49</v>
      </c>
      <c r="R152" s="4">
        <v>266.22</v>
      </c>
      <c r="S152" s="4">
        <v>257.95</v>
      </c>
      <c r="T152" s="4">
        <v>278.63</v>
      </c>
      <c r="U152" s="4" t="s">
        <v>161</v>
      </c>
      <c r="V152" s="4" t="s">
        <v>1284</v>
      </c>
      <c r="W152" s="4" t="s">
        <v>107</v>
      </c>
      <c r="X152" s="70">
        <v>268.74</v>
      </c>
      <c r="Y152" s="70">
        <v>259.05</v>
      </c>
      <c r="Z152" s="4">
        <v>278.7</v>
      </c>
      <c r="AA152" s="4">
        <v>2.5</v>
      </c>
      <c r="AB152" s="7">
        <f t="shared" si="2"/>
        <v>1.027863777</v>
      </c>
      <c r="AC152" s="81">
        <f t="shared" si="1"/>
        <v>24.9</v>
      </c>
    </row>
    <row r="153">
      <c r="A153" s="90" t="s">
        <v>1288</v>
      </c>
      <c r="B153" s="90" t="s">
        <v>1289</v>
      </c>
      <c r="C153" s="90" t="s">
        <v>1290</v>
      </c>
      <c r="D153" s="90">
        <v>367.63</v>
      </c>
      <c r="E153" s="90"/>
      <c r="F153" s="90"/>
      <c r="G153" s="90"/>
      <c r="H153" s="90"/>
      <c r="I153" s="90"/>
      <c r="J153" s="90"/>
      <c r="K153" s="90"/>
      <c r="L153" s="90"/>
      <c r="M153" s="90"/>
      <c r="N153" s="90"/>
      <c r="O153" s="90" t="b">
        <v>1</v>
      </c>
      <c r="P153" s="90" t="s">
        <v>1292</v>
      </c>
      <c r="Q153" s="90">
        <v>369.51</v>
      </c>
      <c r="R153" s="90">
        <v>354.9</v>
      </c>
      <c r="S153" s="90">
        <v>340.29</v>
      </c>
      <c r="T153" s="90">
        <v>376.81</v>
      </c>
      <c r="U153" s="90" t="s">
        <v>161</v>
      </c>
      <c r="V153" s="90" t="s">
        <v>1293</v>
      </c>
      <c r="W153" s="90"/>
      <c r="X153" s="90"/>
      <c r="Y153" s="90"/>
      <c r="Z153" s="90"/>
      <c r="AA153" s="90">
        <f t="shared" ref="AA153:AA163" si="3">VALUE(MID(P153, SEARCH("Qtd:", P153) + 4, SEARCH(",", P153 &amp; ",", SEARCH("Qtd:", P153)) - (SEARCH("Qtd:", P153) + 4)))</f>
        <v>2.85</v>
      </c>
      <c r="AB153" s="7" t="str">
        <f t="shared" si="2"/>
        <v/>
      </c>
      <c r="AC153" s="81">
        <f t="shared" si="1"/>
        <v>0</v>
      </c>
      <c r="AD153" s="90"/>
      <c r="AE153" s="90"/>
      <c r="AF153" s="90"/>
      <c r="AG153" s="90"/>
      <c r="AH153" s="90"/>
      <c r="AI153" s="90"/>
      <c r="AJ153" s="90"/>
      <c r="AK153" s="90"/>
      <c r="AL153" s="90"/>
      <c r="AM153" s="90"/>
      <c r="AN153" s="90"/>
      <c r="AO153" s="90"/>
      <c r="AP153" s="90"/>
      <c r="AQ153" s="90"/>
      <c r="AR153" s="90"/>
      <c r="AS153" s="90"/>
      <c r="AT153" s="90"/>
      <c r="AU153" s="90"/>
      <c r="AV153" s="90"/>
      <c r="AW153" s="90"/>
      <c r="AX153" s="90"/>
      <c r="AY153" s="90"/>
      <c r="AZ153" s="90"/>
      <c r="BA153" s="90"/>
      <c r="BB153" s="90"/>
      <c r="BC153" s="90"/>
      <c r="BD153" s="90"/>
      <c r="BE153" s="90"/>
      <c r="BF153" s="90"/>
      <c r="BG153" s="90"/>
    </row>
    <row r="154">
      <c r="A154" s="146" t="s">
        <v>1308</v>
      </c>
      <c r="B154" s="146" t="s">
        <v>157</v>
      </c>
      <c r="C154" s="146" t="s">
        <v>158</v>
      </c>
      <c r="D154" s="146">
        <v>13.08</v>
      </c>
      <c r="E154" s="146"/>
      <c r="F154" s="146"/>
      <c r="G154" s="146"/>
      <c r="H154" s="146"/>
      <c r="I154" s="146"/>
      <c r="J154" s="146"/>
      <c r="K154" s="146"/>
      <c r="L154" s="146"/>
      <c r="M154" s="146"/>
      <c r="N154" s="146"/>
      <c r="O154" s="146" t="b">
        <v>1</v>
      </c>
      <c r="P154" s="146" t="s">
        <v>1313</v>
      </c>
      <c r="Q154" s="146">
        <v>13.32</v>
      </c>
      <c r="R154" s="146">
        <v>12.84</v>
      </c>
      <c r="S154" s="146">
        <v>12.36</v>
      </c>
      <c r="T154" s="146">
        <v>13.56</v>
      </c>
      <c r="U154" s="146" t="s">
        <v>161</v>
      </c>
      <c r="V154" s="146" t="s">
        <v>1315</v>
      </c>
      <c r="W154" s="146" t="s">
        <v>109</v>
      </c>
      <c r="X154" s="146">
        <v>12.96</v>
      </c>
      <c r="Y154" s="146">
        <v>12.4</v>
      </c>
      <c r="Z154" s="146">
        <v>12.55</v>
      </c>
      <c r="AA154" s="146">
        <f t="shared" si="3"/>
        <v>86.81</v>
      </c>
      <c r="AB154" s="7">
        <f t="shared" si="2"/>
        <v>-0.7321428571</v>
      </c>
      <c r="AC154" s="81">
        <f t="shared" si="1"/>
        <v>-35.5921</v>
      </c>
      <c r="AD154" s="146"/>
      <c r="AE154" s="146"/>
      <c r="AF154" s="146"/>
      <c r="AG154" s="146"/>
      <c r="AH154" s="146"/>
      <c r="AI154" s="146"/>
      <c r="AJ154" s="146"/>
      <c r="AK154" s="146"/>
      <c r="AL154" s="146"/>
      <c r="AM154" s="146"/>
      <c r="AN154" s="146"/>
      <c r="AO154" s="146"/>
      <c r="AP154" s="146"/>
      <c r="AQ154" s="146"/>
      <c r="AR154" s="146"/>
      <c r="AS154" s="146"/>
      <c r="AT154" s="146"/>
      <c r="AU154" s="146"/>
      <c r="AV154" s="146"/>
      <c r="AW154" s="146"/>
      <c r="AX154" s="146"/>
      <c r="AY154" s="146"/>
      <c r="AZ154" s="146"/>
      <c r="BA154" s="146"/>
      <c r="BB154" s="146"/>
      <c r="BC154" s="146"/>
      <c r="BD154" s="146"/>
      <c r="BE154" s="146"/>
      <c r="BF154" s="146"/>
      <c r="BG154" s="146"/>
    </row>
    <row r="155">
      <c r="A155" s="88" t="s">
        <v>1322</v>
      </c>
      <c r="B155" s="4" t="s">
        <v>1230</v>
      </c>
      <c r="C155" s="4" t="s">
        <v>1230</v>
      </c>
      <c r="D155" s="90">
        <v>235.15</v>
      </c>
      <c r="E155" s="90">
        <v>223.3</v>
      </c>
      <c r="F155" s="90">
        <v>235.31</v>
      </c>
      <c r="O155" s="4" t="b">
        <v>1</v>
      </c>
      <c r="P155" s="4" t="s">
        <v>1324</v>
      </c>
      <c r="Q155" s="4">
        <v>236.7</v>
      </c>
      <c r="R155" s="4">
        <v>228.51</v>
      </c>
      <c r="S155" s="4">
        <v>220.32</v>
      </c>
      <c r="T155" s="4">
        <v>240.79</v>
      </c>
      <c r="U155" s="4" t="s">
        <v>161</v>
      </c>
      <c r="V155" s="4" t="s">
        <v>1325</v>
      </c>
      <c r="W155" s="7"/>
      <c r="X155" s="81"/>
      <c r="Y155" s="81"/>
      <c r="Z155" s="81"/>
      <c r="AA155" s="7">
        <f t="shared" si="3"/>
        <v>5.09</v>
      </c>
      <c r="AB155" s="7" t="str">
        <f t="shared" si="2"/>
        <v/>
      </c>
      <c r="AC155" s="7">
        <f t="shared" si="1"/>
        <v>0</v>
      </c>
    </row>
    <row r="156">
      <c r="A156" s="88" t="s">
        <v>1329</v>
      </c>
      <c r="B156" s="4" t="s">
        <v>954</v>
      </c>
      <c r="C156" s="4" t="s">
        <v>955</v>
      </c>
      <c r="D156" s="90">
        <v>7.5</v>
      </c>
      <c r="E156" s="90">
        <v>7.33</v>
      </c>
      <c r="F156" s="90">
        <v>7.67</v>
      </c>
      <c r="G156" s="4" t="s">
        <v>957</v>
      </c>
      <c r="H156" s="90">
        <v>0.71</v>
      </c>
      <c r="I156" s="90">
        <v>56.25</v>
      </c>
      <c r="J156" s="90">
        <v>35.21</v>
      </c>
      <c r="K156" s="90">
        <v>0.37</v>
      </c>
      <c r="L156" s="4" t="s">
        <v>197</v>
      </c>
      <c r="M156" s="90">
        <v>6.17</v>
      </c>
      <c r="N156" s="92">
        <v>46079.41762620371</v>
      </c>
      <c r="O156" s="4" t="b">
        <v>1</v>
      </c>
      <c r="P156" s="4" t="s">
        <v>1332</v>
      </c>
      <c r="Q156" s="4">
        <v>7.5</v>
      </c>
      <c r="R156" s="4" t="s">
        <v>18</v>
      </c>
      <c r="S156" s="4" t="s">
        <v>18</v>
      </c>
      <c r="T156" s="4" t="s">
        <v>18</v>
      </c>
      <c r="U156" s="4" t="s">
        <v>179</v>
      </c>
      <c r="V156" s="4" t="s">
        <v>1334</v>
      </c>
      <c r="W156" s="7"/>
      <c r="X156" s="81"/>
      <c r="Y156" s="81"/>
      <c r="Z156" s="81"/>
      <c r="AA156" s="7">
        <f t="shared" si="3"/>
        <v>86.81</v>
      </c>
      <c r="AB156" s="7" t="str">
        <f t="shared" si="2"/>
        <v/>
      </c>
      <c r="AC156" s="7">
        <f t="shared" si="1"/>
        <v>0</v>
      </c>
    </row>
    <row r="157">
      <c r="A157" s="88" t="s">
        <v>1335</v>
      </c>
      <c r="B157" s="4" t="s">
        <v>1336</v>
      </c>
      <c r="C157" s="4" t="s">
        <v>1338</v>
      </c>
      <c r="D157" s="90">
        <v>80.67</v>
      </c>
      <c r="E157" s="90">
        <v>77.5</v>
      </c>
      <c r="F157" s="90">
        <v>80.98</v>
      </c>
      <c r="H157" s="90">
        <v>12.7</v>
      </c>
      <c r="I157" s="90">
        <v>66.73</v>
      </c>
      <c r="L157" s="4" t="s">
        <v>1339</v>
      </c>
      <c r="M157" s="90">
        <v>63.5</v>
      </c>
      <c r="N157" s="92">
        <v>45995.48168557871</v>
      </c>
      <c r="O157" s="4" t="b">
        <v>1</v>
      </c>
      <c r="P157" s="4" t="s">
        <v>1341</v>
      </c>
      <c r="Q157" s="4">
        <v>80.39</v>
      </c>
      <c r="R157" s="4" t="s">
        <v>18</v>
      </c>
      <c r="S157" s="4" t="s">
        <v>18</v>
      </c>
      <c r="T157" s="4" t="s">
        <v>18</v>
      </c>
      <c r="U157" s="4" t="s">
        <v>179</v>
      </c>
      <c r="V157" s="4" t="s">
        <v>1342</v>
      </c>
      <c r="W157" s="7"/>
      <c r="X157" s="81"/>
      <c r="Y157" s="81"/>
      <c r="Z157" s="81"/>
      <c r="AA157" s="7">
        <f t="shared" si="3"/>
        <v>12.04</v>
      </c>
      <c r="AB157" s="7" t="str">
        <f t="shared" si="2"/>
        <v/>
      </c>
      <c r="AC157" s="7">
        <f t="shared" si="1"/>
        <v>0</v>
      </c>
    </row>
    <row r="158">
      <c r="A158" s="88" t="s">
        <v>1348</v>
      </c>
      <c r="B158" s="4" t="s">
        <v>270</v>
      </c>
      <c r="C158" s="4" t="s">
        <v>271</v>
      </c>
      <c r="D158" s="90">
        <v>327.35</v>
      </c>
      <c r="E158" s="90">
        <v>320.79</v>
      </c>
      <c r="F158" s="90">
        <v>329.57</v>
      </c>
      <c r="M158" s="90">
        <v>318.38</v>
      </c>
      <c r="N158" s="92">
        <v>45826.37594136574</v>
      </c>
      <c r="O158" s="4" t="b">
        <v>1</v>
      </c>
      <c r="P158" s="4" t="s">
        <v>1350</v>
      </c>
      <c r="Q158" s="4">
        <v>327.14</v>
      </c>
      <c r="R158" s="4" t="s">
        <v>18</v>
      </c>
      <c r="S158" s="4" t="s">
        <v>18</v>
      </c>
      <c r="T158" s="4" t="s">
        <v>18</v>
      </c>
      <c r="U158" s="4" t="s">
        <v>179</v>
      </c>
      <c r="V158" s="4" t="s">
        <v>1351</v>
      </c>
      <c r="W158" s="7"/>
      <c r="X158" s="81"/>
      <c r="Y158" s="81"/>
      <c r="Z158" s="81"/>
      <c r="AA158" s="7">
        <f t="shared" si="3"/>
        <v>3.23</v>
      </c>
      <c r="AB158" s="7" t="str">
        <f t="shared" si="2"/>
        <v/>
      </c>
      <c r="AC158" s="7">
        <f t="shared" si="1"/>
        <v>0</v>
      </c>
    </row>
    <row r="159">
      <c r="A159" s="88" t="s">
        <v>1353</v>
      </c>
      <c r="B159" s="4" t="s">
        <v>1017</v>
      </c>
      <c r="C159" s="4" t="s">
        <v>1018</v>
      </c>
      <c r="D159" s="90">
        <v>74.48</v>
      </c>
      <c r="E159" s="90">
        <v>72.36</v>
      </c>
      <c r="F159" s="90">
        <v>75.59</v>
      </c>
      <c r="H159" s="90">
        <v>7.29</v>
      </c>
      <c r="I159" s="90">
        <v>72.27</v>
      </c>
      <c r="J159" s="90">
        <v>23.53</v>
      </c>
      <c r="K159" s="90">
        <v>1.75</v>
      </c>
      <c r="L159" s="4" t="s">
        <v>542</v>
      </c>
      <c r="M159" s="90">
        <v>47.03</v>
      </c>
      <c r="N159" s="92">
        <v>45895.30139100694</v>
      </c>
      <c r="O159" s="4" t="b">
        <v>1</v>
      </c>
      <c r="P159" s="4" t="s">
        <v>1357</v>
      </c>
      <c r="Q159" s="4">
        <v>77.3</v>
      </c>
      <c r="R159" s="4">
        <v>72.06</v>
      </c>
      <c r="S159" s="4">
        <v>66.82</v>
      </c>
      <c r="T159" s="4">
        <v>79.92</v>
      </c>
      <c r="U159" s="4" t="s">
        <v>161</v>
      </c>
      <c r="V159" s="4" t="s">
        <v>1358</v>
      </c>
      <c r="W159" s="7"/>
      <c r="X159" s="81"/>
      <c r="Y159" s="81"/>
      <c r="Z159" s="81"/>
      <c r="AA159" s="7">
        <f t="shared" si="3"/>
        <v>7.95</v>
      </c>
      <c r="AB159" s="7" t="str">
        <f t="shared" si="2"/>
        <v/>
      </c>
      <c r="AC159" s="7">
        <f t="shared" si="1"/>
        <v>0</v>
      </c>
    </row>
    <row r="160">
      <c r="A160" s="88" t="s">
        <v>1361</v>
      </c>
      <c r="B160" s="4" t="s">
        <v>1362</v>
      </c>
      <c r="C160" s="4" t="s">
        <v>1364</v>
      </c>
      <c r="D160" s="90">
        <v>17.45</v>
      </c>
      <c r="E160" s="90">
        <v>16.48</v>
      </c>
      <c r="F160" s="90">
        <v>17.72</v>
      </c>
      <c r="M160" s="90">
        <v>10.48</v>
      </c>
      <c r="N160" s="92">
        <v>45707.2402543287</v>
      </c>
      <c r="O160" s="4" t="b">
        <v>1</v>
      </c>
      <c r="P160" s="4" t="s">
        <v>1365</v>
      </c>
      <c r="Q160" s="4">
        <v>17.46</v>
      </c>
      <c r="R160" s="4">
        <v>16.42</v>
      </c>
      <c r="S160" s="4">
        <v>15.38</v>
      </c>
      <c r="T160" s="4">
        <v>17.98</v>
      </c>
      <c r="U160" s="4" t="s">
        <v>161</v>
      </c>
      <c r="V160" s="4" t="s">
        <v>1366</v>
      </c>
      <c r="W160" s="7"/>
      <c r="X160" s="81"/>
      <c r="Y160" s="81"/>
      <c r="Z160" s="81"/>
      <c r="AA160" s="7">
        <f t="shared" si="3"/>
        <v>40.06</v>
      </c>
      <c r="AB160" s="7" t="str">
        <f t="shared" si="2"/>
        <v/>
      </c>
      <c r="AC160" s="7">
        <f t="shared" si="1"/>
        <v>0</v>
      </c>
    </row>
    <row r="161">
      <c r="A161" s="88" t="s">
        <v>1369</v>
      </c>
      <c r="B161" s="4" t="s">
        <v>1065</v>
      </c>
      <c r="C161" s="4" t="s">
        <v>1066</v>
      </c>
      <c r="D161" s="90">
        <v>307.36</v>
      </c>
      <c r="E161" s="90">
        <v>296.5</v>
      </c>
      <c r="F161" s="90">
        <v>309.92</v>
      </c>
      <c r="G161" s="4" t="s">
        <v>615</v>
      </c>
      <c r="H161" s="90">
        <v>18.32</v>
      </c>
      <c r="I161" s="90">
        <v>70.4</v>
      </c>
      <c r="J161" s="90">
        <v>21.06</v>
      </c>
      <c r="K161" s="90">
        <v>6.57</v>
      </c>
      <c r="L161" s="4" t="s">
        <v>542</v>
      </c>
      <c r="M161" s="90">
        <v>238.54</v>
      </c>
      <c r="N161" s="92">
        <v>45708.6095084375</v>
      </c>
      <c r="O161" s="4" t="b">
        <v>1</v>
      </c>
      <c r="P161" s="4" t="s">
        <v>1373</v>
      </c>
      <c r="Q161" s="4">
        <v>309.21</v>
      </c>
      <c r="R161" s="4">
        <v>298.7</v>
      </c>
      <c r="S161" s="4">
        <v>288.19</v>
      </c>
      <c r="T161" s="4">
        <v>314.46</v>
      </c>
      <c r="U161" s="4" t="s">
        <v>161</v>
      </c>
      <c r="V161" s="4" t="s">
        <v>1375</v>
      </c>
      <c r="W161" s="7"/>
      <c r="X161" s="81"/>
      <c r="Y161" s="81"/>
      <c r="Z161" s="81"/>
      <c r="AA161" s="7">
        <f t="shared" si="3"/>
        <v>3.96</v>
      </c>
      <c r="AB161" s="7" t="str">
        <f t="shared" si="2"/>
        <v/>
      </c>
      <c r="AC161" s="7">
        <f t="shared" si="1"/>
        <v>0</v>
      </c>
    </row>
    <row r="162">
      <c r="A162" s="88" t="s">
        <v>1377</v>
      </c>
      <c r="B162" s="4" t="s">
        <v>330</v>
      </c>
      <c r="C162" s="4" t="s">
        <v>532</v>
      </c>
      <c r="D162" s="90">
        <v>161.06</v>
      </c>
      <c r="E162" s="90">
        <v>150.62</v>
      </c>
      <c r="F162" s="90">
        <v>162.74</v>
      </c>
      <c r="M162" s="90">
        <v>146.06</v>
      </c>
      <c r="N162" s="92">
        <v>45706.703309131946</v>
      </c>
      <c r="O162" s="4" t="b">
        <v>1</v>
      </c>
      <c r="P162" s="4" t="s">
        <v>1380</v>
      </c>
      <c r="Q162" s="4">
        <v>201.54</v>
      </c>
      <c r="R162" s="4">
        <v>193.38</v>
      </c>
      <c r="S162" s="4">
        <v>185.22</v>
      </c>
      <c r="T162" s="4">
        <v>205.62</v>
      </c>
      <c r="U162" s="4" t="s">
        <v>161</v>
      </c>
      <c r="V162" s="4" t="s">
        <v>1381</v>
      </c>
      <c r="W162" s="7"/>
      <c r="X162" s="81"/>
      <c r="Y162" s="81"/>
      <c r="Z162" s="81"/>
      <c r="AA162" s="7">
        <f t="shared" si="3"/>
        <v>5.11</v>
      </c>
      <c r="AB162" s="7" t="str">
        <f t="shared" si="2"/>
        <v/>
      </c>
      <c r="AC162" s="7">
        <f t="shared" si="1"/>
        <v>0</v>
      </c>
    </row>
    <row r="163">
      <c r="A163" s="88" t="s">
        <v>1384</v>
      </c>
      <c r="B163" s="4" t="s">
        <v>1031</v>
      </c>
      <c r="C163" s="4" t="s">
        <v>1033</v>
      </c>
      <c r="D163" s="90">
        <v>366.34</v>
      </c>
      <c r="M163" s="90">
        <v>184.45</v>
      </c>
      <c r="N163" s="92">
        <v>45888.649150196754</v>
      </c>
      <c r="O163" s="4" t="b">
        <v>1</v>
      </c>
      <c r="P163" s="4" t="s">
        <v>1385</v>
      </c>
      <c r="Q163" s="4">
        <v>376.98</v>
      </c>
      <c r="R163" s="4">
        <v>361.47</v>
      </c>
      <c r="S163" s="4">
        <v>345.96</v>
      </c>
      <c r="T163" s="4">
        <v>384.74</v>
      </c>
      <c r="U163" s="4" t="s">
        <v>161</v>
      </c>
      <c r="V163" s="4" t="s">
        <v>1388</v>
      </c>
      <c r="W163" s="7"/>
      <c r="X163" s="81"/>
      <c r="Y163" s="81"/>
      <c r="Z163" s="81"/>
      <c r="AA163" s="7">
        <f t="shared" si="3"/>
        <v>2.69</v>
      </c>
      <c r="AB163" s="7" t="str">
        <f t="shared" si="2"/>
        <v/>
      </c>
      <c r="AC163" s="7">
        <f t="shared" si="1"/>
        <v>0</v>
      </c>
    </row>
    <row r="164">
      <c r="A164" s="88" t="s">
        <v>1396</v>
      </c>
      <c r="B164" s="4" t="s">
        <v>1397</v>
      </c>
      <c r="C164" s="4" t="s">
        <v>1398</v>
      </c>
      <c r="D164" s="90">
        <v>73.57</v>
      </c>
      <c r="E164" s="90">
        <v>72.3</v>
      </c>
      <c r="F164" s="90">
        <v>73.75</v>
      </c>
      <c r="H164" s="90">
        <v>26.83</v>
      </c>
      <c r="I164" s="90">
        <v>68.29</v>
      </c>
      <c r="J164" s="90">
        <v>30.74</v>
      </c>
      <c r="K164" s="90">
        <v>24.79</v>
      </c>
      <c r="L164" s="4" t="s">
        <v>170</v>
      </c>
      <c r="M164" s="90">
        <v>1218.85</v>
      </c>
      <c r="N164" s="92">
        <v>45812.24753260417</v>
      </c>
      <c r="O164" s="4" t="b">
        <v>1</v>
      </c>
      <c r="P164" s="4" t="s">
        <v>1401</v>
      </c>
      <c r="Q164" s="4">
        <v>75.3</v>
      </c>
      <c r="R164" s="4">
        <v>73.13</v>
      </c>
      <c r="S164" s="4">
        <v>70.96</v>
      </c>
      <c r="T164" s="4">
        <v>76.38</v>
      </c>
      <c r="U164" s="4" t="s">
        <v>161</v>
      </c>
      <c r="V164" s="4" t="s">
        <v>1403</v>
      </c>
      <c r="W164" s="4" t="s">
        <v>109</v>
      </c>
      <c r="X164" s="70">
        <v>88.89</v>
      </c>
      <c r="Y164" s="70">
        <v>77.93</v>
      </c>
      <c r="Z164" s="70">
        <v>78.56</v>
      </c>
      <c r="AA164" s="4">
        <v>9.1</v>
      </c>
      <c r="AB164" s="7">
        <f t="shared" si="2"/>
        <v>-0.9425182482</v>
      </c>
      <c r="AC164" s="7">
        <f t="shared" si="1"/>
        <v>-94.003</v>
      </c>
    </row>
    <row r="165">
      <c r="A165" s="88" t="s">
        <v>1407</v>
      </c>
      <c r="B165" s="4" t="s">
        <v>612</v>
      </c>
      <c r="C165" s="4" t="s">
        <v>613</v>
      </c>
      <c r="D165" s="90">
        <v>571.1</v>
      </c>
      <c r="E165" s="90">
        <v>564.0</v>
      </c>
      <c r="F165" s="90">
        <v>573.35</v>
      </c>
      <c r="G165" s="4" t="s">
        <v>615</v>
      </c>
      <c r="M165" s="90">
        <v>588.03</v>
      </c>
      <c r="N165" s="92">
        <v>45912.10145469908</v>
      </c>
      <c r="O165" s="4" t="b">
        <v>1</v>
      </c>
      <c r="P165" s="4" t="s">
        <v>1410</v>
      </c>
      <c r="Q165" s="4">
        <v>578.26</v>
      </c>
      <c r="R165" s="4">
        <v>567.47</v>
      </c>
      <c r="S165" s="4">
        <v>556.68</v>
      </c>
      <c r="T165" s="4">
        <v>583.66</v>
      </c>
      <c r="U165" s="4" t="s">
        <v>161</v>
      </c>
      <c r="V165" s="4" t="s">
        <v>1412</v>
      </c>
      <c r="W165" s="7"/>
      <c r="X165" s="81"/>
      <c r="Y165" s="81"/>
      <c r="Z165" s="81"/>
      <c r="AA165" s="7">
        <f t="shared" ref="AA165:AA200" si="4">VALUE(MID(P165, SEARCH("Qtd:", P165) + 4, SEARCH(",", P165 &amp; ",", SEARCH("Qtd:", P165)) - (SEARCH("Qtd:", P165) + 4)))</f>
        <v>3.86</v>
      </c>
      <c r="AB165" s="7" t="str">
        <f t="shared" si="2"/>
        <v/>
      </c>
      <c r="AC165" s="7">
        <f t="shared" si="1"/>
        <v>0</v>
      </c>
    </row>
    <row r="166">
      <c r="A166" s="88" t="s">
        <v>1423</v>
      </c>
      <c r="B166" s="4" t="s">
        <v>1424</v>
      </c>
      <c r="C166" s="4" t="s">
        <v>1425</v>
      </c>
      <c r="D166" s="90">
        <v>218.59</v>
      </c>
      <c r="E166" s="90">
        <v>208.0</v>
      </c>
      <c r="F166" s="90">
        <v>222.67</v>
      </c>
      <c r="O166" s="4" t="b">
        <v>1</v>
      </c>
      <c r="P166" s="4" t="s">
        <v>1427</v>
      </c>
      <c r="Q166" s="4">
        <v>222.38</v>
      </c>
      <c r="R166" s="4">
        <v>208.78</v>
      </c>
      <c r="S166" s="4">
        <v>195.18</v>
      </c>
      <c r="T166" s="4">
        <v>229.18</v>
      </c>
      <c r="U166" s="4" t="s">
        <v>161</v>
      </c>
      <c r="V166" s="4" t="s">
        <v>1428</v>
      </c>
      <c r="W166" s="7"/>
      <c r="X166" s="81"/>
      <c r="Y166" s="81"/>
      <c r="Z166" s="81"/>
      <c r="AA166" s="7">
        <f t="shared" si="4"/>
        <v>3.06</v>
      </c>
      <c r="AB166" s="7" t="str">
        <f t="shared" si="2"/>
        <v/>
      </c>
      <c r="AC166" s="7">
        <f t="shared" si="1"/>
        <v>0</v>
      </c>
    </row>
    <row r="167">
      <c r="A167" s="88" t="s">
        <v>1431</v>
      </c>
      <c r="B167" s="4" t="s">
        <v>1057</v>
      </c>
      <c r="C167" s="4" t="s">
        <v>1058</v>
      </c>
      <c r="D167" s="90">
        <v>41.72</v>
      </c>
      <c r="E167" s="90">
        <v>39.58</v>
      </c>
      <c r="F167" s="90">
        <v>42.05</v>
      </c>
      <c r="H167" s="90">
        <v>-2.1</v>
      </c>
      <c r="I167" s="90">
        <v>50.61</v>
      </c>
      <c r="J167" s="90">
        <v>29.81</v>
      </c>
      <c r="K167" s="90">
        <v>3.37</v>
      </c>
      <c r="L167" s="4" t="s">
        <v>998</v>
      </c>
      <c r="M167" s="90">
        <v>41.06</v>
      </c>
      <c r="N167" s="92">
        <v>45868.35878219907</v>
      </c>
      <c r="O167" s="4" t="b">
        <v>1</v>
      </c>
      <c r="P167" s="4" t="s">
        <v>1435</v>
      </c>
      <c r="Q167" s="4">
        <v>41.9</v>
      </c>
      <c r="R167" s="4">
        <v>39.47</v>
      </c>
      <c r="S167" s="4">
        <v>37.04</v>
      </c>
      <c r="T167" s="4">
        <v>43.12</v>
      </c>
      <c r="U167" s="4" t="s">
        <v>161</v>
      </c>
      <c r="V167" s="4" t="s">
        <v>1437</v>
      </c>
      <c r="W167" s="7"/>
      <c r="X167" s="81"/>
      <c r="Y167" s="81"/>
      <c r="Z167" s="81"/>
      <c r="AA167" s="7">
        <f t="shared" si="4"/>
        <v>17.15</v>
      </c>
      <c r="AB167" s="7" t="str">
        <f t="shared" si="2"/>
        <v/>
      </c>
      <c r="AC167" s="7">
        <f t="shared" si="1"/>
        <v>0</v>
      </c>
    </row>
    <row r="168">
      <c r="A168" s="88" t="s">
        <v>1440</v>
      </c>
      <c r="B168" s="4" t="s">
        <v>1077</v>
      </c>
      <c r="C168" s="4" t="s">
        <v>1079</v>
      </c>
      <c r="D168" s="90">
        <v>4.4</v>
      </c>
      <c r="E168" s="90">
        <v>4.28</v>
      </c>
      <c r="F168" s="90">
        <v>4.45</v>
      </c>
      <c r="G168" s="4" t="s">
        <v>673</v>
      </c>
      <c r="L168" s="4" t="s">
        <v>588</v>
      </c>
      <c r="M168" s="90">
        <v>14.62</v>
      </c>
      <c r="N168" s="92">
        <v>45852.921677280094</v>
      </c>
      <c r="O168" s="4" t="b">
        <v>1</v>
      </c>
      <c r="P168" s="4" t="s">
        <v>1442</v>
      </c>
      <c r="Q168" s="4">
        <v>4.4</v>
      </c>
      <c r="R168" s="4" t="s">
        <v>18</v>
      </c>
      <c r="S168" s="4" t="s">
        <v>18</v>
      </c>
      <c r="T168" s="4" t="s">
        <v>18</v>
      </c>
      <c r="U168" s="4" t="s">
        <v>179</v>
      </c>
      <c r="V168" s="4" t="s">
        <v>1444</v>
      </c>
      <c r="W168" s="7"/>
      <c r="X168" s="81"/>
      <c r="Y168" s="81"/>
      <c r="Z168" s="81"/>
      <c r="AA168" s="7">
        <f t="shared" si="4"/>
        <v>130.21</v>
      </c>
      <c r="AB168" s="7" t="str">
        <f t="shared" si="2"/>
        <v/>
      </c>
      <c r="AC168" s="7">
        <f t="shared" si="1"/>
        <v>0</v>
      </c>
    </row>
    <row r="169">
      <c r="A169" s="88" t="s">
        <v>1449</v>
      </c>
      <c r="B169" s="4" t="s">
        <v>1450</v>
      </c>
      <c r="C169" s="4" t="s">
        <v>1451</v>
      </c>
      <c r="D169" s="90">
        <v>3.15</v>
      </c>
      <c r="E169" s="90">
        <v>2.9</v>
      </c>
      <c r="F169" s="90">
        <v>3.2</v>
      </c>
      <c r="G169" s="4" t="s">
        <v>615</v>
      </c>
      <c r="H169" s="90">
        <v>-0.46</v>
      </c>
      <c r="I169" s="90">
        <v>63.98</v>
      </c>
      <c r="J169" s="90">
        <v>47.18</v>
      </c>
      <c r="K169" s="90">
        <v>0.71</v>
      </c>
      <c r="L169" s="4" t="s">
        <v>998</v>
      </c>
      <c r="M169" s="90">
        <v>7.1</v>
      </c>
      <c r="N169" s="92">
        <v>45855.328992083334</v>
      </c>
      <c r="O169" s="4" t="b">
        <v>1</v>
      </c>
      <c r="P169" s="4" t="s">
        <v>1454</v>
      </c>
      <c r="Q169" s="4">
        <v>3.15</v>
      </c>
      <c r="R169" s="4" t="s">
        <v>18</v>
      </c>
      <c r="S169" s="4" t="s">
        <v>18</v>
      </c>
      <c r="T169" s="4" t="s">
        <v>18</v>
      </c>
      <c r="U169" s="4" t="s">
        <v>179</v>
      </c>
      <c r="V169" s="4" t="s">
        <v>1455</v>
      </c>
      <c r="W169" s="7"/>
      <c r="X169" s="81"/>
      <c r="Y169" s="81"/>
      <c r="Z169" s="81"/>
      <c r="AA169" s="7">
        <f t="shared" si="4"/>
        <v>219.3</v>
      </c>
      <c r="AB169" s="7" t="str">
        <f t="shared" si="2"/>
        <v/>
      </c>
      <c r="AC169" s="7">
        <f t="shared" si="1"/>
        <v>0</v>
      </c>
    </row>
    <row r="170">
      <c r="A170" s="88" t="s">
        <v>1460</v>
      </c>
      <c r="B170" s="4" t="s">
        <v>193</v>
      </c>
      <c r="C170" s="4" t="s">
        <v>199</v>
      </c>
      <c r="D170" s="90">
        <v>309.38</v>
      </c>
      <c r="E170" s="90">
        <v>301.32</v>
      </c>
      <c r="F170" s="90">
        <v>310.42</v>
      </c>
      <c r="G170" s="4" t="s">
        <v>615</v>
      </c>
      <c r="H170" s="90">
        <v>11.27</v>
      </c>
      <c r="I170" s="90">
        <v>59.69</v>
      </c>
      <c r="J170" s="90">
        <v>19.99</v>
      </c>
      <c r="K170" s="90">
        <v>5.47</v>
      </c>
      <c r="L170" s="4" t="s">
        <v>245</v>
      </c>
      <c r="M170" s="90">
        <v>205.2</v>
      </c>
      <c r="N170" s="92">
        <v>45761.64357159722</v>
      </c>
      <c r="O170" s="4" t="b">
        <v>1</v>
      </c>
      <c r="P170" s="4" t="s">
        <v>1464</v>
      </c>
      <c r="Q170" s="4">
        <v>309.38</v>
      </c>
      <c r="R170" s="4" t="s">
        <v>18</v>
      </c>
      <c r="S170" s="4" t="s">
        <v>18</v>
      </c>
      <c r="T170" s="4" t="s">
        <v>18</v>
      </c>
      <c r="U170" s="4" t="s">
        <v>179</v>
      </c>
      <c r="V170" s="4" t="s">
        <v>1466</v>
      </c>
      <c r="W170" s="7"/>
      <c r="X170" s="81"/>
      <c r="Y170" s="81"/>
      <c r="Z170" s="81"/>
      <c r="AA170" s="7">
        <f t="shared" si="4"/>
        <v>5.4</v>
      </c>
      <c r="AB170" s="7" t="str">
        <f t="shared" si="2"/>
        <v/>
      </c>
      <c r="AC170" s="7">
        <f t="shared" si="1"/>
        <v>0</v>
      </c>
    </row>
    <row r="171">
      <c r="A171" s="88" t="s">
        <v>1472</v>
      </c>
      <c r="B171" s="4" t="s">
        <v>457</v>
      </c>
      <c r="C171" s="4" t="s">
        <v>458</v>
      </c>
      <c r="D171" s="90">
        <v>110.2</v>
      </c>
      <c r="E171" s="90">
        <v>108.0</v>
      </c>
      <c r="F171" s="90">
        <v>111.97</v>
      </c>
      <c r="M171" s="90">
        <v>90.18</v>
      </c>
      <c r="N171" s="92">
        <v>45805.76461986111</v>
      </c>
      <c r="O171" s="4" t="b">
        <v>1</v>
      </c>
      <c r="P171" s="4" t="s">
        <v>1475</v>
      </c>
      <c r="Q171" s="4">
        <v>113.35</v>
      </c>
      <c r="R171" s="4">
        <v>109.17</v>
      </c>
      <c r="S171" s="4">
        <v>104.99</v>
      </c>
      <c r="T171" s="4">
        <v>115.44</v>
      </c>
      <c r="U171" s="4" t="s">
        <v>161</v>
      </c>
      <c r="V171" s="4" t="s">
        <v>1476</v>
      </c>
      <c r="W171" s="7"/>
      <c r="X171" s="81"/>
      <c r="Y171" s="81"/>
      <c r="Z171" s="81"/>
      <c r="AA171" s="7">
        <f t="shared" si="4"/>
        <v>9.97</v>
      </c>
      <c r="AB171" s="7" t="str">
        <f t="shared" si="2"/>
        <v/>
      </c>
      <c r="AC171" s="7">
        <f t="shared" si="1"/>
        <v>0</v>
      </c>
    </row>
    <row r="172">
      <c r="A172" s="138" t="s">
        <v>1481</v>
      </c>
      <c r="B172" s="4" t="s">
        <v>798</v>
      </c>
      <c r="C172" s="4" t="s">
        <v>799</v>
      </c>
      <c r="D172" s="90">
        <v>145.74</v>
      </c>
      <c r="E172" s="90">
        <v>141.01</v>
      </c>
      <c r="F172" s="90">
        <v>148.7</v>
      </c>
      <c r="H172" s="90">
        <v>-16.41</v>
      </c>
      <c r="I172" s="90">
        <v>27.65</v>
      </c>
      <c r="J172" s="90">
        <v>36.4</v>
      </c>
      <c r="K172" s="90">
        <v>8.44</v>
      </c>
      <c r="M172" s="90">
        <v>181.52</v>
      </c>
      <c r="N172" s="92">
        <v>46219.377022280096</v>
      </c>
      <c r="O172" s="4" t="b">
        <v>1</v>
      </c>
      <c r="P172" s="4" t="s">
        <v>1484</v>
      </c>
      <c r="Q172" s="4">
        <v>146.39</v>
      </c>
      <c r="R172" s="4">
        <v>139.52</v>
      </c>
      <c r="S172" s="4">
        <v>132.65</v>
      </c>
      <c r="T172" s="4">
        <v>149.82</v>
      </c>
      <c r="U172" s="4" t="s">
        <v>161</v>
      </c>
      <c r="V172" s="4" t="s">
        <v>1486</v>
      </c>
      <c r="W172" s="7"/>
      <c r="X172" s="81"/>
      <c r="Y172" s="81"/>
      <c r="Z172" s="81"/>
      <c r="AA172" s="7">
        <f t="shared" si="4"/>
        <v>6.07</v>
      </c>
      <c r="AB172" s="7" t="str">
        <f t="shared" si="2"/>
        <v/>
      </c>
      <c r="AC172" s="7">
        <f t="shared" si="1"/>
        <v>0</v>
      </c>
    </row>
    <row r="173">
      <c r="A173" s="138" t="s">
        <v>1488</v>
      </c>
      <c r="B173" s="4" t="s">
        <v>211</v>
      </c>
      <c r="C173" s="4" t="s">
        <v>212</v>
      </c>
      <c r="D173" s="90">
        <v>128.99</v>
      </c>
      <c r="E173" s="90">
        <v>125.79</v>
      </c>
      <c r="F173" s="90">
        <v>129.62</v>
      </c>
      <c r="G173" s="4" t="s">
        <v>615</v>
      </c>
      <c r="L173" s="4" t="s">
        <v>213</v>
      </c>
      <c r="M173" s="90">
        <v>117.11</v>
      </c>
      <c r="N173" s="92">
        <v>45856.30512809027</v>
      </c>
      <c r="O173" s="4" t="b">
        <v>1</v>
      </c>
      <c r="P173" s="4" t="s">
        <v>1490</v>
      </c>
      <c r="Q173" s="4">
        <v>130.99</v>
      </c>
      <c r="R173" s="4">
        <v>128.16</v>
      </c>
      <c r="S173" s="4">
        <v>125.33</v>
      </c>
      <c r="T173" s="4">
        <v>132.41</v>
      </c>
      <c r="U173" s="4" t="s">
        <v>161</v>
      </c>
      <c r="V173" s="4" t="s">
        <v>1493</v>
      </c>
      <c r="W173" s="7"/>
      <c r="X173" s="81"/>
      <c r="Y173" s="81"/>
      <c r="Z173" s="81"/>
      <c r="AA173" s="7">
        <f t="shared" si="4"/>
        <v>14.72</v>
      </c>
      <c r="AB173" s="7" t="str">
        <f t="shared" si="2"/>
        <v/>
      </c>
      <c r="AC173" s="7">
        <f t="shared" si="1"/>
        <v>0</v>
      </c>
    </row>
    <row r="174">
      <c r="A174" s="138" t="s">
        <v>1498</v>
      </c>
      <c r="B174" s="4" t="s">
        <v>1499</v>
      </c>
      <c r="C174" s="142" t="s">
        <v>1500</v>
      </c>
      <c r="D174" s="90">
        <v>45.86</v>
      </c>
      <c r="E174" s="90">
        <v>45.22</v>
      </c>
      <c r="F174" s="90">
        <v>46.46</v>
      </c>
      <c r="G174" s="4" t="s">
        <v>957</v>
      </c>
      <c r="O174" s="4" t="b">
        <v>1</v>
      </c>
      <c r="P174" s="4" t="s">
        <v>1501</v>
      </c>
      <c r="Q174" s="4">
        <v>46.5</v>
      </c>
      <c r="R174" s="4">
        <v>44.61</v>
      </c>
      <c r="S174" s="4">
        <v>42.72</v>
      </c>
      <c r="T174" s="4">
        <v>47.45</v>
      </c>
      <c r="U174" s="4" t="s">
        <v>161</v>
      </c>
      <c r="V174" s="4" t="s">
        <v>1502</v>
      </c>
      <c r="W174" s="7"/>
      <c r="X174" s="81"/>
      <c r="Y174" s="81"/>
      <c r="Z174" s="81"/>
      <c r="AA174" s="7">
        <f t="shared" si="4"/>
        <v>22.05</v>
      </c>
      <c r="AB174" s="7" t="str">
        <f t="shared" si="2"/>
        <v/>
      </c>
      <c r="AC174" s="7">
        <f t="shared" si="1"/>
        <v>0</v>
      </c>
    </row>
    <row r="175">
      <c r="A175" s="138" t="s">
        <v>1506</v>
      </c>
      <c r="B175" s="4" t="s">
        <v>1152</v>
      </c>
      <c r="C175" s="4" t="s">
        <v>1153</v>
      </c>
      <c r="D175" s="90">
        <v>369.59</v>
      </c>
      <c r="E175" s="90">
        <v>360.09</v>
      </c>
      <c r="F175" s="90">
        <v>371.11</v>
      </c>
      <c r="G175" s="4" t="s">
        <v>615</v>
      </c>
      <c r="M175" s="90">
        <v>351.99</v>
      </c>
      <c r="N175" s="92">
        <v>45721.7049833912</v>
      </c>
      <c r="O175" s="4" t="b">
        <v>1</v>
      </c>
      <c r="P175" s="4" t="s">
        <v>1510</v>
      </c>
      <c r="Q175" s="4">
        <v>372.4</v>
      </c>
      <c r="R175" s="4">
        <v>364.95</v>
      </c>
      <c r="S175" s="4">
        <v>357.5</v>
      </c>
      <c r="T175" s="4">
        <v>376.13</v>
      </c>
      <c r="U175" s="4" t="s">
        <v>161</v>
      </c>
      <c r="V175" s="4" t="s">
        <v>1511</v>
      </c>
      <c r="W175" s="7"/>
      <c r="X175" s="81"/>
      <c r="Y175" s="81"/>
      <c r="Z175" s="81"/>
      <c r="AA175" s="7">
        <f t="shared" si="4"/>
        <v>5.59</v>
      </c>
      <c r="AB175" s="7" t="str">
        <f t="shared" si="2"/>
        <v/>
      </c>
      <c r="AC175" s="7">
        <f t="shared" si="1"/>
        <v>0</v>
      </c>
    </row>
    <row r="176">
      <c r="A176" s="88" t="s">
        <v>1516</v>
      </c>
      <c r="B176" s="4" t="s">
        <v>1289</v>
      </c>
      <c r="C176" s="4" t="s">
        <v>1290</v>
      </c>
      <c r="D176" s="90">
        <v>364.41</v>
      </c>
      <c r="O176" s="4" t="b">
        <v>1</v>
      </c>
      <c r="P176" s="4" t="s">
        <v>1518</v>
      </c>
      <c r="Q176" s="4">
        <v>372.16</v>
      </c>
      <c r="R176" s="4">
        <v>357.61</v>
      </c>
      <c r="S176" s="4">
        <v>343.06</v>
      </c>
      <c r="T176" s="4">
        <v>379.44</v>
      </c>
      <c r="U176" s="4" t="s">
        <v>161</v>
      </c>
      <c r="V176" s="4" t="s">
        <v>1520</v>
      </c>
      <c r="W176" s="7"/>
      <c r="X176" s="81"/>
      <c r="Y176" s="81"/>
      <c r="Z176" s="81"/>
      <c r="AA176" s="7">
        <f t="shared" si="4"/>
        <v>2.86</v>
      </c>
      <c r="AB176" s="7" t="str">
        <f t="shared" si="2"/>
        <v/>
      </c>
      <c r="AC176" s="7">
        <f t="shared" si="1"/>
        <v>0</v>
      </c>
    </row>
    <row r="177">
      <c r="A177" s="88" t="s">
        <v>1525</v>
      </c>
      <c r="B177" s="4" t="s">
        <v>954</v>
      </c>
      <c r="C177" s="4" t="s">
        <v>955</v>
      </c>
      <c r="D177" s="90">
        <v>7.38</v>
      </c>
      <c r="E177" s="90">
        <v>7.05</v>
      </c>
      <c r="F177" s="90">
        <v>7.46</v>
      </c>
      <c r="G177" s="4" t="s">
        <v>957</v>
      </c>
      <c r="H177" s="90">
        <v>0.71</v>
      </c>
      <c r="I177" s="90">
        <v>56.25</v>
      </c>
      <c r="J177" s="90">
        <v>35.21</v>
      </c>
      <c r="K177" s="90">
        <v>0.37</v>
      </c>
      <c r="L177" s="4" t="s">
        <v>197</v>
      </c>
      <c r="M177" s="90">
        <v>6.17</v>
      </c>
      <c r="N177" s="92">
        <v>46079.41762620371</v>
      </c>
      <c r="O177" s="4" t="b">
        <v>1</v>
      </c>
      <c r="P177" s="4" t="s">
        <v>1527</v>
      </c>
      <c r="Q177" s="4">
        <v>7.59</v>
      </c>
      <c r="R177" s="4">
        <v>7.1</v>
      </c>
      <c r="S177" s="4">
        <v>6.61</v>
      </c>
      <c r="T177" s="4">
        <v>7.83</v>
      </c>
      <c r="U177" s="4" t="s">
        <v>161</v>
      </c>
      <c r="V177" s="4" t="s">
        <v>1530</v>
      </c>
      <c r="W177" s="7"/>
      <c r="X177" s="81"/>
      <c r="Y177" s="81"/>
      <c r="Z177" s="81"/>
      <c r="AA177" s="7">
        <f t="shared" si="4"/>
        <v>85.03</v>
      </c>
      <c r="AB177" s="7" t="str">
        <f t="shared" si="2"/>
        <v/>
      </c>
      <c r="AC177" s="7">
        <f t="shared" si="1"/>
        <v>0</v>
      </c>
    </row>
    <row r="178">
      <c r="A178" s="88" t="s">
        <v>1538</v>
      </c>
      <c r="B178" s="4" t="s">
        <v>586</v>
      </c>
      <c r="C178" s="142" t="s">
        <v>587</v>
      </c>
      <c r="D178" s="90">
        <v>46.05</v>
      </c>
      <c r="E178" s="90">
        <v>42.4</v>
      </c>
      <c r="F178" s="90">
        <v>47.21</v>
      </c>
      <c r="H178" s="90">
        <v>24.65</v>
      </c>
      <c r="I178" s="90">
        <v>73.45</v>
      </c>
      <c r="J178" s="90">
        <v>44.84</v>
      </c>
      <c r="K178" s="90">
        <v>7.18</v>
      </c>
      <c r="L178" s="4" t="s">
        <v>588</v>
      </c>
      <c r="M178" s="90">
        <v>72.55</v>
      </c>
      <c r="N178" s="92">
        <v>45973.399707951394</v>
      </c>
      <c r="O178" s="4" t="b">
        <v>1</v>
      </c>
      <c r="P178" s="4" t="s">
        <v>1541</v>
      </c>
      <c r="Q178" s="4">
        <v>47.47</v>
      </c>
      <c r="R178" s="4">
        <v>44.41</v>
      </c>
      <c r="S178" s="4">
        <v>41.35</v>
      </c>
      <c r="T178" s="4">
        <v>49.0</v>
      </c>
      <c r="U178" s="4" t="s">
        <v>161</v>
      </c>
      <c r="V178" s="4" t="s">
        <v>1543</v>
      </c>
      <c r="W178" s="7"/>
      <c r="X178" s="81"/>
      <c r="Y178" s="81"/>
      <c r="Z178" s="81"/>
      <c r="AA178" s="7">
        <f t="shared" si="4"/>
        <v>13.62</v>
      </c>
      <c r="AB178" s="7" t="str">
        <f t="shared" si="2"/>
        <v/>
      </c>
      <c r="AC178" s="7">
        <f t="shared" si="1"/>
        <v>0</v>
      </c>
    </row>
    <row r="179">
      <c r="A179" s="88" t="s">
        <v>1547</v>
      </c>
      <c r="B179" s="4" t="s">
        <v>1017</v>
      </c>
      <c r="C179" s="4" t="s">
        <v>1018</v>
      </c>
      <c r="D179" s="90">
        <v>70.43</v>
      </c>
      <c r="E179" s="90">
        <v>62.17</v>
      </c>
      <c r="F179" s="90">
        <v>70.6</v>
      </c>
      <c r="H179" s="90">
        <v>7.29</v>
      </c>
      <c r="I179" s="90">
        <v>72.27</v>
      </c>
      <c r="J179" s="90">
        <v>23.53</v>
      </c>
      <c r="K179" s="90">
        <v>1.75</v>
      </c>
      <c r="L179" s="4" t="s">
        <v>542</v>
      </c>
      <c r="M179" s="90">
        <v>47.03</v>
      </c>
      <c r="N179" s="92">
        <v>45895.30139100694</v>
      </c>
      <c r="O179" s="4" t="b">
        <v>1</v>
      </c>
      <c r="P179" s="4" t="s">
        <v>1549</v>
      </c>
      <c r="Q179" s="4">
        <v>75.59</v>
      </c>
      <c r="R179" s="4">
        <v>70.14</v>
      </c>
      <c r="S179" s="4">
        <v>64.69</v>
      </c>
      <c r="T179" s="4">
        <v>78.31</v>
      </c>
      <c r="U179" s="4" t="s">
        <v>161</v>
      </c>
      <c r="V179" s="4" t="s">
        <v>1551</v>
      </c>
      <c r="W179" s="7"/>
      <c r="X179" s="81"/>
      <c r="Y179" s="81"/>
      <c r="Z179" s="81"/>
      <c r="AA179" s="7">
        <f t="shared" si="4"/>
        <v>7.65</v>
      </c>
      <c r="AB179" s="7" t="str">
        <f t="shared" si="2"/>
        <v/>
      </c>
      <c r="AC179" s="7">
        <f t="shared" si="1"/>
        <v>0</v>
      </c>
    </row>
    <row r="180">
      <c r="A180" s="88" t="s">
        <v>1554</v>
      </c>
      <c r="B180" s="4" t="s">
        <v>1362</v>
      </c>
      <c r="C180" s="4" t="s">
        <v>1364</v>
      </c>
      <c r="D180" s="90">
        <v>16.02</v>
      </c>
      <c r="E180" s="90">
        <v>14.71</v>
      </c>
      <c r="F180" s="90">
        <v>16.3</v>
      </c>
      <c r="M180" s="90">
        <v>10.48</v>
      </c>
      <c r="N180" s="92">
        <v>45707.2402543287</v>
      </c>
      <c r="O180" s="4" t="b">
        <v>1</v>
      </c>
      <c r="P180" s="4" t="s">
        <v>1555</v>
      </c>
      <c r="Q180" s="4">
        <v>17.5</v>
      </c>
      <c r="R180" s="4">
        <v>16.45</v>
      </c>
      <c r="S180" s="4">
        <v>15.4</v>
      </c>
      <c r="T180" s="4">
        <v>18.02</v>
      </c>
      <c r="U180" s="4" t="s">
        <v>161</v>
      </c>
      <c r="V180" s="4" t="s">
        <v>1556</v>
      </c>
      <c r="W180" s="7"/>
      <c r="X180" s="81"/>
      <c r="Y180" s="81"/>
      <c r="Z180" s="81"/>
      <c r="AA180" s="7">
        <f t="shared" si="4"/>
        <v>39.68</v>
      </c>
      <c r="AB180" s="7" t="str">
        <f t="shared" si="2"/>
        <v/>
      </c>
      <c r="AC180" s="7">
        <f t="shared" si="1"/>
        <v>0</v>
      </c>
    </row>
    <row r="181">
      <c r="A181" s="88" t="s">
        <v>1557</v>
      </c>
      <c r="B181" s="4" t="s">
        <v>1558</v>
      </c>
      <c r="C181" s="4" t="s">
        <v>1559</v>
      </c>
      <c r="D181" s="4" t="e">
        <v>#N/A</v>
      </c>
      <c r="E181" s="4" t="e">
        <v>#N/A</v>
      </c>
      <c r="F181" s="4" t="e">
        <v>#N/A</v>
      </c>
      <c r="H181" s="90">
        <v>2.53</v>
      </c>
      <c r="I181" s="90">
        <v>69.76</v>
      </c>
      <c r="J181" s="90">
        <v>39.56</v>
      </c>
      <c r="K181" s="90">
        <v>0.55</v>
      </c>
      <c r="L181" s="4" t="s">
        <v>1561</v>
      </c>
      <c r="M181" s="90">
        <v>6.81</v>
      </c>
      <c r="N181" s="92">
        <v>45838.32549383102</v>
      </c>
      <c r="O181" s="4" t="b">
        <v>1</v>
      </c>
      <c r="P181" s="4" t="s">
        <v>1563</v>
      </c>
      <c r="Q181" s="4">
        <v>5.69</v>
      </c>
      <c r="R181" s="4">
        <v>5.32</v>
      </c>
      <c r="S181" s="4">
        <v>4.95</v>
      </c>
      <c r="T181" s="4">
        <v>5.88</v>
      </c>
      <c r="U181" s="4" t="s">
        <v>161</v>
      </c>
      <c r="V181" s="4" t="s">
        <v>1564</v>
      </c>
      <c r="W181" s="7"/>
      <c r="X181" s="81"/>
      <c r="Y181" s="81"/>
      <c r="Z181" s="81"/>
      <c r="AA181" s="7">
        <f t="shared" si="4"/>
        <v>112.61</v>
      </c>
      <c r="AB181" s="7" t="str">
        <f t="shared" si="2"/>
        <v/>
      </c>
      <c r="AC181" s="7">
        <f t="shared" si="1"/>
        <v>0</v>
      </c>
    </row>
    <row r="182">
      <c r="A182" s="88" t="s">
        <v>1567</v>
      </c>
      <c r="B182" s="4" t="s">
        <v>1057</v>
      </c>
      <c r="C182" s="4" t="s">
        <v>1058</v>
      </c>
      <c r="D182" s="90">
        <v>38.85</v>
      </c>
      <c r="E182" s="90">
        <v>35.43</v>
      </c>
      <c r="F182" s="90">
        <v>40.16</v>
      </c>
      <c r="H182" s="90">
        <v>-2.1</v>
      </c>
      <c r="I182" s="90">
        <v>50.61</v>
      </c>
      <c r="J182" s="90">
        <v>29.81</v>
      </c>
      <c r="K182" s="90">
        <v>3.37</v>
      </c>
      <c r="L182" s="4" t="s">
        <v>998</v>
      </c>
      <c r="M182" s="90">
        <v>41.06</v>
      </c>
      <c r="N182" s="92">
        <v>45868.35878219907</v>
      </c>
      <c r="O182" s="4" t="b">
        <v>1</v>
      </c>
      <c r="P182" s="4" t="s">
        <v>1571</v>
      </c>
      <c r="Q182" s="4">
        <v>41.81</v>
      </c>
      <c r="R182" s="4">
        <v>39.33</v>
      </c>
      <c r="S182" s="4">
        <v>36.85</v>
      </c>
      <c r="T182" s="4">
        <v>43.05</v>
      </c>
      <c r="U182" s="4" t="s">
        <v>161</v>
      </c>
      <c r="V182" s="4" t="s">
        <v>1573</v>
      </c>
      <c r="W182" s="7"/>
      <c r="X182" s="81"/>
      <c r="Y182" s="81"/>
      <c r="Z182" s="81"/>
      <c r="AA182" s="7">
        <f t="shared" si="4"/>
        <v>16.8</v>
      </c>
      <c r="AB182" s="7" t="str">
        <f t="shared" si="2"/>
        <v/>
      </c>
      <c r="AC182" s="7">
        <f t="shared" si="1"/>
        <v>0</v>
      </c>
    </row>
    <row r="183">
      <c r="A183" s="88" t="s">
        <v>1579</v>
      </c>
      <c r="B183" s="4" t="s">
        <v>1077</v>
      </c>
      <c r="C183" s="4" t="s">
        <v>1079</v>
      </c>
      <c r="D183" s="90">
        <v>4.22</v>
      </c>
      <c r="E183" s="90">
        <v>4.0</v>
      </c>
      <c r="F183" s="90">
        <v>4.25</v>
      </c>
      <c r="G183" s="4" t="s">
        <v>673</v>
      </c>
      <c r="L183" s="4" t="s">
        <v>588</v>
      </c>
      <c r="M183" s="90">
        <v>14.62</v>
      </c>
      <c r="N183" s="92">
        <v>45852.921677280094</v>
      </c>
      <c r="O183" s="4" t="b">
        <v>1</v>
      </c>
      <c r="P183" s="4" t="s">
        <v>1582</v>
      </c>
      <c r="Q183" s="4">
        <v>4.42</v>
      </c>
      <c r="R183" s="4">
        <v>4.08</v>
      </c>
      <c r="S183" s="4">
        <v>3.74</v>
      </c>
      <c r="T183" s="4">
        <v>4.59</v>
      </c>
      <c r="U183" s="4" t="s">
        <v>161</v>
      </c>
      <c r="V183" s="4" t="s">
        <v>1584</v>
      </c>
      <c r="W183" s="7"/>
      <c r="X183" s="81"/>
      <c r="Y183" s="81"/>
      <c r="Z183" s="81"/>
      <c r="AA183" s="7">
        <f t="shared" si="4"/>
        <v>122.55</v>
      </c>
      <c r="AB183" s="7" t="str">
        <f t="shared" si="2"/>
        <v/>
      </c>
      <c r="AC183" s="7">
        <f t="shared" si="1"/>
        <v>0</v>
      </c>
    </row>
    <row r="184">
      <c r="A184" s="138" t="s">
        <v>1591</v>
      </c>
      <c r="B184" s="4" t="s">
        <v>1189</v>
      </c>
      <c r="C184" s="4" t="s">
        <v>1190</v>
      </c>
      <c r="D184" s="90">
        <v>153.3</v>
      </c>
      <c r="E184" s="90">
        <v>152.05</v>
      </c>
      <c r="F184" s="90">
        <v>154.85</v>
      </c>
      <c r="O184" s="4" t="b">
        <v>1</v>
      </c>
      <c r="P184" s="4" t="s">
        <v>1594</v>
      </c>
      <c r="Q184" s="4">
        <v>53.4</v>
      </c>
      <c r="R184" s="4" t="s">
        <v>18</v>
      </c>
      <c r="S184" s="4" t="s">
        <v>18</v>
      </c>
      <c r="T184" s="4" t="s">
        <v>18</v>
      </c>
      <c r="U184" s="4" t="s">
        <v>179</v>
      </c>
      <c r="V184" s="4" t="s">
        <v>1595</v>
      </c>
      <c r="W184" s="7"/>
      <c r="X184" s="81"/>
      <c r="Y184" s="81"/>
      <c r="Z184" s="81"/>
      <c r="AA184" s="7">
        <f t="shared" si="4"/>
        <v>31.33</v>
      </c>
      <c r="AB184" s="7" t="str">
        <f t="shared" si="2"/>
        <v/>
      </c>
      <c r="AC184" s="7">
        <f t="shared" si="1"/>
        <v>0</v>
      </c>
    </row>
    <row r="185">
      <c r="A185" s="138" t="s">
        <v>1598</v>
      </c>
      <c r="B185" s="4" t="s">
        <v>1450</v>
      </c>
      <c r="C185" s="4" t="s">
        <v>1451</v>
      </c>
      <c r="D185" s="90">
        <v>2.86</v>
      </c>
      <c r="E185" s="90">
        <v>2.68</v>
      </c>
      <c r="F185" s="90">
        <v>2.91</v>
      </c>
      <c r="G185" s="4" t="s">
        <v>615</v>
      </c>
      <c r="H185" s="90">
        <v>-0.46</v>
      </c>
      <c r="I185" s="90">
        <v>63.98</v>
      </c>
      <c r="J185" s="90">
        <v>47.18</v>
      </c>
      <c r="K185" s="90">
        <v>0.71</v>
      </c>
      <c r="L185" s="4" t="s">
        <v>998</v>
      </c>
      <c r="M185" s="90">
        <v>7.1</v>
      </c>
      <c r="N185" s="92">
        <v>45855.328992083334</v>
      </c>
      <c r="O185" s="4" t="b">
        <v>1</v>
      </c>
      <c r="P185" s="4" t="s">
        <v>1600</v>
      </c>
      <c r="Q185" s="4">
        <v>3.14</v>
      </c>
      <c r="R185" s="4">
        <v>2.96</v>
      </c>
      <c r="S185" s="4">
        <v>2.78</v>
      </c>
      <c r="T185" s="4">
        <v>3.23</v>
      </c>
      <c r="U185" s="4" t="s">
        <v>161</v>
      </c>
      <c r="V185" s="4" t="s">
        <v>1602</v>
      </c>
      <c r="W185" s="7"/>
      <c r="X185" s="81"/>
      <c r="Y185" s="81"/>
      <c r="Z185" s="81"/>
      <c r="AA185" s="7">
        <f t="shared" si="4"/>
        <v>231.48</v>
      </c>
      <c r="AB185" s="7" t="str">
        <f t="shared" si="2"/>
        <v/>
      </c>
      <c r="AC185" s="7">
        <f t="shared" si="1"/>
        <v>0</v>
      </c>
    </row>
    <row r="186">
      <c r="A186" s="138" t="s">
        <v>1607</v>
      </c>
      <c r="B186" s="4" t="s">
        <v>913</v>
      </c>
      <c r="C186" s="4" t="s">
        <v>1094</v>
      </c>
      <c r="D186" s="90">
        <v>406.16</v>
      </c>
      <c r="E186" s="90">
        <v>399.05</v>
      </c>
      <c r="F186" s="90">
        <v>414.28</v>
      </c>
      <c r="O186" s="4" t="b">
        <v>1</v>
      </c>
      <c r="P186" s="4" t="s">
        <v>1608</v>
      </c>
      <c r="Q186" s="4">
        <v>426.9</v>
      </c>
      <c r="R186" s="4">
        <v>408.53</v>
      </c>
      <c r="S186" s="4">
        <v>390.16</v>
      </c>
      <c r="T186" s="4">
        <v>436.08</v>
      </c>
      <c r="U186" s="4" t="s">
        <v>161</v>
      </c>
      <c r="V186" s="4" t="s">
        <v>1610</v>
      </c>
      <c r="W186" s="7"/>
      <c r="X186" s="81"/>
      <c r="Y186" s="81"/>
      <c r="Z186" s="81"/>
      <c r="AA186" s="7">
        <f t="shared" si="4"/>
        <v>2.27</v>
      </c>
      <c r="AB186" s="7" t="str">
        <f t="shared" si="2"/>
        <v/>
      </c>
      <c r="AC186" s="7">
        <f t="shared" si="1"/>
        <v>0</v>
      </c>
    </row>
    <row r="187">
      <c r="A187" s="138" t="s">
        <v>1611</v>
      </c>
      <c r="B187" s="4" t="s">
        <v>1201</v>
      </c>
      <c r="C187" s="4" t="s">
        <v>1202</v>
      </c>
      <c r="D187" s="90">
        <v>164.8</v>
      </c>
      <c r="E187" s="90">
        <v>161.0</v>
      </c>
      <c r="F187" s="90">
        <v>167.7</v>
      </c>
      <c r="H187" s="90">
        <v>-17.08</v>
      </c>
      <c r="I187" s="90">
        <v>27.68</v>
      </c>
      <c r="J187" s="90">
        <v>16.91</v>
      </c>
      <c r="K187" s="90">
        <v>4.95</v>
      </c>
      <c r="L187" s="4" t="s">
        <v>1204</v>
      </c>
      <c r="M187" s="90">
        <v>194.44</v>
      </c>
      <c r="N187" s="92">
        <v>45827.34319833333</v>
      </c>
      <c r="O187" s="4" t="b">
        <v>1</v>
      </c>
      <c r="P187" s="4" t="s">
        <v>1613</v>
      </c>
      <c r="Q187" s="4" t="s">
        <v>886</v>
      </c>
      <c r="R187" s="4" t="s">
        <v>18</v>
      </c>
      <c r="S187" s="4" t="s">
        <v>18</v>
      </c>
      <c r="T187" s="4" t="s">
        <v>18</v>
      </c>
      <c r="U187" s="4" t="s">
        <v>887</v>
      </c>
      <c r="V187" s="4" t="s">
        <v>1615</v>
      </c>
      <c r="W187" s="7"/>
      <c r="X187" s="81"/>
      <c r="Y187" s="81"/>
      <c r="Z187" s="81"/>
      <c r="AA187" s="7">
        <f t="shared" si="4"/>
        <v>6.26</v>
      </c>
      <c r="AB187" s="7" t="str">
        <f t="shared" si="2"/>
        <v/>
      </c>
      <c r="AC187" s="7">
        <f t="shared" si="1"/>
        <v>0</v>
      </c>
    </row>
    <row r="188">
      <c r="A188" s="138" t="s">
        <v>1620</v>
      </c>
      <c r="B188" s="4" t="s">
        <v>1499</v>
      </c>
      <c r="C188" s="142" t="s">
        <v>1500</v>
      </c>
      <c r="D188" s="90">
        <v>45.79</v>
      </c>
      <c r="E188" s="90">
        <v>44.52</v>
      </c>
      <c r="F188" s="90">
        <v>46.19</v>
      </c>
      <c r="G188" s="4" t="s">
        <v>957</v>
      </c>
      <c r="O188" s="4" t="b">
        <v>1</v>
      </c>
      <c r="P188" s="4" t="s">
        <v>1622</v>
      </c>
      <c r="Q188" s="4">
        <v>46.46</v>
      </c>
      <c r="R188" s="4">
        <v>44.53</v>
      </c>
      <c r="S188" s="4">
        <v>42.6</v>
      </c>
      <c r="T188" s="4">
        <v>47.43</v>
      </c>
      <c r="U188" s="4" t="s">
        <v>161</v>
      </c>
      <c r="V188" s="4" t="s">
        <v>1623</v>
      </c>
      <c r="W188" s="7"/>
      <c r="X188" s="81"/>
      <c r="Y188" s="81"/>
      <c r="Z188" s="81"/>
      <c r="AA188" s="7">
        <f t="shared" si="4"/>
        <v>21.59</v>
      </c>
      <c r="AB188" s="7" t="str">
        <f t="shared" si="2"/>
        <v/>
      </c>
      <c r="AC188" s="7">
        <f t="shared" si="1"/>
        <v>0</v>
      </c>
    </row>
    <row r="189">
      <c r="A189" s="138" t="s">
        <v>1625</v>
      </c>
      <c r="B189" s="4" t="s">
        <v>1230</v>
      </c>
      <c r="C189" s="4" t="s">
        <v>1230</v>
      </c>
      <c r="D189" s="90">
        <v>226.31</v>
      </c>
      <c r="E189" s="90">
        <v>224.87</v>
      </c>
      <c r="F189" s="90">
        <v>228.55</v>
      </c>
      <c r="O189" s="4" t="b">
        <v>1</v>
      </c>
      <c r="P189" s="4" t="s">
        <v>1627</v>
      </c>
      <c r="Q189" s="4">
        <v>231.92</v>
      </c>
      <c r="R189" s="4">
        <v>223.67</v>
      </c>
      <c r="S189" s="4">
        <v>215.42</v>
      </c>
      <c r="T189" s="4">
        <v>236.04</v>
      </c>
      <c r="U189" s="4" t="s">
        <v>161</v>
      </c>
      <c r="V189" s="4" t="s">
        <v>1628</v>
      </c>
      <c r="W189" s="7"/>
      <c r="X189" s="81"/>
      <c r="Y189" s="81"/>
      <c r="Z189" s="81"/>
      <c r="AA189" s="7">
        <f t="shared" si="4"/>
        <v>5.05</v>
      </c>
      <c r="AB189" s="7" t="str">
        <f t="shared" si="2"/>
        <v/>
      </c>
      <c r="AC189" s="7">
        <f t="shared" si="1"/>
        <v>0</v>
      </c>
    </row>
    <row r="190">
      <c r="A190" s="138" t="s">
        <v>1632</v>
      </c>
      <c r="B190" s="4" t="s">
        <v>364</v>
      </c>
      <c r="C190" s="4" t="s">
        <v>365</v>
      </c>
      <c r="D190" s="90">
        <v>107.12</v>
      </c>
      <c r="E190" s="90">
        <v>106.43</v>
      </c>
      <c r="F190" s="90">
        <v>109.33</v>
      </c>
      <c r="H190" s="90">
        <v>7.93</v>
      </c>
      <c r="I190" s="90">
        <v>0.0</v>
      </c>
      <c r="J190" s="90">
        <v>21.44</v>
      </c>
      <c r="K190" s="90">
        <v>3.13</v>
      </c>
      <c r="O190" s="4" t="b">
        <v>1</v>
      </c>
      <c r="P190" s="4" t="s">
        <v>1634</v>
      </c>
      <c r="Q190" s="4">
        <v>106.09</v>
      </c>
      <c r="R190" s="4" t="s">
        <v>18</v>
      </c>
      <c r="S190" s="4" t="s">
        <v>18</v>
      </c>
      <c r="T190" s="4" t="s">
        <v>18</v>
      </c>
      <c r="U190" s="4" t="s">
        <v>179</v>
      </c>
      <c r="V190" s="4" t="s">
        <v>1636</v>
      </c>
      <c r="W190" s="7"/>
      <c r="X190" s="81"/>
      <c r="Y190" s="81"/>
      <c r="Z190" s="81"/>
      <c r="AA190" s="7">
        <f t="shared" si="4"/>
        <v>14.57</v>
      </c>
      <c r="AB190" s="7" t="str">
        <f t="shared" si="2"/>
        <v/>
      </c>
      <c r="AC190" s="7">
        <f t="shared" si="1"/>
        <v>0</v>
      </c>
      <c r="AD190" s="7">
        <f>IFERROR(__xludf.DUMMYFUNCTION("GOOGLEFINANCE(""ABT"", ""high"")"),104.29)</f>
        <v>104.29</v>
      </c>
      <c r="AE190" s="7" t="str">
        <f>IFERROR(__xludf.DUMMYFUNCTION("GOOGLEFINANCE(""ABT"", ""closeyesterday"")"),"#N/A")</f>
        <v>#N/A</v>
      </c>
    </row>
    <row r="191">
      <c r="A191" s="138" t="s">
        <v>1639</v>
      </c>
      <c r="B191" s="4" t="s">
        <v>818</v>
      </c>
      <c r="C191" s="4" t="s">
        <v>968</v>
      </c>
      <c r="D191" s="90">
        <v>374.5</v>
      </c>
      <c r="E191" s="90">
        <v>360.76</v>
      </c>
      <c r="F191" s="90">
        <v>374.52</v>
      </c>
      <c r="G191" s="4" t="s">
        <v>957</v>
      </c>
      <c r="H191" s="90">
        <v>0.47</v>
      </c>
      <c r="I191" s="90">
        <v>28.9</v>
      </c>
      <c r="J191" s="90">
        <v>47.68</v>
      </c>
      <c r="K191" s="90">
        <v>7.69</v>
      </c>
      <c r="L191" s="4" t="s">
        <v>197</v>
      </c>
      <c r="M191" s="90">
        <v>175.87</v>
      </c>
      <c r="N191" s="92">
        <v>46079.320398587966</v>
      </c>
      <c r="O191" s="4" t="b">
        <v>1</v>
      </c>
      <c r="P191" s="4" t="s">
        <v>1642</v>
      </c>
      <c r="Q191" s="4">
        <v>374.36</v>
      </c>
      <c r="R191" s="4" t="s">
        <v>18</v>
      </c>
      <c r="S191" s="4" t="s">
        <v>18</v>
      </c>
      <c r="T191" s="4" t="s">
        <v>18</v>
      </c>
      <c r="U191" s="4" t="s">
        <v>179</v>
      </c>
      <c r="V191" s="4" t="s">
        <v>1645</v>
      </c>
      <c r="W191" s="7"/>
      <c r="X191" s="81"/>
      <c r="Y191" s="81"/>
      <c r="Z191" s="81"/>
      <c r="AA191" s="7">
        <f t="shared" si="4"/>
        <v>2.41</v>
      </c>
      <c r="AB191" s="7" t="str">
        <f t="shared" si="2"/>
        <v/>
      </c>
      <c r="AC191" s="7">
        <f t="shared" si="1"/>
        <v>0</v>
      </c>
    </row>
    <row r="192">
      <c r="A192" s="138" t="s">
        <v>1651</v>
      </c>
      <c r="B192" s="4" t="s">
        <v>1336</v>
      </c>
      <c r="C192" s="4" t="s">
        <v>1338</v>
      </c>
      <c r="D192" s="90">
        <v>75.22</v>
      </c>
      <c r="E192" s="90">
        <v>72.58</v>
      </c>
      <c r="F192" s="90">
        <v>75.72</v>
      </c>
      <c r="H192" s="90">
        <v>12.7</v>
      </c>
      <c r="I192" s="90">
        <v>66.73</v>
      </c>
      <c r="L192" s="4" t="s">
        <v>1339</v>
      </c>
      <c r="M192" s="90">
        <v>63.5</v>
      </c>
      <c r="N192" s="92">
        <v>45995.48168557871</v>
      </c>
      <c r="O192" s="4" t="b">
        <v>1</v>
      </c>
      <c r="P192" s="4" t="s">
        <v>1653</v>
      </c>
      <c r="Q192" s="4">
        <v>80.3</v>
      </c>
      <c r="R192" s="4">
        <v>76.76</v>
      </c>
      <c r="S192" s="4">
        <v>73.22</v>
      </c>
      <c r="T192" s="4">
        <v>82.07</v>
      </c>
      <c r="U192" s="4" t="s">
        <v>161</v>
      </c>
      <c r="V192" s="4" t="s">
        <v>1655</v>
      </c>
      <c r="W192" s="7"/>
      <c r="X192" s="81"/>
      <c r="Y192" s="81"/>
      <c r="Z192" s="81"/>
      <c r="AA192" s="7">
        <f t="shared" si="4"/>
        <v>11.77</v>
      </c>
      <c r="AB192" s="7" t="str">
        <f t="shared" si="2"/>
        <v/>
      </c>
      <c r="AC192" s="7">
        <f t="shared" si="1"/>
        <v>0</v>
      </c>
    </row>
    <row r="193">
      <c r="A193" s="138" t="s">
        <v>1658</v>
      </c>
      <c r="B193" s="4" t="s">
        <v>1249</v>
      </c>
      <c r="C193" s="4" t="s">
        <v>1250</v>
      </c>
      <c r="D193" s="90">
        <v>415.36</v>
      </c>
      <c r="E193" s="90">
        <v>413.32</v>
      </c>
      <c r="F193" s="90">
        <v>419.34</v>
      </c>
      <c r="M193" s="90">
        <v>282.77</v>
      </c>
      <c r="N193" s="92">
        <v>45793.54257520833</v>
      </c>
      <c r="O193" s="4" t="b">
        <v>1</v>
      </c>
      <c r="P193" s="4" t="s">
        <v>1659</v>
      </c>
      <c r="Q193" s="4">
        <v>416.0</v>
      </c>
      <c r="R193" s="4">
        <v>402.56</v>
      </c>
      <c r="S193" s="4">
        <v>389.12</v>
      </c>
      <c r="T193" s="4">
        <v>422.72</v>
      </c>
      <c r="U193" s="4" t="s">
        <v>161</v>
      </c>
      <c r="V193" s="4" t="s">
        <v>1661</v>
      </c>
      <c r="W193" s="7"/>
      <c r="X193" s="81"/>
      <c r="Y193" s="81"/>
      <c r="Z193" s="81"/>
      <c r="AA193" s="7">
        <f t="shared" si="4"/>
        <v>3.1</v>
      </c>
      <c r="AB193" s="7" t="str">
        <f t="shared" si="2"/>
        <v/>
      </c>
      <c r="AC193" s="7">
        <f t="shared" si="1"/>
        <v>0</v>
      </c>
    </row>
    <row r="194">
      <c r="A194" s="138" t="s">
        <v>1665</v>
      </c>
      <c r="B194" s="4" t="s">
        <v>270</v>
      </c>
      <c r="C194" s="4" t="s">
        <v>271</v>
      </c>
      <c r="D194" s="90">
        <v>322.08</v>
      </c>
      <c r="E194" s="90">
        <v>310.43</v>
      </c>
      <c r="F194" s="90">
        <v>324.65</v>
      </c>
      <c r="M194" s="90">
        <v>318.38</v>
      </c>
      <c r="N194" s="92">
        <v>45826.37594136574</v>
      </c>
      <c r="O194" s="4" t="b">
        <v>1</v>
      </c>
      <c r="P194" s="4" t="s">
        <v>1668</v>
      </c>
      <c r="Q194" s="4">
        <v>326.9</v>
      </c>
      <c r="R194" s="4">
        <v>313.48</v>
      </c>
      <c r="S194" s="4">
        <v>300.06</v>
      </c>
      <c r="T194" s="4">
        <v>333.61</v>
      </c>
      <c r="U194" s="4" t="s">
        <v>161</v>
      </c>
      <c r="V194" s="4" t="s">
        <v>1670</v>
      </c>
      <c r="W194" s="7"/>
      <c r="X194" s="81"/>
      <c r="Y194" s="81"/>
      <c r="Z194" s="81"/>
      <c r="AA194" s="7">
        <f t="shared" si="4"/>
        <v>3.1</v>
      </c>
      <c r="AB194" s="7" t="str">
        <f t="shared" si="2"/>
        <v/>
      </c>
      <c r="AC194" s="7">
        <f t="shared" si="1"/>
        <v>0</v>
      </c>
    </row>
    <row r="195">
      <c r="A195" s="138" t="s">
        <v>1672</v>
      </c>
      <c r="B195" s="4" t="s">
        <v>330</v>
      </c>
      <c r="C195" s="142" t="s">
        <v>532</v>
      </c>
      <c r="D195" s="90">
        <v>154.89</v>
      </c>
      <c r="E195" s="90">
        <v>146.36</v>
      </c>
      <c r="F195" s="90">
        <v>155.74</v>
      </c>
      <c r="M195" s="90">
        <v>146.06</v>
      </c>
      <c r="N195" s="92">
        <v>45706.703309131946</v>
      </c>
      <c r="O195" s="4" t="b">
        <v>1</v>
      </c>
      <c r="P195" s="4" t="s">
        <v>1675</v>
      </c>
      <c r="Q195" s="4">
        <v>160.79</v>
      </c>
      <c r="R195" s="4">
        <v>152.54</v>
      </c>
      <c r="S195" s="4">
        <v>144.29</v>
      </c>
      <c r="T195" s="4">
        <v>164.91</v>
      </c>
      <c r="U195" s="4" t="s">
        <v>161</v>
      </c>
      <c r="V195" s="4" t="s">
        <v>1676</v>
      </c>
      <c r="W195" s="7"/>
      <c r="X195" s="81"/>
      <c r="Y195" s="81"/>
      <c r="Z195" s="81"/>
      <c r="AA195" s="7">
        <f t="shared" si="4"/>
        <v>5.05</v>
      </c>
      <c r="AB195" s="7" t="str">
        <f t="shared" si="2"/>
        <v/>
      </c>
      <c r="AC195" s="7">
        <f t="shared" si="1"/>
        <v>0</v>
      </c>
    </row>
    <row r="196">
      <c r="A196" s="138" t="s">
        <v>1677</v>
      </c>
      <c r="B196" s="4" t="s">
        <v>1031</v>
      </c>
      <c r="C196" s="4" t="s">
        <v>1033</v>
      </c>
      <c r="D196" s="90">
        <v>347.13</v>
      </c>
      <c r="M196" s="90">
        <v>184.45</v>
      </c>
      <c r="N196" s="92">
        <v>45888.649150196754</v>
      </c>
      <c r="O196" s="4" t="b">
        <v>1</v>
      </c>
      <c r="P196" s="4" t="s">
        <v>1679</v>
      </c>
      <c r="Q196" s="4">
        <v>365.08</v>
      </c>
      <c r="R196" s="4">
        <v>350.2</v>
      </c>
      <c r="S196" s="4">
        <v>335.32</v>
      </c>
      <c r="T196" s="4">
        <v>372.52</v>
      </c>
      <c r="U196" s="4" t="s">
        <v>161</v>
      </c>
      <c r="V196" s="4" t="s">
        <v>1681</v>
      </c>
      <c r="W196" s="7"/>
      <c r="X196" s="81"/>
      <c r="Y196" s="81"/>
      <c r="Z196" s="81"/>
      <c r="AA196" s="7">
        <f t="shared" si="4"/>
        <v>2.8</v>
      </c>
      <c r="AB196" s="7" t="str">
        <f t="shared" si="2"/>
        <v/>
      </c>
      <c r="AC196" s="7">
        <f t="shared" si="1"/>
        <v>0</v>
      </c>
    </row>
    <row r="197">
      <c r="A197" s="138" t="s">
        <v>868</v>
      </c>
      <c r="B197" s="4" t="s">
        <v>798</v>
      </c>
      <c r="C197" s="4" t="s">
        <v>799</v>
      </c>
      <c r="D197" s="90">
        <v>141.85</v>
      </c>
      <c r="E197" s="90">
        <v>130.21</v>
      </c>
      <c r="F197" s="90">
        <v>143.07</v>
      </c>
      <c r="H197" s="90">
        <v>-16.41</v>
      </c>
      <c r="I197" s="90">
        <v>27.65</v>
      </c>
      <c r="J197" s="90">
        <v>36.4</v>
      </c>
      <c r="K197" s="90">
        <v>8.44</v>
      </c>
      <c r="M197" s="90">
        <v>181.52</v>
      </c>
      <c r="N197" s="92">
        <v>46219.377022280096</v>
      </c>
      <c r="O197" s="4" t="b">
        <v>1</v>
      </c>
      <c r="P197" s="4" t="s">
        <v>874</v>
      </c>
      <c r="Q197" s="4">
        <v>148.44</v>
      </c>
      <c r="R197" s="4">
        <v>141.76</v>
      </c>
      <c r="S197" s="4">
        <v>135.08</v>
      </c>
      <c r="T197" s="4">
        <v>151.78</v>
      </c>
      <c r="U197" s="4" t="s">
        <v>161</v>
      </c>
      <c r="V197" s="4" t="s">
        <v>1686</v>
      </c>
      <c r="W197" s="4" t="s">
        <v>111</v>
      </c>
      <c r="X197" s="81"/>
      <c r="Y197" s="81"/>
      <c r="Z197" s="81"/>
      <c r="AA197" s="7">
        <f t="shared" si="4"/>
        <v>6.24</v>
      </c>
      <c r="AB197" s="7" t="str">
        <f t="shared" si="2"/>
        <v/>
      </c>
      <c r="AC197" s="7">
        <f t="shared" si="1"/>
        <v>0</v>
      </c>
    </row>
    <row r="198">
      <c r="A198" s="138" t="s">
        <v>1688</v>
      </c>
      <c r="B198" s="4" t="s">
        <v>1397</v>
      </c>
      <c r="C198" s="4" t="s">
        <v>1398</v>
      </c>
      <c r="D198" s="90">
        <v>73.33</v>
      </c>
      <c r="E198" s="90">
        <v>72.18</v>
      </c>
      <c r="F198" s="90">
        <v>73.95</v>
      </c>
      <c r="H198" s="90">
        <v>26.83</v>
      </c>
      <c r="I198" s="90">
        <v>68.29</v>
      </c>
      <c r="J198" s="90">
        <v>30.74</v>
      </c>
      <c r="K198" s="90">
        <v>24.79</v>
      </c>
      <c r="L198" s="4" t="s">
        <v>170</v>
      </c>
      <c r="M198" s="90">
        <v>1218.85</v>
      </c>
      <c r="N198" s="92">
        <v>45812.24753260417</v>
      </c>
      <c r="O198" s="4" t="b">
        <v>1</v>
      </c>
      <c r="P198" s="4" t="s">
        <v>1689</v>
      </c>
      <c r="Q198" s="4">
        <v>73.75</v>
      </c>
      <c r="R198" s="4">
        <v>71.54</v>
      </c>
      <c r="S198" s="4">
        <v>69.33</v>
      </c>
      <c r="T198" s="4">
        <v>74.85</v>
      </c>
      <c r="U198" s="4" t="s">
        <v>161</v>
      </c>
      <c r="V198" s="4" t="s">
        <v>1691</v>
      </c>
      <c r="W198" s="7"/>
      <c r="X198" s="81"/>
      <c r="Y198" s="81"/>
      <c r="Z198" s="81"/>
      <c r="AA198" s="7">
        <f t="shared" si="4"/>
        <v>18.85</v>
      </c>
      <c r="AB198" s="7" t="str">
        <f t="shared" si="2"/>
        <v/>
      </c>
      <c r="AC198" s="7">
        <f t="shared" si="1"/>
        <v>0</v>
      </c>
    </row>
    <row r="199">
      <c r="A199" s="138" t="s">
        <v>1696</v>
      </c>
      <c r="B199" s="4" t="s">
        <v>1424</v>
      </c>
      <c r="C199" s="4" t="s">
        <v>1425</v>
      </c>
      <c r="D199" s="90">
        <v>193.78</v>
      </c>
      <c r="E199" s="90">
        <v>177.57</v>
      </c>
      <c r="F199" s="90">
        <v>194.44</v>
      </c>
      <c r="O199" s="4" t="b">
        <v>1</v>
      </c>
      <c r="P199" s="4" t="s">
        <v>1698</v>
      </c>
      <c r="Q199" s="4">
        <v>221.88</v>
      </c>
      <c r="R199" s="4">
        <v>207.75</v>
      </c>
      <c r="S199" s="4">
        <v>193.62</v>
      </c>
      <c r="T199" s="4">
        <v>228.94</v>
      </c>
      <c r="U199" s="4" t="s">
        <v>161</v>
      </c>
      <c r="V199" s="4" t="s">
        <v>1701</v>
      </c>
      <c r="W199" s="7"/>
      <c r="X199" s="81"/>
      <c r="Y199" s="81"/>
      <c r="Z199" s="81"/>
      <c r="AA199" s="7">
        <f t="shared" si="4"/>
        <v>2.95</v>
      </c>
      <c r="AB199" s="7" t="str">
        <f t="shared" si="2"/>
        <v/>
      </c>
      <c r="AC199" s="7">
        <f t="shared" si="1"/>
        <v>0</v>
      </c>
    </row>
    <row r="200">
      <c r="A200" s="138" t="s">
        <v>1703</v>
      </c>
      <c r="B200" s="4" t="s">
        <v>1065</v>
      </c>
      <c r="C200" s="4" t="s">
        <v>1066</v>
      </c>
      <c r="D200" s="90">
        <v>304.76</v>
      </c>
      <c r="E200" s="90">
        <v>296.5</v>
      </c>
      <c r="F200" s="90">
        <v>305.0</v>
      </c>
      <c r="G200" s="4" t="s">
        <v>615</v>
      </c>
      <c r="H200" s="90">
        <v>18.32</v>
      </c>
      <c r="I200" s="90">
        <v>70.4</v>
      </c>
      <c r="J200" s="90">
        <v>21.06</v>
      </c>
      <c r="K200" s="90">
        <v>6.57</v>
      </c>
      <c r="L200" s="4" t="s">
        <v>542</v>
      </c>
      <c r="M200" s="90">
        <v>238.54</v>
      </c>
      <c r="N200" s="92">
        <v>45708.6095084375</v>
      </c>
      <c r="O200" s="4" t="b">
        <v>1</v>
      </c>
      <c r="P200" s="4" t="s">
        <v>1706</v>
      </c>
      <c r="Q200" s="4">
        <v>306.5</v>
      </c>
      <c r="R200" s="4">
        <v>296.28</v>
      </c>
      <c r="S200" s="4">
        <v>286.06</v>
      </c>
      <c r="T200" s="4">
        <v>311.61</v>
      </c>
      <c r="U200" s="4" t="s">
        <v>161</v>
      </c>
      <c r="V200" s="4" t="s">
        <v>1708</v>
      </c>
      <c r="W200" s="7"/>
      <c r="X200" s="81"/>
      <c r="Y200" s="81"/>
      <c r="Z200" s="81"/>
      <c r="AA200" s="7">
        <f t="shared" si="4"/>
        <v>4.08</v>
      </c>
      <c r="AB200" s="7" t="str">
        <f t="shared" si="2"/>
        <v/>
      </c>
      <c r="AC200" s="7">
        <f t="shared" si="1"/>
        <v>0</v>
      </c>
    </row>
    <row r="201">
      <c r="A201" s="146" t="s">
        <v>1712</v>
      </c>
      <c r="B201" s="146" t="s">
        <v>211</v>
      </c>
      <c r="C201" s="146" t="s">
        <v>212</v>
      </c>
      <c r="D201" s="146">
        <v>127.3</v>
      </c>
      <c r="E201" s="146">
        <v>126.04</v>
      </c>
      <c r="F201" s="146">
        <v>129.5</v>
      </c>
      <c r="G201" s="146" t="s">
        <v>615</v>
      </c>
      <c r="H201" s="146"/>
      <c r="I201" s="146"/>
      <c r="J201" s="146"/>
      <c r="K201" s="146"/>
      <c r="L201" s="146" t="s">
        <v>213</v>
      </c>
      <c r="M201" s="146">
        <v>117.11</v>
      </c>
      <c r="N201" s="146">
        <v>45856.30512809027</v>
      </c>
      <c r="O201" s="146" t="b">
        <v>1</v>
      </c>
      <c r="P201" s="146" t="s">
        <v>1714</v>
      </c>
      <c r="Q201" s="146">
        <v>129.45</v>
      </c>
      <c r="R201" s="146">
        <v>126.61</v>
      </c>
      <c r="S201" s="146">
        <v>123.77</v>
      </c>
      <c r="T201" s="146">
        <v>130.87</v>
      </c>
      <c r="U201" s="146" t="s">
        <v>161</v>
      </c>
      <c r="V201" s="146" t="s">
        <v>1715</v>
      </c>
      <c r="W201" s="146" t="s">
        <v>109</v>
      </c>
      <c r="X201" s="146">
        <v>126.06</v>
      </c>
      <c r="Y201" s="146">
        <v>123.32</v>
      </c>
      <c r="Z201" s="146">
        <v>126.03</v>
      </c>
      <c r="AA201" s="146">
        <v>3.0</v>
      </c>
      <c r="AB201" s="146">
        <f t="shared" si="2"/>
        <v>-0.01094890511</v>
      </c>
      <c r="AC201" s="146">
        <f t="shared" si="1"/>
        <v>-0.09</v>
      </c>
      <c r="AD201" s="146"/>
      <c r="AE201" s="146"/>
      <c r="AF201" s="146"/>
      <c r="AG201" s="146"/>
      <c r="AH201" s="146"/>
      <c r="AI201" s="146"/>
      <c r="AJ201" s="146"/>
      <c r="AK201" s="146"/>
      <c r="AL201" s="146"/>
      <c r="AM201" s="146"/>
      <c r="AN201" s="146"/>
      <c r="AO201" s="146"/>
      <c r="AP201" s="146"/>
      <c r="AQ201" s="146"/>
      <c r="AR201" s="146"/>
      <c r="AS201" s="146"/>
      <c r="AT201" s="146"/>
      <c r="AU201" s="146"/>
      <c r="AV201" s="146"/>
      <c r="AW201" s="146"/>
      <c r="AX201" s="146"/>
      <c r="AY201" s="146"/>
      <c r="AZ201" s="146"/>
      <c r="BA201" s="146"/>
      <c r="BB201" s="146"/>
      <c r="BC201" s="146"/>
      <c r="BD201" s="146"/>
      <c r="BE201" s="146"/>
      <c r="BF201" s="146"/>
      <c r="BG201" s="146"/>
    </row>
    <row r="202">
      <c r="A202" s="148" t="s">
        <v>1722</v>
      </c>
      <c r="B202" s="4" t="s">
        <v>954</v>
      </c>
      <c r="C202" s="4" t="s">
        <v>955</v>
      </c>
      <c r="D202" s="90">
        <v>7.23</v>
      </c>
      <c r="E202" s="90">
        <v>7.02</v>
      </c>
      <c r="F202" s="90">
        <v>7.33</v>
      </c>
      <c r="G202" s="4" t="s">
        <v>957</v>
      </c>
      <c r="H202" s="90">
        <v>0.71</v>
      </c>
      <c r="I202" s="90">
        <v>56.25</v>
      </c>
      <c r="J202" s="90">
        <v>35.21</v>
      </c>
      <c r="K202" s="90">
        <v>0.37</v>
      </c>
      <c r="L202" s="4" t="s">
        <v>197</v>
      </c>
      <c r="M202" s="90">
        <v>6.17</v>
      </c>
      <c r="N202" s="92">
        <v>46079.41762620371</v>
      </c>
      <c r="O202" s="4" t="b">
        <v>1</v>
      </c>
      <c r="P202" s="4" t="s">
        <v>1724</v>
      </c>
      <c r="Q202" s="4">
        <v>7.3</v>
      </c>
      <c r="R202" s="4">
        <v>6.8</v>
      </c>
      <c r="S202" s="4">
        <v>6.3</v>
      </c>
      <c r="T202" s="4">
        <v>7.55</v>
      </c>
      <c r="U202" s="4" t="s">
        <v>161</v>
      </c>
      <c r="V202" s="4" t="s">
        <v>1725</v>
      </c>
      <c r="W202" s="7"/>
      <c r="X202" s="81"/>
      <c r="Y202" s="81"/>
      <c r="Z202" s="81"/>
      <c r="AA202" s="7">
        <f t="shared" ref="AA202:AA220" si="5">VALUE(MID(P202, SEARCH("Qtd:", P202) + 4, SEARCH(",", P202 &amp; ",", SEARCH("Qtd:", P202)) - (SEARCH("Qtd:", P202) + 4)))</f>
        <v>83.33</v>
      </c>
      <c r="AB202" s="7" t="str">
        <f t="shared" si="2"/>
        <v/>
      </c>
      <c r="AC202" s="7">
        <f t="shared" si="1"/>
        <v>0</v>
      </c>
    </row>
    <row r="203">
      <c r="A203" s="138" t="s">
        <v>1736</v>
      </c>
      <c r="B203" s="4" t="s">
        <v>995</v>
      </c>
      <c r="C203" s="4" t="s">
        <v>996</v>
      </c>
      <c r="D203" s="90">
        <v>5.22</v>
      </c>
      <c r="E203" s="90">
        <v>5.21</v>
      </c>
      <c r="F203" s="90">
        <v>5.23</v>
      </c>
      <c r="G203" s="4" t="s">
        <v>673</v>
      </c>
      <c r="H203" s="90">
        <v>0.43</v>
      </c>
      <c r="I203" s="90">
        <v>66.99</v>
      </c>
      <c r="J203" s="90">
        <v>19.96</v>
      </c>
      <c r="K203" s="90">
        <v>0.18</v>
      </c>
      <c r="L203" s="4" t="s">
        <v>998</v>
      </c>
      <c r="M203" s="90">
        <v>2.42</v>
      </c>
      <c r="N203" s="92">
        <v>45856.303116469906</v>
      </c>
      <c r="O203" s="4" t="b">
        <v>1</v>
      </c>
      <c r="P203" s="4" t="s">
        <v>1739</v>
      </c>
      <c r="Q203" s="4">
        <v>5.22</v>
      </c>
      <c r="R203" s="4" t="s">
        <v>18</v>
      </c>
      <c r="S203" s="4" t="s">
        <v>18</v>
      </c>
      <c r="T203" s="4" t="s">
        <v>18</v>
      </c>
      <c r="U203" s="4" t="s">
        <v>179</v>
      </c>
      <c r="V203" s="4" t="s">
        <v>1742</v>
      </c>
      <c r="W203" s="7"/>
      <c r="X203" s="81"/>
      <c r="Y203" s="81"/>
      <c r="Z203" s="81"/>
      <c r="AA203" s="7">
        <f t="shared" si="5"/>
        <v>2083.33</v>
      </c>
      <c r="AB203" s="7" t="str">
        <f t="shared" si="2"/>
        <v/>
      </c>
      <c r="AC203" s="7">
        <f t="shared" si="1"/>
        <v>0</v>
      </c>
    </row>
    <row r="204">
      <c r="A204" s="138" t="s">
        <v>1748</v>
      </c>
      <c r="B204" s="4" t="s">
        <v>1749</v>
      </c>
      <c r="C204" s="4" t="s">
        <v>1750</v>
      </c>
      <c r="D204" s="90">
        <v>81.31</v>
      </c>
      <c r="E204" s="90">
        <v>80.63</v>
      </c>
      <c r="F204" s="90">
        <v>82.89</v>
      </c>
      <c r="M204" s="90">
        <v>37.937</v>
      </c>
      <c r="N204" s="92">
        <v>45707.365755555555</v>
      </c>
      <c r="O204" s="4" t="b">
        <v>1</v>
      </c>
      <c r="P204" s="4" t="s">
        <v>1752</v>
      </c>
      <c r="Q204" s="4">
        <v>0.35</v>
      </c>
      <c r="R204" s="4">
        <v>0.31</v>
      </c>
      <c r="S204" s="4">
        <v>0.27</v>
      </c>
      <c r="T204" s="4">
        <v>0.37</v>
      </c>
      <c r="U204" s="4" t="s">
        <v>161</v>
      </c>
      <c r="V204" s="4" t="s">
        <v>1755</v>
      </c>
      <c r="W204" s="7"/>
      <c r="X204" s="81"/>
      <c r="Y204" s="81"/>
      <c r="Z204" s="81"/>
      <c r="AA204" s="7">
        <f t="shared" si="5"/>
        <v>1041.67</v>
      </c>
      <c r="AB204" s="7" t="str">
        <f t="shared" si="2"/>
        <v/>
      </c>
      <c r="AC204" s="7">
        <f t="shared" si="1"/>
        <v>0</v>
      </c>
    </row>
    <row r="205">
      <c r="A205" s="138" t="s">
        <v>1757</v>
      </c>
      <c r="B205" s="4" t="s">
        <v>1057</v>
      </c>
      <c r="C205" s="4" t="s">
        <v>1058</v>
      </c>
      <c r="D205" s="90">
        <v>36.44</v>
      </c>
      <c r="E205" s="90">
        <v>35.58</v>
      </c>
      <c r="F205" s="90">
        <v>37.65</v>
      </c>
      <c r="H205" s="90">
        <v>-2.1</v>
      </c>
      <c r="I205" s="90">
        <v>50.61</v>
      </c>
      <c r="J205" s="90">
        <v>29.81</v>
      </c>
      <c r="K205" s="90">
        <v>3.37</v>
      </c>
      <c r="L205" s="4" t="s">
        <v>998</v>
      </c>
      <c r="M205" s="90">
        <v>41.06</v>
      </c>
      <c r="N205" s="92">
        <v>45868.35878219907</v>
      </c>
      <c r="O205" s="4" t="b">
        <v>1</v>
      </c>
      <c r="P205" s="4" t="s">
        <v>1759</v>
      </c>
      <c r="Q205" s="4">
        <v>39.35</v>
      </c>
      <c r="R205" s="4">
        <v>37.08</v>
      </c>
      <c r="S205" s="4">
        <v>34.81</v>
      </c>
      <c r="T205" s="4">
        <v>40.48</v>
      </c>
      <c r="U205" s="4" t="s">
        <v>161</v>
      </c>
      <c r="V205" s="4" t="s">
        <v>1760</v>
      </c>
      <c r="W205" s="7"/>
      <c r="X205" s="81"/>
      <c r="Y205" s="81"/>
      <c r="Z205" s="81"/>
      <c r="AA205" s="7">
        <f t="shared" si="5"/>
        <v>18.36</v>
      </c>
      <c r="AB205" s="7" t="str">
        <f t="shared" si="2"/>
        <v/>
      </c>
      <c r="AC205" s="7">
        <f t="shared" si="1"/>
        <v>0</v>
      </c>
    </row>
    <row r="206">
      <c r="A206" s="138" t="s">
        <v>1763</v>
      </c>
      <c r="B206" s="4" t="s">
        <v>1017</v>
      </c>
      <c r="C206" s="4" t="s">
        <v>1018</v>
      </c>
      <c r="D206" s="90">
        <v>64.95</v>
      </c>
      <c r="E206" s="90">
        <v>62.66</v>
      </c>
      <c r="F206" s="90">
        <v>67.84</v>
      </c>
      <c r="H206" s="90">
        <v>7.29</v>
      </c>
      <c r="I206" s="90">
        <v>72.27</v>
      </c>
      <c r="J206" s="90">
        <v>23.53</v>
      </c>
      <c r="K206" s="90">
        <v>1.75</v>
      </c>
      <c r="L206" s="4" t="s">
        <v>542</v>
      </c>
      <c r="M206" s="90">
        <v>47.03</v>
      </c>
      <c r="N206" s="92">
        <v>45895.30139100694</v>
      </c>
      <c r="O206" s="4" t="b">
        <v>1</v>
      </c>
      <c r="P206" s="4" t="s">
        <v>1766</v>
      </c>
      <c r="Q206" s="4">
        <v>67.85</v>
      </c>
      <c r="R206" s="4">
        <v>62.71</v>
      </c>
      <c r="S206" s="4">
        <v>57.57</v>
      </c>
      <c r="T206" s="4">
        <v>70.42</v>
      </c>
      <c r="U206" s="4" t="s">
        <v>161</v>
      </c>
      <c r="V206" s="4" t="s">
        <v>1767</v>
      </c>
      <c r="W206" s="7"/>
      <c r="X206" s="81"/>
      <c r="Y206" s="81"/>
      <c r="Z206" s="81"/>
      <c r="AA206" s="7">
        <f t="shared" si="5"/>
        <v>8.11</v>
      </c>
      <c r="AB206" s="7" t="str">
        <f t="shared" si="2"/>
        <v/>
      </c>
      <c r="AC206" s="7">
        <f t="shared" si="1"/>
        <v>0</v>
      </c>
    </row>
    <row r="207">
      <c r="A207" s="138" t="s">
        <v>1770</v>
      </c>
      <c r="B207" s="4" t="s">
        <v>1362</v>
      </c>
      <c r="C207" s="4" t="s">
        <v>1364</v>
      </c>
      <c r="D207" s="90">
        <v>14.95</v>
      </c>
      <c r="E207" s="90">
        <v>14.77</v>
      </c>
      <c r="F207" s="90">
        <v>15.63</v>
      </c>
      <c r="M207" s="90">
        <v>10.48</v>
      </c>
      <c r="N207" s="92">
        <v>45707.2402543287</v>
      </c>
      <c r="O207" s="4" t="b">
        <v>1</v>
      </c>
      <c r="P207" s="4" t="s">
        <v>1772</v>
      </c>
      <c r="Q207" s="4">
        <v>15.85</v>
      </c>
      <c r="R207" s="4">
        <v>14.86</v>
      </c>
      <c r="S207" s="4">
        <v>13.87</v>
      </c>
      <c r="T207" s="4">
        <v>16.34</v>
      </c>
      <c r="U207" s="4" t="s">
        <v>161</v>
      </c>
      <c r="V207" s="4" t="s">
        <v>1773</v>
      </c>
      <c r="W207" s="7"/>
      <c r="X207" s="81"/>
      <c r="Y207" s="81"/>
      <c r="Z207" s="81"/>
      <c r="AA207" s="7">
        <f t="shared" si="5"/>
        <v>42.09</v>
      </c>
      <c r="AB207" s="7" t="str">
        <f t="shared" si="2"/>
        <v/>
      </c>
      <c r="AC207" s="7">
        <f t="shared" si="1"/>
        <v>0</v>
      </c>
    </row>
    <row r="208">
      <c r="A208" s="138" t="s">
        <v>1774</v>
      </c>
      <c r="B208" s="4" t="s">
        <v>1499</v>
      </c>
      <c r="C208" s="4" t="s">
        <v>1500</v>
      </c>
      <c r="D208" s="90">
        <v>44.02</v>
      </c>
      <c r="E208" s="90">
        <v>41.94</v>
      </c>
      <c r="F208" s="90">
        <v>44.04</v>
      </c>
      <c r="G208" s="4" t="s">
        <v>957</v>
      </c>
      <c r="O208" s="4" t="b">
        <v>1</v>
      </c>
      <c r="P208" s="4" t="s">
        <v>1776</v>
      </c>
      <c r="Q208" s="4">
        <v>46.19</v>
      </c>
      <c r="R208" s="4">
        <v>44.27</v>
      </c>
      <c r="S208" s="4">
        <v>42.35</v>
      </c>
      <c r="T208" s="4">
        <v>47.15</v>
      </c>
      <c r="U208" s="4" t="s">
        <v>161</v>
      </c>
      <c r="V208" s="4" t="s">
        <v>1777</v>
      </c>
      <c r="W208" s="7"/>
      <c r="X208" s="81"/>
      <c r="Y208" s="81"/>
      <c r="Z208" s="81"/>
      <c r="AA208" s="7">
        <f t="shared" si="5"/>
        <v>21.7</v>
      </c>
      <c r="AB208" s="7" t="str">
        <f t="shared" si="2"/>
        <v/>
      </c>
      <c r="AC208" s="7">
        <f t="shared" si="1"/>
        <v>0</v>
      </c>
    </row>
    <row r="209">
      <c r="A209" s="138" t="s">
        <v>1780</v>
      </c>
      <c r="B209" s="4" t="s">
        <v>1057</v>
      </c>
      <c r="C209" s="4" t="s">
        <v>1058</v>
      </c>
      <c r="D209" s="90">
        <v>36.44</v>
      </c>
      <c r="E209" s="90">
        <v>35.58</v>
      </c>
      <c r="F209" s="90">
        <v>37.65</v>
      </c>
      <c r="H209" s="90">
        <v>-2.1</v>
      </c>
      <c r="I209" s="90">
        <v>50.61</v>
      </c>
      <c r="J209" s="90">
        <v>29.81</v>
      </c>
      <c r="K209" s="90">
        <v>3.37</v>
      </c>
      <c r="L209" s="4" t="s">
        <v>998</v>
      </c>
      <c r="M209" s="90">
        <v>41.06</v>
      </c>
      <c r="N209" s="92">
        <v>45868.35878219907</v>
      </c>
      <c r="O209" s="4" t="b">
        <v>1</v>
      </c>
      <c r="P209" s="4" t="s">
        <v>1784</v>
      </c>
      <c r="Q209" s="4">
        <v>39.35</v>
      </c>
      <c r="R209" s="4">
        <v>37.08</v>
      </c>
      <c r="S209" s="4">
        <v>34.81</v>
      </c>
      <c r="T209" s="4">
        <v>40.48</v>
      </c>
      <c r="U209" s="4" t="s">
        <v>161</v>
      </c>
      <c r="V209" s="4" t="s">
        <v>1786</v>
      </c>
      <c r="W209" s="7"/>
      <c r="X209" s="81"/>
      <c r="Y209" s="81"/>
      <c r="Z209" s="81"/>
      <c r="AA209" s="7">
        <f t="shared" si="5"/>
        <v>18.36</v>
      </c>
      <c r="AB209" s="7" t="str">
        <f t="shared" si="2"/>
        <v/>
      </c>
      <c r="AC209" s="7">
        <f t="shared" si="1"/>
        <v>0</v>
      </c>
    </row>
    <row r="210">
      <c r="A210" s="138" t="s">
        <v>1788</v>
      </c>
      <c r="B210" s="4" t="s">
        <v>1782</v>
      </c>
      <c r="C210" s="4" t="s">
        <v>1789</v>
      </c>
      <c r="D210" s="90">
        <v>58.98</v>
      </c>
      <c r="E210" s="90">
        <v>56.24</v>
      </c>
      <c r="F210" s="90">
        <v>61.2</v>
      </c>
      <c r="H210" s="90">
        <v>-25.79</v>
      </c>
      <c r="I210" s="90">
        <v>34.66</v>
      </c>
      <c r="J210" s="90">
        <v>17.28</v>
      </c>
      <c r="K210" s="90">
        <v>7.47</v>
      </c>
      <c r="L210" s="4" t="s">
        <v>170</v>
      </c>
      <c r="M210" s="90">
        <v>60.53</v>
      </c>
      <c r="N210" s="92">
        <v>46219.377022280096</v>
      </c>
      <c r="O210" s="4" t="b">
        <v>1</v>
      </c>
      <c r="P210" s="4" t="s">
        <v>1790</v>
      </c>
      <c r="Q210" s="4">
        <v>62.37</v>
      </c>
      <c r="R210" s="4">
        <v>57.43</v>
      </c>
      <c r="S210" s="4">
        <v>52.49</v>
      </c>
      <c r="T210" s="4">
        <v>64.84</v>
      </c>
      <c r="U210" s="4" t="s">
        <v>161</v>
      </c>
      <c r="V210" s="4" t="s">
        <v>1791</v>
      </c>
      <c r="W210" s="7"/>
      <c r="X210" s="81"/>
      <c r="Y210" s="81"/>
      <c r="Z210" s="81"/>
      <c r="AA210" s="7">
        <f t="shared" si="5"/>
        <v>8.43</v>
      </c>
      <c r="AB210" s="7" t="str">
        <f t="shared" si="2"/>
        <v/>
      </c>
      <c r="AC210" s="7">
        <f t="shared" si="1"/>
        <v>0</v>
      </c>
    </row>
    <row r="211">
      <c r="A211" s="138" t="s">
        <v>1797</v>
      </c>
      <c r="B211" s="4" t="s">
        <v>1201</v>
      </c>
      <c r="C211" s="4" t="s">
        <v>1202</v>
      </c>
      <c r="D211" s="90">
        <v>159.4</v>
      </c>
      <c r="E211" s="90">
        <v>157.55</v>
      </c>
      <c r="F211" s="90">
        <v>163.35</v>
      </c>
      <c r="H211" s="90">
        <v>-17.08</v>
      </c>
      <c r="I211" s="90">
        <v>27.68</v>
      </c>
      <c r="J211" s="90">
        <v>16.91</v>
      </c>
      <c r="K211" s="90">
        <v>4.95</v>
      </c>
      <c r="L211" s="4" t="s">
        <v>1204</v>
      </c>
      <c r="M211" s="90">
        <v>194.44</v>
      </c>
      <c r="N211" s="92">
        <v>45827.34319833333</v>
      </c>
      <c r="O211" s="4" t="b">
        <v>1</v>
      </c>
      <c r="P211" s="4" t="s">
        <v>1800</v>
      </c>
      <c r="Q211" s="4" t="s">
        <v>1801</v>
      </c>
      <c r="R211" s="4" t="s">
        <v>18</v>
      </c>
      <c r="S211" s="4" t="s">
        <v>18</v>
      </c>
      <c r="T211" s="4" t="s">
        <v>18</v>
      </c>
      <c r="U211" s="4" t="s">
        <v>1802</v>
      </c>
      <c r="V211" s="4" t="s">
        <v>1803</v>
      </c>
      <c r="W211" s="7"/>
      <c r="X211" s="81"/>
      <c r="Y211" s="81"/>
      <c r="Z211" s="81"/>
      <c r="AA211" s="7">
        <f t="shared" si="5"/>
        <v>6.44</v>
      </c>
      <c r="AB211" s="7" t="str">
        <f t="shared" si="2"/>
        <v/>
      </c>
      <c r="AC211" s="7">
        <f t="shared" si="1"/>
        <v>0</v>
      </c>
    </row>
    <row r="212">
      <c r="A212" s="138" t="s">
        <v>1804</v>
      </c>
      <c r="B212" s="4" t="s">
        <v>1230</v>
      </c>
      <c r="C212" s="4" t="s">
        <v>1230</v>
      </c>
      <c r="D212" s="90">
        <v>223.65</v>
      </c>
      <c r="E212" s="90">
        <v>216.59</v>
      </c>
      <c r="F212" s="90">
        <v>224.76</v>
      </c>
      <c r="O212" s="4" t="b">
        <v>1</v>
      </c>
      <c r="P212" s="4" t="s">
        <v>1808</v>
      </c>
      <c r="Q212" s="4">
        <v>228.33</v>
      </c>
      <c r="R212" s="4">
        <v>219.15</v>
      </c>
      <c r="S212" s="4">
        <v>209.97</v>
      </c>
      <c r="T212" s="4">
        <v>232.92</v>
      </c>
      <c r="U212" s="4" t="s">
        <v>161</v>
      </c>
      <c r="V212" s="4" t="s">
        <v>1810</v>
      </c>
      <c r="W212" s="7"/>
      <c r="X212" s="81"/>
      <c r="Y212" s="81"/>
      <c r="Z212" s="81"/>
      <c r="AA212" s="7">
        <f t="shared" si="5"/>
        <v>4.54</v>
      </c>
      <c r="AB212" s="7" t="str">
        <f t="shared" si="2"/>
        <v/>
      </c>
      <c r="AC212" s="7">
        <f t="shared" si="1"/>
        <v>0</v>
      </c>
    </row>
    <row r="213">
      <c r="A213" s="138" t="s">
        <v>1814</v>
      </c>
      <c r="B213" s="4" t="s">
        <v>364</v>
      </c>
      <c r="C213" s="4" t="s">
        <v>365</v>
      </c>
      <c r="D213" s="90">
        <v>105.7</v>
      </c>
      <c r="E213" s="90">
        <v>102.89</v>
      </c>
      <c r="F213" s="90">
        <v>106.39</v>
      </c>
      <c r="H213" s="90">
        <v>7.93</v>
      </c>
      <c r="I213" s="90">
        <v>0.0</v>
      </c>
      <c r="J213" s="90">
        <v>21.44</v>
      </c>
      <c r="K213" s="90">
        <v>3.13</v>
      </c>
      <c r="O213" s="4" t="b">
        <v>1</v>
      </c>
      <c r="P213" s="4" t="s">
        <v>1817</v>
      </c>
      <c r="Q213" s="4">
        <v>109.33</v>
      </c>
      <c r="R213" s="4">
        <v>106.55</v>
      </c>
      <c r="S213" s="4">
        <v>103.77</v>
      </c>
      <c r="T213" s="4">
        <v>110.72</v>
      </c>
      <c r="U213" s="4" t="s">
        <v>161</v>
      </c>
      <c r="V213" s="4" t="s">
        <v>1819</v>
      </c>
      <c r="W213" s="7"/>
      <c r="X213" s="81"/>
      <c r="Y213" s="81"/>
      <c r="Z213" s="81"/>
      <c r="AA213" s="7">
        <f t="shared" si="5"/>
        <v>14.99</v>
      </c>
      <c r="AB213" s="7" t="str">
        <f t="shared" si="2"/>
        <v/>
      </c>
      <c r="AC213" s="7">
        <f t="shared" si="1"/>
        <v>0</v>
      </c>
    </row>
    <row r="214">
      <c r="A214" s="138" t="s">
        <v>1826</v>
      </c>
      <c r="B214" s="4" t="s">
        <v>270</v>
      </c>
      <c r="C214" s="4" t="s">
        <v>271</v>
      </c>
      <c r="D214" s="90">
        <v>311.21</v>
      </c>
      <c r="E214" s="90">
        <v>301.97</v>
      </c>
      <c r="F214" s="90">
        <v>315.5</v>
      </c>
      <c r="M214" s="90">
        <v>318.38</v>
      </c>
      <c r="N214" s="92">
        <v>45826.37594136574</v>
      </c>
      <c r="O214" s="4" t="b">
        <v>1</v>
      </c>
      <c r="P214" s="4" t="s">
        <v>1828</v>
      </c>
      <c r="Q214" s="4">
        <v>319.37</v>
      </c>
      <c r="R214" s="4">
        <v>306.43</v>
      </c>
      <c r="S214" s="4">
        <v>293.49</v>
      </c>
      <c r="T214" s="4">
        <v>325.84</v>
      </c>
      <c r="U214" s="4" t="s">
        <v>161</v>
      </c>
      <c r="V214" s="4" t="s">
        <v>1830</v>
      </c>
      <c r="W214" s="7"/>
      <c r="X214" s="81"/>
      <c r="Y214" s="81"/>
      <c r="Z214" s="81"/>
      <c r="AA214" s="7">
        <f t="shared" si="5"/>
        <v>3.22</v>
      </c>
      <c r="AB214" s="7" t="str">
        <f t="shared" si="2"/>
        <v/>
      </c>
      <c r="AC214" s="7">
        <f t="shared" si="1"/>
        <v>0</v>
      </c>
    </row>
    <row r="215">
      <c r="A215" s="138" t="s">
        <v>1840</v>
      </c>
      <c r="B215" s="4" t="s">
        <v>330</v>
      </c>
      <c r="C215" s="4" t="s">
        <v>532</v>
      </c>
      <c r="D215" s="90">
        <v>144.75</v>
      </c>
      <c r="E215" s="90">
        <v>137.81</v>
      </c>
      <c r="F215" s="90">
        <v>145.33</v>
      </c>
      <c r="M215" s="90">
        <v>146.06</v>
      </c>
      <c r="N215" s="92">
        <v>45706.703309131946</v>
      </c>
      <c r="O215" s="4" t="b">
        <v>1</v>
      </c>
      <c r="P215" s="4" t="s">
        <v>1843</v>
      </c>
      <c r="Q215" s="4">
        <v>152.68</v>
      </c>
      <c r="R215" s="4">
        <v>143.96</v>
      </c>
      <c r="S215" s="4">
        <v>135.24</v>
      </c>
      <c r="T215" s="4">
        <v>157.04</v>
      </c>
      <c r="U215" s="4" t="s">
        <v>161</v>
      </c>
      <c r="V215" s="4" t="s">
        <v>1847</v>
      </c>
      <c r="W215" s="7"/>
      <c r="X215" s="81"/>
      <c r="Y215" s="81"/>
      <c r="Z215" s="81"/>
      <c r="AA215" s="7">
        <f t="shared" si="5"/>
        <v>4.78</v>
      </c>
      <c r="AB215" s="7" t="str">
        <f t="shared" si="2"/>
        <v/>
      </c>
      <c r="AC215" s="7">
        <f t="shared" si="1"/>
        <v>0</v>
      </c>
    </row>
    <row r="216">
      <c r="A216" s="138" t="s">
        <v>1849</v>
      </c>
      <c r="B216" s="4" t="s">
        <v>1031</v>
      </c>
      <c r="C216" s="4" t="s">
        <v>1033</v>
      </c>
      <c r="D216" s="90">
        <v>331.83</v>
      </c>
      <c r="M216" s="90">
        <v>184.45</v>
      </c>
      <c r="N216" s="92">
        <v>45888.649150196754</v>
      </c>
      <c r="O216" s="4" t="b">
        <v>1</v>
      </c>
      <c r="P216" s="4" t="s">
        <v>1851</v>
      </c>
      <c r="Q216" s="4">
        <v>339.68</v>
      </c>
      <c r="R216" s="4">
        <v>324.39</v>
      </c>
      <c r="S216" s="4">
        <v>309.1</v>
      </c>
      <c r="T216" s="4">
        <v>347.32</v>
      </c>
      <c r="U216" s="4" t="s">
        <v>161</v>
      </c>
      <c r="V216" s="4" t="s">
        <v>1852</v>
      </c>
      <c r="W216" s="7"/>
      <c r="X216" s="81"/>
      <c r="Y216" s="81"/>
      <c r="Z216" s="81"/>
      <c r="AA216" s="7">
        <f t="shared" si="5"/>
        <v>2.73</v>
      </c>
      <c r="AB216" s="7" t="str">
        <f t="shared" si="2"/>
        <v/>
      </c>
      <c r="AC216" s="7">
        <f t="shared" si="1"/>
        <v>0</v>
      </c>
    </row>
    <row r="217">
      <c r="A217" s="138" t="s">
        <v>1857</v>
      </c>
      <c r="B217" s="4" t="s">
        <v>798</v>
      </c>
      <c r="C217" s="4" t="s">
        <v>799</v>
      </c>
      <c r="D217" s="90">
        <v>129.87</v>
      </c>
      <c r="E217" s="90">
        <v>125.7</v>
      </c>
      <c r="F217" s="90">
        <v>132.4</v>
      </c>
      <c r="H217" s="90">
        <v>-16.41</v>
      </c>
      <c r="I217" s="90">
        <v>27.65</v>
      </c>
      <c r="J217" s="90">
        <v>36.4</v>
      </c>
      <c r="K217" s="90">
        <v>8.44</v>
      </c>
      <c r="M217" s="90">
        <v>181.52</v>
      </c>
      <c r="N217" s="92">
        <v>46219.377022280096</v>
      </c>
      <c r="O217" s="4" t="b">
        <v>1</v>
      </c>
      <c r="P217" s="4" t="s">
        <v>1860</v>
      </c>
      <c r="Q217" s="4">
        <v>139.06</v>
      </c>
      <c r="R217" s="4">
        <v>132.93</v>
      </c>
      <c r="S217" s="4">
        <v>126.8</v>
      </c>
      <c r="T217" s="4">
        <v>142.13</v>
      </c>
      <c r="U217" s="4" t="s">
        <v>161</v>
      </c>
      <c r="V217" s="4" t="s">
        <v>1861</v>
      </c>
      <c r="W217" s="4" t="s">
        <v>111</v>
      </c>
      <c r="X217" s="70">
        <v>128.64</v>
      </c>
      <c r="Y217" s="81"/>
      <c r="Z217" s="81"/>
      <c r="AA217" s="7">
        <f t="shared" si="5"/>
        <v>6.8</v>
      </c>
      <c r="AB217" s="7" t="str">
        <f t="shared" si="2"/>
        <v/>
      </c>
      <c r="AC217" s="7">
        <f t="shared" si="1"/>
        <v>-874.752</v>
      </c>
    </row>
    <row r="218">
      <c r="A218" s="138" t="s">
        <v>1863</v>
      </c>
      <c r="B218" s="4" t="s">
        <v>1424</v>
      </c>
      <c r="C218" s="4" t="s">
        <v>1425</v>
      </c>
      <c r="D218" s="90">
        <v>187.56</v>
      </c>
      <c r="E218" s="90">
        <v>187.12</v>
      </c>
      <c r="F218" s="90">
        <v>201.35</v>
      </c>
      <c r="O218" s="4" t="b">
        <v>1</v>
      </c>
      <c r="P218" s="4" t="s">
        <v>1865</v>
      </c>
      <c r="Q218" s="4">
        <v>188.35</v>
      </c>
      <c r="R218" s="4">
        <v>174.47</v>
      </c>
      <c r="S218" s="4">
        <v>160.59</v>
      </c>
      <c r="T218" s="4">
        <v>195.29</v>
      </c>
      <c r="U218" s="4" t="s">
        <v>161</v>
      </c>
      <c r="V218" s="4" t="s">
        <v>1866</v>
      </c>
      <c r="W218" s="7"/>
      <c r="X218" s="81"/>
      <c r="Y218" s="81"/>
      <c r="Z218" s="81"/>
      <c r="AA218" s="7">
        <f t="shared" si="5"/>
        <v>3</v>
      </c>
      <c r="AB218" s="7" t="str">
        <f t="shared" si="2"/>
        <v/>
      </c>
      <c r="AC218" s="7">
        <f t="shared" si="1"/>
        <v>0</v>
      </c>
    </row>
    <row r="219">
      <c r="A219" s="138" t="s">
        <v>1869</v>
      </c>
      <c r="B219" s="4" t="s">
        <v>211</v>
      </c>
      <c r="C219" s="4" t="s">
        <v>212</v>
      </c>
      <c r="D219" s="90">
        <v>122.25</v>
      </c>
      <c r="E219" s="90">
        <v>119.22</v>
      </c>
      <c r="F219" s="90">
        <v>122.59</v>
      </c>
      <c r="G219" s="4" t="s">
        <v>615</v>
      </c>
      <c r="L219" s="4" t="s">
        <v>213</v>
      </c>
      <c r="M219" s="90">
        <v>117.11</v>
      </c>
      <c r="N219" s="92">
        <v>45856.30512809027</v>
      </c>
      <c r="O219" s="4" t="b">
        <v>1</v>
      </c>
      <c r="P219" s="4" t="s">
        <v>1872</v>
      </c>
      <c r="Q219" s="4">
        <v>129.5</v>
      </c>
      <c r="R219" s="4">
        <v>126.75</v>
      </c>
      <c r="S219" s="4">
        <v>124.0</v>
      </c>
      <c r="T219" s="4">
        <v>130.88</v>
      </c>
      <c r="U219" s="4" t="s">
        <v>161</v>
      </c>
      <c r="V219" s="4" t="s">
        <v>1873</v>
      </c>
      <c r="W219" s="4" t="s">
        <v>111</v>
      </c>
      <c r="X219" s="70">
        <v>121.7</v>
      </c>
      <c r="Y219" s="81"/>
      <c r="Z219" s="81"/>
      <c r="AA219" s="7">
        <f t="shared" si="5"/>
        <v>15.15</v>
      </c>
      <c r="AB219" s="7" t="str">
        <f t="shared" si="2"/>
        <v/>
      </c>
      <c r="AC219" s="7">
        <f t="shared" si="1"/>
        <v>-1843.755</v>
      </c>
    </row>
    <row r="220">
      <c r="A220" s="148" t="s">
        <v>1875</v>
      </c>
      <c r="B220" s="4" t="s">
        <v>157</v>
      </c>
      <c r="C220" s="4" t="s">
        <v>158</v>
      </c>
      <c r="D220" s="90">
        <v>9.91</v>
      </c>
      <c r="O220" s="4" t="b">
        <v>1</v>
      </c>
      <c r="P220" s="4" t="s">
        <v>1876</v>
      </c>
      <c r="Q220" s="4">
        <v>9.86</v>
      </c>
      <c r="R220" s="4" t="s">
        <v>18</v>
      </c>
      <c r="S220" s="4" t="s">
        <v>18</v>
      </c>
      <c r="T220" s="4" t="s">
        <v>18</v>
      </c>
      <c r="U220" s="4" t="s">
        <v>179</v>
      </c>
      <c r="V220" s="4" t="s">
        <v>1877</v>
      </c>
      <c r="W220" s="7"/>
      <c r="X220" s="81"/>
      <c r="Y220" s="81"/>
      <c r="Z220" s="81"/>
      <c r="AA220" s="7">
        <f t="shared" si="5"/>
        <v>101.63</v>
      </c>
      <c r="AB220" s="7" t="str">
        <f t="shared" si="2"/>
        <v/>
      </c>
      <c r="AC220" s="7">
        <f t="shared" si="1"/>
        <v>0</v>
      </c>
    </row>
    <row r="221">
      <c r="A221" s="138" t="s">
        <v>1879</v>
      </c>
      <c r="B221" s="4" t="s">
        <v>586</v>
      </c>
      <c r="C221" s="4" t="s">
        <v>587</v>
      </c>
      <c r="D221" s="90">
        <v>44.29</v>
      </c>
      <c r="E221" s="90">
        <v>41.45</v>
      </c>
      <c r="F221" s="90">
        <v>44.5</v>
      </c>
      <c r="H221" s="90">
        <v>24.65</v>
      </c>
      <c r="I221" s="90">
        <v>73.45</v>
      </c>
      <c r="J221" s="90">
        <v>44.84</v>
      </c>
      <c r="K221" s="90">
        <v>7.18</v>
      </c>
      <c r="L221" s="4" t="s">
        <v>588</v>
      </c>
      <c r="M221" s="90">
        <v>72.55</v>
      </c>
      <c r="N221" s="92">
        <v>45973.399707951394</v>
      </c>
      <c r="O221" s="4" t="b">
        <v>1</v>
      </c>
      <c r="P221" s="4" t="s">
        <v>1881</v>
      </c>
      <c r="Q221" s="4">
        <v>46.3</v>
      </c>
      <c r="R221" s="4">
        <v>43.35</v>
      </c>
      <c r="S221" s="4">
        <v>40.4</v>
      </c>
      <c r="T221" s="4">
        <v>47.77</v>
      </c>
      <c r="U221" s="4" t="s">
        <v>161</v>
      </c>
      <c r="V221" s="4" t="s">
        <v>1883</v>
      </c>
      <c r="W221" s="4" t="s">
        <v>107</v>
      </c>
      <c r="X221" s="70">
        <v>53.77</v>
      </c>
      <c r="Y221" s="81"/>
      <c r="Z221" s="70">
        <v>54.5</v>
      </c>
      <c r="AA221" s="4">
        <v>21.12</v>
      </c>
      <c r="AB221" s="7">
        <f t="shared" si="2"/>
        <v>0.01357634369</v>
      </c>
      <c r="AC221" s="7">
        <f t="shared" si="1"/>
        <v>15.4176</v>
      </c>
    </row>
    <row r="222">
      <c r="A222" s="138" t="s">
        <v>1886</v>
      </c>
      <c r="B222" s="4" t="s">
        <v>1017</v>
      </c>
      <c r="C222" s="4" t="s">
        <v>1018</v>
      </c>
      <c r="D222" s="90">
        <v>64.68</v>
      </c>
      <c r="E222" s="90">
        <v>59.68</v>
      </c>
      <c r="F222" s="90">
        <v>64.84</v>
      </c>
      <c r="H222" s="90">
        <v>7.29</v>
      </c>
      <c r="I222" s="90">
        <v>72.27</v>
      </c>
      <c r="J222" s="90">
        <v>23.53</v>
      </c>
      <c r="K222" s="90">
        <v>1.75</v>
      </c>
      <c r="L222" s="4" t="s">
        <v>542</v>
      </c>
      <c r="M222" s="90">
        <v>47.03</v>
      </c>
      <c r="N222" s="92">
        <v>45895.30139100694</v>
      </c>
      <c r="O222" s="4" t="b">
        <v>1</v>
      </c>
      <c r="P222" s="4" t="s">
        <v>1888</v>
      </c>
      <c r="Q222" s="4">
        <v>67.84</v>
      </c>
      <c r="R222" s="4">
        <v>62.76</v>
      </c>
      <c r="S222" s="4">
        <v>57.68</v>
      </c>
      <c r="T222" s="4">
        <v>70.38</v>
      </c>
      <c r="U222" s="4" t="s">
        <v>161</v>
      </c>
      <c r="V222" s="4" t="s">
        <v>1890</v>
      </c>
      <c r="W222" s="7"/>
      <c r="X222" s="81"/>
      <c r="Y222" s="81"/>
      <c r="Z222" s="81"/>
      <c r="AA222" s="7">
        <f t="shared" ref="AA222:AA245" si="6">VALUE(MID(P222, SEARCH("Qtd:", P222) + 4, SEARCH(",", P222 &amp; ",", SEARCH("Qtd:", P222)) - (SEARCH("Qtd:", P222) + 4)))</f>
        <v>8.2</v>
      </c>
      <c r="AB222" s="7" t="str">
        <f t="shared" si="2"/>
        <v/>
      </c>
      <c r="AC222" s="7">
        <f t="shared" si="1"/>
        <v>0</v>
      </c>
    </row>
    <row r="223">
      <c r="A223" s="138" t="s">
        <v>1897</v>
      </c>
      <c r="B223" s="4" t="s">
        <v>1362</v>
      </c>
      <c r="C223" s="4" t="s">
        <v>1364</v>
      </c>
      <c r="D223" s="90">
        <v>14.86</v>
      </c>
      <c r="E223" s="90">
        <v>13.49</v>
      </c>
      <c r="F223" s="90">
        <v>15.0</v>
      </c>
      <c r="M223" s="90">
        <v>10.48</v>
      </c>
      <c r="N223" s="92">
        <v>45707.2402543287</v>
      </c>
      <c r="O223" s="4" t="b">
        <v>1</v>
      </c>
      <c r="P223" s="4" t="s">
        <v>1900</v>
      </c>
      <c r="Q223" s="4">
        <v>15.63</v>
      </c>
      <c r="R223" s="4">
        <v>14.62</v>
      </c>
      <c r="S223" s="4">
        <v>13.61</v>
      </c>
      <c r="T223" s="4">
        <v>16.14</v>
      </c>
      <c r="U223" s="4" t="s">
        <v>161</v>
      </c>
      <c r="V223" s="4" t="s">
        <v>1901</v>
      </c>
      <c r="W223" s="7"/>
      <c r="X223" s="81"/>
      <c r="Y223" s="81"/>
      <c r="Z223" s="81"/>
      <c r="AA223" s="7">
        <f t="shared" si="6"/>
        <v>41.25</v>
      </c>
      <c r="AB223" s="7" t="str">
        <f t="shared" si="2"/>
        <v/>
      </c>
      <c r="AC223" s="7">
        <f t="shared" si="1"/>
        <v>0</v>
      </c>
    </row>
    <row r="224">
      <c r="A224" s="146" t="s">
        <v>1903</v>
      </c>
      <c r="B224" s="146" t="s">
        <v>1499</v>
      </c>
      <c r="C224" s="146" t="s">
        <v>1500</v>
      </c>
      <c r="D224" s="146">
        <v>42.96</v>
      </c>
      <c r="E224" s="146">
        <v>42.83</v>
      </c>
      <c r="F224" s="146">
        <v>45.54</v>
      </c>
      <c r="G224" s="146" t="s">
        <v>957</v>
      </c>
      <c r="H224" s="146"/>
      <c r="I224" s="146"/>
      <c r="J224" s="146"/>
      <c r="K224" s="146"/>
      <c r="L224" s="146"/>
      <c r="M224" s="146"/>
      <c r="N224" s="146"/>
      <c r="O224" s="146" t="b">
        <v>1</v>
      </c>
      <c r="P224" s="146" t="s">
        <v>1906</v>
      </c>
      <c r="Q224" s="146">
        <v>43.37</v>
      </c>
      <c r="R224" s="146">
        <v>41.54</v>
      </c>
      <c r="S224" s="146">
        <v>39.71</v>
      </c>
      <c r="T224" s="146">
        <v>44.28</v>
      </c>
      <c r="U224" s="146" t="s">
        <v>161</v>
      </c>
      <c r="V224" s="146" t="s">
        <v>1909</v>
      </c>
      <c r="W224" s="146" t="s">
        <v>107</v>
      </c>
      <c r="X224" s="146">
        <v>42.34</v>
      </c>
      <c r="Y224" s="146">
        <v>40.39</v>
      </c>
      <c r="Z224" s="146">
        <v>44.2</v>
      </c>
      <c r="AA224" s="146">
        <f t="shared" si="6"/>
        <v>22.77</v>
      </c>
      <c r="AB224" s="146">
        <f t="shared" si="2"/>
        <v>0.9538461538</v>
      </c>
      <c r="AC224" s="146">
        <f t="shared" si="1"/>
        <v>42.3522</v>
      </c>
      <c r="AD224" s="146"/>
      <c r="AE224" s="146"/>
      <c r="AF224" s="146"/>
      <c r="AG224" s="146"/>
      <c r="AH224" s="146"/>
      <c r="AI224" s="146"/>
      <c r="AJ224" s="146"/>
      <c r="AK224" s="146"/>
      <c r="AL224" s="146"/>
      <c r="AM224" s="146"/>
      <c r="AN224" s="146"/>
      <c r="AO224" s="146"/>
      <c r="AP224" s="146"/>
      <c r="AQ224" s="146"/>
      <c r="AR224" s="146"/>
      <c r="AS224" s="146"/>
      <c r="AT224" s="146"/>
      <c r="AU224" s="146"/>
      <c r="AV224" s="146"/>
      <c r="AW224" s="146"/>
      <c r="AX224" s="146"/>
      <c r="AY224" s="146"/>
      <c r="AZ224" s="146"/>
      <c r="BA224" s="146"/>
      <c r="BB224" s="146"/>
      <c r="BC224" s="146"/>
      <c r="BD224" s="146"/>
      <c r="BE224" s="146"/>
      <c r="BF224" s="146"/>
      <c r="BG224" s="146"/>
    </row>
    <row r="225">
      <c r="A225" s="138" t="s">
        <v>1918</v>
      </c>
      <c r="B225" s="4" t="s">
        <v>1046</v>
      </c>
      <c r="C225" s="4" t="s">
        <v>1047</v>
      </c>
      <c r="D225" s="90">
        <v>6.63</v>
      </c>
      <c r="E225" s="90">
        <v>6.53</v>
      </c>
      <c r="F225" s="90">
        <v>6.65</v>
      </c>
      <c r="M225" s="90">
        <v>173.12</v>
      </c>
      <c r="N225" s="92">
        <v>45708.41577071759</v>
      </c>
      <c r="O225" s="4" t="b">
        <v>1</v>
      </c>
      <c r="P225" s="4" t="s">
        <v>1921</v>
      </c>
      <c r="Q225" s="4">
        <v>6.53</v>
      </c>
      <c r="R225" s="4" t="s">
        <v>18</v>
      </c>
      <c r="S225" s="4" t="s">
        <v>18</v>
      </c>
      <c r="T225" s="4" t="s">
        <v>18</v>
      </c>
      <c r="U225" s="4" t="s">
        <v>179</v>
      </c>
      <c r="V225" s="4" t="s">
        <v>1923</v>
      </c>
      <c r="W225" s="7"/>
      <c r="X225" s="81"/>
      <c r="Y225" s="81"/>
      <c r="Z225" s="81"/>
      <c r="AA225" s="7">
        <f t="shared" si="6"/>
        <v>297.62</v>
      </c>
      <c r="AB225" s="7" t="str">
        <f t="shared" si="2"/>
        <v/>
      </c>
      <c r="AC225" s="7">
        <f t="shared" si="1"/>
        <v>0</v>
      </c>
    </row>
    <row r="226">
      <c r="A226" s="138" t="s">
        <v>1926</v>
      </c>
      <c r="B226" s="4" t="s">
        <v>1057</v>
      </c>
      <c r="C226" s="4" t="s">
        <v>1058</v>
      </c>
      <c r="D226" s="90">
        <v>35.77</v>
      </c>
      <c r="E226" s="90">
        <v>33.0</v>
      </c>
      <c r="F226" s="90">
        <v>36.18</v>
      </c>
      <c r="H226" s="90">
        <v>-2.1</v>
      </c>
      <c r="I226" s="90">
        <v>50.61</v>
      </c>
      <c r="J226" s="90">
        <v>29.81</v>
      </c>
      <c r="K226" s="90">
        <v>3.37</v>
      </c>
      <c r="L226" s="4" t="s">
        <v>998</v>
      </c>
      <c r="M226" s="90">
        <v>41.06</v>
      </c>
      <c r="N226" s="92">
        <v>45868.35878219907</v>
      </c>
      <c r="O226" s="4" t="b">
        <v>1</v>
      </c>
      <c r="P226" s="4" t="s">
        <v>1929</v>
      </c>
      <c r="Q226" s="4">
        <v>37.65</v>
      </c>
      <c r="R226" s="4">
        <v>35.27</v>
      </c>
      <c r="S226" s="4">
        <v>32.89</v>
      </c>
      <c r="T226" s="4">
        <v>38.84</v>
      </c>
      <c r="U226" s="4" t="s">
        <v>161</v>
      </c>
      <c r="V226" s="4" t="s">
        <v>1931</v>
      </c>
      <c r="W226" s="7"/>
      <c r="X226" s="81"/>
      <c r="Y226" s="81"/>
      <c r="Z226" s="81"/>
      <c r="AA226" s="7">
        <f t="shared" si="6"/>
        <v>17.51</v>
      </c>
      <c r="AB226" s="7" t="str">
        <f t="shared" si="2"/>
        <v/>
      </c>
      <c r="AC226" s="7">
        <f t="shared" si="1"/>
        <v>0</v>
      </c>
    </row>
    <row r="227">
      <c r="A227" s="138" t="s">
        <v>1935</v>
      </c>
      <c r="B227" s="4" t="s">
        <v>1077</v>
      </c>
      <c r="C227" s="4" t="s">
        <v>1079</v>
      </c>
      <c r="D227" s="90">
        <v>4.18</v>
      </c>
      <c r="E227" s="90">
        <v>3.78</v>
      </c>
      <c r="F227" s="90">
        <v>4.24</v>
      </c>
      <c r="G227" s="4" t="s">
        <v>673</v>
      </c>
      <c r="L227" s="4" t="s">
        <v>588</v>
      </c>
      <c r="M227" s="90">
        <v>14.62</v>
      </c>
      <c r="N227" s="92">
        <v>45852.921677280094</v>
      </c>
      <c r="O227" s="4" t="b">
        <v>1</v>
      </c>
      <c r="P227" s="4" t="s">
        <v>1936</v>
      </c>
      <c r="Q227" s="4">
        <v>4.3</v>
      </c>
      <c r="R227" s="4">
        <v>3.97</v>
      </c>
      <c r="S227" s="4">
        <v>3.64</v>
      </c>
      <c r="T227" s="4">
        <v>4.46</v>
      </c>
      <c r="U227" s="4" t="s">
        <v>161</v>
      </c>
      <c r="V227" s="4" t="s">
        <v>1938</v>
      </c>
      <c r="W227" s="7"/>
      <c r="X227" s="81"/>
      <c r="Y227" s="81"/>
      <c r="Z227" s="81"/>
      <c r="AA227" s="7">
        <f t="shared" si="6"/>
        <v>126.26</v>
      </c>
      <c r="AB227" s="7" t="str">
        <f t="shared" si="2"/>
        <v/>
      </c>
      <c r="AC227" s="7">
        <f t="shared" si="1"/>
        <v>0</v>
      </c>
    </row>
    <row r="228">
      <c r="A228" s="138" t="s">
        <v>1939</v>
      </c>
      <c r="B228" s="4" t="s">
        <v>1450</v>
      </c>
      <c r="C228" s="4" t="s">
        <v>1451</v>
      </c>
      <c r="D228" s="90">
        <v>2.83</v>
      </c>
      <c r="E228" s="90">
        <v>2.61</v>
      </c>
      <c r="F228" s="90">
        <v>2.85</v>
      </c>
      <c r="G228" s="4" t="s">
        <v>615</v>
      </c>
      <c r="H228" s="90">
        <v>-0.46</v>
      </c>
      <c r="I228" s="90">
        <v>63.98</v>
      </c>
      <c r="J228" s="90">
        <v>47.18</v>
      </c>
      <c r="K228" s="90">
        <v>0.71</v>
      </c>
      <c r="L228" s="4" t="s">
        <v>998</v>
      </c>
      <c r="M228" s="90">
        <v>7.1</v>
      </c>
      <c r="N228" s="92">
        <v>45855.328992083334</v>
      </c>
      <c r="O228" s="4" t="b">
        <v>1</v>
      </c>
      <c r="P228" s="4" t="s">
        <v>1941</v>
      </c>
      <c r="Q228" s="4">
        <v>3.0</v>
      </c>
      <c r="R228" s="4">
        <v>2.83</v>
      </c>
      <c r="S228" s="4">
        <v>2.66</v>
      </c>
      <c r="T228" s="4">
        <v>3.08</v>
      </c>
      <c r="U228" s="4" t="s">
        <v>161</v>
      </c>
      <c r="V228" s="4" t="s">
        <v>1943</v>
      </c>
      <c r="W228" s="7"/>
      <c r="X228" s="81"/>
      <c r="Y228" s="81"/>
      <c r="Z228" s="81"/>
      <c r="AA228" s="7">
        <f t="shared" si="6"/>
        <v>245.1</v>
      </c>
      <c r="AB228" s="7" t="str">
        <f t="shared" si="2"/>
        <v/>
      </c>
      <c r="AC228" s="7">
        <f t="shared" si="1"/>
        <v>0</v>
      </c>
    </row>
    <row r="229">
      <c r="A229" s="138" t="s">
        <v>1947</v>
      </c>
      <c r="B229" s="4" t="s">
        <v>1782</v>
      </c>
      <c r="C229" s="4" t="s">
        <v>1789</v>
      </c>
      <c r="D229" s="90">
        <v>58.44</v>
      </c>
      <c r="E229" s="90">
        <v>54.4</v>
      </c>
      <c r="F229" s="90">
        <v>58.51</v>
      </c>
      <c r="H229" s="90">
        <v>-25.79</v>
      </c>
      <c r="I229" s="90">
        <v>34.66</v>
      </c>
      <c r="J229" s="90">
        <v>17.28</v>
      </c>
      <c r="K229" s="90">
        <v>7.47</v>
      </c>
      <c r="L229" s="4" t="s">
        <v>170</v>
      </c>
      <c r="M229" s="90">
        <v>60.53</v>
      </c>
      <c r="N229" s="92">
        <v>46219.377022280096</v>
      </c>
      <c r="O229" s="4" t="b">
        <v>1</v>
      </c>
      <c r="P229" s="4" t="s">
        <v>1951</v>
      </c>
      <c r="Q229" s="4">
        <v>61.2</v>
      </c>
      <c r="R229" s="4">
        <v>56.2</v>
      </c>
      <c r="S229" s="4">
        <v>51.2</v>
      </c>
      <c r="T229" s="4">
        <v>63.7</v>
      </c>
      <c r="U229" s="4" t="s">
        <v>161</v>
      </c>
      <c r="V229" s="4" t="s">
        <v>1952</v>
      </c>
      <c r="W229" s="7"/>
      <c r="X229" s="81"/>
      <c r="Y229" s="81"/>
      <c r="Z229" s="81"/>
      <c r="AA229" s="7">
        <f t="shared" si="6"/>
        <v>8.33</v>
      </c>
      <c r="AB229" s="7" t="str">
        <f t="shared" si="2"/>
        <v/>
      </c>
      <c r="AC229" s="7">
        <f t="shared" si="1"/>
        <v>0</v>
      </c>
    </row>
    <row r="230">
      <c r="A230" s="138" t="s">
        <v>1954</v>
      </c>
      <c r="B230" s="4" t="s">
        <v>818</v>
      </c>
      <c r="C230" s="4" t="s">
        <v>968</v>
      </c>
      <c r="D230" s="90">
        <v>366.66</v>
      </c>
      <c r="E230" s="90">
        <v>357.38</v>
      </c>
      <c r="F230" s="90">
        <v>376.45</v>
      </c>
      <c r="G230" s="4" t="s">
        <v>957</v>
      </c>
      <c r="H230" s="90">
        <v>0.47</v>
      </c>
      <c r="I230" s="90">
        <v>28.9</v>
      </c>
      <c r="J230" s="90">
        <v>47.68</v>
      </c>
      <c r="K230" s="90">
        <v>7.69</v>
      </c>
      <c r="L230" s="4" t="s">
        <v>197</v>
      </c>
      <c r="M230" s="90">
        <v>175.87</v>
      </c>
      <c r="N230" s="92">
        <v>46079.320398587966</v>
      </c>
      <c r="O230" s="4" t="b">
        <v>1</v>
      </c>
      <c r="P230" s="4" t="s">
        <v>1955</v>
      </c>
      <c r="Q230" s="4">
        <v>372.15</v>
      </c>
      <c r="R230" s="4">
        <v>354.93</v>
      </c>
      <c r="S230" s="4">
        <v>337.71</v>
      </c>
      <c r="T230" s="4">
        <v>380.76</v>
      </c>
      <c r="U230" s="4" t="s">
        <v>161</v>
      </c>
      <c r="V230" s="4" t="s">
        <v>1957</v>
      </c>
      <c r="W230" s="7"/>
      <c r="X230" s="81"/>
      <c r="Y230" s="81"/>
      <c r="Z230" s="81"/>
      <c r="AA230" s="7">
        <f t="shared" si="6"/>
        <v>2.42</v>
      </c>
      <c r="AB230" s="7" t="str">
        <f t="shared" si="2"/>
        <v/>
      </c>
      <c r="AC230" s="7">
        <f t="shared" si="1"/>
        <v>0</v>
      </c>
    </row>
    <row r="231">
      <c r="A231" s="138" t="s">
        <v>1961</v>
      </c>
      <c r="B231" s="4" t="s">
        <v>1336</v>
      </c>
      <c r="C231" s="4" t="s">
        <v>1338</v>
      </c>
      <c r="D231" s="90">
        <v>75.01</v>
      </c>
      <c r="E231" s="90">
        <v>73.25</v>
      </c>
      <c r="F231" s="90">
        <v>75.86</v>
      </c>
      <c r="H231" s="90">
        <v>12.7</v>
      </c>
      <c r="I231" s="90">
        <v>66.73</v>
      </c>
      <c r="L231" s="4" t="s">
        <v>1339</v>
      </c>
      <c r="M231" s="90">
        <v>63.5</v>
      </c>
      <c r="N231" s="92">
        <v>45995.48168557871</v>
      </c>
      <c r="O231" s="4" t="b">
        <v>1</v>
      </c>
      <c r="P231" s="4" t="s">
        <v>1963</v>
      </c>
      <c r="Q231" s="4">
        <v>77.67</v>
      </c>
      <c r="R231" s="4">
        <v>74.22</v>
      </c>
      <c r="S231" s="4">
        <v>70.77</v>
      </c>
      <c r="T231" s="4">
        <v>79.39</v>
      </c>
      <c r="U231" s="4" t="s">
        <v>161</v>
      </c>
      <c r="V231" s="4" t="s">
        <v>1965</v>
      </c>
      <c r="W231" s="7"/>
      <c r="X231" s="81"/>
      <c r="Y231" s="81"/>
      <c r="Z231" s="81"/>
      <c r="AA231" s="7">
        <f t="shared" si="6"/>
        <v>12.08</v>
      </c>
      <c r="AB231" s="7" t="str">
        <f t="shared" si="2"/>
        <v/>
      </c>
      <c r="AC231" s="7">
        <f t="shared" si="1"/>
        <v>0</v>
      </c>
    </row>
    <row r="232">
      <c r="A232" s="138" t="s">
        <v>1967</v>
      </c>
      <c r="B232" s="4" t="s">
        <v>1249</v>
      </c>
      <c r="C232" s="4" t="s">
        <v>1250</v>
      </c>
      <c r="D232" s="90">
        <v>421.47</v>
      </c>
      <c r="E232" s="90">
        <v>411.29</v>
      </c>
      <c r="F232" s="90">
        <v>427.34</v>
      </c>
      <c r="M232" s="90">
        <v>282.77</v>
      </c>
      <c r="N232" s="92">
        <v>45793.54257520833</v>
      </c>
      <c r="O232" s="4" t="b">
        <v>1</v>
      </c>
      <c r="P232" s="4" t="s">
        <v>1969</v>
      </c>
      <c r="Q232" s="4">
        <v>422.81</v>
      </c>
      <c r="R232" s="4">
        <v>409.26</v>
      </c>
      <c r="S232" s="4">
        <v>395.71</v>
      </c>
      <c r="T232" s="4">
        <v>429.58</v>
      </c>
      <c r="U232" s="4" t="s">
        <v>161</v>
      </c>
      <c r="V232" s="4" t="s">
        <v>1971</v>
      </c>
      <c r="W232" s="7"/>
      <c r="X232" s="81"/>
      <c r="Y232" s="81"/>
      <c r="Z232" s="81"/>
      <c r="AA232" s="7">
        <f t="shared" si="6"/>
        <v>3.08</v>
      </c>
      <c r="AB232" s="7" t="str">
        <f t="shared" si="2"/>
        <v/>
      </c>
      <c r="AC232" s="7">
        <f t="shared" si="1"/>
        <v>0</v>
      </c>
    </row>
    <row r="233">
      <c r="A233" s="138" t="s">
        <v>1975</v>
      </c>
      <c r="B233" s="4" t="s">
        <v>270</v>
      </c>
      <c r="C233" s="4" t="s">
        <v>271</v>
      </c>
      <c r="D233" s="90">
        <v>308.85</v>
      </c>
      <c r="E233" s="90">
        <v>301.33</v>
      </c>
      <c r="F233" s="90">
        <v>310.87</v>
      </c>
      <c r="M233" s="90">
        <v>318.38</v>
      </c>
      <c r="N233" s="92">
        <v>45826.37594136574</v>
      </c>
      <c r="O233" s="4" t="b">
        <v>1</v>
      </c>
      <c r="P233" s="4" t="s">
        <v>1978</v>
      </c>
      <c r="Q233" s="4">
        <v>315.5</v>
      </c>
      <c r="R233" s="4">
        <v>302.51</v>
      </c>
      <c r="S233" s="4">
        <v>289.52</v>
      </c>
      <c r="T233" s="4">
        <v>322.0</v>
      </c>
      <c r="U233" s="4" t="s">
        <v>161</v>
      </c>
      <c r="V233" s="4" t="s">
        <v>1980</v>
      </c>
      <c r="W233" s="7"/>
      <c r="X233" s="81"/>
      <c r="Y233" s="81"/>
      <c r="Z233" s="81"/>
      <c r="AA233" s="7">
        <f t="shared" si="6"/>
        <v>3.21</v>
      </c>
      <c r="AB233" s="7" t="str">
        <f t="shared" si="2"/>
        <v/>
      </c>
      <c r="AC233" s="7">
        <f t="shared" si="1"/>
        <v>0</v>
      </c>
    </row>
    <row r="234">
      <c r="A234" s="138" t="s">
        <v>1983</v>
      </c>
      <c r="B234" s="4" t="s">
        <v>330</v>
      </c>
      <c r="C234" s="4" t="s">
        <v>532</v>
      </c>
      <c r="D234" s="90">
        <v>141.71</v>
      </c>
      <c r="E234" s="90">
        <v>131.0</v>
      </c>
      <c r="F234" s="90">
        <v>143.41</v>
      </c>
      <c r="M234" s="90">
        <v>146.06</v>
      </c>
      <c r="N234" s="92">
        <v>45706.703309131946</v>
      </c>
      <c r="O234" s="4" t="b">
        <v>1</v>
      </c>
      <c r="P234" s="4" t="s">
        <v>1986</v>
      </c>
      <c r="Q234" s="4">
        <v>142.31</v>
      </c>
      <c r="R234" s="4">
        <v>133.62</v>
      </c>
      <c r="S234" s="4">
        <v>124.93</v>
      </c>
      <c r="T234" s="4">
        <v>146.66</v>
      </c>
      <c r="U234" s="4" t="s">
        <v>161</v>
      </c>
      <c r="V234" s="4" t="s">
        <v>1989</v>
      </c>
      <c r="W234" s="7"/>
      <c r="X234" s="81"/>
      <c r="Y234" s="81"/>
      <c r="Z234" s="81"/>
      <c r="AA234" s="7">
        <f t="shared" si="6"/>
        <v>4.79</v>
      </c>
      <c r="AB234" s="7" t="str">
        <f t="shared" si="2"/>
        <v/>
      </c>
      <c r="AC234" s="7">
        <f t="shared" si="1"/>
        <v>0</v>
      </c>
    </row>
    <row r="235">
      <c r="A235" s="138" t="s">
        <v>1995</v>
      </c>
      <c r="B235" s="4" t="s">
        <v>1031</v>
      </c>
      <c r="C235" s="4" t="s">
        <v>1033</v>
      </c>
      <c r="D235" s="90">
        <v>325.68</v>
      </c>
      <c r="M235" s="90">
        <v>184.45</v>
      </c>
      <c r="N235" s="92">
        <v>45888.649150196754</v>
      </c>
      <c r="O235" s="4" t="b">
        <v>1</v>
      </c>
      <c r="P235" s="4" t="s">
        <v>1997</v>
      </c>
      <c r="Q235" s="4">
        <v>333.0</v>
      </c>
      <c r="R235" s="4">
        <v>317.69</v>
      </c>
      <c r="S235" s="4">
        <v>302.38</v>
      </c>
      <c r="T235" s="4">
        <v>340.65</v>
      </c>
      <c r="U235" s="4" t="s">
        <v>161</v>
      </c>
      <c r="V235" s="4" t="s">
        <v>2000</v>
      </c>
      <c r="W235" s="7"/>
      <c r="X235" s="81"/>
      <c r="Y235" s="81"/>
      <c r="Z235" s="81"/>
      <c r="AA235" s="7">
        <f t="shared" si="6"/>
        <v>2.72</v>
      </c>
      <c r="AB235" s="7" t="str">
        <f t="shared" si="2"/>
        <v/>
      </c>
      <c r="AC235" s="7">
        <f t="shared" si="1"/>
        <v>0</v>
      </c>
    </row>
    <row r="236">
      <c r="A236" s="138" t="s">
        <v>2004</v>
      </c>
      <c r="B236" s="4" t="s">
        <v>798</v>
      </c>
      <c r="C236" s="4" t="s">
        <v>799</v>
      </c>
      <c r="D236" s="90">
        <v>127.56</v>
      </c>
      <c r="E236" s="90">
        <v>121.58</v>
      </c>
      <c r="F236" s="90">
        <v>128.34</v>
      </c>
      <c r="H236" s="90">
        <v>-16.41</v>
      </c>
      <c r="I236" s="90">
        <v>27.65</v>
      </c>
      <c r="J236" s="90">
        <v>36.4</v>
      </c>
      <c r="K236" s="90">
        <v>8.44</v>
      </c>
      <c r="M236" s="90">
        <v>181.52</v>
      </c>
      <c r="N236" s="92">
        <v>46219.377022280096</v>
      </c>
      <c r="O236" s="4" t="b">
        <v>1</v>
      </c>
      <c r="P236" s="4" t="s">
        <v>2006</v>
      </c>
      <c r="Q236" s="4">
        <v>132.4</v>
      </c>
      <c r="R236" s="4">
        <v>126.15</v>
      </c>
      <c r="S236" s="4">
        <v>119.9</v>
      </c>
      <c r="T236" s="4">
        <v>135.53</v>
      </c>
      <c r="U236" s="4" t="s">
        <v>161</v>
      </c>
      <c r="V236" s="4" t="s">
        <v>2009</v>
      </c>
      <c r="W236" s="7"/>
      <c r="X236" s="81"/>
      <c r="Y236" s="81"/>
      <c r="Z236" s="81"/>
      <c r="AA236" s="7">
        <f t="shared" si="6"/>
        <v>6.67</v>
      </c>
      <c r="AB236" s="7" t="str">
        <f t="shared" si="2"/>
        <v/>
      </c>
      <c r="AC236" s="7">
        <f t="shared" si="1"/>
        <v>0</v>
      </c>
    </row>
    <row r="237">
      <c r="A237" s="138" t="s">
        <v>2014</v>
      </c>
      <c r="B237" s="4" t="s">
        <v>612</v>
      </c>
      <c r="C237" s="4" t="s">
        <v>613</v>
      </c>
      <c r="D237" s="90">
        <v>577.35</v>
      </c>
      <c r="E237" s="90">
        <v>567.63</v>
      </c>
      <c r="F237" s="90">
        <v>582.62</v>
      </c>
      <c r="G237" s="4" t="s">
        <v>615</v>
      </c>
      <c r="M237" s="90">
        <v>588.03</v>
      </c>
      <c r="N237" s="92">
        <v>45912.10145469908</v>
      </c>
      <c r="O237" s="4" t="b">
        <v>1</v>
      </c>
      <c r="P237" s="4" t="s">
        <v>2016</v>
      </c>
      <c r="Q237" s="4">
        <v>575.42</v>
      </c>
      <c r="R237" s="4" t="s">
        <v>18</v>
      </c>
      <c r="S237" s="4" t="s">
        <v>18</v>
      </c>
      <c r="T237" s="4" t="s">
        <v>18</v>
      </c>
      <c r="U237" s="4" t="s">
        <v>179</v>
      </c>
      <c r="V237" s="4" t="s">
        <v>2017</v>
      </c>
      <c r="W237" s="7"/>
      <c r="X237" s="81"/>
      <c r="Y237" s="81"/>
      <c r="Z237" s="81"/>
      <c r="AA237" s="7">
        <f t="shared" si="6"/>
        <v>3.9</v>
      </c>
      <c r="AB237" s="7" t="str">
        <f t="shared" si="2"/>
        <v/>
      </c>
      <c r="AC237" s="7">
        <f t="shared" si="1"/>
        <v>0</v>
      </c>
    </row>
    <row r="238">
      <c r="A238" s="138" t="s">
        <v>2019</v>
      </c>
      <c r="B238" s="4" t="s">
        <v>1424</v>
      </c>
      <c r="C238" s="4" t="s">
        <v>1425</v>
      </c>
      <c r="D238" s="90">
        <v>183.3</v>
      </c>
      <c r="E238" s="90">
        <v>175.15</v>
      </c>
      <c r="F238" s="90">
        <v>184.35</v>
      </c>
      <c r="O238" s="4" t="b">
        <v>1</v>
      </c>
      <c r="P238" s="4" t="s">
        <v>2020</v>
      </c>
      <c r="Q238" s="4">
        <v>201.35</v>
      </c>
      <c r="R238" s="4">
        <v>187.52</v>
      </c>
      <c r="S238" s="4">
        <v>173.69</v>
      </c>
      <c r="T238" s="4">
        <v>208.26</v>
      </c>
      <c r="U238" s="4" t="s">
        <v>161</v>
      </c>
      <c r="V238" s="4" t="s">
        <v>2022</v>
      </c>
      <c r="W238" s="7"/>
      <c r="X238" s="81"/>
      <c r="Y238" s="81"/>
      <c r="Z238" s="81"/>
      <c r="AA238" s="7">
        <f t="shared" si="6"/>
        <v>3.01</v>
      </c>
      <c r="AB238" s="7" t="str">
        <f t="shared" si="2"/>
        <v/>
      </c>
      <c r="AC238" s="7">
        <f t="shared" si="1"/>
        <v>0</v>
      </c>
    </row>
    <row r="239">
      <c r="A239" s="148" t="s">
        <v>2028</v>
      </c>
      <c r="B239" s="4" t="s">
        <v>1289</v>
      </c>
      <c r="C239" s="4" t="s">
        <v>1290</v>
      </c>
      <c r="D239" s="90">
        <v>360.0</v>
      </c>
      <c r="O239" s="4" t="b">
        <v>1</v>
      </c>
      <c r="P239" s="4" t="s">
        <v>2031</v>
      </c>
      <c r="Q239" s="4">
        <v>355.14</v>
      </c>
      <c r="R239" s="4" t="s">
        <v>18</v>
      </c>
      <c r="S239" s="4" t="s">
        <v>18</v>
      </c>
      <c r="T239" s="4" t="s">
        <v>18</v>
      </c>
      <c r="U239" s="4" t="s">
        <v>179</v>
      </c>
      <c r="V239" s="4" t="s">
        <v>2032</v>
      </c>
      <c r="W239" s="7"/>
      <c r="X239" s="81"/>
      <c r="Y239" s="81"/>
      <c r="Z239" s="81"/>
      <c r="AA239" s="7">
        <f t="shared" si="6"/>
        <v>3.02</v>
      </c>
      <c r="AB239" s="7" t="str">
        <f t="shared" si="2"/>
        <v/>
      </c>
      <c r="AC239" s="7">
        <f t="shared" si="1"/>
        <v>0</v>
      </c>
    </row>
    <row r="240">
      <c r="A240" s="138" t="s">
        <v>2034</v>
      </c>
      <c r="B240" s="4" t="s">
        <v>995</v>
      </c>
      <c r="C240" s="4" t="s">
        <v>996</v>
      </c>
      <c r="D240" s="90">
        <v>5.22</v>
      </c>
      <c r="E240" s="90">
        <v>5.22</v>
      </c>
      <c r="F240" s="90">
        <v>5.23</v>
      </c>
      <c r="G240" s="4" t="s">
        <v>673</v>
      </c>
      <c r="H240" s="90">
        <v>0.43</v>
      </c>
      <c r="I240" s="90">
        <v>66.99</v>
      </c>
      <c r="J240" s="90">
        <v>19.96</v>
      </c>
      <c r="K240" s="90">
        <v>0.18</v>
      </c>
      <c r="L240" s="4" t="s">
        <v>998</v>
      </c>
      <c r="M240" s="90">
        <v>2.42</v>
      </c>
      <c r="N240" s="92">
        <v>45856.303116469906</v>
      </c>
      <c r="O240" s="4" t="b">
        <v>1</v>
      </c>
      <c r="P240" s="4" t="s">
        <v>2037</v>
      </c>
      <c r="Q240" s="4">
        <v>5.23</v>
      </c>
      <c r="R240" s="4">
        <v>5.21</v>
      </c>
      <c r="S240" s="4">
        <v>5.19</v>
      </c>
      <c r="T240" s="4">
        <v>5.24</v>
      </c>
      <c r="U240" s="4" t="s">
        <v>161</v>
      </c>
      <c r="V240" s="4" t="s">
        <v>2039</v>
      </c>
      <c r="W240" s="7"/>
      <c r="X240" s="81"/>
      <c r="Y240" s="81"/>
      <c r="Z240" s="81"/>
      <c r="AA240" s="7">
        <f t="shared" si="6"/>
        <v>2083.33</v>
      </c>
      <c r="AB240" s="7" t="str">
        <f t="shared" si="2"/>
        <v/>
      </c>
      <c r="AC240" s="7">
        <f t="shared" si="1"/>
        <v>0</v>
      </c>
    </row>
    <row r="241">
      <c r="A241" s="138" t="s">
        <v>2043</v>
      </c>
      <c r="B241" s="4" t="s">
        <v>1152</v>
      </c>
      <c r="C241" s="4" t="s">
        <v>1153</v>
      </c>
      <c r="D241" s="90">
        <v>368.73</v>
      </c>
      <c r="E241" s="90">
        <v>355.48</v>
      </c>
      <c r="F241" s="90">
        <v>373.97</v>
      </c>
      <c r="G241" s="4" t="s">
        <v>615</v>
      </c>
      <c r="M241" s="90">
        <v>351.99</v>
      </c>
      <c r="N241" s="92">
        <v>45721.7049833912</v>
      </c>
      <c r="O241" s="4" t="b">
        <v>1</v>
      </c>
      <c r="P241" s="4" t="s">
        <v>2045</v>
      </c>
      <c r="Q241" s="4">
        <v>367.0</v>
      </c>
      <c r="R241" s="4" t="s">
        <v>18</v>
      </c>
      <c r="S241" s="4" t="s">
        <v>18</v>
      </c>
      <c r="T241" s="4" t="s">
        <v>18</v>
      </c>
      <c r="U241" s="4" t="s">
        <v>179</v>
      </c>
      <c r="V241" s="4" t="s">
        <v>2046</v>
      </c>
      <c r="W241" s="4" t="s">
        <v>109</v>
      </c>
      <c r="X241" s="70">
        <v>365.0</v>
      </c>
      <c r="Y241" s="70">
        <v>358.29</v>
      </c>
      <c r="Z241" s="70">
        <v>359.31</v>
      </c>
      <c r="AA241" s="7">
        <f t="shared" si="6"/>
        <v>5.59</v>
      </c>
      <c r="AB241" s="7">
        <f t="shared" si="2"/>
        <v>-0.8479880775</v>
      </c>
      <c r="AC241" s="7">
        <f t="shared" si="1"/>
        <v>-31.8071</v>
      </c>
    </row>
    <row r="242">
      <c r="A242" s="138" t="s">
        <v>2048</v>
      </c>
      <c r="B242" s="4" t="s">
        <v>364</v>
      </c>
      <c r="C242" s="4" t="s">
        <v>365</v>
      </c>
      <c r="D242" s="90">
        <v>108.0</v>
      </c>
      <c r="E242" s="90">
        <v>106.97</v>
      </c>
      <c r="F242" s="90">
        <v>110.04</v>
      </c>
      <c r="H242" s="90">
        <v>7.93</v>
      </c>
      <c r="I242" s="90">
        <v>0.0</v>
      </c>
      <c r="J242" s="90">
        <v>21.44</v>
      </c>
      <c r="K242" s="90">
        <v>3.13</v>
      </c>
      <c r="O242" s="4" t="b">
        <v>1</v>
      </c>
      <c r="P242" s="4" t="s">
        <v>2050</v>
      </c>
      <c r="Q242" s="4">
        <v>106.81</v>
      </c>
      <c r="R242" s="4" t="s">
        <v>18</v>
      </c>
      <c r="S242" s="4" t="s">
        <v>18</v>
      </c>
      <c r="T242" s="4" t="s">
        <v>18</v>
      </c>
      <c r="U242" s="4" t="s">
        <v>179</v>
      </c>
      <c r="V242" s="4" t="s">
        <v>2052</v>
      </c>
      <c r="W242" s="7"/>
      <c r="X242" s="81"/>
      <c r="Y242" s="81"/>
      <c r="Z242" s="81"/>
      <c r="AA242" s="7">
        <f t="shared" si="6"/>
        <v>15.72</v>
      </c>
      <c r="AB242" s="7" t="str">
        <f t="shared" si="2"/>
        <v/>
      </c>
      <c r="AC242" s="7">
        <f t="shared" si="1"/>
        <v>0</v>
      </c>
    </row>
    <row r="243">
      <c r="A243" s="138" t="s">
        <v>2056</v>
      </c>
      <c r="B243" s="4" t="s">
        <v>2057</v>
      </c>
      <c r="C243" s="4" t="s">
        <v>2060</v>
      </c>
      <c r="D243" s="90">
        <v>213.15</v>
      </c>
      <c r="E243" s="90">
        <v>212.01</v>
      </c>
      <c r="F243" s="90">
        <v>226.08</v>
      </c>
      <c r="G243" s="4" t="s">
        <v>957</v>
      </c>
      <c r="H243" s="90">
        <v>21.23</v>
      </c>
      <c r="I243" s="90">
        <v>50.64</v>
      </c>
      <c r="J243" s="90">
        <v>33.55</v>
      </c>
      <c r="K243" s="90">
        <v>6.95</v>
      </c>
      <c r="L243" s="4" t="s">
        <v>2061</v>
      </c>
      <c r="M243" s="90">
        <v>195.0</v>
      </c>
      <c r="N243" s="92">
        <v>46079.42712140046</v>
      </c>
      <c r="O243" s="4" t="b">
        <v>1</v>
      </c>
      <c r="P243" s="4" t="s">
        <v>2062</v>
      </c>
      <c r="Q243" s="4">
        <v>209.48</v>
      </c>
      <c r="R243" s="4" t="s">
        <v>18</v>
      </c>
      <c r="S243" s="4" t="s">
        <v>18</v>
      </c>
      <c r="T243" s="4" t="s">
        <v>18</v>
      </c>
      <c r="U243" s="4" t="s">
        <v>179</v>
      </c>
      <c r="V243" s="4" t="s">
        <v>2064</v>
      </c>
      <c r="W243" s="7"/>
      <c r="X243" s="81"/>
      <c r="Y243" s="81"/>
      <c r="Z243" s="81"/>
      <c r="AA243" s="7">
        <f t="shared" si="6"/>
        <v>5.96</v>
      </c>
      <c r="AB243" s="7" t="str">
        <f t="shared" si="2"/>
        <v/>
      </c>
      <c r="AC243" s="7">
        <f t="shared" si="1"/>
        <v>0</v>
      </c>
    </row>
    <row r="244">
      <c r="A244" s="138" t="s">
        <v>2067</v>
      </c>
      <c r="B244" s="4" t="s">
        <v>1397</v>
      </c>
      <c r="C244" s="4" t="s">
        <v>1398</v>
      </c>
      <c r="D244" s="90">
        <v>73.63</v>
      </c>
      <c r="E244" s="90">
        <v>71.75</v>
      </c>
      <c r="F244" s="90">
        <v>73.74</v>
      </c>
      <c r="H244" s="90">
        <v>26.83</v>
      </c>
      <c r="I244" s="90">
        <v>68.29</v>
      </c>
      <c r="J244" s="90">
        <v>30.74</v>
      </c>
      <c r="K244" s="90">
        <v>24.79</v>
      </c>
      <c r="L244" s="4" t="s">
        <v>170</v>
      </c>
      <c r="M244" s="90">
        <v>1218.85</v>
      </c>
      <c r="N244" s="92">
        <v>45812.24753260417</v>
      </c>
      <c r="O244" s="4" t="b">
        <v>1</v>
      </c>
      <c r="P244" s="4" t="s">
        <v>2070</v>
      </c>
      <c r="Q244" s="4">
        <v>71.78</v>
      </c>
      <c r="R244" s="4" t="s">
        <v>18</v>
      </c>
      <c r="S244" s="4" t="s">
        <v>18</v>
      </c>
      <c r="T244" s="4" t="s">
        <v>18</v>
      </c>
      <c r="U244" s="4" t="s">
        <v>179</v>
      </c>
      <c r="V244" s="4" t="s">
        <v>2073</v>
      </c>
      <c r="W244" s="7"/>
      <c r="X244" s="81"/>
      <c r="Y244" s="81"/>
      <c r="Z244" s="81"/>
      <c r="AA244" s="7">
        <f t="shared" si="6"/>
        <v>18.6</v>
      </c>
      <c r="AB244" s="7" t="str">
        <f t="shared" si="2"/>
        <v/>
      </c>
      <c r="AC244" s="7">
        <f t="shared" si="1"/>
        <v>0</v>
      </c>
    </row>
    <row r="245">
      <c r="A245" s="138" t="s">
        <v>2078</v>
      </c>
      <c r="B245" s="4" t="s">
        <v>259</v>
      </c>
      <c r="C245" s="4" t="s">
        <v>827</v>
      </c>
      <c r="D245" s="90">
        <v>8.89</v>
      </c>
      <c r="E245" s="90">
        <v>8.58</v>
      </c>
      <c r="F245" s="90">
        <v>9.22</v>
      </c>
      <c r="O245" s="4" t="b">
        <v>1</v>
      </c>
      <c r="P245" s="4" t="s">
        <v>2080</v>
      </c>
      <c r="Q245" s="4">
        <v>8.83</v>
      </c>
      <c r="R245" s="4" t="s">
        <v>18</v>
      </c>
      <c r="S245" s="4" t="s">
        <v>18</v>
      </c>
      <c r="T245" s="4" t="s">
        <v>18</v>
      </c>
      <c r="U245" s="4" t="s">
        <v>179</v>
      </c>
      <c r="V245" s="4" t="s">
        <v>2082</v>
      </c>
      <c r="W245" s="7"/>
      <c r="X245" s="81"/>
      <c r="Y245" s="81"/>
      <c r="Z245" s="81"/>
      <c r="AA245" s="7">
        <f t="shared" si="6"/>
        <v>66.14</v>
      </c>
      <c r="AB245" s="7" t="str">
        <f t="shared" si="2"/>
        <v/>
      </c>
      <c r="AC245" s="7">
        <f t="shared" si="1"/>
        <v>0</v>
      </c>
    </row>
    <row r="246">
      <c r="A246" s="138" t="s">
        <v>2085</v>
      </c>
      <c r="B246" s="4" t="s">
        <v>612</v>
      </c>
      <c r="C246" s="4" t="s">
        <v>613</v>
      </c>
      <c r="D246" s="90">
        <v>563.32</v>
      </c>
      <c r="E246" s="90">
        <v>554.92</v>
      </c>
      <c r="F246" s="90">
        <v>569.99</v>
      </c>
      <c r="G246" s="4" t="s">
        <v>615</v>
      </c>
      <c r="M246" s="90">
        <v>588.03</v>
      </c>
      <c r="N246" s="92">
        <v>45912.10145469908</v>
      </c>
      <c r="O246" s="4" t="b">
        <v>1</v>
      </c>
      <c r="P246" s="4">
        <f>VALUE(MID(P247, SEARCH("Qtd:", P247) + 4, SEARCH(",", P247 &amp; ",", SEARCH("Qtd:", P247)) - (SEARCH("Qtd:", P247) + 4)))</f>
        <v>4.05</v>
      </c>
      <c r="W246" s="7"/>
      <c r="X246" s="81"/>
      <c r="Y246" s="81"/>
      <c r="Z246" s="81"/>
      <c r="AB246" s="7" t="str">
        <f t="shared" si="2"/>
        <v/>
      </c>
      <c r="AC246" s="7">
        <f t="shared" si="1"/>
        <v>0</v>
      </c>
    </row>
    <row r="247">
      <c r="A247" s="148" t="s">
        <v>2095</v>
      </c>
      <c r="B247" s="4" t="s">
        <v>612</v>
      </c>
      <c r="C247" s="4" t="s">
        <v>613</v>
      </c>
      <c r="D247" s="90">
        <v>563.32</v>
      </c>
      <c r="E247" s="90">
        <v>554.92</v>
      </c>
      <c r="F247" s="90">
        <v>569.99</v>
      </c>
      <c r="G247" s="4" t="s">
        <v>615</v>
      </c>
      <c r="M247" s="90">
        <v>588.03</v>
      </c>
      <c r="N247" s="92">
        <v>45912.10145469908</v>
      </c>
      <c r="O247" s="4" t="b">
        <v>1</v>
      </c>
      <c r="P247" s="4" t="s">
        <v>2097</v>
      </c>
      <c r="W247" s="7"/>
      <c r="X247" s="7">
        <f t="shared" ref="X247:X251" si="7">VALUE(MID(P247, SEARCH("Entrada:", P247) + 9, SEARCH(",", P247 &amp; ",", SEARCH("Entrada:", P247)) - (SEARCH("Entrada:", P247) + 9)))</f>
        <v>561.32</v>
      </c>
      <c r="Y247" s="7">
        <f t="shared" ref="Y247:Y263" si="8">VALUE(MID(P247, SEARCH("Stop:", P247) + 5, SEARCH(",", P247 &amp; ",", SEARCH("Stop:", P247)) - (SEARCH("Stop:", P247) + 5)))</f>
        <v>548.98</v>
      </c>
      <c r="Z247" s="81"/>
      <c r="AA247" s="7">
        <f t="shared" ref="AA247:AA289" si="9">VALUE(MID(P247, SEARCH("Qtd:", P247) + 4, SEARCH(",", P247 &amp; ",", SEARCH("Qtd:", P247)) - (SEARCH("Qtd:", P247) + 4)))</f>
        <v>4.05</v>
      </c>
      <c r="AB247" s="7" t="str">
        <f t="shared" si="2"/>
        <v/>
      </c>
      <c r="AC247" s="7">
        <f t="shared" si="1"/>
        <v>-2273.346</v>
      </c>
    </row>
    <row r="248">
      <c r="A248" s="138" t="s">
        <v>2112</v>
      </c>
      <c r="B248" s="4" t="s">
        <v>1152</v>
      </c>
      <c r="C248" s="4" t="s">
        <v>1153</v>
      </c>
      <c r="D248" s="90">
        <v>372.61</v>
      </c>
      <c r="E248" s="90">
        <v>355.48</v>
      </c>
      <c r="F248" s="90">
        <v>373.97</v>
      </c>
      <c r="G248" s="4" t="s">
        <v>615</v>
      </c>
      <c r="M248" s="90">
        <v>351.99</v>
      </c>
      <c r="N248" s="92">
        <v>45721.7049833912</v>
      </c>
      <c r="O248" s="4" t="b">
        <v>1</v>
      </c>
      <c r="P248" s="4" t="s">
        <v>2114</v>
      </c>
      <c r="W248" s="7"/>
      <c r="X248" s="7">
        <f t="shared" si="7"/>
        <v>371.26</v>
      </c>
      <c r="Y248" s="7">
        <f t="shared" si="8"/>
        <v>362.5</v>
      </c>
      <c r="AA248" s="7">
        <f t="shared" si="9"/>
        <v>5.71</v>
      </c>
      <c r="AB248" s="7" t="str">
        <f t="shared" si="2"/>
        <v/>
      </c>
      <c r="AC248" s="7">
        <f t="shared" si="1"/>
        <v>-2119.8946</v>
      </c>
    </row>
    <row r="249">
      <c r="A249" s="138" t="s">
        <v>2115</v>
      </c>
      <c r="B249" s="4" t="s">
        <v>1289</v>
      </c>
      <c r="C249" s="4" t="s">
        <v>1290</v>
      </c>
      <c r="D249" s="90">
        <v>350.47</v>
      </c>
      <c r="O249" s="4" t="b">
        <v>1</v>
      </c>
      <c r="P249" s="4" t="s">
        <v>2116</v>
      </c>
      <c r="Q249" s="4">
        <v>361.24</v>
      </c>
      <c r="R249" s="4">
        <v>348.17</v>
      </c>
      <c r="S249" s="4">
        <v>335.1</v>
      </c>
      <c r="T249" s="4">
        <v>367.78</v>
      </c>
      <c r="U249" s="4" t="s">
        <v>161</v>
      </c>
      <c r="V249" s="4" t="s">
        <v>2117</v>
      </c>
      <c r="W249" s="7"/>
      <c r="X249" s="7">
        <f t="shared" si="7"/>
        <v>347.86</v>
      </c>
      <c r="Y249" s="7">
        <f t="shared" si="8"/>
        <v>332.18</v>
      </c>
      <c r="AA249" s="7">
        <f t="shared" si="9"/>
        <v>3.19</v>
      </c>
      <c r="AB249" s="7" t="str">
        <f t="shared" si="2"/>
        <v/>
      </c>
      <c r="AC249" s="7">
        <f t="shared" si="1"/>
        <v>-1109.6734</v>
      </c>
    </row>
    <row r="250">
      <c r="A250" s="138" t="s">
        <v>2120</v>
      </c>
      <c r="B250" s="4" t="s">
        <v>2121</v>
      </c>
      <c r="C250" s="4" t="s">
        <v>2122</v>
      </c>
      <c r="D250" s="90">
        <v>65.73</v>
      </c>
      <c r="O250" s="4" t="b">
        <v>1</v>
      </c>
      <c r="P250" s="4" t="s">
        <v>2123</v>
      </c>
      <c r="Q250" s="4">
        <v>66.27</v>
      </c>
      <c r="R250" s="4">
        <v>65.25</v>
      </c>
      <c r="S250" s="4">
        <v>64.23</v>
      </c>
      <c r="T250" s="4">
        <v>66.78</v>
      </c>
      <c r="U250" s="4" t="s">
        <v>161</v>
      </c>
      <c r="V250" s="4" t="s">
        <v>2124</v>
      </c>
      <c r="W250" s="7"/>
      <c r="X250" s="7">
        <f t="shared" si="7"/>
        <v>65.53</v>
      </c>
      <c r="Y250" s="7">
        <f t="shared" si="8"/>
        <v>64.31</v>
      </c>
      <c r="AA250" s="7">
        <f t="shared" si="9"/>
        <v>40.85</v>
      </c>
      <c r="AB250" s="7" t="str">
        <f t="shared" si="2"/>
        <v/>
      </c>
      <c r="AC250" s="7">
        <f t="shared" si="1"/>
        <v>-2676.9005</v>
      </c>
    </row>
    <row r="251">
      <c r="A251" s="138" t="s">
        <v>2128</v>
      </c>
      <c r="B251" s="4" t="s">
        <v>2129</v>
      </c>
      <c r="C251" s="4" t="s">
        <v>2130</v>
      </c>
      <c r="D251" s="90">
        <v>48.19</v>
      </c>
      <c r="O251" s="4" t="b">
        <v>1</v>
      </c>
      <c r="P251" s="4" t="s">
        <v>2132</v>
      </c>
      <c r="Q251" s="4">
        <v>48.54</v>
      </c>
      <c r="R251" s="4">
        <v>47.44</v>
      </c>
      <c r="S251" s="4">
        <v>46.34</v>
      </c>
      <c r="T251" s="4">
        <v>49.09</v>
      </c>
      <c r="U251" s="4" t="s">
        <v>161</v>
      </c>
      <c r="V251" s="4" t="s">
        <v>2134</v>
      </c>
      <c r="W251" s="7"/>
      <c r="X251" s="7">
        <f t="shared" si="7"/>
        <v>47.97</v>
      </c>
      <c r="Y251" s="7">
        <f t="shared" si="8"/>
        <v>46.65</v>
      </c>
      <c r="AA251" s="7">
        <f t="shared" si="9"/>
        <v>37.88</v>
      </c>
      <c r="AB251" s="7" t="str">
        <f t="shared" si="2"/>
        <v/>
      </c>
      <c r="AC251" s="7">
        <f t="shared" si="1"/>
        <v>-1817.1036</v>
      </c>
    </row>
    <row r="252">
      <c r="A252" s="156" t="s">
        <v>2137</v>
      </c>
      <c r="B252" s="156" t="s">
        <v>1152</v>
      </c>
      <c r="C252" s="156" t="s">
        <v>1153</v>
      </c>
      <c r="D252" s="156">
        <v>366.59</v>
      </c>
      <c r="E252" s="156">
        <v>358.25</v>
      </c>
      <c r="F252" s="156">
        <v>371.16</v>
      </c>
      <c r="G252" s="156" t="s">
        <v>615</v>
      </c>
      <c r="H252" s="156"/>
      <c r="I252" s="156"/>
      <c r="J252" s="156"/>
      <c r="K252" s="156"/>
      <c r="L252" s="156"/>
      <c r="M252" s="156">
        <v>351.99</v>
      </c>
      <c r="N252" s="156">
        <v>45721.7049833912</v>
      </c>
      <c r="O252" s="156" t="b">
        <v>1</v>
      </c>
      <c r="P252" s="156" t="s">
        <v>2140</v>
      </c>
      <c r="Q252" s="156">
        <v>370.11</v>
      </c>
      <c r="R252" s="156">
        <v>363.68</v>
      </c>
      <c r="S252" s="156">
        <v>357.25</v>
      </c>
      <c r="T252" s="156">
        <v>373.32</v>
      </c>
      <c r="U252" s="156" t="s">
        <v>161</v>
      </c>
      <c r="V252" s="156" t="s">
        <v>2142</v>
      </c>
      <c r="W252" s="156" t="s">
        <v>107</v>
      </c>
      <c r="X252" s="156">
        <v>359.48</v>
      </c>
      <c r="Y252" s="156">
        <f t="shared" si="8"/>
        <v>357.58</v>
      </c>
      <c r="Z252" s="156">
        <v>371.78</v>
      </c>
      <c r="AA252" s="156">
        <f t="shared" si="9"/>
        <v>6.48</v>
      </c>
      <c r="AB252" s="156">
        <f t="shared" si="2"/>
        <v>6.473684211</v>
      </c>
      <c r="AC252" s="156">
        <f t="shared" si="1"/>
        <v>79.704</v>
      </c>
      <c r="AD252" s="156"/>
      <c r="AE252" s="156"/>
      <c r="AF252" s="156"/>
      <c r="AG252" s="156"/>
      <c r="AH252" s="156"/>
      <c r="AI252" s="156"/>
      <c r="AJ252" s="156"/>
      <c r="AK252" s="156"/>
      <c r="AL252" s="156"/>
      <c r="AM252" s="156"/>
      <c r="AN252" s="156"/>
      <c r="AO252" s="156"/>
      <c r="AP252" s="156"/>
      <c r="AQ252" s="156"/>
      <c r="AR252" s="156"/>
      <c r="AS252" s="156"/>
      <c r="AT252" s="156"/>
      <c r="AU252" s="156"/>
      <c r="AV252" s="156"/>
      <c r="AW252" s="156"/>
      <c r="AX252" s="156"/>
      <c r="AY252" s="156"/>
      <c r="AZ252" s="156"/>
      <c r="BA252" s="156"/>
      <c r="BB252" s="156"/>
      <c r="BC252" s="156"/>
      <c r="BD252" s="156"/>
      <c r="BE252" s="156"/>
      <c r="BF252" s="156"/>
      <c r="BG252" s="156"/>
    </row>
    <row r="253">
      <c r="A253" s="138" t="s">
        <v>2150</v>
      </c>
      <c r="B253" s="4" t="s">
        <v>1046</v>
      </c>
      <c r="C253" s="4" t="s">
        <v>2152</v>
      </c>
      <c r="D253" s="90">
        <v>105.88</v>
      </c>
      <c r="E253" s="90">
        <v>100.72</v>
      </c>
      <c r="F253" s="90">
        <v>105.9</v>
      </c>
      <c r="M253" s="90">
        <v>173.12</v>
      </c>
      <c r="N253" s="92">
        <v>45708.41577071759</v>
      </c>
      <c r="O253" s="4" t="b">
        <v>1</v>
      </c>
      <c r="P253" s="4" t="s">
        <v>2154</v>
      </c>
      <c r="Q253" s="4">
        <v>6.69</v>
      </c>
      <c r="R253" s="4">
        <v>6.54</v>
      </c>
      <c r="S253" s="4">
        <v>6.39</v>
      </c>
      <c r="T253" s="4">
        <v>6.76</v>
      </c>
      <c r="U253" s="4" t="s">
        <v>161</v>
      </c>
      <c r="V253" s="4" t="s">
        <v>2155</v>
      </c>
      <c r="W253" s="4"/>
      <c r="X253" s="7">
        <f t="shared" ref="X253:X261" si="10">VALUE(MID(P253, SEARCH("Entrada:", P253) + 9, SEARCH(",", P253 &amp; ",", SEARCH("Entrada:", P253)) - (SEARCH("Entrada:", P253) + 9)))</f>
        <v>6.54</v>
      </c>
      <c r="Y253" s="7">
        <f t="shared" si="8"/>
        <v>6.36</v>
      </c>
      <c r="AA253" s="7">
        <f t="shared" si="9"/>
        <v>277.78</v>
      </c>
      <c r="AB253" s="7" t="str">
        <f t="shared" si="2"/>
        <v/>
      </c>
      <c r="AC253" s="7">
        <f t="shared" si="1"/>
        <v>-1816.6812</v>
      </c>
    </row>
    <row r="254">
      <c r="A254" s="138" t="s">
        <v>2164</v>
      </c>
      <c r="B254" s="4" t="s">
        <v>1499</v>
      </c>
      <c r="C254" s="4" t="s">
        <v>1500</v>
      </c>
      <c r="D254" s="90">
        <v>45.08</v>
      </c>
      <c r="E254" s="90">
        <v>43.44</v>
      </c>
      <c r="F254" s="90">
        <v>45.5</v>
      </c>
      <c r="G254" s="4" t="s">
        <v>957</v>
      </c>
      <c r="O254" s="4" t="b">
        <v>1</v>
      </c>
      <c r="P254" s="4" t="s">
        <v>2166</v>
      </c>
      <c r="Q254" s="4">
        <v>44.03</v>
      </c>
      <c r="R254" s="4" t="s">
        <v>18</v>
      </c>
      <c r="S254" s="4" t="s">
        <v>18</v>
      </c>
      <c r="T254" s="4" t="s">
        <v>18</v>
      </c>
      <c r="U254" s="4" t="s">
        <v>179</v>
      </c>
      <c r="V254" s="4" t="s">
        <v>2167</v>
      </c>
      <c r="W254" s="7"/>
      <c r="X254" s="7">
        <f t="shared" si="10"/>
        <v>44.76</v>
      </c>
      <c r="Y254" s="7">
        <f t="shared" si="8"/>
        <v>42.83</v>
      </c>
      <c r="AA254" s="7">
        <f t="shared" si="9"/>
        <v>25.88</v>
      </c>
      <c r="AB254" s="7" t="str">
        <f t="shared" si="2"/>
        <v/>
      </c>
      <c r="AC254" s="7">
        <f t="shared" si="1"/>
        <v>-1158.3888</v>
      </c>
    </row>
    <row r="255">
      <c r="A255" s="138" t="s">
        <v>2169</v>
      </c>
      <c r="B255" s="4" t="s">
        <v>1189</v>
      </c>
      <c r="C255" s="4" t="s">
        <v>1190</v>
      </c>
      <c r="D255" s="90">
        <v>160.5</v>
      </c>
      <c r="E255" s="90">
        <v>154.93</v>
      </c>
      <c r="F255" s="90">
        <v>161.0</v>
      </c>
      <c r="O255" s="4" t="b">
        <v>1</v>
      </c>
      <c r="P255" s="4" t="s">
        <v>2170</v>
      </c>
      <c r="Q255" s="4">
        <v>55.39</v>
      </c>
      <c r="R255" s="4">
        <v>54.26</v>
      </c>
      <c r="S255" s="4">
        <v>53.13</v>
      </c>
      <c r="T255" s="4">
        <v>55.95</v>
      </c>
      <c r="U255" s="4" t="s">
        <v>161</v>
      </c>
      <c r="V255" s="4" t="s">
        <v>2171</v>
      </c>
      <c r="W255" s="7"/>
      <c r="X255" s="7">
        <f t="shared" si="10"/>
        <v>55.08</v>
      </c>
      <c r="Y255" s="7">
        <f t="shared" si="8"/>
        <v>53.72</v>
      </c>
      <c r="AA255" s="7">
        <f t="shared" si="9"/>
        <v>36.87</v>
      </c>
      <c r="AB255" s="7" t="str">
        <f t="shared" si="2"/>
        <v/>
      </c>
      <c r="AC255" s="7">
        <f t="shared" si="1"/>
        <v>-2030.7996</v>
      </c>
    </row>
    <row r="256">
      <c r="A256" s="138" t="s">
        <v>2176</v>
      </c>
      <c r="B256" s="4" t="s">
        <v>259</v>
      </c>
      <c r="C256" s="4" t="s">
        <v>827</v>
      </c>
      <c r="D256" s="90">
        <v>8.74</v>
      </c>
      <c r="E256" s="90">
        <v>8.51</v>
      </c>
      <c r="F256" s="90">
        <v>8.96</v>
      </c>
      <c r="O256" s="4" t="b">
        <v>1</v>
      </c>
      <c r="P256" s="4" t="s">
        <v>2178</v>
      </c>
      <c r="Q256" s="4">
        <v>9.13</v>
      </c>
      <c r="R256" s="4">
        <v>8.48</v>
      </c>
      <c r="S256" s="4">
        <v>7.83</v>
      </c>
      <c r="T256" s="4">
        <v>9.46</v>
      </c>
      <c r="U256" s="4" t="s">
        <v>161</v>
      </c>
      <c r="V256" s="4" t="s">
        <v>2179</v>
      </c>
      <c r="W256" s="7"/>
      <c r="X256" s="7">
        <f t="shared" si="10"/>
        <v>8.61</v>
      </c>
      <c r="Y256" s="7">
        <f t="shared" si="8"/>
        <v>7.83</v>
      </c>
      <c r="AA256" s="7">
        <f t="shared" si="9"/>
        <v>64.1</v>
      </c>
      <c r="AB256" s="7" t="str">
        <f t="shared" si="2"/>
        <v/>
      </c>
      <c r="AC256" s="7">
        <f t="shared" si="1"/>
        <v>-551.901</v>
      </c>
    </row>
    <row r="257">
      <c r="A257" s="138" t="s">
        <v>2182</v>
      </c>
      <c r="B257" s="4" t="s">
        <v>1230</v>
      </c>
      <c r="C257" s="4" t="s">
        <v>1230</v>
      </c>
      <c r="D257" s="90">
        <v>227.55</v>
      </c>
      <c r="E257" s="90">
        <v>215.11</v>
      </c>
      <c r="F257" s="90">
        <v>228.98</v>
      </c>
      <c r="O257" s="4" t="b">
        <v>1</v>
      </c>
      <c r="P257" s="4" t="s">
        <v>2183</v>
      </c>
      <c r="Q257" s="4">
        <v>229.75</v>
      </c>
      <c r="R257" s="4">
        <v>219.67</v>
      </c>
      <c r="S257" s="4">
        <v>209.59</v>
      </c>
      <c r="T257" s="4">
        <v>234.79</v>
      </c>
      <c r="U257" s="4" t="s">
        <v>161</v>
      </c>
      <c r="V257" s="4" t="s">
        <v>2184</v>
      </c>
      <c r="W257" s="7"/>
      <c r="X257" s="7">
        <f t="shared" si="10"/>
        <v>225.53</v>
      </c>
      <c r="Y257" s="7">
        <f t="shared" si="8"/>
        <v>213.43</v>
      </c>
      <c r="AA257" s="7">
        <f t="shared" si="9"/>
        <v>4.13</v>
      </c>
      <c r="AB257" s="7" t="str">
        <f t="shared" si="2"/>
        <v/>
      </c>
      <c r="AC257" s="7">
        <f t="shared" si="1"/>
        <v>-931.4389</v>
      </c>
    </row>
    <row r="258">
      <c r="A258" s="138" t="s">
        <v>2187</v>
      </c>
      <c r="B258" s="4" t="s">
        <v>364</v>
      </c>
      <c r="C258" s="4" t="s">
        <v>365</v>
      </c>
      <c r="D258" s="90">
        <v>107.27</v>
      </c>
      <c r="E258" s="90">
        <v>105.97</v>
      </c>
      <c r="F258" s="90">
        <v>109.26</v>
      </c>
      <c r="H258" s="90">
        <v>7.93</v>
      </c>
      <c r="I258" s="90">
        <v>0.0</v>
      </c>
      <c r="J258" s="90">
        <v>21.44</v>
      </c>
      <c r="K258" s="90">
        <v>3.13</v>
      </c>
      <c r="O258" s="4" t="b">
        <v>1</v>
      </c>
      <c r="P258" s="4" t="s">
        <v>2190</v>
      </c>
      <c r="Q258" s="4">
        <v>109.35</v>
      </c>
      <c r="R258" s="4">
        <v>106.84</v>
      </c>
      <c r="S258" s="4">
        <v>104.33</v>
      </c>
      <c r="T258" s="4">
        <v>110.6</v>
      </c>
      <c r="U258" s="4" t="s">
        <v>161</v>
      </c>
      <c r="V258" s="4" t="s">
        <v>2192</v>
      </c>
      <c r="W258" s="7"/>
      <c r="X258" s="7">
        <f t="shared" si="10"/>
        <v>106.77</v>
      </c>
      <c r="Y258" s="7">
        <f t="shared" si="8"/>
        <v>103.76</v>
      </c>
      <c r="AA258" s="7">
        <f t="shared" si="9"/>
        <v>16.6</v>
      </c>
      <c r="AB258" s="7" t="str">
        <f t="shared" si="2"/>
        <v/>
      </c>
      <c r="AC258" s="7">
        <f t="shared" si="1"/>
        <v>-1772.382</v>
      </c>
    </row>
    <row r="259">
      <c r="A259" s="138" t="s">
        <v>2195</v>
      </c>
      <c r="B259" s="4" t="s">
        <v>2057</v>
      </c>
      <c r="C259" s="4" t="s">
        <v>2060</v>
      </c>
      <c r="D259" s="90">
        <v>212.26</v>
      </c>
      <c r="E259" s="90">
        <v>209.58</v>
      </c>
      <c r="F259" s="90">
        <v>215.79</v>
      </c>
      <c r="G259" s="4" t="s">
        <v>957</v>
      </c>
      <c r="H259" s="90">
        <v>21.23</v>
      </c>
      <c r="I259" s="90">
        <v>50.64</v>
      </c>
      <c r="J259" s="90">
        <v>33.55</v>
      </c>
      <c r="K259" s="90">
        <v>6.95</v>
      </c>
      <c r="L259" s="4" t="s">
        <v>2061</v>
      </c>
      <c r="M259" s="90">
        <v>195.0</v>
      </c>
      <c r="N259" s="92">
        <v>46079.42712140046</v>
      </c>
      <c r="O259" s="4" t="b">
        <v>1</v>
      </c>
      <c r="P259" s="4" t="s">
        <v>2196</v>
      </c>
      <c r="Q259" s="4">
        <v>226.08</v>
      </c>
      <c r="R259" s="4">
        <v>219.9</v>
      </c>
      <c r="S259" s="4">
        <v>213.72</v>
      </c>
      <c r="T259" s="4">
        <v>229.17</v>
      </c>
      <c r="U259" s="4" t="s">
        <v>2198</v>
      </c>
      <c r="V259" s="4" t="s">
        <v>2199</v>
      </c>
      <c r="W259" s="4" t="s">
        <v>111</v>
      </c>
      <c r="X259" s="7">
        <f t="shared" si="10"/>
        <v>211.02</v>
      </c>
      <c r="Y259" s="7">
        <f t="shared" si="8"/>
        <v>203.6</v>
      </c>
      <c r="AA259" s="7">
        <f t="shared" si="9"/>
        <v>6.74</v>
      </c>
      <c r="AB259" s="7" t="str">
        <f t="shared" si="2"/>
        <v/>
      </c>
      <c r="AC259" s="7">
        <f t="shared" si="1"/>
        <v>-1422.2748</v>
      </c>
    </row>
    <row r="260">
      <c r="A260" s="146" t="s">
        <v>2204</v>
      </c>
      <c r="B260" s="146" t="s">
        <v>818</v>
      </c>
      <c r="C260" s="146" t="s">
        <v>968</v>
      </c>
      <c r="D260" s="146">
        <v>388.71</v>
      </c>
      <c r="E260" s="146">
        <v>371.5</v>
      </c>
      <c r="F260" s="146">
        <v>389.24</v>
      </c>
      <c r="G260" s="146" t="s">
        <v>957</v>
      </c>
      <c r="H260" s="146">
        <v>0.47</v>
      </c>
      <c r="I260" s="146">
        <v>28.9</v>
      </c>
      <c r="J260" s="146">
        <v>47.68</v>
      </c>
      <c r="K260" s="146">
        <v>7.69</v>
      </c>
      <c r="L260" s="146" t="s">
        <v>197</v>
      </c>
      <c r="M260" s="146">
        <v>175.87</v>
      </c>
      <c r="N260" s="146">
        <v>46079.320398587966</v>
      </c>
      <c r="O260" s="146" t="b">
        <v>1</v>
      </c>
      <c r="P260" s="146" t="s">
        <v>2206</v>
      </c>
      <c r="Q260" s="146">
        <v>395.3</v>
      </c>
      <c r="R260" s="146">
        <v>380.79</v>
      </c>
      <c r="S260" s="146">
        <v>366.28</v>
      </c>
      <c r="T260" s="146">
        <v>402.56</v>
      </c>
      <c r="U260" s="146" t="s">
        <v>161</v>
      </c>
      <c r="V260" s="146" t="s">
        <v>2207</v>
      </c>
      <c r="W260" s="146" t="s">
        <v>109</v>
      </c>
      <c r="X260" s="146">
        <f t="shared" si="10"/>
        <v>385.81</v>
      </c>
      <c r="Y260" s="146">
        <f t="shared" si="8"/>
        <v>368.4</v>
      </c>
      <c r="Z260" s="146">
        <v>368.4</v>
      </c>
      <c r="AA260" s="146">
        <f t="shared" si="9"/>
        <v>2.87</v>
      </c>
      <c r="AB260" s="146">
        <f t="shared" si="2"/>
        <v>-1</v>
      </c>
      <c r="AC260" s="146">
        <f t="shared" si="1"/>
        <v>-49.9667</v>
      </c>
      <c r="AD260" s="146"/>
      <c r="AE260" s="146"/>
      <c r="AF260" s="146"/>
      <c r="AG260" s="146"/>
      <c r="AH260" s="146"/>
      <c r="AI260" s="146"/>
      <c r="AJ260" s="146"/>
      <c r="AK260" s="146"/>
      <c r="AL260" s="146"/>
      <c r="AM260" s="146"/>
      <c r="AN260" s="146"/>
      <c r="AO260" s="146"/>
      <c r="AP260" s="146"/>
      <c r="AQ260" s="146"/>
      <c r="AR260" s="146"/>
      <c r="AS260" s="146"/>
      <c r="AT260" s="146"/>
      <c r="AU260" s="146"/>
      <c r="AV260" s="146"/>
      <c r="AW260" s="146"/>
      <c r="AX260" s="146"/>
      <c r="AY260" s="146"/>
      <c r="AZ260" s="146"/>
      <c r="BA260" s="146"/>
      <c r="BB260" s="146"/>
      <c r="BC260" s="146"/>
      <c r="BD260" s="146"/>
      <c r="BE260" s="146"/>
      <c r="BF260" s="146"/>
      <c r="BG260" s="146"/>
    </row>
    <row r="261">
      <c r="A261" s="138" t="s">
        <v>2211</v>
      </c>
      <c r="B261" s="4" t="s">
        <v>1249</v>
      </c>
      <c r="C261" s="4" t="s">
        <v>1250</v>
      </c>
      <c r="D261" s="90">
        <v>428.79</v>
      </c>
      <c r="E261" s="90">
        <v>415.11</v>
      </c>
      <c r="F261" s="90">
        <v>430.46</v>
      </c>
      <c r="M261" s="90">
        <v>282.77</v>
      </c>
      <c r="N261" s="92">
        <v>45793.54257520833</v>
      </c>
      <c r="O261" s="4" t="b">
        <v>1</v>
      </c>
      <c r="P261" s="4" t="s">
        <v>2213</v>
      </c>
      <c r="Q261" s="4">
        <v>431.68</v>
      </c>
      <c r="R261" s="4">
        <v>418.66</v>
      </c>
      <c r="S261" s="4">
        <v>405.64</v>
      </c>
      <c r="T261" s="4">
        <v>438.19</v>
      </c>
      <c r="U261" s="4" t="s">
        <v>161</v>
      </c>
      <c r="V261" s="4" t="s">
        <v>2214</v>
      </c>
      <c r="W261" s="7"/>
      <c r="X261" s="7">
        <f t="shared" si="10"/>
        <v>426.19</v>
      </c>
      <c r="Y261" s="7">
        <f t="shared" si="8"/>
        <v>410.57</v>
      </c>
      <c r="AA261" s="7">
        <f t="shared" si="9"/>
        <v>3.2</v>
      </c>
      <c r="AB261" s="7" t="str">
        <f t="shared" si="2"/>
        <v/>
      </c>
      <c r="AC261" s="7">
        <f t="shared" si="1"/>
        <v>-1363.808</v>
      </c>
    </row>
    <row r="262">
      <c r="A262" s="158" t="s">
        <v>2218</v>
      </c>
      <c r="B262" s="158" t="s">
        <v>330</v>
      </c>
      <c r="C262" s="158" t="s">
        <v>532</v>
      </c>
      <c r="D262" s="158">
        <v>135.75</v>
      </c>
      <c r="E262" s="158">
        <v>131.91</v>
      </c>
      <c r="F262" s="158">
        <v>139.12</v>
      </c>
      <c r="G262" s="158"/>
      <c r="H262" s="158"/>
      <c r="I262" s="158"/>
      <c r="J262" s="158"/>
      <c r="K262" s="158"/>
      <c r="L262" s="158"/>
      <c r="M262" s="158">
        <v>146.06</v>
      </c>
      <c r="N262" s="158">
        <v>45706.703309131946</v>
      </c>
      <c r="O262" s="158" t="b">
        <v>1</v>
      </c>
      <c r="P262" s="158" t="s">
        <v>2220</v>
      </c>
      <c r="Q262" s="158">
        <v>138.55</v>
      </c>
      <c r="R262" s="158">
        <v>129.62</v>
      </c>
      <c r="S262" s="158">
        <v>120.69</v>
      </c>
      <c r="T262" s="158">
        <v>143.02</v>
      </c>
      <c r="U262" s="158" t="s">
        <v>161</v>
      </c>
      <c r="V262" s="158" t="s">
        <v>2223</v>
      </c>
      <c r="W262" s="158" t="s">
        <v>107</v>
      </c>
      <c r="X262" s="158">
        <v>135.62</v>
      </c>
      <c r="Y262" s="158">
        <f t="shared" si="8"/>
        <v>123.24</v>
      </c>
      <c r="Z262" s="158">
        <v>175.0</v>
      </c>
      <c r="AA262" s="158">
        <f t="shared" si="9"/>
        <v>4.67</v>
      </c>
      <c r="AB262" s="158">
        <f t="shared" si="2"/>
        <v>3.180936995</v>
      </c>
      <c r="AC262" s="158">
        <f t="shared" si="1"/>
        <v>183.9046</v>
      </c>
      <c r="AD262" s="158"/>
      <c r="AE262" s="158"/>
      <c r="AF262" s="158"/>
      <c r="AG262" s="158"/>
      <c r="AH262" s="158"/>
      <c r="AI262" s="158"/>
      <c r="AJ262" s="158"/>
      <c r="AK262" s="158"/>
      <c r="AL262" s="158"/>
      <c r="AM262" s="158"/>
      <c r="AN262" s="158"/>
      <c r="AO262" s="158"/>
      <c r="AP262" s="158"/>
      <c r="AQ262" s="158"/>
      <c r="AR262" s="158"/>
      <c r="AS262" s="158"/>
      <c r="AT262" s="158"/>
      <c r="AU262" s="158"/>
      <c r="AV262" s="158"/>
      <c r="AW262" s="158"/>
      <c r="AX262" s="158"/>
      <c r="AY262" s="158"/>
      <c r="AZ262" s="158"/>
      <c r="BA262" s="158"/>
      <c r="BB262" s="158"/>
      <c r="BC262" s="158"/>
      <c r="BD262" s="158"/>
      <c r="BE262" s="158"/>
      <c r="BF262" s="158"/>
      <c r="BG262" s="158"/>
    </row>
    <row r="263">
      <c r="A263" s="138" t="s">
        <v>2228</v>
      </c>
      <c r="B263" s="4" t="s">
        <v>1031</v>
      </c>
      <c r="C263" s="4" t="s">
        <v>1033</v>
      </c>
      <c r="D263" s="90">
        <v>319.0</v>
      </c>
      <c r="M263" s="90">
        <v>184.45</v>
      </c>
      <c r="N263" s="92">
        <v>45888.649150196754</v>
      </c>
      <c r="O263" s="4" t="b">
        <v>1</v>
      </c>
      <c r="P263" s="4" t="s">
        <v>2230</v>
      </c>
      <c r="Q263" s="4">
        <v>322.11</v>
      </c>
      <c r="R263" s="4">
        <v>305.99</v>
      </c>
      <c r="S263" s="4">
        <v>289.87</v>
      </c>
      <c r="T263" s="4">
        <v>330.17</v>
      </c>
      <c r="U263" s="4" t="s">
        <v>161</v>
      </c>
      <c r="V263" s="4" t="s">
        <v>2231</v>
      </c>
      <c r="W263" s="7"/>
      <c r="X263" s="7">
        <f>VALUE(MID(P263, SEARCH("Entrada:", P263) + 9, SEARCH(",", P263 &amp; ",", SEARCH("Entrada:", P263)) - (SEARCH("Entrada:", P263) + 9)))</f>
        <v>315.78</v>
      </c>
      <c r="Y263" s="7">
        <f t="shared" si="8"/>
        <v>296.44</v>
      </c>
      <c r="AA263" s="7">
        <f t="shared" si="9"/>
        <v>2.58</v>
      </c>
      <c r="AB263" s="7" t="str">
        <f t="shared" si="2"/>
        <v/>
      </c>
      <c r="AC263" s="7">
        <f t="shared" si="1"/>
        <v>-814.7124</v>
      </c>
    </row>
    <row r="264">
      <c r="A264" s="158" t="s">
        <v>2236</v>
      </c>
      <c r="B264" s="158" t="s">
        <v>798</v>
      </c>
      <c r="C264" s="158" t="s">
        <v>799</v>
      </c>
      <c r="D264" s="158">
        <v>119.96</v>
      </c>
      <c r="E264" s="158">
        <v>114.5</v>
      </c>
      <c r="F264" s="158">
        <v>122.33</v>
      </c>
      <c r="G264" s="158"/>
      <c r="H264" s="158">
        <v>-16.41</v>
      </c>
      <c r="I264" s="158">
        <v>27.65</v>
      </c>
      <c r="J264" s="158">
        <v>36.4</v>
      </c>
      <c r="K264" s="158">
        <v>8.44</v>
      </c>
      <c r="L264" s="158"/>
      <c r="M264" s="158">
        <v>181.52</v>
      </c>
      <c r="N264" s="158">
        <v>46219.377022280096</v>
      </c>
      <c r="O264" s="158" t="b">
        <v>1</v>
      </c>
      <c r="P264" s="158" t="s">
        <v>2238</v>
      </c>
      <c r="Q264" s="158">
        <v>120.45</v>
      </c>
      <c r="R264" s="158">
        <v>114.05</v>
      </c>
      <c r="S264" s="158">
        <v>107.65</v>
      </c>
      <c r="T264" s="158">
        <v>123.65</v>
      </c>
      <c r="U264" s="158" t="s">
        <v>161</v>
      </c>
      <c r="V264" s="158" t="s">
        <v>2239</v>
      </c>
      <c r="W264" s="158" t="s">
        <v>107</v>
      </c>
      <c r="X264" s="158">
        <v>115.86</v>
      </c>
      <c r="Y264" s="158">
        <v>111.3</v>
      </c>
      <c r="Z264" s="158">
        <v>128.83</v>
      </c>
      <c r="AA264" s="158">
        <f t="shared" si="9"/>
        <v>6.51</v>
      </c>
      <c r="AB264" s="158">
        <f t="shared" si="2"/>
        <v>2.844298246</v>
      </c>
      <c r="AC264" s="158">
        <f t="shared" si="1"/>
        <v>84.4347</v>
      </c>
      <c r="AD264" s="158"/>
      <c r="AE264" s="158"/>
      <c r="AF264" s="158"/>
      <c r="AG264" s="158"/>
      <c r="AH264" s="158"/>
      <c r="AI264" s="158"/>
      <c r="AJ264" s="158"/>
      <c r="AK264" s="158"/>
      <c r="AL264" s="158"/>
      <c r="AM264" s="158"/>
      <c r="AN264" s="158"/>
      <c r="AO264" s="158"/>
      <c r="AP264" s="158"/>
      <c r="AQ264" s="158"/>
      <c r="AR264" s="158"/>
      <c r="AS264" s="158"/>
      <c r="AT264" s="158"/>
      <c r="AU264" s="158"/>
      <c r="AV264" s="158"/>
      <c r="AW264" s="158"/>
      <c r="AX264" s="158"/>
      <c r="AY264" s="158"/>
      <c r="AZ264" s="158"/>
      <c r="BA264" s="158"/>
      <c r="BB264" s="158"/>
      <c r="BC264" s="158"/>
      <c r="BD264" s="158"/>
      <c r="BE264" s="158"/>
      <c r="BF264" s="158"/>
      <c r="BG264" s="158"/>
    </row>
    <row r="265">
      <c r="A265" s="138" t="s">
        <v>2243</v>
      </c>
      <c r="B265" s="4" t="s">
        <v>1397</v>
      </c>
      <c r="C265" s="4" t="s">
        <v>1398</v>
      </c>
      <c r="D265" s="90">
        <v>72.39</v>
      </c>
      <c r="E265" s="90">
        <v>71.23</v>
      </c>
      <c r="F265" s="90">
        <v>73.76</v>
      </c>
      <c r="H265" s="90">
        <v>26.83</v>
      </c>
      <c r="I265" s="90">
        <v>68.29</v>
      </c>
      <c r="J265" s="90">
        <v>30.74</v>
      </c>
      <c r="K265" s="90">
        <v>24.79</v>
      </c>
      <c r="L265" s="4" t="s">
        <v>170</v>
      </c>
      <c r="M265" s="90">
        <v>1218.85</v>
      </c>
      <c r="N265" s="92">
        <v>45812.24753260417</v>
      </c>
      <c r="O265" s="4" t="b">
        <v>1</v>
      </c>
      <c r="P265" s="4" t="s">
        <v>2244</v>
      </c>
      <c r="Q265" s="4">
        <v>72.67</v>
      </c>
      <c r="R265" s="4">
        <v>70.46</v>
      </c>
      <c r="S265" s="4">
        <v>68.25</v>
      </c>
      <c r="T265" s="4">
        <v>73.78</v>
      </c>
      <c r="U265" s="4" t="s">
        <v>161</v>
      </c>
      <c r="V265" s="4" t="s">
        <v>2245</v>
      </c>
      <c r="W265" s="7"/>
      <c r="X265" s="7">
        <f t="shared" ref="X265:X289" si="11">VALUE(MID(P265, SEARCH("Entrada:", P265) + 9, SEARCH(",", P265 &amp; ",", SEARCH("Entrada:", P265)) - (SEARCH("Entrada:", P265) + 9)))</f>
        <v>71.95</v>
      </c>
      <c r="Y265" s="7">
        <f t="shared" ref="Y265:Y289" si="12">VALUE(MID(P265, SEARCH("Stop:", P265) + 5, SEARCH(",", P265 &amp; ",", SEARCH("Stop:", P265)) - (SEARCH("Stop:", P265) + 5)))</f>
        <v>69.3</v>
      </c>
      <c r="AA265" s="7">
        <f t="shared" si="9"/>
        <v>18.85</v>
      </c>
      <c r="AB265" s="7" t="str">
        <f t="shared" si="2"/>
        <v/>
      </c>
      <c r="AC265" s="7">
        <f t="shared" si="1"/>
        <v>-1356.2575</v>
      </c>
    </row>
    <row r="266">
      <c r="A266" s="138" t="s">
        <v>2251</v>
      </c>
      <c r="B266" s="4" t="s">
        <v>612</v>
      </c>
      <c r="C266" s="4" t="s">
        <v>613</v>
      </c>
      <c r="D266" s="90">
        <v>562.75</v>
      </c>
      <c r="E266" s="90">
        <v>542.02</v>
      </c>
      <c r="F266" s="90">
        <v>564.61</v>
      </c>
      <c r="G266" s="4" t="s">
        <v>615</v>
      </c>
      <c r="M266" s="90">
        <v>588.03</v>
      </c>
      <c r="N266" s="92">
        <v>45912.10145469908</v>
      </c>
      <c r="O266" s="4" t="b">
        <v>1</v>
      </c>
      <c r="P266" s="4" t="s">
        <v>2253</v>
      </c>
      <c r="Q266" s="4">
        <v>566.63</v>
      </c>
      <c r="R266" s="4">
        <v>556.85</v>
      </c>
      <c r="S266" s="4">
        <v>547.07</v>
      </c>
      <c r="T266" s="4">
        <v>571.52</v>
      </c>
      <c r="U266" s="4" t="s">
        <v>161</v>
      </c>
      <c r="V266" s="4" t="s">
        <v>2254</v>
      </c>
      <c r="W266" s="7"/>
      <c r="X266" s="7">
        <f t="shared" si="11"/>
        <v>560.79</v>
      </c>
      <c r="Y266" s="7">
        <f t="shared" si="12"/>
        <v>549.05</v>
      </c>
      <c r="AA266" s="7">
        <f t="shared" si="9"/>
        <v>4.26</v>
      </c>
      <c r="AB266" s="7" t="str">
        <f t="shared" si="2"/>
        <v/>
      </c>
      <c r="AC266" s="7">
        <f t="shared" si="1"/>
        <v>-2388.9654</v>
      </c>
    </row>
    <row r="267">
      <c r="A267" s="138" t="s">
        <v>2257</v>
      </c>
      <c r="B267" s="4" t="s">
        <v>193</v>
      </c>
      <c r="C267" s="4" t="s">
        <v>199</v>
      </c>
      <c r="D267" s="90">
        <v>340.08</v>
      </c>
      <c r="E267" s="90">
        <v>335.6</v>
      </c>
      <c r="F267" s="90">
        <v>342.89</v>
      </c>
      <c r="G267" s="4" t="s">
        <v>615</v>
      </c>
      <c r="H267" s="90">
        <v>11.27</v>
      </c>
      <c r="I267" s="90">
        <v>59.69</v>
      </c>
      <c r="J267" s="90">
        <v>19.99</v>
      </c>
      <c r="K267" s="90">
        <v>5.47</v>
      </c>
      <c r="L267" s="4" t="s">
        <v>245</v>
      </c>
      <c r="M267" s="90">
        <v>205.2</v>
      </c>
      <c r="N267" s="92">
        <v>45761.64357159722</v>
      </c>
      <c r="O267" s="4" t="b">
        <v>1</v>
      </c>
      <c r="P267" s="4" t="s">
        <v>2258</v>
      </c>
      <c r="Q267" s="4">
        <v>343.67</v>
      </c>
      <c r="R267" s="4">
        <v>336.32</v>
      </c>
      <c r="S267" s="4">
        <v>328.97</v>
      </c>
      <c r="T267" s="4">
        <v>347.34</v>
      </c>
      <c r="U267" s="4" t="s">
        <v>161</v>
      </c>
      <c r="V267" s="4" t="s">
        <v>2259</v>
      </c>
      <c r="W267" s="7"/>
      <c r="X267" s="7">
        <f t="shared" si="11"/>
        <v>338.61</v>
      </c>
      <c r="Y267" s="7">
        <f t="shared" si="12"/>
        <v>329.79</v>
      </c>
      <c r="AA267" s="7">
        <f t="shared" si="9"/>
        <v>5.67</v>
      </c>
      <c r="AB267" s="7" t="str">
        <f t="shared" si="2"/>
        <v/>
      </c>
      <c r="AC267" s="7">
        <f t="shared" si="1"/>
        <v>-1919.9187</v>
      </c>
    </row>
    <row r="268">
      <c r="A268" s="138" t="s">
        <v>2262</v>
      </c>
      <c r="B268" s="4" t="s">
        <v>211</v>
      </c>
      <c r="C268" s="4" t="s">
        <v>212</v>
      </c>
      <c r="D268" s="90">
        <v>115.19</v>
      </c>
      <c r="E268" s="90">
        <v>113.55</v>
      </c>
      <c r="F268" s="90">
        <v>115.99</v>
      </c>
      <c r="G268" s="4" t="s">
        <v>615</v>
      </c>
      <c r="L268" s="4" t="s">
        <v>213</v>
      </c>
      <c r="M268" s="90">
        <v>117.11</v>
      </c>
      <c r="N268" s="92">
        <v>45856.30512809027</v>
      </c>
      <c r="O268" s="4" t="b">
        <v>1</v>
      </c>
      <c r="P268" s="4" t="s">
        <v>2265</v>
      </c>
      <c r="Q268" s="4">
        <v>115.52</v>
      </c>
      <c r="R268" s="4">
        <v>112.86</v>
      </c>
      <c r="S268" s="4">
        <v>110.2</v>
      </c>
      <c r="T268" s="4">
        <v>116.85</v>
      </c>
      <c r="U268" s="4" t="s">
        <v>161</v>
      </c>
      <c r="V268" s="4" t="s">
        <v>2267</v>
      </c>
      <c r="W268" s="7"/>
      <c r="X268" s="7">
        <f t="shared" si="11"/>
        <v>114.66</v>
      </c>
      <c r="Y268" s="7">
        <f t="shared" si="12"/>
        <v>111.47</v>
      </c>
      <c r="AA268" s="7">
        <f t="shared" si="9"/>
        <v>15.66</v>
      </c>
      <c r="AB268" s="7" t="str">
        <f t="shared" si="2"/>
        <v/>
      </c>
    </row>
    <row r="269">
      <c r="A269" s="148" t="s">
        <v>2272</v>
      </c>
      <c r="B269" s="4" t="s">
        <v>1289</v>
      </c>
      <c r="C269" s="4" t="s">
        <v>1290</v>
      </c>
      <c r="D269" s="90">
        <v>343.53</v>
      </c>
      <c r="O269" s="4" t="b">
        <v>1</v>
      </c>
      <c r="P269" s="4" t="s">
        <v>2275</v>
      </c>
      <c r="Q269" s="4">
        <v>359.7</v>
      </c>
      <c r="R269" s="4">
        <v>346.77</v>
      </c>
      <c r="S269" s="4">
        <v>333.84</v>
      </c>
      <c r="T269" s="4">
        <v>366.16</v>
      </c>
      <c r="U269" s="4" t="s">
        <v>161</v>
      </c>
      <c r="V269" s="4" t="s">
        <v>2276</v>
      </c>
      <c r="W269" s="7"/>
      <c r="X269" s="7">
        <f t="shared" si="11"/>
        <v>340.94</v>
      </c>
      <c r="Y269" s="7">
        <f t="shared" si="12"/>
        <v>325.42</v>
      </c>
      <c r="AA269" s="7">
        <f t="shared" si="9"/>
        <v>3.22</v>
      </c>
      <c r="AB269" s="7" t="str">
        <f t="shared" si="2"/>
        <v/>
      </c>
    </row>
    <row r="270">
      <c r="A270" s="138" t="s">
        <v>2281</v>
      </c>
      <c r="B270" s="4" t="s">
        <v>2129</v>
      </c>
      <c r="C270" s="4" t="s">
        <v>2130</v>
      </c>
      <c r="D270" s="90">
        <v>47.32</v>
      </c>
      <c r="O270" s="4" t="b">
        <v>1</v>
      </c>
      <c r="P270" s="4" t="s">
        <v>2282</v>
      </c>
      <c r="Q270" s="4">
        <v>49.01</v>
      </c>
      <c r="R270" s="4">
        <v>47.92</v>
      </c>
      <c r="S270" s="4">
        <v>46.83</v>
      </c>
      <c r="T270" s="4">
        <v>49.55</v>
      </c>
      <c r="U270" s="4" t="s">
        <v>161</v>
      </c>
      <c r="V270" s="4" t="s">
        <v>2283</v>
      </c>
      <c r="W270" s="7"/>
      <c r="X270" s="7">
        <f t="shared" si="11"/>
        <v>47.1</v>
      </c>
      <c r="Y270" s="7">
        <f t="shared" si="12"/>
        <v>45.79</v>
      </c>
      <c r="AA270" s="7">
        <f t="shared" si="9"/>
        <v>38.23</v>
      </c>
      <c r="AB270" s="7" t="str">
        <f t="shared" si="2"/>
        <v/>
      </c>
    </row>
    <row r="271">
      <c r="A271" s="138" t="s">
        <v>2285</v>
      </c>
      <c r="B271" s="4" t="s">
        <v>157</v>
      </c>
      <c r="C271" s="4" t="s">
        <v>158</v>
      </c>
      <c r="D271" s="90">
        <v>9.91</v>
      </c>
      <c r="O271" s="4" t="b">
        <v>1</v>
      </c>
      <c r="P271" s="4" t="s">
        <v>2286</v>
      </c>
      <c r="Q271" s="4">
        <v>10.0</v>
      </c>
      <c r="R271" s="4">
        <v>9.61</v>
      </c>
      <c r="S271" s="4">
        <v>9.22</v>
      </c>
      <c r="T271" s="4">
        <v>10.2</v>
      </c>
      <c r="U271" s="4" t="s">
        <v>161</v>
      </c>
      <c r="V271" s="4" t="s">
        <v>2287</v>
      </c>
      <c r="W271" s="7"/>
      <c r="X271" s="7">
        <f t="shared" si="11"/>
        <v>9.83</v>
      </c>
      <c r="Y271" s="7">
        <f t="shared" si="12"/>
        <v>9.36</v>
      </c>
      <c r="AA271" s="7">
        <f t="shared" si="9"/>
        <v>106.84</v>
      </c>
      <c r="AB271" s="7" t="str">
        <f t="shared" si="2"/>
        <v/>
      </c>
    </row>
    <row r="272">
      <c r="A272" s="138" t="s">
        <v>2290</v>
      </c>
      <c r="B272" s="4" t="s">
        <v>1152</v>
      </c>
      <c r="C272" s="4" t="s">
        <v>1153</v>
      </c>
      <c r="D272" s="90">
        <v>362.53</v>
      </c>
      <c r="E272" s="90">
        <v>358.25</v>
      </c>
      <c r="F272" s="90">
        <v>363.66</v>
      </c>
      <c r="G272" s="4" t="s">
        <v>615</v>
      </c>
      <c r="M272" s="90">
        <v>351.99</v>
      </c>
      <c r="N272" s="92">
        <v>45721.7049833912</v>
      </c>
      <c r="O272" s="4" t="b">
        <v>1</v>
      </c>
      <c r="P272" s="4" t="s">
        <v>2292</v>
      </c>
      <c r="Q272" s="4">
        <v>366.96</v>
      </c>
      <c r="R272" s="4">
        <v>360.71</v>
      </c>
      <c r="S272" s="4">
        <v>354.46</v>
      </c>
      <c r="T272" s="4">
        <v>370.08</v>
      </c>
      <c r="U272" s="4" t="s">
        <v>161</v>
      </c>
      <c r="V272" s="4" t="s">
        <v>2294</v>
      </c>
      <c r="W272" s="7"/>
      <c r="X272" s="7">
        <f t="shared" si="11"/>
        <v>361.28</v>
      </c>
      <c r="Y272" s="7">
        <f t="shared" si="12"/>
        <v>353.78</v>
      </c>
      <c r="AA272" s="7">
        <f t="shared" si="9"/>
        <v>6.67</v>
      </c>
      <c r="AB272" s="7" t="str">
        <f t="shared" si="2"/>
        <v/>
      </c>
    </row>
    <row r="273">
      <c r="A273" s="138" t="s">
        <v>2298</v>
      </c>
      <c r="B273" s="4" t="s">
        <v>586</v>
      </c>
      <c r="C273" s="4" t="s">
        <v>587</v>
      </c>
      <c r="D273" s="90">
        <v>42.91</v>
      </c>
      <c r="E273" s="90">
        <v>42.01</v>
      </c>
      <c r="F273" s="90">
        <v>44.38</v>
      </c>
      <c r="H273" s="90">
        <v>24.65</v>
      </c>
      <c r="I273" s="90">
        <v>73.45</v>
      </c>
      <c r="J273" s="90">
        <v>44.84</v>
      </c>
      <c r="K273" s="90">
        <v>7.18</v>
      </c>
      <c r="L273" s="4" t="s">
        <v>588</v>
      </c>
      <c r="M273" s="90">
        <v>72.55</v>
      </c>
      <c r="N273" s="92">
        <v>45973.399707951394</v>
      </c>
      <c r="O273" s="4" t="b">
        <v>1</v>
      </c>
      <c r="P273" s="4" t="s">
        <v>2301</v>
      </c>
      <c r="Q273" s="4">
        <v>42.64</v>
      </c>
      <c r="R273" s="4" t="s">
        <v>18</v>
      </c>
      <c r="S273" s="4" t="s">
        <v>18</v>
      </c>
      <c r="T273" s="4" t="s">
        <v>18</v>
      </c>
      <c r="U273" s="4" t="s">
        <v>179</v>
      </c>
      <c r="V273" s="4" t="s">
        <v>2302</v>
      </c>
      <c r="W273" s="7"/>
      <c r="X273" s="7">
        <f t="shared" si="11"/>
        <v>42.22</v>
      </c>
      <c r="Y273" s="7">
        <f t="shared" si="12"/>
        <v>38.06</v>
      </c>
      <c r="AA273" s="7">
        <f t="shared" si="9"/>
        <v>12.01</v>
      </c>
      <c r="AB273" s="7" t="str">
        <f t="shared" si="2"/>
        <v/>
      </c>
    </row>
    <row r="274">
      <c r="A274" s="138" t="s">
        <v>2305</v>
      </c>
      <c r="B274" s="4" t="s">
        <v>995</v>
      </c>
      <c r="C274" s="4" t="s">
        <v>996</v>
      </c>
      <c r="D274" s="90">
        <v>5.22</v>
      </c>
      <c r="E274" s="90">
        <v>5.21</v>
      </c>
      <c r="F274" s="90">
        <v>5.23</v>
      </c>
      <c r="G274" s="4" t="s">
        <v>673</v>
      </c>
      <c r="H274" s="90">
        <v>0.43</v>
      </c>
      <c r="I274" s="90">
        <v>66.99</v>
      </c>
      <c r="J274" s="90">
        <v>19.96</v>
      </c>
      <c r="K274" s="90">
        <v>0.18</v>
      </c>
      <c r="L274" s="4" t="s">
        <v>998</v>
      </c>
      <c r="M274" s="90">
        <v>2.42</v>
      </c>
      <c r="N274" s="92">
        <v>45856.303116469906</v>
      </c>
      <c r="O274" s="4" t="b">
        <v>1</v>
      </c>
      <c r="P274" s="4" t="s">
        <v>2307</v>
      </c>
      <c r="Q274" s="4">
        <v>5.23</v>
      </c>
      <c r="R274" s="4">
        <v>5.21</v>
      </c>
      <c r="S274" s="4">
        <v>5.19</v>
      </c>
      <c r="T274" s="4">
        <v>5.24</v>
      </c>
      <c r="U274" s="4" t="s">
        <v>161</v>
      </c>
      <c r="V274" s="4" t="s">
        <v>2309</v>
      </c>
      <c r="W274" s="7"/>
      <c r="X274" s="7">
        <f t="shared" si="11"/>
        <v>5.22</v>
      </c>
      <c r="Y274" s="7">
        <f t="shared" si="12"/>
        <v>5.2</v>
      </c>
      <c r="AA274" s="7">
        <f t="shared" si="9"/>
        <v>2083.33</v>
      </c>
      <c r="AB274" s="7" t="str">
        <f t="shared" si="2"/>
        <v/>
      </c>
    </row>
    <row r="275">
      <c r="A275" s="138" t="s">
        <v>2312</v>
      </c>
      <c r="B275" s="4" t="s">
        <v>1017</v>
      </c>
      <c r="C275" s="4" t="s">
        <v>1018</v>
      </c>
      <c r="D275" s="90">
        <v>66.94</v>
      </c>
      <c r="E275" s="90">
        <v>64.03</v>
      </c>
      <c r="F275" s="90">
        <v>68.34</v>
      </c>
      <c r="H275" s="90">
        <v>7.29</v>
      </c>
      <c r="I275" s="90">
        <v>72.27</v>
      </c>
      <c r="J275" s="90">
        <v>23.53</v>
      </c>
      <c r="K275" s="90">
        <v>1.75</v>
      </c>
      <c r="L275" s="4" t="s">
        <v>542</v>
      </c>
      <c r="M275" s="90">
        <v>47.03</v>
      </c>
      <c r="N275" s="92">
        <v>45895.30139100694</v>
      </c>
      <c r="O275" s="4" t="b">
        <v>1</v>
      </c>
      <c r="P275" s="4" t="s">
        <v>2314</v>
      </c>
      <c r="Q275" s="4">
        <v>64.95</v>
      </c>
      <c r="R275" s="4" t="s">
        <v>18</v>
      </c>
      <c r="S275" s="4" t="s">
        <v>18</v>
      </c>
      <c r="T275" s="4" t="s">
        <v>18</v>
      </c>
      <c r="U275" s="4" t="s">
        <v>179</v>
      </c>
      <c r="V275" s="4" t="s">
        <v>2315</v>
      </c>
      <c r="W275" s="7"/>
      <c r="X275" s="7">
        <f t="shared" si="11"/>
        <v>65.97</v>
      </c>
      <c r="Y275" s="7">
        <f t="shared" si="12"/>
        <v>60.16</v>
      </c>
      <c r="AA275" s="7">
        <f t="shared" si="9"/>
        <v>8.61</v>
      </c>
      <c r="AB275" s="7" t="str">
        <f t="shared" si="2"/>
        <v/>
      </c>
    </row>
    <row r="276">
      <c r="A276" s="138" t="s">
        <v>2317</v>
      </c>
      <c r="B276" s="4" t="s">
        <v>1362</v>
      </c>
      <c r="C276" s="4" t="s">
        <v>1364</v>
      </c>
      <c r="D276" s="90">
        <v>15.64</v>
      </c>
      <c r="E276" s="90">
        <v>14.88</v>
      </c>
      <c r="F276" s="90">
        <v>16.12</v>
      </c>
      <c r="M276" s="90">
        <v>10.48</v>
      </c>
      <c r="N276" s="92">
        <v>45707.2402543287</v>
      </c>
      <c r="O276" s="4" t="b">
        <v>1</v>
      </c>
      <c r="P276" s="4" t="s">
        <v>2320</v>
      </c>
      <c r="Q276" s="4">
        <v>15.11</v>
      </c>
      <c r="R276" s="4" t="s">
        <v>18</v>
      </c>
      <c r="S276" s="4" t="s">
        <v>18</v>
      </c>
      <c r="T276" s="4" t="s">
        <v>18</v>
      </c>
      <c r="U276" s="4" t="s">
        <v>179</v>
      </c>
      <c r="V276" s="4" t="s">
        <v>2322</v>
      </c>
      <c r="W276" s="7"/>
      <c r="X276" s="7">
        <f t="shared" si="11"/>
        <v>15.46</v>
      </c>
      <c r="Y276" s="7">
        <f t="shared" si="12"/>
        <v>14.37</v>
      </c>
      <c r="AA276" s="7">
        <f t="shared" si="9"/>
        <v>45.79</v>
      </c>
      <c r="AB276" s="7" t="str">
        <f t="shared" si="2"/>
        <v/>
      </c>
    </row>
    <row r="277">
      <c r="A277" s="138" t="s">
        <v>2325</v>
      </c>
      <c r="B277" s="4" t="s">
        <v>1057</v>
      </c>
      <c r="C277" s="4" t="s">
        <v>1058</v>
      </c>
      <c r="D277" s="90">
        <v>35.92</v>
      </c>
      <c r="E277" s="90">
        <v>34.3</v>
      </c>
      <c r="F277" s="90">
        <v>37.17</v>
      </c>
      <c r="H277" s="90">
        <v>-2.1</v>
      </c>
      <c r="I277" s="90">
        <v>50.61</v>
      </c>
      <c r="J277" s="90">
        <v>29.81</v>
      </c>
      <c r="K277" s="90">
        <v>3.37</v>
      </c>
      <c r="L277" s="4" t="s">
        <v>998</v>
      </c>
      <c r="M277" s="90">
        <v>41.06</v>
      </c>
      <c r="N277" s="92">
        <v>45868.35878219907</v>
      </c>
      <c r="O277" s="4" t="b">
        <v>1</v>
      </c>
      <c r="P277" s="4" t="s">
        <v>2328</v>
      </c>
      <c r="Q277" s="4">
        <v>34.65</v>
      </c>
      <c r="R277" s="4" t="s">
        <v>18</v>
      </c>
      <c r="S277" s="4" t="s">
        <v>18</v>
      </c>
      <c r="T277" s="4" t="s">
        <v>18</v>
      </c>
      <c r="U277" s="4" t="s">
        <v>179</v>
      </c>
      <c r="V277" s="4" t="s">
        <v>2329</v>
      </c>
      <c r="W277" s="7"/>
      <c r="X277" s="7">
        <f t="shared" si="11"/>
        <v>35.46</v>
      </c>
      <c r="Y277" s="7">
        <f t="shared" si="12"/>
        <v>32.7</v>
      </c>
      <c r="AA277" s="7">
        <f t="shared" si="9"/>
        <v>18.12</v>
      </c>
      <c r="AB277" s="7" t="str">
        <f t="shared" si="2"/>
        <v/>
      </c>
    </row>
    <row r="278">
      <c r="A278" s="138" t="s">
        <v>2332</v>
      </c>
      <c r="B278" s="4" t="s">
        <v>1077</v>
      </c>
      <c r="C278" s="4" t="s">
        <v>1079</v>
      </c>
      <c r="D278" s="90">
        <v>4.23</v>
      </c>
      <c r="E278" s="90">
        <v>4.0</v>
      </c>
      <c r="F278" s="90">
        <v>4.24</v>
      </c>
      <c r="G278" s="4" t="s">
        <v>673</v>
      </c>
      <c r="L278" s="4" t="s">
        <v>588</v>
      </c>
      <c r="M278" s="90">
        <v>14.62</v>
      </c>
      <c r="N278" s="92">
        <v>45852.921677280094</v>
      </c>
      <c r="O278" s="4" t="b">
        <v>1</v>
      </c>
      <c r="P278" s="4" t="s">
        <v>2335</v>
      </c>
      <c r="Q278" s="4">
        <v>4.1</v>
      </c>
      <c r="R278" s="4" t="s">
        <v>18</v>
      </c>
      <c r="S278" s="4" t="s">
        <v>18</v>
      </c>
      <c r="T278" s="4" t="s">
        <v>18</v>
      </c>
      <c r="U278" s="4" t="s">
        <v>179</v>
      </c>
      <c r="V278" s="4" t="s">
        <v>2337</v>
      </c>
      <c r="W278" s="7"/>
      <c r="X278" s="7">
        <f t="shared" si="11"/>
        <v>4.17</v>
      </c>
      <c r="Y278" s="7">
        <f t="shared" si="12"/>
        <v>3.79</v>
      </c>
      <c r="AA278" s="7">
        <f t="shared" si="9"/>
        <v>130.21</v>
      </c>
      <c r="AB278" s="7" t="str">
        <f t="shared" si="2"/>
        <v/>
      </c>
    </row>
    <row r="279">
      <c r="A279" s="138" t="s">
        <v>2341</v>
      </c>
      <c r="B279" s="4" t="s">
        <v>1189</v>
      </c>
      <c r="C279" s="4" t="s">
        <v>1190</v>
      </c>
      <c r="D279" s="90">
        <v>159.8</v>
      </c>
      <c r="E279" s="4" t="e">
        <v>#N/A</v>
      </c>
      <c r="F279" s="4" t="e">
        <v>#N/A</v>
      </c>
      <c r="O279" s="4" t="b">
        <v>1</v>
      </c>
      <c r="P279" s="4" t="s">
        <v>2343</v>
      </c>
      <c r="Q279" s="4">
        <v>55.71</v>
      </c>
      <c r="R279" s="4">
        <v>54.62</v>
      </c>
      <c r="S279" s="4">
        <v>53.53</v>
      </c>
      <c r="T279" s="4">
        <v>56.25</v>
      </c>
      <c r="U279" s="4" t="s">
        <v>161</v>
      </c>
      <c r="V279" s="4" t="s">
        <v>2345</v>
      </c>
      <c r="W279" s="7"/>
      <c r="X279" s="7">
        <f t="shared" si="11"/>
        <v>53.96</v>
      </c>
      <c r="Y279" s="7">
        <f t="shared" si="12"/>
        <v>52.65</v>
      </c>
      <c r="AA279" s="7">
        <f t="shared" si="9"/>
        <v>38.23</v>
      </c>
      <c r="AB279" s="7" t="str">
        <f t="shared" si="2"/>
        <v/>
      </c>
    </row>
    <row r="280">
      <c r="A280" s="138" t="s">
        <v>2349</v>
      </c>
      <c r="B280" s="4" t="s">
        <v>1450</v>
      </c>
      <c r="C280" s="4" t="s">
        <v>1451</v>
      </c>
      <c r="D280" s="90">
        <v>2.83</v>
      </c>
      <c r="E280" s="90">
        <v>2.78</v>
      </c>
      <c r="F280" s="90">
        <v>2.91</v>
      </c>
      <c r="G280" s="4" t="s">
        <v>615</v>
      </c>
      <c r="H280" s="90">
        <v>-0.46</v>
      </c>
      <c r="I280" s="90">
        <v>63.98</v>
      </c>
      <c r="J280" s="90">
        <v>47.18</v>
      </c>
      <c r="K280" s="90">
        <v>0.71</v>
      </c>
      <c r="L280" s="4" t="s">
        <v>998</v>
      </c>
      <c r="M280" s="90">
        <v>7.1</v>
      </c>
      <c r="N280" s="92">
        <v>45855.328992083334</v>
      </c>
      <c r="O280" s="4" t="b">
        <v>1</v>
      </c>
      <c r="P280" s="4" t="s">
        <v>2352</v>
      </c>
      <c r="Q280" s="4">
        <v>2.8</v>
      </c>
      <c r="R280" s="4" t="s">
        <v>18</v>
      </c>
      <c r="S280" s="4" t="s">
        <v>18</v>
      </c>
      <c r="T280" s="4" t="s">
        <v>18</v>
      </c>
      <c r="U280" s="4" t="s">
        <v>179</v>
      </c>
      <c r="V280" s="4" t="s">
        <v>2353</v>
      </c>
      <c r="W280" s="7"/>
      <c r="X280" s="7">
        <f t="shared" si="11"/>
        <v>2.8</v>
      </c>
      <c r="Y280" s="7">
        <f t="shared" si="12"/>
        <v>2.61</v>
      </c>
      <c r="AA280" s="7">
        <f t="shared" si="9"/>
        <v>260.42</v>
      </c>
      <c r="AB280" s="7" t="str">
        <f t="shared" si="2"/>
        <v/>
      </c>
    </row>
    <row r="281">
      <c r="A281" s="138" t="s">
        <v>2355</v>
      </c>
      <c r="B281" s="4" t="s">
        <v>259</v>
      </c>
      <c r="C281" s="4" t="s">
        <v>827</v>
      </c>
      <c r="D281" s="90">
        <v>8.67</v>
      </c>
      <c r="E281" s="90">
        <v>8.28</v>
      </c>
      <c r="F281" s="90">
        <v>8.88</v>
      </c>
      <c r="O281" s="4" t="b">
        <v>1</v>
      </c>
      <c r="P281" s="4" t="s">
        <v>2356</v>
      </c>
      <c r="Q281" s="4">
        <v>8.77</v>
      </c>
      <c r="R281" s="4">
        <v>8.13</v>
      </c>
      <c r="S281" s="4">
        <v>7.49</v>
      </c>
      <c r="T281" s="4">
        <v>9.09</v>
      </c>
      <c r="U281" s="4" t="s">
        <v>161</v>
      </c>
      <c r="V281" s="4" t="s">
        <v>2358</v>
      </c>
      <c r="W281" s="7"/>
      <c r="X281" s="7">
        <f t="shared" si="11"/>
        <v>8.54</v>
      </c>
      <c r="Y281" s="7">
        <f t="shared" si="12"/>
        <v>7.77</v>
      </c>
      <c r="AA281" s="7">
        <f t="shared" si="9"/>
        <v>65.1</v>
      </c>
      <c r="AB281" s="7" t="str">
        <f t="shared" si="2"/>
        <v/>
      </c>
    </row>
    <row r="282">
      <c r="A282" s="138" t="s">
        <v>2361</v>
      </c>
      <c r="B282" s="4" t="s">
        <v>1230</v>
      </c>
      <c r="C282" s="4" t="s">
        <v>1230</v>
      </c>
      <c r="D282" s="90">
        <v>216.28</v>
      </c>
      <c r="E282" s="90">
        <v>215.29</v>
      </c>
      <c r="F282" s="90">
        <v>219.63</v>
      </c>
      <c r="O282" s="4" t="b">
        <v>1</v>
      </c>
      <c r="P282" s="4" t="s">
        <v>2362</v>
      </c>
      <c r="Q282" s="4">
        <v>222.8</v>
      </c>
      <c r="R282" s="4">
        <v>213.12</v>
      </c>
      <c r="S282" s="4">
        <v>203.44</v>
      </c>
      <c r="T282" s="4">
        <v>227.64</v>
      </c>
      <c r="U282" s="4" t="s">
        <v>161</v>
      </c>
      <c r="V282" s="4" t="s">
        <v>2363</v>
      </c>
      <c r="W282" s="7"/>
      <c r="X282" s="7">
        <f t="shared" si="11"/>
        <v>214.34</v>
      </c>
      <c r="Y282" s="7">
        <f t="shared" si="12"/>
        <v>202.72</v>
      </c>
      <c r="AA282" s="7">
        <f t="shared" si="9"/>
        <v>4.3</v>
      </c>
      <c r="AB282" s="7" t="str">
        <f t="shared" si="2"/>
        <v/>
      </c>
    </row>
    <row r="283">
      <c r="A283" s="138" t="s">
        <v>2366</v>
      </c>
      <c r="B283" s="4" t="s">
        <v>364</v>
      </c>
      <c r="C283" s="4" t="s">
        <v>365</v>
      </c>
      <c r="D283" s="90">
        <v>104.49</v>
      </c>
      <c r="E283" s="90">
        <v>103.38</v>
      </c>
      <c r="F283" s="90">
        <v>105.86</v>
      </c>
      <c r="H283" s="90">
        <v>7.93</v>
      </c>
      <c r="I283" s="90">
        <v>0.0</v>
      </c>
      <c r="J283" s="90">
        <v>21.44</v>
      </c>
      <c r="K283" s="90">
        <v>3.13</v>
      </c>
      <c r="O283" s="4" t="b">
        <v>1</v>
      </c>
      <c r="P283" s="4" t="s">
        <v>2368</v>
      </c>
      <c r="Q283" s="4">
        <v>109.25</v>
      </c>
      <c r="R283" s="4">
        <v>106.84</v>
      </c>
      <c r="S283" s="4">
        <v>104.43</v>
      </c>
      <c r="T283" s="4">
        <v>110.45</v>
      </c>
      <c r="U283" s="4" t="s">
        <v>161</v>
      </c>
      <c r="V283" s="4" t="s">
        <v>2369</v>
      </c>
      <c r="W283" s="7"/>
      <c r="X283" s="7">
        <f t="shared" si="11"/>
        <v>104.01</v>
      </c>
      <c r="Y283" s="7">
        <f t="shared" si="12"/>
        <v>101.12</v>
      </c>
      <c r="AA283" s="7">
        <f t="shared" si="9"/>
        <v>17.29</v>
      </c>
      <c r="AB283" s="7" t="str">
        <f t="shared" si="2"/>
        <v/>
      </c>
    </row>
    <row r="284">
      <c r="A284" s="138" t="s">
        <v>2370</v>
      </c>
      <c r="B284" s="4" t="s">
        <v>2057</v>
      </c>
      <c r="C284" s="4" t="s">
        <v>2060</v>
      </c>
      <c r="D284" s="90">
        <v>206.66</v>
      </c>
      <c r="E284" s="90">
        <v>202.24</v>
      </c>
      <c r="F284" s="90">
        <v>209.32</v>
      </c>
      <c r="G284" s="4" t="s">
        <v>957</v>
      </c>
      <c r="H284" s="90">
        <v>21.23</v>
      </c>
      <c r="I284" s="90">
        <v>50.64</v>
      </c>
      <c r="J284" s="90">
        <v>33.55</v>
      </c>
      <c r="K284" s="90">
        <v>6.95</v>
      </c>
      <c r="L284" s="4" t="s">
        <v>2061</v>
      </c>
      <c r="M284" s="90">
        <v>195.0</v>
      </c>
      <c r="N284" s="92">
        <v>46079.42712140046</v>
      </c>
      <c r="O284" s="4" t="b">
        <v>1</v>
      </c>
      <c r="P284" s="4" t="s">
        <v>2372</v>
      </c>
      <c r="Q284" s="4">
        <v>214.47</v>
      </c>
      <c r="R284" s="4">
        <v>208.42</v>
      </c>
      <c r="S284" s="4">
        <v>202.37</v>
      </c>
      <c r="T284" s="4">
        <v>217.49</v>
      </c>
      <c r="U284" s="4" t="s">
        <v>161</v>
      </c>
      <c r="V284" s="4" t="s">
        <v>2374</v>
      </c>
      <c r="W284" s="7"/>
      <c r="X284" s="7">
        <f t="shared" si="11"/>
        <v>205.45</v>
      </c>
      <c r="Y284" s="7">
        <f t="shared" si="12"/>
        <v>198.19</v>
      </c>
      <c r="AA284" s="7">
        <f t="shared" si="9"/>
        <v>6.89</v>
      </c>
      <c r="AB284" s="7" t="str">
        <f t="shared" si="2"/>
        <v/>
      </c>
    </row>
    <row r="285">
      <c r="A285" s="138" t="s">
        <v>2376</v>
      </c>
      <c r="B285" s="4" t="s">
        <v>798</v>
      </c>
      <c r="C285" s="159" t="s">
        <v>799</v>
      </c>
      <c r="D285" s="90">
        <v>119.9</v>
      </c>
      <c r="E285" s="90">
        <v>116.8</v>
      </c>
      <c r="F285" s="90">
        <v>121.99</v>
      </c>
      <c r="H285" s="90">
        <v>-16.41</v>
      </c>
      <c r="I285" s="90">
        <v>27.65</v>
      </c>
      <c r="J285" s="90">
        <v>36.4</v>
      </c>
      <c r="K285" s="90">
        <v>8.44</v>
      </c>
      <c r="M285" s="90">
        <v>181.52</v>
      </c>
      <c r="N285" s="92">
        <v>46219.377022280096</v>
      </c>
      <c r="O285" s="4" t="b">
        <v>1</v>
      </c>
      <c r="P285" s="4" t="s">
        <v>2378</v>
      </c>
      <c r="Q285" s="4">
        <v>118.18</v>
      </c>
      <c r="R285" s="4" t="s">
        <v>18</v>
      </c>
      <c r="S285" s="4" t="s">
        <v>18</v>
      </c>
      <c r="T285" s="4" t="s">
        <v>18</v>
      </c>
      <c r="U285" s="4" t="s">
        <v>179</v>
      </c>
      <c r="V285" s="4" t="s">
        <v>2379</v>
      </c>
      <c r="W285" s="7"/>
      <c r="X285" s="7">
        <f t="shared" si="11"/>
        <v>118.67</v>
      </c>
      <c r="Y285" s="7">
        <f t="shared" si="12"/>
        <v>111.3</v>
      </c>
      <c r="AA285" s="7">
        <f t="shared" si="9"/>
        <v>6.79</v>
      </c>
      <c r="AB285" s="7" t="str">
        <f t="shared" si="2"/>
        <v/>
      </c>
    </row>
    <row r="286">
      <c r="A286" s="138" t="s">
        <v>2382</v>
      </c>
      <c r="B286" s="4" t="s">
        <v>1397</v>
      </c>
      <c r="C286" s="4" t="s">
        <v>1398</v>
      </c>
      <c r="D286" s="90">
        <v>70.4</v>
      </c>
      <c r="E286" s="90">
        <v>69.86</v>
      </c>
      <c r="F286" s="90">
        <v>71.65</v>
      </c>
      <c r="H286" s="90">
        <v>26.83</v>
      </c>
      <c r="I286" s="90">
        <v>68.29</v>
      </c>
      <c r="J286" s="90">
        <v>30.74</v>
      </c>
      <c r="K286" s="90">
        <v>24.79</v>
      </c>
      <c r="L286" s="4" t="s">
        <v>170</v>
      </c>
      <c r="M286" s="90">
        <v>1218.85</v>
      </c>
      <c r="N286" s="92">
        <v>45812.24753260417</v>
      </c>
      <c r="O286" s="4" t="b">
        <v>1</v>
      </c>
      <c r="P286" s="4" t="s">
        <v>2384</v>
      </c>
      <c r="Q286" s="4">
        <v>73.76</v>
      </c>
      <c r="R286" s="4">
        <v>71.61</v>
      </c>
      <c r="S286" s="4">
        <v>69.46</v>
      </c>
      <c r="T286" s="4">
        <v>74.83</v>
      </c>
      <c r="U286" s="4" t="s">
        <v>161</v>
      </c>
      <c r="V286" s="4" t="s">
        <v>2387</v>
      </c>
      <c r="W286" s="7"/>
      <c r="X286" s="7">
        <f t="shared" si="11"/>
        <v>69.97</v>
      </c>
      <c r="Y286" s="7">
        <f t="shared" si="12"/>
        <v>67.39</v>
      </c>
      <c r="AA286" s="7">
        <f t="shared" si="9"/>
        <v>19.38</v>
      </c>
      <c r="AB286" s="7" t="str">
        <f t="shared" si="2"/>
        <v/>
      </c>
    </row>
    <row r="287">
      <c r="A287" s="138" t="s">
        <v>2393</v>
      </c>
      <c r="B287" s="4" t="s">
        <v>612</v>
      </c>
      <c r="C287" s="4" t="s">
        <v>613</v>
      </c>
      <c r="D287" s="90">
        <v>551.71</v>
      </c>
      <c r="E287" s="90">
        <v>542.02</v>
      </c>
      <c r="F287" s="90">
        <v>553.89</v>
      </c>
      <c r="G287" s="4" t="s">
        <v>615</v>
      </c>
      <c r="M287" s="90">
        <v>588.03</v>
      </c>
      <c r="N287" s="92">
        <v>45912.10145469908</v>
      </c>
      <c r="O287" s="4" t="b">
        <v>1</v>
      </c>
      <c r="P287" s="4" t="s">
        <v>2396</v>
      </c>
      <c r="Q287" s="4">
        <v>564.61</v>
      </c>
      <c r="R287" s="4">
        <v>554.31</v>
      </c>
      <c r="S287" s="4">
        <v>544.01</v>
      </c>
      <c r="T287" s="4">
        <v>569.76</v>
      </c>
      <c r="U287" s="4" t="s">
        <v>161</v>
      </c>
      <c r="V287" s="4" t="s">
        <v>2398</v>
      </c>
      <c r="W287" s="7"/>
      <c r="X287" s="7">
        <f t="shared" si="11"/>
        <v>549.65</v>
      </c>
      <c r="Y287" s="7">
        <f t="shared" si="12"/>
        <v>537.29</v>
      </c>
      <c r="AA287" s="7">
        <f t="shared" si="9"/>
        <v>4.05</v>
      </c>
      <c r="AB287" s="7" t="str">
        <f t="shared" si="2"/>
        <v/>
      </c>
    </row>
    <row r="288">
      <c r="A288" s="138" t="s">
        <v>2402</v>
      </c>
      <c r="B288" s="4" t="s">
        <v>193</v>
      </c>
      <c r="C288" s="4" t="s">
        <v>199</v>
      </c>
      <c r="D288" s="90">
        <v>336.91</v>
      </c>
      <c r="E288" s="90">
        <v>334.02</v>
      </c>
      <c r="F288" s="90">
        <v>339.57</v>
      </c>
      <c r="G288" s="4" t="s">
        <v>615</v>
      </c>
      <c r="H288" s="90">
        <v>11.27</v>
      </c>
      <c r="I288" s="90">
        <v>59.69</v>
      </c>
      <c r="J288" s="90">
        <v>19.99</v>
      </c>
      <c r="K288" s="90">
        <v>5.47</v>
      </c>
      <c r="L288" s="4" t="s">
        <v>245</v>
      </c>
      <c r="M288" s="90">
        <v>205.2</v>
      </c>
      <c r="N288" s="92">
        <v>45761.64357159722</v>
      </c>
      <c r="O288" s="4" t="b">
        <v>1</v>
      </c>
      <c r="P288" s="4" t="s">
        <v>2404</v>
      </c>
      <c r="Q288" s="4">
        <v>342.89</v>
      </c>
      <c r="R288" s="4">
        <v>335.5</v>
      </c>
      <c r="S288" s="4">
        <v>328.11</v>
      </c>
      <c r="T288" s="4">
        <v>346.58</v>
      </c>
      <c r="U288" s="4" t="s">
        <v>161</v>
      </c>
      <c r="V288" s="4" t="s">
        <v>2405</v>
      </c>
      <c r="W288" s="7"/>
      <c r="X288" s="7">
        <f t="shared" si="11"/>
        <v>335.43</v>
      </c>
      <c r="Y288" s="7">
        <f t="shared" si="12"/>
        <v>326.56</v>
      </c>
      <c r="AA288" s="7">
        <f t="shared" si="9"/>
        <v>5.64</v>
      </c>
      <c r="AB288" s="7" t="str">
        <f t="shared" si="2"/>
        <v/>
      </c>
    </row>
    <row r="289">
      <c r="A289" s="138" t="s">
        <v>2407</v>
      </c>
      <c r="B289" s="4" t="s">
        <v>211</v>
      </c>
      <c r="C289" s="4" t="s">
        <v>212</v>
      </c>
      <c r="D289" s="90">
        <v>115.0</v>
      </c>
      <c r="E289" s="90">
        <v>112.61</v>
      </c>
      <c r="F289" s="90">
        <v>115.02</v>
      </c>
      <c r="G289" s="4" t="s">
        <v>615</v>
      </c>
      <c r="L289" s="4" t="s">
        <v>213</v>
      </c>
      <c r="M289" s="90">
        <v>117.11</v>
      </c>
      <c r="N289" s="92">
        <v>45856.30512809027</v>
      </c>
      <c r="O289" s="4" t="b">
        <v>1</v>
      </c>
      <c r="P289" s="4" t="s">
        <v>2410</v>
      </c>
      <c r="Q289" s="4">
        <v>115.93</v>
      </c>
      <c r="R289" s="4">
        <v>113.14</v>
      </c>
      <c r="S289" s="4">
        <v>110.35</v>
      </c>
      <c r="T289" s="4">
        <v>117.33</v>
      </c>
      <c r="U289" s="4" t="s">
        <v>161</v>
      </c>
      <c r="V289" s="4" t="s">
        <v>2411</v>
      </c>
      <c r="W289" s="7"/>
      <c r="X289" s="7">
        <f t="shared" si="11"/>
        <v>114.44</v>
      </c>
      <c r="Y289" s="7">
        <f t="shared" si="12"/>
        <v>111.09</v>
      </c>
      <c r="AA289" s="7">
        <f t="shared" si="9"/>
        <v>14.93</v>
      </c>
      <c r="AB289" s="7" t="str">
        <f t="shared" si="2"/>
        <v/>
      </c>
    </row>
    <row r="290">
      <c r="A290" s="83"/>
      <c r="N290" s="92"/>
      <c r="W290" s="7"/>
      <c r="AB290" s="7" t="str">
        <f t="shared" si="2"/>
        <v/>
      </c>
    </row>
    <row r="291">
      <c r="A291" s="83"/>
      <c r="N291" s="92"/>
      <c r="W291" s="7"/>
      <c r="AB291" s="7" t="str">
        <f t="shared" si="2"/>
        <v/>
      </c>
    </row>
    <row r="292">
      <c r="A292" s="83"/>
      <c r="W292" s="7"/>
      <c r="AB292" s="7" t="str">
        <f t="shared" si="2"/>
        <v/>
      </c>
    </row>
    <row r="293">
      <c r="A293" s="83"/>
      <c r="N293" s="92"/>
      <c r="W293" s="7"/>
      <c r="AB293" s="7" t="str">
        <f t="shared" si="2"/>
        <v/>
      </c>
    </row>
    <row r="294">
      <c r="A294" s="83"/>
      <c r="W294" s="7"/>
      <c r="AB294" s="7" t="str">
        <f t="shared" si="2"/>
        <v/>
      </c>
    </row>
    <row r="295">
      <c r="A295" s="83"/>
      <c r="N295" s="92"/>
      <c r="W295" s="7"/>
      <c r="AB295" s="7" t="str">
        <f t="shared" si="2"/>
        <v/>
      </c>
    </row>
    <row r="296">
      <c r="A296" s="83"/>
      <c r="W296" s="7"/>
      <c r="AB296" s="7" t="str">
        <f t="shared" si="2"/>
        <v/>
      </c>
    </row>
    <row r="297">
      <c r="A297" s="83"/>
      <c r="N297" s="92"/>
      <c r="W297" s="7"/>
      <c r="AB297" s="7" t="str">
        <f t="shared" si="2"/>
        <v/>
      </c>
    </row>
    <row r="298">
      <c r="A298" s="83"/>
      <c r="W298" s="7"/>
      <c r="AB298" s="7" t="str">
        <f t="shared" si="2"/>
        <v/>
      </c>
    </row>
    <row r="299">
      <c r="A299" s="83"/>
      <c r="N299" s="92"/>
      <c r="W299" s="7"/>
      <c r="AB299" s="7" t="str">
        <f t="shared" si="2"/>
        <v/>
      </c>
    </row>
    <row r="300">
      <c r="A300" s="83"/>
      <c r="W300" s="7"/>
      <c r="AB300" s="7" t="str">
        <f t="shared" si="2"/>
        <v/>
      </c>
    </row>
    <row r="301">
      <c r="A301" s="83"/>
      <c r="N301" s="92"/>
      <c r="W301" s="7"/>
      <c r="AB301" s="7" t="str">
        <f t="shared" si="2"/>
        <v/>
      </c>
    </row>
    <row r="302">
      <c r="A302" s="83"/>
      <c r="W302" s="7"/>
      <c r="AB302" s="7" t="str">
        <f t="shared" si="2"/>
        <v/>
      </c>
    </row>
    <row r="303">
      <c r="A303" s="83"/>
      <c r="N303" s="92"/>
      <c r="W303" s="7"/>
      <c r="AB303" s="7" t="str">
        <f t="shared" si="2"/>
        <v/>
      </c>
    </row>
    <row r="304">
      <c r="A304" s="83"/>
      <c r="W304" s="7"/>
      <c r="AB304" s="7" t="str">
        <f t="shared" si="2"/>
        <v/>
      </c>
    </row>
    <row r="305">
      <c r="A305" s="83"/>
      <c r="N305" s="92"/>
      <c r="W305" s="7"/>
      <c r="AB305" s="7" t="str">
        <f t="shared" si="2"/>
        <v/>
      </c>
    </row>
    <row r="306">
      <c r="A306" s="83"/>
      <c r="W306" s="7"/>
      <c r="AB306" s="7" t="str">
        <f t="shared" si="2"/>
        <v/>
      </c>
    </row>
    <row r="307">
      <c r="A307" s="83"/>
      <c r="N307" s="92"/>
      <c r="W307" s="7"/>
      <c r="AB307" s="7" t="str">
        <f t="shared" si="2"/>
        <v/>
      </c>
    </row>
    <row r="308">
      <c r="A308" s="83"/>
      <c r="N308" s="92"/>
      <c r="W308" s="7"/>
      <c r="AB308" s="7" t="str">
        <f t="shared" si="2"/>
        <v/>
      </c>
    </row>
    <row r="309">
      <c r="A309" s="83"/>
      <c r="N309" s="92"/>
      <c r="W309" s="7"/>
      <c r="AB309" s="7" t="str">
        <f t="shared" si="2"/>
        <v/>
      </c>
    </row>
    <row r="310">
      <c r="A310" s="83"/>
      <c r="W310" s="7"/>
      <c r="AB310" s="7" t="str">
        <f t="shared" si="2"/>
        <v/>
      </c>
    </row>
    <row r="311">
      <c r="A311" s="83"/>
      <c r="N311" s="92"/>
      <c r="W311" s="7"/>
      <c r="AB311" s="7" t="str">
        <f t="shared" si="2"/>
        <v/>
      </c>
    </row>
    <row r="312">
      <c r="A312" s="83"/>
      <c r="W312" s="7"/>
      <c r="AB312" s="7" t="str">
        <f t="shared" si="2"/>
        <v/>
      </c>
    </row>
    <row r="313">
      <c r="A313" s="83"/>
      <c r="W313" s="7"/>
      <c r="AB313" s="7" t="str">
        <f t="shared" si="2"/>
        <v/>
      </c>
    </row>
    <row r="314">
      <c r="A314" s="83"/>
      <c r="W314" s="7"/>
      <c r="AB314" s="7" t="str">
        <f t="shared" si="2"/>
        <v/>
      </c>
    </row>
    <row r="315">
      <c r="A315" s="83"/>
      <c r="W315" s="7"/>
      <c r="AB315" s="7" t="str">
        <f t="shared" si="2"/>
        <v/>
      </c>
    </row>
    <row r="316">
      <c r="A316" s="83"/>
      <c r="W316" s="7"/>
      <c r="AB316" s="7" t="str">
        <f t="shared" si="2"/>
        <v/>
      </c>
    </row>
    <row r="317">
      <c r="A317" s="83"/>
      <c r="W317" s="7"/>
      <c r="AB317" s="7" t="str">
        <f t="shared" si="2"/>
        <v/>
      </c>
    </row>
    <row r="318">
      <c r="A318" s="83"/>
      <c r="W318" s="7"/>
      <c r="AB318" s="7" t="str">
        <f t="shared" si="2"/>
        <v/>
      </c>
    </row>
    <row r="319">
      <c r="A319" s="83"/>
      <c r="W319" s="7"/>
      <c r="AB319" s="7" t="str">
        <f t="shared" si="2"/>
        <v/>
      </c>
    </row>
    <row r="320">
      <c r="A320" s="83"/>
      <c r="W320" s="7"/>
      <c r="AB320" s="7" t="str">
        <f t="shared" si="2"/>
        <v/>
      </c>
    </row>
    <row r="321">
      <c r="A321" s="83"/>
      <c r="W321" s="7"/>
      <c r="AB321" s="7" t="str">
        <f t="shared" si="2"/>
        <v/>
      </c>
    </row>
    <row r="322">
      <c r="A322" s="83"/>
      <c r="W322" s="7"/>
      <c r="AB322" s="7" t="str">
        <f t="shared" si="2"/>
        <v/>
      </c>
    </row>
    <row r="323">
      <c r="A323" s="83"/>
      <c r="W323" s="7"/>
      <c r="AB323" s="7" t="str">
        <f t="shared" si="2"/>
        <v/>
      </c>
    </row>
    <row r="324">
      <c r="A324" s="83"/>
      <c r="W324" s="7"/>
      <c r="AB324" s="7" t="str">
        <f t="shared" si="2"/>
        <v/>
      </c>
    </row>
    <row r="325">
      <c r="A325" s="83"/>
      <c r="W325" s="7"/>
      <c r="AB325" s="7" t="str">
        <f t="shared" si="2"/>
        <v/>
      </c>
    </row>
    <row r="326">
      <c r="A326" s="83"/>
      <c r="W326" s="7"/>
      <c r="AB326" s="7" t="str">
        <f t="shared" si="2"/>
        <v/>
      </c>
    </row>
    <row r="327">
      <c r="A327" s="83"/>
      <c r="W327" s="7"/>
      <c r="AB327" s="7" t="str">
        <f t="shared" si="2"/>
        <v/>
      </c>
    </row>
    <row r="328">
      <c r="A328" s="83"/>
      <c r="W328" s="7"/>
      <c r="AB328" s="7" t="str">
        <f t="shared" si="2"/>
        <v/>
      </c>
    </row>
    <row r="329">
      <c r="A329" s="83"/>
      <c r="W329" s="7"/>
      <c r="AB329" s="7" t="str">
        <f t="shared" si="2"/>
        <v/>
      </c>
    </row>
    <row r="330">
      <c r="A330" s="83"/>
      <c r="W330" s="7"/>
      <c r="AB330" s="7" t="str">
        <f t="shared" si="2"/>
        <v/>
      </c>
    </row>
    <row r="331">
      <c r="A331" s="83"/>
      <c r="W331" s="7"/>
      <c r="AB331" s="7" t="str">
        <f t="shared" si="2"/>
        <v/>
      </c>
    </row>
    <row r="332">
      <c r="A332" s="83"/>
      <c r="W332" s="7"/>
      <c r="AB332" s="7" t="str">
        <f t="shared" si="2"/>
        <v/>
      </c>
    </row>
    <row r="333">
      <c r="A333" s="83"/>
      <c r="W333" s="7"/>
      <c r="AB333" s="7" t="str">
        <f t="shared" si="2"/>
        <v/>
      </c>
    </row>
    <row r="334">
      <c r="A334" s="83"/>
      <c r="W334" s="7"/>
      <c r="AB334" s="7" t="str">
        <f t="shared" si="2"/>
        <v/>
      </c>
    </row>
    <row r="335">
      <c r="A335" s="83"/>
      <c r="W335" s="7"/>
      <c r="AB335" s="7" t="str">
        <f t="shared" si="2"/>
        <v/>
      </c>
    </row>
    <row r="336">
      <c r="A336" s="83"/>
      <c r="W336" s="7"/>
      <c r="AB336" s="7" t="str">
        <f t="shared" si="2"/>
        <v/>
      </c>
    </row>
    <row r="337">
      <c r="A337" s="83"/>
      <c r="W337" s="7"/>
      <c r="AB337" s="7" t="str">
        <f t="shared" si="2"/>
        <v/>
      </c>
    </row>
    <row r="338">
      <c r="A338" s="83"/>
      <c r="W338" s="7"/>
      <c r="AB338" s="7" t="str">
        <f t="shared" si="2"/>
        <v/>
      </c>
    </row>
    <row r="339">
      <c r="A339" s="83"/>
      <c r="W339" s="7"/>
      <c r="AB339" s="7" t="str">
        <f t="shared" si="2"/>
        <v/>
      </c>
    </row>
    <row r="340">
      <c r="A340" s="83"/>
      <c r="W340" s="7"/>
      <c r="AB340" s="7" t="str">
        <f t="shared" si="2"/>
        <v/>
      </c>
    </row>
    <row r="341">
      <c r="A341" s="83"/>
      <c r="W341" s="7"/>
      <c r="AB341" s="7" t="str">
        <f t="shared" si="2"/>
        <v/>
      </c>
    </row>
    <row r="342">
      <c r="A342" s="83"/>
      <c r="W342" s="7"/>
      <c r="AB342" s="7" t="str">
        <f t="shared" si="2"/>
        <v/>
      </c>
    </row>
    <row r="343">
      <c r="A343" s="83"/>
      <c r="W343" s="7"/>
      <c r="AB343" s="7" t="str">
        <f t="shared" si="2"/>
        <v/>
      </c>
    </row>
    <row r="344">
      <c r="A344" s="83"/>
      <c r="W344" s="7"/>
      <c r="AB344" s="7" t="str">
        <f t="shared" si="2"/>
        <v/>
      </c>
    </row>
    <row r="345">
      <c r="A345" s="83"/>
      <c r="W345" s="7"/>
      <c r="AB345" s="7" t="str">
        <f t="shared" si="2"/>
        <v/>
      </c>
    </row>
    <row r="346">
      <c r="A346" s="83"/>
      <c r="W346" s="7"/>
      <c r="AB346" s="7" t="str">
        <f t="shared" si="2"/>
        <v/>
      </c>
    </row>
    <row r="347">
      <c r="A347" s="83"/>
      <c r="W347" s="7"/>
      <c r="AB347" s="7" t="str">
        <f t="shared" si="2"/>
        <v/>
      </c>
    </row>
    <row r="348">
      <c r="A348" s="83"/>
      <c r="W348" s="7"/>
      <c r="AB348" s="7" t="str">
        <f t="shared" si="2"/>
        <v/>
      </c>
    </row>
    <row r="349">
      <c r="A349" s="83"/>
      <c r="W349" s="7"/>
      <c r="AB349" s="7" t="str">
        <f t="shared" si="2"/>
        <v/>
      </c>
    </row>
    <row r="350">
      <c r="A350" s="83"/>
      <c r="W350" s="7"/>
      <c r="AB350" s="7" t="str">
        <f t="shared" si="2"/>
        <v/>
      </c>
    </row>
    <row r="351">
      <c r="A351" s="83"/>
      <c r="W351" s="7"/>
      <c r="AB351" s="7" t="str">
        <f t="shared" si="2"/>
        <v/>
      </c>
    </row>
    <row r="352">
      <c r="A352" s="83"/>
      <c r="W352" s="7"/>
      <c r="AB352" s="7" t="str">
        <f t="shared" si="2"/>
        <v/>
      </c>
    </row>
    <row r="353">
      <c r="A353" s="83"/>
      <c r="W353" s="7"/>
      <c r="AB353" s="7" t="str">
        <f t="shared" si="2"/>
        <v/>
      </c>
    </row>
    <row r="354">
      <c r="A354" s="83"/>
      <c r="W354" s="7"/>
      <c r="AB354" s="7" t="str">
        <f t="shared" si="2"/>
        <v/>
      </c>
    </row>
    <row r="355">
      <c r="A355" s="83"/>
      <c r="W355" s="7"/>
      <c r="AB355" s="7" t="str">
        <f t="shared" si="2"/>
        <v/>
      </c>
    </row>
    <row r="356">
      <c r="A356" s="83"/>
      <c r="W356" s="7"/>
      <c r="AB356" s="7" t="str">
        <f t="shared" si="2"/>
        <v/>
      </c>
    </row>
    <row r="357">
      <c r="A357" s="83"/>
      <c r="W357" s="7"/>
      <c r="AB357" s="7" t="str">
        <f t="shared" si="2"/>
        <v/>
      </c>
    </row>
    <row r="358">
      <c r="A358" s="83"/>
      <c r="W358" s="7"/>
      <c r="AB358" s="7" t="str">
        <f t="shared" si="2"/>
        <v/>
      </c>
    </row>
    <row r="359">
      <c r="A359" s="83"/>
      <c r="W359" s="7"/>
      <c r="AB359" s="7" t="str">
        <f t="shared" si="2"/>
        <v/>
      </c>
    </row>
    <row r="360">
      <c r="A360" s="83"/>
      <c r="W360" s="7"/>
      <c r="AB360" s="7" t="str">
        <f t="shared" si="2"/>
        <v/>
      </c>
    </row>
    <row r="361">
      <c r="A361" s="83"/>
      <c r="W361" s="7"/>
      <c r="AB361" s="7" t="str">
        <f t="shared" si="2"/>
        <v/>
      </c>
    </row>
    <row r="362">
      <c r="A362" s="83"/>
      <c r="W362" s="7"/>
      <c r="AB362" s="7" t="str">
        <f t="shared" si="2"/>
        <v/>
      </c>
    </row>
    <row r="363">
      <c r="A363" s="83"/>
      <c r="W363" s="7"/>
      <c r="AB363" s="7" t="str">
        <f t="shared" si="2"/>
        <v/>
      </c>
    </row>
    <row r="364">
      <c r="A364" s="83"/>
      <c r="W364" s="7"/>
      <c r="AB364" s="7" t="str">
        <f t="shared" si="2"/>
        <v/>
      </c>
    </row>
    <row r="365">
      <c r="A365" s="83"/>
      <c r="W365" s="7"/>
      <c r="AB365" s="7" t="str">
        <f t="shared" si="2"/>
        <v/>
      </c>
    </row>
    <row r="366">
      <c r="A366" s="83"/>
      <c r="W366" s="7"/>
      <c r="AB366" s="7" t="str">
        <f t="shared" si="2"/>
        <v/>
      </c>
    </row>
    <row r="367">
      <c r="A367" s="83"/>
      <c r="W367" s="7"/>
      <c r="AB367" s="7" t="str">
        <f t="shared" si="2"/>
        <v/>
      </c>
    </row>
    <row r="368">
      <c r="A368" s="83"/>
      <c r="W368" s="7"/>
      <c r="AB368" s="7" t="str">
        <f t="shared" si="2"/>
        <v/>
      </c>
    </row>
    <row r="369">
      <c r="A369" s="83"/>
      <c r="W369" s="7"/>
      <c r="AB369" s="7" t="str">
        <f t="shared" si="2"/>
        <v/>
      </c>
    </row>
    <row r="370">
      <c r="A370" s="83"/>
      <c r="W370" s="7"/>
      <c r="AB370" s="7" t="str">
        <f t="shared" si="2"/>
        <v/>
      </c>
    </row>
    <row r="371">
      <c r="A371" s="83"/>
      <c r="W371" s="7"/>
      <c r="AB371" s="7" t="str">
        <f t="shared" si="2"/>
        <v/>
      </c>
    </row>
    <row r="372">
      <c r="A372" s="83"/>
      <c r="W372" s="7"/>
      <c r="AB372" s="7" t="str">
        <f t="shared" si="2"/>
        <v/>
      </c>
    </row>
    <row r="373">
      <c r="A373" s="83"/>
      <c r="W373" s="7"/>
      <c r="AB373" s="7" t="str">
        <f t="shared" si="2"/>
        <v/>
      </c>
    </row>
    <row r="374">
      <c r="A374" s="83"/>
      <c r="W374" s="7"/>
      <c r="AB374" s="7" t="str">
        <f t="shared" si="2"/>
        <v/>
      </c>
    </row>
    <row r="375">
      <c r="A375" s="83"/>
      <c r="W375" s="7"/>
      <c r="AB375" s="7" t="str">
        <f t="shared" si="2"/>
        <v/>
      </c>
    </row>
    <row r="376">
      <c r="A376" s="83"/>
      <c r="W376" s="7"/>
      <c r="AB376" s="7" t="str">
        <f t="shared" si="2"/>
        <v/>
      </c>
    </row>
    <row r="377">
      <c r="A377" s="83"/>
      <c r="W377" s="7"/>
      <c r="AB377" s="7" t="str">
        <f t="shared" si="2"/>
        <v/>
      </c>
    </row>
    <row r="378">
      <c r="A378" s="83"/>
      <c r="W378" s="7"/>
      <c r="AB378" s="7" t="str">
        <f t="shared" si="2"/>
        <v/>
      </c>
    </row>
    <row r="379">
      <c r="A379" s="83"/>
      <c r="W379" s="7"/>
      <c r="AB379" s="7" t="str">
        <f t="shared" si="2"/>
        <v/>
      </c>
    </row>
    <row r="380">
      <c r="A380" s="83"/>
      <c r="W380" s="7"/>
      <c r="AB380" s="7" t="str">
        <f t="shared" si="2"/>
        <v/>
      </c>
    </row>
    <row r="381">
      <c r="A381" s="83"/>
      <c r="W381" s="7"/>
      <c r="AB381" s="7" t="str">
        <f t="shared" si="2"/>
        <v/>
      </c>
    </row>
    <row r="382">
      <c r="A382" s="83"/>
      <c r="W382" s="7"/>
      <c r="AB382" s="7" t="str">
        <f t="shared" si="2"/>
        <v/>
      </c>
    </row>
    <row r="383">
      <c r="A383" s="83"/>
      <c r="W383" s="7"/>
      <c r="AB383" s="7" t="str">
        <f t="shared" si="2"/>
        <v/>
      </c>
    </row>
    <row r="384">
      <c r="A384" s="83"/>
      <c r="W384" s="7"/>
      <c r="AB384" s="7" t="str">
        <f t="shared" si="2"/>
        <v/>
      </c>
    </row>
    <row r="385">
      <c r="A385" s="83"/>
      <c r="W385" s="7"/>
      <c r="AB385" s="7" t="str">
        <f t="shared" si="2"/>
        <v/>
      </c>
    </row>
    <row r="386">
      <c r="A386" s="83"/>
      <c r="W386" s="7"/>
      <c r="AB386" s="7" t="str">
        <f t="shared" si="2"/>
        <v/>
      </c>
    </row>
    <row r="387">
      <c r="A387" s="83"/>
      <c r="W387" s="7"/>
      <c r="AB387" s="7" t="str">
        <f t="shared" si="2"/>
        <v/>
      </c>
    </row>
    <row r="388">
      <c r="A388" s="83"/>
      <c r="W388" s="7"/>
      <c r="AB388" s="7" t="str">
        <f t="shared" si="2"/>
        <v/>
      </c>
    </row>
    <row r="389">
      <c r="A389" s="83"/>
      <c r="W389" s="7"/>
      <c r="AB389" s="7" t="str">
        <f t="shared" si="2"/>
        <v/>
      </c>
    </row>
    <row r="390">
      <c r="A390" s="83"/>
      <c r="W390" s="7"/>
      <c r="AB390" s="7" t="str">
        <f t="shared" si="2"/>
        <v/>
      </c>
    </row>
    <row r="391">
      <c r="A391" s="83"/>
      <c r="W391" s="7"/>
      <c r="AB391" s="7" t="str">
        <f t="shared" si="2"/>
        <v/>
      </c>
    </row>
    <row r="392">
      <c r="A392" s="83"/>
      <c r="W392" s="7"/>
      <c r="AB392" s="7" t="str">
        <f t="shared" si="2"/>
        <v/>
      </c>
    </row>
    <row r="393">
      <c r="A393" s="83"/>
      <c r="W393" s="7"/>
      <c r="AB393" s="7" t="str">
        <f t="shared" si="2"/>
        <v/>
      </c>
    </row>
    <row r="394">
      <c r="A394" s="83"/>
      <c r="W394" s="7"/>
      <c r="AB394" s="7" t="str">
        <f t="shared" si="2"/>
        <v/>
      </c>
    </row>
    <row r="395">
      <c r="A395" s="83"/>
      <c r="W395" s="7"/>
      <c r="AB395" s="7" t="str">
        <f t="shared" si="2"/>
        <v/>
      </c>
    </row>
    <row r="396">
      <c r="A396" s="83"/>
      <c r="W396" s="7"/>
      <c r="AB396" s="7" t="str">
        <f t="shared" si="2"/>
        <v/>
      </c>
    </row>
    <row r="397">
      <c r="A397" s="83"/>
      <c r="W397" s="7"/>
      <c r="AB397" s="7" t="str">
        <f t="shared" si="2"/>
        <v/>
      </c>
    </row>
    <row r="398">
      <c r="A398" s="83"/>
      <c r="W398" s="7"/>
      <c r="AB398" s="7" t="str">
        <f t="shared" si="2"/>
        <v/>
      </c>
    </row>
    <row r="399">
      <c r="A399" s="83"/>
      <c r="W399" s="7"/>
      <c r="AB399" s="7" t="str">
        <f t="shared" si="2"/>
        <v/>
      </c>
    </row>
    <row r="400">
      <c r="A400" s="83"/>
      <c r="W400" s="7"/>
      <c r="AB400" s="7" t="str">
        <f t="shared" si="2"/>
        <v/>
      </c>
    </row>
    <row r="401">
      <c r="A401" s="83"/>
      <c r="W401" s="7"/>
      <c r="AB401" s="7" t="str">
        <f t="shared" si="2"/>
        <v/>
      </c>
    </row>
    <row r="402">
      <c r="A402" s="83"/>
      <c r="W402" s="7"/>
      <c r="AB402" s="7" t="str">
        <f t="shared" si="2"/>
        <v/>
      </c>
    </row>
    <row r="403">
      <c r="A403" s="83"/>
      <c r="W403" s="7"/>
      <c r="AB403" s="7" t="str">
        <f t="shared" si="2"/>
        <v/>
      </c>
    </row>
    <row r="404">
      <c r="A404" s="83"/>
      <c r="W404" s="7"/>
      <c r="AB404" s="7" t="str">
        <f t="shared" si="2"/>
        <v/>
      </c>
    </row>
    <row r="405">
      <c r="A405" s="83"/>
      <c r="W405" s="7"/>
      <c r="AB405" s="7" t="str">
        <f t="shared" si="2"/>
        <v/>
      </c>
    </row>
    <row r="406">
      <c r="A406" s="83"/>
      <c r="W406" s="7"/>
      <c r="AB406" s="7" t="str">
        <f t="shared" si="2"/>
        <v/>
      </c>
    </row>
    <row r="407">
      <c r="A407" s="83"/>
      <c r="W407" s="7"/>
      <c r="AB407" s="7" t="str">
        <f t="shared" si="2"/>
        <v/>
      </c>
    </row>
    <row r="408">
      <c r="A408" s="83"/>
      <c r="W408" s="7"/>
      <c r="AB408" s="7" t="str">
        <f t="shared" si="2"/>
        <v/>
      </c>
    </row>
    <row r="409">
      <c r="A409" s="83"/>
      <c r="W409" s="7"/>
      <c r="AB409" s="7" t="str">
        <f t="shared" si="2"/>
        <v/>
      </c>
    </row>
    <row r="410">
      <c r="A410" s="83"/>
      <c r="W410" s="7"/>
      <c r="AB410" s="7" t="str">
        <f t="shared" si="2"/>
        <v/>
      </c>
    </row>
    <row r="411">
      <c r="A411" s="83"/>
      <c r="W411" s="7"/>
      <c r="AB411" s="7" t="str">
        <f t="shared" si="2"/>
        <v/>
      </c>
    </row>
    <row r="412">
      <c r="A412" s="83"/>
      <c r="W412" s="7"/>
      <c r="AB412" s="7" t="str">
        <f t="shared" si="2"/>
        <v/>
      </c>
    </row>
    <row r="413">
      <c r="A413" s="83"/>
      <c r="W413" s="7"/>
      <c r="AB413" s="7" t="str">
        <f t="shared" si="2"/>
        <v/>
      </c>
    </row>
    <row r="414">
      <c r="A414" s="83"/>
      <c r="W414" s="7"/>
      <c r="AB414" s="7" t="str">
        <f t="shared" si="2"/>
        <v/>
      </c>
    </row>
    <row r="415">
      <c r="A415" s="83"/>
      <c r="W415" s="7"/>
      <c r="AB415" s="7" t="str">
        <f t="shared" si="2"/>
        <v/>
      </c>
    </row>
    <row r="416">
      <c r="A416" s="83"/>
      <c r="W416" s="7"/>
      <c r="AB416" s="7" t="str">
        <f t="shared" si="2"/>
        <v/>
      </c>
    </row>
    <row r="417">
      <c r="A417" s="83"/>
      <c r="W417" s="7"/>
      <c r="AB417" s="7" t="str">
        <f t="shared" si="2"/>
        <v/>
      </c>
    </row>
    <row r="418">
      <c r="A418" s="83"/>
      <c r="W418" s="7"/>
      <c r="AB418" s="7" t="str">
        <f t="shared" si="2"/>
        <v/>
      </c>
    </row>
    <row r="419">
      <c r="A419" s="83"/>
      <c r="W419" s="7"/>
      <c r="AB419" s="7" t="str">
        <f t="shared" si="2"/>
        <v/>
      </c>
    </row>
    <row r="420">
      <c r="A420" s="83"/>
      <c r="W420" s="7"/>
      <c r="AB420" s="7" t="str">
        <f t="shared" si="2"/>
        <v/>
      </c>
    </row>
    <row r="421">
      <c r="A421" s="83"/>
      <c r="W421" s="7"/>
      <c r="AB421" s="7" t="str">
        <f t="shared" si="2"/>
        <v/>
      </c>
    </row>
    <row r="422">
      <c r="A422" s="83"/>
      <c r="W422" s="7"/>
      <c r="AB422" s="7" t="str">
        <f t="shared" si="2"/>
        <v/>
      </c>
    </row>
    <row r="423">
      <c r="A423" s="83"/>
      <c r="W423" s="7"/>
      <c r="AB423" s="7" t="str">
        <f t="shared" si="2"/>
        <v/>
      </c>
    </row>
    <row r="424">
      <c r="A424" s="83"/>
      <c r="W424" s="7"/>
      <c r="AB424" s="7" t="str">
        <f t="shared" si="2"/>
        <v/>
      </c>
    </row>
    <row r="425">
      <c r="A425" s="83"/>
      <c r="W425" s="7"/>
      <c r="AB425" s="7" t="str">
        <f t="shared" si="2"/>
        <v/>
      </c>
    </row>
    <row r="426">
      <c r="A426" s="83"/>
      <c r="W426" s="7"/>
      <c r="AB426" s="7" t="str">
        <f t="shared" si="2"/>
        <v/>
      </c>
    </row>
    <row r="427">
      <c r="A427" s="83"/>
      <c r="W427" s="7"/>
      <c r="AB427" s="7" t="str">
        <f t="shared" si="2"/>
        <v/>
      </c>
    </row>
    <row r="428">
      <c r="A428" s="83"/>
      <c r="W428" s="7"/>
      <c r="AB428" s="7" t="str">
        <f t="shared" si="2"/>
        <v/>
      </c>
    </row>
    <row r="429">
      <c r="A429" s="83"/>
      <c r="W429" s="7"/>
      <c r="AB429" s="7" t="str">
        <f t="shared" si="2"/>
        <v/>
      </c>
    </row>
    <row r="430">
      <c r="A430" s="83"/>
      <c r="W430" s="7"/>
      <c r="AB430" s="7" t="str">
        <f t="shared" si="2"/>
        <v/>
      </c>
    </row>
    <row r="431">
      <c r="A431" s="83"/>
      <c r="W431" s="7"/>
      <c r="AB431" s="7" t="str">
        <f t="shared" si="2"/>
        <v/>
      </c>
    </row>
    <row r="432">
      <c r="A432" s="83"/>
      <c r="W432" s="7"/>
      <c r="AB432" s="7" t="str">
        <f t="shared" si="2"/>
        <v/>
      </c>
    </row>
    <row r="433">
      <c r="A433" s="83"/>
      <c r="W433" s="7"/>
      <c r="AB433" s="7" t="str">
        <f t="shared" si="2"/>
        <v/>
      </c>
    </row>
    <row r="434">
      <c r="A434" s="83"/>
      <c r="W434" s="7"/>
      <c r="AB434" s="7" t="str">
        <f t="shared" si="2"/>
        <v/>
      </c>
    </row>
    <row r="435">
      <c r="A435" s="83"/>
      <c r="W435" s="7"/>
      <c r="AB435" s="7" t="str">
        <f t="shared" si="2"/>
        <v/>
      </c>
    </row>
    <row r="436">
      <c r="A436" s="83"/>
      <c r="W436" s="7"/>
      <c r="AB436" s="7" t="str">
        <f t="shared" si="2"/>
        <v/>
      </c>
    </row>
    <row r="437">
      <c r="A437" s="83"/>
      <c r="W437" s="7"/>
      <c r="AB437" s="7" t="str">
        <f t="shared" si="2"/>
        <v/>
      </c>
    </row>
    <row r="438">
      <c r="A438" s="83"/>
      <c r="W438" s="7"/>
      <c r="AB438" s="7" t="str">
        <f t="shared" si="2"/>
        <v/>
      </c>
    </row>
    <row r="439">
      <c r="A439" s="83"/>
      <c r="W439" s="7"/>
      <c r="AB439" s="7" t="str">
        <f t="shared" si="2"/>
        <v/>
      </c>
    </row>
    <row r="440">
      <c r="A440" s="83"/>
      <c r="W440" s="7"/>
      <c r="AB440" s="7" t="str">
        <f t="shared" si="2"/>
        <v/>
      </c>
    </row>
    <row r="441">
      <c r="A441" s="83"/>
      <c r="W441" s="7"/>
      <c r="AB441" s="7" t="str">
        <f t="shared" si="2"/>
        <v/>
      </c>
    </row>
    <row r="442">
      <c r="A442" s="83"/>
      <c r="W442" s="7"/>
      <c r="AB442" s="7" t="str">
        <f t="shared" si="2"/>
        <v/>
      </c>
    </row>
    <row r="443">
      <c r="A443" s="83"/>
      <c r="W443" s="7"/>
      <c r="AB443" s="7" t="str">
        <f t="shared" si="2"/>
        <v/>
      </c>
    </row>
    <row r="444">
      <c r="A444" s="83"/>
      <c r="W444" s="7"/>
      <c r="AB444" s="7" t="str">
        <f t="shared" si="2"/>
        <v/>
      </c>
    </row>
    <row r="445">
      <c r="A445" s="83"/>
      <c r="W445" s="7"/>
      <c r="AB445" s="7" t="str">
        <f t="shared" si="2"/>
        <v/>
      </c>
    </row>
    <row r="446">
      <c r="A446" s="83"/>
      <c r="W446" s="7"/>
      <c r="AB446" s="7" t="str">
        <f t="shared" si="2"/>
        <v/>
      </c>
    </row>
    <row r="447">
      <c r="A447" s="83"/>
      <c r="W447" s="7"/>
      <c r="AB447" s="7" t="str">
        <f t="shared" si="2"/>
        <v/>
      </c>
    </row>
    <row r="448">
      <c r="A448" s="83"/>
      <c r="W448" s="7"/>
      <c r="AB448" s="7" t="str">
        <f t="shared" si="2"/>
        <v/>
      </c>
    </row>
    <row r="449">
      <c r="A449" s="83"/>
      <c r="W449" s="7"/>
      <c r="AB449" s="7" t="str">
        <f t="shared" si="2"/>
        <v/>
      </c>
    </row>
    <row r="450">
      <c r="A450" s="83"/>
      <c r="W450" s="7"/>
      <c r="AB450" s="7" t="str">
        <f t="shared" si="2"/>
        <v/>
      </c>
    </row>
    <row r="451">
      <c r="A451" s="83"/>
      <c r="W451" s="7"/>
      <c r="AB451" s="7" t="str">
        <f t="shared" si="2"/>
        <v/>
      </c>
    </row>
    <row r="452">
      <c r="A452" s="83"/>
      <c r="W452" s="7"/>
      <c r="AB452" s="7" t="str">
        <f t="shared" si="2"/>
        <v/>
      </c>
    </row>
    <row r="453">
      <c r="A453" s="83"/>
      <c r="W453" s="7"/>
      <c r="AB453" s="7" t="str">
        <f t="shared" si="2"/>
        <v/>
      </c>
    </row>
    <row r="454">
      <c r="A454" s="83"/>
      <c r="W454" s="7"/>
      <c r="AB454" s="7" t="str">
        <f t="shared" si="2"/>
        <v/>
      </c>
    </row>
    <row r="455">
      <c r="A455" s="83"/>
      <c r="W455" s="7"/>
      <c r="AB455" s="7" t="str">
        <f t="shared" si="2"/>
        <v/>
      </c>
    </row>
    <row r="456">
      <c r="A456" s="83"/>
      <c r="W456" s="7"/>
      <c r="AB456" s="7" t="str">
        <f t="shared" si="2"/>
        <v/>
      </c>
    </row>
    <row r="457">
      <c r="A457" s="83"/>
      <c r="W457" s="7"/>
      <c r="AB457" s="7" t="str">
        <f t="shared" si="2"/>
        <v/>
      </c>
    </row>
    <row r="458">
      <c r="A458" s="83"/>
      <c r="W458" s="7"/>
      <c r="AB458" s="7" t="str">
        <f t="shared" si="2"/>
        <v/>
      </c>
    </row>
    <row r="459">
      <c r="A459" s="83"/>
      <c r="W459" s="7"/>
      <c r="AB459" s="7" t="str">
        <f t="shared" si="2"/>
        <v/>
      </c>
    </row>
    <row r="460">
      <c r="A460" s="83"/>
      <c r="W460" s="7"/>
      <c r="AB460" s="7" t="str">
        <f t="shared" si="2"/>
        <v/>
      </c>
    </row>
    <row r="461">
      <c r="A461" s="83"/>
      <c r="W461" s="7"/>
      <c r="AB461" s="7" t="str">
        <f t="shared" si="2"/>
        <v/>
      </c>
    </row>
    <row r="462">
      <c r="A462" s="83"/>
      <c r="W462" s="7"/>
      <c r="AB462" s="7" t="str">
        <f t="shared" si="2"/>
        <v/>
      </c>
    </row>
    <row r="463">
      <c r="A463" s="83"/>
      <c r="W463" s="7"/>
      <c r="AB463" s="7" t="str">
        <f t="shared" si="2"/>
        <v/>
      </c>
    </row>
    <row r="464">
      <c r="A464" s="83"/>
      <c r="W464" s="7"/>
      <c r="AB464" s="7" t="str">
        <f t="shared" si="2"/>
        <v/>
      </c>
    </row>
    <row r="465">
      <c r="A465" s="83"/>
      <c r="W465" s="7"/>
      <c r="AB465" s="7" t="str">
        <f t="shared" si="2"/>
        <v/>
      </c>
    </row>
    <row r="466">
      <c r="A466" s="83"/>
      <c r="W466" s="7"/>
      <c r="AB466" s="7" t="str">
        <f t="shared" si="2"/>
        <v/>
      </c>
    </row>
    <row r="467">
      <c r="A467" s="83"/>
      <c r="W467" s="7"/>
      <c r="AB467" s="7" t="str">
        <f t="shared" si="2"/>
        <v/>
      </c>
    </row>
    <row r="468">
      <c r="A468" s="83"/>
      <c r="W468" s="7"/>
      <c r="AB468" s="7" t="str">
        <f t="shared" si="2"/>
        <v/>
      </c>
    </row>
    <row r="469">
      <c r="A469" s="83"/>
      <c r="W469" s="7"/>
      <c r="AB469" s="7" t="str">
        <f t="shared" si="2"/>
        <v/>
      </c>
    </row>
    <row r="470">
      <c r="A470" s="83"/>
      <c r="W470" s="7"/>
      <c r="AB470" s="7" t="str">
        <f t="shared" si="2"/>
        <v/>
      </c>
    </row>
    <row r="471">
      <c r="A471" s="83"/>
      <c r="W471" s="7"/>
      <c r="AB471" s="7" t="str">
        <f t="shared" si="2"/>
        <v/>
      </c>
    </row>
    <row r="472">
      <c r="A472" s="83"/>
      <c r="W472" s="7"/>
      <c r="AB472" s="7" t="str">
        <f t="shared" si="2"/>
        <v/>
      </c>
    </row>
    <row r="473">
      <c r="A473" s="83"/>
      <c r="W473" s="7"/>
      <c r="AB473" s="7" t="str">
        <f t="shared" si="2"/>
        <v/>
      </c>
    </row>
    <row r="474">
      <c r="A474" s="83"/>
      <c r="W474" s="7"/>
      <c r="AB474" s="7" t="str">
        <f t="shared" si="2"/>
        <v/>
      </c>
    </row>
    <row r="475">
      <c r="A475" s="83"/>
      <c r="W475" s="7"/>
      <c r="AB475" s="7" t="str">
        <f t="shared" si="2"/>
        <v/>
      </c>
    </row>
    <row r="476">
      <c r="A476" s="83"/>
      <c r="W476" s="7"/>
      <c r="AB476" s="7" t="str">
        <f t="shared" si="2"/>
        <v/>
      </c>
    </row>
    <row r="477">
      <c r="A477" s="83"/>
      <c r="W477" s="7"/>
      <c r="AB477" s="7" t="str">
        <f t="shared" si="2"/>
        <v/>
      </c>
    </row>
    <row r="478">
      <c r="A478" s="83"/>
      <c r="W478" s="7"/>
      <c r="AB478" s="7" t="str">
        <f t="shared" si="2"/>
        <v/>
      </c>
    </row>
    <row r="479">
      <c r="A479" s="83"/>
      <c r="W479" s="7"/>
      <c r="AB479" s="7" t="str">
        <f t="shared" si="2"/>
        <v/>
      </c>
    </row>
    <row r="480">
      <c r="A480" s="83"/>
      <c r="W480" s="7"/>
      <c r="AB480" s="7" t="str">
        <f t="shared" si="2"/>
        <v/>
      </c>
    </row>
    <row r="481">
      <c r="A481" s="83"/>
      <c r="W481" s="7"/>
      <c r="AB481" s="7" t="str">
        <f t="shared" si="2"/>
        <v/>
      </c>
    </row>
    <row r="482">
      <c r="A482" s="83"/>
      <c r="W482" s="7"/>
      <c r="AB482" s="7" t="str">
        <f t="shared" si="2"/>
        <v/>
      </c>
    </row>
    <row r="483">
      <c r="A483" s="83"/>
      <c r="W483" s="7"/>
      <c r="AB483" s="7" t="str">
        <f t="shared" si="2"/>
        <v/>
      </c>
    </row>
    <row r="484">
      <c r="A484" s="83"/>
      <c r="W484" s="7"/>
      <c r="AB484" s="7" t="str">
        <f t="shared" si="2"/>
        <v/>
      </c>
    </row>
    <row r="485">
      <c r="A485" s="83"/>
      <c r="W485" s="7"/>
      <c r="AB485" s="7" t="str">
        <f t="shared" si="2"/>
        <v/>
      </c>
    </row>
    <row r="486">
      <c r="A486" s="83"/>
      <c r="W486" s="7"/>
      <c r="AB486" s="7" t="str">
        <f t="shared" si="2"/>
        <v/>
      </c>
    </row>
    <row r="487">
      <c r="A487" s="83"/>
      <c r="W487" s="7"/>
      <c r="AB487" s="7" t="str">
        <f t="shared" si="2"/>
        <v/>
      </c>
    </row>
    <row r="488">
      <c r="A488" s="83"/>
      <c r="W488" s="7"/>
      <c r="AB488" s="7" t="str">
        <f t="shared" si="2"/>
        <v/>
      </c>
    </row>
    <row r="489">
      <c r="A489" s="83"/>
      <c r="W489" s="7"/>
      <c r="AB489" s="7" t="str">
        <f t="shared" si="2"/>
        <v/>
      </c>
    </row>
    <row r="490">
      <c r="A490" s="83"/>
      <c r="W490" s="7"/>
      <c r="AB490" s="7" t="str">
        <f t="shared" si="2"/>
        <v/>
      </c>
    </row>
    <row r="491">
      <c r="A491" s="83"/>
      <c r="W491" s="7"/>
      <c r="AB491" s="7" t="str">
        <f t="shared" si="2"/>
        <v/>
      </c>
    </row>
    <row r="492">
      <c r="A492" s="83"/>
      <c r="W492" s="7"/>
      <c r="AB492" s="7" t="str">
        <f t="shared" si="2"/>
        <v/>
      </c>
    </row>
    <row r="493">
      <c r="A493" s="83"/>
      <c r="W493" s="7"/>
      <c r="AB493" s="7" t="str">
        <f t="shared" si="2"/>
        <v/>
      </c>
    </row>
    <row r="494">
      <c r="A494" s="83"/>
      <c r="W494" s="7"/>
      <c r="AB494" s="7" t="str">
        <f t="shared" si="2"/>
        <v/>
      </c>
    </row>
    <row r="495">
      <c r="A495" s="83"/>
      <c r="W495" s="7"/>
      <c r="AB495" s="7" t="str">
        <f t="shared" si="2"/>
        <v/>
      </c>
    </row>
    <row r="496">
      <c r="A496" s="83"/>
      <c r="W496" s="7"/>
      <c r="AB496" s="7" t="str">
        <f t="shared" si="2"/>
        <v/>
      </c>
    </row>
    <row r="497">
      <c r="A497" s="83"/>
      <c r="W497" s="7"/>
      <c r="AB497" s="7" t="str">
        <f t="shared" si="2"/>
        <v/>
      </c>
    </row>
    <row r="498">
      <c r="A498" s="83"/>
      <c r="W498" s="7"/>
      <c r="AB498" s="7" t="str">
        <f t="shared" si="2"/>
        <v/>
      </c>
    </row>
    <row r="499">
      <c r="A499" s="83"/>
      <c r="W499" s="7"/>
      <c r="AB499" s="7" t="str">
        <f t="shared" si="2"/>
        <v/>
      </c>
    </row>
    <row r="500">
      <c r="A500" s="83"/>
      <c r="W500" s="7"/>
      <c r="AB500" s="7" t="str">
        <f t="shared" si="2"/>
        <v/>
      </c>
    </row>
    <row r="501">
      <c r="A501" s="83"/>
      <c r="W501" s="7"/>
      <c r="AB501" s="7" t="str">
        <f t="shared" si="2"/>
        <v/>
      </c>
    </row>
    <row r="502">
      <c r="A502" s="83"/>
      <c r="W502" s="7"/>
      <c r="AB502" s="7" t="str">
        <f t="shared" si="2"/>
        <v/>
      </c>
    </row>
    <row r="503">
      <c r="A503" s="83"/>
      <c r="W503" s="7"/>
      <c r="AB503" s="7" t="str">
        <f t="shared" si="2"/>
        <v/>
      </c>
    </row>
    <row r="504">
      <c r="A504" s="83"/>
      <c r="W504" s="7"/>
      <c r="AB504" s="7" t="str">
        <f t="shared" si="2"/>
        <v/>
      </c>
    </row>
    <row r="505">
      <c r="A505" s="83"/>
      <c r="W505" s="7"/>
      <c r="AB505" s="7" t="str">
        <f t="shared" si="2"/>
        <v/>
      </c>
    </row>
    <row r="506">
      <c r="A506" s="83"/>
      <c r="W506" s="7"/>
      <c r="AB506" s="7" t="str">
        <f t="shared" si="2"/>
        <v/>
      </c>
    </row>
    <row r="507">
      <c r="A507" s="83"/>
      <c r="W507" s="7"/>
      <c r="AB507" s="7" t="str">
        <f t="shared" si="2"/>
        <v/>
      </c>
    </row>
    <row r="508">
      <c r="A508" s="83"/>
      <c r="W508" s="7"/>
      <c r="AB508" s="7" t="str">
        <f t="shared" si="2"/>
        <v/>
      </c>
    </row>
    <row r="509">
      <c r="A509" s="83"/>
      <c r="W509" s="7"/>
      <c r="AB509" s="7" t="str">
        <f t="shared" si="2"/>
        <v/>
      </c>
    </row>
    <row r="510">
      <c r="A510" s="83"/>
      <c r="W510" s="7"/>
      <c r="AB510" s="7" t="str">
        <f t="shared" si="2"/>
        <v/>
      </c>
    </row>
    <row r="511">
      <c r="A511" s="83"/>
      <c r="W511" s="7"/>
      <c r="AB511" s="7" t="str">
        <f t="shared" si="2"/>
        <v/>
      </c>
    </row>
    <row r="512">
      <c r="A512" s="83"/>
      <c r="W512" s="7"/>
      <c r="AB512" s="7" t="str">
        <f t="shared" si="2"/>
        <v/>
      </c>
    </row>
    <row r="513">
      <c r="A513" s="83"/>
      <c r="W513" s="7"/>
      <c r="AB513" s="7" t="str">
        <f t="shared" si="2"/>
        <v/>
      </c>
    </row>
    <row r="514">
      <c r="A514" s="83"/>
      <c r="W514" s="7"/>
      <c r="AB514" s="7" t="str">
        <f t="shared" si="2"/>
        <v/>
      </c>
    </row>
    <row r="515">
      <c r="A515" s="83"/>
      <c r="W515" s="7"/>
      <c r="AB515" s="7" t="str">
        <f t="shared" si="2"/>
        <v/>
      </c>
    </row>
    <row r="516">
      <c r="A516" s="83"/>
      <c r="W516" s="7"/>
      <c r="AB516" s="7" t="str">
        <f t="shared" si="2"/>
        <v/>
      </c>
    </row>
    <row r="517">
      <c r="A517" s="83"/>
      <c r="W517" s="7"/>
      <c r="AB517" s="7" t="str">
        <f t="shared" si="2"/>
        <v/>
      </c>
    </row>
    <row r="518">
      <c r="A518" s="83"/>
      <c r="W518" s="7"/>
      <c r="AB518" s="7" t="str">
        <f t="shared" si="2"/>
        <v/>
      </c>
    </row>
    <row r="519">
      <c r="A519" s="83"/>
      <c r="W519" s="7"/>
      <c r="AB519" s="7" t="str">
        <f t="shared" si="2"/>
        <v/>
      </c>
    </row>
    <row r="520">
      <c r="A520" s="83"/>
      <c r="W520" s="7"/>
      <c r="AB520" s="7" t="str">
        <f t="shared" si="2"/>
        <v/>
      </c>
    </row>
    <row r="521">
      <c r="A521" s="83"/>
      <c r="W521" s="7"/>
      <c r="AB521" s="7" t="str">
        <f t="shared" si="2"/>
        <v/>
      </c>
    </row>
    <row r="522">
      <c r="A522" s="83"/>
      <c r="W522" s="7"/>
      <c r="AB522" s="7" t="str">
        <f t="shared" si="2"/>
        <v/>
      </c>
    </row>
    <row r="523">
      <c r="A523" s="83"/>
      <c r="W523" s="7"/>
      <c r="AB523" s="7" t="str">
        <f t="shared" si="2"/>
        <v/>
      </c>
    </row>
    <row r="524">
      <c r="A524" s="83"/>
      <c r="W524" s="7"/>
      <c r="AB524" s="7" t="str">
        <f t="shared" si="2"/>
        <v/>
      </c>
    </row>
    <row r="525">
      <c r="A525" s="83"/>
      <c r="W525" s="7"/>
      <c r="AB525" s="7" t="str">
        <f t="shared" si="2"/>
        <v/>
      </c>
    </row>
    <row r="526">
      <c r="A526" s="83"/>
      <c r="W526" s="7"/>
      <c r="AB526" s="7" t="str">
        <f t="shared" si="2"/>
        <v/>
      </c>
    </row>
    <row r="527">
      <c r="A527" s="83"/>
      <c r="W527" s="7"/>
      <c r="AB527" s="7" t="str">
        <f t="shared" si="2"/>
        <v/>
      </c>
    </row>
    <row r="528">
      <c r="A528" s="83"/>
      <c r="W528" s="7"/>
      <c r="AB528" s="7" t="str">
        <f t="shared" si="2"/>
        <v/>
      </c>
    </row>
    <row r="529">
      <c r="A529" s="83"/>
      <c r="W529" s="7"/>
      <c r="AB529" s="7" t="str">
        <f t="shared" si="2"/>
        <v/>
      </c>
    </row>
    <row r="530">
      <c r="A530" s="83"/>
      <c r="W530" s="7"/>
      <c r="AB530" s="7" t="str">
        <f t="shared" si="2"/>
        <v/>
      </c>
    </row>
    <row r="531">
      <c r="A531" s="83"/>
      <c r="W531" s="7"/>
      <c r="AB531" s="7" t="str">
        <f t="shared" si="2"/>
        <v/>
      </c>
    </row>
    <row r="532">
      <c r="A532" s="83"/>
      <c r="W532" s="7"/>
      <c r="AB532" s="7" t="str">
        <f t="shared" si="2"/>
        <v/>
      </c>
    </row>
    <row r="533">
      <c r="A533" s="83"/>
      <c r="W533" s="7"/>
      <c r="AB533" s="7" t="str">
        <f t="shared" si="2"/>
        <v/>
      </c>
    </row>
    <row r="534">
      <c r="A534" s="83"/>
      <c r="W534" s="7"/>
      <c r="AB534" s="7" t="str">
        <f t="shared" si="2"/>
        <v/>
      </c>
    </row>
    <row r="535">
      <c r="A535" s="83"/>
      <c r="W535" s="7"/>
      <c r="AB535" s="7" t="str">
        <f t="shared" si="2"/>
        <v/>
      </c>
    </row>
    <row r="536">
      <c r="A536" s="83"/>
      <c r="W536" s="7"/>
      <c r="AB536" s="7" t="str">
        <f t="shared" si="2"/>
        <v/>
      </c>
    </row>
    <row r="537">
      <c r="A537" s="83"/>
      <c r="W537" s="7"/>
      <c r="AB537" s="7" t="str">
        <f t="shared" si="2"/>
        <v/>
      </c>
    </row>
    <row r="538">
      <c r="A538" s="83"/>
      <c r="W538" s="7"/>
      <c r="AB538" s="7" t="str">
        <f t="shared" si="2"/>
        <v/>
      </c>
    </row>
    <row r="539">
      <c r="A539" s="83"/>
      <c r="W539" s="7"/>
      <c r="AB539" s="7" t="str">
        <f t="shared" si="2"/>
        <v/>
      </c>
    </row>
    <row r="540">
      <c r="A540" s="83"/>
      <c r="W540" s="7"/>
      <c r="AB540" s="7" t="str">
        <f t="shared" si="2"/>
        <v/>
      </c>
    </row>
    <row r="541">
      <c r="A541" s="83"/>
      <c r="W541" s="7"/>
      <c r="AB541" s="7" t="str">
        <f t="shared" si="2"/>
        <v/>
      </c>
    </row>
    <row r="542">
      <c r="A542" s="83"/>
      <c r="W542" s="7"/>
      <c r="AB542" s="7" t="str">
        <f t="shared" si="2"/>
        <v/>
      </c>
    </row>
    <row r="543">
      <c r="A543" s="83"/>
      <c r="W543" s="7"/>
      <c r="AB543" s="7" t="str">
        <f t="shared" si="2"/>
        <v/>
      </c>
    </row>
    <row r="544">
      <c r="A544" s="83"/>
      <c r="W544" s="7"/>
      <c r="AB544" s="7" t="str">
        <f t="shared" si="2"/>
        <v/>
      </c>
    </row>
    <row r="545">
      <c r="A545" s="83"/>
      <c r="W545" s="7"/>
      <c r="AB545" s="7" t="str">
        <f t="shared" si="2"/>
        <v/>
      </c>
    </row>
    <row r="546">
      <c r="A546" s="83"/>
      <c r="W546" s="7"/>
      <c r="AB546" s="7" t="str">
        <f t="shared" si="2"/>
        <v/>
      </c>
    </row>
    <row r="547">
      <c r="A547" s="83"/>
      <c r="W547" s="7"/>
      <c r="AB547" s="7" t="str">
        <f t="shared" si="2"/>
        <v/>
      </c>
    </row>
    <row r="548">
      <c r="A548" s="83"/>
      <c r="W548" s="7"/>
      <c r="AB548" s="7" t="str">
        <f t="shared" si="2"/>
        <v/>
      </c>
    </row>
    <row r="549">
      <c r="A549" s="83"/>
      <c r="W549" s="7"/>
      <c r="AB549" s="7" t="str">
        <f t="shared" si="2"/>
        <v/>
      </c>
    </row>
    <row r="550">
      <c r="A550" s="83"/>
      <c r="W550" s="7"/>
      <c r="AB550" s="7" t="str">
        <f t="shared" si="2"/>
        <v/>
      </c>
    </row>
    <row r="551">
      <c r="A551" s="83"/>
      <c r="W551" s="7"/>
      <c r="AB551" s="7" t="str">
        <f t="shared" si="2"/>
        <v/>
      </c>
    </row>
    <row r="552">
      <c r="A552" s="83"/>
      <c r="W552" s="7"/>
      <c r="AB552" s="7" t="str">
        <f t="shared" si="2"/>
        <v/>
      </c>
    </row>
    <row r="553">
      <c r="A553" s="83"/>
      <c r="W553" s="7"/>
      <c r="AB553" s="7" t="str">
        <f t="shared" si="2"/>
        <v/>
      </c>
    </row>
    <row r="554">
      <c r="A554" s="83"/>
      <c r="W554" s="7"/>
      <c r="AB554" s="7" t="str">
        <f t="shared" si="2"/>
        <v/>
      </c>
    </row>
    <row r="555">
      <c r="A555" s="83"/>
      <c r="W555" s="7"/>
      <c r="AB555" s="7" t="str">
        <f t="shared" si="2"/>
        <v/>
      </c>
    </row>
    <row r="556">
      <c r="A556" s="83"/>
      <c r="W556" s="7"/>
      <c r="AB556" s="7" t="str">
        <f t="shared" si="2"/>
        <v/>
      </c>
    </row>
    <row r="557">
      <c r="A557" s="83"/>
      <c r="W557" s="7"/>
      <c r="AB557" s="7" t="str">
        <f t="shared" si="2"/>
        <v/>
      </c>
    </row>
    <row r="558">
      <c r="A558" s="83"/>
      <c r="W558" s="7"/>
      <c r="AB558" s="7" t="str">
        <f t="shared" si="2"/>
        <v/>
      </c>
    </row>
    <row r="559">
      <c r="A559" s="83"/>
      <c r="W559" s="7"/>
      <c r="AB559" s="7" t="str">
        <f t="shared" si="2"/>
        <v/>
      </c>
    </row>
    <row r="560">
      <c r="A560" s="83"/>
      <c r="W560" s="7"/>
      <c r="AB560" s="7" t="str">
        <f t="shared" si="2"/>
        <v/>
      </c>
    </row>
    <row r="561">
      <c r="A561" s="83"/>
      <c r="W561" s="7"/>
      <c r="AB561" s="7" t="str">
        <f t="shared" si="2"/>
        <v/>
      </c>
    </row>
    <row r="562">
      <c r="A562" s="83"/>
      <c r="W562" s="7"/>
      <c r="AB562" s="7" t="str">
        <f t="shared" si="2"/>
        <v/>
      </c>
    </row>
    <row r="563">
      <c r="A563" s="83"/>
      <c r="W563" s="7"/>
      <c r="AB563" s="7" t="str">
        <f t="shared" si="2"/>
        <v/>
      </c>
    </row>
    <row r="564">
      <c r="A564" s="83"/>
      <c r="W564" s="7"/>
      <c r="AB564" s="7" t="str">
        <f t="shared" si="2"/>
        <v/>
      </c>
    </row>
    <row r="565">
      <c r="A565" s="83"/>
      <c r="W565" s="7"/>
      <c r="AB565" s="7" t="str">
        <f t="shared" si="2"/>
        <v/>
      </c>
    </row>
    <row r="566">
      <c r="A566" s="83"/>
      <c r="W566" s="7"/>
      <c r="AB566" s="7" t="str">
        <f t="shared" si="2"/>
        <v/>
      </c>
    </row>
    <row r="567">
      <c r="A567" s="83"/>
      <c r="W567" s="7"/>
      <c r="AB567" s="7" t="str">
        <f t="shared" si="2"/>
        <v/>
      </c>
    </row>
    <row r="568">
      <c r="A568" s="83"/>
      <c r="W568" s="7"/>
      <c r="AB568" s="7" t="str">
        <f t="shared" si="2"/>
        <v/>
      </c>
    </row>
    <row r="569">
      <c r="A569" s="83"/>
      <c r="W569" s="7"/>
      <c r="AB569" s="7" t="str">
        <f t="shared" si="2"/>
        <v/>
      </c>
    </row>
    <row r="570">
      <c r="A570" s="83"/>
      <c r="W570" s="7"/>
      <c r="AB570" s="7" t="str">
        <f t="shared" si="2"/>
        <v/>
      </c>
    </row>
    <row r="571">
      <c r="A571" s="83"/>
      <c r="W571" s="7"/>
      <c r="AB571" s="7" t="str">
        <f t="shared" si="2"/>
        <v/>
      </c>
    </row>
    <row r="572">
      <c r="A572" s="83"/>
      <c r="W572" s="7"/>
      <c r="AB572" s="7" t="str">
        <f t="shared" si="2"/>
        <v/>
      </c>
    </row>
    <row r="573">
      <c r="A573" s="83"/>
      <c r="W573" s="7"/>
      <c r="AB573" s="7" t="str">
        <f t="shared" si="2"/>
        <v/>
      </c>
    </row>
    <row r="574">
      <c r="A574" s="83"/>
      <c r="W574" s="7"/>
      <c r="AB574" s="7" t="str">
        <f t="shared" si="2"/>
        <v/>
      </c>
    </row>
    <row r="575">
      <c r="A575" s="83"/>
      <c r="W575" s="7"/>
      <c r="AB575" s="7" t="str">
        <f t="shared" si="2"/>
        <v/>
      </c>
    </row>
    <row r="576">
      <c r="A576" s="83"/>
      <c r="W576" s="7"/>
      <c r="AB576" s="7" t="str">
        <f t="shared" si="2"/>
        <v/>
      </c>
    </row>
    <row r="577">
      <c r="A577" s="83"/>
      <c r="W577" s="7"/>
      <c r="AB577" s="7" t="str">
        <f t="shared" si="2"/>
        <v/>
      </c>
    </row>
    <row r="578">
      <c r="A578" s="83"/>
      <c r="W578" s="7"/>
      <c r="AB578" s="7" t="str">
        <f t="shared" si="2"/>
        <v/>
      </c>
    </row>
    <row r="579">
      <c r="A579" s="83"/>
      <c r="W579" s="7"/>
      <c r="AB579" s="7" t="str">
        <f t="shared" si="2"/>
        <v/>
      </c>
    </row>
    <row r="580">
      <c r="A580" s="83"/>
      <c r="W580" s="7"/>
      <c r="AB580" s="7" t="str">
        <f t="shared" si="2"/>
        <v/>
      </c>
    </row>
    <row r="581">
      <c r="A581" s="83"/>
      <c r="W581" s="7"/>
      <c r="AB581" s="7" t="str">
        <f t="shared" si="2"/>
        <v/>
      </c>
    </row>
    <row r="582">
      <c r="A582" s="83"/>
      <c r="W582" s="7"/>
      <c r="AB582" s="7" t="str">
        <f t="shared" si="2"/>
        <v/>
      </c>
    </row>
    <row r="583">
      <c r="A583" s="83"/>
      <c r="W583" s="7"/>
      <c r="AB583" s="7" t="str">
        <f t="shared" si="2"/>
        <v/>
      </c>
    </row>
    <row r="584">
      <c r="A584" s="83"/>
      <c r="W584" s="7"/>
      <c r="AB584" s="7" t="str">
        <f t="shared" si="2"/>
        <v/>
      </c>
    </row>
    <row r="585">
      <c r="A585" s="83"/>
      <c r="W585" s="7"/>
      <c r="AB585" s="7" t="str">
        <f t="shared" si="2"/>
        <v/>
      </c>
    </row>
    <row r="586">
      <c r="A586" s="83"/>
      <c r="W586" s="7"/>
      <c r="AB586" s="7" t="str">
        <f t="shared" si="2"/>
        <v/>
      </c>
    </row>
    <row r="587">
      <c r="A587" s="83"/>
      <c r="W587" s="7"/>
      <c r="AB587" s="7" t="str">
        <f t="shared" si="2"/>
        <v/>
      </c>
    </row>
    <row r="588">
      <c r="A588" s="83"/>
      <c r="W588" s="7"/>
      <c r="AB588" s="7" t="str">
        <f t="shared" si="2"/>
        <v/>
      </c>
    </row>
    <row r="589">
      <c r="A589" s="83"/>
      <c r="W589" s="7"/>
      <c r="AB589" s="7" t="str">
        <f t="shared" si="2"/>
        <v/>
      </c>
    </row>
    <row r="590">
      <c r="A590" s="83"/>
      <c r="W590" s="7"/>
      <c r="AB590" s="7" t="str">
        <f t="shared" si="2"/>
        <v/>
      </c>
    </row>
    <row r="591">
      <c r="A591" s="83"/>
      <c r="W591" s="7"/>
      <c r="AB591" s="7" t="str">
        <f t="shared" si="2"/>
        <v/>
      </c>
    </row>
    <row r="592">
      <c r="A592" s="83"/>
      <c r="W592" s="7"/>
      <c r="AB592" s="7" t="str">
        <f t="shared" si="2"/>
        <v/>
      </c>
    </row>
    <row r="593">
      <c r="A593" s="83"/>
      <c r="W593" s="7"/>
      <c r="AB593" s="7" t="str">
        <f t="shared" si="2"/>
        <v/>
      </c>
    </row>
    <row r="594">
      <c r="A594" s="83"/>
      <c r="W594" s="7"/>
      <c r="AB594" s="7" t="str">
        <f t="shared" si="2"/>
        <v/>
      </c>
    </row>
    <row r="595">
      <c r="A595" s="83"/>
      <c r="W595" s="7"/>
      <c r="AB595" s="7" t="str">
        <f t="shared" si="2"/>
        <v/>
      </c>
    </row>
    <row r="596">
      <c r="A596" s="83"/>
      <c r="W596" s="7"/>
      <c r="AB596" s="7" t="str">
        <f t="shared" si="2"/>
        <v/>
      </c>
    </row>
    <row r="597">
      <c r="A597" s="83"/>
      <c r="W597" s="7"/>
      <c r="AB597" s="7" t="str">
        <f t="shared" si="2"/>
        <v/>
      </c>
    </row>
    <row r="598">
      <c r="A598" s="83"/>
      <c r="W598" s="7"/>
      <c r="AB598" s="7" t="str">
        <f t="shared" si="2"/>
        <v/>
      </c>
    </row>
    <row r="599">
      <c r="A599" s="83"/>
      <c r="W599" s="7"/>
      <c r="AB599" s="7" t="str">
        <f t="shared" si="2"/>
        <v/>
      </c>
    </row>
    <row r="600">
      <c r="A600" s="83"/>
      <c r="W600" s="7"/>
      <c r="AB600" s="7" t="str">
        <f t="shared" si="2"/>
        <v/>
      </c>
    </row>
    <row r="601">
      <c r="A601" s="83"/>
      <c r="W601" s="7"/>
      <c r="AB601" s="7" t="str">
        <f t="shared" si="2"/>
        <v/>
      </c>
    </row>
    <row r="602">
      <c r="A602" s="83"/>
      <c r="W602" s="7"/>
      <c r="AB602" s="7" t="str">
        <f t="shared" si="2"/>
        <v/>
      </c>
    </row>
    <row r="603">
      <c r="A603" s="83"/>
      <c r="W603" s="7"/>
      <c r="AB603" s="7" t="str">
        <f t="shared" si="2"/>
        <v/>
      </c>
    </row>
    <row r="604">
      <c r="A604" s="83"/>
      <c r="W604" s="7"/>
      <c r="AB604" s="7" t="str">
        <f t="shared" si="2"/>
        <v/>
      </c>
    </row>
    <row r="605">
      <c r="A605" s="83"/>
      <c r="W605" s="7"/>
      <c r="AB605" s="7" t="str">
        <f t="shared" si="2"/>
        <v/>
      </c>
    </row>
    <row r="606">
      <c r="A606" s="83"/>
      <c r="W606" s="7"/>
      <c r="AB606" s="7" t="str">
        <f t="shared" si="2"/>
        <v/>
      </c>
    </row>
    <row r="607">
      <c r="A607" s="83"/>
      <c r="W607" s="7"/>
      <c r="AB607" s="7" t="str">
        <f t="shared" si="2"/>
        <v/>
      </c>
    </row>
    <row r="608">
      <c r="A608" s="83"/>
      <c r="W608" s="7"/>
      <c r="AB608" s="7" t="str">
        <f t="shared" si="2"/>
        <v/>
      </c>
    </row>
    <row r="609">
      <c r="A609" s="83"/>
      <c r="W609" s="7"/>
      <c r="AB609" s="7" t="str">
        <f t="shared" si="2"/>
        <v/>
      </c>
    </row>
    <row r="610">
      <c r="A610" s="83"/>
      <c r="W610" s="7"/>
      <c r="AB610" s="7" t="str">
        <f t="shared" si="2"/>
        <v/>
      </c>
    </row>
    <row r="611">
      <c r="A611" s="83"/>
      <c r="W611" s="7"/>
      <c r="AB611" s="7" t="str">
        <f t="shared" si="2"/>
        <v/>
      </c>
    </row>
    <row r="612">
      <c r="A612" s="83"/>
      <c r="W612" s="7"/>
      <c r="AB612" s="7" t="str">
        <f t="shared" si="2"/>
        <v/>
      </c>
    </row>
    <row r="613">
      <c r="A613" s="83"/>
      <c r="W613" s="7"/>
      <c r="AB613" s="7" t="str">
        <f t="shared" si="2"/>
        <v/>
      </c>
    </row>
    <row r="614">
      <c r="A614" s="83"/>
      <c r="W614" s="7"/>
      <c r="AB614" s="7" t="str">
        <f t="shared" si="2"/>
        <v/>
      </c>
    </row>
    <row r="615">
      <c r="A615" s="83"/>
      <c r="W615" s="7"/>
      <c r="AB615" s="7" t="str">
        <f t="shared" si="2"/>
        <v/>
      </c>
    </row>
    <row r="616">
      <c r="A616" s="83"/>
      <c r="W616" s="7"/>
      <c r="AB616" s="7" t="str">
        <f t="shared" si="2"/>
        <v/>
      </c>
    </row>
    <row r="617">
      <c r="A617" s="83"/>
      <c r="W617" s="7"/>
      <c r="AB617" s="7" t="str">
        <f t="shared" si="2"/>
        <v/>
      </c>
    </row>
    <row r="618">
      <c r="A618" s="83"/>
      <c r="W618" s="7"/>
      <c r="AB618" s="7" t="str">
        <f t="shared" si="2"/>
        <v/>
      </c>
    </row>
    <row r="619">
      <c r="A619" s="83"/>
      <c r="W619" s="7"/>
      <c r="AB619" s="7" t="str">
        <f t="shared" si="2"/>
        <v/>
      </c>
    </row>
    <row r="620">
      <c r="A620" s="83"/>
      <c r="W620" s="7"/>
      <c r="AB620" s="7" t="str">
        <f t="shared" si="2"/>
        <v/>
      </c>
    </row>
    <row r="621">
      <c r="A621" s="83"/>
      <c r="W621" s="7"/>
      <c r="AB621" s="7" t="str">
        <f t="shared" si="2"/>
        <v/>
      </c>
    </row>
    <row r="622">
      <c r="A622" s="83"/>
      <c r="W622" s="7"/>
      <c r="AB622" s="7" t="str">
        <f t="shared" si="2"/>
        <v/>
      </c>
    </row>
    <row r="623">
      <c r="A623" s="83"/>
      <c r="W623" s="7"/>
      <c r="AB623" s="7" t="str">
        <f t="shared" si="2"/>
        <v/>
      </c>
    </row>
    <row r="624">
      <c r="A624" s="83"/>
      <c r="W624" s="7"/>
      <c r="AB624" s="7" t="str">
        <f t="shared" si="2"/>
        <v/>
      </c>
    </row>
    <row r="625">
      <c r="A625" s="83"/>
      <c r="W625" s="7"/>
      <c r="AB625" s="7" t="str">
        <f t="shared" si="2"/>
        <v/>
      </c>
    </row>
    <row r="626">
      <c r="A626" s="83"/>
      <c r="W626" s="7"/>
      <c r="AB626" s="7" t="str">
        <f t="shared" si="2"/>
        <v/>
      </c>
    </row>
    <row r="627">
      <c r="A627" s="83"/>
      <c r="W627" s="7"/>
      <c r="AB627" s="7" t="str">
        <f t="shared" si="2"/>
        <v/>
      </c>
    </row>
    <row r="628">
      <c r="A628" s="83"/>
      <c r="W628" s="7"/>
      <c r="AB628" s="7" t="str">
        <f t="shared" si="2"/>
        <v/>
      </c>
    </row>
    <row r="629">
      <c r="A629" s="83"/>
      <c r="W629" s="7"/>
      <c r="AB629" s="7" t="str">
        <f t="shared" si="2"/>
        <v/>
      </c>
    </row>
    <row r="630">
      <c r="A630" s="83"/>
      <c r="W630" s="7"/>
      <c r="AB630" s="7" t="str">
        <f t="shared" si="2"/>
        <v/>
      </c>
    </row>
    <row r="631">
      <c r="A631" s="83"/>
      <c r="W631" s="7"/>
      <c r="AB631" s="7" t="str">
        <f t="shared" si="2"/>
        <v/>
      </c>
    </row>
    <row r="632">
      <c r="A632" s="83"/>
      <c r="W632" s="7"/>
      <c r="AB632" s="7" t="str">
        <f t="shared" si="2"/>
        <v/>
      </c>
    </row>
    <row r="633">
      <c r="A633" s="83"/>
      <c r="W633" s="7"/>
      <c r="AB633" s="7" t="str">
        <f t="shared" si="2"/>
        <v/>
      </c>
    </row>
    <row r="634">
      <c r="A634" s="83"/>
      <c r="W634" s="7"/>
      <c r="AB634" s="7" t="str">
        <f t="shared" si="2"/>
        <v/>
      </c>
    </row>
    <row r="635">
      <c r="A635" s="83"/>
      <c r="W635" s="7"/>
      <c r="AB635" s="7" t="str">
        <f t="shared" si="2"/>
        <v/>
      </c>
    </row>
    <row r="636">
      <c r="A636" s="83"/>
      <c r="W636" s="7"/>
      <c r="AB636" s="7" t="str">
        <f t="shared" si="2"/>
        <v/>
      </c>
    </row>
    <row r="637">
      <c r="A637" s="83"/>
      <c r="W637" s="7"/>
      <c r="AB637" s="7" t="str">
        <f t="shared" si="2"/>
        <v/>
      </c>
    </row>
    <row r="638">
      <c r="A638" s="83"/>
      <c r="W638" s="7"/>
      <c r="AB638" s="7" t="str">
        <f t="shared" si="2"/>
        <v/>
      </c>
    </row>
    <row r="639">
      <c r="A639" s="83"/>
      <c r="W639" s="7"/>
      <c r="AB639" s="7" t="str">
        <f t="shared" si="2"/>
        <v/>
      </c>
    </row>
    <row r="640">
      <c r="A640" s="83"/>
      <c r="W640" s="7"/>
      <c r="AB640" s="7" t="str">
        <f t="shared" si="2"/>
        <v/>
      </c>
    </row>
    <row r="641">
      <c r="A641" s="83"/>
      <c r="W641" s="7"/>
      <c r="AB641" s="7" t="str">
        <f t="shared" si="2"/>
        <v/>
      </c>
    </row>
    <row r="642">
      <c r="A642" s="83"/>
      <c r="W642" s="7"/>
      <c r="AB642" s="7" t="str">
        <f t="shared" si="2"/>
        <v/>
      </c>
    </row>
    <row r="643">
      <c r="A643" s="83"/>
      <c r="W643" s="7"/>
      <c r="AB643" s="7" t="str">
        <f t="shared" si="2"/>
        <v/>
      </c>
    </row>
    <row r="644">
      <c r="A644" s="83"/>
      <c r="W644" s="7"/>
      <c r="AB644" s="7" t="str">
        <f t="shared" si="2"/>
        <v/>
      </c>
    </row>
    <row r="645">
      <c r="A645" s="83"/>
      <c r="W645" s="7"/>
      <c r="AB645" s="7" t="str">
        <f t="shared" si="2"/>
        <v/>
      </c>
    </row>
    <row r="646">
      <c r="A646" s="83"/>
      <c r="W646" s="7"/>
      <c r="AB646" s="7" t="str">
        <f t="shared" si="2"/>
        <v/>
      </c>
    </row>
    <row r="647">
      <c r="A647" s="83"/>
      <c r="W647" s="7"/>
      <c r="AB647" s="7" t="str">
        <f t="shared" si="2"/>
        <v/>
      </c>
    </row>
    <row r="648">
      <c r="A648" s="83"/>
      <c r="W648" s="7"/>
      <c r="AB648" s="7" t="str">
        <f t="shared" si="2"/>
        <v/>
      </c>
    </row>
    <row r="649">
      <c r="A649" s="83"/>
      <c r="W649" s="7"/>
      <c r="AB649" s="7" t="str">
        <f t="shared" si="2"/>
        <v/>
      </c>
    </row>
    <row r="650">
      <c r="A650" s="83"/>
      <c r="W650" s="7"/>
      <c r="AB650" s="7" t="str">
        <f t="shared" si="2"/>
        <v/>
      </c>
    </row>
    <row r="651">
      <c r="A651" s="83"/>
      <c r="W651" s="7"/>
      <c r="AB651" s="7" t="str">
        <f t="shared" si="2"/>
        <v/>
      </c>
    </row>
    <row r="652">
      <c r="A652" s="83"/>
      <c r="W652" s="7"/>
      <c r="AB652" s="7" t="str">
        <f t="shared" si="2"/>
        <v/>
      </c>
    </row>
    <row r="653">
      <c r="A653" s="83"/>
      <c r="W653" s="7"/>
      <c r="AB653" s="7" t="str">
        <f t="shared" si="2"/>
        <v/>
      </c>
    </row>
    <row r="654">
      <c r="A654" s="83"/>
      <c r="W654" s="7"/>
      <c r="AB654" s="7" t="str">
        <f t="shared" si="2"/>
        <v/>
      </c>
    </row>
    <row r="655">
      <c r="A655" s="83"/>
      <c r="W655" s="7"/>
      <c r="AB655" s="7" t="str">
        <f t="shared" si="2"/>
        <v/>
      </c>
    </row>
    <row r="656">
      <c r="A656" s="83"/>
      <c r="W656" s="7"/>
      <c r="AB656" s="7" t="str">
        <f t="shared" si="2"/>
        <v/>
      </c>
    </row>
    <row r="657">
      <c r="A657" s="83"/>
      <c r="W657" s="7"/>
      <c r="AB657" s="7" t="str">
        <f t="shared" si="2"/>
        <v/>
      </c>
    </row>
    <row r="658">
      <c r="A658" s="83"/>
      <c r="W658" s="7"/>
      <c r="AB658" s="7" t="str">
        <f t="shared" si="2"/>
        <v/>
      </c>
    </row>
    <row r="659">
      <c r="A659" s="83"/>
      <c r="W659" s="7"/>
      <c r="AB659" s="7" t="str">
        <f t="shared" si="2"/>
        <v/>
      </c>
    </row>
    <row r="660">
      <c r="A660" s="83"/>
      <c r="W660" s="7"/>
      <c r="AB660" s="7" t="str">
        <f t="shared" si="2"/>
        <v/>
      </c>
    </row>
    <row r="661">
      <c r="A661" s="83"/>
      <c r="W661" s="7"/>
      <c r="AB661" s="7" t="str">
        <f t="shared" si="2"/>
        <v/>
      </c>
    </row>
    <row r="662">
      <c r="A662" s="83"/>
      <c r="W662" s="7"/>
      <c r="AB662" s="7" t="str">
        <f t="shared" si="2"/>
        <v/>
      </c>
    </row>
    <row r="663">
      <c r="A663" s="83"/>
      <c r="W663" s="7"/>
      <c r="AB663" s="7" t="str">
        <f t="shared" si="2"/>
        <v/>
      </c>
    </row>
    <row r="664">
      <c r="A664" s="83"/>
      <c r="W664" s="7"/>
      <c r="AB664" s="7" t="str">
        <f t="shared" si="2"/>
        <v/>
      </c>
    </row>
    <row r="665">
      <c r="A665" s="83"/>
      <c r="W665" s="7"/>
      <c r="AB665" s="7" t="str">
        <f t="shared" si="2"/>
        <v/>
      </c>
    </row>
    <row r="666">
      <c r="A666" s="83"/>
      <c r="W666" s="7"/>
      <c r="AB666" s="7" t="str">
        <f t="shared" si="2"/>
        <v/>
      </c>
    </row>
    <row r="667">
      <c r="A667" s="83"/>
      <c r="W667" s="7"/>
      <c r="AB667" s="7" t="str">
        <f t="shared" si="2"/>
        <v/>
      </c>
    </row>
    <row r="668">
      <c r="A668" s="83"/>
      <c r="W668" s="7"/>
      <c r="AB668" s="7" t="str">
        <f t="shared" si="2"/>
        <v/>
      </c>
    </row>
    <row r="669">
      <c r="A669" s="83"/>
      <c r="W669" s="7"/>
      <c r="AB669" s="7" t="str">
        <f t="shared" si="2"/>
        <v/>
      </c>
    </row>
    <row r="670">
      <c r="A670" s="83"/>
      <c r="W670" s="7"/>
      <c r="AB670" s="7" t="str">
        <f t="shared" si="2"/>
        <v/>
      </c>
    </row>
    <row r="671">
      <c r="A671" s="83"/>
      <c r="W671" s="7"/>
      <c r="AB671" s="7" t="str">
        <f t="shared" si="2"/>
        <v/>
      </c>
    </row>
    <row r="672">
      <c r="A672" s="83"/>
      <c r="W672" s="7"/>
      <c r="AB672" s="7" t="str">
        <f t="shared" si="2"/>
        <v/>
      </c>
    </row>
    <row r="673">
      <c r="A673" s="83"/>
      <c r="W673" s="7"/>
      <c r="AB673" s="7" t="str">
        <f t="shared" si="2"/>
        <v/>
      </c>
    </row>
    <row r="674">
      <c r="A674" s="83"/>
      <c r="W674" s="7"/>
      <c r="AB674" s="7" t="str">
        <f t="shared" si="2"/>
        <v/>
      </c>
    </row>
    <row r="675">
      <c r="A675" s="83"/>
      <c r="W675" s="7"/>
      <c r="AB675" s="7" t="str">
        <f t="shared" si="2"/>
        <v/>
      </c>
    </row>
    <row r="676">
      <c r="A676" s="83"/>
      <c r="W676" s="7"/>
      <c r="AB676" s="7" t="str">
        <f t="shared" si="2"/>
        <v/>
      </c>
    </row>
    <row r="677">
      <c r="A677" s="83"/>
      <c r="W677" s="7"/>
      <c r="AB677" s="7" t="str">
        <f t="shared" si="2"/>
        <v/>
      </c>
    </row>
    <row r="678">
      <c r="A678" s="83"/>
      <c r="W678" s="7"/>
      <c r="AB678" s="7" t="str">
        <f t="shared" si="2"/>
        <v/>
      </c>
    </row>
    <row r="679">
      <c r="A679" s="83"/>
      <c r="W679" s="7"/>
      <c r="AB679" s="7" t="str">
        <f t="shared" si="2"/>
        <v/>
      </c>
    </row>
    <row r="680">
      <c r="A680" s="83"/>
      <c r="W680" s="7"/>
      <c r="AB680" s="7" t="str">
        <f t="shared" si="2"/>
        <v/>
      </c>
    </row>
    <row r="681">
      <c r="A681" s="83"/>
      <c r="W681" s="7"/>
      <c r="AB681" s="7" t="str">
        <f t="shared" si="2"/>
        <v/>
      </c>
    </row>
    <row r="682">
      <c r="A682" s="83"/>
      <c r="W682" s="7"/>
      <c r="AB682" s="7" t="str">
        <f t="shared" si="2"/>
        <v/>
      </c>
    </row>
    <row r="683">
      <c r="A683" s="83"/>
      <c r="W683" s="7"/>
      <c r="AB683" s="7" t="str">
        <f t="shared" si="2"/>
        <v/>
      </c>
    </row>
    <row r="684">
      <c r="A684" s="83"/>
      <c r="W684" s="7"/>
      <c r="AB684" s="7" t="str">
        <f t="shared" si="2"/>
        <v/>
      </c>
    </row>
    <row r="685">
      <c r="A685" s="83"/>
      <c r="W685" s="7"/>
      <c r="AB685" s="7" t="str">
        <f t="shared" si="2"/>
        <v/>
      </c>
    </row>
    <row r="686">
      <c r="A686" s="83"/>
      <c r="W686" s="7"/>
      <c r="AB686" s="7" t="str">
        <f t="shared" si="2"/>
        <v/>
      </c>
    </row>
    <row r="687">
      <c r="A687" s="83"/>
      <c r="W687" s="7"/>
      <c r="AB687" s="7" t="str">
        <f t="shared" si="2"/>
        <v/>
      </c>
    </row>
    <row r="688">
      <c r="A688" s="83"/>
      <c r="W688" s="7"/>
      <c r="AB688" s="7" t="str">
        <f t="shared" si="2"/>
        <v/>
      </c>
    </row>
    <row r="689">
      <c r="A689" s="83"/>
      <c r="W689" s="7"/>
      <c r="AB689" s="7" t="str">
        <f t="shared" si="2"/>
        <v/>
      </c>
    </row>
    <row r="690">
      <c r="A690" s="83"/>
      <c r="W690" s="7"/>
      <c r="AB690" s="7" t="str">
        <f t="shared" si="2"/>
        <v/>
      </c>
    </row>
    <row r="691">
      <c r="A691" s="83"/>
      <c r="W691" s="7"/>
      <c r="AB691" s="7" t="str">
        <f t="shared" si="2"/>
        <v/>
      </c>
    </row>
    <row r="692">
      <c r="A692" s="83"/>
      <c r="W692" s="7"/>
      <c r="AB692" s="7" t="str">
        <f t="shared" si="2"/>
        <v/>
      </c>
    </row>
    <row r="693">
      <c r="A693" s="83"/>
      <c r="W693" s="7"/>
      <c r="AB693" s="7" t="str">
        <f t="shared" si="2"/>
        <v/>
      </c>
    </row>
    <row r="694">
      <c r="A694" s="83"/>
      <c r="W694" s="7"/>
      <c r="AB694" s="7" t="str">
        <f t="shared" si="2"/>
        <v/>
      </c>
    </row>
    <row r="695">
      <c r="A695" s="83"/>
      <c r="W695" s="7"/>
      <c r="AB695" s="7" t="str">
        <f t="shared" si="2"/>
        <v/>
      </c>
    </row>
    <row r="696">
      <c r="A696" s="83"/>
      <c r="W696" s="7"/>
      <c r="AB696" s="7" t="str">
        <f t="shared" si="2"/>
        <v/>
      </c>
    </row>
    <row r="697">
      <c r="A697" s="83"/>
      <c r="W697" s="7"/>
      <c r="AB697" s="7" t="str">
        <f t="shared" si="2"/>
        <v/>
      </c>
    </row>
    <row r="698">
      <c r="A698" s="83"/>
      <c r="W698" s="7"/>
      <c r="AB698" s="7" t="str">
        <f t="shared" si="2"/>
        <v/>
      </c>
    </row>
    <row r="699">
      <c r="A699" s="83"/>
      <c r="W699" s="7"/>
      <c r="AB699" s="7" t="str">
        <f t="shared" si="2"/>
        <v/>
      </c>
    </row>
    <row r="700">
      <c r="A700" s="83"/>
      <c r="W700" s="7"/>
      <c r="AB700" s="7" t="str">
        <f t="shared" si="2"/>
        <v/>
      </c>
    </row>
    <row r="701">
      <c r="A701" s="83"/>
      <c r="W701" s="7"/>
      <c r="AB701" s="7" t="str">
        <f t="shared" si="2"/>
        <v/>
      </c>
    </row>
    <row r="702">
      <c r="A702" s="83"/>
      <c r="W702" s="7"/>
      <c r="AB702" s="7" t="str">
        <f t="shared" si="2"/>
        <v/>
      </c>
    </row>
    <row r="703">
      <c r="A703" s="83"/>
      <c r="W703" s="7"/>
      <c r="AB703" s="7" t="str">
        <f t="shared" si="2"/>
        <v/>
      </c>
    </row>
    <row r="704">
      <c r="A704" s="83"/>
      <c r="W704" s="7"/>
      <c r="AB704" s="7" t="str">
        <f t="shared" si="2"/>
        <v/>
      </c>
    </row>
    <row r="705">
      <c r="A705" s="83"/>
      <c r="W705" s="7"/>
      <c r="AB705" s="7" t="str">
        <f t="shared" si="2"/>
        <v/>
      </c>
    </row>
    <row r="706">
      <c r="A706" s="83"/>
      <c r="W706" s="7"/>
      <c r="AB706" s="7" t="str">
        <f t="shared" si="2"/>
        <v/>
      </c>
    </row>
    <row r="707">
      <c r="A707" s="83"/>
      <c r="W707" s="7"/>
      <c r="AB707" s="7" t="str">
        <f t="shared" si="2"/>
        <v/>
      </c>
    </row>
    <row r="708">
      <c r="A708" s="83"/>
      <c r="W708" s="7"/>
      <c r="AB708" s="7" t="str">
        <f t="shared" si="2"/>
        <v/>
      </c>
    </row>
    <row r="709">
      <c r="A709" s="83"/>
      <c r="W709" s="7"/>
      <c r="AB709" s="7" t="str">
        <f t="shared" si="2"/>
        <v/>
      </c>
    </row>
    <row r="710">
      <c r="A710" s="83"/>
      <c r="W710" s="7"/>
      <c r="AB710" s="7" t="str">
        <f t="shared" si="2"/>
        <v/>
      </c>
    </row>
    <row r="711">
      <c r="A711" s="83"/>
      <c r="W711" s="7"/>
      <c r="AB711" s="7" t="str">
        <f t="shared" si="2"/>
        <v/>
      </c>
    </row>
    <row r="712">
      <c r="A712" s="83"/>
      <c r="W712" s="7"/>
      <c r="AB712" s="7" t="str">
        <f t="shared" si="2"/>
        <v/>
      </c>
    </row>
    <row r="713">
      <c r="A713" s="83"/>
      <c r="W713" s="7"/>
      <c r="AB713" s="7" t="str">
        <f t="shared" si="2"/>
        <v/>
      </c>
    </row>
    <row r="714">
      <c r="A714" s="83"/>
      <c r="W714" s="7"/>
      <c r="AB714" s="7" t="str">
        <f t="shared" si="2"/>
        <v/>
      </c>
    </row>
    <row r="715">
      <c r="A715" s="83"/>
      <c r="W715" s="7"/>
      <c r="AB715" s="7" t="str">
        <f t="shared" si="2"/>
        <v/>
      </c>
    </row>
    <row r="716">
      <c r="A716" s="83"/>
      <c r="W716" s="7"/>
      <c r="AB716" s="7" t="str">
        <f t="shared" si="2"/>
        <v/>
      </c>
    </row>
    <row r="717">
      <c r="A717" s="83"/>
      <c r="W717" s="7"/>
      <c r="AB717" s="7" t="str">
        <f t="shared" si="2"/>
        <v/>
      </c>
    </row>
    <row r="718">
      <c r="A718" s="83"/>
      <c r="W718" s="7"/>
      <c r="AB718" s="7" t="str">
        <f t="shared" si="2"/>
        <v/>
      </c>
    </row>
    <row r="719">
      <c r="A719" s="83"/>
      <c r="W719" s="7"/>
      <c r="AB719" s="7" t="str">
        <f t="shared" si="2"/>
        <v/>
      </c>
    </row>
    <row r="720">
      <c r="A720" s="83"/>
      <c r="W720" s="7"/>
      <c r="AB720" s="7" t="str">
        <f t="shared" si="2"/>
        <v/>
      </c>
    </row>
    <row r="721">
      <c r="A721" s="83"/>
      <c r="W721" s="7"/>
      <c r="AB721" s="7" t="str">
        <f t="shared" si="2"/>
        <v/>
      </c>
    </row>
    <row r="722">
      <c r="A722" s="83"/>
      <c r="W722" s="7"/>
      <c r="AB722" s="7" t="str">
        <f t="shared" si="2"/>
        <v/>
      </c>
    </row>
    <row r="723">
      <c r="A723" s="83"/>
      <c r="W723" s="7"/>
      <c r="AB723" s="7" t="str">
        <f t="shared" si="2"/>
        <v/>
      </c>
    </row>
    <row r="724">
      <c r="A724" s="83"/>
      <c r="W724" s="7"/>
      <c r="AB724" s="7" t="str">
        <f t="shared" si="2"/>
        <v/>
      </c>
    </row>
    <row r="725">
      <c r="A725" s="83"/>
      <c r="W725" s="7"/>
      <c r="AB725" s="7" t="str">
        <f t="shared" si="2"/>
        <v/>
      </c>
    </row>
    <row r="726">
      <c r="A726" s="83"/>
      <c r="W726" s="7"/>
      <c r="AB726" s="7" t="str">
        <f t="shared" si="2"/>
        <v/>
      </c>
    </row>
    <row r="727">
      <c r="A727" s="83"/>
      <c r="W727" s="7"/>
      <c r="AB727" s="7" t="str">
        <f t="shared" si="2"/>
        <v/>
      </c>
    </row>
    <row r="728">
      <c r="A728" s="83"/>
      <c r="W728" s="7"/>
      <c r="AB728" s="7" t="str">
        <f t="shared" si="2"/>
        <v/>
      </c>
    </row>
    <row r="729">
      <c r="A729" s="83"/>
      <c r="W729" s="7"/>
      <c r="AB729" s="7" t="str">
        <f t="shared" si="2"/>
        <v/>
      </c>
    </row>
    <row r="730">
      <c r="A730" s="83"/>
      <c r="W730" s="7"/>
      <c r="AB730" s="7" t="str">
        <f t="shared" si="2"/>
        <v/>
      </c>
    </row>
    <row r="731">
      <c r="A731" s="83"/>
      <c r="W731" s="7"/>
      <c r="AB731" s="7" t="str">
        <f t="shared" si="2"/>
        <v/>
      </c>
    </row>
    <row r="732">
      <c r="A732" s="83"/>
      <c r="W732" s="7"/>
      <c r="AB732" s="7" t="str">
        <f t="shared" si="2"/>
        <v/>
      </c>
    </row>
    <row r="733">
      <c r="A733" s="83"/>
      <c r="W733" s="7"/>
      <c r="AB733" s="7" t="str">
        <f t="shared" si="2"/>
        <v/>
      </c>
    </row>
    <row r="734">
      <c r="A734" s="83"/>
      <c r="W734" s="7"/>
      <c r="AB734" s="7" t="str">
        <f t="shared" si="2"/>
        <v/>
      </c>
    </row>
    <row r="735">
      <c r="A735" s="83"/>
      <c r="W735" s="7"/>
      <c r="AB735" s="7" t="str">
        <f t="shared" si="2"/>
        <v/>
      </c>
    </row>
    <row r="736">
      <c r="A736" s="83"/>
      <c r="W736" s="7"/>
      <c r="AB736" s="7" t="str">
        <f t="shared" si="2"/>
        <v/>
      </c>
    </row>
    <row r="737">
      <c r="A737" s="83"/>
      <c r="W737" s="7"/>
      <c r="AB737" s="7" t="str">
        <f t="shared" si="2"/>
        <v/>
      </c>
    </row>
    <row r="738">
      <c r="A738" s="83"/>
      <c r="W738" s="7"/>
      <c r="AB738" s="7" t="str">
        <f t="shared" si="2"/>
        <v/>
      </c>
    </row>
    <row r="739">
      <c r="A739" s="83"/>
      <c r="W739" s="7"/>
      <c r="AB739" s="7" t="str">
        <f t="shared" si="2"/>
        <v/>
      </c>
    </row>
    <row r="740">
      <c r="A740" s="83"/>
      <c r="W740" s="7"/>
      <c r="AB740" s="7" t="str">
        <f t="shared" si="2"/>
        <v/>
      </c>
    </row>
    <row r="741">
      <c r="A741" s="83"/>
      <c r="W741" s="7"/>
      <c r="AB741" s="7" t="str">
        <f t="shared" si="2"/>
        <v/>
      </c>
    </row>
    <row r="742">
      <c r="A742" s="83"/>
      <c r="W742" s="7"/>
      <c r="AB742" s="7" t="str">
        <f t="shared" si="2"/>
        <v/>
      </c>
    </row>
    <row r="743">
      <c r="A743" s="83"/>
      <c r="W743" s="7"/>
      <c r="AB743" s="7" t="str">
        <f t="shared" si="2"/>
        <v/>
      </c>
    </row>
    <row r="744">
      <c r="A744" s="83"/>
      <c r="W744" s="7"/>
      <c r="AB744" s="7" t="str">
        <f t="shared" si="2"/>
        <v/>
      </c>
    </row>
    <row r="745">
      <c r="A745" s="83"/>
      <c r="W745" s="7"/>
      <c r="AB745" s="7" t="str">
        <f t="shared" si="2"/>
        <v/>
      </c>
    </row>
    <row r="746">
      <c r="A746" s="83"/>
      <c r="W746" s="7"/>
      <c r="AB746" s="7" t="str">
        <f t="shared" si="2"/>
        <v/>
      </c>
    </row>
    <row r="747">
      <c r="A747" s="83"/>
      <c r="W747" s="7"/>
      <c r="AB747" s="7" t="str">
        <f t="shared" si="2"/>
        <v/>
      </c>
    </row>
    <row r="748">
      <c r="A748" s="83"/>
      <c r="W748" s="7"/>
      <c r="AB748" s="7" t="str">
        <f t="shared" si="2"/>
        <v/>
      </c>
    </row>
    <row r="749">
      <c r="A749" s="83"/>
      <c r="W749" s="7"/>
      <c r="AB749" s="7" t="str">
        <f t="shared" si="2"/>
        <v/>
      </c>
    </row>
    <row r="750">
      <c r="A750" s="83"/>
      <c r="W750" s="7"/>
      <c r="AB750" s="7" t="str">
        <f t="shared" si="2"/>
        <v/>
      </c>
    </row>
    <row r="751">
      <c r="A751" s="83"/>
      <c r="W751" s="7"/>
      <c r="AB751" s="7" t="str">
        <f t="shared" si="2"/>
        <v/>
      </c>
    </row>
    <row r="752">
      <c r="A752" s="83"/>
      <c r="W752" s="7"/>
      <c r="AB752" s="7" t="str">
        <f t="shared" si="2"/>
        <v/>
      </c>
    </row>
    <row r="753">
      <c r="A753" s="83"/>
      <c r="W753" s="7"/>
      <c r="AB753" s="7" t="str">
        <f t="shared" si="2"/>
        <v/>
      </c>
    </row>
    <row r="754">
      <c r="A754" s="83"/>
      <c r="W754" s="7"/>
      <c r="AB754" s="7" t="str">
        <f t="shared" si="2"/>
        <v/>
      </c>
    </row>
    <row r="755">
      <c r="A755" s="83"/>
      <c r="W755" s="7"/>
      <c r="AB755" s="7" t="str">
        <f t="shared" si="2"/>
        <v/>
      </c>
    </row>
    <row r="756">
      <c r="A756" s="83"/>
      <c r="W756" s="7"/>
      <c r="AB756" s="7" t="str">
        <f t="shared" si="2"/>
        <v/>
      </c>
    </row>
    <row r="757">
      <c r="A757" s="83"/>
      <c r="W757" s="7"/>
      <c r="AB757" s="7" t="str">
        <f t="shared" si="2"/>
        <v/>
      </c>
    </row>
    <row r="758">
      <c r="A758" s="83"/>
      <c r="W758" s="7"/>
      <c r="AB758" s="7" t="str">
        <f t="shared" si="2"/>
        <v/>
      </c>
    </row>
    <row r="759">
      <c r="A759" s="83"/>
      <c r="W759" s="7"/>
      <c r="AB759" s="7" t="str">
        <f t="shared" si="2"/>
        <v/>
      </c>
    </row>
    <row r="760">
      <c r="A760" s="83"/>
      <c r="W760" s="7"/>
      <c r="AB760" s="7" t="str">
        <f t="shared" si="2"/>
        <v/>
      </c>
    </row>
    <row r="761">
      <c r="A761" s="83"/>
      <c r="W761" s="7"/>
      <c r="AB761" s="7" t="str">
        <f t="shared" si="2"/>
        <v/>
      </c>
    </row>
    <row r="762">
      <c r="A762" s="83"/>
      <c r="W762" s="7"/>
      <c r="AB762" s="7" t="str">
        <f t="shared" si="2"/>
        <v/>
      </c>
    </row>
    <row r="763">
      <c r="A763" s="83"/>
      <c r="W763" s="7"/>
      <c r="AB763" s="7" t="str">
        <f t="shared" si="2"/>
        <v/>
      </c>
    </row>
    <row r="764">
      <c r="A764" s="83"/>
      <c r="W764" s="7"/>
      <c r="AB764" s="7" t="str">
        <f t="shared" si="2"/>
        <v/>
      </c>
    </row>
    <row r="765">
      <c r="A765" s="83"/>
      <c r="W765" s="7"/>
      <c r="AB765" s="7" t="str">
        <f t="shared" si="2"/>
        <v/>
      </c>
    </row>
    <row r="766">
      <c r="A766" s="83"/>
      <c r="W766" s="7"/>
      <c r="AB766" s="7" t="str">
        <f t="shared" si="2"/>
        <v/>
      </c>
    </row>
    <row r="767">
      <c r="A767" s="83"/>
      <c r="W767" s="7"/>
      <c r="AB767" s="7" t="str">
        <f t="shared" si="2"/>
        <v/>
      </c>
    </row>
    <row r="768">
      <c r="A768" s="83"/>
      <c r="W768" s="7"/>
      <c r="AB768" s="7" t="str">
        <f t="shared" si="2"/>
        <v/>
      </c>
    </row>
    <row r="769">
      <c r="A769" s="83"/>
      <c r="W769" s="7"/>
      <c r="AB769" s="7" t="str">
        <f t="shared" si="2"/>
        <v/>
      </c>
    </row>
    <row r="770">
      <c r="A770" s="83"/>
      <c r="W770" s="7"/>
      <c r="AB770" s="7" t="str">
        <f t="shared" si="2"/>
        <v/>
      </c>
    </row>
    <row r="771">
      <c r="A771" s="83"/>
      <c r="W771" s="7"/>
      <c r="AB771" s="7" t="str">
        <f t="shared" si="2"/>
        <v/>
      </c>
    </row>
    <row r="772">
      <c r="A772" s="83"/>
      <c r="W772" s="7"/>
      <c r="AB772" s="7" t="str">
        <f t="shared" si="2"/>
        <v/>
      </c>
    </row>
    <row r="773">
      <c r="A773" s="83"/>
      <c r="W773" s="7"/>
      <c r="AB773" s="7" t="str">
        <f t="shared" si="2"/>
        <v/>
      </c>
    </row>
    <row r="774">
      <c r="A774" s="83"/>
      <c r="W774" s="7"/>
      <c r="AB774" s="7" t="str">
        <f t="shared" si="2"/>
        <v/>
      </c>
    </row>
    <row r="775">
      <c r="A775" s="83"/>
      <c r="W775" s="7"/>
      <c r="AB775" s="7" t="str">
        <f t="shared" si="2"/>
        <v/>
      </c>
    </row>
    <row r="776">
      <c r="A776" s="83"/>
      <c r="W776" s="7"/>
      <c r="AB776" s="7" t="str">
        <f t="shared" si="2"/>
        <v/>
      </c>
    </row>
    <row r="777">
      <c r="A777" s="83"/>
      <c r="W777" s="7"/>
      <c r="AB777" s="7" t="str">
        <f t="shared" si="2"/>
        <v/>
      </c>
    </row>
    <row r="778">
      <c r="A778" s="83"/>
      <c r="W778" s="7"/>
      <c r="AB778" s="7" t="str">
        <f t="shared" si="2"/>
        <v/>
      </c>
    </row>
    <row r="779">
      <c r="A779" s="83"/>
      <c r="W779" s="7"/>
      <c r="AB779" s="7" t="str">
        <f t="shared" si="2"/>
        <v/>
      </c>
    </row>
    <row r="780">
      <c r="A780" s="83"/>
      <c r="W780" s="7"/>
      <c r="AB780" s="7" t="str">
        <f t="shared" si="2"/>
        <v/>
      </c>
    </row>
    <row r="781">
      <c r="A781" s="83"/>
      <c r="W781" s="7"/>
      <c r="AB781" s="7" t="str">
        <f t="shared" si="2"/>
        <v/>
      </c>
    </row>
    <row r="782">
      <c r="A782" s="83"/>
      <c r="W782" s="7"/>
      <c r="AB782" s="7" t="str">
        <f t="shared" si="2"/>
        <v/>
      </c>
    </row>
    <row r="783">
      <c r="A783" s="83"/>
      <c r="W783" s="7"/>
      <c r="AB783" s="7" t="str">
        <f t="shared" si="2"/>
        <v/>
      </c>
    </row>
    <row r="784">
      <c r="A784" s="83"/>
      <c r="W784" s="7"/>
      <c r="AB784" s="7" t="str">
        <f t="shared" si="2"/>
        <v/>
      </c>
    </row>
    <row r="785">
      <c r="A785" s="83"/>
      <c r="W785" s="7"/>
      <c r="AB785" s="7" t="str">
        <f t="shared" si="2"/>
        <v/>
      </c>
    </row>
    <row r="786">
      <c r="A786" s="83"/>
      <c r="W786" s="7"/>
      <c r="AB786" s="7" t="str">
        <f t="shared" si="2"/>
        <v/>
      </c>
    </row>
    <row r="787">
      <c r="A787" s="83"/>
      <c r="W787" s="7"/>
      <c r="AB787" s="7" t="str">
        <f t="shared" si="2"/>
        <v/>
      </c>
    </row>
    <row r="788">
      <c r="A788" s="83"/>
      <c r="W788" s="7"/>
      <c r="AB788" s="7" t="str">
        <f t="shared" si="2"/>
        <v/>
      </c>
    </row>
    <row r="789">
      <c r="A789" s="83"/>
      <c r="W789" s="7"/>
      <c r="AB789" s="7" t="str">
        <f t="shared" si="2"/>
        <v/>
      </c>
    </row>
    <row r="790">
      <c r="A790" s="83"/>
      <c r="W790" s="7"/>
      <c r="AB790" s="7" t="str">
        <f t="shared" si="2"/>
        <v/>
      </c>
    </row>
    <row r="791">
      <c r="A791" s="83"/>
      <c r="W791" s="7"/>
      <c r="AB791" s="7" t="str">
        <f t="shared" si="2"/>
        <v/>
      </c>
    </row>
    <row r="792">
      <c r="A792" s="83"/>
      <c r="W792" s="7"/>
      <c r="AB792" s="7" t="str">
        <f t="shared" si="2"/>
        <v/>
      </c>
    </row>
    <row r="793">
      <c r="A793" s="83"/>
      <c r="W793" s="7"/>
      <c r="AB793" s="7" t="str">
        <f t="shared" si="2"/>
        <v/>
      </c>
    </row>
    <row r="794">
      <c r="A794" s="83"/>
      <c r="W794" s="7"/>
      <c r="AB794" s="7" t="str">
        <f t="shared" si="2"/>
        <v/>
      </c>
    </row>
    <row r="795">
      <c r="A795" s="83"/>
      <c r="W795" s="7"/>
      <c r="AB795" s="7" t="str">
        <f t="shared" si="2"/>
        <v/>
      </c>
    </row>
    <row r="796">
      <c r="A796" s="83"/>
      <c r="W796" s="7"/>
      <c r="AB796" s="7" t="str">
        <f t="shared" si="2"/>
        <v/>
      </c>
    </row>
    <row r="797">
      <c r="A797" s="83"/>
      <c r="W797" s="7"/>
      <c r="AB797" s="7" t="str">
        <f t="shared" si="2"/>
        <v/>
      </c>
    </row>
    <row r="798">
      <c r="A798" s="83"/>
      <c r="W798" s="7"/>
      <c r="AB798" s="7" t="str">
        <f t="shared" si="2"/>
        <v/>
      </c>
    </row>
    <row r="799">
      <c r="A799" s="83"/>
      <c r="W799" s="7"/>
      <c r="AB799" s="7" t="str">
        <f t="shared" si="2"/>
        <v/>
      </c>
    </row>
    <row r="800">
      <c r="A800" s="83"/>
      <c r="W800" s="7"/>
      <c r="AB800" s="7" t="str">
        <f t="shared" si="2"/>
        <v/>
      </c>
    </row>
    <row r="801">
      <c r="A801" s="83"/>
      <c r="W801" s="7"/>
      <c r="AB801" s="7" t="str">
        <f t="shared" si="2"/>
        <v/>
      </c>
    </row>
    <row r="802">
      <c r="A802" s="83"/>
      <c r="W802" s="7"/>
      <c r="AB802" s="7" t="str">
        <f t="shared" si="2"/>
        <v/>
      </c>
    </row>
    <row r="803">
      <c r="A803" s="83"/>
      <c r="W803" s="7"/>
      <c r="AB803" s="7" t="str">
        <f t="shared" si="2"/>
        <v/>
      </c>
    </row>
    <row r="804">
      <c r="A804" s="83"/>
      <c r="W804" s="7"/>
      <c r="AB804" s="7" t="str">
        <f t="shared" si="2"/>
        <v/>
      </c>
    </row>
    <row r="805">
      <c r="A805" s="83"/>
      <c r="W805" s="7"/>
      <c r="AB805" s="7" t="str">
        <f t="shared" si="2"/>
        <v/>
      </c>
    </row>
    <row r="806">
      <c r="A806" s="83"/>
      <c r="W806" s="7"/>
      <c r="AB806" s="7" t="str">
        <f t="shared" si="2"/>
        <v/>
      </c>
    </row>
    <row r="807">
      <c r="A807" s="83"/>
      <c r="W807" s="7"/>
      <c r="AB807" s="7" t="str">
        <f t="shared" si="2"/>
        <v/>
      </c>
    </row>
    <row r="808">
      <c r="A808" s="83"/>
      <c r="W808" s="7"/>
      <c r="AB808" s="7" t="str">
        <f t="shared" si="2"/>
        <v/>
      </c>
    </row>
    <row r="809">
      <c r="A809" s="83"/>
      <c r="W809" s="7"/>
      <c r="AB809" s="7" t="str">
        <f t="shared" si="2"/>
        <v/>
      </c>
    </row>
    <row r="810">
      <c r="A810" s="83"/>
      <c r="W810" s="7"/>
      <c r="AB810" s="7" t="str">
        <f t="shared" si="2"/>
        <v/>
      </c>
    </row>
    <row r="811">
      <c r="A811" s="83"/>
      <c r="W811" s="7"/>
      <c r="AB811" s="7" t="str">
        <f t="shared" si="2"/>
        <v/>
      </c>
    </row>
    <row r="812">
      <c r="A812" s="83"/>
      <c r="W812" s="7"/>
      <c r="AB812" s="7" t="str">
        <f t="shared" si="2"/>
        <v/>
      </c>
    </row>
    <row r="813">
      <c r="A813" s="83"/>
      <c r="W813" s="7"/>
      <c r="AB813" s="7" t="str">
        <f t="shared" si="2"/>
        <v/>
      </c>
    </row>
    <row r="814">
      <c r="A814" s="83"/>
      <c r="W814" s="7"/>
      <c r="AB814" s="7" t="str">
        <f t="shared" si="2"/>
        <v/>
      </c>
    </row>
    <row r="815">
      <c r="A815" s="83"/>
      <c r="W815" s="7"/>
      <c r="AB815" s="7" t="str">
        <f t="shared" si="2"/>
        <v/>
      </c>
    </row>
    <row r="816">
      <c r="A816" s="83"/>
      <c r="W816" s="7"/>
      <c r="AB816" s="7" t="str">
        <f t="shared" si="2"/>
        <v/>
      </c>
    </row>
    <row r="817">
      <c r="A817" s="83"/>
      <c r="W817" s="7"/>
      <c r="AB817" s="7" t="str">
        <f t="shared" si="2"/>
        <v/>
      </c>
    </row>
    <row r="818">
      <c r="A818" s="83"/>
      <c r="W818" s="7"/>
      <c r="AB818" s="7" t="str">
        <f t="shared" si="2"/>
        <v/>
      </c>
    </row>
    <row r="819">
      <c r="A819" s="83"/>
      <c r="W819" s="7"/>
      <c r="AB819" s="7" t="str">
        <f t="shared" si="2"/>
        <v/>
      </c>
    </row>
    <row r="820">
      <c r="A820" s="83"/>
      <c r="W820" s="7"/>
      <c r="AB820" s="7" t="str">
        <f t="shared" si="2"/>
        <v/>
      </c>
    </row>
    <row r="821">
      <c r="A821" s="83"/>
      <c r="W821" s="7"/>
      <c r="AB821" s="7" t="str">
        <f t="shared" si="2"/>
        <v/>
      </c>
    </row>
    <row r="822">
      <c r="A822" s="83"/>
      <c r="W822" s="7"/>
      <c r="AB822" s="7" t="str">
        <f t="shared" si="2"/>
        <v/>
      </c>
    </row>
    <row r="823">
      <c r="A823" s="83"/>
      <c r="W823" s="7"/>
      <c r="AB823" s="7" t="str">
        <f t="shared" si="2"/>
        <v/>
      </c>
    </row>
    <row r="824">
      <c r="A824" s="83"/>
      <c r="W824" s="7"/>
      <c r="AB824" s="7" t="str">
        <f t="shared" si="2"/>
        <v/>
      </c>
    </row>
    <row r="825">
      <c r="A825" s="83"/>
      <c r="W825" s="7"/>
      <c r="AB825" s="7" t="str">
        <f t="shared" si="2"/>
        <v/>
      </c>
    </row>
    <row r="826">
      <c r="A826" s="83"/>
      <c r="W826" s="7"/>
      <c r="AB826" s="7" t="str">
        <f t="shared" si="2"/>
        <v/>
      </c>
    </row>
    <row r="827">
      <c r="A827" s="83"/>
      <c r="W827" s="7"/>
      <c r="AB827" s="7" t="str">
        <f t="shared" si="2"/>
        <v/>
      </c>
    </row>
    <row r="828">
      <c r="A828" s="83"/>
      <c r="W828" s="7"/>
      <c r="AB828" s="7" t="str">
        <f t="shared" si="2"/>
        <v/>
      </c>
    </row>
    <row r="829">
      <c r="A829" s="83"/>
      <c r="W829" s="7"/>
      <c r="AB829" s="7" t="str">
        <f t="shared" si="2"/>
        <v/>
      </c>
    </row>
    <row r="830">
      <c r="A830" s="83"/>
      <c r="W830" s="7"/>
      <c r="AB830" s="7" t="str">
        <f t="shared" si="2"/>
        <v/>
      </c>
    </row>
    <row r="831">
      <c r="A831" s="83"/>
      <c r="W831" s="7"/>
      <c r="AB831" s="7" t="str">
        <f t="shared" si="2"/>
        <v/>
      </c>
    </row>
    <row r="832">
      <c r="A832" s="83"/>
      <c r="W832" s="7"/>
      <c r="AB832" s="7" t="str">
        <f t="shared" si="2"/>
        <v/>
      </c>
    </row>
    <row r="833">
      <c r="A833" s="83"/>
      <c r="W833" s="7"/>
      <c r="AB833" s="7" t="str">
        <f t="shared" si="2"/>
        <v/>
      </c>
    </row>
    <row r="834">
      <c r="A834" s="83"/>
      <c r="W834" s="7"/>
      <c r="AB834" s="7" t="str">
        <f t="shared" si="2"/>
        <v/>
      </c>
    </row>
    <row r="835">
      <c r="A835" s="83"/>
      <c r="W835" s="7"/>
      <c r="AB835" s="7" t="str">
        <f t="shared" si="2"/>
        <v/>
      </c>
    </row>
    <row r="836">
      <c r="A836" s="83"/>
      <c r="W836" s="7"/>
      <c r="AB836" s="7" t="str">
        <f t="shared" si="2"/>
        <v/>
      </c>
    </row>
    <row r="837">
      <c r="A837" s="83"/>
      <c r="W837" s="7"/>
      <c r="AB837" s="7" t="str">
        <f t="shared" si="2"/>
        <v/>
      </c>
    </row>
    <row r="838">
      <c r="A838" s="83"/>
      <c r="W838" s="7"/>
      <c r="AB838" s="7" t="str">
        <f t="shared" si="2"/>
        <v/>
      </c>
    </row>
    <row r="839">
      <c r="A839" s="83"/>
      <c r="W839" s="7"/>
      <c r="AB839" s="7" t="str">
        <f t="shared" si="2"/>
        <v/>
      </c>
    </row>
    <row r="840">
      <c r="A840" s="83"/>
      <c r="W840" s="7"/>
      <c r="AB840" s="7" t="str">
        <f t="shared" si="2"/>
        <v/>
      </c>
    </row>
    <row r="841">
      <c r="A841" s="83"/>
      <c r="W841" s="7"/>
      <c r="AB841" s="7" t="str">
        <f t="shared" si="2"/>
        <v/>
      </c>
    </row>
    <row r="842">
      <c r="A842" s="83"/>
      <c r="W842" s="7"/>
      <c r="AB842" s="7" t="str">
        <f t="shared" si="2"/>
        <v/>
      </c>
    </row>
    <row r="843">
      <c r="A843" s="83"/>
      <c r="W843" s="7"/>
      <c r="AB843" s="7" t="str">
        <f t="shared" si="2"/>
        <v/>
      </c>
    </row>
    <row r="844">
      <c r="A844" s="83"/>
      <c r="W844" s="7"/>
      <c r="AB844" s="7" t="str">
        <f t="shared" si="2"/>
        <v/>
      </c>
    </row>
    <row r="845">
      <c r="A845" s="83"/>
      <c r="W845" s="7"/>
      <c r="AB845" s="7" t="str">
        <f t="shared" si="2"/>
        <v/>
      </c>
    </row>
    <row r="846">
      <c r="A846" s="83"/>
      <c r="W846" s="7"/>
      <c r="AB846" s="7" t="str">
        <f t="shared" si="2"/>
        <v/>
      </c>
    </row>
    <row r="847">
      <c r="A847" s="83"/>
      <c r="W847" s="7"/>
      <c r="AB847" s="7" t="str">
        <f t="shared" si="2"/>
        <v/>
      </c>
    </row>
    <row r="848">
      <c r="A848" s="83"/>
      <c r="W848" s="7"/>
      <c r="AB848" s="7" t="str">
        <f t="shared" si="2"/>
        <v/>
      </c>
    </row>
    <row r="849">
      <c r="A849" s="83"/>
      <c r="W849" s="7"/>
      <c r="AB849" s="7" t="str">
        <f t="shared" si="2"/>
        <v/>
      </c>
    </row>
    <row r="850">
      <c r="A850" s="83"/>
      <c r="W850" s="7"/>
      <c r="AB850" s="7" t="str">
        <f t="shared" si="2"/>
        <v/>
      </c>
    </row>
    <row r="851">
      <c r="A851" s="83"/>
      <c r="W851" s="7"/>
      <c r="AB851" s="7" t="str">
        <f t="shared" si="2"/>
        <v/>
      </c>
    </row>
    <row r="852">
      <c r="A852" s="83"/>
      <c r="W852" s="7"/>
      <c r="AB852" s="7" t="str">
        <f t="shared" si="2"/>
        <v/>
      </c>
    </row>
    <row r="853">
      <c r="A853" s="83"/>
      <c r="W853" s="7"/>
      <c r="AB853" s="7" t="str">
        <f t="shared" si="2"/>
        <v/>
      </c>
    </row>
    <row r="854">
      <c r="A854" s="83"/>
      <c r="W854" s="7"/>
      <c r="AB854" s="7" t="str">
        <f t="shared" si="2"/>
        <v/>
      </c>
    </row>
    <row r="855">
      <c r="A855" s="83"/>
      <c r="W855" s="7"/>
      <c r="AB855" s="7" t="str">
        <f t="shared" si="2"/>
        <v/>
      </c>
    </row>
    <row r="856">
      <c r="A856" s="83"/>
      <c r="W856" s="7"/>
      <c r="AB856" s="7" t="str">
        <f t="shared" si="2"/>
        <v/>
      </c>
    </row>
    <row r="857">
      <c r="A857" s="83"/>
      <c r="W857" s="7"/>
      <c r="AB857" s="7" t="str">
        <f t="shared" si="2"/>
        <v/>
      </c>
    </row>
    <row r="858">
      <c r="A858" s="83"/>
      <c r="W858" s="7"/>
      <c r="AB858" s="7" t="str">
        <f t="shared" si="2"/>
        <v/>
      </c>
    </row>
    <row r="859">
      <c r="A859" s="83"/>
      <c r="W859" s="7"/>
      <c r="AB859" s="7" t="str">
        <f t="shared" si="2"/>
        <v/>
      </c>
    </row>
    <row r="860">
      <c r="A860" s="83"/>
      <c r="W860" s="7"/>
      <c r="AB860" s="7" t="str">
        <f t="shared" si="2"/>
        <v/>
      </c>
    </row>
    <row r="861">
      <c r="A861" s="83"/>
      <c r="W861" s="7"/>
      <c r="AB861" s="7" t="str">
        <f t="shared" si="2"/>
        <v/>
      </c>
    </row>
    <row r="862">
      <c r="A862" s="83"/>
      <c r="W862" s="7"/>
      <c r="AB862" s="7" t="str">
        <f t="shared" si="2"/>
        <v/>
      </c>
    </row>
    <row r="863">
      <c r="A863" s="83"/>
      <c r="W863" s="7"/>
      <c r="AB863" s="7" t="str">
        <f t="shared" si="2"/>
        <v/>
      </c>
    </row>
    <row r="864">
      <c r="A864" s="83"/>
      <c r="W864" s="7"/>
      <c r="AB864" s="7" t="str">
        <f t="shared" si="2"/>
        <v/>
      </c>
    </row>
    <row r="865">
      <c r="A865" s="83"/>
      <c r="W865" s="7"/>
      <c r="AB865" s="7" t="str">
        <f t="shared" si="2"/>
        <v/>
      </c>
    </row>
    <row r="866">
      <c r="A866" s="83"/>
      <c r="W866" s="7"/>
      <c r="AB866" s="7" t="str">
        <f t="shared" si="2"/>
        <v/>
      </c>
    </row>
    <row r="867">
      <c r="A867" s="83"/>
      <c r="W867" s="7"/>
      <c r="AB867" s="7" t="str">
        <f t="shared" si="2"/>
        <v/>
      </c>
    </row>
    <row r="868">
      <c r="A868" s="83"/>
      <c r="W868" s="7"/>
      <c r="AB868" s="7" t="str">
        <f t="shared" si="2"/>
        <v/>
      </c>
    </row>
    <row r="869">
      <c r="A869" s="83"/>
      <c r="W869" s="7"/>
      <c r="AB869" s="7" t="str">
        <f t="shared" si="2"/>
        <v/>
      </c>
    </row>
    <row r="870">
      <c r="A870" s="83"/>
      <c r="W870" s="7"/>
      <c r="AB870" s="7" t="str">
        <f t="shared" si="2"/>
        <v/>
      </c>
    </row>
    <row r="871">
      <c r="A871" s="83"/>
      <c r="W871" s="7"/>
      <c r="AB871" s="7" t="str">
        <f t="shared" si="2"/>
        <v/>
      </c>
    </row>
    <row r="872">
      <c r="A872" s="83"/>
      <c r="W872" s="7"/>
      <c r="AB872" s="7" t="str">
        <f t="shared" si="2"/>
        <v/>
      </c>
    </row>
    <row r="873">
      <c r="A873" s="83"/>
      <c r="W873" s="7"/>
      <c r="AB873" s="7" t="str">
        <f t="shared" si="2"/>
        <v/>
      </c>
    </row>
    <row r="874">
      <c r="A874" s="83"/>
      <c r="W874" s="7"/>
      <c r="AB874" s="7" t="str">
        <f t="shared" si="2"/>
        <v/>
      </c>
    </row>
    <row r="875">
      <c r="A875" s="83"/>
      <c r="W875" s="7"/>
      <c r="AB875" s="7" t="str">
        <f t="shared" si="2"/>
        <v/>
      </c>
    </row>
    <row r="876">
      <c r="A876" s="83"/>
      <c r="W876" s="7"/>
      <c r="AB876" s="7" t="str">
        <f t="shared" si="2"/>
        <v/>
      </c>
    </row>
    <row r="877">
      <c r="A877" s="83"/>
      <c r="W877" s="7"/>
      <c r="AB877" s="7" t="str">
        <f t="shared" si="2"/>
        <v/>
      </c>
    </row>
    <row r="878">
      <c r="A878" s="83"/>
      <c r="W878" s="7"/>
      <c r="AB878" s="7" t="str">
        <f t="shared" si="2"/>
        <v/>
      </c>
    </row>
    <row r="879">
      <c r="A879" s="83"/>
      <c r="W879" s="7"/>
      <c r="AB879" s="7" t="str">
        <f t="shared" si="2"/>
        <v/>
      </c>
    </row>
    <row r="880">
      <c r="A880" s="83"/>
      <c r="W880" s="7"/>
      <c r="AB880" s="7" t="str">
        <f t="shared" si="2"/>
        <v/>
      </c>
    </row>
    <row r="881">
      <c r="A881" s="83"/>
      <c r="W881" s="7"/>
      <c r="AB881" s="7" t="str">
        <f t="shared" si="2"/>
        <v/>
      </c>
    </row>
    <row r="882">
      <c r="A882" s="83"/>
      <c r="W882" s="7"/>
      <c r="AB882" s="7" t="str">
        <f t="shared" si="2"/>
        <v/>
      </c>
    </row>
    <row r="883">
      <c r="A883" s="83"/>
      <c r="W883" s="7"/>
      <c r="AB883" s="7" t="str">
        <f t="shared" si="2"/>
        <v/>
      </c>
    </row>
    <row r="884">
      <c r="A884" s="83"/>
      <c r="W884" s="7"/>
      <c r="AB884" s="7" t="str">
        <f t="shared" si="2"/>
        <v/>
      </c>
    </row>
    <row r="885">
      <c r="A885" s="83"/>
      <c r="W885" s="7"/>
      <c r="AB885" s="7" t="str">
        <f t="shared" si="2"/>
        <v/>
      </c>
    </row>
    <row r="886">
      <c r="A886" s="83"/>
      <c r="W886" s="7"/>
      <c r="AB886" s="7" t="str">
        <f t="shared" si="2"/>
        <v/>
      </c>
    </row>
    <row r="887">
      <c r="A887" s="83"/>
      <c r="W887" s="7"/>
      <c r="AB887" s="7" t="str">
        <f t="shared" si="2"/>
        <v/>
      </c>
    </row>
    <row r="888">
      <c r="A888" s="83"/>
      <c r="W888" s="7"/>
      <c r="AB888" s="7" t="str">
        <f t="shared" si="2"/>
        <v/>
      </c>
    </row>
    <row r="889">
      <c r="A889" s="83"/>
      <c r="W889" s="7"/>
      <c r="AB889" s="7" t="str">
        <f t="shared" si="2"/>
        <v/>
      </c>
    </row>
    <row r="890">
      <c r="A890" s="83"/>
      <c r="W890" s="7"/>
      <c r="AB890" s="7" t="str">
        <f t="shared" si="2"/>
        <v/>
      </c>
    </row>
    <row r="891">
      <c r="A891" s="83"/>
      <c r="W891" s="7"/>
      <c r="AB891" s="7" t="str">
        <f t="shared" si="2"/>
        <v/>
      </c>
    </row>
    <row r="892">
      <c r="A892" s="83"/>
      <c r="W892" s="7"/>
      <c r="AB892" s="7" t="str">
        <f t="shared" si="2"/>
        <v/>
      </c>
    </row>
    <row r="893">
      <c r="A893" s="83"/>
      <c r="W893" s="7"/>
      <c r="AB893" s="7" t="str">
        <f t="shared" si="2"/>
        <v/>
      </c>
    </row>
    <row r="894">
      <c r="A894" s="83"/>
      <c r="W894" s="7"/>
      <c r="AB894" s="7" t="str">
        <f t="shared" si="2"/>
        <v/>
      </c>
    </row>
    <row r="895">
      <c r="A895" s="83"/>
      <c r="W895" s="7"/>
      <c r="AB895" s="7" t="str">
        <f t="shared" si="2"/>
        <v/>
      </c>
    </row>
    <row r="896">
      <c r="A896" s="83"/>
      <c r="W896" s="7"/>
      <c r="AB896" s="7" t="str">
        <f t="shared" si="2"/>
        <v/>
      </c>
    </row>
    <row r="897">
      <c r="A897" s="83"/>
      <c r="W897" s="7"/>
      <c r="AB897" s="7" t="str">
        <f t="shared" si="2"/>
        <v/>
      </c>
    </row>
    <row r="898">
      <c r="A898" s="83"/>
      <c r="W898" s="7"/>
      <c r="AB898" s="7" t="str">
        <f t="shared" si="2"/>
        <v/>
      </c>
    </row>
    <row r="899">
      <c r="A899" s="83"/>
      <c r="W899" s="7"/>
      <c r="AB899" s="7" t="str">
        <f t="shared" si="2"/>
        <v/>
      </c>
    </row>
    <row r="900">
      <c r="A900" s="83"/>
      <c r="W900" s="7"/>
      <c r="AB900" s="7" t="str">
        <f t="shared" si="2"/>
        <v/>
      </c>
    </row>
    <row r="901">
      <c r="A901" s="83"/>
      <c r="W901" s="7"/>
      <c r="AB901" s="7" t="str">
        <f t="shared" si="2"/>
        <v/>
      </c>
    </row>
    <row r="902">
      <c r="A902" s="83"/>
      <c r="W902" s="7"/>
      <c r="AB902" s="7" t="str">
        <f t="shared" si="2"/>
        <v/>
      </c>
    </row>
    <row r="903">
      <c r="A903" s="83"/>
      <c r="W903" s="7"/>
      <c r="AB903" s="7" t="str">
        <f t="shared" si="2"/>
        <v/>
      </c>
    </row>
    <row r="904">
      <c r="A904" s="83"/>
      <c r="W904" s="7"/>
      <c r="AB904" s="7" t="str">
        <f t="shared" si="2"/>
        <v/>
      </c>
    </row>
    <row r="905">
      <c r="A905" s="83"/>
      <c r="W905" s="7"/>
      <c r="AB905" s="7" t="str">
        <f t="shared" si="2"/>
        <v/>
      </c>
    </row>
    <row r="906">
      <c r="A906" s="83"/>
      <c r="W906" s="7"/>
      <c r="AB906" s="7" t="str">
        <f t="shared" si="2"/>
        <v/>
      </c>
    </row>
    <row r="907">
      <c r="A907" s="83"/>
      <c r="W907" s="7"/>
      <c r="AB907" s="7" t="str">
        <f t="shared" si="2"/>
        <v/>
      </c>
    </row>
    <row r="908">
      <c r="A908" s="83"/>
      <c r="W908" s="7"/>
      <c r="AB908" s="7" t="str">
        <f t="shared" si="2"/>
        <v/>
      </c>
    </row>
    <row r="909">
      <c r="A909" s="83"/>
      <c r="W909" s="7"/>
      <c r="AB909" s="7" t="str">
        <f t="shared" si="2"/>
        <v/>
      </c>
    </row>
    <row r="910">
      <c r="A910" s="83"/>
      <c r="W910" s="7"/>
      <c r="AB910" s="7" t="str">
        <f t="shared" si="2"/>
        <v/>
      </c>
    </row>
    <row r="911">
      <c r="A911" s="83"/>
      <c r="W911" s="7"/>
      <c r="AB911" s="7" t="str">
        <f t="shared" si="2"/>
        <v/>
      </c>
    </row>
    <row r="912">
      <c r="A912" s="83"/>
      <c r="W912" s="7"/>
      <c r="AB912" s="7" t="str">
        <f t="shared" si="2"/>
        <v/>
      </c>
    </row>
    <row r="913">
      <c r="A913" s="83"/>
      <c r="W913" s="7"/>
      <c r="AB913" s="7" t="str">
        <f t="shared" si="2"/>
        <v/>
      </c>
    </row>
    <row r="914">
      <c r="A914" s="83"/>
      <c r="W914" s="7"/>
      <c r="AB914" s="7" t="str">
        <f t="shared" si="2"/>
        <v/>
      </c>
    </row>
    <row r="915">
      <c r="A915" s="83"/>
      <c r="W915" s="7"/>
      <c r="AB915" s="7" t="str">
        <f t="shared" si="2"/>
        <v/>
      </c>
    </row>
    <row r="916">
      <c r="A916" s="83"/>
      <c r="W916" s="7"/>
      <c r="AB916" s="7" t="str">
        <f t="shared" si="2"/>
        <v/>
      </c>
    </row>
    <row r="917">
      <c r="A917" s="83"/>
      <c r="W917" s="7"/>
      <c r="AB917" s="7" t="str">
        <f t="shared" si="2"/>
        <v/>
      </c>
    </row>
    <row r="918">
      <c r="A918" s="83"/>
      <c r="W918" s="7"/>
      <c r="AB918" s="7" t="str">
        <f t="shared" si="2"/>
        <v/>
      </c>
    </row>
    <row r="919">
      <c r="A919" s="83"/>
      <c r="W919" s="7"/>
      <c r="AB919" s="7" t="str">
        <f t="shared" si="2"/>
        <v/>
      </c>
    </row>
    <row r="920">
      <c r="A920" s="83"/>
      <c r="W920" s="7"/>
      <c r="AB920" s="7" t="str">
        <f t="shared" si="2"/>
        <v/>
      </c>
    </row>
    <row r="921">
      <c r="A921" s="83"/>
      <c r="W921" s="7"/>
      <c r="AB921" s="7" t="str">
        <f t="shared" si="2"/>
        <v/>
      </c>
    </row>
    <row r="922">
      <c r="A922" s="83"/>
      <c r="W922" s="7"/>
      <c r="AB922" s="7" t="str">
        <f t="shared" si="2"/>
        <v/>
      </c>
    </row>
    <row r="923">
      <c r="A923" s="83"/>
      <c r="W923" s="7"/>
      <c r="AB923" s="7" t="str">
        <f t="shared" si="2"/>
        <v/>
      </c>
    </row>
    <row r="924">
      <c r="A924" s="83"/>
      <c r="W924" s="7"/>
      <c r="AB924" s="7" t="str">
        <f t="shared" si="2"/>
        <v/>
      </c>
    </row>
    <row r="925">
      <c r="A925" s="83"/>
      <c r="W925" s="7"/>
      <c r="AB925" s="7" t="str">
        <f t="shared" si="2"/>
        <v/>
      </c>
    </row>
    <row r="926">
      <c r="A926" s="83"/>
      <c r="W926" s="7"/>
      <c r="AB926" s="7" t="str">
        <f t="shared" si="2"/>
        <v/>
      </c>
    </row>
    <row r="927">
      <c r="A927" s="83"/>
      <c r="W927" s="7"/>
      <c r="AB927" s="7" t="str">
        <f t="shared" si="2"/>
        <v/>
      </c>
    </row>
    <row r="928">
      <c r="A928" s="83"/>
      <c r="W928" s="7"/>
      <c r="AB928" s="7" t="str">
        <f t="shared" si="2"/>
        <v/>
      </c>
    </row>
    <row r="929">
      <c r="A929" s="83"/>
      <c r="W929" s="7"/>
      <c r="AB929" s="7" t="str">
        <f t="shared" si="2"/>
        <v/>
      </c>
    </row>
    <row r="930">
      <c r="A930" s="83"/>
      <c r="W930" s="7"/>
      <c r="AB930" s="7" t="str">
        <f t="shared" si="2"/>
        <v/>
      </c>
    </row>
    <row r="931">
      <c r="A931" s="83"/>
      <c r="W931" s="7"/>
      <c r="AB931" s="7" t="str">
        <f t="shared" si="2"/>
        <v/>
      </c>
    </row>
    <row r="932">
      <c r="A932" s="83"/>
      <c r="W932" s="7"/>
      <c r="AB932" s="7" t="str">
        <f t="shared" si="2"/>
        <v/>
      </c>
    </row>
    <row r="933">
      <c r="A933" s="83"/>
      <c r="W933" s="7"/>
      <c r="AB933" s="7" t="str">
        <f t="shared" si="2"/>
        <v/>
      </c>
    </row>
    <row r="934">
      <c r="A934" s="83"/>
      <c r="W934" s="7"/>
      <c r="AB934" s="7" t="str">
        <f t="shared" si="2"/>
        <v/>
      </c>
    </row>
    <row r="935">
      <c r="A935" s="83"/>
      <c r="W935" s="7"/>
      <c r="AB935" s="7" t="str">
        <f t="shared" si="2"/>
        <v/>
      </c>
    </row>
    <row r="936">
      <c r="A936" s="83"/>
      <c r="W936" s="7"/>
      <c r="AB936" s="7" t="str">
        <f t="shared" si="2"/>
        <v/>
      </c>
    </row>
    <row r="937">
      <c r="A937" s="83"/>
      <c r="W937" s="7"/>
      <c r="AB937" s="7" t="str">
        <f t="shared" si="2"/>
        <v/>
      </c>
    </row>
    <row r="938">
      <c r="A938" s="83"/>
      <c r="W938" s="7"/>
      <c r="AB938" s="7" t="str">
        <f t="shared" si="2"/>
        <v/>
      </c>
    </row>
    <row r="939">
      <c r="A939" s="83"/>
      <c r="W939" s="7"/>
      <c r="AB939" s="7" t="str">
        <f t="shared" si="2"/>
        <v/>
      </c>
    </row>
    <row r="940">
      <c r="A940" s="83"/>
      <c r="W940" s="7"/>
      <c r="AB940" s="7" t="str">
        <f t="shared" si="2"/>
        <v/>
      </c>
    </row>
    <row r="941">
      <c r="A941" s="83"/>
      <c r="W941" s="7"/>
      <c r="AB941" s="7" t="str">
        <f t="shared" si="2"/>
        <v/>
      </c>
    </row>
    <row r="942">
      <c r="A942" s="83"/>
      <c r="W942" s="7"/>
      <c r="AB942" s="7" t="str">
        <f t="shared" si="2"/>
        <v/>
      </c>
    </row>
    <row r="943">
      <c r="A943" s="83"/>
      <c r="W943" s="7"/>
      <c r="AB943" s="7" t="str">
        <f t="shared" si="2"/>
        <v/>
      </c>
    </row>
    <row r="944">
      <c r="A944" s="83"/>
      <c r="W944" s="7"/>
      <c r="AB944" s="7" t="str">
        <f t="shared" si="2"/>
        <v/>
      </c>
    </row>
    <row r="945">
      <c r="A945" s="83"/>
      <c r="W945" s="7"/>
      <c r="AB945" s="7" t="str">
        <f t="shared" si="2"/>
        <v/>
      </c>
    </row>
    <row r="946">
      <c r="A946" s="83"/>
      <c r="W946" s="7"/>
      <c r="AB946" s="7" t="str">
        <f t="shared" si="2"/>
        <v/>
      </c>
    </row>
    <row r="947">
      <c r="A947" s="83"/>
      <c r="W947" s="7"/>
      <c r="AB947" s="7" t="str">
        <f t="shared" si="2"/>
        <v/>
      </c>
    </row>
    <row r="948">
      <c r="A948" s="83"/>
      <c r="W948" s="7"/>
      <c r="AB948" s="7" t="str">
        <f t="shared" si="2"/>
        <v/>
      </c>
    </row>
    <row r="949">
      <c r="A949" s="83"/>
      <c r="W949" s="7"/>
      <c r="AB949" s="7" t="str">
        <f t="shared" si="2"/>
        <v/>
      </c>
    </row>
    <row r="950">
      <c r="A950" s="83"/>
      <c r="W950" s="7"/>
      <c r="AB950" s="7" t="str">
        <f t="shared" si="2"/>
        <v/>
      </c>
    </row>
    <row r="951">
      <c r="A951" s="83"/>
      <c r="W951" s="7"/>
      <c r="AB951" s="7" t="str">
        <f t="shared" si="2"/>
        <v/>
      </c>
    </row>
    <row r="952">
      <c r="A952" s="83"/>
      <c r="W952" s="7"/>
      <c r="AB952" s="7" t="str">
        <f t="shared" si="2"/>
        <v/>
      </c>
    </row>
    <row r="953">
      <c r="A953" s="83"/>
      <c r="W953" s="7"/>
      <c r="AB953" s="7" t="str">
        <f t="shared" si="2"/>
        <v/>
      </c>
    </row>
    <row r="954">
      <c r="A954" s="83"/>
      <c r="W954" s="7"/>
      <c r="AB954" s="7" t="str">
        <f t="shared" si="2"/>
        <v/>
      </c>
    </row>
    <row r="955">
      <c r="A955" s="83"/>
      <c r="W955" s="7"/>
      <c r="AB955" s="7" t="str">
        <f t="shared" si="2"/>
        <v/>
      </c>
    </row>
    <row r="956">
      <c r="A956" s="83"/>
      <c r="W956" s="7"/>
      <c r="AB956" s="7" t="str">
        <f t="shared" si="2"/>
        <v/>
      </c>
    </row>
    <row r="957">
      <c r="A957" s="83"/>
      <c r="W957" s="7"/>
      <c r="AB957" s="7" t="str">
        <f t="shared" si="2"/>
        <v/>
      </c>
    </row>
    <row r="958">
      <c r="A958" s="83"/>
      <c r="W958" s="7"/>
      <c r="AB958" s="7" t="str">
        <f t="shared" si="2"/>
        <v/>
      </c>
    </row>
    <row r="959">
      <c r="A959" s="83"/>
      <c r="W959" s="7"/>
      <c r="AB959" s="7" t="str">
        <f t="shared" si="2"/>
        <v/>
      </c>
    </row>
    <row r="960">
      <c r="A960" s="83"/>
      <c r="W960" s="7"/>
      <c r="AB960" s="7" t="str">
        <f t="shared" si="2"/>
        <v/>
      </c>
    </row>
    <row r="961">
      <c r="A961" s="83"/>
      <c r="W961" s="7"/>
      <c r="AB961" s="7" t="str">
        <f t="shared" si="2"/>
        <v/>
      </c>
    </row>
    <row r="962">
      <c r="A962" s="83"/>
      <c r="W962" s="7"/>
      <c r="AB962" s="7" t="str">
        <f t="shared" si="2"/>
        <v/>
      </c>
    </row>
    <row r="963">
      <c r="A963" s="83"/>
      <c r="W963" s="7"/>
      <c r="AB963" s="7" t="str">
        <f t="shared" si="2"/>
        <v/>
      </c>
    </row>
    <row r="964">
      <c r="A964" s="83"/>
      <c r="W964" s="7"/>
      <c r="AB964" s="7" t="str">
        <f t="shared" si="2"/>
        <v/>
      </c>
    </row>
    <row r="965">
      <c r="A965" s="83"/>
      <c r="W965" s="7"/>
      <c r="AB965" s="7" t="str">
        <f t="shared" si="2"/>
        <v/>
      </c>
    </row>
    <row r="966">
      <c r="A966" s="83"/>
      <c r="W966" s="7"/>
      <c r="AB966" s="7" t="str">
        <f t="shared" si="2"/>
        <v/>
      </c>
    </row>
    <row r="967">
      <c r="A967" s="83"/>
      <c r="W967" s="7"/>
      <c r="AB967" s="7" t="str">
        <f t="shared" si="2"/>
        <v/>
      </c>
    </row>
    <row r="968">
      <c r="A968" s="83"/>
      <c r="W968" s="7"/>
      <c r="AB968" s="7" t="str">
        <f t="shared" si="2"/>
        <v/>
      </c>
    </row>
    <row r="969">
      <c r="A969" s="83"/>
      <c r="W969" s="7"/>
      <c r="AB969" s="7" t="str">
        <f t="shared" si="2"/>
        <v/>
      </c>
    </row>
    <row r="970">
      <c r="A970" s="83"/>
      <c r="W970" s="7"/>
      <c r="AB970" s="7" t="str">
        <f t="shared" si="2"/>
        <v/>
      </c>
    </row>
    <row r="971">
      <c r="A971" s="83"/>
      <c r="W971" s="7"/>
      <c r="AB971" s="7" t="str">
        <f t="shared" si="2"/>
        <v/>
      </c>
    </row>
    <row r="972">
      <c r="A972" s="83"/>
      <c r="W972" s="7"/>
      <c r="AB972" s="7" t="str">
        <f t="shared" si="2"/>
        <v/>
      </c>
    </row>
    <row r="973">
      <c r="A973" s="83"/>
      <c r="W973" s="7"/>
      <c r="AB973" s="7" t="str">
        <f t="shared" si="2"/>
        <v/>
      </c>
    </row>
    <row r="974">
      <c r="A974" s="83"/>
      <c r="W974" s="7"/>
      <c r="AB974" s="7" t="str">
        <f t="shared" si="2"/>
        <v/>
      </c>
    </row>
    <row r="975">
      <c r="A975" s="83"/>
      <c r="W975" s="7"/>
      <c r="AB975" s="7" t="str">
        <f t="shared" si="2"/>
        <v/>
      </c>
    </row>
    <row r="976">
      <c r="A976" s="83"/>
      <c r="W976" s="7"/>
      <c r="AB976" s="7" t="str">
        <f t="shared" si="2"/>
        <v/>
      </c>
    </row>
    <row r="977">
      <c r="A977" s="83"/>
      <c r="W977" s="7"/>
      <c r="AB977" s="7" t="str">
        <f t="shared" si="2"/>
        <v/>
      </c>
    </row>
    <row r="978">
      <c r="A978" s="83"/>
      <c r="W978" s="7"/>
      <c r="AB978" s="7" t="str">
        <f t="shared" si="2"/>
        <v/>
      </c>
    </row>
    <row r="979">
      <c r="A979" s="83"/>
      <c r="W979" s="7"/>
      <c r="AB979" s="7" t="str">
        <f t="shared" si="2"/>
        <v/>
      </c>
    </row>
    <row r="980">
      <c r="A980" s="83"/>
      <c r="W980" s="7"/>
      <c r="AB980" s="7" t="str">
        <f t="shared" si="2"/>
        <v/>
      </c>
    </row>
    <row r="981">
      <c r="A981" s="83"/>
      <c r="W981" s="7"/>
      <c r="AB981" s="7" t="str">
        <f t="shared" si="2"/>
        <v/>
      </c>
    </row>
    <row r="982">
      <c r="A982" s="83"/>
      <c r="W982" s="7"/>
      <c r="AB982" s="7" t="str">
        <f t="shared" si="2"/>
        <v/>
      </c>
    </row>
    <row r="983">
      <c r="A983" s="83"/>
      <c r="W983" s="7"/>
      <c r="AB983" s="7" t="str">
        <f t="shared" si="2"/>
        <v/>
      </c>
    </row>
    <row r="984">
      <c r="A984" s="83"/>
      <c r="W984" s="7"/>
      <c r="AB984" s="7" t="str">
        <f t="shared" si="2"/>
        <v/>
      </c>
    </row>
    <row r="985">
      <c r="A985" s="83"/>
      <c r="W985" s="7"/>
      <c r="AB985" s="7" t="str">
        <f t="shared" si="2"/>
        <v/>
      </c>
    </row>
    <row r="986">
      <c r="A986" s="83"/>
      <c r="W986" s="7"/>
      <c r="AB986" s="7" t="str">
        <f t="shared" si="2"/>
        <v/>
      </c>
    </row>
    <row r="987">
      <c r="A987" s="83"/>
      <c r="W987" s="7"/>
      <c r="AB987" s="7" t="str">
        <f t="shared" si="2"/>
        <v/>
      </c>
    </row>
    <row r="988">
      <c r="A988" s="83"/>
      <c r="W988" s="7"/>
      <c r="AB988" s="7" t="str">
        <f t="shared" si="2"/>
        <v/>
      </c>
    </row>
    <row r="989">
      <c r="A989" s="83"/>
      <c r="W989" s="7"/>
      <c r="AB989" s="7" t="str">
        <f t="shared" si="2"/>
        <v/>
      </c>
    </row>
    <row r="990">
      <c r="A990" s="83"/>
      <c r="W990" s="7"/>
      <c r="AB990" s="7" t="str">
        <f t="shared" si="2"/>
        <v/>
      </c>
    </row>
    <row r="991">
      <c r="A991" s="83"/>
      <c r="W991" s="7"/>
      <c r="AB991" s="7" t="str">
        <f t="shared" si="2"/>
        <v/>
      </c>
    </row>
    <row r="992">
      <c r="A992" s="83"/>
      <c r="W992" s="7"/>
      <c r="AB992" s="7" t="str">
        <f t="shared" si="2"/>
        <v/>
      </c>
    </row>
    <row r="993">
      <c r="A993" s="83"/>
      <c r="W993" s="7"/>
      <c r="AB993" s="7" t="str">
        <f t="shared" si="2"/>
        <v/>
      </c>
    </row>
    <row r="994">
      <c r="A994" s="83"/>
      <c r="W994" s="7"/>
      <c r="AB994" s="7" t="str">
        <f t="shared" si="2"/>
        <v/>
      </c>
    </row>
    <row r="995">
      <c r="A995" s="83"/>
      <c r="W995" s="7"/>
      <c r="AB995" s="7" t="str">
        <f t="shared" si="2"/>
        <v/>
      </c>
    </row>
    <row r="996">
      <c r="A996" s="83"/>
      <c r="W996" s="7"/>
      <c r="AB996" s="7" t="str">
        <f t="shared" si="2"/>
        <v/>
      </c>
    </row>
    <row r="997">
      <c r="A997" s="83"/>
      <c r="W997" s="7"/>
      <c r="AB997" s="7" t="str">
        <f t="shared" si="2"/>
        <v/>
      </c>
    </row>
    <row r="998">
      <c r="A998" s="83"/>
      <c r="W998" s="7"/>
      <c r="AB998" s="7" t="str">
        <f t="shared" si="2"/>
        <v/>
      </c>
    </row>
    <row r="999">
      <c r="A999" s="83"/>
      <c r="W999" s="7"/>
      <c r="AB999" s="7" t="str">
        <f t="shared" si="2"/>
        <v/>
      </c>
    </row>
    <row r="1000">
      <c r="A1000" s="83"/>
      <c r="W1000" s="7"/>
      <c r="AB1000" s="7" t="str">
        <f t="shared" si="2"/>
        <v/>
      </c>
    </row>
    <row r="1001">
      <c r="A1001" s="83"/>
      <c r="W1001" s="7"/>
      <c r="AB1001" s="7" t="str">
        <f t="shared" si="2"/>
        <v/>
      </c>
    </row>
    <row r="1002">
      <c r="A1002" s="83"/>
      <c r="W1002" s="7"/>
      <c r="AB1002" s="7" t="str">
        <f t="shared" si="2"/>
        <v/>
      </c>
    </row>
    <row r="1003">
      <c r="A1003" s="83"/>
      <c r="W1003" s="7"/>
      <c r="AB1003" s="7" t="str">
        <f t="shared" si="2"/>
        <v/>
      </c>
    </row>
    <row r="1004">
      <c r="A1004" s="83"/>
      <c r="W1004" s="7"/>
      <c r="AB1004" s="7" t="str">
        <f t="shared" si="2"/>
        <v/>
      </c>
    </row>
    <row r="1005">
      <c r="A1005" s="83"/>
      <c r="W1005" s="7"/>
      <c r="AB1005" s="7" t="str">
        <f t="shared" si="2"/>
        <v/>
      </c>
    </row>
    <row r="1006">
      <c r="A1006" s="83"/>
      <c r="W1006" s="7"/>
      <c r="AB1006" s="7" t="str">
        <f t="shared" si="2"/>
        <v/>
      </c>
    </row>
    <row r="1007">
      <c r="A1007" s="83"/>
      <c r="W1007" s="7"/>
      <c r="AB1007" s="7" t="str">
        <f t="shared" si="2"/>
        <v/>
      </c>
    </row>
    <row r="1008">
      <c r="A1008" s="83"/>
      <c r="W1008" s="7"/>
      <c r="AB1008" s="7" t="str">
        <f t="shared" si="2"/>
        <v/>
      </c>
    </row>
    <row r="1009">
      <c r="A1009" s="83"/>
      <c r="W1009" s="7"/>
      <c r="AB1009" s="7" t="str">
        <f t="shared" si="2"/>
        <v/>
      </c>
    </row>
    <row r="1010">
      <c r="A1010" s="83"/>
      <c r="W1010" s="7"/>
      <c r="AB1010" s="7" t="str">
        <f t="shared" si="2"/>
        <v/>
      </c>
    </row>
    <row r="1011">
      <c r="A1011" s="83"/>
      <c r="W1011" s="7"/>
      <c r="AB1011" s="7" t="str">
        <f t="shared" si="2"/>
        <v/>
      </c>
    </row>
    <row r="1012">
      <c r="A1012" s="83"/>
      <c r="W1012" s="7"/>
      <c r="AB1012" s="7" t="str">
        <f t="shared" si="2"/>
        <v/>
      </c>
    </row>
    <row r="1013">
      <c r="A1013" s="83"/>
      <c r="W1013" s="7"/>
      <c r="AB1013" s="7" t="str">
        <f t="shared" si="2"/>
        <v/>
      </c>
    </row>
    <row r="1014">
      <c r="A1014" s="83"/>
      <c r="W1014" s="7"/>
      <c r="AB1014" s="7" t="str">
        <f t="shared" si="2"/>
        <v/>
      </c>
    </row>
    <row r="1015">
      <c r="A1015" s="83"/>
      <c r="W1015" s="7"/>
      <c r="AB1015" s="7" t="str">
        <f t="shared" si="2"/>
        <v/>
      </c>
    </row>
    <row r="1016">
      <c r="A1016" s="83"/>
      <c r="W1016" s="7"/>
      <c r="AB1016" s="7" t="str">
        <f t="shared" si="2"/>
        <v/>
      </c>
    </row>
    <row r="1017">
      <c r="A1017" s="83"/>
      <c r="W1017" s="7"/>
      <c r="AB1017" s="7" t="str">
        <f t="shared" si="2"/>
        <v/>
      </c>
    </row>
    <row r="1018">
      <c r="A1018" s="83"/>
      <c r="W1018" s="7"/>
      <c r="AB1018" s="7" t="str">
        <f t="shared" si="2"/>
        <v/>
      </c>
    </row>
    <row r="1019">
      <c r="A1019" s="83"/>
      <c r="W1019" s="7"/>
      <c r="AB1019" s="7" t="str">
        <f t="shared" si="2"/>
        <v/>
      </c>
    </row>
    <row r="1020">
      <c r="A1020" s="83"/>
      <c r="W1020" s="7"/>
      <c r="AB1020" s="7" t="str">
        <f t="shared" si="2"/>
        <v/>
      </c>
    </row>
    <row r="1021">
      <c r="A1021" s="83"/>
      <c r="W1021" s="7"/>
      <c r="AB1021" s="7" t="str">
        <f t="shared" si="2"/>
        <v/>
      </c>
    </row>
    <row r="1022">
      <c r="A1022" s="83"/>
      <c r="W1022" s="7"/>
      <c r="AB1022" s="7" t="str">
        <f t="shared" si="2"/>
        <v/>
      </c>
    </row>
    <row r="1023">
      <c r="A1023" s="83"/>
      <c r="W1023" s="7"/>
      <c r="AB1023" s="7" t="str">
        <f t="shared" si="2"/>
        <v/>
      </c>
    </row>
    <row r="1024">
      <c r="A1024" s="83"/>
      <c r="W1024" s="7"/>
      <c r="AB1024" s="7" t="str">
        <f t="shared" si="2"/>
        <v/>
      </c>
    </row>
    <row r="1025">
      <c r="A1025" s="83"/>
      <c r="W1025" s="7"/>
      <c r="AB1025" s="7" t="str">
        <f t="shared" si="2"/>
        <v/>
      </c>
    </row>
    <row r="1026">
      <c r="A1026" s="83"/>
      <c r="W1026" s="7"/>
      <c r="AB1026" s="7" t="str">
        <f t="shared" si="2"/>
        <v/>
      </c>
    </row>
    <row r="1027">
      <c r="A1027" s="83"/>
      <c r="W1027" s="7"/>
      <c r="AB1027" s="7" t="str">
        <f t="shared" si="2"/>
        <v/>
      </c>
    </row>
    <row r="1028">
      <c r="A1028" s="83"/>
      <c r="W1028" s="7"/>
      <c r="AB1028" s="7" t="str">
        <f t="shared" si="2"/>
        <v/>
      </c>
    </row>
    <row r="1029">
      <c r="A1029" s="83"/>
      <c r="W1029" s="7"/>
      <c r="AB1029" s="7" t="str">
        <f t="shared" si="2"/>
        <v/>
      </c>
    </row>
    <row r="1030">
      <c r="A1030" s="83"/>
      <c r="W1030" s="7"/>
      <c r="AB1030" s="7" t="str">
        <f t="shared" si="2"/>
        <v/>
      </c>
    </row>
    <row r="1031">
      <c r="A1031" s="83"/>
      <c r="W1031" s="7"/>
      <c r="AB1031" s="7" t="str">
        <f t="shared" si="2"/>
        <v/>
      </c>
    </row>
    <row r="1032">
      <c r="A1032" s="83"/>
      <c r="W1032" s="7"/>
      <c r="AB1032" s="7" t="str">
        <f t="shared" si="2"/>
        <v/>
      </c>
    </row>
    <row r="1033">
      <c r="A1033" s="83"/>
      <c r="W1033" s="7"/>
      <c r="AB1033" s="7" t="str">
        <f t="shared" si="2"/>
        <v/>
      </c>
    </row>
    <row r="1034">
      <c r="A1034" s="83"/>
      <c r="W1034" s="7"/>
      <c r="AB1034" s="7" t="str">
        <f t="shared" si="2"/>
        <v/>
      </c>
    </row>
    <row r="1035">
      <c r="A1035" s="83"/>
      <c r="W1035" s="7"/>
      <c r="AB1035" s="7" t="str">
        <f t="shared" si="2"/>
        <v/>
      </c>
    </row>
    <row r="1036">
      <c r="A1036" s="83"/>
      <c r="W1036" s="7"/>
      <c r="AB1036" s="7" t="str">
        <f t="shared" si="2"/>
        <v/>
      </c>
    </row>
    <row r="1037">
      <c r="A1037" s="83"/>
      <c r="W1037" s="7"/>
      <c r="AB1037" s="7" t="str">
        <f t="shared" si="2"/>
        <v/>
      </c>
    </row>
    <row r="1038">
      <c r="A1038" s="83"/>
      <c r="W1038" s="7"/>
      <c r="AB1038" s="7" t="str">
        <f t="shared" si="2"/>
        <v/>
      </c>
    </row>
    <row r="1039">
      <c r="A1039" s="83"/>
      <c r="W1039" s="7"/>
      <c r="AB1039" s="7" t="str">
        <f t="shared" si="2"/>
        <v/>
      </c>
    </row>
    <row r="1040">
      <c r="A1040" s="83"/>
      <c r="W1040" s="7"/>
      <c r="AB1040" s="7" t="str">
        <f t="shared" si="2"/>
        <v/>
      </c>
    </row>
    <row r="1041">
      <c r="A1041" s="83"/>
      <c r="W1041" s="7"/>
      <c r="AB1041" s="7" t="str">
        <f t="shared" si="2"/>
        <v/>
      </c>
    </row>
    <row r="1042">
      <c r="A1042" s="83"/>
      <c r="W1042" s="7"/>
      <c r="AB1042" s="7" t="str">
        <f t="shared" si="2"/>
        <v/>
      </c>
    </row>
    <row r="1043">
      <c r="A1043" s="83"/>
      <c r="W1043" s="7"/>
      <c r="AB1043" s="7" t="str">
        <f t="shared" si="2"/>
        <v/>
      </c>
    </row>
    <row r="1044">
      <c r="A1044" s="83"/>
      <c r="W1044" s="7"/>
      <c r="AB1044" s="7" t="str">
        <f t="shared" si="2"/>
        <v/>
      </c>
    </row>
    <row r="1045">
      <c r="A1045" s="83"/>
      <c r="W1045" s="7"/>
      <c r="AB1045" s="7" t="str">
        <f t="shared" si="2"/>
        <v/>
      </c>
    </row>
    <row r="1046">
      <c r="A1046" s="83"/>
      <c r="W1046" s="7"/>
      <c r="AB1046" s="7" t="str">
        <f t="shared" si="2"/>
        <v/>
      </c>
    </row>
    <row r="1047">
      <c r="A1047" s="83"/>
      <c r="W1047" s="7"/>
      <c r="AB1047" s="7" t="str">
        <f t="shared" si="2"/>
        <v/>
      </c>
    </row>
    <row r="1048">
      <c r="A1048" s="83"/>
      <c r="W1048" s="7"/>
      <c r="AB1048" s="7" t="str">
        <f t="shared" si="2"/>
        <v/>
      </c>
    </row>
    <row r="1049">
      <c r="A1049" s="83"/>
      <c r="W1049" s="7"/>
      <c r="AB1049" s="7" t="str">
        <f t="shared" si="2"/>
        <v/>
      </c>
    </row>
    <row r="1050">
      <c r="A1050" s="83"/>
      <c r="W1050" s="7"/>
      <c r="AB1050" s="7" t="str">
        <f t="shared" si="2"/>
        <v/>
      </c>
    </row>
    <row r="1051">
      <c r="A1051" s="83"/>
      <c r="W1051" s="7"/>
      <c r="AB1051" s="7" t="str">
        <f t="shared" si="2"/>
        <v/>
      </c>
    </row>
    <row r="1052">
      <c r="A1052" s="83"/>
      <c r="W1052" s="7"/>
      <c r="AB1052" s="7" t="str">
        <f t="shared" si="2"/>
        <v/>
      </c>
    </row>
    <row r="1053">
      <c r="A1053" s="83"/>
      <c r="W1053" s="7"/>
      <c r="AB1053" s="7" t="str">
        <f t="shared" si="2"/>
        <v/>
      </c>
    </row>
    <row r="1054">
      <c r="A1054" s="83"/>
      <c r="W1054" s="7"/>
      <c r="AB1054" s="7" t="str">
        <f t="shared" si="2"/>
        <v/>
      </c>
    </row>
    <row r="1055">
      <c r="A1055" s="83"/>
      <c r="W1055" s="7"/>
      <c r="AB1055" s="7" t="str">
        <f t="shared" si="2"/>
        <v/>
      </c>
    </row>
    <row r="1056">
      <c r="A1056" s="83"/>
      <c r="W1056" s="7"/>
      <c r="AB1056" s="7" t="str">
        <f t="shared" si="2"/>
        <v/>
      </c>
    </row>
    <row r="1057">
      <c r="A1057" s="83"/>
      <c r="W1057" s="7"/>
      <c r="AB1057" s="7" t="str">
        <f t="shared" si="2"/>
        <v/>
      </c>
    </row>
    <row r="1058">
      <c r="A1058" s="83"/>
      <c r="W1058" s="7"/>
      <c r="AB1058" s="7" t="str">
        <f t="shared" si="2"/>
        <v/>
      </c>
    </row>
    <row r="1059">
      <c r="A1059" s="83"/>
      <c r="W1059" s="7"/>
      <c r="AB1059" s="7" t="str">
        <f t="shared" si="2"/>
        <v/>
      </c>
    </row>
    <row r="1060">
      <c r="A1060" s="83"/>
      <c r="W1060" s="7"/>
      <c r="AB1060" s="7" t="str">
        <f t="shared" si="2"/>
        <v/>
      </c>
    </row>
    <row r="1061">
      <c r="A1061" s="83"/>
      <c r="W1061" s="7"/>
      <c r="AB1061" s="7" t="str">
        <f t="shared" si="2"/>
        <v/>
      </c>
    </row>
    <row r="1062">
      <c r="A1062" s="83"/>
      <c r="W1062" s="7"/>
      <c r="AB1062" s="7" t="str">
        <f t="shared" si="2"/>
        <v/>
      </c>
    </row>
    <row r="1063">
      <c r="A1063" s="83"/>
      <c r="W1063" s="7"/>
      <c r="AB1063" s="7" t="str">
        <f t="shared" si="2"/>
        <v/>
      </c>
    </row>
    <row r="1064">
      <c r="A1064" s="83"/>
      <c r="W1064" s="7"/>
      <c r="AB1064" s="7" t="str">
        <f t="shared" si="2"/>
        <v/>
      </c>
    </row>
    <row r="1065">
      <c r="A1065" s="83"/>
      <c r="W1065" s="7"/>
      <c r="AB1065" s="7" t="str">
        <f t="shared" si="2"/>
        <v/>
      </c>
    </row>
    <row r="1066">
      <c r="A1066" s="83"/>
      <c r="W1066" s="7"/>
      <c r="AB1066" s="7" t="str">
        <f t="shared" si="2"/>
        <v/>
      </c>
    </row>
    <row r="1067">
      <c r="A1067" s="83"/>
      <c r="W1067" s="7"/>
      <c r="AB1067" s="7" t="str">
        <f t="shared" si="2"/>
        <v/>
      </c>
    </row>
    <row r="1068">
      <c r="A1068" s="83"/>
      <c r="W1068" s="7"/>
      <c r="AB1068" s="7" t="str">
        <f t="shared" si="2"/>
        <v/>
      </c>
    </row>
    <row r="1069">
      <c r="A1069" s="83"/>
      <c r="W1069" s="7"/>
      <c r="AB1069" s="7" t="str">
        <f t="shared" si="2"/>
        <v/>
      </c>
    </row>
    <row r="1070">
      <c r="A1070" s="83"/>
      <c r="W1070" s="7"/>
      <c r="AB1070" s="7" t="str">
        <f t="shared" si="2"/>
        <v/>
      </c>
    </row>
    <row r="1071">
      <c r="A1071" s="83"/>
      <c r="W1071" s="7"/>
      <c r="AB1071" s="7" t="str">
        <f t="shared" si="2"/>
        <v/>
      </c>
    </row>
    <row r="1072">
      <c r="A1072" s="83"/>
      <c r="W1072" s="7"/>
      <c r="AB1072" s="7" t="str">
        <f t="shared" si="2"/>
        <v/>
      </c>
    </row>
    <row r="1073">
      <c r="A1073" s="83"/>
      <c r="W1073" s="7"/>
      <c r="AB1073" s="7" t="str">
        <f t="shared" si="2"/>
        <v/>
      </c>
    </row>
    <row r="1074">
      <c r="A1074" s="83"/>
      <c r="W1074" s="7"/>
      <c r="AB1074" s="7" t="str">
        <f t="shared" si="2"/>
        <v/>
      </c>
    </row>
    <row r="1075">
      <c r="A1075" s="83"/>
      <c r="W1075" s="7"/>
      <c r="AB1075" s="7" t="str">
        <f t="shared" si="2"/>
        <v/>
      </c>
    </row>
    <row r="1076">
      <c r="A1076" s="83"/>
      <c r="W1076" s="7"/>
      <c r="AB1076" s="7" t="str">
        <f t="shared" si="2"/>
        <v/>
      </c>
    </row>
    <row r="1077">
      <c r="A1077" s="83"/>
      <c r="W1077" s="7"/>
      <c r="AB1077" s="7" t="str">
        <f t="shared" si="2"/>
        <v/>
      </c>
    </row>
    <row r="1078">
      <c r="A1078" s="83"/>
      <c r="W1078" s="7"/>
      <c r="AB1078" s="7" t="str">
        <f t="shared" si="2"/>
        <v/>
      </c>
    </row>
    <row r="1079">
      <c r="A1079" s="83"/>
      <c r="W1079" s="7"/>
      <c r="AB1079" s="7" t="str">
        <f t="shared" si="2"/>
        <v/>
      </c>
    </row>
    <row r="1080">
      <c r="A1080" s="83"/>
      <c r="W1080" s="7"/>
      <c r="AB1080" s="7" t="str">
        <f t="shared" si="2"/>
        <v/>
      </c>
    </row>
    <row r="1081">
      <c r="A1081" s="83"/>
      <c r="W1081" s="7"/>
      <c r="AB1081" s="7" t="str">
        <f t="shared" si="2"/>
        <v/>
      </c>
    </row>
    <row r="1082">
      <c r="A1082" s="83"/>
      <c r="W1082" s="7"/>
      <c r="AB1082" s="7" t="str">
        <f t="shared" si="2"/>
        <v/>
      </c>
    </row>
    <row r="1083">
      <c r="A1083" s="83"/>
      <c r="W1083" s="7"/>
      <c r="AB1083" s="7" t="str">
        <f t="shared" si="2"/>
        <v/>
      </c>
    </row>
    <row r="1084">
      <c r="A1084" s="83"/>
      <c r="W1084" s="7"/>
      <c r="AB1084" s="7" t="str">
        <f t="shared" si="2"/>
        <v/>
      </c>
    </row>
    <row r="1085">
      <c r="A1085" s="83"/>
      <c r="W1085" s="7"/>
      <c r="AB1085" s="7" t="str">
        <f t="shared" si="2"/>
        <v/>
      </c>
    </row>
    <row r="1086">
      <c r="A1086" s="83"/>
      <c r="W1086" s="7"/>
      <c r="AB1086" s="7" t="str">
        <f t="shared" si="2"/>
        <v/>
      </c>
    </row>
    <row r="1087">
      <c r="A1087" s="83"/>
      <c r="W1087" s="7"/>
      <c r="AB1087" s="7" t="str">
        <f t="shared" si="2"/>
        <v/>
      </c>
    </row>
    <row r="1088">
      <c r="A1088" s="83"/>
      <c r="W1088" s="7"/>
      <c r="AB1088" s="7" t="str">
        <f t="shared" si="2"/>
        <v/>
      </c>
    </row>
    <row r="1089">
      <c r="A1089" s="83"/>
      <c r="W1089" s="7"/>
      <c r="AB1089" s="7" t="str">
        <f t="shared" si="2"/>
        <v/>
      </c>
    </row>
    <row r="1090">
      <c r="A1090" s="83"/>
      <c r="W1090" s="7"/>
      <c r="AB1090" s="7" t="str">
        <f t="shared" si="2"/>
        <v/>
      </c>
    </row>
    <row r="1091">
      <c r="A1091" s="83"/>
      <c r="W1091" s="7"/>
      <c r="AB1091" s="7" t="str">
        <f t="shared" si="2"/>
        <v/>
      </c>
    </row>
    <row r="1092">
      <c r="A1092" s="83"/>
      <c r="W1092" s="7"/>
      <c r="AB1092" s="7" t="str">
        <f t="shared" si="2"/>
        <v/>
      </c>
    </row>
    <row r="1093">
      <c r="A1093" s="83"/>
      <c r="W1093" s="7"/>
      <c r="AB1093" s="7" t="str">
        <f t="shared" si="2"/>
        <v/>
      </c>
    </row>
    <row r="1094">
      <c r="A1094" s="83"/>
      <c r="W1094" s="7"/>
      <c r="AB1094" s="7" t="str">
        <f t="shared" si="2"/>
        <v/>
      </c>
    </row>
    <row r="1095">
      <c r="A1095" s="83"/>
      <c r="W1095" s="7"/>
      <c r="AB1095" s="7" t="str">
        <f t="shared" si="2"/>
        <v/>
      </c>
    </row>
    <row r="1096">
      <c r="A1096" s="83"/>
      <c r="W1096" s="7"/>
      <c r="AB1096" s="7" t="str">
        <f t="shared" si="2"/>
        <v/>
      </c>
    </row>
    <row r="1097">
      <c r="A1097" s="83"/>
      <c r="W1097" s="7"/>
      <c r="AB1097" s="7" t="str">
        <f t="shared" si="2"/>
        <v/>
      </c>
    </row>
    <row r="1098">
      <c r="A1098" s="83"/>
      <c r="W1098" s="7"/>
      <c r="AB1098" s="7" t="str">
        <f t="shared" si="2"/>
        <v/>
      </c>
    </row>
    <row r="1099">
      <c r="A1099" s="83"/>
      <c r="W1099" s="7"/>
      <c r="AB1099" s="7" t="str">
        <f t="shared" si="2"/>
        <v/>
      </c>
    </row>
    <row r="1100">
      <c r="A1100" s="83"/>
      <c r="W1100" s="7"/>
      <c r="AB1100" s="7" t="str">
        <f t="shared" si="2"/>
        <v/>
      </c>
    </row>
    <row r="1101">
      <c r="A1101" s="83"/>
      <c r="W1101" s="7"/>
      <c r="AB1101" s="7" t="str">
        <f t="shared" si="2"/>
        <v/>
      </c>
    </row>
    <row r="1102">
      <c r="A1102" s="83"/>
      <c r="W1102" s="7"/>
      <c r="AB1102" s="7" t="str">
        <f t="shared" si="2"/>
        <v/>
      </c>
    </row>
    <row r="1103">
      <c r="A1103" s="83"/>
      <c r="W1103" s="7"/>
      <c r="AB1103" s="7" t="str">
        <f t="shared" si="2"/>
        <v/>
      </c>
    </row>
    <row r="1104">
      <c r="A1104" s="83"/>
      <c r="W1104" s="7"/>
      <c r="AB1104" s="7" t="str">
        <f t="shared" si="2"/>
        <v/>
      </c>
    </row>
    <row r="1105">
      <c r="A1105" s="83"/>
      <c r="W1105" s="7"/>
      <c r="AB1105" s="7" t="str">
        <f t="shared" si="2"/>
        <v/>
      </c>
    </row>
    <row r="1106">
      <c r="A1106" s="83"/>
      <c r="W1106" s="7"/>
      <c r="AB1106" s="7" t="str">
        <f t="shared" si="2"/>
        <v/>
      </c>
    </row>
    <row r="1107">
      <c r="A1107" s="83"/>
      <c r="W1107" s="7"/>
      <c r="AB1107" s="7" t="str">
        <f t="shared" si="2"/>
        <v/>
      </c>
    </row>
    <row r="1108">
      <c r="A1108" s="83"/>
      <c r="W1108" s="7"/>
      <c r="AB1108" s="7" t="str">
        <f t="shared" si="2"/>
        <v/>
      </c>
    </row>
    <row r="1109">
      <c r="A1109" s="83"/>
      <c r="W1109" s="7"/>
      <c r="AB1109" s="7" t="str">
        <f t="shared" si="2"/>
        <v/>
      </c>
    </row>
    <row r="1110">
      <c r="A1110" s="83"/>
      <c r="W1110" s="7"/>
      <c r="AB1110" s="7" t="str">
        <f t="shared" si="2"/>
        <v/>
      </c>
    </row>
    <row r="1111">
      <c r="A1111" s="83"/>
      <c r="W1111" s="7"/>
      <c r="AB1111" s="7" t="str">
        <f t="shared" si="2"/>
        <v/>
      </c>
    </row>
    <row r="1112">
      <c r="A1112" s="83"/>
      <c r="W1112" s="7"/>
      <c r="AB1112" s="7" t="str">
        <f t="shared" si="2"/>
        <v/>
      </c>
    </row>
    <row r="1113">
      <c r="A1113" s="83"/>
      <c r="W1113" s="7"/>
      <c r="AB1113" s="7" t="str">
        <f t="shared" si="2"/>
        <v/>
      </c>
    </row>
    <row r="1114">
      <c r="A1114" s="83"/>
      <c r="W1114" s="7"/>
      <c r="AB1114" s="7" t="str">
        <f t="shared" si="2"/>
        <v/>
      </c>
    </row>
    <row r="1115">
      <c r="A1115" s="83"/>
      <c r="W1115" s="7"/>
      <c r="AB1115" s="7" t="str">
        <f t="shared" si="2"/>
        <v/>
      </c>
    </row>
    <row r="1116">
      <c r="A1116" s="83"/>
      <c r="W1116" s="7"/>
      <c r="AB1116" s="7" t="str">
        <f t="shared" si="2"/>
        <v/>
      </c>
    </row>
    <row r="1117">
      <c r="A1117" s="83"/>
      <c r="W1117" s="7"/>
      <c r="AB1117" s="7" t="str">
        <f t="shared" si="2"/>
        <v/>
      </c>
    </row>
    <row r="1118">
      <c r="A1118" s="83"/>
      <c r="W1118" s="7"/>
      <c r="AB1118" s="7" t="str">
        <f t="shared" si="2"/>
        <v/>
      </c>
    </row>
    <row r="1119">
      <c r="A1119" s="83"/>
      <c r="W1119" s="7"/>
      <c r="AB1119" s="7" t="str">
        <f t="shared" si="2"/>
        <v/>
      </c>
    </row>
    <row r="1120">
      <c r="A1120" s="83"/>
      <c r="W1120" s="7"/>
      <c r="AB1120" s="7" t="str">
        <f t="shared" si="2"/>
        <v/>
      </c>
    </row>
    <row r="1121">
      <c r="A1121" s="83"/>
      <c r="W1121" s="7"/>
      <c r="AB1121" s="7" t="str">
        <f t="shared" si="2"/>
        <v/>
      </c>
    </row>
    <row r="1122">
      <c r="A1122" s="83"/>
      <c r="W1122" s="7"/>
      <c r="AB1122" s="7" t="str">
        <f t="shared" si="2"/>
        <v/>
      </c>
    </row>
    <row r="1123">
      <c r="A1123" s="83"/>
      <c r="W1123" s="7"/>
      <c r="AB1123" s="7" t="str">
        <f t="shared" si="2"/>
        <v/>
      </c>
    </row>
    <row r="1124">
      <c r="A1124" s="83"/>
      <c r="W1124" s="7"/>
      <c r="AB1124" s="7" t="str">
        <f t="shared" si="2"/>
        <v/>
      </c>
    </row>
    <row r="1125">
      <c r="A1125" s="83"/>
      <c r="W1125" s="7"/>
      <c r="AB1125" s="7" t="str">
        <f t="shared" si="2"/>
        <v/>
      </c>
    </row>
    <row r="1126">
      <c r="A1126" s="83"/>
      <c r="W1126" s="7"/>
      <c r="AB1126" s="7" t="str">
        <f t="shared" si="2"/>
        <v/>
      </c>
    </row>
    <row r="1127">
      <c r="A1127" s="83"/>
      <c r="W1127" s="7"/>
      <c r="AB1127" s="7" t="str">
        <f t="shared" si="2"/>
        <v/>
      </c>
    </row>
    <row r="1128">
      <c r="A1128" s="83"/>
      <c r="W1128" s="7"/>
      <c r="AB1128" s="7" t="str">
        <f t="shared" si="2"/>
        <v/>
      </c>
    </row>
    <row r="1129">
      <c r="A1129" s="83"/>
      <c r="W1129" s="7"/>
      <c r="AB1129" s="7" t="str">
        <f t="shared" si="2"/>
        <v/>
      </c>
    </row>
    <row r="1130">
      <c r="A1130" s="83"/>
      <c r="W1130" s="7"/>
      <c r="AB1130" s="7" t="str">
        <f t="shared" si="2"/>
        <v/>
      </c>
    </row>
    <row r="1131">
      <c r="A1131" s="83"/>
      <c r="W1131" s="7"/>
      <c r="AB1131" s="7" t="str">
        <f t="shared" si="2"/>
        <v/>
      </c>
    </row>
    <row r="1132">
      <c r="A1132" s="83"/>
      <c r="W1132" s="7"/>
      <c r="AB1132" s="7" t="str">
        <f t="shared" si="2"/>
        <v/>
      </c>
    </row>
    <row r="1133">
      <c r="A1133" s="83"/>
      <c r="W1133" s="7"/>
      <c r="AB1133" s="7" t="str">
        <f t="shared" si="2"/>
        <v/>
      </c>
    </row>
    <row r="1134">
      <c r="A1134" s="83"/>
      <c r="W1134" s="7"/>
      <c r="AB1134" s="7" t="str">
        <f t="shared" si="2"/>
        <v/>
      </c>
    </row>
    <row r="1135">
      <c r="A1135" s="83"/>
      <c r="W1135" s="7"/>
      <c r="AB1135" s="7" t="str">
        <f t="shared" si="2"/>
        <v/>
      </c>
    </row>
    <row r="1136">
      <c r="A1136" s="83"/>
      <c r="W1136" s="7"/>
      <c r="AB1136" s="7" t="str">
        <f t="shared" si="2"/>
        <v/>
      </c>
    </row>
    <row r="1137">
      <c r="A1137" s="83"/>
      <c r="W1137" s="7"/>
      <c r="AB1137" s="7" t="str">
        <f t="shared" si="2"/>
        <v/>
      </c>
    </row>
    <row r="1138">
      <c r="A1138" s="83"/>
      <c r="W1138" s="7"/>
      <c r="AB1138" s="7" t="str">
        <f t="shared" si="2"/>
        <v/>
      </c>
    </row>
    <row r="1139">
      <c r="A1139" s="83"/>
      <c r="W1139" s="7"/>
      <c r="AB1139" s="7" t="str">
        <f t="shared" si="2"/>
        <v/>
      </c>
    </row>
    <row r="1140">
      <c r="A1140" s="83"/>
      <c r="W1140" s="7"/>
      <c r="AB1140" s="7" t="str">
        <f t="shared" si="2"/>
        <v/>
      </c>
    </row>
    <row r="1141">
      <c r="A1141" s="83"/>
      <c r="W1141" s="7"/>
      <c r="AB1141" s="7" t="str">
        <f t="shared" si="2"/>
        <v/>
      </c>
    </row>
    <row r="1142">
      <c r="A1142" s="83"/>
      <c r="W1142" s="7"/>
      <c r="AB1142" s="7" t="str">
        <f t="shared" si="2"/>
        <v/>
      </c>
    </row>
    <row r="1143">
      <c r="A1143" s="83"/>
      <c r="W1143" s="7"/>
      <c r="AB1143" s="7" t="str">
        <f t="shared" si="2"/>
        <v/>
      </c>
    </row>
    <row r="1144">
      <c r="A1144" s="83"/>
      <c r="W1144" s="7"/>
      <c r="AB1144" s="7" t="str">
        <f t="shared" si="2"/>
        <v/>
      </c>
    </row>
    <row r="1145">
      <c r="A1145" s="83"/>
      <c r="W1145" s="7"/>
      <c r="AB1145" s="7" t="str">
        <f t="shared" si="2"/>
        <v/>
      </c>
    </row>
    <row r="1146">
      <c r="A1146" s="83"/>
      <c r="W1146" s="7"/>
      <c r="AB1146" s="7" t="str">
        <f t="shared" si="2"/>
        <v/>
      </c>
    </row>
    <row r="1147">
      <c r="A1147" s="83"/>
      <c r="W1147" s="7"/>
      <c r="AB1147" s="7" t="str">
        <f t="shared" si="2"/>
        <v/>
      </c>
    </row>
    <row r="1148">
      <c r="A1148" s="83"/>
      <c r="W1148" s="7"/>
      <c r="AB1148" s="7" t="str">
        <f t="shared" si="2"/>
        <v/>
      </c>
    </row>
    <row r="1149">
      <c r="A1149" s="83"/>
      <c r="W1149" s="7"/>
      <c r="AB1149" s="7" t="str">
        <f t="shared" si="2"/>
        <v/>
      </c>
    </row>
    <row r="1150">
      <c r="A1150" s="83"/>
      <c r="W1150" s="7"/>
      <c r="AB1150" s="7" t="str">
        <f t="shared" si="2"/>
        <v/>
      </c>
    </row>
    <row r="1151">
      <c r="A1151" s="83"/>
      <c r="W1151" s="7"/>
      <c r="AB1151" s="7" t="str">
        <f t="shared" si="2"/>
        <v/>
      </c>
    </row>
    <row r="1152">
      <c r="A1152" s="83"/>
      <c r="W1152" s="7"/>
      <c r="AB1152" s="7" t="str">
        <f t="shared" si="2"/>
        <v/>
      </c>
    </row>
    <row r="1153">
      <c r="A1153" s="83"/>
      <c r="W1153" s="7"/>
      <c r="AB1153" s="7" t="str">
        <f t="shared" si="2"/>
        <v/>
      </c>
    </row>
    <row r="1154">
      <c r="A1154" s="83"/>
      <c r="W1154" s="7"/>
      <c r="AB1154" s="7" t="str">
        <f t="shared" si="2"/>
        <v/>
      </c>
    </row>
    <row r="1155">
      <c r="A1155" s="83"/>
      <c r="W1155" s="7"/>
      <c r="AB1155" s="7" t="str">
        <f t="shared" si="2"/>
        <v/>
      </c>
    </row>
    <row r="1156">
      <c r="A1156" s="83"/>
      <c r="W1156" s="7"/>
      <c r="AB1156" s="7" t="str">
        <f t="shared" si="2"/>
        <v/>
      </c>
    </row>
    <row r="1157">
      <c r="A1157" s="83"/>
      <c r="W1157" s="7"/>
      <c r="AB1157" s="7" t="str">
        <f t="shared" si="2"/>
        <v/>
      </c>
    </row>
    <row r="1158">
      <c r="A1158" s="83"/>
      <c r="W1158" s="7"/>
      <c r="AB1158" s="7" t="str">
        <f t="shared" si="2"/>
        <v/>
      </c>
    </row>
    <row r="1159">
      <c r="A1159" s="83"/>
      <c r="W1159" s="7"/>
      <c r="AB1159" s="7" t="str">
        <f t="shared" si="2"/>
        <v/>
      </c>
    </row>
    <row r="1160">
      <c r="A1160" s="83"/>
      <c r="W1160" s="7"/>
      <c r="AB1160" s="7" t="str">
        <f t="shared" si="2"/>
        <v/>
      </c>
    </row>
    <row r="1161">
      <c r="A1161" s="83"/>
      <c r="W1161" s="7"/>
      <c r="AB1161" s="7" t="str">
        <f t="shared" si="2"/>
        <v/>
      </c>
    </row>
    <row r="1162">
      <c r="A1162" s="83"/>
      <c r="W1162" s="7"/>
      <c r="AB1162" s="7" t="str">
        <f t="shared" si="2"/>
        <v/>
      </c>
    </row>
    <row r="1163">
      <c r="A1163" s="83"/>
      <c r="W1163" s="7"/>
      <c r="AB1163" s="7" t="str">
        <f t="shared" si="2"/>
        <v/>
      </c>
    </row>
    <row r="1164">
      <c r="A1164" s="83"/>
      <c r="W1164" s="7"/>
      <c r="AB1164" s="7" t="str">
        <f t="shared" si="2"/>
        <v/>
      </c>
    </row>
    <row r="1165">
      <c r="A1165" s="83"/>
      <c r="W1165" s="7"/>
      <c r="AB1165" s="7" t="str">
        <f t="shared" si="2"/>
        <v/>
      </c>
    </row>
    <row r="1166">
      <c r="A1166" s="83"/>
      <c r="W1166" s="7"/>
      <c r="AB1166" s="7" t="str">
        <f t="shared" si="2"/>
        <v/>
      </c>
    </row>
    <row r="1167">
      <c r="A1167" s="83"/>
      <c r="W1167" s="7"/>
      <c r="AB1167" s="7" t="str">
        <f t="shared" si="2"/>
        <v/>
      </c>
    </row>
    <row r="1168">
      <c r="A1168" s="83"/>
      <c r="W1168" s="7"/>
      <c r="AB1168" s="7" t="str">
        <f t="shared" si="2"/>
        <v/>
      </c>
    </row>
    <row r="1169">
      <c r="A1169" s="83"/>
      <c r="W1169" s="7"/>
      <c r="AB1169" s="7" t="str">
        <f t="shared" si="2"/>
        <v/>
      </c>
    </row>
    <row r="1170">
      <c r="A1170" s="83"/>
      <c r="W1170" s="7"/>
      <c r="AB1170" s="7" t="str">
        <f t="shared" si="2"/>
        <v/>
      </c>
    </row>
    <row r="1171">
      <c r="A1171" s="83"/>
      <c r="W1171" s="7"/>
      <c r="AB1171" s="7" t="str">
        <f t="shared" si="2"/>
        <v/>
      </c>
    </row>
    <row r="1172">
      <c r="A1172" s="83"/>
      <c r="W1172" s="7"/>
      <c r="AB1172" s="7" t="str">
        <f t="shared" si="2"/>
        <v/>
      </c>
    </row>
    <row r="1173">
      <c r="A1173" s="83"/>
      <c r="W1173" s="7"/>
      <c r="AB1173" s="7" t="str">
        <f t="shared" si="2"/>
        <v/>
      </c>
    </row>
    <row r="1174">
      <c r="A1174" s="83"/>
      <c r="W1174" s="7"/>
      <c r="AB1174" s="7" t="str">
        <f t="shared" si="2"/>
        <v/>
      </c>
    </row>
    <row r="1175">
      <c r="A1175" s="83"/>
      <c r="W1175" s="7"/>
      <c r="AB1175" s="7" t="str">
        <f t="shared" si="2"/>
        <v/>
      </c>
    </row>
    <row r="1176">
      <c r="A1176" s="83"/>
      <c r="W1176" s="7"/>
      <c r="AB1176" s="7" t="str">
        <f t="shared" si="2"/>
        <v/>
      </c>
    </row>
    <row r="1177">
      <c r="A1177" s="83"/>
      <c r="W1177" s="7"/>
      <c r="AB1177" s="7" t="str">
        <f t="shared" si="2"/>
        <v/>
      </c>
    </row>
    <row r="1178">
      <c r="A1178" s="83"/>
      <c r="W1178" s="7"/>
      <c r="AB1178" s="7" t="str">
        <f t="shared" si="2"/>
        <v/>
      </c>
    </row>
    <row r="1179">
      <c r="A1179" s="83"/>
      <c r="W1179" s="7"/>
      <c r="AB1179" s="7" t="str">
        <f t="shared" si="2"/>
        <v/>
      </c>
    </row>
    <row r="1180">
      <c r="A1180" s="83"/>
      <c r="W1180" s="7"/>
      <c r="AB1180" s="7" t="str">
        <f t="shared" si="2"/>
        <v/>
      </c>
    </row>
    <row r="1181">
      <c r="A1181" s="83"/>
      <c r="W1181" s="7"/>
      <c r="AB1181" s="7" t="str">
        <f t="shared" si="2"/>
        <v/>
      </c>
    </row>
    <row r="1182">
      <c r="A1182" s="83"/>
      <c r="W1182" s="7"/>
      <c r="AB1182" s="7" t="str">
        <f t="shared" si="2"/>
        <v/>
      </c>
    </row>
    <row r="1183">
      <c r="A1183" s="83"/>
      <c r="W1183" s="7"/>
      <c r="AB1183" s="7" t="str">
        <f t="shared" si="2"/>
        <v/>
      </c>
    </row>
    <row r="1184">
      <c r="A1184" s="83"/>
      <c r="W1184" s="7"/>
      <c r="AB1184" s="7" t="str">
        <f t="shared" si="2"/>
        <v/>
      </c>
    </row>
    <row r="1185">
      <c r="A1185" s="83"/>
      <c r="W1185" s="7"/>
      <c r="AB1185" s="7" t="str">
        <f t="shared" si="2"/>
        <v/>
      </c>
    </row>
    <row r="1186">
      <c r="A1186" s="83"/>
      <c r="W1186" s="7"/>
      <c r="AB1186" s="7" t="str">
        <f t="shared" si="2"/>
        <v/>
      </c>
    </row>
    <row r="1187">
      <c r="A1187" s="83"/>
      <c r="W1187" s="7"/>
      <c r="AB1187" s="7" t="str">
        <f t="shared" si="2"/>
        <v/>
      </c>
    </row>
    <row r="1188">
      <c r="A1188" s="83"/>
      <c r="W1188" s="7"/>
      <c r="AB1188" s="7" t="str">
        <f t="shared" si="2"/>
        <v/>
      </c>
    </row>
    <row r="1189">
      <c r="A1189" s="83"/>
      <c r="W1189" s="7"/>
      <c r="AB1189" s="7" t="str">
        <f t="shared" si="2"/>
        <v/>
      </c>
    </row>
    <row r="1190">
      <c r="A1190" s="83"/>
      <c r="W1190" s="7"/>
      <c r="AB1190" s="7" t="str">
        <f t="shared" si="2"/>
        <v/>
      </c>
    </row>
    <row r="1191">
      <c r="A1191" s="83"/>
      <c r="W1191" s="7"/>
      <c r="AB1191" s="7" t="str">
        <f t="shared" si="2"/>
        <v/>
      </c>
    </row>
    <row r="1192">
      <c r="A1192" s="83"/>
      <c r="W1192" s="7"/>
      <c r="AB1192" s="7" t="str">
        <f t="shared" si="2"/>
        <v/>
      </c>
    </row>
    <row r="1193">
      <c r="A1193" s="83"/>
      <c r="W1193" s="7"/>
      <c r="AB1193" s="7" t="str">
        <f t="shared" si="2"/>
        <v/>
      </c>
    </row>
    <row r="1194">
      <c r="A1194" s="83"/>
      <c r="W1194" s="7"/>
      <c r="AB1194" s="7" t="str">
        <f t="shared" si="2"/>
        <v/>
      </c>
    </row>
    <row r="1195">
      <c r="A1195" s="83"/>
      <c r="W1195" s="7"/>
      <c r="AB1195" s="7" t="str">
        <f t="shared" si="2"/>
        <v/>
      </c>
    </row>
    <row r="1196">
      <c r="A1196" s="83"/>
      <c r="W1196" s="7"/>
      <c r="AB1196" s="7" t="str">
        <f t="shared" si="2"/>
        <v/>
      </c>
    </row>
    <row r="1197">
      <c r="A1197" s="83"/>
      <c r="W1197" s="7"/>
      <c r="AB1197" s="7" t="str">
        <f t="shared" si="2"/>
        <v/>
      </c>
    </row>
    <row r="1198">
      <c r="A1198" s="83"/>
      <c r="W1198" s="7"/>
      <c r="AB1198" s="7" t="str">
        <f t="shared" si="2"/>
        <v/>
      </c>
    </row>
    <row r="1199">
      <c r="A1199" s="83"/>
      <c r="W1199" s="7"/>
      <c r="AB1199" s="7" t="str">
        <f t="shared" si="2"/>
        <v/>
      </c>
    </row>
    <row r="1200">
      <c r="A1200" s="83"/>
      <c r="W1200" s="7"/>
      <c r="AB1200" s="7" t="str">
        <f t="shared" si="2"/>
        <v/>
      </c>
    </row>
    <row r="1201">
      <c r="A1201" s="83"/>
      <c r="W1201" s="7"/>
      <c r="AB1201" s="7" t="str">
        <f t="shared" si="2"/>
        <v/>
      </c>
    </row>
    <row r="1202">
      <c r="A1202" s="83"/>
      <c r="W1202" s="7"/>
      <c r="AB1202" s="7" t="str">
        <f t="shared" si="2"/>
        <v/>
      </c>
    </row>
    <row r="1203">
      <c r="A1203" s="83"/>
      <c r="W1203" s="7"/>
      <c r="AB1203" s="7" t="str">
        <f t="shared" si="2"/>
        <v/>
      </c>
    </row>
    <row r="1204">
      <c r="A1204" s="83"/>
      <c r="W1204" s="7"/>
      <c r="AB1204" s="7" t="str">
        <f t="shared" si="2"/>
        <v/>
      </c>
    </row>
    <row r="1205">
      <c r="A1205" s="83"/>
      <c r="W1205" s="7"/>
      <c r="AB1205" s="7" t="str">
        <f t="shared" si="2"/>
        <v/>
      </c>
    </row>
    <row r="1206">
      <c r="A1206" s="83"/>
      <c r="W1206" s="7"/>
      <c r="AB1206" s="7" t="str">
        <f t="shared" si="2"/>
        <v/>
      </c>
    </row>
    <row r="1207">
      <c r="A1207" s="83"/>
      <c r="W1207" s="7"/>
      <c r="AB1207" s="7" t="str">
        <f t="shared" si="2"/>
        <v/>
      </c>
    </row>
    <row r="1208">
      <c r="A1208" s="83"/>
      <c r="W1208" s="7"/>
      <c r="AB1208" s="7" t="str">
        <f t="shared" si="2"/>
        <v/>
      </c>
    </row>
    <row r="1209">
      <c r="A1209" s="83"/>
      <c r="W1209" s="7"/>
      <c r="AB1209" s="7" t="str">
        <f t="shared" si="2"/>
        <v/>
      </c>
    </row>
    <row r="1210">
      <c r="A1210" s="83"/>
      <c r="W1210" s="7"/>
      <c r="AB1210" s="7" t="str">
        <f t="shared" si="2"/>
        <v/>
      </c>
    </row>
    <row r="1211">
      <c r="A1211" s="83"/>
      <c r="W1211" s="7"/>
      <c r="AB1211" s="7" t="str">
        <f t="shared" si="2"/>
        <v/>
      </c>
    </row>
    <row r="1212">
      <c r="A1212" s="83"/>
      <c r="W1212" s="7"/>
      <c r="AB1212" s="7" t="str">
        <f t="shared" si="2"/>
        <v/>
      </c>
    </row>
    <row r="1213">
      <c r="A1213" s="83"/>
      <c r="W1213" s="7"/>
      <c r="AB1213" s="7" t="str">
        <f t="shared" si="2"/>
        <v/>
      </c>
    </row>
    <row r="1214">
      <c r="A1214" s="83"/>
      <c r="W1214" s="7"/>
      <c r="AB1214" s="7" t="str">
        <f t="shared" si="2"/>
        <v/>
      </c>
    </row>
    <row r="1215">
      <c r="A1215" s="83"/>
      <c r="W1215" s="7"/>
      <c r="AB1215" s="7" t="str">
        <f t="shared" si="2"/>
        <v/>
      </c>
    </row>
    <row r="1216">
      <c r="A1216" s="83"/>
      <c r="W1216" s="7"/>
      <c r="AB1216" s="7" t="str">
        <f t="shared" si="2"/>
        <v/>
      </c>
    </row>
    <row r="1217">
      <c r="A1217" s="83"/>
      <c r="W1217" s="7"/>
      <c r="AB1217" s="7" t="str">
        <f t="shared" si="2"/>
        <v/>
      </c>
    </row>
    <row r="1218">
      <c r="A1218" s="83"/>
      <c r="W1218" s="7"/>
      <c r="AB1218" s="7" t="str">
        <f t="shared" si="2"/>
        <v/>
      </c>
    </row>
    <row r="1219">
      <c r="A1219" s="83"/>
      <c r="W1219" s="7"/>
      <c r="AB1219" s="7" t="str">
        <f t="shared" si="2"/>
        <v/>
      </c>
    </row>
    <row r="1220">
      <c r="A1220" s="83"/>
      <c r="W1220" s="7"/>
      <c r="AB1220" s="7" t="str">
        <f t="shared" si="2"/>
        <v/>
      </c>
    </row>
    <row r="1221">
      <c r="A1221" s="83"/>
      <c r="W1221" s="7"/>
      <c r="AB1221" s="7" t="str">
        <f t="shared" si="2"/>
        <v/>
      </c>
    </row>
    <row r="1222">
      <c r="A1222" s="83"/>
      <c r="W1222" s="7"/>
      <c r="AB1222" s="7" t="str">
        <f t="shared" si="2"/>
        <v/>
      </c>
    </row>
    <row r="1223">
      <c r="A1223" s="83"/>
      <c r="W1223" s="7"/>
      <c r="AB1223" s="7" t="str">
        <f t="shared" si="2"/>
        <v/>
      </c>
    </row>
    <row r="1224">
      <c r="A1224" s="83"/>
      <c r="W1224" s="7"/>
      <c r="AB1224" s="7" t="str">
        <f t="shared" si="2"/>
        <v/>
      </c>
    </row>
    <row r="1225">
      <c r="A1225" s="83"/>
      <c r="W1225" s="7"/>
      <c r="AB1225" s="7" t="str">
        <f t="shared" si="2"/>
        <v/>
      </c>
    </row>
    <row r="1226">
      <c r="A1226" s="83"/>
      <c r="W1226" s="7"/>
      <c r="AB1226" s="7" t="str">
        <f t="shared" si="2"/>
        <v/>
      </c>
    </row>
    <row r="1227">
      <c r="A1227" s="83"/>
      <c r="W1227" s="7"/>
      <c r="AB1227" s="7" t="str">
        <f t="shared" si="2"/>
        <v/>
      </c>
    </row>
    <row r="1228">
      <c r="A1228" s="83"/>
      <c r="W1228" s="7"/>
      <c r="AB1228" s="7" t="str">
        <f t="shared" si="2"/>
        <v/>
      </c>
    </row>
    <row r="1229">
      <c r="A1229" s="83"/>
      <c r="W1229" s="7"/>
      <c r="AB1229" s="7" t="str">
        <f t="shared" si="2"/>
        <v/>
      </c>
    </row>
    <row r="1230">
      <c r="A1230" s="83"/>
      <c r="W1230" s="7"/>
      <c r="AB1230" s="7" t="str">
        <f t="shared" si="2"/>
        <v/>
      </c>
    </row>
    <row r="1231">
      <c r="A1231" s="83"/>
      <c r="W1231" s="7"/>
      <c r="AB1231" s="7" t="str">
        <f t="shared" si="2"/>
        <v/>
      </c>
    </row>
    <row r="1232">
      <c r="A1232" s="83"/>
      <c r="W1232" s="7"/>
      <c r="AB1232" s="7" t="str">
        <f t="shared" si="2"/>
        <v/>
      </c>
    </row>
    <row r="1233">
      <c r="A1233" s="83"/>
      <c r="W1233" s="7"/>
      <c r="AB1233" s="7" t="str">
        <f t="shared" si="2"/>
        <v/>
      </c>
    </row>
    <row r="1234">
      <c r="A1234" s="83"/>
      <c r="W1234" s="7"/>
      <c r="AB1234" s="7" t="str">
        <f t="shared" si="2"/>
        <v/>
      </c>
    </row>
    <row r="1235">
      <c r="A1235" s="83"/>
      <c r="W1235" s="7"/>
      <c r="AB1235" s="7" t="str">
        <f t="shared" si="2"/>
        <v/>
      </c>
    </row>
    <row r="1236">
      <c r="A1236" s="83"/>
      <c r="W1236" s="7"/>
      <c r="AB1236" s="7" t="str">
        <f t="shared" si="2"/>
        <v/>
      </c>
    </row>
    <row r="1237">
      <c r="A1237" s="83"/>
      <c r="W1237" s="7"/>
      <c r="AB1237" s="7" t="str">
        <f t="shared" si="2"/>
        <v/>
      </c>
    </row>
    <row r="1238">
      <c r="A1238" s="83"/>
      <c r="W1238" s="7"/>
      <c r="AB1238" s="7" t="str">
        <f t="shared" si="2"/>
        <v/>
      </c>
    </row>
    <row r="1239">
      <c r="A1239" s="83"/>
      <c r="W1239" s="7"/>
      <c r="AB1239" s="7" t="str">
        <f t="shared" si="2"/>
        <v/>
      </c>
    </row>
    <row r="1240">
      <c r="A1240" s="83"/>
      <c r="W1240" s="7"/>
      <c r="AB1240" s="7" t="str">
        <f t="shared" si="2"/>
        <v/>
      </c>
    </row>
    <row r="1241">
      <c r="A1241" s="83"/>
      <c r="W1241" s="7"/>
      <c r="AB1241" s="7" t="str">
        <f t="shared" si="2"/>
        <v/>
      </c>
    </row>
    <row r="1242">
      <c r="A1242" s="83"/>
      <c r="W1242" s="7"/>
      <c r="AB1242" s="7" t="str">
        <f t="shared" si="2"/>
        <v/>
      </c>
    </row>
    <row r="1243">
      <c r="A1243" s="83"/>
      <c r="W1243" s="7"/>
      <c r="AB1243" s="7" t="str">
        <f t="shared" si="2"/>
        <v/>
      </c>
    </row>
    <row r="1244">
      <c r="A1244" s="83"/>
      <c r="W1244" s="7"/>
      <c r="AB1244" s="7" t="str">
        <f t="shared" si="2"/>
        <v/>
      </c>
    </row>
    <row r="1245">
      <c r="A1245" s="83"/>
      <c r="W1245" s="7"/>
      <c r="AB1245" s="7" t="str">
        <f t="shared" si="2"/>
        <v/>
      </c>
    </row>
    <row r="1246">
      <c r="A1246" s="83"/>
      <c r="W1246" s="7"/>
      <c r="AB1246" s="7" t="str">
        <f t="shared" si="2"/>
        <v/>
      </c>
    </row>
    <row r="1247">
      <c r="A1247" s="83"/>
      <c r="W1247" s="7"/>
      <c r="AB1247" s="7" t="str">
        <f t="shared" si="2"/>
        <v/>
      </c>
    </row>
    <row r="1248">
      <c r="A1248" s="83"/>
      <c r="W1248" s="7"/>
      <c r="AB1248" s="7" t="str">
        <f t="shared" si="2"/>
        <v/>
      </c>
    </row>
    <row r="1249">
      <c r="A1249" s="83"/>
      <c r="W1249" s="7"/>
      <c r="AB1249" s="7" t="str">
        <f t="shared" si="2"/>
        <v/>
      </c>
    </row>
    <row r="1250">
      <c r="A1250" s="83"/>
      <c r="W1250" s="7"/>
      <c r="AB1250" s="7" t="str">
        <f t="shared" si="2"/>
        <v/>
      </c>
    </row>
    <row r="1251">
      <c r="A1251" s="83"/>
      <c r="W1251" s="7"/>
      <c r="AB1251" s="7" t="str">
        <f t="shared" si="2"/>
        <v/>
      </c>
    </row>
    <row r="1252">
      <c r="A1252" s="83"/>
      <c r="W1252" s="7"/>
      <c r="AB1252" s="7" t="str">
        <f t="shared" si="2"/>
        <v/>
      </c>
    </row>
    <row r="1253">
      <c r="A1253" s="83"/>
      <c r="W1253" s="7"/>
      <c r="AB1253" s="7" t="str">
        <f t="shared" si="2"/>
        <v/>
      </c>
    </row>
    <row r="1254">
      <c r="A1254" s="83"/>
      <c r="W1254" s="7"/>
      <c r="AB1254" s="7" t="str">
        <f t="shared" si="2"/>
        <v/>
      </c>
    </row>
    <row r="1255">
      <c r="A1255" s="83"/>
      <c r="W1255" s="7"/>
      <c r="AB1255" s="7" t="str">
        <f t="shared" si="2"/>
        <v/>
      </c>
    </row>
    <row r="1256">
      <c r="A1256" s="83"/>
      <c r="W1256" s="7"/>
      <c r="AB1256" s="7" t="str">
        <f t="shared" si="2"/>
        <v/>
      </c>
    </row>
    <row r="1257">
      <c r="A1257" s="83"/>
      <c r="W1257" s="7"/>
      <c r="AB1257" s="7" t="str">
        <f t="shared" si="2"/>
        <v/>
      </c>
    </row>
    <row r="1258">
      <c r="A1258" s="83"/>
      <c r="W1258" s="7"/>
      <c r="AB1258" s="7" t="str">
        <f t="shared" si="2"/>
        <v/>
      </c>
    </row>
    <row r="1259">
      <c r="A1259" s="83"/>
      <c r="W1259" s="7"/>
      <c r="AB1259" s="7" t="str">
        <f t="shared" si="2"/>
        <v/>
      </c>
    </row>
    <row r="1260">
      <c r="A1260" s="83"/>
      <c r="W1260" s="7"/>
      <c r="AB1260" s="7" t="str">
        <f t="shared" si="2"/>
        <v/>
      </c>
    </row>
    <row r="1261">
      <c r="A1261" s="83"/>
      <c r="W1261" s="7"/>
      <c r="AB1261" s="7" t="str">
        <f t="shared" si="2"/>
        <v/>
      </c>
    </row>
    <row r="1262">
      <c r="A1262" s="83"/>
      <c r="W1262" s="7"/>
      <c r="AB1262" s="7" t="str">
        <f t="shared" si="2"/>
        <v/>
      </c>
    </row>
    <row r="1263">
      <c r="A1263" s="83"/>
      <c r="W1263" s="7"/>
      <c r="AB1263" s="7" t="str">
        <f t="shared" si="2"/>
        <v/>
      </c>
    </row>
    <row r="1264">
      <c r="A1264" s="83"/>
      <c r="W1264" s="7"/>
      <c r="AB1264" s="7" t="str">
        <f t="shared" si="2"/>
        <v/>
      </c>
    </row>
    <row r="1265">
      <c r="A1265" s="83"/>
      <c r="W1265" s="7"/>
      <c r="AB1265" s="7" t="str">
        <f t="shared" si="2"/>
        <v/>
      </c>
    </row>
    <row r="1266">
      <c r="A1266" s="83"/>
      <c r="W1266" s="7"/>
      <c r="AB1266" s="7" t="str">
        <f t="shared" si="2"/>
        <v/>
      </c>
    </row>
    <row r="1267">
      <c r="A1267" s="83"/>
      <c r="W1267" s="7"/>
      <c r="AB1267" s="7" t="str">
        <f t="shared" si="2"/>
        <v/>
      </c>
    </row>
    <row r="1268">
      <c r="A1268" s="83"/>
      <c r="W1268" s="7"/>
      <c r="AB1268" s="7" t="str">
        <f t="shared" si="2"/>
        <v/>
      </c>
    </row>
    <row r="1269">
      <c r="A1269" s="83"/>
      <c r="W1269" s="7"/>
      <c r="AB1269" s="7" t="str">
        <f t="shared" si="2"/>
        <v/>
      </c>
    </row>
    <row r="1270">
      <c r="A1270" s="83"/>
      <c r="W1270" s="7"/>
      <c r="AB1270" s="7" t="str">
        <f t="shared" si="2"/>
        <v/>
      </c>
    </row>
    <row r="1271">
      <c r="A1271" s="83"/>
      <c r="W1271" s="7"/>
      <c r="AB1271" s="7" t="str">
        <f t="shared" si="2"/>
        <v/>
      </c>
    </row>
    <row r="1272">
      <c r="A1272" s="83"/>
      <c r="W1272" s="7"/>
      <c r="AB1272" s="7" t="str">
        <f t="shared" si="2"/>
        <v/>
      </c>
    </row>
    <row r="1273">
      <c r="A1273" s="83"/>
      <c r="W1273" s="7"/>
      <c r="AB1273" s="7" t="str">
        <f t="shared" si="2"/>
        <v/>
      </c>
    </row>
    <row r="1274">
      <c r="A1274" s="83"/>
      <c r="W1274" s="7"/>
      <c r="AB1274" s="7" t="str">
        <f t="shared" si="2"/>
        <v/>
      </c>
    </row>
    <row r="1275">
      <c r="A1275" s="83"/>
      <c r="W1275" s="7"/>
      <c r="AB1275" s="7" t="str">
        <f t="shared" si="2"/>
        <v/>
      </c>
    </row>
    <row r="1276">
      <c r="A1276" s="83"/>
      <c r="W1276" s="7"/>
      <c r="AB1276" s="7" t="str">
        <f t="shared" si="2"/>
        <v/>
      </c>
    </row>
    <row r="1277">
      <c r="A1277" s="83"/>
      <c r="W1277" s="7"/>
      <c r="AB1277" s="7" t="str">
        <f t="shared" si="2"/>
        <v/>
      </c>
    </row>
    <row r="1278">
      <c r="A1278" s="83"/>
      <c r="W1278" s="7"/>
      <c r="AB1278" s="7" t="str">
        <f t="shared" si="2"/>
        <v/>
      </c>
    </row>
    <row r="1279">
      <c r="A1279" s="83"/>
      <c r="W1279" s="7"/>
      <c r="AB1279" s="7" t="str">
        <f t="shared" si="2"/>
        <v/>
      </c>
    </row>
    <row r="1280">
      <c r="A1280" s="83"/>
      <c r="W1280" s="7"/>
      <c r="AB1280" s="7" t="str">
        <f t="shared" si="2"/>
        <v/>
      </c>
    </row>
    <row r="1281">
      <c r="A1281" s="83"/>
      <c r="W1281" s="7"/>
      <c r="AB1281" s="7" t="str">
        <f t="shared" si="2"/>
        <v/>
      </c>
    </row>
    <row r="1282">
      <c r="A1282" s="83"/>
      <c r="W1282" s="7"/>
      <c r="AB1282" s="7" t="str">
        <f t="shared" si="2"/>
        <v/>
      </c>
    </row>
    <row r="1283">
      <c r="A1283" s="83"/>
      <c r="W1283" s="7"/>
      <c r="AB1283" s="7" t="str">
        <f t="shared" si="2"/>
        <v/>
      </c>
    </row>
    <row r="1284">
      <c r="A1284" s="83"/>
      <c r="W1284" s="7"/>
      <c r="AB1284" s="7" t="str">
        <f t="shared" si="2"/>
        <v/>
      </c>
    </row>
    <row r="1285">
      <c r="A1285" s="83"/>
      <c r="W1285" s="7"/>
      <c r="AB1285" s="7" t="str">
        <f t="shared" si="2"/>
        <v/>
      </c>
    </row>
    <row r="1286">
      <c r="A1286" s="83"/>
      <c r="W1286" s="7"/>
      <c r="AB1286" s="7" t="str">
        <f t="shared" si="2"/>
        <v/>
      </c>
    </row>
    <row r="1287">
      <c r="A1287" s="83"/>
      <c r="W1287" s="7"/>
      <c r="AB1287" s="7" t="str">
        <f t="shared" si="2"/>
        <v/>
      </c>
    </row>
    <row r="1288">
      <c r="A1288" s="83"/>
      <c r="W1288" s="7"/>
      <c r="AB1288" s="7" t="str">
        <f t="shared" si="2"/>
        <v/>
      </c>
    </row>
    <row r="1289">
      <c r="A1289" s="83"/>
      <c r="W1289" s="7"/>
      <c r="AB1289" s="7" t="str">
        <f t="shared" si="2"/>
        <v/>
      </c>
    </row>
    <row r="1290">
      <c r="A1290" s="83"/>
      <c r="W1290" s="7"/>
      <c r="AB1290" s="7" t="str">
        <f t="shared" si="2"/>
        <v/>
      </c>
    </row>
    <row r="1291">
      <c r="A1291" s="83"/>
      <c r="W1291" s="7"/>
      <c r="AB1291" s="7" t="str">
        <f t="shared" si="2"/>
        <v/>
      </c>
    </row>
    <row r="1292">
      <c r="A1292" s="83"/>
      <c r="W1292" s="7"/>
      <c r="AB1292" s="7" t="str">
        <f t="shared" si="2"/>
        <v/>
      </c>
    </row>
    <row r="1293">
      <c r="A1293" s="83"/>
      <c r="W1293" s="7"/>
      <c r="AB1293" s="7" t="str">
        <f t="shared" si="2"/>
        <v/>
      </c>
    </row>
    <row r="1294">
      <c r="A1294" s="83"/>
      <c r="W1294" s="7"/>
      <c r="AB1294" s="7" t="str">
        <f t="shared" si="2"/>
        <v/>
      </c>
    </row>
    <row r="1295">
      <c r="A1295" s="83"/>
      <c r="W1295" s="7"/>
      <c r="AB1295" s="7" t="str">
        <f t="shared" si="2"/>
        <v/>
      </c>
    </row>
    <row r="1296">
      <c r="A1296" s="83"/>
      <c r="W1296" s="7"/>
      <c r="AB1296" s="7" t="str">
        <f t="shared" si="2"/>
        <v/>
      </c>
    </row>
    <row r="1297">
      <c r="A1297" s="83"/>
      <c r="W1297" s="7"/>
      <c r="AB1297" s="7" t="str">
        <f t="shared" si="2"/>
        <v/>
      </c>
    </row>
    <row r="1298">
      <c r="A1298" s="83"/>
      <c r="W1298" s="7"/>
      <c r="AB1298" s="7" t="str">
        <f t="shared" si="2"/>
        <v/>
      </c>
    </row>
    <row r="1299">
      <c r="A1299" s="83"/>
      <c r="W1299" s="7"/>
      <c r="AB1299" s="7" t="str">
        <f t="shared" si="2"/>
        <v/>
      </c>
    </row>
    <row r="1300">
      <c r="A1300" s="83"/>
      <c r="W1300" s="7"/>
      <c r="AB1300" s="7" t="str">
        <f t="shared" si="2"/>
        <v/>
      </c>
    </row>
    <row r="1301">
      <c r="A1301" s="83"/>
      <c r="W1301" s="7"/>
      <c r="AB1301" s="7" t="str">
        <f t="shared" si="2"/>
        <v/>
      </c>
    </row>
    <row r="1302">
      <c r="A1302" s="83"/>
      <c r="W1302" s="7"/>
      <c r="AB1302" s="7" t="str">
        <f t="shared" si="2"/>
        <v/>
      </c>
    </row>
    <row r="1303">
      <c r="A1303" s="83"/>
      <c r="W1303" s="7"/>
      <c r="AB1303" s="7" t="str">
        <f t="shared" si="2"/>
        <v/>
      </c>
    </row>
    <row r="1304">
      <c r="A1304" s="83"/>
      <c r="W1304" s="7"/>
      <c r="AB1304" s="7" t="str">
        <f t="shared" si="2"/>
        <v/>
      </c>
    </row>
    <row r="1305">
      <c r="A1305" s="83"/>
      <c r="W1305" s="7"/>
      <c r="AB1305" s="7" t="str">
        <f t="shared" si="2"/>
        <v/>
      </c>
    </row>
    <row r="1306">
      <c r="A1306" s="83"/>
      <c r="W1306" s="7"/>
      <c r="AB1306" s="7" t="str">
        <f t="shared" si="2"/>
        <v/>
      </c>
    </row>
    <row r="1307">
      <c r="A1307" s="83"/>
      <c r="W1307" s="7"/>
      <c r="AB1307" s="7" t="str">
        <f t="shared" si="2"/>
        <v/>
      </c>
    </row>
    <row r="1308">
      <c r="A1308" s="83"/>
      <c r="W1308" s="7"/>
      <c r="AB1308" s="7" t="str">
        <f t="shared" si="2"/>
        <v/>
      </c>
    </row>
    <row r="1309">
      <c r="A1309" s="83"/>
      <c r="W1309" s="7"/>
      <c r="AB1309" s="7" t="str">
        <f t="shared" si="2"/>
        <v/>
      </c>
    </row>
  </sheetData>
  <conditionalFormatting sqref="P23:P28">
    <cfRule type="containsText" dxfId="7" priority="1" operator="containsText" text="Observar">
      <formula>NOT(ISERROR(SEARCH(("Observar"),(P23))))</formula>
    </cfRule>
  </conditionalFormatting>
  <conditionalFormatting sqref="P23:P28">
    <cfRule type="containsText" dxfId="8" priority="2" operator="containsText" text="Aguardar Recuo">
      <formula>NOT(ISERROR(SEARCH(("Aguardar Recuo"),(P23))))</formula>
    </cfRule>
  </conditionalFormatting>
  <conditionalFormatting sqref="P23:P28">
    <cfRule type="containsText" dxfId="5" priority="3" operator="containsText" text="Forca Consolidada">
      <formula>NOT(ISERROR(SEARCH(("Forca Consolidada"),(P23))))</formula>
    </cfRule>
  </conditionalFormatting>
  <dataValidations>
    <dataValidation type="list" allowBlank="1" showErrorMessage="1" sqref="W2:W1309">
      <formula1>Configs!$E$17:$E$23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64D79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0"/>
    <col customWidth="1" min="3" max="3" width="13.63"/>
    <col customWidth="1" min="5" max="5" width="14.88"/>
    <col customWidth="1" min="6" max="6" width="12.5"/>
    <col customWidth="1" min="7" max="7" width="17.13"/>
    <col customWidth="1" min="9" max="9" width="16.63"/>
    <col customWidth="1" min="10" max="10" width="37.63"/>
  </cols>
  <sheetData>
    <row r="1" ht="22.5" customHeight="1">
      <c r="A1" s="94" t="s">
        <v>9</v>
      </c>
      <c r="B1" s="94" t="s">
        <v>201</v>
      </c>
      <c r="C1" s="94" t="s">
        <v>205</v>
      </c>
      <c r="D1" s="94" t="s">
        <v>208</v>
      </c>
      <c r="E1" s="94" t="s">
        <v>209</v>
      </c>
      <c r="F1" s="94" t="s">
        <v>214</v>
      </c>
      <c r="G1" s="94" t="s">
        <v>217</v>
      </c>
      <c r="H1" s="94" t="s">
        <v>220</v>
      </c>
      <c r="I1" s="94" t="s">
        <v>222</v>
      </c>
      <c r="J1" s="98" t="s">
        <v>225</v>
      </c>
    </row>
    <row r="2" ht="22.5" customHeight="1">
      <c r="A2" s="101" t="s">
        <v>230</v>
      </c>
      <c r="B2" s="103" t="s">
        <v>147</v>
      </c>
      <c r="C2" s="103" t="s">
        <v>235</v>
      </c>
      <c r="D2" s="103" t="s">
        <v>236</v>
      </c>
      <c r="E2" s="103" t="s">
        <v>241</v>
      </c>
      <c r="F2" s="103" t="s">
        <v>243</v>
      </c>
      <c r="G2" s="103" t="s">
        <v>244</v>
      </c>
      <c r="H2" s="103" t="s">
        <v>249</v>
      </c>
      <c r="I2" s="103" t="s">
        <v>251</v>
      </c>
      <c r="J2" s="107" t="s">
        <v>150</v>
      </c>
    </row>
    <row r="3" ht="22.5" customHeight="1">
      <c r="A3" s="101" t="s">
        <v>256</v>
      </c>
      <c r="B3" s="103" t="s">
        <v>259</v>
      </c>
      <c r="C3" s="103" t="s">
        <v>235</v>
      </c>
      <c r="D3" s="103" t="s">
        <v>265</v>
      </c>
      <c r="E3" s="103" t="s">
        <v>267</v>
      </c>
      <c r="F3" s="103" t="s">
        <v>268</v>
      </c>
      <c r="G3" s="103" t="s">
        <v>272</v>
      </c>
      <c r="H3" s="103" t="s">
        <v>275</v>
      </c>
      <c r="I3" s="103" t="s">
        <v>277</v>
      </c>
      <c r="J3" s="107" t="s">
        <v>280</v>
      </c>
    </row>
    <row r="4" ht="22.5" customHeight="1">
      <c r="A4" s="101" t="s">
        <v>284</v>
      </c>
      <c r="B4" s="103" t="s">
        <v>175</v>
      </c>
      <c r="C4" s="103" t="s">
        <v>235</v>
      </c>
      <c r="D4" s="103" t="s">
        <v>292</v>
      </c>
      <c r="E4" s="103" t="s">
        <v>296</v>
      </c>
      <c r="F4" s="103" t="s">
        <v>297</v>
      </c>
      <c r="G4" s="103" t="s">
        <v>302</v>
      </c>
      <c r="H4" s="103" t="s">
        <v>303</v>
      </c>
      <c r="I4" s="103" t="s">
        <v>305</v>
      </c>
      <c r="J4" s="107" t="s">
        <v>308</v>
      </c>
    </row>
    <row r="5" ht="22.5" customHeight="1">
      <c r="A5" s="101" t="s">
        <v>311</v>
      </c>
      <c r="B5" s="103" t="s">
        <v>313</v>
      </c>
      <c r="C5" s="103" t="s">
        <v>235</v>
      </c>
      <c r="D5" s="103" t="s">
        <v>315</v>
      </c>
      <c r="E5" s="103" t="s">
        <v>316</v>
      </c>
      <c r="F5" s="103" t="s">
        <v>317</v>
      </c>
      <c r="G5" s="103" t="s">
        <v>318</v>
      </c>
      <c r="H5" s="103" t="s">
        <v>320</v>
      </c>
      <c r="I5" s="103" t="s">
        <v>322</v>
      </c>
      <c r="J5" s="107" t="s">
        <v>323</v>
      </c>
    </row>
    <row r="6" ht="22.5" customHeight="1">
      <c r="A6" s="101" t="s">
        <v>328</v>
      </c>
      <c r="B6" s="103" t="s">
        <v>211</v>
      </c>
      <c r="C6" s="103" t="s">
        <v>235</v>
      </c>
      <c r="D6" s="103" t="s">
        <v>332</v>
      </c>
      <c r="E6" s="103" t="s">
        <v>335</v>
      </c>
      <c r="F6" s="103" t="s">
        <v>337</v>
      </c>
      <c r="G6" s="103" t="s">
        <v>338</v>
      </c>
      <c r="H6" s="103" t="s">
        <v>340</v>
      </c>
      <c r="I6" s="103" t="s">
        <v>344</v>
      </c>
      <c r="J6" s="107" t="s">
        <v>346</v>
      </c>
    </row>
    <row r="7" ht="22.5" customHeight="1">
      <c r="A7" s="101" t="s">
        <v>348</v>
      </c>
      <c r="B7" s="103" t="s">
        <v>353</v>
      </c>
      <c r="C7" s="103" t="s">
        <v>235</v>
      </c>
      <c r="D7" s="103" t="s">
        <v>292</v>
      </c>
      <c r="E7" s="103" t="s">
        <v>354</v>
      </c>
      <c r="F7" s="103" t="s">
        <v>356</v>
      </c>
      <c r="G7" s="103" t="s">
        <v>358</v>
      </c>
      <c r="H7" s="103" t="s">
        <v>359</v>
      </c>
      <c r="I7" s="103" t="s">
        <v>361</v>
      </c>
      <c r="J7" s="107" t="s">
        <v>362</v>
      </c>
    </row>
    <row r="8" ht="22.5" customHeight="1">
      <c r="A8" s="101" t="s">
        <v>366</v>
      </c>
      <c r="B8" s="103" t="s">
        <v>367</v>
      </c>
      <c r="C8" s="103" t="s">
        <v>235</v>
      </c>
      <c r="D8" s="103" t="s">
        <v>370</v>
      </c>
      <c r="E8" s="103" t="s">
        <v>371</v>
      </c>
      <c r="F8" s="103" t="s">
        <v>373</v>
      </c>
      <c r="G8" s="103" t="s">
        <v>376</v>
      </c>
      <c r="H8" s="103" t="s">
        <v>377</v>
      </c>
      <c r="I8" s="103" t="s">
        <v>378</v>
      </c>
      <c r="J8" s="107" t="s">
        <v>380</v>
      </c>
    </row>
    <row r="9" ht="22.5" customHeight="1">
      <c r="A9" s="101" t="s">
        <v>382</v>
      </c>
      <c r="B9" s="103" t="s">
        <v>189</v>
      </c>
      <c r="C9" s="103" t="s">
        <v>235</v>
      </c>
      <c r="D9" s="103" t="s">
        <v>386</v>
      </c>
      <c r="E9" s="103" t="s">
        <v>388</v>
      </c>
      <c r="F9" s="103" t="s">
        <v>391</v>
      </c>
      <c r="G9" s="103" t="s">
        <v>395</v>
      </c>
      <c r="H9" s="103" t="s">
        <v>397</v>
      </c>
      <c r="I9" s="103" t="s">
        <v>400</v>
      </c>
      <c r="J9" s="107" t="s">
        <v>402</v>
      </c>
    </row>
    <row r="10" ht="22.5" customHeight="1">
      <c r="A10" s="101" t="s">
        <v>406</v>
      </c>
      <c r="B10" s="103" t="s">
        <v>259</v>
      </c>
      <c r="C10" s="103" t="s">
        <v>235</v>
      </c>
      <c r="D10" s="103" t="s">
        <v>410</v>
      </c>
      <c r="E10" s="103" t="s">
        <v>412</v>
      </c>
      <c r="F10" s="103" t="s">
        <v>413</v>
      </c>
      <c r="G10" s="103" t="s">
        <v>414</v>
      </c>
      <c r="H10" s="103" t="s">
        <v>418</v>
      </c>
      <c r="I10" s="103" t="s">
        <v>420</v>
      </c>
      <c r="J10" s="107" t="s">
        <v>422</v>
      </c>
    </row>
    <row r="11" ht="22.5" customHeight="1">
      <c r="A11" s="101" t="s">
        <v>426</v>
      </c>
      <c r="B11" s="103" t="s">
        <v>203</v>
      </c>
      <c r="C11" s="103" t="s">
        <v>235</v>
      </c>
      <c r="D11" s="103" t="s">
        <v>429</v>
      </c>
      <c r="E11" s="103" t="s">
        <v>430</v>
      </c>
      <c r="F11" s="103" t="s">
        <v>431</v>
      </c>
      <c r="G11" s="103" t="s">
        <v>435</v>
      </c>
      <c r="H11" s="103" t="s">
        <v>436</v>
      </c>
      <c r="I11" s="103" t="s">
        <v>438</v>
      </c>
      <c r="J11" s="107" t="s">
        <v>440</v>
      </c>
    </row>
    <row r="12" ht="22.5" customHeight="1">
      <c r="A12" s="101" t="s">
        <v>442</v>
      </c>
      <c r="B12" s="103" t="s">
        <v>211</v>
      </c>
      <c r="C12" s="103" t="s">
        <v>235</v>
      </c>
      <c r="D12" s="103" t="s">
        <v>315</v>
      </c>
      <c r="E12" s="103" t="s">
        <v>447</v>
      </c>
      <c r="F12" s="103" t="s">
        <v>449</v>
      </c>
      <c r="G12" s="103" t="s">
        <v>450</v>
      </c>
      <c r="H12" s="103" t="s">
        <v>451</v>
      </c>
      <c r="I12" s="103" t="s">
        <v>452</v>
      </c>
      <c r="J12" s="107" t="s">
        <v>453</v>
      </c>
    </row>
    <row r="13" ht="22.5" customHeight="1">
      <c r="A13" s="101" t="s">
        <v>454</v>
      </c>
      <c r="B13" s="103" t="s">
        <v>455</v>
      </c>
      <c r="C13" s="103" t="s">
        <v>235</v>
      </c>
      <c r="D13" s="103" t="s">
        <v>460</v>
      </c>
      <c r="E13" s="103" t="s">
        <v>462</v>
      </c>
      <c r="F13" s="103" t="s">
        <v>463</v>
      </c>
      <c r="G13" s="103" t="s">
        <v>465</v>
      </c>
      <c r="H13" s="103" t="s">
        <v>470</v>
      </c>
      <c r="I13" s="103" t="s">
        <v>476</v>
      </c>
      <c r="J13" s="107" t="s">
        <v>478</v>
      </c>
    </row>
    <row r="14" ht="22.5" customHeight="1">
      <c r="A14" s="101" t="s">
        <v>481</v>
      </c>
      <c r="B14" s="103" t="s">
        <v>485</v>
      </c>
      <c r="C14" s="103" t="s">
        <v>235</v>
      </c>
      <c r="D14" s="103" t="s">
        <v>489</v>
      </c>
      <c r="E14" s="103" t="s">
        <v>491</v>
      </c>
      <c r="F14" s="103" t="s">
        <v>493</v>
      </c>
      <c r="G14" s="103" t="s">
        <v>496</v>
      </c>
      <c r="H14" s="103" t="s">
        <v>497</v>
      </c>
      <c r="I14" s="103" t="s">
        <v>499</v>
      </c>
      <c r="J14" s="107" t="s">
        <v>501</v>
      </c>
    </row>
    <row r="15" ht="22.5" customHeight="1">
      <c r="A15" s="101" t="s">
        <v>504</v>
      </c>
      <c r="B15" s="103" t="s">
        <v>506</v>
      </c>
      <c r="C15" s="103" t="s">
        <v>235</v>
      </c>
      <c r="D15" s="103" t="s">
        <v>510</v>
      </c>
      <c r="E15" s="103" t="s">
        <v>511</v>
      </c>
      <c r="F15" s="103" t="s">
        <v>514</v>
      </c>
      <c r="G15" s="103" t="s">
        <v>516</v>
      </c>
      <c r="H15" s="103" t="s">
        <v>518</v>
      </c>
      <c r="I15" s="103" t="s">
        <v>520</v>
      </c>
      <c r="J15" s="107" t="s">
        <v>522</v>
      </c>
    </row>
    <row r="16" ht="22.5" customHeight="1">
      <c r="A16" s="101" t="s">
        <v>527</v>
      </c>
      <c r="B16" s="103" t="s">
        <v>367</v>
      </c>
      <c r="C16" s="103" t="s">
        <v>235</v>
      </c>
      <c r="D16" s="103" t="s">
        <v>531</v>
      </c>
      <c r="E16" s="103" t="s">
        <v>534</v>
      </c>
      <c r="F16" s="103" t="s">
        <v>536</v>
      </c>
      <c r="G16" s="103" t="s">
        <v>537</v>
      </c>
      <c r="H16" s="103" t="s">
        <v>538</v>
      </c>
      <c r="I16" s="103" t="s">
        <v>541</v>
      </c>
      <c r="J16" s="107" t="s">
        <v>544</v>
      </c>
    </row>
    <row r="17" ht="22.5" customHeight="1">
      <c r="A17" s="101" t="s">
        <v>546</v>
      </c>
      <c r="B17" s="103" t="s">
        <v>259</v>
      </c>
      <c r="C17" s="103" t="s">
        <v>235</v>
      </c>
      <c r="D17" s="103" t="s">
        <v>555</v>
      </c>
      <c r="E17" s="103" t="s">
        <v>558</v>
      </c>
      <c r="F17" s="103" t="s">
        <v>562</v>
      </c>
      <c r="G17" s="103" t="s">
        <v>565</v>
      </c>
      <c r="H17" s="103" t="s">
        <v>567</v>
      </c>
      <c r="I17" s="103" t="s">
        <v>573</v>
      </c>
      <c r="J17" s="107" t="s">
        <v>578</v>
      </c>
    </row>
    <row r="18" ht="22.5" customHeight="1">
      <c r="A18" s="101" t="s">
        <v>584</v>
      </c>
      <c r="B18" s="103" t="s">
        <v>300</v>
      </c>
      <c r="C18" s="103" t="s">
        <v>235</v>
      </c>
      <c r="D18" s="103" t="s">
        <v>468</v>
      </c>
      <c r="E18" s="103" t="s">
        <v>590</v>
      </c>
      <c r="F18" s="103" t="s">
        <v>592</v>
      </c>
      <c r="G18" s="103" t="s">
        <v>594</v>
      </c>
      <c r="H18" s="103" t="s">
        <v>595</v>
      </c>
      <c r="I18" s="103" t="s">
        <v>599</v>
      </c>
      <c r="J18" s="107" t="s">
        <v>601</v>
      </c>
    </row>
    <row r="19" ht="22.5" customHeight="1">
      <c r="A19" s="101" t="s">
        <v>603</v>
      </c>
      <c r="B19" s="103" t="s">
        <v>175</v>
      </c>
      <c r="C19" s="103" t="s">
        <v>235</v>
      </c>
      <c r="D19" s="103" t="s">
        <v>607</v>
      </c>
      <c r="E19" s="103" t="s">
        <v>609</v>
      </c>
      <c r="F19" s="103" t="s">
        <v>610</v>
      </c>
      <c r="G19" s="103" t="s">
        <v>614</v>
      </c>
      <c r="H19" s="103" t="s">
        <v>616</v>
      </c>
      <c r="I19" s="103" t="s">
        <v>619</v>
      </c>
      <c r="J19" s="107" t="s">
        <v>620</v>
      </c>
    </row>
    <row r="20" ht="22.5" customHeight="1">
      <c r="A20" s="101" t="s">
        <v>623</v>
      </c>
      <c r="B20" s="103" t="s">
        <v>626</v>
      </c>
      <c r="C20" s="103" t="s">
        <v>235</v>
      </c>
      <c r="D20" s="103" t="s">
        <v>629</v>
      </c>
      <c r="E20" s="103" t="s">
        <v>631</v>
      </c>
      <c r="F20" s="103" t="s">
        <v>635</v>
      </c>
      <c r="G20" s="103" t="s">
        <v>638</v>
      </c>
      <c r="H20" s="103" t="s">
        <v>640</v>
      </c>
      <c r="I20" s="103" t="s">
        <v>643</v>
      </c>
      <c r="J20" s="107" t="s">
        <v>645</v>
      </c>
    </row>
    <row r="21" ht="22.5" customHeight="1">
      <c r="A21" s="101" t="s">
        <v>647</v>
      </c>
      <c r="B21" s="103" t="s">
        <v>238</v>
      </c>
      <c r="C21" s="103" t="s">
        <v>235</v>
      </c>
      <c r="D21" s="103" t="s">
        <v>650</v>
      </c>
      <c r="E21" s="103" t="s">
        <v>652</v>
      </c>
      <c r="F21" s="103" t="s">
        <v>654</v>
      </c>
      <c r="G21" s="103" t="s">
        <v>656</v>
      </c>
      <c r="H21" s="103" t="s">
        <v>657</v>
      </c>
      <c r="I21" s="103" t="s">
        <v>659</v>
      </c>
      <c r="J21" s="107" t="s">
        <v>661</v>
      </c>
    </row>
    <row r="22" ht="22.5" customHeight="1">
      <c r="A22" s="101" t="s">
        <v>663</v>
      </c>
      <c r="B22" s="103" t="s">
        <v>665</v>
      </c>
      <c r="C22" s="103" t="s">
        <v>235</v>
      </c>
      <c r="D22" s="103" t="s">
        <v>666</v>
      </c>
      <c r="E22" s="103" t="s">
        <v>669</v>
      </c>
      <c r="F22" s="103" t="s">
        <v>670</v>
      </c>
      <c r="G22" s="103" t="s">
        <v>672</v>
      </c>
      <c r="H22" s="103" t="s">
        <v>674</v>
      </c>
      <c r="I22" s="103" t="s">
        <v>676</v>
      </c>
      <c r="J22" s="107" t="s">
        <v>678</v>
      </c>
    </row>
    <row r="23" ht="22.5" customHeight="1">
      <c r="A23" s="101" t="s">
        <v>680</v>
      </c>
      <c r="B23" s="103" t="s">
        <v>247</v>
      </c>
      <c r="C23" s="103" t="s">
        <v>235</v>
      </c>
      <c r="D23" s="103" t="s">
        <v>683</v>
      </c>
      <c r="E23" s="103" t="s">
        <v>685</v>
      </c>
      <c r="F23" s="103" t="s">
        <v>686</v>
      </c>
      <c r="G23" s="103" t="s">
        <v>688</v>
      </c>
      <c r="H23" s="103" t="s">
        <v>691</v>
      </c>
      <c r="I23" s="103" t="s">
        <v>692</v>
      </c>
      <c r="J23" s="107" t="s">
        <v>694</v>
      </c>
    </row>
    <row r="24" ht="22.5" customHeight="1">
      <c r="A24" s="101" t="s">
        <v>698</v>
      </c>
      <c r="B24" s="103" t="s">
        <v>270</v>
      </c>
      <c r="C24" s="103" t="s">
        <v>235</v>
      </c>
      <c r="D24" s="103" t="s">
        <v>702</v>
      </c>
      <c r="E24" s="103" t="s">
        <v>705</v>
      </c>
      <c r="F24" s="103" t="s">
        <v>709</v>
      </c>
      <c r="G24" s="103" t="s">
        <v>712</v>
      </c>
      <c r="H24" s="103" t="s">
        <v>726</v>
      </c>
      <c r="I24" s="103" t="s">
        <v>728</v>
      </c>
      <c r="J24" s="107" t="s">
        <v>730</v>
      </c>
    </row>
    <row r="25" ht="22.5" customHeight="1">
      <c r="A25" s="101" t="s">
        <v>732</v>
      </c>
      <c r="B25" s="103" t="s">
        <v>513</v>
      </c>
      <c r="C25" s="103" t="s">
        <v>235</v>
      </c>
      <c r="D25" s="103" t="s">
        <v>736</v>
      </c>
      <c r="E25" s="103" t="s">
        <v>738</v>
      </c>
      <c r="F25" s="103" t="s">
        <v>739</v>
      </c>
      <c r="G25" s="103" t="s">
        <v>742</v>
      </c>
      <c r="H25" s="103" t="s">
        <v>743</v>
      </c>
      <c r="I25" s="103" t="s">
        <v>744</v>
      </c>
      <c r="J25" s="107" t="s">
        <v>746</v>
      </c>
    </row>
    <row r="26" ht="22.5" customHeight="1">
      <c r="A26" s="101" t="s">
        <v>749</v>
      </c>
      <c r="B26" s="103" t="s">
        <v>227</v>
      </c>
      <c r="C26" s="103" t="s">
        <v>235</v>
      </c>
      <c r="D26" s="103" t="s">
        <v>751</v>
      </c>
      <c r="E26" s="103" t="s">
        <v>753</v>
      </c>
      <c r="F26" s="103" t="s">
        <v>755</v>
      </c>
      <c r="G26" s="103" t="s">
        <v>756</v>
      </c>
      <c r="H26" s="103" t="s">
        <v>758</v>
      </c>
      <c r="I26" s="103" t="s">
        <v>759</v>
      </c>
      <c r="J26" s="107" t="s">
        <v>762</v>
      </c>
    </row>
    <row r="27" ht="22.5" customHeight="1">
      <c r="A27" s="101" t="s">
        <v>765</v>
      </c>
      <c r="B27" s="103" t="s">
        <v>766</v>
      </c>
      <c r="C27" s="103" t="s">
        <v>235</v>
      </c>
      <c r="D27" s="103" t="s">
        <v>772</v>
      </c>
      <c r="E27" s="103" t="s">
        <v>774</v>
      </c>
      <c r="F27" s="103" t="s">
        <v>776</v>
      </c>
      <c r="G27" s="103" t="s">
        <v>778</v>
      </c>
      <c r="H27" s="103" t="s">
        <v>779</v>
      </c>
      <c r="I27" s="103" t="s">
        <v>780</v>
      </c>
      <c r="J27" s="107" t="s">
        <v>782</v>
      </c>
    </row>
    <row r="28" ht="22.5" customHeight="1">
      <c r="A28" s="101" t="s">
        <v>785</v>
      </c>
      <c r="B28" s="103" t="s">
        <v>254</v>
      </c>
      <c r="C28" s="103" t="s">
        <v>235</v>
      </c>
      <c r="D28" s="103" t="s">
        <v>789</v>
      </c>
      <c r="E28" s="103" t="s">
        <v>791</v>
      </c>
      <c r="F28" s="103" t="s">
        <v>793</v>
      </c>
      <c r="G28" s="103" t="s">
        <v>794</v>
      </c>
      <c r="H28" s="103" t="s">
        <v>795</v>
      </c>
      <c r="I28" s="103" t="s">
        <v>796</v>
      </c>
      <c r="J28" s="107" t="s">
        <v>800</v>
      </c>
    </row>
    <row r="29" ht="22.5" customHeight="1">
      <c r="A29" s="101" t="s">
        <v>802</v>
      </c>
      <c r="B29" s="103" t="s">
        <v>597</v>
      </c>
      <c r="C29" s="103" t="s">
        <v>235</v>
      </c>
      <c r="D29" s="103" t="s">
        <v>804</v>
      </c>
      <c r="E29" s="103" t="s">
        <v>805</v>
      </c>
      <c r="F29" s="103" t="s">
        <v>807</v>
      </c>
      <c r="G29" s="103" t="s">
        <v>809</v>
      </c>
      <c r="H29" s="103" t="s">
        <v>813</v>
      </c>
      <c r="I29" s="103" t="s">
        <v>814</v>
      </c>
      <c r="J29" s="107" t="s">
        <v>815</v>
      </c>
    </row>
    <row r="30" ht="22.5" customHeight="1">
      <c r="A30" s="101" t="s">
        <v>816</v>
      </c>
      <c r="B30" s="103" t="s">
        <v>818</v>
      </c>
      <c r="C30" s="103" t="s">
        <v>235</v>
      </c>
      <c r="D30" s="103" t="s">
        <v>820</v>
      </c>
      <c r="E30" s="103" t="s">
        <v>822</v>
      </c>
      <c r="F30" s="103" t="s">
        <v>823</v>
      </c>
      <c r="G30" s="103" t="s">
        <v>824</v>
      </c>
      <c r="H30" s="103" t="s">
        <v>826</v>
      </c>
      <c r="I30" s="103" t="s">
        <v>828</v>
      </c>
      <c r="J30" s="107" t="s">
        <v>830</v>
      </c>
    </row>
    <row r="31" ht="22.5" customHeight="1">
      <c r="A31" s="101" t="s">
        <v>831</v>
      </c>
      <c r="B31" s="103" t="s">
        <v>183</v>
      </c>
      <c r="C31" s="103" t="s">
        <v>235</v>
      </c>
      <c r="D31" s="103" t="s">
        <v>833</v>
      </c>
      <c r="E31" s="103" t="s">
        <v>835</v>
      </c>
      <c r="F31" s="103" t="s">
        <v>838</v>
      </c>
      <c r="G31" s="103" t="s">
        <v>839</v>
      </c>
      <c r="H31" s="103" t="s">
        <v>841</v>
      </c>
      <c r="I31" s="103" t="s">
        <v>844</v>
      </c>
      <c r="J31" s="107" t="s">
        <v>847</v>
      </c>
    </row>
    <row r="32" ht="22.5" customHeight="1">
      <c r="A32" s="101" t="s">
        <v>850</v>
      </c>
      <c r="B32" s="103" t="s">
        <v>416</v>
      </c>
      <c r="C32" s="103" t="s">
        <v>235</v>
      </c>
      <c r="D32" s="103" t="s">
        <v>854</v>
      </c>
      <c r="E32" s="103" t="s">
        <v>856</v>
      </c>
      <c r="F32" s="103" t="s">
        <v>858</v>
      </c>
      <c r="G32" s="103" t="s">
        <v>859</v>
      </c>
      <c r="H32" s="103" t="s">
        <v>860</v>
      </c>
      <c r="I32" s="103" t="s">
        <v>862</v>
      </c>
      <c r="J32" s="107" t="s">
        <v>863</v>
      </c>
    </row>
    <row r="33" ht="22.5" customHeight="1">
      <c r="A33" s="101" t="s">
        <v>866</v>
      </c>
      <c r="B33" s="103" t="s">
        <v>324</v>
      </c>
      <c r="C33" s="103" t="s">
        <v>235</v>
      </c>
      <c r="D33" s="103" t="s">
        <v>871</v>
      </c>
      <c r="E33" s="103" t="s">
        <v>873</v>
      </c>
      <c r="F33" s="103" t="s">
        <v>875</v>
      </c>
      <c r="G33" s="103" t="s">
        <v>877</v>
      </c>
      <c r="H33" s="103" t="s">
        <v>879</v>
      </c>
      <c r="I33" s="103" t="s">
        <v>744</v>
      </c>
      <c r="J33" s="107" t="s">
        <v>880</v>
      </c>
    </row>
    <row r="34" ht="22.5" customHeight="1">
      <c r="A34" s="101" t="s">
        <v>884</v>
      </c>
      <c r="B34" s="103" t="s">
        <v>175</v>
      </c>
      <c r="C34" s="103" t="s">
        <v>235</v>
      </c>
      <c r="D34" s="103" t="s">
        <v>292</v>
      </c>
      <c r="E34" s="103" t="s">
        <v>892</v>
      </c>
      <c r="F34" s="103" t="s">
        <v>895</v>
      </c>
      <c r="G34" s="103" t="s">
        <v>898</v>
      </c>
      <c r="H34" s="103" t="s">
        <v>901</v>
      </c>
      <c r="I34" s="103" t="s">
        <v>904</v>
      </c>
      <c r="J34" s="107" t="s">
        <v>908</v>
      </c>
    </row>
    <row r="35" ht="22.5" customHeight="1">
      <c r="A35" s="101" t="s">
        <v>911</v>
      </c>
      <c r="B35" s="103" t="s">
        <v>913</v>
      </c>
      <c r="C35" s="103" t="s">
        <v>235</v>
      </c>
      <c r="D35" s="103" t="s">
        <v>265</v>
      </c>
      <c r="E35" s="103" t="s">
        <v>916</v>
      </c>
      <c r="F35" s="103" t="s">
        <v>917</v>
      </c>
      <c r="G35" s="103" t="s">
        <v>918</v>
      </c>
      <c r="H35" s="103" t="s">
        <v>922</v>
      </c>
      <c r="I35" s="103" t="s">
        <v>925</v>
      </c>
      <c r="J35" s="107" t="s">
        <v>927</v>
      </c>
    </row>
    <row r="36" ht="22.5" customHeight="1">
      <c r="A36" s="101" t="s">
        <v>931</v>
      </c>
      <c r="B36" s="103" t="s">
        <v>330</v>
      </c>
      <c r="C36" s="103" t="s">
        <v>235</v>
      </c>
      <c r="D36" s="103" t="s">
        <v>933</v>
      </c>
      <c r="E36" s="103" t="s">
        <v>936</v>
      </c>
      <c r="F36" s="103" t="s">
        <v>939</v>
      </c>
      <c r="G36" s="103" t="s">
        <v>940</v>
      </c>
      <c r="H36" s="103" t="s">
        <v>944</v>
      </c>
      <c r="I36" s="103" t="s">
        <v>378</v>
      </c>
      <c r="J36" s="107" t="s">
        <v>947</v>
      </c>
    </row>
    <row r="37" ht="22.5" customHeight="1">
      <c r="A37" s="101" t="s">
        <v>949</v>
      </c>
      <c r="B37" s="103" t="s">
        <v>416</v>
      </c>
      <c r="C37" s="103" t="s">
        <v>235</v>
      </c>
      <c r="D37" s="103" t="s">
        <v>386</v>
      </c>
      <c r="E37" s="103" t="s">
        <v>956</v>
      </c>
      <c r="F37" s="103" t="s">
        <v>958</v>
      </c>
      <c r="G37" s="103" t="s">
        <v>961</v>
      </c>
      <c r="H37" s="103" t="s">
        <v>965</v>
      </c>
      <c r="I37" s="103" t="s">
        <v>969</v>
      </c>
      <c r="J37" s="107" t="s">
        <v>971</v>
      </c>
    </row>
    <row r="38" ht="22.5" customHeight="1">
      <c r="A38" s="101" t="s">
        <v>975</v>
      </c>
      <c r="B38" s="103" t="s">
        <v>324</v>
      </c>
      <c r="C38" s="103" t="s">
        <v>235</v>
      </c>
      <c r="D38" s="103" t="s">
        <v>736</v>
      </c>
      <c r="E38" s="103" t="s">
        <v>982</v>
      </c>
      <c r="F38" s="103" t="s">
        <v>985</v>
      </c>
      <c r="G38" s="103" t="s">
        <v>987</v>
      </c>
      <c r="H38" s="103" t="s">
        <v>989</v>
      </c>
      <c r="I38" s="103" t="s">
        <v>991</v>
      </c>
      <c r="J38" s="107" t="s">
        <v>993</v>
      </c>
    </row>
    <row r="39" ht="22.5" customHeight="1">
      <c r="A39" s="101" t="s">
        <v>997</v>
      </c>
      <c r="B39" s="103" t="s">
        <v>157</v>
      </c>
      <c r="C39" s="103" t="s">
        <v>235</v>
      </c>
      <c r="D39" s="103" t="s">
        <v>265</v>
      </c>
      <c r="E39" s="103" t="s">
        <v>1004</v>
      </c>
      <c r="F39" s="103" t="s">
        <v>1007</v>
      </c>
      <c r="G39" s="103" t="s">
        <v>1010</v>
      </c>
      <c r="H39" s="103" t="s">
        <v>1012</v>
      </c>
      <c r="I39" s="103" t="s">
        <v>1014</v>
      </c>
      <c r="J39" s="107" t="s">
        <v>1015</v>
      </c>
    </row>
    <row r="40" ht="22.5" customHeight="1">
      <c r="A40" s="101" t="s">
        <v>1019</v>
      </c>
      <c r="B40" s="103" t="s">
        <v>175</v>
      </c>
      <c r="C40" s="103" t="s">
        <v>235</v>
      </c>
      <c r="D40" s="103" t="s">
        <v>1023</v>
      </c>
      <c r="E40" s="103" t="s">
        <v>1024</v>
      </c>
      <c r="F40" s="103" t="s">
        <v>1025</v>
      </c>
      <c r="G40" s="103" t="s">
        <v>1027</v>
      </c>
      <c r="H40" s="103" t="s">
        <v>901</v>
      </c>
      <c r="I40" s="103" t="s">
        <v>1029</v>
      </c>
      <c r="J40" s="107" t="s">
        <v>1032</v>
      </c>
    </row>
    <row r="41" ht="22.5" customHeight="1">
      <c r="A41" s="101" t="s">
        <v>1036</v>
      </c>
      <c r="B41" s="103" t="s">
        <v>238</v>
      </c>
      <c r="C41" s="103" t="s">
        <v>235</v>
      </c>
      <c r="D41" s="103" t="s">
        <v>569</v>
      </c>
      <c r="E41" s="103" t="s">
        <v>1038</v>
      </c>
      <c r="F41" s="103" t="s">
        <v>1039</v>
      </c>
      <c r="G41" s="103" t="s">
        <v>1041</v>
      </c>
      <c r="H41" s="103" t="s">
        <v>1043</v>
      </c>
      <c r="I41" s="103" t="s">
        <v>1044</v>
      </c>
      <c r="J41" s="107" t="s">
        <v>1048</v>
      </c>
    </row>
    <row r="42" ht="22.5" customHeight="1">
      <c r="A42" s="101" t="s">
        <v>1051</v>
      </c>
      <c r="B42" s="103" t="s">
        <v>485</v>
      </c>
      <c r="C42" s="103" t="s">
        <v>235</v>
      </c>
      <c r="D42" s="103" t="s">
        <v>905</v>
      </c>
      <c r="E42" s="103" t="s">
        <v>1062</v>
      </c>
      <c r="F42" s="103" t="s">
        <v>1067</v>
      </c>
      <c r="G42" s="103" t="s">
        <v>1070</v>
      </c>
      <c r="H42" s="103" t="s">
        <v>1073</v>
      </c>
      <c r="I42" s="103" t="s">
        <v>1075</v>
      </c>
      <c r="J42" s="107" t="s">
        <v>1080</v>
      </c>
    </row>
    <row r="43" ht="22.5" customHeight="1">
      <c r="A43" s="101" t="s">
        <v>1085</v>
      </c>
      <c r="B43" s="103" t="s">
        <v>353</v>
      </c>
      <c r="C43" s="103" t="s">
        <v>235</v>
      </c>
      <c r="D43" s="103" t="s">
        <v>265</v>
      </c>
      <c r="E43" s="103" t="s">
        <v>1097</v>
      </c>
      <c r="F43" s="103" t="s">
        <v>1099</v>
      </c>
      <c r="G43" s="103" t="s">
        <v>1101</v>
      </c>
      <c r="H43" s="103" t="s">
        <v>1104</v>
      </c>
      <c r="I43" s="103" t="s">
        <v>1108</v>
      </c>
      <c r="J43" s="107" t="s">
        <v>1109</v>
      </c>
    </row>
    <row r="44" ht="22.5" customHeight="1">
      <c r="A44" s="101" t="s">
        <v>1113</v>
      </c>
      <c r="B44" s="103" t="s">
        <v>1115</v>
      </c>
      <c r="C44" s="103" t="s">
        <v>235</v>
      </c>
      <c r="D44" s="103" t="s">
        <v>265</v>
      </c>
      <c r="E44" s="103" t="s">
        <v>1120</v>
      </c>
      <c r="F44" s="103" t="s">
        <v>1122</v>
      </c>
      <c r="G44" s="103" t="s">
        <v>1124</v>
      </c>
      <c r="H44" s="103" t="s">
        <v>1126</v>
      </c>
      <c r="I44" s="103" t="s">
        <v>251</v>
      </c>
      <c r="J44" s="107" t="s">
        <v>1130</v>
      </c>
    </row>
    <row r="45" ht="22.5" customHeight="1">
      <c r="A45" s="101" t="s">
        <v>1135</v>
      </c>
      <c r="B45" s="103" t="s">
        <v>247</v>
      </c>
      <c r="C45" s="103" t="s">
        <v>235</v>
      </c>
      <c r="D45" s="103" t="s">
        <v>1142</v>
      </c>
      <c r="E45" s="103" t="s">
        <v>1146</v>
      </c>
      <c r="F45" s="103" t="s">
        <v>1150</v>
      </c>
      <c r="G45" s="103" t="s">
        <v>1155</v>
      </c>
      <c r="H45" s="103" t="s">
        <v>1159</v>
      </c>
      <c r="I45" s="103" t="s">
        <v>1160</v>
      </c>
      <c r="J45" s="107" t="s">
        <v>1163</v>
      </c>
    </row>
    <row r="46" ht="22.5" customHeight="1">
      <c r="A46" s="101" t="s">
        <v>1166</v>
      </c>
      <c r="B46" s="103" t="s">
        <v>330</v>
      </c>
      <c r="C46" s="103" t="s">
        <v>235</v>
      </c>
      <c r="D46" s="103" t="s">
        <v>641</v>
      </c>
      <c r="E46" s="103" t="s">
        <v>1173</v>
      </c>
      <c r="F46" s="103" t="s">
        <v>1174</v>
      </c>
      <c r="G46" s="103" t="s">
        <v>1176</v>
      </c>
      <c r="H46" s="103" t="s">
        <v>1179</v>
      </c>
      <c r="I46" s="103" t="s">
        <v>1181</v>
      </c>
      <c r="J46" s="107" t="s">
        <v>1183</v>
      </c>
    </row>
    <row r="47" ht="22.5" customHeight="1">
      <c r="A47" s="101" t="s">
        <v>1186</v>
      </c>
      <c r="B47" s="103" t="s">
        <v>612</v>
      </c>
      <c r="C47" s="103" t="s">
        <v>235</v>
      </c>
      <c r="D47" s="103" t="s">
        <v>370</v>
      </c>
      <c r="E47" s="103" t="s">
        <v>1193</v>
      </c>
      <c r="F47" s="103" t="s">
        <v>1195</v>
      </c>
      <c r="G47" s="103" t="s">
        <v>1196</v>
      </c>
      <c r="H47" s="103" t="s">
        <v>1199</v>
      </c>
      <c r="I47" s="103" t="s">
        <v>1203</v>
      </c>
      <c r="J47" s="107" t="s">
        <v>1206</v>
      </c>
    </row>
    <row r="48" ht="22.5" customHeight="1">
      <c r="A48" s="101" t="s">
        <v>1208</v>
      </c>
      <c r="B48" s="103" t="s">
        <v>324</v>
      </c>
      <c r="C48" s="103" t="s">
        <v>235</v>
      </c>
      <c r="D48" s="103" t="s">
        <v>772</v>
      </c>
      <c r="E48" s="103" t="s">
        <v>1213</v>
      </c>
      <c r="F48" s="103" t="s">
        <v>1217</v>
      </c>
      <c r="G48" s="103" t="s">
        <v>1220</v>
      </c>
      <c r="H48" s="103" t="s">
        <v>1224</v>
      </c>
      <c r="I48" s="103" t="s">
        <v>1227</v>
      </c>
      <c r="J48" s="107" t="s">
        <v>1231</v>
      </c>
    </row>
    <row r="49" ht="22.5" customHeight="1">
      <c r="A49" s="101" t="s">
        <v>1238</v>
      </c>
      <c r="B49" s="103" t="s">
        <v>203</v>
      </c>
      <c r="C49" s="103" t="s">
        <v>235</v>
      </c>
      <c r="D49" s="103" t="s">
        <v>1243</v>
      </c>
      <c r="E49" s="103" t="s">
        <v>1246</v>
      </c>
      <c r="F49" s="103" t="s">
        <v>1248</v>
      </c>
      <c r="G49" s="103" t="s">
        <v>1252</v>
      </c>
      <c r="H49" s="103" t="s">
        <v>1254</v>
      </c>
      <c r="I49" s="103" t="s">
        <v>1256</v>
      </c>
      <c r="J49" s="107" t="s">
        <v>1257</v>
      </c>
    </row>
    <row r="50" ht="22.5" customHeight="1">
      <c r="A50" s="101" t="s">
        <v>1260</v>
      </c>
      <c r="B50" s="103" t="s">
        <v>289</v>
      </c>
      <c r="C50" s="103" t="s">
        <v>235</v>
      </c>
      <c r="D50" s="103" t="s">
        <v>1265</v>
      </c>
      <c r="E50" s="103" t="s">
        <v>1267</v>
      </c>
      <c r="F50" s="103" t="s">
        <v>1269</v>
      </c>
      <c r="G50" s="103" t="s">
        <v>1270</v>
      </c>
      <c r="H50" s="103" t="s">
        <v>1273</v>
      </c>
      <c r="I50" s="103" t="s">
        <v>1275</v>
      </c>
      <c r="J50" s="107" t="s">
        <v>319</v>
      </c>
    </row>
    <row r="51" ht="22.5" customHeight="1">
      <c r="A51" s="101" t="s">
        <v>1279</v>
      </c>
      <c r="B51" s="103" t="s">
        <v>818</v>
      </c>
      <c r="C51" s="103" t="s">
        <v>235</v>
      </c>
      <c r="D51" s="103" t="s">
        <v>403</v>
      </c>
      <c r="E51" s="103" t="s">
        <v>1285</v>
      </c>
      <c r="F51" s="103" t="s">
        <v>1286</v>
      </c>
      <c r="G51" s="103" t="s">
        <v>1287</v>
      </c>
      <c r="H51" s="103" t="s">
        <v>1291</v>
      </c>
      <c r="I51" s="103" t="s">
        <v>420</v>
      </c>
      <c r="J51" s="107" t="s">
        <v>1294</v>
      </c>
    </row>
    <row r="52" ht="22.5" customHeight="1">
      <c r="A52" s="101" t="s">
        <v>1295</v>
      </c>
      <c r="B52" s="103" t="s">
        <v>324</v>
      </c>
      <c r="C52" s="103" t="s">
        <v>235</v>
      </c>
      <c r="D52" s="103" t="s">
        <v>783</v>
      </c>
      <c r="E52" s="103" t="s">
        <v>1296</v>
      </c>
      <c r="F52" s="103" t="s">
        <v>1297</v>
      </c>
      <c r="G52" s="103" t="s">
        <v>1298</v>
      </c>
      <c r="H52" s="103" t="s">
        <v>1300</v>
      </c>
      <c r="I52" s="103" t="s">
        <v>1302</v>
      </c>
      <c r="J52" s="107" t="s">
        <v>326</v>
      </c>
    </row>
    <row r="53" ht="22.5" customHeight="1">
      <c r="A53" s="101" t="s">
        <v>1305</v>
      </c>
      <c r="B53" s="103" t="s">
        <v>238</v>
      </c>
      <c r="C53" s="103" t="s">
        <v>235</v>
      </c>
      <c r="D53" s="103" t="s">
        <v>1310</v>
      </c>
      <c r="E53" s="103" t="s">
        <v>1312</v>
      </c>
      <c r="F53" s="103" t="s">
        <v>1314</v>
      </c>
      <c r="G53" s="103" t="s">
        <v>1316</v>
      </c>
      <c r="H53" s="103" t="s">
        <v>1317</v>
      </c>
      <c r="I53" s="103" t="s">
        <v>1319</v>
      </c>
      <c r="J53" s="107" t="s">
        <v>1320</v>
      </c>
    </row>
    <row r="54" ht="22.5" customHeight="1">
      <c r="A54" s="101" t="s">
        <v>1321</v>
      </c>
      <c r="B54" s="103" t="s">
        <v>259</v>
      </c>
      <c r="C54" s="103" t="s">
        <v>235</v>
      </c>
      <c r="D54" s="103" t="s">
        <v>410</v>
      </c>
      <c r="E54" s="103" t="s">
        <v>1323</v>
      </c>
      <c r="F54" s="103" t="s">
        <v>1326</v>
      </c>
      <c r="G54" s="103" t="s">
        <v>1327</v>
      </c>
      <c r="H54" s="103" t="s">
        <v>1328</v>
      </c>
      <c r="I54" s="103" t="s">
        <v>1330</v>
      </c>
      <c r="J54" s="107" t="s">
        <v>1331</v>
      </c>
    </row>
    <row r="55" ht="22.5" customHeight="1">
      <c r="A55" s="101" t="s">
        <v>1333</v>
      </c>
      <c r="B55" s="103" t="s">
        <v>254</v>
      </c>
      <c r="C55" s="103" t="s">
        <v>235</v>
      </c>
      <c r="D55" s="103" t="s">
        <v>1337</v>
      </c>
      <c r="E55" s="103" t="s">
        <v>1340</v>
      </c>
      <c r="F55" s="103" t="s">
        <v>1343</v>
      </c>
      <c r="G55" s="103" t="s">
        <v>1344</v>
      </c>
      <c r="H55" s="103" t="s">
        <v>1345</v>
      </c>
      <c r="I55" s="103" t="s">
        <v>1346</v>
      </c>
      <c r="J55" s="107" t="s">
        <v>1347</v>
      </c>
    </row>
    <row r="56" ht="22.5" customHeight="1">
      <c r="A56" s="101" t="s">
        <v>1349</v>
      </c>
      <c r="B56" s="103" t="s">
        <v>324</v>
      </c>
      <c r="C56" s="103" t="s">
        <v>235</v>
      </c>
      <c r="D56" s="103" t="s">
        <v>1352</v>
      </c>
      <c r="E56" s="103" t="s">
        <v>1354</v>
      </c>
      <c r="F56" s="103" t="s">
        <v>1355</v>
      </c>
      <c r="G56" s="103" t="s">
        <v>1356</v>
      </c>
      <c r="H56" s="103" t="s">
        <v>879</v>
      </c>
      <c r="I56" s="103" t="s">
        <v>1359</v>
      </c>
      <c r="J56" s="107" t="s">
        <v>1360</v>
      </c>
    </row>
    <row r="57" ht="22.5" customHeight="1">
      <c r="A57" s="101" t="s">
        <v>1363</v>
      </c>
      <c r="B57" s="103" t="s">
        <v>227</v>
      </c>
      <c r="C57" s="103" t="s">
        <v>235</v>
      </c>
      <c r="D57" s="103" t="s">
        <v>1352</v>
      </c>
      <c r="E57" s="103" t="s">
        <v>1367</v>
      </c>
      <c r="F57" s="103" t="s">
        <v>1368</v>
      </c>
      <c r="G57" s="103" t="s">
        <v>1370</v>
      </c>
      <c r="H57" s="103" t="s">
        <v>1371</v>
      </c>
      <c r="I57" s="103" t="s">
        <v>1374</v>
      </c>
      <c r="J57" s="107" t="s">
        <v>1376</v>
      </c>
    </row>
    <row r="58" ht="22.5" customHeight="1">
      <c r="A58" s="101" t="s">
        <v>1378</v>
      </c>
      <c r="B58" s="103" t="s">
        <v>183</v>
      </c>
      <c r="C58" s="103" t="s">
        <v>235</v>
      </c>
      <c r="D58" s="103" t="s">
        <v>804</v>
      </c>
      <c r="E58" s="103" t="s">
        <v>1386</v>
      </c>
      <c r="F58" s="103" t="s">
        <v>1389</v>
      </c>
      <c r="G58" s="103" t="s">
        <v>1391</v>
      </c>
      <c r="H58" s="103" t="s">
        <v>1393</v>
      </c>
      <c r="I58" s="103" t="s">
        <v>1395</v>
      </c>
      <c r="J58" s="107" t="s">
        <v>1399</v>
      </c>
    </row>
    <row r="59" ht="22.5" customHeight="1">
      <c r="A59" s="101" t="s">
        <v>1402</v>
      </c>
      <c r="B59" s="103" t="s">
        <v>238</v>
      </c>
      <c r="C59" s="103" t="s">
        <v>235</v>
      </c>
      <c r="D59" s="103" t="s">
        <v>1405</v>
      </c>
      <c r="E59" s="103" t="s">
        <v>1406</v>
      </c>
      <c r="F59" s="103" t="s">
        <v>1408</v>
      </c>
      <c r="G59" s="103" t="s">
        <v>1409</v>
      </c>
      <c r="H59" s="103" t="s">
        <v>1411</v>
      </c>
      <c r="I59" s="103" t="s">
        <v>1413</v>
      </c>
      <c r="J59" s="107" t="s">
        <v>1414</v>
      </c>
    </row>
    <row r="60" ht="22.5" customHeight="1">
      <c r="A60" s="101" t="s">
        <v>1415</v>
      </c>
      <c r="B60" s="103" t="s">
        <v>367</v>
      </c>
      <c r="C60" s="103" t="s">
        <v>235</v>
      </c>
      <c r="D60" s="103" t="s">
        <v>1243</v>
      </c>
      <c r="E60" s="103" t="s">
        <v>1417</v>
      </c>
      <c r="F60" s="103" t="s">
        <v>1418</v>
      </c>
      <c r="G60" s="103" t="s">
        <v>1420</v>
      </c>
      <c r="H60" s="103" t="s">
        <v>1421</v>
      </c>
      <c r="I60" s="103" t="s">
        <v>1422</v>
      </c>
      <c r="J60" s="147" t="s">
        <v>1426</v>
      </c>
    </row>
    <row r="61" ht="22.5" customHeight="1">
      <c r="A61" s="101" t="s">
        <v>1429</v>
      </c>
      <c r="B61" s="103" t="s">
        <v>238</v>
      </c>
      <c r="C61" s="103" t="s">
        <v>235</v>
      </c>
      <c r="D61" s="103" t="s">
        <v>1352</v>
      </c>
      <c r="E61" s="103" t="s">
        <v>1430</v>
      </c>
      <c r="F61" s="103" t="s">
        <v>1432</v>
      </c>
      <c r="G61" s="103" t="s">
        <v>1433</v>
      </c>
      <c r="H61" s="103" t="s">
        <v>1434</v>
      </c>
      <c r="I61" s="103" t="s">
        <v>1436</v>
      </c>
      <c r="J61" s="147" t="s">
        <v>1438</v>
      </c>
    </row>
    <row r="62" ht="22.5" customHeight="1">
      <c r="A62" s="101" t="s">
        <v>1439</v>
      </c>
      <c r="B62" s="103" t="s">
        <v>455</v>
      </c>
      <c r="C62" s="103" t="s">
        <v>235</v>
      </c>
      <c r="D62" s="103" t="s">
        <v>804</v>
      </c>
      <c r="E62" s="103" t="s">
        <v>1441</v>
      </c>
      <c r="F62" s="103" t="s">
        <v>1443</v>
      </c>
      <c r="G62" s="103" t="s">
        <v>1445</v>
      </c>
      <c r="H62" s="103" t="s">
        <v>1446</v>
      </c>
      <c r="I62" s="103" t="s">
        <v>1447</v>
      </c>
      <c r="J62" s="107" t="s">
        <v>1448</v>
      </c>
    </row>
    <row r="63" ht="22.5" customHeight="1">
      <c r="A63" s="101" t="s">
        <v>1452</v>
      </c>
      <c r="B63" s="103" t="s">
        <v>238</v>
      </c>
      <c r="C63" s="103" t="s">
        <v>235</v>
      </c>
      <c r="D63" s="103" t="s">
        <v>714</v>
      </c>
      <c r="E63" s="103" t="s">
        <v>1456</v>
      </c>
      <c r="F63" s="103" t="s">
        <v>1457</v>
      </c>
      <c r="G63" s="103" t="s">
        <v>1459</v>
      </c>
      <c r="H63" s="103" t="s">
        <v>1462</v>
      </c>
      <c r="I63" s="103" t="s">
        <v>1463</v>
      </c>
      <c r="J63" s="107" t="s">
        <v>1467</v>
      </c>
    </row>
    <row r="64" ht="22.5" customHeight="1">
      <c r="A64" s="101" t="s">
        <v>1469</v>
      </c>
      <c r="B64" s="103" t="s">
        <v>513</v>
      </c>
      <c r="C64" s="103" t="s">
        <v>235</v>
      </c>
      <c r="D64" s="103" t="s">
        <v>1265</v>
      </c>
      <c r="E64" s="103" t="s">
        <v>1477</v>
      </c>
      <c r="F64" s="103" t="s">
        <v>1479</v>
      </c>
      <c r="G64" s="103" t="s">
        <v>1480</v>
      </c>
      <c r="H64" s="103" t="s">
        <v>1482</v>
      </c>
      <c r="I64" s="103" t="s">
        <v>1483</v>
      </c>
      <c r="J64" s="107" t="s">
        <v>1485</v>
      </c>
    </row>
    <row r="65" ht="22.5" customHeight="1">
      <c r="A65" s="101" t="s">
        <v>1487</v>
      </c>
      <c r="B65" s="103" t="s">
        <v>203</v>
      </c>
      <c r="C65" s="103" t="s">
        <v>235</v>
      </c>
      <c r="D65" s="103" t="s">
        <v>370</v>
      </c>
      <c r="E65" s="103" t="s">
        <v>1489</v>
      </c>
      <c r="F65" s="103" t="s">
        <v>1491</v>
      </c>
      <c r="G65" s="103" t="s">
        <v>1492</v>
      </c>
      <c r="H65" s="103" t="s">
        <v>1494</v>
      </c>
      <c r="I65" s="103" t="s">
        <v>1495</v>
      </c>
      <c r="J65" s="107" t="s">
        <v>1496</v>
      </c>
    </row>
    <row r="66" ht="22.5" customHeight="1">
      <c r="A66" s="101" t="s">
        <v>1497</v>
      </c>
      <c r="B66" s="103" t="s">
        <v>259</v>
      </c>
      <c r="C66" s="103" t="s">
        <v>235</v>
      </c>
      <c r="D66" s="103" t="s">
        <v>403</v>
      </c>
      <c r="E66" s="103" t="s">
        <v>1503</v>
      </c>
      <c r="F66" s="103" t="s">
        <v>1504</v>
      </c>
      <c r="G66" s="103" t="s">
        <v>1505</v>
      </c>
      <c r="H66" s="103" t="s">
        <v>1507</v>
      </c>
      <c r="I66" s="103" t="s">
        <v>1508</v>
      </c>
      <c r="J66" s="107" t="s">
        <v>1509</v>
      </c>
    </row>
    <row r="67" ht="22.5" customHeight="1">
      <c r="A67" s="101" t="s">
        <v>1512</v>
      </c>
      <c r="B67" s="103" t="s">
        <v>513</v>
      </c>
      <c r="C67" s="103" t="s">
        <v>235</v>
      </c>
      <c r="D67" s="103" t="s">
        <v>1513</v>
      </c>
      <c r="E67" s="103" t="s">
        <v>1514</v>
      </c>
      <c r="F67" s="103" t="s">
        <v>1515</v>
      </c>
      <c r="G67" s="103" t="s">
        <v>1517</v>
      </c>
      <c r="H67" s="103" t="s">
        <v>1519</v>
      </c>
      <c r="I67" s="103" t="s">
        <v>1521</v>
      </c>
      <c r="J67" s="107" t="s">
        <v>1522</v>
      </c>
    </row>
    <row r="68" ht="22.5" customHeight="1">
      <c r="A68" s="101" t="s">
        <v>1524</v>
      </c>
      <c r="B68" s="103" t="s">
        <v>324</v>
      </c>
      <c r="C68" s="103" t="s">
        <v>235</v>
      </c>
      <c r="D68" s="103" t="s">
        <v>1265</v>
      </c>
      <c r="E68" s="103" t="s">
        <v>1528</v>
      </c>
      <c r="F68" s="103" t="s">
        <v>1529</v>
      </c>
      <c r="G68" s="103" t="s">
        <v>1532</v>
      </c>
      <c r="H68" s="103" t="s">
        <v>1534</v>
      </c>
      <c r="I68" s="103" t="s">
        <v>1535</v>
      </c>
      <c r="J68" s="107" t="s">
        <v>1537</v>
      </c>
    </row>
    <row r="69" ht="22.5" customHeight="1">
      <c r="A69" s="101" t="s">
        <v>1544</v>
      </c>
      <c r="B69" s="103" t="s">
        <v>259</v>
      </c>
      <c r="C69" s="103" t="s">
        <v>235</v>
      </c>
      <c r="D69" s="103" t="s">
        <v>403</v>
      </c>
      <c r="E69" s="103" t="s">
        <v>1503</v>
      </c>
      <c r="F69" s="103" t="s">
        <v>1504</v>
      </c>
      <c r="G69" s="103" t="s">
        <v>1505</v>
      </c>
      <c r="H69" s="103" t="s">
        <v>1507</v>
      </c>
      <c r="I69" s="103" t="s">
        <v>1508</v>
      </c>
      <c r="J69" s="107" t="s">
        <v>1548</v>
      </c>
    </row>
    <row r="70" ht="22.5" customHeight="1">
      <c r="A70" s="101" t="s">
        <v>1550</v>
      </c>
      <c r="B70" s="103" t="s">
        <v>513</v>
      </c>
      <c r="C70" s="103" t="s">
        <v>235</v>
      </c>
      <c r="D70" s="103" t="s">
        <v>1513</v>
      </c>
      <c r="E70" s="103" t="s">
        <v>1514</v>
      </c>
      <c r="F70" s="103" t="s">
        <v>1515</v>
      </c>
      <c r="G70" s="103" t="s">
        <v>1517</v>
      </c>
      <c r="H70" s="103" t="s">
        <v>1519</v>
      </c>
      <c r="I70" s="103" t="s">
        <v>1521</v>
      </c>
      <c r="J70" s="107" t="s">
        <v>1552</v>
      </c>
    </row>
    <row r="71" ht="22.5" customHeight="1">
      <c r="A71" s="101" t="s">
        <v>1553</v>
      </c>
      <c r="B71" s="103" t="s">
        <v>324</v>
      </c>
      <c r="C71" s="103" t="s">
        <v>235</v>
      </c>
      <c r="D71" s="103" t="s">
        <v>1265</v>
      </c>
      <c r="E71" s="103" t="s">
        <v>1528</v>
      </c>
      <c r="F71" s="103" t="s">
        <v>1529</v>
      </c>
      <c r="G71" s="103" t="s">
        <v>1532</v>
      </c>
      <c r="H71" s="103" t="s">
        <v>1534</v>
      </c>
      <c r="I71" s="103" t="s">
        <v>1535</v>
      </c>
      <c r="J71" s="107" t="s">
        <v>1560</v>
      </c>
    </row>
    <row r="72" ht="22.5" customHeight="1">
      <c r="A72" s="101" t="s">
        <v>1562</v>
      </c>
      <c r="B72" s="103" t="s">
        <v>157</v>
      </c>
      <c r="C72" s="103" t="s">
        <v>235</v>
      </c>
      <c r="D72" s="103" t="s">
        <v>403</v>
      </c>
      <c r="E72" s="103" t="s">
        <v>1565</v>
      </c>
      <c r="F72" s="103" t="s">
        <v>1566</v>
      </c>
      <c r="G72" s="103" t="s">
        <v>1568</v>
      </c>
      <c r="H72" s="103" t="s">
        <v>1570</v>
      </c>
      <c r="I72" s="103" t="s">
        <v>1572</v>
      </c>
      <c r="J72" s="107" t="s">
        <v>1574</v>
      </c>
    </row>
    <row r="73" ht="22.5" customHeight="1">
      <c r="A73" s="101" t="s">
        <v>1576</v>
      </c>
      <c r="B73" s="103" t="s">
        <v>580</v>
      </c>
      <c r="C73" s="103" t="s">
        <v>235</v>
      </c>
      <c r="D73" s="103" t="s">
        <v>1581</v>
      </c>
      <c r="E73" s="103" t="s">
        <v>1583</v>
      </c>
      <c r="F73" s="103" t="s">
        <v>1586</v>
      </c>
      <c r="G73" s="103" t="s">
        <v>1587</v>
      </c>
      <c r="H73" s="103" t="s">
        <v>1589</v>
      </c>
      <c r="I73" s="103" t="s">
        <v>1590</v>
      </c>
      <c r="J73" s="107" t="s">
        <v>1593</v>
      </c>
    </row>
    <row r="74" ht="22.5" customHeight="1">
      <c r="A74" s="101" t="s">
        <v>1596</v>
      </c>
      <c r="B74" s="103" t="s">
        <v>262</v>
      </c>
      <c r="C74" s="103" t="s">
        <v>235</v>
      </c>
      <c r="D74" s="103" t="s">
        <v>783</v>
      </c>
      <c r="E74" s="103" t="s">
        <v>1599</v>
      </c>
      <c r="F74" s="103" t="s">
        <v>1601</v>
      </c>
      <c r="G74" s="103" t="s">
        <v>1603</v>
      </c>
      <c r="H74" s="103" t="s">
        <v>1604</v>
      </c>
      <c r="I74" s="103" t="s">
        <v>1605</v>
      </c>
      <c r="J74" s="107" t="s">
        <v>1606</v>
      </c>
    </row>
    <row r="75" ht="22.5" customHeight="1">
      <c r="A75" s="101" t="s">
        <v>1609</v>
      </c>
      <c r="B75" s="103" t="s">
        <v>513</v>
      </c>
      <c r="C75" s="103" t="s">
        <v>235</v>
      </c>
      <c r="D75" s="103" t="s">
        <v>1612</v>
      </c>
      <c r="E75" s="103" t="s">
        <v>1614</v>
      </c>
      <c r="F75" s="103" t="s">
        <v>1616</v>
      </c>
      <c r="G75" s="103" t="s">
        <v>1617</v>
      </c>
      <c r="H75" s="103" t="s">
        <v>1618</v>
      </c>
      <c r="I75" s="103" t="s">
        <v>1619</v>
      </c>
      <c r="J75" s="107" t="s">
        <v>1621</v>
      </c>
    </row>
    <row r="76" ht="22.5" customHeight="1">
      <c r="A76" s="101" t="s">
        <v>1624</v>
      </c>
      <c r="B76" s="103" t="s">
        <v>195</v>
      </c>
      <c r="C76" s="103" t="s">
        <v>235</v>
      </c>
      <c r="D76" s="103" t="s">
        <v>292</v>
      </c>
      <c r="E76" s="103" t="s">
        <v>1626</v>
      </c>
      <c r="F76" s="103" t="s">
        <v>1629</v>
      </c>
      <c r="G76" s="103" t="s">
        <v>1630</v>
      </c>
      <c r="H76" s="103" t="s">
        <v>1631</v>
      </c>
      <c r="I76" s="103" t="s">
        <v>1633</v>
      </c>
      <c r="J76" s="107" t="s">
        <v>1635</v>
      </c>
    </row>
    <row r="77" ht="22.5" customHeight="1">
      <c r="A77" s="101" t="s">
        <v>1638</v>
      </c>
      <c r="B77" s="103" t="s">
        <v>254</v>
      </c>
      <c r="C77" s="103" t="s">
        <v>235</v>
      </c>
      <c r="D77" s="103" t="s">
        <v>569</v>
      </c>
      <c r="E77" s="103" t="s">
        <v>1641</v>
      </c>
      <c r="F77" s="103" t="s">
        <v>1643</v>
      </c>
      <c r="G77" s="103" t="s">
        <v>1646</v>
      </c>
      <c r="H77" s="103" t="s">
        <v>1647</v>
      </c>
      <c r="I77" s="103" t="s">
        <v>1649</v>
      </c>
      <c r="J77" s="107" t="s">
        <v>1650</v>
      </c>
    </row>
    <row r="78" ht="22.5" customHeight="1">
      <c r="A78" s="101" t="s">
        <v>1654</v>
      </c>
      <c r="B78" s="103" t="s">
        <v>259</v>
      </c>
      <c r="C78" s="103" t="s">
        <v>235</v>
      </c>
      <c r="D78" s="103" t="s">
        <v>315</v>
      </c>
      <c r="E78" s="103" t="s">
        <v>1660</v>
      </c>
      <c r="F78" s="103" t="s">
        <v>1663</v>
      </c>
      <c r="G78" s="103" t="s">
        <v>1664</v>
      </c>
      <c r="H78" s="103" t="s">
        <v>1667</v>
      </c>
      <c r="I78" s="103" t="s">
        <v>1669</v>
      </c>
      <c r="J78" s="107" t="s">
        <v>1671</v>
      </c>
    </row>
    <row r="79" ht="22.5" customHeight="1">
      <c r="A79" s="101" t="s">
        <v>1673</v>
      </c>
      <c r="B79" s="103" t="s">
        <v>424</v>
      </c>
      <c r="C79" s="103" t="s">
        <v>235</v>
      </c>
      <c r="D79" s="103" t="s">
        <v>403</v>
      </c>
      <c r="E79" s="103" t="s">
        <v>1678</v>
      </c>
      <c r="F79" s="103" t="s">
        <v>1680</v>
      </c>
      <c r="G79" s="103" t="s">
        <v>1682</v>
      </c>
      <c r="H79" s="103" t="s">
        <v>1683</v>
      </c>
      <c r="I79" s="103" t="s">
        <v>1684</v>
      </c>
      <c r="J79" s="107" t="s">
        <v>1685</v>
      </c>
    </row>
    <row r="80" ht="22.5" customHeight="1">
      <c r="A80" s="101" t="s">
        <v>1687</v>
      </c>
      <c r="B80" s="103" t="s">
        <v>364</v>
      </c>
      <c r="C80" s="103" t="s">
        <v>235</v>
      </c>
      <c r="D80" s="103" t="s">
        <v>1352</v>
      </c>
      <c r="E80" s="103" t="s">
        <v>1690</v>
      </c>
      <c r="F80" s="103" t="s">
        <v>1692</v>
      </c>
      <c r="G80" s="103" t="s">
        <v>1693</v>
      </c>
      <c r="H80" s="103" t="s">
        <v>1695</v>
      </c>
      <c r="I80" s="103" t="s">
        <v>1697</v>
      </c>
      <c r="J80" s="107" t="s">
        <v>1699</v>
      </c>
    </row>
    <row r="81" ht="22.5" customHeight="1">
      <c r="A81" s="101" t="s">
        <v>1702</v>
      </c>
      <c r="B81" s="103" t="s">
        <v>330</v>
      </c>
      <c r="C81" s="103" t="s">
        <v>235</v>
      </c>
      <c r="D81" s="103" t="s">
        <v>332</v>
      </c>
      <c r="E81" s="103" t="s">
        <v>1704</v>
      </c>
      <c r="F81" s="103" t="s">
        <v>1705</v>
      </c>
      <c r="G81" s="103" t="s">
        <v>1707</v>
      </c>
      <c r="H81" s="103" t="s">
        <v>1709</v>
      </c>
      <c r="I81" s="103" t="s">
        <v>1710</v>
      </c>
      <c r="J81" s="107" t="s">
        <v>1711</v>
      </c>
    </row>
    <row r="82" ht="22.5" customHeight="1">
      <c r="A82" s="101" t="s">
        <v>1713</v>
      </c>
      <c r="B82" s="103" t="s">
        <v>195</v>
      </c>
      <c r="C82" s="103" t="s">
        <v>235</v>
      </c>
      <c r="D82" s="103" t="s">
        <v>295</v>
      </c>
      <c r="E82" s="103" t="s">
        <v>1716</v>
      </c>
      <c r="F82" s="103" t="s">
        <v>1717</v>
      </c>
      <c r="G82" s="103" t="s">
        <v>1718</v>
      </c>
      <c r="H82" s="103" t="s">
        <v>1719</v>
      </c>
      <c r="I82" s="103" t="s">
        <v>1720</v>
      </c>
      <c r="J82" s="107" t="s">
        <v>1721</v>
      </c>
    </row>
    <row r="83" ht="22.5" customHeight="1">
      <c r="A83" s="101" t="s">
        <v>1723</v>
      </c>
      <c r="B83" s="103" t="s">
        <v>467</v>
      </c>
      <c r="C83" s="103" t="s">
        <v>235</v>
      </c>
      <c r="D83" s="103" t="s">
        <v>933</v>
      </c>
      <c r="E83" s="103" t="s">
        <v>1726</v>
      </c>
      <c r="F83" s="103" t="s">
        <v>1728</v>
      </c>
      <c r="G83" s="103" t="s">
        <v>1729</v>
      </c>
      <c r="H83" s="103" t="s">
        <v>1730</v>
      </c>
      <c r="I83" s="103" t="s">
        <v>1731</v>
      </c>
      <c r="J83" s="107" t="s">
        <v>1732</v>
      </c>
    </row>
    <row r="84" ht="22.5" customHeight="1">
      <c r="A84" s="101" t="s">
        <v>1734</v>
      </c>
      <c r="B84" s="103" t="s">
        <v>1737</v>
      </c>
      <c r="C84" s="103" t="s">
        <v>235</v>
      </c>
      <c r="D84" s="103" t="s">
        <v>933</v>
      </c>
      <c r="E84" s="103" t="s">
        <v>1740</v>
      </c>
      <c r="F84" s="103" t="s">
        <v>1743</v>
      </c>
      <c r="G84" s="103" t="s">
        <v>1745</v>
      </c>
      <c r="H84" s="103" t="s">
        <v>1747</v>
      </c>
      <c r="I84" s="103" t="s">
        <v>1751</v>
      </c>
      <c r="J84" s="107" t="s">
        <v>1753</v>
      </c>
    </row>
    <row r="85" ht="22.5" customHeight="1">
      <c r="A85" s="101" t="s">
        <v>1756</v>
      </c>
      <c r="B85" s="103" t="s">
        <v>147</v>
      </c>
      <c r="C85" s="103" t="s">
        <v>235</v>
      </c>
      <c r="D85" s="103" t="s">
        <v>403</v>
      </c>
      <c r="E85" s="103" t="s">
        <v>1761</v>
      </c>
      <c r="F85" s="103" t="s">
        <v>1762</v>
      </c>
      <c r="G85" s="103" t="s">
        <v>1764</v>
      </c>
      <c r="H85" s="103" t="s">
        <v>1765</v>
      </c>
      <c r="I85" s="103" t="s">
        <v>1768</v>
      </c>
      <c r="J85" s="107" t="s">
        <v>1769</v>
      </c>
    </row>
    <row r="86" ht="22.5" customHeight="1">
      <c r="A86" s="101" t="s">
        <v>1771</v>
      </c>
      <c r="B86" s="103" t="s">
        <v>367</v>
      </c>
      <c r="C86" s="103" t="s">
        <v>235</v>
      </c>
      <c r="D86" s="103" t="s">
        <v>386</v>
      </c>
      <c r="E86" s="103" t="s">
        <v>1775</v>
      </c>
      <c r="F86" s="103" t="s">
        <v>1778</v>
      </c>
      <c r="G86" s="103" t="s">
        <v>1779</v>
      </c>
      <c r="H86" s="103" t="s">
        <v>1781</v>
      </c>
      <c r="I86" s="103" t="s">
        <v>1783</v>
      </c>
      <c r="J86" s="107" t="s">
        <v>1785</v>
      </c>
    </row>
    <row r="87" ht="22.5" customHeight="1">
      <c r="A87" s="101" t="s">
        <v>1787</v>
      </c>
      <c r="B87" s="103" t="s">
        <v>289</v>
      </c>
      <c r="C87" s="103" t="s">
        <v>235</v>
      </c>
      <c r="D87" s="103" t="s">
        <v>1612</v>
      </c>
      <c r="E87" s="103" t="s">
        <v>1792</v>
      </c>
      <c r="F87" s="103" t="s">
        <v>1793</v>
      </c>
      <c r="G87" s="103" t="s">
        <v>1794</v>
      </c>
      <c r="H87" s="103" t="s">
        <v>1795</v>
      </c>
      <c r="I87" s="103" t="s">
        <v>1796</v>
      </c>
      <c r="J87" s="107" t="s">
        <v>1798</v>
      </c>
    </row>
    <row r="88" ht="22.5" customHeight="1">
      <c r="A88" s="101" t="s">
        <v>1799</v>
      </c>
      <c r="B88" s="103" t="s">
        <v>364</v>
      </c>
      <c r="C88" s="103" t="s">
        <v>235</v>
      </c>
      <c r="D88" s="103" t="s">
        <v>804</v>
      </c>
      <c r="E88" s="103" t="s">
        <v>1805</v>
      </c>
      <c r="F88" s="103" t="s">
        <v>1806</v>
      </c>
      <c r="G88" s="103" t="s">
        <v>1807</v>
      </c>
      <c r="H88" s="103" t="s">
        <v>1809</v>
      </c>
      <c r="I88" s="103" t="s">
        <v>1811</v>
      </c>
      <c r="J88" s="107" t="s">
        <v>1812</v>
      </c>
    </row>
    <row r="89" ht="22.5" customHeight="1">
      <c r="A89" s="101" t="s">
        <v>1813</v>
      </c>
      <c r="B89" s="103" t="s">
        <v>433</v>
      </c>
      <c r="C89" s="103" t="s">
        <v>235</v>
      </c>
      <c r="D89" s="103" t="s">
        <v>1513</v>
      </c>
      <c r="E89" s="103" t="s">
        <v>1816</v>
      </c>
      <c r="F89" s="103" t="s">
        <v>1818</v>
      </c>
      <c r="G89" s="103" t="s">
        <v>1820</v>
      </c>
      <c r="H89" s="103" t="s">
        <v>1821</v>
      </c>
      <c r="I89" s="103" t="s">
        <v>1823</v>
      </c>
      <c r="J89" s="107" t="s">
        <v>1825</v>
      </c>
    </row>
    <row r="90" ht="22.5" customHeight="1">
      <c r="A90" s="101" t="s">
        <v>1829</v>
      </c>
      <c r="B90" s="103" t="s">
        <v>1832</v>
      </c>
      <c r="C90" s="103" t="s">
        <v>235</v>
      </c>
      <c r="D90" s="103" t="s">
        <v>1834</v>
      </c>
      <c r="E90" s="103" t="s">
        <v>1836</v>
      </c>
      <c r="F90" s="103" t="s">
        <v>1838</v>
      </c>
      <c r="G90" s="103" t="s">
        <v>1839</v>
      </c>
      <c r="H90" s="103" t="s">
        <v>1842</v>
      </c>
      <c r="I90" s="103" t="s">
        <v>1844</v>
      </c>
      <c r="J90" s="107" t="s">
        <v>1845</v>
      </c>
    </row>
    <row r="91" ht="22.5" customHeight="1">
      <c r="A91" s="101" t="s">
        <v>1848</v>
      </c>
      <c r="B91" s="103" t="s">
        <v>766</v>
      </c>
      <c r="C91" s="103" t="s">
        <v>235</v>
      </c>
      <c r="D91" s="103" t="s">
        <v>315</v>
      </c>
      <c r="E91" s="103" t="s">
        <v>1850</v>
      </c>
      <c r="F91" s="103" t="s">
        <v>1853</v>
      </c>
      <c r="G91" s="103" t="s">
        <v>1854</v>
      </c>
      <c r="H91" s="103" t="s">
        <v>1855</v>
      </c>
      <c r="I91" s="103" t="s">
        <v>1856</v>
      </c>
      <c r="J91" s="107" t="s">
        <v>1858</v>
      </c>
    </row>
    <row r="92" ht="22.5" customHeight="1">
      <c r="A92" s="101" t="s">
        <v>1859</v>
      </c>
      <c r="B92" s="103" t="s">
        <v>513</v>
      </c>
      <c r="C92" s="103" t="s">
        <v>235</v>
      </c>
      <c r="D92" s="103" t="s">
        <v>569</v>
      </c>
      <c r="E92" s="103" t="s">
        <v>1862</v>
      </c>
      <c r="F92" s="103" t="s">
        <v>1864</v>
      </c>
      <c r="G92" s="103" t="s">
        <v>1867</v>
      </c>
      <c r="H92" s="103" t="s">
        <v>1868</v>
      </c>
      <c r="I92" s="103" t="s">
        <v>1870</v>
      </c>
      <c r="J92" s="107" t="s">
        <v>1871</v>
      </c>
    </row>
    <row r="93" ht="22.5" customHeight="1">
      <c r="A93" s="101" t="s">
        <v>1874</v>
      </c>
      <c r="B93" s="103" t="s">
        <v>416</v>
      </c>
      <c r="C93" s="103" t="s">
        <v>235</v>
      </c>
      <c r="D93" s="103" t="s">
        <v>804</v>
      </c>
      <c r="E93" s="103" t="s">
        <v>1878</v>
      </c>
      <c r="F93" s="103" t="s">
        <v>1880</v>
      </c>
      <c r="G93" s="103" t="s">
        <v>1882</v>
      </c>
      <c r="H93" s="103" t="s">
        <v>1884</v>
      </c>
      <c r="I93" s="103" t="s">
        <v>1885</v>
      </c>
      <c r="J93" s="107" t="s">
        <v>1887</v>
      </c>
    </row>
    <row r="94" ht="22.5" customHeight="1">
      <c r="A94" s="101" t="s">
        <v>1889</v>
      </c>
      <c r="B94" s="103" t="s">
        <v>330</v>
      </c>
      <c r="C94" s="103" t="s">
        <v>235</v>
      </c>
      <c r="D94" s="103" t="s">
        <v>1891</v>
      </c>
      <c r="E94" s="103" t="s">
        <v>1892</v>
      </c>
      <c r="F94" s="103" t="s">
        <v>1893</v>
      </c>
      <c r="G94" s="103" t="s">
        <v>1894</v>
      </c>
      <c r="H94" s="103" t="s">
        <v>1895</v>
      </c>
      <c r="I94" s="103" t="s">
        <v>1896</v>
      </c>
      <c r="J94" s="107" t="s">
        <v>1899</v>
      </c>
    </row>
    <row r="95" ht="22.5" customHeight="1">
      <c r="A95" s="101" t="s">
        <v>1902</v>
      </c>
      <c r="B95" s="103" t="s">
        <v>612</v>
      </c>
      <c r="C95" s="103" t="s">
        <v>235</v>
      </c>
      <c r="D95" s="103" t="s">
        <v>1905</v>
      </c>
      <c r="E95" s="103" t="s">
        <v>1908</v>
      </c>
      <c r="F95" s="103" t="s">
        <v>1910</v>
      </c>
      <c r="G95" s="103" t="s">
        <v>1912</v>
      </c>
      <c r="H95" s="103" t="s">
        <v>1914</v>
      </c>
      <c r="I95" s="103" t="s">
        <v>1915</v>
      </c>
      <c r="J95" s="107" t="s">
        <v>1917</v>
      </c>
    </row>
    <row r="96" ht="22.5" customHeight="1">
      <c r="A96" s="101" t="s">
        <v>1920</v>
      </c>
      <c r="B96" s="103" t="s">
        <v>424</v>
      </c>
      <c r="C96" s="103" t="s">
        <v>235</v>
      </c>
      <c r="D96" s="103" t="s">
        <v>569</v>
      </c>
      <c r="E96" s="103" t="s">
        <v>1925</v>
      </c>
      <c r="F96" s="103" t="s">
        <v>1927</v>
      </c>
      <c r="G96" s="103" t="s">
        <v>1930</v>
      </c>
      <c r="H96" s="103" t="s">
        <v>1932</v>
      </c>
      <c r="I96" s="103" t="s">
        <v>1933</v>
      </c>
      <c r="J96" s="107" t="s">
        <v>1934</v>
      </c>
    </row>
    <row r="97" ht="22.5" customHeight="1">
      <c r="A97" s="101" t="s">
        <v>1937</v>
      </c>
      <c r="B97" s="103" t="s">
        <v>455</v>
      </c>
      <c r="C97" s="103" t="s">
        <v>235</v>
      </c>
      <c r="D97" s="103" t="s">
        <v>403</v>
      </c>
      <c r="E97" s="103" t="s">
        <v>1940</v>
      </c>
      <c r="F97" s="103" t="s">
        <v>1942</v>
      </c>
      <c r="G97" s="103" t="s">
        <v>1945</v>
      </c>
      <c r="H97" s="103" t="s">
        <v>1946</v>
      </c>
      <c r="I97" s="103" t="s">
        <v>1948</v>
      </c>
      <c r="J97" s="107" t="s">
        <v>1950</v>
      </c>
    </row>
    <row r="98" ht="22.5" customHeight="1">
      <c r="A98" s="101" t="s">
        <v>1953</v>
      </c>
      <c r="B98" s="103" t="s">
        <v>262</v>
      </c>
      <c r="C98" s="103" t="s">
        <v>235</v>
      </c>
      <c r="D98" s="103" t="s">
        <v>1834</v>
      </c>
      <c r="E98" s="103" t="s">
        <v>1956</v>
      </c>
      <c r="F98" s="103" t="s">
        <v>1958</v>
      </c>
      <c r="G98" s="103" t="s">
        <v>1959</v>
      </c>
      <c r="H98" s="103" t="s">
        <v>1960</v>
      </c>
      <c r="I98" s="103" t="s">
        <v>1962</v>
      </c>
      <c r="J98" s="107" t="s">
        <v>1964</v>
      </c>
    </row>
    <row r="99" ht="22.5" customHeight="1">
      <c r="A99" s="101" t="s">
        <v>1966</v>
      </c>
      <c r="B99" s="103" t="s">
        <v>364</v>
      </c>
      <c r="C99" s="103" t="s">
        <v>235</v>
      </c>
      <c r="D99" s="103" t="s">
        <v>1968</v>
      </c>
      <c r="E99" s="103" t="s">
        <v>1970</v>
      </c>
      <c r="F99" s="103" t="s">
        <v>1972</v>
      </c>
      <c r="G99" s="103" t="s">
        <v>1973</v>
      </c>
      <c r="H99" s="103" t="s">
        <v>1974</v>
      </c>
      <c r="I99" s="103" t="s">
        <v>1977</v>
      </c>
      <c r="J99" s="107" t="s">
        <v>1979</v>
      </c>
    </row>
    <row r="100" ht="22.5" customHeight="1">
      <c r="A100" s="101" t="s">
        <v>1981</v>
      </c>
      <c r="B100" s="103" t="s">
        <v>433</v>
      </c>
      <c r="C100" s="103" t="s">
        <v>235</v>
      </c>
      <c r="D100" s="103" t="s">
        <v>1985</v>
      </c>
      <c r="E100" s="103" t="s">
        <v>1987</v>
      </c>
      <c r="F100" s="103" t="s">
        <v>1990</v>
      </c>
      <c r="G100" s="103" t="s">
        <v>1992</v>
      </c>
      <c r="H100" s="103" t="s">
        <v>1993</v>
      </c>
      <c r="I100" s="103" t="s">
        <v>1996</v>
      </c>
      <c r="J100" s="107" t="s">
        <v>1999</v>
      </c>
    </row>
    <row r="101" ht="22.5" customHeight="1">
      <c r="A101" s="101" t="s">
        <v>2002</v>
      </c>
      <c r="B101" s="103" t="s">
        <v>513</v>
      </c>
      <c r="C101" s="103" t="s">
        <v>235</v>
      </c>
      <c r="D101" s="103" t="s">
        <v>1310</v>
      </c>
      <c r="E101" s="103" t="s">
        <v>2008</v>
      </c>
      <c r="F101" s="103" t="s">
        <v>2010</v>
      </c>
      <c r="G101" s="103" t="s">
        <v>2011</v>
      </c>
      <c r="H101" s="103" t="s">
        <v>2012</v>
      </c>
      <c r="I101" s="103" t="s">
        <v>2013</v>
      </c>
      <c r="J101" s="107" t="s">
        <v>2015</v>
      </c>
    </row>
    <row r="102" ht="22.5" customHeight="1">
      <c r="A102" s="101" t="s">
        <v>2018</v>
      </c>
      <c r="B102" s="103" t="s">
        <v>330</v>
      </c>
      <c r="C102" s="103" t="s">
        <v>235</v>
      </c>
      <c r="D102" s="103" t="s">
        <v>370</v>
      </c>
      <c r="E102" s="103" t="s">
        <v>2021</v>
      </c>
      <c r="F102" s="103" t="s">
        <v>2023</v>
      </c>
      <c r="G102" s="103" t="s">
        <v>2025</v>
      </c>
      <c r="H102" s="103" t="s">
        <v>2026</v>
      </c>
      <c r="I102" s="103" t="s">
        <v>2029</v>
      </c>
      <c r="J102" s="107" t="s">
        <v>2030</v>
      </c>
    </row>
    <row r="103" ht="22.5" customHeight="1">
      <c r="A103" s="101" t="s">
        <v>2033</v>
      </c>
      <c r="B103" s="103" t="s">
        <v>254</v>
      </c>
      <c r="C103" s="103" t="s">
        <v>235</v>
      </c>
      <c r="D103" s="103" t="s">
        <v>2035</v>
      </c>
      <c r="E103" s="103" t="s">
        <v>2036</v>
      </c>
      <c r="F103" s="103" t="s">
        <v>2038</v>
      </c>
      <c r="G103" s="103" t="s">
        <v>2040</v>
      </c>
      <c r="H103" s="103" t="s">
        <v>2041</v>
      </c>
      <c r="I103" s="103" t="s">
        <v>2042</v>
      </c>
      <c r="J103" s="107" t="s">
        <v>2044</v>
      </c>
    </row>
    <row r="104" ht="22.5" customHeight="1">
      <c r="A104" s="101" t="s">
        <v>2047</v>
      </c>
      <c r="B104" s="103" t="s">
        <v>612</v>
      </c>
      <c r="C104" s="103" t="s">
        <v>235</v>
      </c>
      <c r="D104" s="103" t="s">
        <v>295</v>
      </c>
      <c r="E104" s="103" t="s">
        <v>2049</v>
      </c>
      <c r="F104" s="103" t="s">
        <v>2051</v>
      </c>
      <c r="G104" s="103" t="s">
        <v>2053</v>
      </c>
      <c r="H104" s="103" t="s">
        <v>2054</v>
      </c>
      <c r="I104" s="103" t="s">
        <v>2055</v>
      </c>
      <c r="J104" s="107" t="s">
        <v>2059</v>
      </c>
    </row>
    <row r="105" ht="22.5" customHeight="1">
      <c r="A105" s="101" t="s">
        <v>2063</v>
      </c>
      <c r="B105" s="103" t="s">
        <v>1065</v>
      </c>
      <c r="C105" s="103" t="s">
        <v>235</v>
      </c>
      <c r="D105" s="103" t="s">
        <v>2065</v>
      </c>
      <c r="E105" s="103" t="s">
        <v>2066</v>
      </c>
      <c r="F105" s="103" t="s">
        <v>2069</v>
      </c>
      <c r="G105" s="103" t="s">
        <v>2072</v>
      </c>
      <c r="H105" s="103" t="s">
        <v>2074</v>
      </c>
      <c r="I105" s="103" t="s">
        <v>2076</v>
      </c>
      <c r="J105" s="107" t="s">
        <v>2077</v>
      </c>
    </row>
    <row r="106" ht="22.5" customHeight="1">
      <c r="A106" s="101" t="s">
        <v>2081</v>
      </c>
      <c r="B106" s="103" t="s">
        <v>313</v>
      </c>
      <c r="C106" s="103" t="s">
        <v>235</v>
      </c>
      <c r="D106" s="103" t="s">
        <v>1612</v>
      </c>
      <c r="E106" s="103" t="s">
        <v>2086</v>
      </c>
      <c r="F106" s="103" t="s">
        <v>2088</v>
      </c>
      <c r="G106" s="103" t="s">
        <v>2089</v>
      </c>
      <c r="H106" s="103" t="s">
        <v>2091</v>
      </c>
      <c r="I106" s="103" t="s">
        <v>2092</v>
      </c>
      <c r="J106" s="107" t="s">
        <v>2093</v>
      </c>
    </row>
    <row r="107" ht="22.5" customHeight="1">
      <c r="A107" s="101" t="s">
        <v>2096</v>
      </c>
      <c r="B107" s="103" t="s">
        <v>457</v>
      </c>
      <c r="C107" s="103" t="s">
        <v>235</v>
      </c>
      <c r="D107" s="103" t="s">
        <v>1337</v>
      </c>
      <c r="E107" s="103" t="s">
        <v>2098</v>
      </c>
      <c r="F107" s="103" t="s">
        <v>2099</v>
      </c>
      <c r="G107" s="103" t="s">
        <v>2100</v>
      </c>
      <c r="H107" s="103" t="s">
        <v>2101</v>
      </c>
      <c r="I107" s="103" t="s">
        <v>2102</v>
      </c>
      <c r="J107" s="107" t="s">
        <v>2103</v>
      </c>
    </row>
    <row r="108" ht="22.5" customHeight="1">
      <c r="A108" s="101" t="s">
        <v>2104</v>
      </c>
      <c r="B108" s="103" t="s">
        <v>289</v>
      </c>
      <c r="C108" s="103" t="s">
        <v>235</v>
      </c>
      <c r="D108" s="103" t="s">
        <v>2105</v>
      </c>
      <c r="E108" s="103" t="s">
        <v>2106</v>
      </c>
      <c r="F108" s="103" t="s">
        <v>2107</v>
      </c>
      <c r="G108" s="103" t="s">
        <v>2108</v>
      </c>
      <c r="H108" s="103" t="s">
        <v>2109</v>
      </c>
      <c r="I108" s="103" t="s">
        <v>2110</v>
      </c>
      <c r="J108" s="107" t="s">
        <v>2111</v>
      </c>
    </row>
    <row r="109" ht="22.5" customHeight="1">
      <c r="A109" s="101" t="s">
        <v>2113</v>
      </c>
      <c r="B109" s="103" t="s">
        <v>289</v>
      </c>
      <c r="C109" s="103" t="s">
        <v>235</v>
      </c>
      <c r="D109" s="103" t="s">
        <v>2105</v>
      </c>
      <c r="E109" s="103" t="s">
        <v>2106</v>
      </c>
      <c r="F109" s="103" t="s">
        <v>2107</v>
      </c>
      <c r="G109" s="103" t="s">
        <v>2108</v>
      </c>
      <c r="H109" s="103" t="s">
        <v>2109</v>
      </c>
      <c r="I109" s="103" t="s">
        <v>2110</v>
      </c>
      <c r="J109" s="107" t="s">
        <v>2118</v>
      </c>
    </row>
    <row r="110" ht="22.5" customHeight="1">
      <c r="A110" s="101" t="s">
        <v>2119</v>
      </c>
      <c r="B110" s="103" t="s">
        <v>586</v>
      </c>
      <c r="C110" s="103" t="s">
        <v>235</v>
      </c>
      <c r="D110" s="103" t="s">
        <v>641</v>
      </c>
      <c r="E110" s="103" t="s">
        <v>2125</v>
      </c>
      <c r="F110" s="103" t="s">
        <v>2126</v>
      </c>
      <c r="G110" s="103" t="s">
        <v>2127</v>
      </c>
      <c r="H110" s="103" t="s">
        <v>2131</v>
      </c>
      <c r="I110" s="103" t="s">
        <v>2133</v>
      </c>
      <c r="J110" s="107" t="s">
        <v>2135</v>
      </c>
    </row>
    <row r="111" ht="22.5" customHeight="1">
      <c r="A111" s="101" t="s">
        <v>2136</v>
      </c>
      <c r="B111" s="103" t="s">
        <v>364</v>
      </c>
      <c r="C111" s="103" t="s">
        <v>235</v>
      </c>
      <c r="D111" s="103" t="s">
        <v>1612</v>
      </c>
      <c r="E111" s="103" t="s">
        <v>2139</v>
      </c>
      <c r="F111" s="103" t="s">
        <v>2141</v>
      </c>
      <c r="G111" s="103" t="s">
        <v>2144</v>
      </c>
      <c r="H111" s="103" t="s">
        <v>2146</v>
      </c>
      <c r="I111" s="103" t="s">
        <v>1447</v>
      </c>
      <c r="J111" s="107" t="s">
        <v>2148</v>
      </c>
    </row>
    <row r="112" ht="22.5" customHeight="1">
      <c r="A112" s="101" t="s">
        <v>2151</v>
      </c>
      <c r="B112" s="103" t="s">
        <v>513</v>
      </c>
      <c r="C112" s="103" t="s">
        <v>235</v>
      </c>
      <c r="D112" s="103" t="s">
        <v>804</v>
      </c>
      <c r="E112" s="103" t="s">
        <v>2158</v>
      </c>
      <c r="F112" s="103" t="s">
        <v>2159</v>
      </c>
      <c r="G112" s="103" t="s">
        <v>2160</v>
      </c>
      <c r="H112" s="103" t="s">
        <v>2161</v>
      </c>
      <c r="I112" s="103" t="s">
        <v>2163</v>
      </c>
      <c r="J112" s="107" t="s">
        <v>2165</v>
      </c>
    </row>
    <row r="113" ht="22.5" customHeight="1">
      <c r="A113" s="101" t="s">
        <v>2168</v>
      </c>
      <c r="B113" s="103" t="s">
        <v>227</v>
      </c>
      <c r="C113" s="103" t="s">
        <v>235</v>
      </c>
      <c r="D113" s="103" t="s">
        <v>804</v>
      </c>
      <c r="E113" s="103" t="s">
        <v>2172</v>
      </c>
      <c r="F113" s="103" t="s">
        <v>2173</v>
      </c>
      <c r="G113" s="103" t="s">
        <v>2174</v>
      </c>
      <c r="H113" s="103" t="s">
        <v>2175</v>
      </c>
      <c r="I113" s="103" t="s">
        <v>2177</v>
      </c>
      <c r="J113" s="107" t="s">
        <v>2180</v>
      </c>
    </row>
    <row r="114" ht="22.5" customHeight="1">
      <c r="A114" s="101" t="s">
        <v>2181</v>
      </c>
      <c r="B114" s="103" t="s">
        <v>1065</v>
      </c>
      <c r="C114" s="103" t="s">
        <v>235</v>
      </c>
      <c r="D114" s="103" t="s">
        <v>386</v>
      </c>
      <c r="E114" s="103" t="s">
        <v>2185</v>
      </c>
      <c r="F114" s="103" t="s">
        <v>2186</v>
      </c>
      <c r="G114" s="103" t="s">
        <v>2188</v>
      </c>
      <c r="H114" s="103" t="s">
        <v>2189</v>
      </c>
      <c r="I114" s="103" t="s">
        <v>2191</v>
      </c>
      <c r="J114" s="107" t="s">
        <v>2193</v>
      </c>
    </row>
    <row r="115" ht="22.5" customHeight="1">
      <c r="A115" s="101" t="s">
        <v>2194</v>
      </c>
      <c r="B115" s="103" t="s">
        <v>1737</v>
      </c>
      <c r="C115" s="103" t="s">
        <v>235</v>
      </c>
      <c r="D115" s="103" t="s">
        <v>370</v>
      </c>
      <c r="E115" s="103" t="s">
        <v>2197</v>
      </c>
      <c r="F115" s="103" t="s">
        <v>2200</v>
      </c>
      <c r="G115" s="103" t="s">
        <v>2201</v>
      </c>
      <c r="H115" s="103" t="s">
        <v>2202</v>
      </c>
      <c r="I115" s="103" t="s">
        <v>2203</v>
      </c>
      <c r="J115" s="107" t="s">
        <v>2205</v>
      </c>
    </row>
    <row r="116" ht="22.5" customHeight="1">
      <c r="A116" s="101" t="s">
        <v>466</v>
      </c>
      <c r="B116" s="103" t="s">
        <v>467</v>
      </c>
      <c r="C116" s="103" t="s">
        <v>235</v>
      </c>
      <c r="D116" s="103" t="s">
        <v>468</v>
      </c>
      <c r="E116" s="103" t="s">
        <v>469</v>
      </c>
      <c r="F116" s="103" t="s">
        <v>471</v>
      </c>
      <c r="G116" s="103" t="s">
        <v>472</v>
      </c>
      <c r="H116" s="103" t="s">
        <v>473</v>
      </c>
      <c r="I116" s="103" t="s">
        <v>474</v>
      </c>
      <c r="J116" s="107" t="s">
        <v>475</v>
      </c>
    </row>
    <row r="117" ht="22.5" customHeight="1">
      <c r="A117" s="101" t="s">
        <v>2216</v>
      </c>
      <c r="B117" s="103" t="s">
        <v>238</v>
      </c>
      <c r="C117" s="103" t="s">
        <v>235</v>
      </c>
      <c r="D117" s="103" t="s">
        <v>933</v>
      </c>
      <c r="E117" s="103" t="s">
        <v>2221</v>
      </c>
      <c r="F117" s="103" t="s">
        <v>2224</v>
      </c>
      <c r="G117" s="103" t="s">
        <v>2225</v>
      </c>
      <c r="H117" s="103" t="s">
        <v>2226</v>
      </c>
      <c r="I117" s="103" t="s">
        <v>2227</v>
      </c>
      <c r="J117" s="107" t="s">
        <v>2229</v>
      </c>
    </row>
    <row r="118" ht="22.5" customHeight="1">
      <c r="A118" s="101" t="s">
        <v>2232</v>
      </c>
      <c r="B118" s="103" t="s">
        <v>147</v>
      </c>
      <c r="C118" s="103" t="s">
        <v>235</v>
      </c>
      <c r="D118" s="103" t="s">
        <v>804</v>
      </c>
      <c r="E118" s="103" t="s">
        <v>2233</v>
      </c>
      <c r="F118" s="103" t="s">
        <v>2234</v>
      </c>
      <c r="G118" s="103" t="s">
        <v>2235</v>
      </c>
      <c r="H118" s="103" t="s">
        <v>2237</v>
      </c>
      <c r="I118" s="103" t="s">
        <v>2240</v>
      </c>
      <c r="J118" s="107" t="s">
        <v>2241</v>
      </c>
    </row>
    <row r="119" ht="22.5" customHeight="1">
      <c r="A119" s="101" t="s">
        <v>2242</v>
      </c>
      <c r="B119" s="103" t="s">
        <v>364</v>
      </c>
      <c r="C119" s="103" t="s">
        <v>235</v>
      </c>
      <c r="D119" s="103" t="s">
        <v>804</v>
      </c>
      <c r="E119" s="103" t="s">
        <v>2246</v>
      </c>
      <c r="F119" s="103" t="s">
        <v>2247</v>
      </c>
      <c r="G119" s="103" t="s">
        <v>2248</v>
      </c>
      <c r="H119" s="103" t="s">
        <v>2249</v>
      </c>
      <c r="I119" s="103" t="s">
        <v>2250</v>
      </c>
      <c r="J119" s="107" t="s">
        <v>2252</v>
      </c>
    </row>
    <row r="120" ht="22.5" customHeight="1">
      <c r="A120" s="101" t="s">
        <v>2255</v>
      </c>
      <c r="B120" s="103" t="s">
        <v>586</v>
      </c>
      <c r="C120" s="103" t="s">
        <v>235</v>
      </c>
      <c r="D120" s="103" t="s">
        <v>403</v>
      </c>
      <c r="E120" s="103" t="s">
        <v>2261</v>
      </c>
      <c r="F120" s="103" t="s">
        <v>2264</v>
      </c>
      <c r="G120" s="103" t="s">
        <v>2268</v>
      </c>
      <c r="H120" s="103" t="s">
        <v>2270</v>
      </c>
      <c r="I120" s="103" t="s">
        <v>2273</v>
      </c>
      <c r="J120" s="107" t="s">
        <v>2277</v>
      </c>
    </row>
    <row r="121" ht="22.5" customHeight="1">
      <c r="A121" s="101" t="s">
        <v>2280</v>
      </c>
      <c r="B121" s="103" t="s">
        <v>254</v>
      </c>
      <c r="C121" s="103" t="s">
        <v>235</v>
      </c>
      <c r="D121" s="103" t="s">
        <v>410</v>
      </c>
      <c r="E121" s="103" t="s">
        <v>2288</v>
      </c>
      <c r="F121" s="103" t="s">
        <v>2289</v>
      </c>
      <c r="G121" s="103" t="s">
        <v>2291</v>
      </c>
      <c r="H121" s="103" t="s">
        <v>2293</v>
      </c>
      <c r="I121" s="103" t="s">
        <v>2295</v>
      </c>
      <c r="J121" s="107" t="s">
        <v>2296</v>
      </c>
    </row>
    <row r="122" ht="22.5" customHeight="1">
      <c r="A122" s="101" t="s">
        <v>2299</v>
      </c>
      <c r="B122" s="103" t="s">
        <v>612</v>
      </c>
      <c r="C122" s="103" t="s">
        <v>235</v>
      </c>
      <c r="D122" s="103" t="s">
        <v>783</v>
      </c>
      <c r="E122" s="103" t="s">
        <v>2303</v>
      </c>
      <c r="F122" s="103" t="s">
        <v>2304</v>
      </c>
      <c r="G122" s="103" t="s">
        <v>2306</v>
      </c>
      <c r="H122" s="103" t="s">
        <v>2308</v>
      </c>
      <c r="I122" s="103" t="s">
        <v>2310</v>
      </c>
      <c r="J122" s="107" t="s">
        <v>2311</v>
      </c>
    </row>
    <row r="123" ht="22.5" customHeight="1">
      <c r="A123" s="101" t="s">
        <v>2313</v>
      </c>
      <c r="B123" s="103" t="s">
        <v>457</v>
      </c>
      <c r="C123" s="103" t="s">
        <v>235</v>
      </c>
      <c r="D123" s="103" t="s">
        <v>2316</v>
      </c>
      <c r="E123" s="103" t="s">
        <v>2318</v>
      </c>
      <c r="F123" s="103" t="s">
        <v>2321</v>
      </c>
      <c r="G123" s="103" t="s">
        <v>2323</v>
      </c>
      <c r="H123" s="103" t="s">
        <v>2324</v>
      </c>
      <c r="I123" s="103" t="s">
        <v>2326</v>
      </c>
      <c r="J123" s="107" t="s">
        <v>2327</v>
      </c>
    </row>
    <row r="124" ht="22.5" customHeight="1">
      <c r="A124" s="101" t="s">
        <v>2331</v>
      </c>
      <c r="B124" s="103" t="s">
        <v>289</v>
      </c>
      <c r="C124" s="103" t="s">
        <v>235</v>
      </c>
      <c r="D124" s="103" t="s">
        <v>410</v>
      </c>
      <c r="E124" s="103" t="s">
        <v>2342</v>
      </c>
      <c r="F124" s="103" t="s">
        <v>2346</v>
      </c>
      <c r="G124" s="103" t="s">
        <v>2348</v>
      </c>
      <c r="H124" s="103" t="s">
        <v>418</v>
      </c>
      <c r="I124" s="103" t="s">
        <v>2350</v>
      </c>
      <c r="J124" s="107" t="s">
        <v>2351</v>
      </c>
    </row>
    <row r="125" ht="22.5" customHeight="1">
      <c r="A125" s="101" t="s">
        <v>2354</v>
      </c>
      <c r="B125" s="103" t="s">
        <v>364</v>
      </c>
      <c r="C125" s="103" t="s">
        <v>235</v>
      </c>
      <c r="D125" s="103" t="s">
        <v>403</v>
      </c>
      <c r="E125" s="103" t="s">
        <v>2357</v>
      </c>
      <c r="F125" s="103" t="s">
        <v>2359</v>
      </c>
      <c r="G125" s="103" t="s">
        <v>2360</v>
      </c>
      <c r="H125" s="103" t="s">
        <v>1974</v>
      </c>
      <c r="I125" s="103" t="s">
        <v>2364</v>
      </c>
      <c r="J125" s="107" t="s">
        <v>2365</v>
      </c>
    </row>
    <row r="126" ht="22.5" customHeight="1">
      <c r="A126" s="101" t="s">
        <v>2367</v>
      </c>
      <c r="B126" s="103" t="s">
        <v>513</v>
      </c>
      <c r="C126" s="103" t="s">
        <v>235</v>
      </c>
      <c r="D126" s="103" t="s">
        <v>1265</v>
      </c>
      <c r="E126" s="103" t="s">
        <v>2371</v>
      </c>
      <c r="F126" s="103" t="s">
        <v>2373</v>
      </c>
      <c r="G126" s="103" t="s">
        <v>2375</v>
      </c>
      <c r="H126" s="103" t="s">
        <v>2161</v>
      </c>
      <c r="I126" s="103" t="s">
        <v>344</v>
      </c>
      <c r="J126" s="107" t="s">
        <v>2377</v>
      </c>
    </row>
    <row r="127" ht="22.5" customHeight="1">
      <c r="A127" s="101" t="s">
        <v>2380</v>
      </c>
      <c r="B127" s="103" t="s">
        <v>612</v>
      </c>
      <c r="C127" s="103" t="s">
        <v>235</v>
      </c>
      <c r="D127" s="103" t="s">
        <v>933</v>
      </c>
      <c r="E127" s="103" t="s">
        <v>2386</v>
      </c>
      <c r="F127" s="103" t="s">
        <v>2389</v>
      </c>
      <c r="G127" s="103" t="s">
        <v>2391</v>
      </c>
      <c r="H127" s="103" t="s">
        <v>2394</v>
      </c>
      <c r="I127" s="103" t="s">
        <v>2397</v>
      </c>
      <c r="J127" s="107" t="s">
        <v>2399</v>
      </c>
    </row>
    <row r="128" ht="22.5" customHeight="1">
      <c r="A128" s="101" t="s">
        <v>2401</v>
      </c>
      <c r="B128" s="103" t="s">
        <v>262</v>
      </c>
      <c r="C128" s="103" t="s">
        <v>235</v>
      </c>
      <c r="D128" s="103" t="s">
        <v>569</v>
      </c>
      <c r="E128" s="103" t="s">
        <v>2406</v>
      </c>
      <c r="F128" s="103" t="s">
        <v>2408</v>
      </c>
      <c r="G128" s="103" t="s">
        <v>2409</v>
      </c>
      <c r="H128" s="103" t="s">
        <v>538</v>
      </c>
      <c r="I128" s="103" t="s">
        <v>2413</v>
      </c>
      <c r="J128" s="107" t="s">
        <v>2415</v>
      </c>
    </row>
    <row r="129" ht="22.5" customHeight="1">
      <c r="A129" s="101" t="s">
        <v>2416</v>
      </c>
      <c r="B129" s="103" t="s">
        <v>324</v>
      </c>
      <c r="C129" s="103" t="s">
        <v>235</v>
      </c>
      <c r="D129" s="103" t="s">
        <v>804</v>
      </c>
      <c r="E129" s="103" t="s">
        <v>2417</v>
      </c>
      <c r="F129" s="103" t="s">
        <v>2418</v>
      </c>
      <c r="G129" s="103" t="s">
        <v>2419</v>
      </c>
      <c r="H129" s="103" t="s">
        <v>2420</v>
      </c>
      <c r="I129" s="103" t="s">
        <v>2421</v>
      </c>
      <c r="J129" s="103" t="s">
        <v>2422</v>
      </c>
    </row>
    <row r="130" ht="22.5" customHeight="1">
      <c r="A130" s="101" t="s">
        <v>2424</v>
      </c>
      <c r="B130" s="103" t="s">
        <v>549</v>
      </c>
      <c r="C130" s="103" t="s">
        <v>235</v>
      </c>
      <c r="D130" s="103" t="s">
        <v>403</v>
      </c>
      <c r="E130" s="103" t="s">
        <v>2427</v>
      </c>
      <c r="F130" s="103" t="s">
        <v>2430</v>
      </c>
      <c r="G130" s="103" t="s">
        <v>2431</v>
      </c>
      <c r="H130" s="103" t="s">
        <v>2433</v>
      </c>
      <c r="I130" s="103" t="s">
        <v>2435</v>
      </c>
      <c r="J130" s="103" t="s">
        <v>2437</v>
      </c>
    </row>
    <row r="131" ht="22.5" customHeight="1">
      <c r="A131" s="101" t="s">
        <v>2439</v>
      </c>
      <c r="B131" s="103" t="s">
        <v>364</v>
      </c>
      <c r="C131" s="103" t="s">
        <v>235</v>
      </c>
      <c r="D131" s="103" t="s">
        <v>370</v>
      </c>
      <c r="E131" s="103" t="s">
        <v>2440</v>
      </c>
      <c r="F131" s="103" t="s">
        <v>2441</v>
      </c>
      <c r="G131" s="103" t="s">
        <v>2442</v>
      </c>
      <c r="H131" s="103" t="s">
        <v>2443</v>
      </c>
      <c r="I131" s="103" t="s">
        <v>2444</v>
      </c>
      <c r="J131" s="103" t="s">
        <v>2445</v>
      </c>
    </row>
    <row r="132" ht="22.5" customHeight="1">
      <c r="A132" s="101" t="s">
        <v>2446</v>
      </c>
      <c r="B132" s="103" t="s">
        <v>612</v>
      </c>
      <c r="C132" s="103" t="s">
        <v>235</v>
      </c>
      <c r="D132" s="103" t="s">
        <v>1265</v>
      </c>
      <c r="E132" s="103" t="s">
        <v>2447</v>
      </c>
      <c r="F132" s="103" t="s">
        <v>2448</v>
      </c>
      <c r="G132" s="103" t="s">
        <v>2449</v>
      </c>
      <c r="H132" s="103" t="s">
        <v>2450</v>
      </c>
      <c r="I132" s="103" t="s">
        <v>2451</v>
      </c>
      <c r="J132" s="103" t="s">
        <v>2452</v>
      </c>
    </row>
    <row r="133" ht="22.5" customHeight="1">
      <c r="A133" s="101" t="s">
        <v>566</v>
      </c>
      <c r="B133" s="103" t="s">
        <v>457</v>
      </c>
      <c r="C133" s="103" t="s">
        <v>235</v>
      </c>
      <c r="D133" s="103" t="s">
        <v>568</v>
      </c>
      <c r="E133" s="103" t="s">
        <v>570</v>
      </c>
      <c r="F133" s="103" t="s">
        <v>571</v>
      </c>
      <c r="G133" s="103" t="s">
        <v>572</v>
      </c>
      <c r="H133" s="103" t="s">
        <v>574</v>
      </c>
      <c r="I133" s="103" t="s">
        <v>575</v>
      </c>
      <c r="J133" s="103" t="s">
        <v>577</v>
      </c>
    </row>
    <row r="134" ht="22.5" customHeight="1">
      <c r="A134" s="101" t="s">
        <v>2463</v>
      </c>
      <c r="B134" s="103" t="s">
        <v>586</v>
      </c>
      <c r="C134" s="103" t="s">
        <v>235</v>
      </c>
      <c r="D134" s="103" t="s">
        <v>2464</v>
      </c>
      <c r="E134" s="103" t="s">
        <v>2465</v>
      </c>
      <c r="F134" s="103" t="s">
        <v>2466</v>
      </c>
      <c r="G134" s="103" t="s">
        <v>2467</v>
      </c>
      <c r="H134" s="103" t="s">
        <v>2469</v>
      </c>
      <c r="I134" s="103" t="s">
        <v>2470</v>
      </c>
      <c r="J134" s="103" t="s">
        <v>2472</v>
      </c>
    </row>
    <row r="135" ht="22.5" customHeight="1">
      <c r="A135" s="101" t="s">
        <v>2473</v>
      </c>
      <c r="B135" s="103" t="s">
        <v>324</v>
      </c>
      <c r="C135" s="103" t="s">
        <v>235</v>
      </c>
      <c r="D135" s="103" t="s">
        <v>1834</v>
      </c>
      <c r="E135" s="103" t="s">
        <v>2474</v>
      </c>
      <c r="F135" s="103" t="s">
        <v>2475</v>
      </c>
      <c r="G135" s="103" t="s">
        <v>2476</v>
      </c>
      <c r="H135" s="103" t="s">
        <v>2477</v>
      </c>
      <c r="I135" s="103" t="s">
        <v>2479</v>
      </c>
      <c r="J135" s="103" t="s">
        <v>2480</v>
      </c>
    </row>
    <row r="136" ht="22.5" customHeight="1">
      <c r="A136" s="101" t="s">
        <v>2481</v>
      </c>
      <c r="B136" s="103" t="s">
        <v>1249</v>
      </c>
      <c r="C136" s="103" t="s">
        <v>235</v>
      </c>
      <c r="D136" s="103" t="s">
        <v>292</v>
      </c>
      <c r="E136" s="103" t="s">
        <v>2484</v>
      </c>
      <c r="F136" s="103" t="s">
        <v>2485</v>
      </c>
      <c r="G136" s="103" t="s">
        <v>2486</v>
      </c>
      <c r="H136" s="103" t="s">
        <v>2488</v>
      </c>
      <c r="I136" s="103" t="s">
        <v>2490</v>
      </c>
      <c r="J136" s="103" t="s">
        <v>2492</v>
      </c>
    </row>
    <row r="137" ht="22.5" customHeight="1">
      <c r="A137" s="101" t="s">
        <v>2494</v>
      </c>
      <c r="B137" s="103" t="s">
        <v>597</v>
      </c>
      <c r="C137" s="103" t="s">
        <v>235</v>
      </c>
      <c r="D137" s="103" t="s">
        <v>2496</v>
      </c>
      <c r="E137" s="103" t="s">
        <v>2498</v>
      </c>
      <c r="F137" s="103" t="s">
        <v>2499</v>
      </c>
      <c r="G137" s="103" t="s">
        <v>2500</v>
      </c>
      <c r="H137" s="103" t="s">
        <v>2501</v>
      </c>
      <c r="I137" s="103" t="s">
        <v>2502</v>
      </c>
      <c r="J137" s="103" t="s">
        <v>2503</v>
      </c>
    </row>
    <row r="138" ht="22.5" customHeight="1">
      <c r="A138" s="101" t="s">
        <v>2504</v>
      </c>
      <c r="B138" s="103" t="s">
        <v>2505</v>
      </c>
      <c r="C138" s="103" t="s">
        <v>235</v>
      </c>
      <c r="D138" s="103" t="s">
        <v>804</v>
      </c>
      <c r="E138" s="103" t="s">
        <v>2507</v>
      </c>
      <c r="F138" s="103" t="s">
        <v>2509</v>
      </c>
      <c r="G138" s="103" t="s">
        <v>2510</v>
      </c>
      <c r="H138" s="103" t="s">
        <v>2511</v>
      </c>
      <c r="I138" s="103" t="s">
        <v>2512</v>
      </c>
      <c r="J138" s="103" t="s">
        <v>2513</v>
      </c>
    </row>
    <row r="139" ht="22.5" customHeight="1">
      <c r="A139" s="101" t="s">
        <v>2514</v>
      </c>
      <c r="B139" s="103" t="s">
        <v>1065</v>
      </c>
      <c r="C139" s="103" t="s">
        <v>235</v>
      </c>
      <c r="D139" s="103" t="s">
        <v>2515</v>
      </c>
      <c r="E139" s="103" t="s">
        <v>2517</v>
      </c>
      <c r="F139" s="103" t="s">
        <v>2518</v>
      </c>
      <c r="G139" s="103" t="s">
        <v>2520</v>
      </c>
      <c r="H139" s="103" t="s">
        <v>2523</v>
      </c>
      <c r="I139" s="103" t="s">
        <v>2526</v>
      </c>
      <c r="J139" s="103" t="s">
        <v>2529</v>
      </c>
    </row>
    <row r="140" ht="22.5" customHeight="1">
      <c r="A140" s="101" t="s">
        <v>2531</v>
      </c>
      <c r="B140" s="103" t="s">
        <v>238</v>
      </c>
      <c r="C140" s="103" t="s">
        <v>235</v>
      </c>
      <c r="D140" s="103" t="s">
        <v>315</v>
      </c>
      <c r="E140" s="103" t="s">
        <v>2532</v>
      </c>
      <c r="F140" s="103" t="s">
        <v>2533</v>
      </c>
      <c r="G140" s="103" t="s">
        <v>2534</v>
      </c>
      <c r="H140" s="103" t="s">
        <v>2535</v>
      </c>
      <c r="I140" s="103" t="s">
        <v>843</v>
      </c>
      <c r="J140" s="103" t="s">
        <v>2538</v>
      </c>
    </row>
    <row r="141" ht="22.5" customHeight="1">
      <c r="A141" s="101" t="s">
        <v>2539</v>
      </c>
      <c r="B141" s="103" t="s">
        <v>203</v>
      </c>
      <c r="C141" s="103" t="s">
        <v>235</v>
      </c>
      <c r="D141" s="103" t="s">
        <v>403</v>
      </c>
      <c r="E141" s="103" t="s">
        <v>2540</v>
      </c>
      <c r="F141" s="103" t="s">
        <v>2541</v>
      </c>
      <c r="G141" s="103" t="s">
        <v>2542</v>
      </c>
      <c r="H141" s="103" t="s">
        <v>2543</v>
      </c>
      <c r="I141" s="103" t="s">
        <v>2544</v>
      </c>
      <c r="J141" s="103" t="s">
        <v>2545</v>
      </c>
    </row>
    <row r="142" ht="22.5" customHeight="1">
      <c r="A142" s="101" t="s">
        <v>2546</v>
      </c>
      <c r="B142" s="103" t="s">
        <v>1031</v>
      </c>
      <c r="C142" s="103" t="s">
        <v>235</v>
      </c>
      <c r="D142" s="103" t="s">
        <v>315</v>
      </c>
      <c r="E142" s="103" t="s">
        <v>2548</v>
      </c>
      <c r="F142" s="103" t="s">
        <v>2550</v>
      </c>
      <c r="G142" s="103" t="s">
        <v>2552</v>
      </c>
      <c r="H142" s="103" t="s">
        <v>2554</v>
      </c>
      <c r="I142" s="103" t="s">
        <v>2556</v>
      </c>
      <c r="J142" s="103" t="s">
        <v>2558</v>
      </c>
    </row>
    <row r="143" ht="22.5" customHeight="1">
      <c r="A143" s="101" t="s">
        <v>2561</v>
      </c>
      <c r="B143" s="103" t="s">
        <v>2505</v>
      </c>
      <c r="C143" s="103" t="s">
        <v>235</v>
      </c>
      <c r="D143" s="103" t="s">
        <v>1612</v>
      </c>
      <c r="E143" s="103" t="s">
        <v>2564</v>
      </c>
      <c r="F143" s="103" t="s">
        <v>2565</v>
      </c>
      <c r="G143" s="103" t="s">
        <v>2566</v>
      </c>
      <c r="H143" s="103" t="s">
        <v>2567</v>
      </c>
      <c r="I143" s="103" t="s">
        <v>2568</v>
      </c>
      <c r="J143" s="103" t="s">
        <v>2569</v>
      </c>
    </row>
    <row r="144" ht="22.5" customHeight="1">
      <c r="A144" s="101" t="s">
        <v>2571</v>
      </c>
      <c r="B144" s="103" t="s">
        <v>211</v>
      </c>
      <c r="C144" s="103" t="s">
        <v>235</v>
      </c>
      <c r="D144" s="103" t="s">
        <v>2573</v>
      </c>
      <c r="E144" s="103" t="s">
        <v>2574</v>
      </c>
      <c r="F144" s="103" t="s">
        <v>2575</v>
      </c>
      <c r="G144" s="103" t="s">
        <v>2576</v>
      </c>
      <c r="H144" s="103" t="s">
        <v>2577</v>
      </c>
      <c r="I144" s="103" t="s">
        <v>2578</v>
      </c>
      <c r="J144" s="103" t="s">
        <v>2579</v>
      </c>
    </row>
    <row r="145" ht="22.5" customHeight="1">
      <c r="A145" s="101" t="s">
        <v>2580</v>
      </c>
      <c r="B145" s="103" t="s">
        <v>467</v>
      </c>
      <c r="C145" s="103" t="s">
        <v>235</v>
      </c>
      <c r="D145" s="103" t="s">
        <v>1243</v>
      </c>
      <c r="E145" s="103" t="s">
        <v>2581</v>
      </c>
      <c r="F145" s="103" t="s">
        <v>2582</v>
      </c>
      <c r="G145" s="103" t="s">
        <v>2583</v>
      </c>
      <c r="H145" s="103" t="s">
        <v>2584</v>
      </c>
      <c r="I145" s="103" t="s">
        <v>2585</v>
      </c>
      <c r="J145" s="103" t="s">
        <v>2586</v>
      </c>
    </row>
    <row r="146" ht="22.5" customHeight="1">
      <c r="A146" s="101" t="s">
        <v>2588</v>
      </c>
      <c r="B146" s="103" t="s">
        <v>334</v>
      </c>
      <c r="C146" s="103" t="s">
        <v>235</v>
      </c>
      <c r="D146" s="103" t="s">
        <v>1922</v>
      </c>
      <c r="E146" s="103" t="s">
        <v>2592</v>
      </c>
      <c r="F146" s="103" t="s">
        <v>2594</v>
      </c>
      <c r="G146" s="103" t="s">
        <v>2596</v>
      </c>
      <c r="H146" s="103" t="s">
        <v>2598</v>
      </c>
      <c r="I146" s="103" t="s">
        <v>2600</v>
      </c>
      <c r="J146" s="103" t="s">
        <v>2601</v>
      </c>
    </row>
    <row r="147" ht="22.5" customHeight="1">
      <c r="A147" s="101" t="s">
        <v>2603</v>
      </c>
      <c r="B147" s="103" t="s">
        <v>1289</v>
      </c>
      <c r="C147" s="103" t="s">
        <v>235</v>
      </c>
      <c r="D147" s="103" t="s">
        <v>1405</v>
      </c>
      <c r="E147" s="103" t="s">
        <v>2604</v>
      </c>
      <c r="F147" s="103" t="s">
        <v>2607</v>
      </c>
      <c r="G147" s="103" t="s">
        <v>2608</v>
      </c>
      <c r="H147" s="103" t="s">
        <v>2609</v>
      </c>
      <c r="I147" s="103" t="s">
        <v>2610</v>
      </c>
      <c r="J147" s="103" t="s">
        <v>2611</v>
      </c>
    </row>
    <row r="148" ht="22.5" customHeight="1">
      <c r="A148" s="101" t="s">
        <v>2612</v>
      </c>
      <c r="B148" s="103" t="s">
        <v>166</v>
      </c>
      <c r="C148" s="103" t="s">
        <v>235</v>
      </c>
      <c r="D148" s="103" t="s">
        <v>410</v>
      </c>
      <c r="E148" s="103" t="s">
        <v>2614</v>
      </c>
      <c r="F148" s="103" t="s">
        <v>2615</v>
      </c>
      <c r="G148" s="103" t="s">
        <v>2617</v>
      </c>
      <c r="H148" s="103" t="s">
        <v>2620</v>
      </c>
      <c r="I148" s="103" t="s">
        <v>2623</v>
      </c>
      <c r="J148" s="103" t="s">
        <v>2626</v>
      </c>
    </row>
    <row r="149" ht="22.5" customHeight="1">
      <c r="A149" s="101" t="s">
        <v>2628</v>
      </c>
      <c r="B149" s="103" t="s">
        <v>300</v>
      </c>
      <c r="C149" s="103" t="s">
        <v>235</v>
      </c>
      <c r="D149" s="103" t="s">
        <v>804</v>
      </c>
      <c r="E149" s="103" t="s">
        <v>2630</v>
      </c>
      <c r="F149" s="103" t="s">
        <v>2632</v>
      </c>
      <c r="G149" s="103" t="s">
        <v>2634</v>
      </c>
      <c r="H149" s="103" t="s">
        <v>2635</v>
      </c>
      <c r="I149" s="103" t="s">
        <v>2636</v>
      </c>
      <c r="J149" s="103" t="s">
        <v>2637</v>
      </c>
    </row>
    <row r="150" ht="22.5" customHeight="1">
      <c r="A150" s="101" t="s">
        <v>2638</v>
      </c>
      <c r="B150" s="103" t="s">
        <v>455</v>
      </c>
      <c r="C150" s="103" t="s">
        <v>235</v>
      </c>
      <c r="D150" s="103" t="s">
        <v>410</v>
      </c>
      <c r="E150" s="103" t="s">
        <v>2640</v>
      </c>
      <c r="F150" s="103" t="s">
        <v>2642</v>
      </c>
      <c r="G150" s="103" t="s">
        <v>2644</v>
      </c>
      <c r="H150" s="103" t="s">
        <v>2647</v>
      </c>
      <c r="I150" s="103" t="s">
        <v>2649</v>
      </c>
      <c r="J150" s="103" t="s">
        <v>2651</v>
      </c>
    </row>
    <row r="151" ht="22.5" customHeight="1">
      <c r="A151" s="101" t="s">
        <v>2654</v>
      </c>
      <c r="B151" s="103" t="s">
        <v>597</v>
      </c>
      <c r="C151" s="103" t="s">
        <v>235</v>
      </c>
      <c r="D151" s="103" t="s">
        <v>2655</v>
      </c>
      <c r="E151" s="103" t="s">
        <v>2656</v>
      </c>
      <c r="F151" s="103" t="s">
        <v>2658</v>
      </c>
      <c r="G151" s="103" t="s">
        <v>2660</v>
      </c>
      <c r="H151" s="103" t="s">
        <v>2661</v>
      </c>
      <c r="I151" s="103" t="s">
        <v>2662</v>
      </c>
      <c r="J151" s="103" t="s">
        <v>2663</v>
      </c>
    </row>
    <row r="152" ht="22.5" customHeight="1">
      <c r="A152" s="101" t="s">
        <v>2664</v>
      </c>
      <c r="B152" s="103" t="s">
        <v>2505</v>
      </c>
      <c r="C152" s="103" t="s">
        <v>235</v>
      </c>
      <c r="D152" s="103" t="s">
        <v>1968</v>
      </c>
      <c r="E152" s="103" t="s">
        <v>2665</v>
      </c>
      <c r="F152" s="103" t="s">
        <v>2666</v>
      </c>
      <c r="G152" s="103" t="s">
        <v>2668</v>
      </c>
      <c r="H152" s="103" t="s">
        <v>1868</v>
      </c>
      <c r="I152" s="103" t="s">
        <v>2671</v>
      </c>
      <c r="J152" s="103" t="s">
        <v>2674</v>
      </c>
    </row>
    <row r="153" ht="22.5" customHeight="1">
      <c r="A153" s="101" t="s">
        <v>2677</v>
      </c>
      <c r="B153" s="103" t="s">
        <v>549</v>
      </c>
      <c r="C153" s="103" t="s">
        <v>235</v>
      </c>
      <c r="D153" s="103" t="s">
        <v>386</v>
      </c>
      <c r="E153" s="103" t="s">
        <v>2680</v>
      </c>
      <c r="F153" s="103" t="s">
        <v>2681</v>
      </c>
      <c r="G153" s="103" t="s">
        <v>2682</v>
      </c>
      <c r="H153" s="103" t="s">
        <v>2683</v>
      </c>
      <c r="I153" s="103" t="s">
        <v>2684</v>
      </c>
      <c r="J153" s="103" t="s">
        <v>2685</v>
      </c>
    </row>
    <row r="154" ht="22.5" customHeight="1">
      <c r="A154" s="101" t="s">
        <v>2689</v>
      </c>
      <c r="B154" s="103" t="s">
        <v>1031</v>
      </c>
      <c r="C154" s="103" t="s">
        <v>235</v>
      </c>
      <c r="D154" s="103" t="s">
        <v>804</v>
      </c>
      <c r="E154" s="103" t="s">
        <v>2699</v>
      </c>
      <c r="F154" s="103" t="s">
        <v>2700</v>
      </c>
      <c r="G154" s="103" t="s">
        <v>2702</v>
      </c>
      <c r="H154" s="103" t="s">
        <v>2706</v>
      </c>
      <c r="I154" s="103" t="s">
        <v>728</v>
      </c>
      <c r="J154" s="103" t="s">
        <v>2710</v>
      </c>
    </row>
    <row r="155" ht="22.5" customHeight="1">
      <c r="A155" s="101" t="s">
        <v>2717</v>
      </c>
      <c r="B155" s="103" t="s">
        <v>1065</v>
      </c>
      <c r="C155" s="103" t="s">
        <v>235</v>
      </c>
      <c r="D155" s="103" t="s">
        <v>641</v>
      </c>
      <c r="E155" s="103" t="s">
        <v>2733</v>
      </c>
      <c r="F155" s="103" t="s">
        <v>2737</v>
      </c>
      <c r="G155" s="103" t="s">
        <v>2742</v>
      </c>
      <c r="H155" s="103" t="s">
        <v>2744</v>
      </c>
      <c r="I155" s="103" t="s">
        <v>378</v>
      </c>
      <c r="J155" s="103" t="s">
        <v>2745</v>
      </c>
    </row>
    <row r="156" ht="22.5" customHeight="1">
      <c r="A156" s="101" t="s">
        <v>2748</v>
      </c>
      <c r="B156" s="103" t="s">
        <v>457</v>
      </c>
      <c r="C156" s="103" t="s">
        <v>235</v>
      </c>
      <c r="D156" s="103" t="s">
        <v>2496</v>
      </c>
      <c r="E156" s="103" t="s">
        <v>2749</v>
      </c>
      <c r="F156" s="103" t="s">
        <v>2750</v>
      </c>
      <c r="G156" s="103" t="s">
        <v>2751</v>
      </c>
      <c r="H156" s="103" t="s">
        <v>2753</v>
      </c>
      <c r="I156" s="103" t="s">
        <v>2756</v>
      </c>
      <c r="J156" s="103" t="s">
        <v>2760</v>
      </c>
    </row>
    <row r="157" ht="22.5" customHeight="1">
      <c r="A157" s="170" t="s">
        <v>2763</v>
      </c>
      <c r="B157" s="107" t="s">
        <v>211</v>
      </c>
      <c r="C157" s="107" t="s">
        <v>235</v>
      </c>
      <c r="D157" s="107" t="s">
        <v>1834</v>
      </c>
      <c r="E157" s="107" t="s">
        <v>2766</v>
      </c>
      <c r="F157" s="107" t="s">
        <v>2767</v>
      </c>
      <c r="G157" s="107" t="s">
        <v>2768</v>
      </c>
      <c r="H157" s="107" t="s">
        <v>1795</v>
      </c>
      <c r="I157" s="107" t="s">
        <v>2769</v>
      </c>
      <c r="J157" s="107" t="s">
        <v>2770</v>
      </c>
    </row>
    <row r="158" ht="22.5" customHeight="1">
      <c r="A158" s="101" t="s">
        <v>2771</v>
      </c>
      <c r="B158" s="103" t="s">
        <v>211</v>
      </c>
      <c r="C158" s="103" t="s">
        <v>235</v>
      </c>
      <c r="D158" s="103" t="s">
        <v>1834</v>
      </c>
      <c r="E158" s="103" t="s">
        <v>2766</v>
      </c>
      <c r="F158" s="103" t="s">
        <v>2767</v>
      </c>
      <c r="G158" s="103" t="s">
        <v>2768</v>
      </c>
      <c r="H158" s="103" t="s">
        <v>1795</v>
      </c>
      <c r="I158" s="103" t="s">
        <v>2769</v>
      </c>
      <c r="J158" s="103" t="s">
        <v>2775</v>
      </c>
    </row>
  </sheetData>
  <dataValidations>
    <dataValidation allowBlank="1" showDropDown="1" sqref="A2:A158"/>
  </dataValidations>
  <drawing r:id="rId1"/>
  <tableParts count="1"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2.13"/>
    <col customWidth="1" min="2" max="2" width="26.38"/>
  </cols>
  <sheetData>
    <row r="1">
      <c r="A1" s="136" t="s">
        <v>171</v>
      </c>
    </row>
    <row r="2" ht="545.25" customHeight="1">
      <c r="A2" s="137"/>
      <c r="G2" s="137" t="s">
        <v>761</v>
      </c>
      <c r="H2" s="137" t="s">
        <v>764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  <col customWidth="1" min="4" max="4" width="10.38"/>
    <col customWidth="1" min="5" max="6" width="6.13"/>
    <col customWidth="1" min="7" max="7" width="5.75"/>
    <col customWidth="1" min="9" max="11" width="5.13"/>
    <col customWidth="1" min="12" max="12" width="5.75"/>
    <col customWidth="1" min="13" max="13" width="7.0"/>
    <col customWidth="1" min="14" max="14" width="8.38"/>
    <col customWidth="1" min="16" max="16" width="27.13"/>
    <col customWidth="1" min="19" max="19" width="13.63"/>
    <col customWidth="1" min="20" max="20" width="14.13"/>
    <col customWidth="1" min="21" max="21" width="15.0"/>
    <col customWidth="1" min="22" max="22" width="22.13"/>
    <col customWidth="1" min="24" max="24" width="15.5"/>
    <col customWidth="1" min="29" max="29" width="15.75"/>
  </cols>
  <sheetData>
    <row r="1">
      <c r="A1" s="76" t="s">
        <v>117</v>
      </c>
      <c r="B1" s="77" t="s">
        <v>116</v>
      </c>
      <c r="C1" s="78" t="s">
        <v>118</v>
      </c>
      <c r="D1" s="78" t="s">
        <v>119</v>
      </c>
      <c r="E1" s="78" t="s">
        <v>120</v>
      </c>
      <c r="F1" s="78" t="s">
        <v>121</v>
      </c>
      <c r="G1" s="77" t="s">
        <v>122</v>
      </c>
      <c r="H1" s="78" t="s">
        <v>123</v>
      </c>
      <c r="I1" s="78" t="s">
        <v>124</v>
      </c>
      <c r="J1" s="78" t="s">
        <v>125</v>
      </c>
      <c r="K1" s="78" t="s">
        <v>126</v>
      </c>
      <c r="L1" s="77" t="s">
        <v>127</v>
      </c>
      <c r="M1" s="77" t="s">
        <v>128</v>
      </c>
      <c r="N1" s="77" t="s">
        <v>129</v>
      </c>
      <c r="O1" s="78" t="s">
        <v>130</v>
      </c>
      <c r="P1" s="77" t="s">
        <v>131</v>
      </c>
    </row>
    <row r="2">
      <c r="A2" s="83"/>
      <c r="Q2" s="7" t="s">
        <v>132</v>
      </c>
      <c r="R2" s="7" t="s">
        <v>133</v>
      </c>
      <c r="S2" s="7" t="s">
        <v>134</v>
      </c>
      <c r="T2" s="7" t="s">
        <v>135</v>
      </c>
      <c r="U2" s="7" t="s">
        <v>136</v>
      </c>
      <c r="V2" s="7" t="s">
        <v>137</v>
      </c>
      <c r="W2" s="81" t="s">
        <v>138</v>
      </c>
      <c r="X2" s="81" t="s">
        <v>139</v>
      </c>
      <c r="Y2" s="81" t="s">
        <v>140</v>
      </c>
      <c r="Z2" s="81" t="s">
        <v>141</v>
      </c>
      <c r="AA2" s="81" t="s">
        <v>142</v>
      </c>
      <c r="AB2" s="81" t="s">
        <v>143</v>
      </c>
      <c r="AC2" s="81" t="s">
        <v>144</v>
      </c>
    </row>
    <row r="3">
      <c r="A3" s="138" t="s">
        <v>868</v>
      </c>
      <c r="B3" s="4" t="s">
        <v>869</v>
      </c>
      <c r="C3" s="4" t="s">
        <v>799</v>
      </c>
      <c r="D3" s="90">
        <v>141.85</v>
      </c>
      <c r="E3" s="90">
        <v>130.21</v>
      </c>
      <c r="F3" s="90">
        <v>143.07</v>
      </c>
      <c r="H3" s="90">
        <v>-16.41</v>
      </c>
      <c r="I3" s="90">
        <v>27.65</v>
      </c>
      <c r="J3" s="90">
        <v>36.4</v>
      </c>
      <c r="K3" s="90">
        <v>8.44</v>
      </c>
      <c r="M3" s="90">
        <v>181.52</v>
      </c>
      <c r="N3" s="92">
        <v>46219.377022280096</v>
      </c>
      <c r="O3" s="4" t="b">
        <v>1</v>
      </c>
      <c r="P3" s="4" t="s">
        <v>874</v>
      </c>
      <c r="Q3" s="90">
        <v>3.0</v>
      </c>
      <c r="W3" s="7"/>
      <c r="X3" s="81"/>
      <c r="Y3" s="81"/>
      <c r="Z3" s="81"/>
      <c r="AA3" s="81"/>
      <c r="AB3" s="81"/>
      <c r="AC3" s="81"/>
    </row>
    <row r="4">
      <c r="A4" s="83"/>
      <c r="W4" s="7"/>
      <c r="AB4" s="7" t="str">
        <f t="shared" ref="AB4:AB987" si="1">IF(OR(W4="WIN", W4="LOSS"), (Z4-X4)/(X4-Y4), "")</f>
        <v/>
      </c>
    </row>
    <row r="5">
      <c r="A5" s="83"/>
      <c r="W5" s="7"/>
      <c r="AB5" s="7" t="str">
        <f t="shared" si="1"/>
        <v/>
      </c>
    </row>
    <row r="6">
      <c r="A6" s="83"/>
      <c r="W6" s="7"/>
      <c r="AB6" s="7" t="str">
        <f t="shared" si="1"/>
        <v/>
      </c>
    </row>
    <row r="7">
      <c r="A7" s="83"/>
      <c r="W7" s="7"/>
      <c r="AB7" s="7" t="str">
        <f t="shared" si="1"/>
        <v/>
      </c>
    </row>
    <row r="8">
      <c r="A8" s="83"/>
      <c r="W8" s="7"/>
      <c r="AB8" s="7" t="str">
        <f t="shared" si="1"/>
        <v/>
      </c>
    </row>
    <row r="9">
      <c r="A9" s="83"/>
      <c r="W9" s="7"/>
      <c r="AB9" s="7" t="str">
        <f t="shared" si="1"/>
        <v/>
      </c>
    </row>
    <row r="10">
      <c r="A10" s="83"/>
      <c r="W10" s="7"/>
      <c r="AB10" s="7" t="str">
        <f t="shared" si="1"/>
        <v/>
      </c>
    </row>
    <row r="11">
      <c r="A11" s="83"/>
      <c r="W11" s="7"/>
      <c r="AB11" s="7" t="str">
        <f t="shared" si="1"/>
        <v/>
      </c>
    </row>
    <row r="12">
      <c r="A12" s="83"/>
      <c r="W12" s="7"/>
      <c r="AB12" s="7" t="str">
        <f t="shared" si="1"/>
        <v/>
      </c>
    </row>
    <row r="13">
      <c r="A13" s="83"/>
      <c r="W13" s="7"/>
      <c r="AB13" s="7" t="str">
        <f t="shared" si="1"/>
        <v/>
      </c>
    </row>
    <row r="14">
      <c r="A14" s="83"/>
      <c r="W14" s="7"/>
      <c r="AB14" s="7" t="str">
        <f t="shared" si="1"/>
        <v/>
      </c>
    </row>
    <row r="15">
      <c r="A15" s="83"/>
      <c r="W15" s="7"/>
      <c r="AB15" s="7" t="str">
        <f t="shared" si="1"/>
        <v/>
      </c>
    </row>
    <row r="16">
      <c r="A16" s="83"/>
      <c r="W16" s="7"/>
      <c r="AB16" s="7" t="str">
        <f t="shared" si="1"/>
        <v/>
      </c>
    </row>
    <row r="17">
      <c r="A17" s="83"/>
      <c r="W17" s="7"/>
      <c r="AB17" s="7" t="str">
        <f t="shared" si="1"/>
        <v/>
      </c>
    </row>
    <row r="18">
      <c r="A18" s="83"/>
      <c r="W18" s="7"/>
      <c r="AB18" s="7" t="str">
        <f t="shared" si="1"/>
        <v/>
      </c>
    </row>
    <row r="19">
      <c r="A19" s="83"/>
      <c r="W19" s="7"/>
      <c r="AB19" s="7" t="str">
        <f t="shared" si="1"/>
        <v/>
      </c>
    </row>
    <row r="20">
      <c r="A20" s="83"/>
      <c r="W20" s="7"/>
      <c r="AB20" s="7" t="str">
        <f t="shared" si="1"/>
        <v/>
      </c>
    </row>
    <row r="21">
      <c r="A21" s="83"/>
      <c r="W21" s="7"/>
      <c r="AB21" s="7" t="str">
        <f t="shared" si="1"/>
        <v/>
      </c>
    </row>
    <row r="22">
      <c r="A22" s="83"/>
      <c r="W22" s="7"/>
      <c r="AB22" s="7" t="str">
        <f t="shared" si="1"/>
        <v/>
      </c>
    </row>
    <row r="23">
      <c r="A23" s="83"/>
      <c r="W23" s="7"/>
      <c r="AB23" s="7" t="str">
        <f t="shared" si="1"/>
        <v/>
      </c>
    </row>
    <row r="24">
      <c r="A24" s="83"/>
      <c r="W24" s="7"/>
      <c r="AB24" s="7" t="str">
        <f t="shared" si="1"/>
        <v/>
      </c>
    </row>
    <row r="25">
      <c r="A25" s="83"/>
      <c r="W25" s="7"/>
      <c r="AB25" s="7" t="str">
        <f t="shared" si="1"/>
        <v/>
      </c>
    </row>
    <row r="26">
      <c r="A26" s="83"/>
      <c r="W26" s="7"/>
      <c r="AB26" s="7" t="str">
        <f t="shared" si="1"/>
        <v/>
      </c>
    </row>
    <row r="27">
      <c r="A27" s="83"/>
      <c r="W27" s="7"/>
      <c r="AB27" s="7" t="str">
        <f t="shared" si="1"/>
        <v/>
      </c>
    </row>
    <row r="28">
      <c r="A28" s="83"/>
      <c r="W28" s="7"/>
      <c r="AB28" s="7" t="str">
        <f t="shared" si="1"/>
        <v/>
      </c>
    </row>
    <row r="29">
      <c r="A29" s="83"/>
      <c r="W29" s="7"/>
      <c r="AB29" s="7" t="str">
        <f t="shared" si="1"/>
        <v/>
      </c>
    </row>
    <row r="30">
      <c r="A30" s="83"/>
      <c r="W30" s="7"/>
      <c r="AB30" s="7" t="str">
        <f t="shared" si="1"/>
        <v/>
      </c>
    </row>
    <row r="31">
      <c r="A31" s="83"/>
      <c r="W31" s="7"/>
      <c r="AB31" s="7" t="str">
        <f t="shared" si="1"/>
        <v/>
      </c>
    </row>
    <row r="32">
      <c r="A32" s="83"/>
      <c r="W32" s="7"/>
      <c r="AB32" s="7" t="str">
        <f t="shared" si="1"/>
        <v/>
      </c>
    </row>
    <row r="33">
      <c r="A33" s="83"/>
      <c r="W33" s="7"/>
      <c r="AB33" s="7" t="str">
        <f t="shared" si="1"/>
        <v/>
      </c>
    </row>
    <row r="34">
      <c r="A34" s="83"/>
      <c r="W34" s="7"/>
      <c r="AB34" s="7" t="str">
        <f t="shared" si="1"/>
        <v/>
      </c>
    </row>
    <row r="35">
      <c r="A35" s="83"/>
      <c r="W35" s="7"/>
      <c r="AB35" s="7" t="str">
        <f t="shared" si="1"/>
        <v/>
      </c>
    </row>
    <row r="36">
      <c r="A36" s="83"/>
      <c r="W36" s="7"/>
      <c r="AB36" s="7" t="str">
        <f t="shared" si="1"/>
        <v/>
      </c>
    </row>
    <row r="37">
      <c r="A37" s="83"/>
      <c r="W37" s="7"/>
      <c r="AB37" s="7" t="str">
        <f t="shared" si="1"/>
        <v/>
      </c>
    </row>
    <row r="38">
      <c r="A38" s="83"/>
      <c r="W38" s="7"/>
      <c r="AB38" s="7" t="str">
        <f t="shared" si="1"/>
        <v/>
      </c>
    </row>
    <row r="39">
      <c r="A39" s="83"/>
      <c r="W39" s="7"/>
      <c r="AB39" s="7" t="str">
        <f t="shared" si="1"/>
        <v/>
      </c>
    </row>
    <row r="40">
      <c r="A40" s="83"/>
      <c r="W40" s="7"/>
      <c r="AB40" s="7" t="str">
        <f t="shared" si="1"/>
        <v/>
      </c>
    </row>
    <row r="41">
      <c r="A41" s="83"/>
      <c r="W41" s="7"/>
      <c r="AB41" s="7" t="str">
        <f t="shared" si="1"/>
        <v/>
      </c>
    </row>
    <row r="42">
      <c r="A42" s="83"/>
      <c r="W42" s="7"/>
      <c r="AB42" s="7" t="str">
        <f t="shared" si="1"/>
        <v/>
      </c>
    </row>
    <row r="43">
      <c r="A43" s="83"/>
      <c r="W43" s="7"/>
      <c r="AB43" s="7" t="str">
        <f t="shared" si="1"/>
        <v/>
      </c>
    </row>
    <row r="44">
      <c r="A44" s="83"/>
      <c r="W44" s="7"/>
      <c r="AB44" s="7" t="str">
        <f t="shared" si="1"/>
        <v/>
      </c>
    </row>
    <row r="45">
      <c r="A45" s="83"/>
      <c r="W45" s="7"/>
      <c r="AB45" s="7" t="str">
        <f t="shared" si="1"/>
        <v/>
      </c>
    </row>
    <row r="46">
      <c r="A46" s="83"/>
      <c r="W46" s="7"/>
      <c r="AB46" s="7" t="str">
        <f t="shared" si="1"/>
        <v/>
      </c>
    </row>
    <row r="47">
      <c r="A47" s="83"/>
      <c r="W47" s="7"/>
      <c r="AB47" s="7" t="str">
        <f t="shared" si="1"/>
        <v/>
      </c>
    </row>
    <row r="48">
      <c r="A48" s="83"/>
      <c r="W48" s="7"/>
      <c r="AB48" s="7" t="str">
        <f t="shared" si="1"/>
        <v/>
      </c>
    </row>
    <row r="49">
      <c r="A49" s="83"/>
      <c r="W49" s="7"/>
      <c r="AB49" s="7" t="str">
        <f t="shared" si="1"/>
        <v/>
      </c>
    </row>
    <row r="50">
      <c r="A50" s="83"/>
      <c r="W50" s="7"/>
      <c r="AB50" s="7" t="str">
        <f t="shared" si="1"/>
        <v/>
      </c>
    </row>
    <row r="51">
      <c r="A51" s="83"/>
      <c r="W51" s="7"/>
      <c r="AB51" s="7" t="str">
        <f t="shared" si="1"/>
        <v/>
      </c>
    </row>
    <row r="52">
      <c r="A52" s="83"/>
      <c r="W52" s="7"/>
      <c r="AB52" s="7" t="str">
        <f t="shared" si="1"/>
        <v/>
      </c>
    </row>
    <row r="53">
      <c r="A53" s="83"/>
      <c r="W53" s="7"/>
      <c r="AB53" s="7" t="str">
        <f t="shared" si="1"/>
        <v/>
      </c>
    </row>
    <row r="54">
      <c r="A54" s="83"/>
      <c r="W54" s="7"/>
      <c r="AB54" s="7" t="str">
        <f t="shared" si="1"/>
        <v/>
      </c>
    </row>
    <row r="55">
      <c r="A55" s="83"/>
      <c r="W55" s="7"/>
      <c r="AB55" s="7" t="str">
        <f t="shared" si="1"/>
        <v/>
      </c>
    </row>
    <row r="56">
      <c r="A56" s="83"/>
      <c r="W56" s="7"/>
      <c r="AB56" s="7" t="str">
        <f t="shared" si="1"/>
        <v/>
      </c>
    </row>
    <row r="57">
      <c r="A57" s="83"/>
      <c r="W57" s="7"/>
      <c r="AB57" s="7" t="str">
        <f t="shared" si="1"/>
        <v/>
      </c>
    </row>
    <row r="58">
      <c r="A58" s="83"/>
      <c r="W58" s="7"/>
      <c r="AB58" s="7" t="str">
        <f t="shared" si="1"/>
        <v/>
      </c>
    </row>
    <row r="59">
      <c r="A59" s="83"/>
      <c r="W59" s="7"/>
      <c r="AB59" s="7" t="str">
        <f t="shared" si="1"/>
        <v/>
      </c>
    </row>
    <row r="60">
      <c r="A60" s="83"/>
      <c r="W60" s="7"/>
      <c r="AB60" s="7" t="str">
        <f t="shared" si="1"/>
        <v/>
      </c>
    </row>
    <row r="61">
      <c r="A61" s="83"/>
      <c r="W61" s="7"/>
      <c r="AB61" s="7" t="str">
        <f t="shared" si="1"/>
        <v/>
      </c>
    </row>
    <row r="62">
      <c r="A62" s="83"/>
      <c r="W62" s="7"/>
      <c r="AB62" s="7" t="str">
        <f t="shared" si="1"/>
        <v/>
      </c>
    </row>
    <row r="63">
      <c r="A63" s="83"/>
      <c r="W63" s="7"/>
      <c r="AB63" s="7" t="str">
        <f t="shared" si="1"/>
        <v/>
      </c>
    </row>
    <row r="64">
      <c r="A64" s="83"/>
      <c r="W64" s="7"/>
      <c r="AB64" s="7" t="str">
        <f t="shared" si="1"/>
        <v/>
      </c>
    </row>
    <row r="65">
      <c r="A65" s="83"/>
      <c r="W65" s="7"/>
      <c r="AB65" s="7" t="str">
        <f t="shared" si="1"/>
        <v/>
      </c>
    </row>
    <row r="66">
      <c r="A66" s="83"/>
      <c r="W66" s="7"/>
      <c r="AB66" s="7" t="str">
        <f t="shared" si="1"/>
        <v/>
      </c>
    </row>
    <row r="67">
      <c r="A67" s="83"/>
      <c r="W67" s="7"/>
      <c r="AB67" s="7" t="str">
        <f t="shared" si="1"/>
        <v/>
      </c>
    </row>
    <row r="68">
      <c r="A68" s="83"/>
      <c r="W68" s="7"/>
      <c r="AB68" s="7" t="str">
        <f t="shared" si="1"/>
        <v/>
      </c>
    </row>
    <row r="69">
      <c r="A69" s="83"/>
      <c r="W69" s="7"/>
      <c r="AB69" s="7" t="str">
        <f t="shared" si="1"/>
        <v/>
      </c>
    </row>
    <row r="70">
      <c r="A70" s="83"/>
      <c r="W70" s="7"/>
      <c r="AB70" s="7" t="str">
        <f t="shared" si="1"/>
        <v/>
      </c>
    </row>
    <row r="71">
      <c r="A71" s="83"/>
      <c r="W71" s="7"/>
      <c r="AB71" s="7" t="str">
        <f t="shared" si="1"/>
        <v/>
      </c>
    </row>
    <row r="72">
      <c r="A72" s="83"/>
      <c r="W72" s="7"/>
      <c r="AB72" s="7" t="str">
        <f t="shared" si="1"/>
        <v/>
      </c>
    </row>
    <row r="73">
      <c r="A73" s="83"/>
      <c r="W73" s="7"/>
      <c r="AB73" s="7" t="str">
        <f t="shared" si="1"/>
        <v/>
      </c>
    </row>
    <row r="74">
      <c r="A74" s="83"/>
      <c r="W74" s="7"/>
      <c r="AB74" s="7" t="str">
        <f t="shared" si="1"/>
        <v/>
      </c>
    </row>
    <row r="75">
      <c r="A75" s="83"/>
      <c r="W75" s="7"/>
      <c r="AB75" s="7" t="str">
        <f t="shared" si="1"/>
        <v/>
      </c>
    </row>
    <row r="76">
      <c r="A76" s="83"/>
      <c r="W76" s="7"/>
      <c r="AB76" s="7" t="str">
        <f t="shared" si="1"/>
        <v/>
      </c>
    </row>
    <row r="77">
      <c r="A77" s="83"/>
      <c r="W77" s="7"/>
      <c r="AB77" s="7" t="str">
        <f t="shared" si="1"/>
        <v/>
      </c>
    </row>
    <row r="78">
      <c r="A78" s="83"/>
      <c r="W78" s="7"/>
      <c r="AB78" s="7" t="str">
        <f t="shared" si="1"/>
        <v/>
      </c>
    </row>
    <row r="79">
      <c r="A79" s="83"/>
      <c r="W79" s="7"/>
      <c r="AB79" s="7" t="str">
        <f t="shared" si="1"/>
        <v/>
      </c>
    </row>
    <row r="80">
      <c r="A80" s="83"/>
      <c r="W80" s="7"/>
      <c r="AB80" s="7" t="str">
        <f t="shared" si="1"/>
        <v/>
      </c>
    </row>
    <row r="81">
      <c r="A81" s="83"/>
      <c r="W81" s="7"/>
      <c r="AB81" s="7" t="str">
        <f t="shared" si="1"/>
        <v/>
      </c>
    </row>
    <row r="82">
      <c r="A82" s="83"/>
      <c r="W82" s="7"/>
      <c r="AB82" s="7" t="str">
        <f t="shared" si="1"/>
        <v/>
      </c>
    </row>
    <row r="83">
      <c r="A83" s="83"/>
      <c r="W83" s="7"/>
      <c r="AB83" s="7" t="str">
        <f t="shared" si="1"/>
        <v/>
      </c>
    </row>
    <row r="84">
      <c r="A84" s="83"/>
      <c r="W84" s="7"/>
      <c r="AB84" s="7" t="str">
        <f t="shared" si="1"/>
        <v/>
      </c>
    </row>
    <row r="85">
      <c r="A85" s="83"/>
      <c r="W85" s="7"/>
      <c r="AB85" s="7" t="str">
        <f t="shared" si="1"/>
        <v/>
      </c>
    </row>
    <row r="86">
      <c r="A86" s="83"/>
      <c r="W86" s="7"/>
      <c r="AB86" s="7" t="str">
        <f t="shared" si="1"/>
        <v/>
      </c>
    </row>
    <row r="87">
      <c r="A87" s="83"/>
      <c r="W87" s="7"/>
      <c r="AB87" s="7" t="str">
        <f t="shared" si="1"/>
        <v/>
      </c>
    </row>
    <row r="88">
      <c r="A88" s="83"/>
      <c r="W88" s="7"/>
      <c r="AB88" s="7" t="str">
        <f t="shared" si="1"/>
        <v/>
      </c>
    </row>
    <row r="89">
      <c r="A89" s="83"/>
      <c r="W89" s="7"/>
      <c r="AB89" s="7" t="str">
        <f t="shared" si="1"/>
        <v/>
      </c>
    </row>
    <row r="90">
      <c r="A90" s="83"/>
      <c r="W90" s="7"/>
      <c r="AB90" s="7" t="str">
        <f t="shared" si="1"/>
        <v/>
      </c>
    </row>
    <row r="91">
      <c r="A91" s="83"/>
      <c r="W91" s="7"/>
      <c r="AB91" s="7" t="str">
        <f t="shared" si="1"/>
        <v/>
      </c>
    </row>
    <row r="92">
      <c r="A92" s="83"/>
      <c r="W92" s="7"/>
      <c r="AB92" s="7" t="str">
        <f t="shared" si="1"/>
        <v/>
      </c>
    </row>
    <row r="93">
      <c r="A93" s="83"/>
      <c r="W93" s="7"/>
      <c r="AB93" s="7" t="str">
        <f t="shared" si="1"/>
        <v/>
      </c>
    </row>
    <row r="94">
      <c r="A94" s="83"/>
      <c r="W94" s="7"/>
      <c r="AB94" s="7" t="str">
        <f t="shared" si="1"/>
        <v/>
      </c>
    </row>
    <row r="95">
      <c r="A95" s="83"/>
      <c r="W95" s="7"/>
      <c r="AB95" s="7" t="str">
        <f t="shared" si="1"/>
        <v/>
      </c>
    </row>
    <row r="96">
      <c r="A96" s="83"/>
      <c r="W96" s="7"/>
      <c r="AB96" s="7" t="str">
        <f t="shared" si="1"/>
        <v/>
      </c>
    </row>
    <row r="97">
      <c r="A97" s="83"/>
      <c r="W97" s="7"/>
      <c r="AB97" s="7" t="str">
        <f t="shared" si="1"/>
        <v/>
      </c>
    </row>
    <row r="98">
      <c r="A98" s="83"/>
      <c r="W98" s="7"/>
      <c r="AB98" s="7" t="str">
        <f t="shared" si="1"/>
        <v/>
      </c>
    </row>
    <row r="99">
      <c r="A99" s="83"/>
      <c r="W99" s="7"/>
      <c r="AB99" s="7" t="str">
        <f t="shared" si="1"/>
        <v/>
      </c>
    </row>
    <row r="100">
      <c r="A100" s="83"/>
      <c r="W100" s="7"/>
      <c r="AB100" s="7" t="str">
        <f t="shared" si="1"/>
        <v/>
      </c>
    </row>
    <row r="101">
      <c r="A101" s="83"/>
      <c r="W101" s="7"/>
      <c r="AB101" s="7" t="str">
        <f t="shared" si="1"/>
        <v/>
      </c>
    </row>
    <row r="102">
      <c r="A102" s="83"/>
      <c r="W102" s="7"/>
      <c r="AB102" s="7" t="str">
        <f t="shared" si="1"/>
        <v/>
      </c>
    </row>
    <row r="103">
      <c r="A103" s="83"/>
      <c r="W103" s="7"/>
      <c r="AB103" s="7" t="str">
        <f t="shared" si="1"/>
        <v/>
      </c>
    </row>
    <row r="104">
      <c r="A104" s="83"/>
      <c r="W104" s="7"/>
      <c r="AB104" s="7" t="str">
        <f t="shared" si="1"/>
        <v/>
      </c>
    </row>
    <row r="105">
      <c r="A105" s="83"/>
      <c r="W105" s="7"/>
      <c r="AB105" s="7" t="str">
        <f t="shared" si="1"/>
        <v/>
      </c>
    </row>
    <row r="106">
      <c r="A106" s="83"/>
      <c r="W106" s="7"/>
      <c r="AB106" s="7" t="str">
        <f t="shared" si="1"/>
        <v/>
      </c>
    </row>
    <row r="107">
      <c r="A107" s="83"/>
      <c r="W107" s="7"/>
      <c r="AB107" s="7" t="str">
        <f t="shared" si="1"/>
        <v/>
      </c>
    </row>
    <row r="108">
      <c r="A108" s="83"/>
      <c r="W108" s="7"/>
      <c r="AB108" s="7" t="str">
        <f t="shared" si="1"/>
        <v/>
      </c>
    </row>
    <row r="109">
      <c r="A109" s="83"/>
      <c r="W109" s="7"/>
      <c r="AB109" s="7" t="str">
        <f t="shared" si="1"/>
        <v/>
      </c>
    </row>
    <row r="110">
      <c r="A110" s="83"/>
      <c r="W110" s="7"/>
      <c r="AB110" s="7" t="str">
        <f t="shared" si="1"/>
        <v/>
      </c>
    </row>
    <row r="111">
      <c r="A111" s="83"/>
      <c r="W111" s="7"/>
      <c r="AB111" s="7" t="str">
        <f t="shared" si="1"/>
        <v/>
      </c>
    </row>
    <row r="112">
      <c r="A112" s="83"/>
      <c r="W112" s="7"/>
      <c r="AB112" s="7" t="str">
        <f t="shared" si="1"/>
        <v/>
      </c>
    </row>
    <row r="113">
      <c r="A113" s="83"/>
      <c r="W113" s="7"/>
      <c r="AB113" s="7" t="str">
        <f t="shared" si="1"/>
        <v/>
      </c>
    </row>
    <row r="114">
      <c r="A114" s="83"/>
      <c r="W114" s="7"/>
      <c r="AB114" s="7" t="str">
        <f t="shared" si="1"/>
        <v/>
      </c>
    </row>
    <row r="115">
      <c r="A115" s="83"/>
      <c r="W115" s="7"/>
      <c r="AB115" s="7" t="str">
        <f t="shared" si="1"/>
        <v/>
      </c>
    </row>
    <row r="116">
      <c r="A116" s="83"/>
      <c r="W116" s="7"/>
      <c r="AB116" s="7" t="str">
        <f t="shared" si="1"/>
        <v/>
      </c>
    </row>
    <row r="117">
      <c r="A117" s="83"/>
      <c r="W117" s="7"/>
      <c r="AB117" s="7" t="str">
        <f t="shared" si="1"/>
        <v/>
      </c>
    </row>
    <row r="118">
      <c r="A118" s="83"/>
      <c r="W118" s="7"/>
      <c r="AB118" s="7" t="str">
        <f t="shared" si="1"/>
        <v/>
      </c>
    </row>
    <row r="119">
      <c r="A119" s="83"/>
      <c r="W119" s="7"/>
      <c r="AB119" s="7" t="str">
        <f t="shared" si="1"/>
        <v/>
      </c>
    </row>
    <row r="120">
      <c r="A120" s="83"/>
      <c r="W120" s="7"/>
      <c r="AB120" s="7" t="str">
        <f t="shared" si="1"/>
        <v/>
      </c>
    </row>
    <row r="121">
      <c r="A121" s="83"/>
      <c r="W121" s="7"/>
      <c r="AB121" s="7" t="str">
        <f t="shared" si="1"/>
        <v/>
      </c>
    </row>
    <row r="122">
      <c r="A122" s="83"/>
      <c r="W122" s="7"/>
      <c r="AB122" s="7" t="str">
        <f t="shared" si="1"/>
        <v/>
      </c>
    </row>
    <row r="123">
      <c r="A123" s="83"/>
      <c r="W123" s="7"/>
      <c r="AB123" s="7" t="str">
        <f t="shared" si="1"/>
        <v/>
      </c>
    </row>
    <row r="124">
      <c r="A124" s="83"/>
      <c r="W124" s="7"/>
      <c r="AB124" s="7" t="str">
        <f t="shared" si="1"/>
        <v/>
      </c>
    </row>
    <row r="125">
      <c r="A125" s="83"/>
      <c r="W125" s="7"/>
      <c r="AB125" s="7" t="str">
        <f t="shared" si="1"/>
        <v/>
      </c>
    </row>
    <row r="126">
      <c r="A126" s="83"/>
      <c r="W126" s="7"/>
      <c r="AB126" s="7" t="str">
        <f t="shared" si="1"/>
        <v/>
      </c>
    </row>
    <row r="127">
      <c r="A127" s="83"/>
      <c r="W127" s="7"/>
      <c r="AB127" s="7" t="str">
        <f t="shared" si="1"/>
        <v/>
      </c>
    </row>
    <row r="128">
      <c r="A128" s="83"/>
      <c r="W128" s="7"/>
      <c r="AB128" s="7" t="str">
        <f t="shared" si="1"/>
        <v/>
      </c>
    </row>
    <row r="129">
      <c r="A129" s="83"/>
      <c r="W129" s="7"/>
      <c r="AB129" s="7" t="str">
        <f t="shared" si="1"/>
        <v/>
      </c>
    </row>
    <row r="130">
      <c r="A130" s="83"/>
      <c r="W130" s="7"/>
      <c r="AB130" s="7" t="str">
        <f t="shared" si="1"/>
        <v/>
      </c>
    </row>
    <row r="131">
      <c r="A131" s="83"/>
      <c r="W131" s="7"/>
      <c r="AB131" s="7" t="str">
        <f t="shared" si="1"/>
        <v/>
      </c>
    </row>
    <row r="132">
      <c r="A132" s="83"/>
      <c r="W132" s="7"/>
      <c r="AB132" s="7" t="str">
        <f t="shared" si="1"/>
        <v/>
      </c>
    </row>
    <row r="133">
      <c r="A133" s="83"/>
      <c r="W133" s="7"/>
      <c r="AB133" s="7" t="str">
        <f t="shared" si="1"/>
        <v/>
      </c>
    </row>
    <row r="134">
      <c r="A134" s="83"/>
      <c r="W134" s="7"/>
      <c r="AB134" s="7" t="str">
        <f t="shared" si="1"/>
        <v/>
      </c>
    </row>
    <row r="135">
      <c r="A135" s="83"/>
      <c r="W135" s="7"/>
      <c r="AB135" s="7" t="str">
        <f t="shared" si="1"/>
        <v/>
      </c>
    </row>
    <row r="136">
      <c r="A136" s="83"/>
      <c r="W136" s="7"/>
      <c r="AB136" s="7" t="str">
        <f t="shared" si="1"/>
        <v/>
      </c>
    </row>
    <row r="137">
      <c r="A137" s="83"/>
      <c r="W137" s="7"/>
      <c r="AB137" s="7" t="str">
        <f t="shared" si="1"/>
        <v/>
      </c>
    </row>
    <row r="138">
      <c r="A138" s="83"/>
      <c r="W138" s="7"/>
      <c r="AB138" s="7" t="str">
        <f t="shared" si="1"/>
        <v/>
      </c>
    </row>
    <row r="139">
      <c r="A139" s="83"/>
      <c r="W139" s="7"/>
      <c r="AB139" s="7" t="str">
        <f t="shared" si="1"/>
        <v/>
      </c>
    </row>
    <row r="140">
      <c r="A140" s="83"/>
      <c r="W140" s="7"/>
      <c r="AB140" s="7" t="str">
        <f t="shared" si="1"/>
        <v/>
      </c>
    </row>
    <row r="141">
      <c r="A141" s="83"/>
      <c r="W141" s="7"/>
      <c r="AB141" s="7" t="str">
        <f t="shared" si="1"/>
        <v/>
      </c>
    </row>
    <row r="142">
      <c r="A142" s="83"/>
      <c r="W142" s="7"/>
      <c r="AB142" s="7" t="str">
        <f t="shared" si="1"/>
        <v/>
      </c>
    </row>
    <row r="143">
      <c r="A143" s="83"/>
      <c r="W143" s="7"/>
      <c r="AB143" s="7" t="str">
        <f t="shared" si="1"/>
        <v/>
      </c>
    </row>
    <row r="144">
      <c r="A144" s="83"/>
      <c r="W144" s="7"/>
      <c r="AB144" s="7" t="str">
        <f t="shared" si="1"/>
        <v/>
      </c>
    </row>
    <row r="145">
      <c r="A145" s="83"/>
      <c r="W145" s="7"/>
      <c r="AB145" s="7" t="str">
        <f t="shared" si="1"/>
        <v/>
      </c>
    </row>
    <row r="146">
      <c r="A146" s="83"/>
      <c r="W146" s="7"/>
      <c r="AB146" s="7" t="str">
        <f t="shared" si="1"/>
        <v/>
      </c>
    </row>
    <row r="147">
      <c r="A147" s="83"/>
      <c r="W147" s="7"/>
      <c r="AB147" s="7" t="str">
        <f t="shared" si="1"/>
        <v/>
      </c>
    </row>
    <row r="148">
      <c r="A148" s="83"/>
      <c r="W148" s="7"/>
      <c r="AB148" s="7" t="str">
        <f t="shared" si="1"/>
        <v/>
      </c>
    </row>
    <row r="149">
      <c r="A149" s="83"/>
      <c r="W149" s="7"/>
      <c r="AB149" s="7" t="str">
        <f t="shared" si="1"/>
        <v/>
      </c>
    </row>
    <row r="150">
      <c r="A150" s="83"/>
      <c r="W150" s="7"/>
      <c r="AB150" s="7" t="str">
        <f t="shared" si="1"/>
        <v/>
      </c>
    </row>
    <row r="151">
      <c r="A151" s="83"/>
      <c r="W151" s="7"/>
      <c r="AB151" s="7" t="str">
        <f t="shared" si="1"/>
        <v/>
      </c>
    </row>
    <row r="152">
      <c r="A152" s="83"/>
      <c r="W152" s="7"/>
      <c r="AB152" s="7" t="str">
        <f t="shared" si="1"/>
        <v/>
      </c>
    </row>
    <row r="153">
      <c r="A153" s="83"/>
      <c r="W153" s="7"/>
      <c r="AB153" s="7" t="str">
        <f t="shared" si="1"/>
        <v/>
      </c>
    </row>
    <row r="154">
      <c r="A154" s="83"/>
      <c r="W154" s="7"/>
      <c r="AB154" s="7" t="str">
        <f t="shared" si="1"/>
        <v/>
      </c>
    </row>
    <row r="155">
      <c r="A155" s="83"/>
      <c r="W155" s="7"/>
      <c r="AB155" s="7" t="str">
        <f t="shared" si="1"/>
        <v/>
      </c>
    </row>
    <row r="156">
      <c r="A156" s="83"/>
      <c r="W156" s="7"/>
      <c r="AB156" s="7" t="str">
        <f t="shared" si="1"/>
        <v/>
      </c>
    </row>
    <row r="157">
      <c r="A157" s="83"/>
      <c r="W157" s="7"/>
      <c r="AB157" s="7" t="str">
        <f t="shared" si="1"/>
        <v/>
      </c>
    </row>
    <row r="158">
      <c r="A158" s="83"/>
      <c r="W158" s="7"/>
      <c r="AB158" s="7" t="str">
        <f t="shared" si="1"/>
        <v/>
      </c>
    </row>
    <row r="159">
      <c r="A159" s="83"/>
      <c r="W159" s="7"/>
      <c r="AB159" s="7" t="str">
        <f t="shared" si="1"/>
        <v/>
      </c>
    </row>
    <row r="160">
      <c r="A160" s="83"/>
      <c r="W160" s="7"/>
      <c r="AB160" s="7" t="str">
        <f t="shared" si="1"/>
        <v/>
      </c>
    </row>
    <row r="161">
      <c r="A161" s="83"/>
      <c r="W161" s="7"/>
      <c r="AB161" s="7" t="str">
        <f t="shared" si="1"/>
        <v/>
      </c>
    </row>
    <row r="162">
      <c r="A162" s="83"/>
      <c r="W162" s="7"/>
      <c r="AB162" s="7" t="str">
        <f t="shared" si="1"/>
        <v/>
      </c>
    </row>
    <row r="163">
      <c r="A163" s="83"/>
      <c r="W163" s="7"/>
      <c r="AB163" s="7" t="str">
        <f t="shared" si="1"/>
        <v/>
      </c>
    </row>
    <row r="164">
      <c r="A164" s="83"/>
      <c r="W164" s="7"/>
      <c r="AB164" s="7" t="str">
        <f t="shared" si="1"/>
        <v/>
      </c>
    </row>
    <row r="165">
      <c r="A165" s="83"/>
      <c r="W165" s="7"/>
      <c r="AB165" s="7" t="str">
        <f t="shared" si="1"/>
        <v/>
      </c>
    </row>
    <row r="166">
      <c r="A166" s="83"/>
      <c r="W166" s="7"/>
      <c r="AB166" s="7" t="str">
        <f t="shared" si="1"/>
        <v/>
      </c>
    </row>
    <row r="167">
      <c r="A167" s="83"/>
      <c r="W167" s="7"/>
      <c r="AB167" s="7" t="str">
        <f t="shared" si="1"/>
        <v/>
      </c>
    </row>
    <row r="168">
      <c r="A168" s="83"/>
      <c r="W168" s="7"/>
      <c r="AB168" s="7" t="str">
        <f t="shared" si="1"/>
        <v/>
      </c>
    </row>
    <row r="169">
      <c r="A169" s="83"/>
      <c r="W169" s="7"/>
      <c r="AB169" s="7" t="str">
        <f t="shared" si="1"/>
        <v/>
      </c>
    </row>
    <row r="170">
      <c r="A170" s="83"/>
      <c r="W170" s="7"/>
      <c r="AB170" s="7" t="str">
        <f t="shared" si="1"/>
        <v/>
      </c>
    </row>
    <row r="171">
      <c r="A171" s="83"/>
      <c r="W171" s="7"/>
      <c r="AB171" s="7" t="str">
        <f t="shared" si="1"/>
        <v/>
      </c>
    </row>
    <row r="172">
      <c r="A172" s="83"/>
      <c r="W172" s="7"/>
      <c r="AB172" s="7" t="str">
        <f t="shared" si="1"/>
        <v/>
      </c>
    </row>
    <row r="173">
      <c r="A173" s="83"/>
      <c r="W173" s="7"/>
      <c r="AB173" s="7" t="str">
        <f t="shared" si="1"/>
        <v/>
      </c>
    </row>
    <row r="174">
      <c r="A174" s="83"/>
      <c r="W174" s="7"/>
      <c r="AB174" s="7" t="str">
        <f t="shared" si="1"/>
        <v/>
      </c>
    </row>
    <row r="175">
      <c r="A175" s="83"/>
      <c r="W175" s="7"/>
      <c r="AB175" s="7" t="str">
        <f t="shared" si="1"/>
        <v/>
      </c>
    </row>
    <row r="176">
      <c r="A176" s="83"/>
      <c r="W176" s="7"/>
      <c r="AB176" s="7" t="str">
        <f t="shared" si="1"/>
        <v/>
      </c>
    </row>
    <row r="177">
      <c r="A177" s="83"/>
      <c r="W177" s="7"/>
      <c r="AB177" s="7" t="str">
        <f t="shared" si="1"/>
        <v/>
      </c>
    </row>
    <row r="178">
      <c r="A178" s="83"/>
      <c r="W178" s="7"/>
      <c r="AB178" s="7" t="str">
        <f t="shared" si="1"/>
        <v/>
      </c>
    </row>
    <row r="179">
      <c r="A179" s="83"/>
      <c r="W179" s="7"/>
      <c r="AB179" s="7" t="str">
        <f t="shared" si="1"/>
        <v/>
      </c>
    </row>
    <row r="180">
      <c r="A180" s="83"/>
      <c r="W180" s="7"/>
      <c r="AB180" s="7" t="str">
        <f t="shared" si="1"/>
        <v/>
      </c>
    </row>
    <row r="181">
      <c r="A181" s="83"/>
      <c r="W181" s="7"/>
      <c r="AB181" s="7" t="str">
        <f t="shared" si="1"/>
        <v/>
      </c>
    </row>
    <row r="182">
      <c r="A182" s="83"/>
      <c r="W182" s="7"/>
      <c r="AB182" s="7" t="str">
        <f t="shared" si="1"/>
        <v/>
      </c>
    </row>
    <row r="183">
      <c r="A183" s="83"/>
      <c r="W183" s="7"/>
      <c r="AB183" s="7" t="str">
        <f t="shared" si="1"/>
        <v/>
      </c>
    </row>
    <row r="184">
      <c r="A184" s="83"/>
      <c r="W184" s="7"/>
      <c r="AB184" s="7" t="str">
        <f t="shared" si="1"/>
        <v/>
      </c>
    </row>
    <row r="185">
      <c r="A185" s="83"/>
      <c r="W185" s="7"/>
      <c r="AB185" s="7" t="str">
        <f t="shared" si="1"/>
        <v/>
      </c>
    </row>
    <row r="186">
      <c r="A186" s="83"/>
      <c r="W186" s="7"/>
      <c r="AB186" s="7" t="str">
        <f t="shared" si="1"/>
        <v/>
      </c>
    </row>
    <row r="187">
      <c r="A187" s="83"/>
      <c r="W187" s="7"/>
      <c r="AB187" s="7" t="str">
        <f t="shared" si="1"/>
        <v/>
      </c>
    </row>
    <row r="188">
      <c r="A188" s="83"/>
      <c r="W188" s="7"/>
      <c r="AB188" s="7" t="str">
        <f t="shared" si="1"/>
        <v/>
      </c>
    </row>
    <row r="189">
      <c r="A189" s="83"/>
      <c r="W189" s="7"/>
      <c r="AB189" s="7" t="str">
        <f t="shared" si="1"/>
        <v/>
      </c>
    </row>
    <row r="190">
      <c r="A190" s="83"/>
      <c r="W190" s="7"/>
      <c r="AB190" s="7" t="str">
        <f t="shared" si="1"/>
        <v/>
      </c>
    </row>
    <row r="191">
      <c r="A191" s="83"/>
      <c r="W191" s="7"/>
      <c r="AB191" s="7" t="str">
        <f t="shared" si="1"/>
        <v/>
      </c>
    </row>
    <row r="192">
      <c r="A192" s="83"/>
      <c r="W192" s="7"/>
      <c r="AB192" s="7" t="str">
        <f t="shared" si="1"/>
        <v/>
      </c>
    </row>
    <row r="193">
      <c r="A193" s="83"/>
      <c r="W193" s="7"/>
      <c r="AB193" s="7" t="str">
        <f t="shared" si="1"/>
        <v/>
      </c>
    </row>
    <row r="194">
      <c r="A194" s="83"/>
      <c r="W194" s="7"/>
      <c r="AB194" s="7" t="str">
        <f t="shared" si="1"/>
        <v/>
      </c>
    </row>
    <row r="195">
      <c r="A195" s="83"/>
      <c r="W195" s="7"/>
      <c r="AB195" s="7" t="str">
        <f t="shared" si="1"/>
        <v/>
      </c>
    </row>
    <row r="196">
      <c r="A196" s="83"/>
      <c r="W196" s="7"/>
      <c r="AB196" s="7" t="str">
        <f t="shared" si="1"/>
        <v/>
      </c>
    </row>
    <row r="197">
      <c r="A197" s="83"/>
      <c r="W197" s="7"/>
      <c r="AB197" s="7" t="str">
        <f t="shared" si="1"/>
        <v/>
      </c>
    </row>
    <row r="198">
      <c r="A198" s="83"/>
      <c r="W198" s="7"/>
      <c r="AB198" s="7" t="str">
        <f t="shared" si="1"/>
        <v/>
      </c>
    </row>
    <row r="199">
      <c r="A199" s="83"/>
      <c r="W199" s="7"/>
      <c r="AB199" s="7" t="str">
        <f t="shared" si="1"/>
        <v/>
      </c>
    </row>
    <row r="200">
      <c r="A200" s="83"/>
      <c r="W200" s="7"/>
      <c r="AB200" s="7" t="str">
        <f t="shared" si="1"/>
        <v/>
      </c>
    </row>
    <row r="201">
      <c r="A201" s="83"/>
      <c r="W201" s="7"/>
      <c r="AB201" s="7" t="str">
        <f t="shared" si="1"/>
        <v/>
      </c>
    </row>
    <row r="202">
      <c r="A202" s="83"/>
      <c r="W202" s="7"/>
      <c r="AB202" s="7" t="str">
        <f t="shared" si="1"/>
        <v/>
      </c>
    </row>
    <row r="203">
      <c r="A203" s="83"/>
      <c r="W203" s="7"/>
      <c r="AB203" s="7" t="str">
        <f t="shared" si="1"/>
        <v/>
      </c>
    </row>
    <row r="204">
      <c r="A204" s="83"/>
      <c r="W204" s="7"/>
      <c r="AB204" s="7" t="str">
        <f t="shared" si="1"/>
        <v/>
      </c>
    </row>
    <row r="205">
      <c r="A205" s="83"/>
      <c r="W205" s="7"/>
      <c r="AB205" s="7" t="str">
        <f t="shared" si="1"/>
        <v/>
      </c>
    </row>
    <row r="206">
      <c r="A206" s="83"/>
      <c r="W206" s="7"/>
      <c r="AB206" s="7" t="str">
        <f t="shared" si="1"/>
        <v/>
      </c>
    </row>
    <row r="207">
      <c r="A207" s="83"/>
      <c r="W207" s="7"/>
      <c r="AB207" s="7" t="str">
        <f t="shared" si="1"/>
        <v/>
      </c>
    </row>
    <row r="208">
      <c r="A208" s="83"/>
      <c r="W208" s="7"/>
      <c r="AB208" s="7" t="str">
        <f t="shared" si="1"/>
        <v/>
      </c>
    </row>
    <row r="209">
      <c r="A209" s="83"/>
      <c r="W209" s="7"/>
      <c r="AB209" s="7" t="str">
        <f t="shared" si="1"/>
        <v/>
      </c>
    </row>
    <row r="210">
      <c r="A210" s="83"/>
      <c r="W210" s="7"/>
      <c r="AB210" s="7" t="str">
        <f t="shared" si="1"/>
        <v/>
      </c>
    </row>
    <row r="211">
      <c r="A211" s="83"/>
      <c r="W211" s="7"/>
      <c r="AB211" s="7" t="str">
        <f t="shared" si="1"/>
        <v/>
      </c>
    </row>
    <row r="212">
      <c r="A212" s="83"/>
      <c r="W212" s="7"/>
      <c r="AB212" s="7" t="str">
        <f t="shared" si="1"/>
        <v/>
      </c>
    </row>
    <row r="213">
      <c r="A213" s="83"/>
      <c r="W213" s="7"/>
      <c r="AB213" s="7" t="str">
        <f t="shared" si="1"/>
        <v/>
      </c>
    </row>
    <row r="214">
      <c r="A214" s="83"/>
      <c r="W214" s="7"/>
      <c r="AB214" s="7" t="str">
        <f t="shared" si="1"/>
        <v/>
      </c>
    </row>
    <row r="215">
      <c r="A215" s="83"/>
      <c r="W215" s="7"/>
      <c r="AB215" s="7" t="str">
        <f t="shared" si="1"/>
        <v/>
      </c>
    </row>
    <row r="216">
      <c r="A216" s="83"/>
      <c r="W216" s="7"/>
      <c r="AB216" s="7" t="str">
        <f t="shared" si="1"/>
        <v/>
      </c>
    </row>
    <row r="217">
      <c r="A217" s="83"/>
      <c r="W217" s="7"/>
      <c r="AB217" s="7" t="str">
        <f t="shared" si="1"/>
        <v/>
      </c>
    </row>
    <row r="218">
      <c r="A218" s="83"/>
      <c r="W218" s="7"/>
      <c r="AB218" s="7" t="str">
        <f t="shared" si="1"/>
        <v/>
      </c>
    </row>
    <row r="219">
      <c r="A219" s="83"/>
      <c r="W219" s="7"/>
      <c r="AB219" s="7" t="str">
        <f t="shared" si="1"/>
        <v/>
      </c>
    </row>
    <row r="220">
      <c r="A220" s="83"/>
      <c r="W220" s="7"/>
      <c r="AB220" s="7" t="str">
        <f t="shared" si="1"/>
        <v/>
      </c>
    </row>
    <row r="221">
      <c r="A221" s="83"/>
      <c r="W221" s="7"/>
      <c r="AB221" s="7" t="str">
        <f t="shared" si="1"/>
        <v/>
      </c>
    </row>
    <row r="222">
      <c r="A222" s="83"/>
      <c r="W222" s="7"/>
      <c r="AB222" s="7" t="str">
        <f t="shared" si="1"/>
        <v/>
      </c>
    </row>
    <row r="223">
      <c r="A223" s="83"/>
      <c r="W223" s="7"/>
      <c r="AB223" s="7" t="str">
        <f t="shared" si="1"/>
        <v/>
      </c>
    </row>
    <row r="224">
      <c r="A224" s="83"/>
      <c r="W224" s="7"/>
      <c r="AB224" s="7" t="str">
        <f t="shared" si="1"/>
        <v/>
      </c>
    </row>
    <row r="225">
      <c r="A225" s="83"/>
      <c r="W225" s="7"/>
      <c r="AB225" s="7" t="str">
        <f t="shared" si="1"/>
        <v/>
      </c>
    </row>
    <row r="226">
      <c r="A226" s="83"/>
      <c r="W226" s="7"/>
      <c r="AB226" s="7" t="str">
        <f t="shared" si="1"/>
        <v/>
      </c>
    </row>
    <row r="227">
      <c r="A227" s="83"/>
      <c r="W227" s="7"/>
      <c r="AB227" s="7" t="str">
        <f t="shared" si="1"/>
        <v/>
      </c>
    </row>
    <row r="228">
      <c r="A228" s="83"/>
      <c r="W228" s="7"/>
      <c r="AB228" s="7" t="str">
        <f t="shared" si="1"/>
        <v/>
      </c>
    </row>
    <row r="229">
      <c r="A229" s="83"/>
      <c r="W229" s="7"/>
      <c r="AB229" s="7" t="str">
        <f t="shared" si="1"/>
        <v/>
      </c>
    </row>
    <row r="230">
      <c r="A230" s="83"/>
      <c r="W230" s="7"/>
      <c r="AB230" s="7" t="str">
        <f t="shared" si="1"/>
        <v/>
      </c>
    </row>
    <row r="231">
      <c r="A231" s="83"/>
      <c r="W231" s="7"/>
      <c r="AB231" s="7" t="str">
        <f t="shared" si="1"/>
        <v/>
      </c>
    </row>
    <row r="232">
      <c r="A232" s="83"/>
      <c r="W232" s="7"/>
      <c r="AB232" s="7" t="str">
        <f t="shared" si="1"/>
        <v/>
      </c>
    </row>
    <row r="233">
      <c r="A233" s="83"/>
      <c r="W233" s="7"/>
      <c r="AB233" s="7" t="str">
        <f t="shared" si="1"/>
        <v/>
      </c>
    </row>
    <row r="234">
      <c r="A234" s="83"/>
      <c r="W234" s="7"/>
      <c r="AB234" s="7" t="str">
        <f t="shared" si="1"/>
        <v/>
      </c>
    </row>
    <row r="235">
      <c r="A235" s="83"/>
      <c r="W235" s="7"/>
      <c r="AB235" s="7" t="str">
        <f t="shared" si="1"/>
        <v/>
      </c>
    </row>
    <row r="236">
      <c r="A236" s="83"/>
      <c r="W236" s="7"/>
      <c r="AB236" s="7" t="str">
        <f t="shared" si="1"/>
        <v/>
      </c>
    </row>
    <row r="237">
      <c r="A237" s="83"/>
      <c r="W237" s="7"/>
      <c r="AB237" s="7" t="str">
        <f t="shared" si="1"/>
        <v/>
      </c>
    </row>
    <row r="238">
      <c r="A238" s="83"/>
      <c r="W238" s="7"/>
      <c r="AB238" s="7" t="str">
        <f t="shared" si="1"/>
        <v/>
      </c>
    </row>
    <row r="239">
      <c r="A239" s="83"/>
      <c r="W239" s="7"/>
      <c r="AB239" s="7" t="str">
        <f t="shared" si="1"/>
        <v/>
      </c>
    </row>
    <row r="240">
      <c r="A240" s="83"/>
      <c r="W240" s="7"/>
      <c r="AB240" s="7" t="str">
        <f t="shared" si="1"/>
        <v/>
      </c>
    </row>
    <row r="241">
      <c r="A241" s="83"/>
      <c r="W241" s="7"/>
      <c r="AB241" s="7" t="str">
        <f t="shared" si="1"/>
        <v/>
      </c>
    </row>
    <row r="242">
      <c r="A242" s="83"/>
      <c r="W242" s="7"/>
      <c r="AB242" s="7" t="str">
        <f t="shared" si="1"/>
        <v/>
      </c>
    </row>
    <row r="243">
      <c r="A243" s="83"/>
      <c r="W243" s="7"/>
      <c r="AB243" s="7" t="str">
        <f t="shared" si="1"/>
        <v/>
      </c>
    </row>
    <row r="244">
      <c r="A244" s="83"/>
      <c r="W244" s="7"/>
      <c r="AB244" s="7" t="str">
        <f t="shared" si="1"/>
        <v/>
      </c>
    </row>
    <row r="245">
      <c r="A245" s="83"/>
      <c r="W245" s="7"/>
      <c r="AB245" s="7" t="str">
        <f t="shared" si="1"/>
        <v/>
      </c>
    </row>
    <row r="246">
      <c r="A246" s="83"/>
      <c r="W246" s="7"/>
      <c r="AB246" s="7" t="str">
        <f t="shared" si="1"/>
        <v/>
      </c>
    </row>
    <row r="247">
      <c r="A247" s="83"/>
      <c r="W247" s="7"/>
      <c r="AB247" s="7" t="str">
        <f t="shared" si="1"/>
        <v/>
      </c>
    </row>
    <row r="248">
      <c r="A248" s="83"/>
      <c r="W248" s="7"/>
      <c r="AB248" s="7" t="str">
        <f t="shared" si="1"/>
        <v/>
      </c>
    </row>
    <row r="249">
      <c r="A249" s="83"/>
      <c r="W249" s="7"/>
      <c r="AB249" s="7" t="str">
        <f t="shared" si="1"/>
        <v/>
      </c>
    </row>
    <row r="250">
      <c r="A250" s="83"/>
      <c r="W250" s="7"/>
      <c r="AB250" s="7" t="str">
        <f t="shared" si="1"/>
        <v/>
      </c>
    </row>
    <row r="251">
      <c r="A251" s="83"/>
      <c r="W251" s="7"/>
      <c r="AB251" s="7" t="str">
        <f t="shared" si="1"/>
        <v/>
      </c>
    </row>
    <row r="252">
      <c r="A252" s="83"/>
      <c r="W252" s="7"/>
      <c r="AB252" s="7" t="str">
        <f t="shared" si="1"/>
        <v/>
      </c>
    </row>
    <row r="253">
      <c r="A253" s="83"/>
      <c r="W253" s="7"/>
      <c r="AB253" s="7" t="str">
        <f t="shared" si="1"/>
        <v/>
      </c>
    </row>
    <row r="254">
      <c r="A254" s="83"/>
      <c r="W254" s="7"/>
      <c r="AB254" s="7" t="str">
        <f t="shared" si="1"/>
        <v/>
      </c>
    </row>
    <row r="255">
      <c r="A255" s="83"/>
      <c r="W255" s="7"/>
      <c r="AB255" s="7" t="str">
        <f t="shared" si="1"/>
        <v/>
      </c>
    </row>
    <row r="256">
      <c r="A256" s="83"/>
      <c r="W256" s="7"/>
      <c r="AB256" s="7" t="str">
        <f t="shared" si="1"/>
        <v/>
      </c>
    </row>
    <row r="257">
      <c r="A257" s="83"/>
      <c r="W257" s="7"/>
      <c r="AB257" s="7" t="str">
        <f t="shared" si="1"/>
        <v/>
      </c>
    </row>
    <row r="258">
      <c r="A258" s="83"/>
      <c r="W258" s="7"/>
      <c r="AB258" s="7" t="str">
        <f t="shared" si="1"/>
        <v/>
      </c>
    </row>
    <row r="259">
      <c r="A259" s="83"/>
      <c r="W259" s="7"/>
      <c r="AB259" s="7" t="str">
        <f t="shared" si="1"/>
        <v/>
      </c>
    </row>
    <row r="260">
      <c r="A260" s="83"/>
      <c r="W260" s="7"/>
      <c r="AB260" s="7" t="str">
        <f t="shared" si="1"/>
        <v/>
      </c>
    </row>
    <row r="261">
      <c r="A261" s="83"/>
      <c r="W261" s="7"/>
      <c r="AB261" s="7" t="str">
        <f t="shared" si="1"/>
        <v/>
      </c>
    </row>
    <row r="262">
      <c r="A262" s="83"/>
      <c r="W262" s="7"/>
      <c r="AB262" s="7" t="str">
        <f t="shared" si="1"/>
        <v/>
      </c>
    </row>
    <row r="263">
      <c r="A263" s="83"/>
      <c r="W263" s="7"/>
      <c r="AB263" s="7" t="str">
        <f t="shared" si="1"/>
        <v/>
      </c>
    </row>
    <row r="264">
      <c r="A264" s="83"/>
      <c r="W264" s="7"/>
      <c r="AB264" s="7" t="str">
        <f t="shared" si="1"/>
        <v/>
      </c>
    </row>
    <row r="265">
      <c r="A265" s="83"/>
      <c r="W265" s="7"/>
      <c r="AB265" s="7" t="str">
        <f t="shared" si="1"/>
        <v/>
      </c>
    </row>
    <row r="266">
      <c r="A266" s="83"/>
      <c r="W266" s="7"/>
      <c r="AB266" s="7" t="str">
        <f t="shared" si="1"/>
        <v/>
      </c>
    </row>
    <row r="267">
      <c r="A267" s="83"/>
      <c r="W267" s="7"/>
      <c r="AB267" s="7" t="str">
        <f t="shared" si="1"/>
        <v/>
      </c>
    </row>
    <row r="268">
      <c r="A268" s="83"/>
      <c r="W268" s="7"/>
      <c r="AB268" s="7" t="str">
        <f t="shared" si="1"/>
        <v/>
      </c>
    </row>
    <row r="269">
      <c r="A269" s="83"/>
      <c r="W269" s="7"/>
      <c r="AB269" s="7" t="str">
        <f t="shared" si="1"/>
        <v/>
      </c>
    </row>
    <row r="270">
      <c r="A270" s="83"/>
      <c r="W270" s="7"/>
      <c r="AB270" s="7" t="str">
        <f t="shared" si="1"/>
        <v/>
      </c>
    </row>
    <row r="271">
      <c r="A271" s="83"/>
      <c r="W271" s="7"/>
      <c r="AB271" s="7" t="str">
        <f t="shared" si="1"/>
        <v/>
      </c>
    </row>
    <row r="272">
      <c r="A272" s="83"/>
      <c r="W272" s="7"/>
      <c r="AB272" s="7" t="str">
        <f t="shared" si="1"/>
        <v/>
      </c>
    </row>
    <row r="273">
      <c r="A273" s="83"/>
      <c r="W273" s="7"/>
      <c r="AB273" s="7" t="str">
        <f t="shared" si="1"/>
        <v/>
      </c>
    </row>
    <row r="274">
      <c r="A274" s="83"/>
      <c r="W274" s="7"/>
      <c r="AB274" s="7" t="str">
        <f t="shared" si="1"/>
        <v/>
      </c>
    </row>
    <row r="275">
      <c r="A275" s="83"/>
      <c r="W275" s="7"/>
      <c r="AB275" s="7" t="str">
        <f t="shared" si="1"/>
        <v/>
      </c>
    </row>
    <row r="276">
      <c r="A276" s="83"/>
      <c r="W276" s="7"/>
      <c r="AB276" s="7" t="str">
        <f t="shared" si="1"/>
        <v/>
      </c>
    </row>
    <row r="277">
      <c r="A277" s="83"/>
      <c r="W277" s="7"/>
      <c r="AB277" s="7" t="str">
        <f t="shared" si="1"/>
        <v/>
      </c>
    </row>
    <row r="278">
      <c r="A278" s="83"/>
      <c r="W278" s="7"/>
      <c r="AB278" s="7" t="str">
        <f t="shared" si="1"/>
        <v/>
      </c>
    </row>
    <row r="279">
      <c r="A279" s="83"/>
      <c r="W279" s="7"/>
      <c r="AB279" s="7" t="str">
        <f t="shared" si="1"/>
        <v/>
      </c>
    </row>
    <row r="280">
      <c r="A280" s="83"/>
      <c r="W280" s="7"/>
      <c r="AB280" s="7" t="str">
        <f t="shared" si="1"/>
        <v/>
      </c>
    </row>
    <row r="281">
      <c r="A281" s="83"/>
      <c r="W281" s="7"/>
      <c r="AB281" s="7" t="str">
        <f t="shared" si="1"/>
        <v/>
      </c>
    </row>
    <row r="282">
      <c r="A282" s="83"/>
      <c r="W282" s="7"/>
      <c r="AB282" s="7" t="str">
        <f t="shared" si="1"/>
        <v/>
      </c>
    </row>
    <row r="283">
      <c r="A283" s="83"/>
      <c r="W283" s="7"/>
      <c r="AB283" s="7" t="str">
        <f t="shared" si="1"/>
        <v/>
      </c>
    </row>
    <row r="284">
      <c r="A284" s="83"/>
      <c r="W284" s="7"/>
      <c r="AB284" s="7" t="str">
        <f t="shared" si="1"/>
        <v/>
      </c>
    </row>
    <row r="285">
      <c r="A285" s="83"/>
      <c r="W285" s="7"/>
      <c r="AB285" s="7" t="str">
        <f t="shared" si="1"/>
        <v/>
      </c>
    </row>
    <row r="286">
      <c r="A286" s="83"/>
      <c r="W286" s="7"/>
      <c r="AB286" s="7" t="str">
        <f t="shared" si="1"/>
        <v/>
      </c>
    </row>
    <row r="287">
      <c r="A287" s="83"/>
      <c r="W287" s="7"/>
      <c r="AB287" s="7" t="str">
        <f t="shared" si="1"/>
        <v/>
      </c>
    </row>
    <row r="288">
      <c r="A288" s="83"/>
      <c r="W288" s="7"/>
      <c r="AB288" s="7" t="str">
        <f t="shared" si="1"/>
        <v/>
      </c>
    </row>
    <row r="289">
      <c r="A289" s="83"/>
      <c r="W289" s="7"/>
      <c r="AB289" s="7" t="str">
        <f t="shared" si="1"/>
        <v/>
      </c>
    </row>
    <row r="290">
      <c r="A290" s="83"/>
      <c r="W290" s="7"/>
      <c r="AB290" s="7" t="str">
        <f t="shared" si="1"/>
        <v/>
      </c>
    </row>
    <row r="291">
      <c r="A291" s="83"/>
      <c r="W291" s="7"/>
      <c r="AB291" s="7" t="str">
        <f t="shared" si="1"/>
        <v/>
      </c>
    </row>
    <row r="292">
      <c r="A292" s="83"/>
      <c r="W292" s="7"/>
      <c r="AB292" s="7" t="str">
        <f t="shared" si="1"/>
        <v/>
      </c>
    </row>
    <row r="293">
      <c r="A293" s="83"/>
      <c r="W293" s="7"/>
      <c r="AB293" s="7" t="str">
        <f t="shared" si="1"/>
        <v/>
      </c>
    </row>
    <row r="294">
      <c r="A294" s="83"/>
      <c r="W294" s="7"/>
      <c r="AB294" s="7" t="str">
        <f t="shared" si="1"/>
        <v/>
      </c>
    </row>
    <row r="295">
      <c r="A295" s="83"/>
      <c r="W295" s="7"/>
      <c r="AB295" s="7" t="str">
        <f t="shared" si="1"/>
        <v/>
      </c>
    </row>
    <row r="296">
      <c r="A296" s="83"/>
      <c r="W296" s="7"/>
      <c r="AB296" s="7" t="str">
        <f t="shared" si="1"/>
        <v/>
      </c>
    </row>
    <row r="297">
      <c r="A297" s="83"/>
      <c r="W297" s="7"/>
      <c r="AB297" s="7" t="str">
        <f t="shared" si="1"/>
        <v/>
      </c>
    </row>
    <row r="298">
      <c r="A298" s="83"/>
      <c r="W298" s="7"/>
      <c r="AB298" s="7" t="str">
        <f t="shared" si="1"/>
        <v/>
      </c>
    </row>
    <row r="299">
      <c r="A299" s="83"/>
      <c r="W299" s="7"/>
      <c r="AB299" s="7" t="str">
        <f t="shared" si="1"/>
        <v/>
      </c>
    </row>
    <row r="300">
      <c r="A300" s="83"/>
      <c r="W300" s="7"/>
      <c r="AB300" s="7" t="str">
        <f t="shared" si="1"/>
        <v/>
      </c>
    </row>
    <row r="301">
      <c r="A301" s="83"/>
      <c r="W301" s="7"/>
      <c r="AB301" s="7" t="str">
        <f t="shared" si="1"/>
        <v/>
      </c>
    </row>
    <row r="302">
      <c r="A302" s="83"/>
      <c r="W302" s="7"/>
      <c r="AB302" s="7" t="str">
        <f t="shared" si="1"/>
        <v/>
      </c>
    </row>
    <row r="303">
      <c r="A303" s="83"/>
      <c r="W303" s="7"/>
      <c r="AB303" s="7" t="str">
        <f t="shared" si="1"/>
        <v/>
      </c>
    </row>
    <row r="304">
      <c r="A304" s="83"/>
      <c r="W304" s="7"/>
      <c r="AB304" s="7" t="str">
        <f t="shared" si="1"/>
        <v/>
      </c>
    </row>
    <row r="305">
      <c r="A305" s="83"/>
      <c r="W305" s="7"/>
      <c r="AB305" s="7" t="str">
        <f t="shared" si="1"/>
        <v/>
      </c>
    </row>
    <row r="306">
      <c r="A306" s="83"/>
      <c r="W306" s="7"/>
      <c r="AB306" s="7" t="str">
        <f t="shared" si="1"/>
        <v/>
      </c>
    </row>
    <row r="307">
      <c r="A307" s="83"/>
      <c r="W307" s="7"/>
      <c r="AB307" s="7" t="str">
        <f t="shared" si="1"/>
        <v/>
      </c>
    </row>
    <row r="308">
      <c r="A308" s="83"/>
      <c r="W308" s="7"/>
      <c r="AB308" s="7" t="str">
        <f t="shared" si="1"/>
        <v/>
      </c>
    </row>
    <row r="309">
      <c r="A309" s="83"/>
      <c r="W309" s="7"/>
      <c r="AB309" s="7" t="str">
        <f t="shared" si="1"/>
        <v/>
      </c>
    </row>
    <row r="310">
      <c r="A310" s="83"/>
      <c r="W310" s="7"/>
      <c r="AB310" s="7" t="str">
        <f t="shared" si="1"/>
        <v/>
      </c>
    </row>
    <row r="311">
      <c r="A311" s="83"/>
      <c r="W311" s="7"/>
      <c r="AB311" s="7" t="str">
        <f t="shared" si="1"/>
        <v/>
      </c>
    </row>
    <row r="312">
      <c r="A312" s="83"/>
      <c r="W312" s="7"/>
      <c r="AB312" s="7" t="str">
        <f t="shared" si="1"/>
        <v/>
      </c>
    </row>
    <row r="313">
      <c r="A313" s="83"/>
      <c r="W313" s="7"/>
      <c r="AB313" s="7" t="str">
        <f t="shared" si="1"/>
        <v/>
      </c>
    </row>
    <row r="314">
      <c r="A314" s="83"/>
      <c r="W314" s="7"/>
      <c r="AB314" s="7" t="str">
        <f t="shared" si="1"/>
        <v/>
      </c>
    </row>
    <row r="315">
      <c r="A315" s="83"/>
      <c r="W315" s="7"/>
      <c r="AB315" s="7" t="str">
        <f t="shared" si="1"/>
        <v/>
      </c>
    </row>
    <row r="316">
      <c r="A316" s="83"/>
      <c r="W316" s="7"/>
      <c r="AB316" s="7" t="str">
        <f t="shared" si="1"/>
        <v/>
      </c>
    </row>
    <row r="317">
      <c r="A317" s="83"/>
      <c r="W317" s="7"/>
      <c r="AB317" s="7" t="str">
        <f t="shared" si="1"/>
        <v/>
      </c>
    </row>
    <row r="318">
      <c r="A318" s="83"/>
      <c r="W318" s="7"/>
      <c r="AB318" s="7" t="str">
        <f t="shared" si="1"/>
        <v/>
      </c>
    </row>
    <row r="319">
      <c r="A319" s="83"/>
      <c r="W319" s="7"/>
      <c r="AB319" s="7" t="str">
        <f t="shared" si="1"/>
        <v/>
      </c>
    </row>
    <row r="320">
      <c r="A320" s="83"/>
      <c r="W320" s="7"/>
      <c r="AB320" s="7" t="str">
        <f t="shared" si="1"/>
        <v/>
      </c>
    </row>
    <row r="321">
      <c r="A321" s="83"/>
      <c r="W321" s="7"/>
      <c r="AB321" s="7" t="str">
        <f t="shared" si="1"/>
        <v/>
      </c>
    </row>
    <row r="322">
      <c r="A322" s="83"/>
      <c r="W322" s="7"/>
      <c r="AB322" s="7" t="str">
        <f t="shared" si="1"/>
        <v/>
      </c>
    </row>
    <row r="323">
      <c r="A323" s="83"/>
      <c r="W323" s="7"/>
      <c r="AB323" s="7" t="str">
        <f t="shared" si="1"/>
        <v/>
      </c>
    </row>
    <row r="324">
      <c r="A324" s="83"/>
      <c r="W324" s="7"/>
      <c r="AB324" s="7" t="str">
        <f t="shared" si="1"/>
        <v/>
      </c>
    </row>
    <row r="325">
      <c r="A325" s="83"/>
      <c r="W325" s="7"/>
      <c r="AB325" s="7" t="str">
        <f t="shared" si="1"/>
        <v/>
      </c>
    </row>
    <row r="326">
      <c r="A326" s="83"/>
      <c r="W326" s="7"/>
      <c r="AB326" s="7" t="str">
        <f t="shared" si="1"/>
        <v/>
      </c>
    </row>
    <row r="327">
      <c r="A327" s="83"/>
      <c r="W327" s="7"/>
      <c r="AB327" s="7" t="str">
        <f t="shared" si="1"/>
        <v/>
      </c>
    </row>
    <row r="328">
      <c r="A328" s="83"/>
      <c r="W328" s="7"/>
      <c r="AB328" s="7" t="str">
        <f t="shared" si="1"/>
        <v/>
      </c>
    </row>
    <row r="329">
      <c r="A329" s="83"/>
      <c r="W329" s="7"/>
      <c r="AB329" s="7" t="str">
        <f t="shared" si="1"/>
        <v/>
      </c>
    </row>
    <row r="330">
      <c r="A330" s="83"/>
      <c r="W330" s="7"/>
      <c r="AB330" s="7" t="str">
        <f t="shared" si="1"/>
        <v/>
      </c>
    </row>
    <row r="331">
      <c r="A331" s="83"/>
      <c r="W331" s="7"/>
      <c r="AB331" s="7" t="str">
        <f t="shared" si="1"/>
        <v/>
      </c>
    </row>
    <row r="332">
      <c r="A332" s="83"/>
      <c r="W332" s="7"/>
      <c r="AB332" s="7" t="str">
        <f t="shared" si="1"/>
        <v/>
      </c>
    </row>
    <row r="333">
      <c r="A333" s="83"/>
      <c r="W333" s="7"/>
      <c r="AB333" s="7" t="str">
        <f t="shared" si="1"/>
        <v/>
      </c>
    </row>
    <row r="334">
      <c r="A334" s="83"/>
      <c r="W334" s="7"/>
      <c r="AB334" s="7" t="str">
        <f t="shared" si="1"/>
        <v/>
      </c>
    </row>
    <row r="335">
      <c r="A335" s="83"/>
      <c r="W335" s="7"/>
      <c r="AB335" s="7" t="str">
        <f t="shared" si="1"/>
        <v/>
      </c>
    </row>
    <row r="336">
      <c r="A336" s="83"/>
      <c r="W336" s="7"/>
      <c r="AB336" s="7" t="str">
        <f t="shared" si="1"/>
        <v/>
      </c>
    </row>
    <row r="337">
      <c r="A337" s="83"/>
      <c r="W337" s="7"/>
      <c r="AB337" s="7" t="str">
        <f t="shared" si="1"/>
        <v/>
      </c>
    </row>
    <row r="338">
      <c r="A338" s="83"/>
      <c r="W338" s="7"/>
      <c r="AB338" s="7" t="str">
        <f t="shared" si="1"/>
        <v/>
      </c>
    </row>
    <row r="339">
      <c r="A339" s="83"/>
      <c r="W339" s="7"/>
      <c r="AB339" s="7" t="str">
        <f t="shared" si="1"/>
        <v/>
      </c>
    </row>
    <row r="340">
      <c r="A340" s="83"/>
      <c r="W340" s="7"/>
      <c r="AB340" s="7" t="str">
        <f t="shared" si="1"/>
        <v/>
      </c>
    </row>
    <row r="341">
      <c r="A341" s="83"/>
      <c r="W341" s="7"/>
      <c r="AB341" s="7" t="str">
        <f t="shared" si="1"/>
        <v/>
      </c>
    </row>
    <row r="342">
      <c r="A342" s="83"/>
      <c r="W342" s="7"/>
      <c r="AB342" s="7" t="str">
        <f t="shared" si="1"/>
        <v/>
      </c>
    </row>
    <row r="343">
      <c r="A343" s="83"/>
      <c r="W343" s="7"/>
      <c r="AB343" s="7" t="str">
        <f t="shared" si="1"/>
        <v/>
      </c>
    </row>
    <row r="344">
      <c r="A344" s="83"/>
      <c r="W344" s="7"/>
      <c r="AB344" s="7" t="str">
        <f t="shared" si="1"/>
        <v/>
      </c>
    </row>
    <row r="345">
      <c r="A345" s="83"/>
      <c r="W345" s="7"/>
      <c r="AB345" s="7" t="str">
        <f t="shared" si="1"/>
        <v/>
      </c>
    </row>
    <row r="346">
      <c r="A346" s="83"/>
      <c r="W346" s="7"/>
      <c r="AB346" s="7" t="str">
        <f t="shared" si="1"/>
        <v/>
      </c>
    </row>
    <row r="347">
      <c r="A347" s="83"/>
      <c r="W347" s="7"/>
      <c r="AB347" s="7" t="str">
        <f t="shared" si="1"/>
        <v/>
      </c>
    </row>
    <row r="348">
      <c r="A348" s="83"/>
      <c r="W348" s="7"/>
      <c r="AB348" s="7" t="str">
        <f t="shared" si="1"/>
        <v/>
      </c>
    </row>
    <row r="349">
      <c r="A349" s="83"/>
      <c r="W349" s="7"/>
      <c r="AB349" s="7" t="str">
        <f t="shared" si="1"/>
        <v/>
      </c>
    </row>
    <row r="350">
      <c r="A350" s="83"/>
      <c r="W350" s="7"/>
      <c r="AB350" s="7" t="str">
        <f t="shared" si="1"/>
        <v/>
      </c>
    </row>
    <row r="351">
      <c r="A351" s="83"/>
      <c r="W351" s="7"/>
      <c r="AB351" s="7" t="str">
        <f t="shared" si="1"/>
        <v/>
      </c>
    </row>
    <row r="352">
      <c r="A352" s="83"/>
      <c r="W352" s="7"/>
      <c r="AB352" s="7" t="str">
        <f t="shared" si="1"/>
        <v/>
      </c>
    </row>
    <row r="353">
      <c r="A353" s="83"/>
      <c r="W353" s="7"/>
      <c r="AB353" s="7" t="str">
        <f t="shared" si="1"/>
        <v/>
      </c>
    </row>
    <row r="354">
      <c r="A354" s="83"/>
      <c r="W354" s="7"/>
      <c r="AB354" s="7" t="str">
        <f t="shared" si="1"/>
        <v/>
      </c>
    </row>
    <row r="355">
      <c r="A355" s="83"/>
      <c r="W355" s="7"/>
      <c r="AB355" s="7" t="str">
        <f t="shared" si="1"/>
        <v/>
      </c>
    </row>
    <row r="356">
      <c r="A356" s="83"/>
      <c r="W356" s="7"/>
      <c r="AB356" s="7" t="str">
        <f t="shared" si="1"/>
        <v/>
      </c>
    </row>
    <row r="357">
      <c r="A357" s="83"/>
      <c r="W357" s="7"/>
      <c r="AB357" s="7" t="str">
        <f t="shared" si="1"/>
        <v/>
      </c>
    </row>
    <row r="358">
      <c r="A358" s="83"/>
      <c r="W358" s="7"/>
      <c r="AB358" s="7" t="str">
        <f t="shared" si="1"/>
        <v/>
      </c>
    </row>
    <row r="359">
      <c r="A359" s="83"/>
      <c r="W359" s="7"/>
      <c r="AB359" s="7" t="str">
        <f t="shared" si="1"/>
        <v/>
      </c>
    </row>
    <row r="360">
      <c r="A360" s="83"/>
      <c r="W360" s="7"/>
      <c r="AB360" s="7" t="str">
        <f t="shared" si="1"/>
        <v/>
      </c>
    </row>
    <row r="361">
      <c r="A361" s="83"/>
      <c r="W361" s="7"/>
      <c r="AB361" s="7" t="str">
        <f t="shared" si="1"/>
        <v/>
      </c>
    </row>
    <row r="362">
      <c r="A362" s="83"/>
      <c r="W362" s="7"/>
      <c r="AB362" s="7" t="str">
        <f t="shared" si="1"/>
        <v/>
      </c>
    </row>
    <row r="363">
      <c r="A363" s="83"/>
      <c r="W363" s="7"/>
      <c r="AB363" s="7" t="str">
        <f t="shared" si="1"/>
        <v/>
      </c>
    </row>
    <row r="364">
      <c r="A364" s="83"/>
      <c r="W364" s="7"/>
      <c r="AB364" s="7" t="str">
        <f t="shared" si="1"/>
        <v/>
      </c>
    </row>
    <row r="365">
      <c r="A365" s="83"/>
      <c r="W365" s="7"/>
      <c r="AB365" s="7" t="str">
        <f t="shared" si="1"/>
        <v/>
      </c>
    </row>
    <row r="366">
      <c r="A366" s="83"/>
      <c r="W366" s="7"/>
      <c r="AB366" s="7" t="str">
        <f t="shared" si="1"/>
        <v/>
      </c>
    </row>
    <row r="367">
      <c r="A367" s="83"/>
      <c r="W367" s="7"/>
      <c r="AB367" s="7" t="str">
        <f t="shared" si="1"/>
        <v/>
      </c>
    </row>
    <row r="368">
      <c r="A368" s="83"/>
      <c r="W368" s="7"/>
      <c r="AB368" s="7" t="str">
        <f t="shared" si="1"/>
        <v/>
      </c>
    </row>
    <row r="369">
      <c r="A369" s="83"/>
      <c r="W369" s="7"/>
      <c r="AB369" s="7" t="str">
        <f t="shared" si="1"/>
        <v/>
      </c>
    </row>
    <row r="370">
      <c r="A370" s="83"/>
      <c r="W370" s="7"/>
      <c r="AB370" s="7" t="str">
        <f t="shared" si="1"/>
        <v/>
      </c>
    </row>
    <row r="371">
      <c r="A371" s="83"/>
      <c r="W371" s="7"/>
      <c r="AB371" s="7" t="str">
        <f t="shared" si="1"/>
        <v/>
      </c>
    </row>
    <row r="372">
      <c r="A372" s="83"/>
      <c r="W372" s="7"/>
      <c r="AB372" s="7" t="str">
        <f t="shared" si="1"/>
        <v/>
      </c>
    </row>
    <row r="373">
      <c r="A373" s="83"/>
      <c r="W373" s="7"/>
      <c r="AB373" s="7" t="str">
        <f t="shared" si="1"/>
        <v/>
      </c>
    </row>
    <row r="374">
      <c r="A374" s="83"/>
      <c r="W374" s="7"/>
      <c r="AB374" s="7" t="str">
        <f t="shared" si="1"/>
        <v/>
      </c>
    </row>
    <row r="375">
      <c r="A375" s="83"/>
      <c r="W375" s="7"/>
      <c r="AB375" s="7" t="str">
        <f t="shared" si="1"/>
        <v/>
      </c>
    </row>
    <row r="376">
      <c r="A376" s="83"/>
      <c r="W376" s="7"/>
      <c r="AB376" s="7" t="str">
        <f t="shared" si="1"/>
        <v/>
      </c>
    </row>
    <row r="377">
      <c r="A377" s="83"/>
      <c r="W377" s="7"/>
      <c r="AB377" s="7" t="str">
        <f t="shared" si="1"/>
        <v/>
      </c>
    </row>
    <row r="378">
      <c r="A378" s="83"/>
      <c r="W378" s="7"/>
      <c r="AB378" s="7" t="str">
        <f t="shared" si="1"/>
        <v/>
      </c>
    </row>
    <row r="379">
      <c r="A379" s="83"/>
      <c r="W379" s="7"/>
      <c r="AB379" s="7" t="str">
        <f t="shared" si="1"/>
        <v/>
      </c>
    </row>
    <row r="380">
      <c r="A380" s="83"/>
      <c r="W380" s="7"/>
      <c r="AB380" s="7" t="str">
        <f t="shared" si="1"/>
        <v/>
      </c>
    </row>
    <row r="381">
      <c r="A381" s="83"/>
      <c r="W381" s="7"/>
      <c r="AB381" s="7" t="str">
        <f t="shared" si="1"/>
        <v/>
      </c>
    </row>
    <row r="382">
      <c r="A382" s="83"/>
      <c r="W382" s="7"/>
      <c r="AB382" s="7" t="str">
        <f t="shared" si="1"/>
        <v/>
      </c>
    </row>
    <row r="383">
      <c r="A383" s="83"/>
      <c r="W383" s="7"/>
      <c r="AB383" s="7" t="str">
        <f t="shared" si="1"/>
        <v/>
      </c>
    </row>
    <row r="384">
      <c r="A384" s="83"/>
      <c r="W384" s="7"/>
      <c r="AB384" s="7" t="str">
        <f t="shared" si="1"/>
        <v/>
      </c>
    </row>
    <row r="385">
      <c r="A385" s="83"/>
      <c r="W385" s="7"/>
      <c r="AB385" s="7" t="str">
        <f t="shared" si="1"/>
        <v/>
      </c>
    </row>
    <row r="386">
      <c r="A386" s="83"/>
      <c r="W386" s="7"/>
      <c r="AB386" s="7" t="str">
        <f t="shared" si="1"/>
        <v/>
      </c>
    </row>
    <row r="387">
      <c r="A387" s="83"/>
      <c r="W387" s="7"/>
      <c r="AB387" s="7" t="str">
        <f t="shared" si="1"/>
        <v/>
      </c>
    </row>
    <row r="388">
      <c r="A388" s="83"/>
      <c r="W388" s="7"/>
      <c r="AB388" s="7" t="str">
        <f t="shared" si="1"/>
        <v/>
      </c>
    </row>
    <row r="389">
      <c r="A389" s="83"/>
      <c r="W389" s="7"/>
      <c r="AB389" s="7" t="str">
        <f t="shared" si="1"/>
        <v/>
      </c>
    </row>
    <row r="390">
      <c r="A390" s="83"/>
      <c r="W390" s="7"/>
      <c r="AB390" s="7" t="str">
        <f t="shared" si="1"/>
        <v/>
      </c>
    </row>
    <row r="391">
      <c r="A391" s="83"/>
      <c r="W391" s="7"/>
      <c r="AB391" s="7" t="str">
        <f t="shared" si="1"/>
        <v/>
      </c>
    </row>
    <row r="392">
      <c r="A392" s="83"/>
      <c r="W392" s="7"/>
      <c r="AB392" s="7" t="str">
        <f t="shared" si="1"/>
        <v/>
      </c>
    </row>
    <row r="393">
      <c r="A393" s="83"/>
      <c r="W393" s="7"/>
      <c r="AB393" s="7" t="str">
        <f t="shared" si="1"/>
        <v/>
      </c>
    </row>
    <row r="394">
      <c r="A394" s="83"/>
      <c r="W394" s="7"/>
      <c r="AB394" s="7" t="str">
        <f t="shared" si="1"/>
        <v/>
      </c>
    </row>
    <row r="395">
      <c r="A395" s="83"/>
      <c r="W395" s="7"/>
      <c r="AB395" s="7" t="str">
        <f t="shared" si="1"/>
        <v/>
      </c>
    </row>
    <row r="396">
      <c r="A396" s="83"/>
      <c r="W396" s="7"/>
      <c r="AB396" s="7" t="str">
        <f t="shared" si="1"/>
        <v/>
      </c>
    </row>
    <row r="397">
      <c r="A397" s="83"/>
      <c r="W397" s="7"/>
      <c r="AB397" s="7" t="str">
        <f t="shared" si="1"/>
        <v/>
      </c>
    </row>
    <row r="398">
      <c r="A398" s="83"/>
      <c r="W398" s="7"/>
      <c r="AB398" s="7" t="str">
        <f t="shared" si="1"/>
        <v/>
      </c>
    </row>
    <row r="399">
      <c r="A399" s="83"/>
      <c r="W399" s="7"/>
      <c r="AB399" s="7" t="str">
        <f t="shared" si="1"/>
        <v/>
      </c>
    </row>
    <row r="400">
      <c r="A400" s="83"/>
      <c r="W400" s="7"/>
      <c r="AB400" s="7" t="str">
        <f t="shared" si="1"/>
        <v/>
      </c>
    </row>
    <row r="401">
      <c r="A401" s="83"/>
      <c r="W401" s="7"/>
      <c r="AB401" s="7" t="str">
        <f t="shared" si="1"/>
        <v/>
      </c>
    </row>
    <row r="402">
      <c r="A402" s="83"/>
      <c r="W402" s="7"/>
      <c r="AB402" s="7" t="str">
        <f t="shared" si="1"/>
        <v/>
      </c>
    </row>
    <row r="403">
      <c r="A403" s="83"/>
      <c r="W403" s="7"/>
      <c r="AB403" s="7" t="str">
        <f t="shared" si="1"/>
        <v/>
      </c>
    </row>
    <row r="404">
      <c r="A404" s="83"/>
      <c r="W404" s="7"/>
      <c r="AB404" s="7" t="str">
        <f t="shared" si="1"/>
        <v/>
      </c>
    </row>
    <row r="405">
      <c r="A405" s="83"/>
      <c r="W405" s="7"/>
      <c r="AB405" s="7" t="str">
        <f t="shared" si="1"/>
        <v/>
      </c>
    </row>
    <row r="406">
      <c r="A406" s="83"/>
      <c r="W406" s="7"/>
      <c r="AB406" s="7" t="str">
        <f t="shared" si="1"/>
        <v/>
      </c>
    </row>
    <row r="407">
      <c r="A407" s="83"/>
      <c r="W407" s="7"/>
      <c r="AB407" s="7" t="str">
        <f t="shared" si="1"/>
        <v/>
      </c>
    </row>
    <row r="408">
      <c r="A408" s="83"/>
      <c r="W408" s="7"/>
      <c r="AB408" s="7" t="str">
        <f t="shared" si="1"/>
        <v/>
      </c>
    </row>
    <row r="409">
      <c r="A409" s="83"/>
      <c r="W409" s="7"/>
      <c r="AB409" s="7" t="str">
        <f t="shared" si="1"/>
        <v/>
      </c>
    </row>
    <row r="410">
      <c r="A410" s="83"/>
      <c r="W410" s="7"/>
      <c r="AB410" s="7" t="str">
        <f t="shared" si="1"/>
        <v/>
      </c>
    </row>
    <row r="411">
      <c r="A411" s="83"/>
      <c r="W411" s="7"/>
      <c r="AB411" s="7" t="str">
        <f t="shared" si="1"/>
        <v/>
      </c>
    </row>
    <row r="412">
      <c r="A412" s="83"/>
      <c r="W412" s="7"/>
      <c r="AB412" s="7" t="str">
        <f t="shared" si="1"/>
        <v/>
      </c>
    </row>
    <row r="413">
      <c r="A413" s="83"/>
      <c r="W413" s="7"/>
      <c r="AB413" s="7" t="str">
        <f t="shared" si="1"/>
        <v/>
      </c>
    </row>
    <row r="414">
      <c r="A414" s="83"/>
      <c r="W414" s="7"/>
      <c r="AB414" s="7" t="str">
        <f t="shared" si="1"/>
        <v/>
      </c>
    </row>
    <row r="415">
      <c r="A415" s="83"/>
      <c r="W415" s="7"/>
      <c r="AB415" s="7" t="str">
        <f t="shared" si="1"/>
        <v/>
      </c>
    </row>
    <row r="416">
      <c r="A416" s="83"/>
      <c r="W416" s="7"/>
      <c r="AB416" s="7" t="str">
        <f t="shared" si="1"/>
        <v/>
      </c>
    </row>
    <row r="417">
      <c r="A417" s="83"/>
      <c r="W417" s="7"/>
      <c r="AB417" s="7" t="str">
        <f t="shared" si="1"/>
        <v/>
      </c>
    </row>
    <row r="418">
      <c r="A418" s="83"/>
      <c r="W418" s="7"/>
      <c r="AB418" s="7" t="str">
        <f t="shared" si="1"/>
        <v/>
      </c>
    </row>
    <row r="419">
      <c r="A419" s="83"/>
      <c r="W419" s="7"/>
      <c r="AB419" s="7" t="str">
        <f t="shared" si="1"/>
        <v/>
      </c>
    </row>
    <row r="420">
      <c r="A420" s="83"/>
      <c r="W420" s="7"/>
      <c r="AB420" s="7" t="str">
        <f t="shared" si="1"/>
        <v/>
      </c>
    </row>
    <row r="421">
      <c r="A421" s="83"/>
      <c r="W421" s="7"/>
      <c r="AB421" s="7" t="str">
        <f t="shared" si="1"/>
        <v/>
      </c>
    </row>
    <row r="422">
      <c r="A422" s="83"/>
      <c r="W422" s="7"/>
      <c r="AB422" s="7" t="str">
        <f t="shared" si="1"/>
        <v/>
      </c>
    </row>
    <row r="423">
      <c r="A423" s="83"/>
      <c r="W423" s="7"/>
      <c r="AB423" s="7" t="str">
        <f t="shared" si="1"/>
        <v/>
      </c>
    </row>
    <row r="424">
      <c r="A424" s="83"/>
      <c r="W424" s="7"/>
      <c r="AB424" s="7" t="str">
        <f t="shared" si="1"/>
        <v/>
      </c>
    </row>
    <row r="425">
      <c r="A425" s="83"/>
      <c r="W425" s="7"/>
      <c r="AB425" s="7" t="str">
        <f t="shared" si="1"/>
        <v/>
      </c>
    </row>
    <row r="426">
      <c r="A426" s="83"/>
      <c r="W426" s="7"/>
      <c r="AB426" s="7" t="str">
        <f t="shared" si="1"/>
        <v/>
      </c>
    </row>
    <row r="427">
      <c r="A427" s="83"/>
      <c r="W427" s="7"/>
      <c r="AB427" s="7" t="str">
        <f t="shared" si="1"/>
        <v/>
      </c>
    </row>
    <row r="428">
      <c r="A428" s="83"/>
      <c r="W428" s="7"/>
      <c r="AB428" s="7" t="str">
        <f t="shared" si="1"/>
        <v/>
      </c>
    </row>
    <row r="429">
      <c r="A429" s="83"/>
      <c r="W429" s="7"/>
      <c r="AB429" s="7" t="str">
        <f t="shared" si="1"/>
        <v/>
      </c>
    </row>
    <row r="430">
      <c r="A430" s="83"/>
      <c r="W430" s="7"/>
      <c r="AB430" s="7" t="str">
        <f t="shared" si="1"/>
        <v/>
      </c>
    </row>
    <row r="431">
      <c r="A431" s="83"/>
      <c r="W431" s="7"/>
      <c r="AB431" s="7" t="str">
        <f t="shared" si="1"/>
        <v/>
      </c>
    </row>
    <row r="432">
      <c r="A432" s="83"/>
      <c r="W432" s="7"/>
      <c r="AB432" s="7" t="str">
        <f t="shared" si="1"/>
        <v/>
      </c>
    </row>
    <row r="433">
      <c r="A433" s="83"/>
      <c r="W433" s="7"/>
      <c r="AB433" s="7" t="str">
        <f t="shared" si="1"/>
        <v/>
      </c>
    </row>
    <row r="434">
      <c r="A434" s="83"/>
      <c r="W434" s="7"/>
      <c r="AB434" s="7" t="str">
        <f t="shared" si="1"/>
        <v/>
      </c>
    </row>
    <row r="435">
      <c r="A435" s="83"/>
      <c r="W435" s="7"/>
      <c r="AB435" s="7" t="str">
        <f t="shared" si="1"/>
        <v/>
      </c>
    </row>
    <row r="436">
      <c r="A436" s="83"/>
      <c r="W436" s="7"/>
      <c r="AB436" s="7" t="str">
        <f t="shared" si="1"/>
        <v/>
      </c>
    </row>
    <row r="437">
      <c r="A437" s="83"/>
      <c r="W437" s="7"/>
      <c r="AB437" s="7" t="str">
        <f t="shared" si="1"/>
        <v/>
      </c>
    </row>
    <row r="438">
      <c r="A438" s="83"/>
      <c r="W438" s="7"/>
      <c r="AB438" s="7" t="str">
        <f t="shared" si="1"/>
        <v/>
      </c>
    </row>
    <row r="439">
      <c r="A439" s="83"/>
      <c r="W439" s="7"/>
      <c r="AB439" s="7" t="str">
        <f t="shared" si="1"/>
        <v/>
      </c>
    </row>
    <row r="440">
      <c r="A440" s="83"/>
      <c r="W440" s="7"/>
      <c r="AB440" s="7" t="str">
        <f t="shared" si="1"/>
        <v/>
      </c>
    </row>
    <row r="441">
      <c r="A441" s="83"/>
      <c r="W441" s="7"/>
      <c r="AB441" s="7" t="str">
        <f t="shared" si="1"/>
        <v/>
      </c>
    </row>
    <row r="442">
      <c r="A442" s="83"/>
      <c r="W442" s="7"/>
      <c r="AB442" s="7" t="str">
        <f t="shared" si="1"/>
        <v/>
      </c>
    </row>
    <row r="443">
      <c r="A443" s="83"/>
      <c r="W443" s="7"/>
      <c r="AB443" s="7" t="str">
        <f t="shared" si="1"/>
        <v/>
      </c>
    </row>
    <row r="444">
      <c r="A444" s="83"/>
      <c r="W444" s="7"/>
      <c r="AB444" s="7" t="str">
        <f t="shared" si="1"/>
        <v/>
      </c>
    </row>
    <row r="445">
      <c r="A445" s="83"/>
      <c r="W445" s="7"/>
      <c r="AB445" s="7" t="str">
        <f t="shared" si="1"/>
        <v/>
      </c>
    </row>
    <row r="446">
      <c r="A446" s="83"/>
      <c r="W446" s="7"/>
      <c r="AB446" s="7" t="str">
        <f t="shared" si="1"/>
        <v/>
      </c>
    </row>
    <row r="447">
      <c r="A447" s="83"/>
      <c r="W447" s="7"/>
      <c r="AB447" s="7" t="str">
        <f t="shared" si="1"/>
        <v/>
      </c>
    </row>
    <row r="448">
      <c r="A448" s="83"/>
      <c r="W448" s="7"/>
      <c r="AB448" s="7" t="str">
        <f t="shared" si="1"/>
        <v/>
      </c>
    </row>
    <row r="449">
      <c r="A449" s="83"/>
      <c r="W449" s="7"/>
      <c r="AB449" s="7" t="str">
        <f t="shared" si="1"/>
        <v/>
      </c>
    </row>
    <row r="450">
      <c r="A450" s="83"/>
      <c r="W450" s="7"/>
      <c r="AB450" s="7" t="str">
        <f t="shared" si="1"/>
        <v/>
      </c>
    </row>
    <row r="451">
      <c r="A451" s="83"/>
      <c r="W451" s="7"/>
      <c r="AB451" s="7" t="str">
        <f t="shared" si="1"/>
        <v/>
      </c>
    </row>
    <row r="452">
      <c r="A452" s="83"/>
      <c r="W452" s="7"/>
      <c r="AB452" s="7" t="str">
        <f t="shared" si="1"/>
        <v/>
      </c>
    </row>
    <row r="453">
      <c r="A453" s="83"/>
      <c r="W453" s="7"/>
      <c r="AB453" s="7" t="str">
        <f t="shared" si="1"/>
        <v/>
      </c>
    </row>
    <row r="454">
      <c r="A454" s="83"/>
      <c r="W454" s="7"/>
      <c r="AB454" s="7" t="str">
        <f t="shared" si="1"/>
        <v/>
      </c>
    </row>
    <row r="455">
      <c r="A455" s="83"/>
      <c r="W455" s="7"/>
      <c r="AB455" s="7" t="str">
        <f t="shared" si="1"/>
        <v/>
      </c>
    </row>
    <row r="456">
      <c r="A456" s="83"/>
      <c r="W456" s="7"/>
      <c r="AB456" s="7" t="str">
        <f t="shared" si="1"/>
        <v/>
      </c>
    </row>
    <row r="457">
      <c r="A457" s="83"/>
      <c r="W457" s="7"/>
      <c r="AB457" s="7" t="str">
        <f t="shared" si="1"/>
        <v/>
      </c>
    </row>
    <row r="458">
      <c r="A458" s="83"/>
      <c r="W458" s="7"/>
      <c r="AB458" s="7" t="str">
        <f t="shared" si="1"/>
        <v/>
      </c>
    </row>
    <row r="459">
      <c r="A459" s="83"/>
      <c r="W459" s="7"/>
      <c r="AB459" s="7" t="str">
        <f t="shared" si="1"/>
        <v/>
      </c>
    </row>
    <row r="460">
      <c r="A460" s="83"/>
      <c r="W460" s="7"/>
      <c r="AB460" s="7" t="str">
        <f t="shared" si="1"/>
        <v/>
      </c>
    </row>
    <row r="461">
      <c r="A461" s="83"/>
      <c r="W461" s="7"/>
      <c r="AB461" s="7" t="str">
        <f t="shared" si="1"/>
        <v/>
      </c>
    </row>
    <row r="462">
      <c r="A462" s="83"/>
      <c r="W462" s="7"/>
      <c r="AB462" s="7" t="str">
        <f t="shared" si="1"/>
        <v/>
      </c>
    </row>
    <row r="463">
      <c r="A463" s="83"/>
      <c r="W463" s="7"/>
      <c r="AB463" s="7" t="str">
        <f t="shared" si="1"/>
        <v/>
      </c>
    </row>
    <row r="464">
      <c r="A464" s="83"/>
      <c r="W464" s="7"/>
      <c r="AB464" s="7" t="str">
        <f t="shared" si="1"/>
        <v/>
      </c>
    </row>
    <row r="465">
      <c r="A465" s="83"/>
      <c r="W465" s="7"/>
      <c r="AB465" s="7" t="str">
        <f t="shared" si="1"/>
        <v/>
      </c>
    </row>
    <row r="466">
      <c r="A466" s="83"/>
      <c r="W466" s="7"/>
      <c r="AB466" s="7" t="str">
        <f t="shared" si="1"/>
        <v/>
      </c>
    </row>
    <row r="467">
      <c r="A467" s="83"/>
      <c r="W467" s="7"/>
      <c r="AB467" s="7" t="str">
        <f t="shared" si="1"/>
        <v/>
      </c>
    </row>
    <row r="468">
      <c r="A468" s="83"/>
      <c r="W468" s="7"/>
      <c r="AB468" s="7" t="str">
        <f t="shared" si="1"/>
        <v/>
      </c>
    </row>
    <row r="469">
      <c r="A469" s="83"/>
      <c r="W469" s="7"/>
      <c r="AB469" s="7" t="str">
        <f t="shared" si="1"/>
        <v/>
      </c>
    </row>
    <row r="470">
      <c r="A470" s="83"/>
      <c r="W470" s="7"/>
      <c r="AB470" s="7" t="str">
        <f t="shared" si="1"/>
        <v/>
      </c>
    </row>
    <row r="471">
      <c r="A471" s="83"/>
      <c r="W471" s="7"/>
      <c r="AB471" s="7" t="str">
        <f t="shared" si="1"/>
        <v/>
      </c>
    </row>
    <row r="472">
      <c r="A472" s="83"/>
      <c r="W472" s="7"/>
      <c r="AB472" s="7" t="str">
        <f t="shared" si="1"/>
        <v/>
      </c>
    </row>
    <row r="473">
      <c r="A473" s="83"/>
      <c r="W473" s="7"/>
      <c r="AB473" s="7" t="str">
        <f t="shared" si="1"/>
        <v/>
      </c>
    </row>
    <row r="474">
      <c r="A474" s="83"/>
      <c r="W474" s="7"/>
      <c r="AB474" s="7" t="str">
        <f t="shared" si="1"/>
        <v/>
      </c>
    </row>
    <row r="475">
      <c r="A475" s="83"/>
      <c r="W475" s="7"/>
      <c r="AB475" s="7" t="str">
        <f t="shared" si="1"/>
        <v/>
      </c>
    </row>
    <row r="476">
      <c r="A476" s="83"/>
      <c r="W476" s="7"/>
      <c r="AB476" s="7" t="str">
        <f t="shared" si="1"/>
        <v/>
      </c>
    </row>
    <row r="477">
      <c r="A477" s="83"/>
      <c r="W477" s="7"/>
      <c r="AB477" s="7" t="str">
        <f t="shared" si="1"/>
        <v/>
      </c>
    </row>
    <row r="478">
      <c r="A478" s="83"/>
      <c r="W478" s="7"/>
      <c r="AB478" s="7" t="str">
        <f t="shared" si="1"/>
        <v/>
      </c>
    </row>
    <row r="479">
      <c r="A479" s="83"/>
      <c r="W479" s="7"/>
      <c r="AB479" s="7" t="str">
        <f t="shared" si="1"/>
        <v/>
      </c>
    </row>
    <row r="480">
      <c r="A480" s="83"/>
      <c r="W480" s="7"/>
      <c r="AB480" s="7" t="str">
        <f t="shared" si="1"/>
        <v/>
      </c>
    </row>
    <row r="481">
      <c r="A481" s="83"/>
      <c r="W481" s="7"/>
      <c r="AB481" s="7" t="str">
        <f t="shared" si="1"/>
        <v/>
      </c>
    </row>
    <row r="482">
      <c r="A482" s="83"/>
      <c r="W482" s="7"/>
      <c r="AB482" s="7" t="str">
        <f t="shared" si="1"/>
        <v/>
      </c>
    </row>
    <row r="483">
      <c r="A483" s="83"/>
      <c r="W483" s="7"/>
      <c r="AB483" s="7" t="str">
        <f t="shared" si="1"/>
        <v/>
      </c>
    </row>
    <row r="484">
      <c r="A484" s="83"/>
      <c r="W484" s="7"/>
      <c r="AB484" s="7" t="str">
        <f t="shared" si="1"/>
        <v/>
      </c>
    </row>
    <row r="485">
      <c r="A485" s="83"/>
      <c r="W485" s="7"/>
      <c r="AB485" s="7" t="str">
        <f t="shared" si="1"/>
        <v/>
      </c>
    </row>
    <row r="486">
      <c r="A486" s="83"/>
      <c r="W486" s="7"/>
      <c r="AB486" s="7" t="str">
        <f t="shared" si="1"/>
        <v/>
      </c>
    </row>
    <row r="487">
      <c r="A487" s="83"/>
      <c r="W487" s="7"/>
      <c r="AB487" s="7" t="str">
        <f t="shared" si="1"/>
        <v/>
      </c>
    </row>
    <row r="488">
      <c r="A488" s="83"/>
      <c r="W488" s="7"/>
      <c r="AB488" s="7" t="str">
        <f t="shared" si="1"/>
        <v/>
      </c>
    </row>
    <row r="489">
      <c r="A489" s="83"/>
      <c r="W489" s="7"/>
      <c r="AB489" s="7" t="str">
        <f t="shared" si="1"/>
        <v/>
      </c>
    </row>
    <row r="490">
      <c r="A490" s="83"/>
      <c r="W490" s="7"/>
      <c r="AB490" s="7" t="str">
        <f t="shared" si="1"/>
        <v/>
      </c>
    </row>
    <row r="491">
      <c r="A491" s="83"/>
      <c r="W491" s="7"/>
      <c r="AB491" s="7" t="str">
        <f t="shared" si="1"/>
        <v/>
      </c>
    </row>
    <row r="492">
      <c r="A492" s="83"/>
      <c r="W492" s="7"/>
      <c r="AB492" s="7" t="str">
        <f t="shared" si="1"/>
        <v/>
      </c>
    </row>
    <row r="493">
      <c r="A493" s="83"/>
      <c r="W493" s="7"/>
      <c r="AB493" s="7" t="str">
        <f t="shared" si="1"/>
        <v/>
      </c>
    </row>
    <row r="494">
      <c r="A494" s="83"/>
      <c r="W494" s="7"/>
      <c r="AB494" s="7" t="str">
        <f t="shared" si="1"/>
        <v/>
      </c>
    </row>
    <row r="495">
      <c r="A495" s="83"/>
      <c r="W495" s="7"/>
      <c r="AB495" s="7" t="str">
        <f t="shared" si="1"/>
        <v/>
      </c>
    </row>
    <row r="496">
      <c r="A496" s="83"/>
      <c r="W496" s="7"/>
      <c r="AB496" s="7" t="str">
        <f t="shared" si="1"/>
        <v/>
      </c>
    </row>
    <row r="497">
      <c r="A497" s="83"/>
      <c r="W497" s="7"/>
      <c r="AB497" s="7" t="str">
        <f t="shared" si="1"/>
        <v/>
      </c>
    </row>
    <row r="498">
      <c r="A498" s="83"/>
      <c r="W498" s="7"/>
      <c r="AB498" s="7" t="str">
        <f t="shared" si="1"/>
        <v/>
      </c>
    </row>
    <row r="499">
      <c r="A499" s="83"/>
      <c r="W499" s="7"/>
      <c r="AB499" s="7" t="str">
        <f t="shared" si="1"/>
        <v/>
      </c>
    </row>
    <row r="500">
      <c r="A500" s="83"/>
      <c r="W500" s="7"/>
      <c r="AB500" s="7" t="str">
        <f t="shared" si="1"/>
        <v/>
      </c>
    </row>
    <row r="501">
      <c r="A501" s="83"/>
      <c r="W501" s="7"/>
      <c r="AB501" s="7" t="str">
        <f t="shared" si="1"/>
        <v/>
      </c>
    </row>
    <row r="502">
      <c r="A502" s="83"/>
      <c r="W502" s="7"/>
      <c r="AB502" s="7" t="str">
        <f t="shared" si="1"/>
        <v/>
      </c>
    </row>
    <row r="503">
      <c r="A503" s="83"/>
      <c r="W503" s="7"/>
      <c r="AB503" s="7" t="str">
        <f t="shared" si="1"/>
        <v/>
      </c>
    </row>
    <row r="504">
      <c r="A504" s="83"/>
      <c r="W504" s="7"/>
      <c r="AB504" s="7" t="str">
        <f t="shared" si="1"/>
        <v/>
      </c>
    </row>
    <row r="505">
      <c r="A505" s="83"/>
      <c r="W505" s="7"/>
      <c r="AB505" s="7" t="str">
        <f t="shared" si="1"/>
        <v/>
      </c>
    </row>
    <row r="506">
      <c r="A506" s="83"/>
      <c r="W506" s="7"/>
      <c r="AB506" s="7" t="str">
        <f t="shared" si="1"/>
        <v/>
      </c>
    </row>
    <row r="507">
      <c r="A507" s="83"/>
      <c r="W507" s="7"/>
      <c r="AB507" s="7" t="str">
        <f t="shared" si="1"/>
        <v/>
      </c>
    </row>
    <row r="508">
      <c r="A508" s="83"/>
      <c r="W508" s="7"/>
      <c r="AB508" s="7" t="str">
        <f t="shared" si="1"/>
        <v/>
      </c>
    </row>
    <row r="509">
      <c r="A509" s="83"/>
      <c r="W509" s="7"/>
      <c r="AB509" s="7" t="str">
        <f t="shared" si="1"/>
        <v/>
      </c>
    </row>
    <row r="510">
      <c r="A510" s="83"/>
      <c r="W510" s="7"/>
      <c r="AB510" s="7" t="str">
        <f t="shared" si="1"/>
        <v/>
      </c>
    </row>
    <row r="511">
      <c r="A511" s="83"/>
      <c r="W511" s="7"/>
      <c r="AB511" s="7" t="str">
        <f t="shared" si="1"/>
        <v/>
      </c>
    </row>
    <row r="512">
      <c r="A512" s="83"/>
      <c r="W512" s="7"/>
      <c r="AB512" s="7" t="str">
        <f t="shared" si="1"/>
        <v/>
      </c>
    </row>
    <row r="513">
      <c r="A513" s="83"/>
      <c r="W513" s="7"/>
      <c r="AB513" s="7" t="str">
        <f t="shared" si="1"/>
        <v/>
      </c>
    </row>
    <row r="514">
      <c r="A514" s="83"/>
      <c r="W514" s="7"/>
      <c r="AB514" s="7" t="str">
        <f t="shared" si="1"/>
        <v/>
      </c>
    </row>
    <row r="515">
      <c r="A515" s="83"/>
      <c r="W515" s="7"/>
      <c r="AB515" s="7" t="str">
        <f t="shared" si="1"/>
        <v/>
      </c>
    </row>
    <row r="516">
      <c r="A516" s="83"/>
      <c r="W516" s="7"/>
      <c r="AB516" s="7" t="str">
        <f t="shared" si="1"/>
        <v/>
      </c>
    </row>
    <row r="517">
      <c r="A517" s="83"/>
      <c r="W517" s="7"/>
      <c r="AB517" s="7" t="str">
        <f t="shared" si="1"/>
        <v/>
      </c>
    </row>
    <row r="518">
      <c r="A518" s="83"/>
      <c r="W518" s="7"/>
      <c r="AB518" s="7" t="str">
        <f t="shared" si="1"/>
        <v/>
      </c>
    </row>
    <row r="519">
      <c r="A519" s="83"/>
      <c r="W519" s="7"/>
      <c r="AB519" s="7" t="str">
        <f t="shared" si="1"/>
        <v/>
      </c>
    </row>
    <row r="520">
      <c r="A520" s="83"/>
      <c r="W520" s="7"/>
      <c r="AB520" s="7" t="str">
        <f t="shared" si="1"/>
        <v/>
      </c>
    </row>
    <row r="521">
      <c r="A521" s="83"/>
      <c r="W521" s="7"/>
      <c r="AB521" s="7" t="str">
        <f t="shared" si="1"/>
        <v/>
      </c>
    </row>
    <row r="522">
      <c r="A522" s="83"/>
      <c r="W522" s="7"/>
      <c r="AB522" s="7" t="str">
        <f t="shared" si="1"/>
        <v/>
      </c>
    </row>
    <row r="523">
      <c r="A523" s="83"/>
      <c r="W523" s="7"/>
      <c r="AB523" s="7" t="str">
        <f t="shared" si="1"/>
        <v/>
      </c>
    </row>
    <row r="524">
      <c r="A524" s="83"/>
      <c r="W524" s="7"/>
      <c r="AB524" s="7" t="str">
        <f t="shared" si="1"/>
        <v/>
      </c>
    </row>
    <row r="525">
      <c r="A525" s="83"/>
      <c r="W525" s="7"/>
      <c r="AB525" s="7" t="str">
        <f t="shared" si="1"/>
        <v/>
      </c>
    </row>
    <row r="526">
      <c r="A526" s="83"/>
      <c r="W526" s="7"/>
      <c r="AB526" s="7" t="str">
        <f t="shared" si="1"/>
        <v/>
      </c>
    </row>
    <row r="527">
      <c r="A527" s="83"/>
      <c r="W527" s="7"/>
      <c r="AB527" s="7" t="str">
        <f t="shared" si="1"/>
        <v/>
      </c>
    </row>
    <row r="528">
      <c r="A528" s="83"/>
      <c r="W528" s="7"/>
      <c r="AB528" s="7" t="str">
        <f t="shared" si="1"/>
        <v/>
      </c>
    </row>
    <row r="529">
      <c r="A529" s="83"/>
      <c r="W529" s="7"/>
      <c r="AB529" s="7" t="str">
        <f t="shared" si="1"/>
        <v/>
      </c>
    </row>
    <row r="530">
      <c r="A530" s="83"/>
      <c r="W530" s="7"/>
      <c r="AB530" s="7" t="str">
        <f t="shared" si="1"/>
        <v/>
      </c>
    </row>
    <row r="531">
      <c r="A531" s="83"/>
      <c r="W531" s="7"/>
      <c r="AB531" s="7" t="str">
        <f t="shared" si="1"/>
        <v/>
      </c>
    </row>
    <row r="532">
      <c r="A532" s="83"/>
      <c r="W532" s="7"/>
      <c r="AB532" s="7" t="str">
        <f t="shared" si="1"/>
        <v/>
      </c>
    </row>
    <row r="533">
      <c r="A533" s="83"/>
      <c r="W533" s="7"/>
      <c r="AB533" s="7" t="str">
        <f t="shared" si="1"/>
        <v/>
      </c>
    </row>
    <row r="534">
      <c r="A534" s="83"/>
      <c r="W534" s="7"/>
      <c r="AB534" s="7" t="str">
        <f t="shared" si="1"/>
        <v/>
      </c>
    </row>
    <row r="535">
      <c r="A535" s="83"/>
      <c r="W535" s="7"/>
      <c r="AB535" s="7" t="str">
        <f t="shared" si="1"/>
        <v/>
      </c>
    </row>
    <row r="536">
      <c r="A536" s="83"/>
      <c r="W536" s="7"/>
      <c r="AB536" s="7" t="str">
        <f t="shared" si="1"/>
        <v/>
      </c>
    </row>
    <row r="537">
      <c r="A537" s="83"/>
      <c r="W537" s="7"/>
      <c r="AB537" s="7" t="str">
        <f t="shared" si="1"/>
        <v/>
      </c>
    </row>
    <row r="538">
      <c r="A538" s="83"/>
      <c r="W538" s="7"/>
      <c r="AB538" s="7" t="str">
        <f t="shared" si="1"/>
        <v/>
      </c>
    </row>
    <row r="539">
      <c r="A539" s="83"/>
      <c r="W539" s="7"/>
      <c r="AB539" s="7" t="str">
        <f t="shared" si="1"/>
        <v/>
      </c>
    </row>
    <row r="540">
      <c r="A540" s="83"/>
      <c r="W540" s="7"/>
      <c r="AB540" s="7" t="str">
        <f t="shared" si="1"/>
        <v/>
      </c>
    </row>
    <row r="541">
      <c r="A541" s="83"/>
      <c r="W541" s="7"/>
      <c r="AB541" s="7" t="str">
        <f t="shared" si="1"/>
        <v/>
      </c>
    </row>
    <row r="542">
      <c r="A542" s="83"/>
      <c r="W542" s="7"/>
      <c r="AB542" s="7" t="str">
        <f t="shared" si="1"/>
        <v/>
      </c>
    </row>
    <row r="543">
      <c r="A543" s="83"/>
      <c r="W543" s="7"/>
      <c r="AB543" s="7" t="str">
        <f t="shared" si="1"/>
        <v/>
      </c>
    </row>
    <row r="544">
      <c r="A544" s="83"/>
      <c r="W544" s="7"/>
      <c r="AB544" s="7" t="str">
        <f t="shared" si="1"/>
        <v/>
      </c>
    </row>
    <row r="545">
      <c r="A545" s="83"/>
      <c r="W545" s="7"/>
      <c r="AB545" s="7" t="str">
        <f t="shared" si="1"/>
        <v/>
      </c>
    </row>
    <row r="546">
      <c r="A546" s="83"/>
      <c r="W546" s="7"/>
      <c r="AB546" s="7" t="str">
        <f t="shared" si="1"/>
        <v/>
      </c>
    </row>
    <row r="547">
      <c r="A547" s="83"/>
      <c r="W547" s="7"/>
      <c r="AB547" s="7" t="str">
        <f t="shared" si="1"/>
        <v/>
      </c>
    </row>
    <row r="548">
      <c r="A548" s="83"/>
      <c r="W548" s="7"/>
      <c r="AB548" s="7" t="str">
        <f t="shared" si="1"/>
        <v/>
      </c>
    </row>
    <row r="549">
      <c r="A549" s="83"/>
      <c r="W549" s="7"/>
      <c r="AB549" s="7" t="str">
        <f t="shared" si="1"/>
        <v/>
      </c>
    </row>
    <row r="550">
      <c r="A550" s="83"/>
      <c r="W550" s="7"/>
      <c r="AB550" s="7" t="str">
        <f t="shared" si="1"/>
        <v/>
      </c>
    </row>
    <row r="551">
      <c r="A551" s="83"/>
      <c r="W551" s="7"/>
      <c r="AB551" s="7" t="str">
        <f t="shared" si="1"/>
        <v/>
      </c>
    </row>
    <row r="552">
      <c r="A552" s="83"/>
      <c r="W552" s="7"/>
      <c r="AB552" s="7" t="str">
        <f t="shared" si="1"/>
        <v/>
      </c>
    </row>
    <row r="553">
      <c r="A553" s="83"/>
      <c r="W553" s="7"/>
      <c r="AB553" s="7" t="str">
        <f t="shared" si="1"/>
        <v/>
      </c>
    </row>
    <row r="554">
      <c r="A554" s="83"/>
      <c r="W554" s="7"/>
      <c r="AB554" s="7" t="str">
        <f t="shared" si="1"/>
        <v/>
      </c>
    </row>
    <row r="555">
      <c r="A555" s="83"/>
      <c r="W555" s="7"/>
      <c r="AB555" s="7" t="str">
        <f t="shared" si="1"/>
        <v/>
      </c>
    </row>
    <row r="556">
      <c r="A556" s="83"/>
      <c r="W556" s="7"/>
      <c r="AB556" s="7" t="str">
        <f t="shared" si="1"/>
        <v/>
      </c>
    </row>
    <row r="557">
      <c r="A557" s="83"/>
      <c r="W557" s="7"/>
      <c r="AB557" s="7" t="str">
        <f t="shared" si="1"/>
        <v/>
      </c>
    </row>
    <row r="558">
      <c r="A558" s="83"/>
      <c r="W558" s="7"/>
      <c r="AB558" s="7" t="str">
        <f t="shared" si="1"/>
        <v/>
      </c>
    </row>
    <row r="559">
      <c r="A559" s="83"/>
      <c r="W559" s="7"/>
      <c r="AB559" s="7" t="str">
        <f t="shared" si="1"/>
        <v/>
      </c>
    </row>
    <row r="560">
      <c r="A560" s="83"/>
      <c r="W560" s="7"/>
      <c r="AB560" s="7" t="str">
        <f t="shared" si="1"/>
        <v/>
      </c>
    </row>
    <row r="561">
      <c r="A561" s="83"/>
      <c r="W561" s="7"/>
      <c r="AB561" s="7" t="str">
        <f t="shared" si="1"/>
        <v/>
      </c>
    </row>
    <row r="562">
      <c r="A562" s="83"/>
      <c r="W562" s="7"/>
      <c r="AB562" s="7" t="str">
        <f t="shared" si="1"/>
        <v/>
      </c>
    </row>
    <row r="563">
      <c r="A563" s="83"/>
      <c r="W563" s="7"/>
      <c r="AB563" s="7" t="str">
        <f t="shared" si="1"/>
        <v/>
      </c>
    </row>
    <row r="564">
      <c r="A564" s="83"/>
      <c r="W564" s="7"/>
      <c r="AB564" s="7" t="str">
        <f t="shared" si="1"/>
        <v/>
      </c>
    </row>
    <row r="565">
      <c r="A565" s="83"/>
      <c r="W565" s="7"/>
      <c r="AB565" s="7" t="str">
        <f t="shared" si="1"/>
        <v/>
      </c>
    </row>
    <row r="566">
      <c r="A566" s="83"/>
      <c r="W566" s="7"/>
      <c r="AB566" s="7" t="str">
        <f t="shared" si="1"/>
        <v/>
      </c>
    </row>
    <row r="567">
      <c r="A567" s="83"/>
      <c r="W567" s="7"/>
      <c r="AB567" s="7" t="str">
        <f t="shared" si="1"/>
        <v/>
      </c>
    </row>
    <row r="568">
      <c r="A568" s="83"/>
      <c r="W568" s="7"/>
      <c r="AB568" s="7" t="str">
        <f t="shared" si="1"/>
        <v/>
      </c>
    </row>
    <row r="569">
      <c r="A569" s="83"/>
      <c r="W569" s="7"/>
      <c r="AB569" s="7" t="str">
        <f t="shared" si="1"/>
        <v/>
      </c>
    </row>
    <row r="570">
      <c r="A570" s="83"/>
      <c r="W570" s="7"/>
      <c r="AB570" s="7" t="str">
        <f t="shared" si="1"/>
        <v/>
      </c>
    </row>
    <row r="571">
      <c r="A571" s="83"/>
      <c r="W571" s="7"/>
      <c r="AB571" s="7" t="str">
        <f t="shared" si="1"/>
        <v/>
      </c>
    </row>
    <row r="572">
      <c r="A572" s="83"/>
      <c r="W572" s="7"/>
      <c r="AB572" s="7" t="str">
        <f t="shared" si="1"/>
        <v/>
      </c>
    </row>
    <row r="573">
      <c r="A573" s="83"/>
      <c r="W573" s="7"/>
      <c r="AB573" s="7" t="str">
        <f t="shared" si="1"/>
        <v/>
      </c>
    </row>
    <row r="574">
      <c r="A574" s="83"/>
      <c r="W574" s="7"/>
      <c r="AB574" s="7" t="str">
        <f t="shared" si="1"/>
        <v/>
      </c>
    </row>
    <row r="575">
      <c r="A575" s="83"/>
      <c r="W575" s="7"/>
      <c r="AB575" s="7" t="str">
        <f t="shared" si="1"/>
        <v/>
      </c>
    </row>
    <row r="576">
      <c r="A576" s="83"/>
      <c r="W576" s="7"/>
      <c r="AB576" s="7" t="str">
        <f t="shared" si="1"/>
        <v/>
      </c>
    </row>
    <row r="577">
      <c r="A577" s="83"/>
      <c r="W577" s="7"/>
      <c r="AB577" s="7" t="str">
        <f t="shared" si="1"/>
        <v/>
      </c>
    </row>
    <row r="578">
      <c r="A578" s="83"/>
      <c r="W578" s="7"/>
      <c r="AB578" s="7" t="str">
        <f t="shared" si="1"/>
        <v/>
      </c>
    </row>
    <row r="579">
      <c r="A579" s="83"/>
      <c r="W579" s="7"/>
      <c r="AB579" s="7" t="str">
        <f t="shared" si="1"/>
        <v/>
      </c>
    </row>
    <row r="580">
      <c r="A580" s="83"/>
      <c r="W580" s="7"/>
      <c r="AB580" s="7" t="str">
        <f t="shared" si="1"/>
        <v/>
      </c>
    </row>
    <row r="581">
      <c r="A581" s="83"/>
      <c r="W581" s="7"/>
      <c r="AB581" s="7" t="str">
        <f t="shared" si="1"/>
        <v/>
      </c>
    </row>
    <row r="582">
      <c r="A582" s="83"/>
      <c r="W582" s="7"/>
      <c r="AB582" s="7" t="str">
        <f t="shared" si="1"/>
        <v/>
      </c>
    </row>
    <row r="583">
      <c r="A583" s="83"/>
      <c r="W583" s="7"/>
      <c r="AB583" s="7" t="str">
        <f t="shared" si="1"/>
        <v/>
      </c>
    </row>
    <row r="584">
      <c r="A584" s="83"/>
      <c r="W584" s="7"/>
      <c r="AB584" s="7" t="str">
        <f t="shared" si="1"/>
        <v/>
      </c>
    </row>
    <row r="585">
      <c r="A585" s="83"/>
      <c r="W585" s="7"/>
      <c r="AB585" s="7" t="str">
        <f t="shared" si="1"/>
        <v/>
      </c>
    </row>
    <row r="586">
      <c r="A586" s="83"/>
      <c r="W586" s="7"/>
      <c r="AB586" s="7" t="str">
        <f t="shared" si="1"/>
        <v/>
      </c>
    </row>
    <row r="587">
      <c r="A587" s="83"/>
      <c r="W587" s="7"/>
      <c r="AB587" s="7" t="str">
        <f t="shared" si="1"/>
        <v/>
      </c>
    </row>
    <row r="588">
      <c r="A588" s="83"/>
      <c r="W588" s="7"/>
      <c r="AB588" s="7" t="str">
        <f t="shared" si="1"/>
        <v/>
      </c>
    </row>
    <row r="589">
      <c r="A589" s="83"/>
      <c r="W589" s="7"/>
      <c r="AB589" s="7" t="str">
        <f t="shared" si="1"/>
        <v/>
      </c>
    </row>
    <row r="590">
      <c r="A590" s="83"/>
      <c r="W590" s="7"/>
      <c r="AB590" s="7" t="str">
        <f t="shared" si="1"/>
        <v/>
      </c>
    </row>
    <row r="591">
      <c r="A591" s="83"/>
      <c r="W591" s="7"/>
      <c r="AB591" s="7" t="str">
        <f t="shared" si="1"/>
        <v/>
      </c>
    </row>
    <row r="592">
      <c r="A592" s="83"/>
      <c r="W592" s="7"/>
      <c r="AB592" s="7" t="str">
        <f t="shared" si="1"/>
        <v/>
      </c>
    </row>
    <row r="593">
      <c r="A593" s="83"/>
      <c r="W593" s="7"/>
      <c r="AB593" s="7" t="str">
        <f t="shared" si="1"/>
        <v/>
      </c>
    </row>
    <row r="594">
      <c r="A594" s="83"/>
      <c r="W594" s="7"/>
      <c r="AB594" s="7" t="str">
        <f t="shared" si="1"/>
        <v/>
      </c>
    </row>
    <row r="595">
      <c r="A595" s="83"/>
      <c r="W595" s="7"/>
      <c r="AB595" s="7" t="str">
        <f t="shared" si="1"/>
        <v/>
      </c>
    </row>
    <row r="596">
      <c r="A596" s="83"/>
      <c r="W596" s="7"/>
      <c r="AB596" s="7" t="str">
        <f t="shared" si="1"/>
        <v/>
      </c>
    </row>
    <row r="597">
      <c r="A597" s="83"/>
      <c r="W597" s="7"/>
      <c r="AB597" s="7" t="str">
        <f t="shared" si="1"/>
        <v/>
      </c>
    </row>
    <row r="598">
      <c r="A598" s="83"/>
      <c r="W598" s="7"/>
      <c r="AB598" s="7" t="str">
        <f t="shared" si="1"/>
        <v/>
      </c>
    </row>
    <row r="599">
      <c r="A599" s="83"/>
      <c r="W599" s="7"/>
      <c r="AB599" s="7" t="str">
        <f t="shared" si="1"/>
        <v/>
      </c>
    </row>
    <row r="600">
      <c r="A600" s="83"/>
      <c r="W600" s="7"/>
      <c r="AB600" s="7" t="str">
        <f t="shared" si="1"/>
        <v/>
      </c>
    </row>
    <row r="601">
      <c r="A601" s="83"/>
      <c r="W601" s="7"/>
      <c r="AB601" s="7" t="str">
        <f t="shared" si="1"/>
        <v/>
      </c>
    </row>
    <row r="602">
      <c r="A602" s="83"/>
      <c r="W602" s="7"/>
      <c r="AB602" s="7" t="str">
        <f t="shared" si="1"/>
        <v/>
      </c>
    </row>
    <row r="603">
      <c r="A603" s="83"/>
      <c r="W603" s="7"/>
      <c r="AB603" s="7" t="str">
        <f t="shared" si="1"/>
        <v/>
      </c>
    </row>
    <row r="604">
      <c r="A604" s="83"/>
      <c r="W604" s="7"/>
      <c r="AB604" s="7" t="str">
        <f t="shared" si="1"/>
        <v/>
      </c>
    </row>
    <row r="605">
      <c r="A605" s="83"/>
      <c r="W605" s="7"/>
      <c r="AB605" s="7" t="str">
        <f t="shared" si="1"/>
        <v/>
      </c>
    </row>
    <row r="606">
      <c r="A606" s="83"/>
      <c r="W606" s="7"/>
      <c r="AB606" s="7" t="str">
        <f t="shared" si="1"/>
        <v/>
      </c>
    </row>
    <row r="607">
      <c r="A607" s="83"/>
      <c r="W607" s="7"/>
      <c r="AB607" s="7" t="str">
        <f t="shared" si="1"/>
        <v/>
      </c>
    </row>
    <row r="608">
      <c r="A608" s="83"/>
      <c r="W608" s="7"/>
      <c r="AB608" s="7" t="str">
        <f t="shared" si="1"/>
        <v/>
      </c>
    </row>
    <row r="609">
      <c r="A609" s="83"/>
      <c r="W609" s="7"/>
      <c r="AB609" s="7" t="str">
        <f t="shared" si="1"/>
        <v/>
      </c>
    </row>
    <row r="610">
      <c r="A610" s="83"/>
      <c r="W610" s="7"/>
      <c r="AB610" s="7" t="str">
        <f t="shared" si="1"/>
        <v/>
      </c>
    </row>
    <row r="611">
      <c r="A611" s="83"/>
      <c r="W611" s="7"/>
      <c r="AB611" s="7" t="str">
        <f t="shared" si="1"/>
        <v/>
      </c>
    </row>
    <row r="612">
      <c r="A612" s="83"/>
      <c r="W612" s="7"/>
      <c r="AB612" s="7" t="str">
        <f t="shared" si="1"/>
        <v/>
      </c>
    </row>
    <row r="613">
      <c r="A613" s="83"/>
      <c r="W613" s="7"/>
      <c r="AB613" s="7" t="str">
        <f t="shared" si="1"/>
        <v/>
      </c>
    </row>
    <row r="614">
      <c r="A614" s="83"/>
      <c r="W614" s="7"/>
      <c r="AB614" s="7" t="str">
        <f t="shared" si="1"/>
        <v/>
      </c>
    </row>
    <row r="615">
      <c r="A615" s="83"/>
      <c r="W615" s="7"/>
      <c r="AB615" s="7" t="str">
        <f t="shared" si="1"/>
        <v/>
      </c>
    </row>
    <row r="616">
      <c r="A616" s="83"/>
      <c r="W616" s="7"/>
      <c r="AB616" s="7" t="str">
        <f t="shared" si="1"/>
        <v/>
      </c>
    </row>
    <row r="617">
      <c r="A617" s="83"/>
      <c r="W617" s="7"/>
      <c r="AB617" s="7" t="str">
        <f t="shared" si="1"/>
        <v/>
      </c>
    </row>
    <row r="618">
      <c r="A618" s="83"/>
      <c r="W618" s="7"/>
      <c r="AB618" s="7" t="str">
        <f t="shared" si="1"/>
        <v/>
      </c>
    </row>
    <row r="619">
      <c r="A619" s="83"/>
      <c r="W619" s="7"/>
      <c r="AB619" s="7" t="str">
        <f t="shared" si="1"/>
        <v/>
      </c>
    </row>
    <row r="620">
      <c r="A620" s="83"/>
      <c r="W620" s="7"/>
      <c r="AB620" s="7" t="str">
        <f t="shared" si="1"/>
        <v/>
      </c>
    </row>
    <row r="621">
      <c r="A621" s="83"/>
      <c r="W621" s="7"/>
      <c r="AB621" s="7" t="str">
        <f t="shared" si="1"/>
        <v/>
      </c>
    </row>
    <row r="622">
      <c r="A622" s="83"/>
      <c r="W622" s="7"/>
      <c r="AB622" s="7" t="str">
        <f t="shared" si="1"/>
        <v/>
      </c>
    </row>
    <row r="623">
      <c r="A623" s="83"/>
      <c r="W623" s="7"/>
      <c r="AB623" s="7" t="str">
        <f t="shared" si="1"/>
        <v/>
      </c>
    </row>
    <row r="624">
      <c r="A624" s="83"/>
      <c r="W624" s="7"/>
      <c r="AB624" s="7" t="str">
        <f t="shared" si="1"/>
        <v/>
      </c>
    </row>
    <row r="625">
      <c r="A625" s="83"/>
      <c r="W625" s="7"/>
      <c r="AB625" s="7" t="str">
        <f t="shared" si="1"/>
        <v/>
      </c>
    </row>
    <row r="626">
      <c r="A626" s="83"/>
      <c r="W626" s="7"/>
      <c r="AB626" s="7" t="str">
        <f t="shared" si="1"/>
        <v/>
      </c>
    </row>
    <row r="627">
      <c r="A627" s="83"/>
      <c r="W627" s="7"/>
      <c r="AB627" s="7" t="str">
        <f t="shared" si="1"/>
        <v/>
      </c>
    </row>
    <row r="628">
      <c r="A628" s="83"/>
      <c r="W628" s="7"/>
      <c r="AB628" s="7" t="str">
        <f t="shared" si="1"/>
        <v/>
      </c>
    </row>
    <row r="629">
      <c r="A629" s="83"/>
      <c r="W629" s="7"/>
      <c r="AB629" s="7" t="str">
        <f t="shared" si="1"/>
        <v/>
      </c>
    </row>
    <row r="630">
      <c r="A630" s="83"/>
      <c r="W630" s="7"/>
      <c r="AB630" s="7" t="str">
        <f t="shared" si="1"/>
        <v/>
      </c>
    </row>
    <row r="631">
      <c r="A631" s="83"/>
      <c r="W631" s="7"/>
      <c r="AB631" s="7" t="str">
        <f t="shared" si="1"/>
        <v/>
      </c>
    </row>
    <row r="632">
      <c r="A632" s="83"/>
      <c r="W632" s="7"/>
      <c r="AB632" s="7" t="str">
        <f t="shared" si="1"/>
        <v/>
      </c>
    </row>
    <row r="633">
      <c r="A633" s="83"/>
      <c r="W633" s="7"/>
      <c r="AB633" s="7" t="str">
        <f t="shared" si="1"/>
        <v/>
      </c>
    </row>
    <row r="634">
      <c r="A634" s="83"/>
      <c r="W634" s="7"/>
      <c r="AB634" s="7" t="str">
        <f t="shared" si="1"/>
        <v/>
      </c>
    </row>
    <row r="635">
      <c r="A635" s="83"/>
      <c r="W635" s="7"/>
      <c r="AB635" s="7" t="str">
        <f t="shared" si="1"/>
        <v/>
      </c>
    </row>
    <row r="636">
      <c r="A636" s="83"/>
      <c r="W636" s="7"/>
      <c r="AB636" s="7" t="str">
        <f t="shared" si="1"/>
        <v/>
      </c>
    </row>
    <row r="637">
      <c r="A637" s="83"/>
      <c r="W637" s="7"/>
      <c r="AB637" s="7" t="str">
        <f t="shared" si="1"/>
        <v/>
      </c>
    </row>
    <row r="638">
      <c r="A638" s="83"/>
      <c r="W638" s="7"/>
      <c r="AB638" s="7" t="str">
        <f t="shared" si="1"/>
        <v/>
      </c>
    </row>
    <row r="639">
      <c r="A639" s="83"/>
      <c r="W639" s="7"/>
      <c r="AB639" s="7" t="str">
        <f t="shared" si="1"/>
        <v/>
      </c>
    </row>
    <row r="640">
      <c r="A640" s="83"/>
      <c r="W640" s="7"/>
      <c r="AB640" s="7" t="str">
        <f t="shared" si="1"/>
        <v/>
      </c>
    </row>
    <row r="641">
      <c r="A641" s="83"/>
      <c r="W641" s="7"/>
      <c r="AB641" s="7" t="str">
        <f t="shared" si="1"/>
        <v/>
      </c>
    </row>
    <row r="642">
      <c r="A642" s="83"/>
      <c r="W642" s="7"/>
      <c r="AB642" s="7" t="str">
        <f t="shared" si="1"/>
        <v/>
      </c>
    </row>
    <row r="643">
      <c r="A643" s="83"/>
      <c r="W643" s="7"/>
      <c r="AB643" s="7" t="str">
        <f t="shared" si="1"/>
        <v/>
      </c>
    </row>
    <row r="644">
      <c r="A644" s="83"/>
      <c r="W644" s="7"/>
      <c r="AB644" s="7" t="str">
        <f t="shared" si="1"/>
        <v/>
      </c>
    </row>
    <row r="645">
      <c r="A645" s="83"/>
      <c r="W645" s="7"/>
      <c r="AB645" s="7" t="str">
        <f t="shared" si="1"/>
        <v/>
      </c>
    </row>
    <row r="646">
      <c r="A646" s="83"/>
      <c r="W646" s="7"/>
      <c r="AB646" s="7" t="str">
        <f t="shared" si="1"/>
        <v/>
      </c>
    </row>
    <row r="647">
      <c r="A647" s="83"/>
      <c r="W647" s="7"/>
      <c r="AB647" s="7" t="str">
        <f t="shared" si="1"/>
        <v/>
      </c>
    </row>
    <row r="648">
      <c r="A648" s="83"/>
      <c r="W648" s="7"/>
      <c r="AB648" s="7" t="str">
        <f t="shared" si="1"/>
        <v/>
      </c>
    </row>
    <row r="649">
      <c r="A649" s="83"/>
      <c r="W649" s="7"/>
      <c r="AB649" s="7" t="str">
        <f t="shared" si="1"/>
        <v/>
      </c>
    </row>
    <row r="650">
      <c r="A650" s="83"/>
      <c r="W650" s="7"/>
      <c r="AB650" s="7" t="str">
        <f t="shared" si="1"/>
        <v/>
      </c>
    </row>
    <row r="651">
      <c r="A651" s="83"/>
      <c r="W651" s="7"/>
      <c r="AB651" s="7" t="str">
        <f t="shared" si="1"/>
        <v/>
      </c>
    </row>
    <row r="652">
      <c r="A652" s="83"/>
      <c r="W652" s="7"/>
      <c r="AB652" s="7" t="str">
        <f t="shared" si="1"/>
        <v/>
      </c>
    </row>
    <row r="653">
      <c r="A653" s="83"/>
      <c r="W653" s="7"/>
      <c r="AB653" s="7" t="str">
        <f t="shared" si="1"/>
        <v/>
      </c>
    </row>
    <row r="654">
      <c r="A654" s="83"/>
      <c r="W654" s="7"/>
      <c r="AB654" s="7" t="str">
        <f t="shared" si="1"/>
        <v/>
      </c>
    </row>
    <row r="655">
      <c r="A655" s="83"/>
      <c r="W655" s="7"/>
      <c r="AB655" s="7" t="str">
        <f t="shared" si="1"/>
        <v/>
      </c>
    </row>
    <row r="656">
      <c r="A656" s="83"/>
      <c r="W656" s="7"/>
      <c r="AB656" s="7" t="str">
        <f t="shared" si="1"/>
        <v/>
      </c>
    </row>
    <row r="657">
      <c r="A657" s="83"/>
      <c r="W657" s="7"/>
      <c r="AB657" s="7" t="str">
        <f t="shared" si="1"/>
        <v/>
      </c>
    </row>
    <row r="658">
      <c r="A658" s="83"/>
      <c r="W658" s="7"/>
      <c r="AB658" s="7" t="str">
        <f t="shared" si="1"/>
        <v/>
      </c>
    </row>
    <row r="659">
      <c r="A659" s="83"/>
      <c r="W659" s="7"/>
      <c r="AB659" s="7" t="str">
        <f t="shared" si="1"/>
        <v/>
      </c>
    </row>
    <row r="660">
      <c r="A660" s="83"/>
      <c r="W660" s="7"/>
      <c r="AB660" s="7" t="str">
        <f t="shared" si="1"/>
        <v/>
      </c>
    </row>
    <row r="661">
      <c r="A661" s="83"/>
      <c r="W661" s="7"/>
      <c r="AB661" s="7" t="str">
        <f t="shared" si="1"/>
        <v/>
      </c>
    </row>
    <row r="662">
      <c r="A662" s="83"/>
      <c r="W662" s="7"/>
      <c r="AB662" s="7" t="str">
        <f t="shared" si="1"/>
        <v/>
      </c>
    </row>
    <row r="663">
      <c r="A663" s="83"/>
      <c r="W663" s="7"/>
      <c r="AB663" s="7" t="str">
        <f t="shared" si="1"/>
        <v/>
      </c>
    </row>
    <row r="664">
      <c r="A664" s="83"/>
      <c r="W664" s="7"/>
      <c r="AB664" s="7" t="str">
        <f t="shared" si="1"/>
        <v/>
      </c>
    </row>
    <row r="665">
      <c r="A665" s="83"/>
      <c r="W665" s="7"/>
      <c r="AB665" s="7" t="str">
        <f t="shared" si="1"/>
        <v/>
      </c>
    </row>
    <row r="666">
      <c r="A666" s="83"/>
      <c r="W666" s="7"/>
      <c r="AB666" s="7" t="str">
        <f t="shared" si="1"/>
        <v/>
      </c>
    </row>
    <row r="667">
      <c r="A667" s="83"/>
      <c r="W667" s="7"/>
      <c r="AB667" s="7" t="str">
        <f t="shared" si="1"/>
        <v/>
      </c>
    </row>
    <row r="668">
      <c r="A668" s="83"/>
      <c r="W668" s="7"/>
      <c r="AB668" s="7" t="str">
        <f t="shared" si="1"/>
        <v/>
      </c>
    </row>
    <row r="669">
      <c r="A669" s="83"/>
      <c r="W669" s="7"/>
      <c r="AB669" s="7" t="str">
        <f t="shared" si="1"/>
        <v/>
      </c>
    </row>
    <row r="670">
      <c r="A670" s="83"/>
      <c r="W670" s="7"/>
      <c r="AB670" s="7" t="str">
        <f t="shared" si="1"/>
        <v/>
      </c>
    </row>
    <row r="671">
      <c r="A671" s="83"/>
      <c r="W671" s="7"/>
      <c r="AB671" s="7" t="str">
        <f t="shared" si="1"/>
        <v/>
      </c>
    </row>
    <row r="672">
      <c r="A672" s="83"/>
      <c r="W672" s="7"/>
      <c r="AB672" s="7" t="str">
        <f t="shared" si="1"/>
        <v/>
      </c>
    </row>
    <row r="673">
      <c r="A673" s="83"/>
      <c r="W673" s="7"/>
      <c r="AB673" s="7" t="str">
        <f t="shared" si="1"/>
        <v/>
      </c>
    </row>
    <row r="674">
      <c r="A674" s="83"/>
      <c r="W674" s="7"/>
      <c r="AB674" s="7" t="str">
        <f t="shared" si="1"/>
        <v/>
      </c>
    </row>
    <row r="675">
      <c r="A675" s="83"/>
      <c r="W675" s="7"/>
      <c r="AB675" s="7" t="str">
        <f t="shared" si="1"/>
        <v/>
      </c>
    </row>
    <row r="676">
      <c r="A676" s="83"/>
      <c r="W676" s="7"/>
      <c r="AB676" s="7" t="str">
        <f t="shared" si="1"/>
        <v/>
      </c>
    </row>
    <row r="677">
      <c r="A677" s="83"/>
      <c r="W677" s="7"/>
      <c r="AB677" s="7" t="str">
        <f t="shared" si="1"/>
        <v/>
      </c>
    </row>
    <row r="678">
      <c r="A678" s="83"/>
      <c r="W678" s="7"/>
      <c r="AB678" s="7" t="str">
        <f t="shared" si="1"/>
        <v/>
      </c>
    </row>
    <row r="679">
      <c r="A679" s="83"/>
      <c r="W679" s="7"/>
      <c r="AB679" s="7" t="str">
        <f t="shared" si="1"/>
        <v/>
      </c>
    </row>
    <row r="680">
      <c r="A680" s="83"/>
      <c r="W680" s="7"/>
      <c r="AB680" s="7" t="str">
        <f t="shared" si="1"/>
        <v/>
      </c>
    </row>
    <row r="681">
      <c r="A681" s="83"/>
      <c r="W681" s="7"/>
      <c r="AB681" s="7" t="str">
        <f t="shared" si="1"/>
        <v/>
      </c>
    </row>
    <row r="682">
      <c r="A682" s="83"/>
      <c r="W682" s="7"/>
      <c r="AB682" s="7" t="str">
        <f t="shared" si="1"/>
        <v/>
      </c>
    </row>
    <row r="683">
      <c r="A683" s="83"/>
      <c r="W683" s="7"/>
      <c r="AB683" s="7" t="str">
        <f t="shared" si="1"/>
        <v/>
      </c>
    </row>
    <row r="684">
      <c r="A684" s="83"/>
      <c r="W684" s="7"/>
      <c r="AB684" s="7" t="str">
        <f t="shared" si="1"/>
        <v/>
      </c>
    </row>
    <row r="685">
      <c r="A685" s="83"/>
      <c r="W685" s="7"/>
      <c r="AB685" s="7" t="str">
        <f t="shared" si="1"/>
        <v/>
      </c>
    </row>
    <row r="686">
      <c r="A686" s="83"/>
      <c r="W686" s="7"/>
      <c r="AB686" s="7" t="str">
        <f t="shared" si="1"/>
        <v/>
      </c>
    </row>
    <row r="687">
      <c r="A687" s="83"/>
      <c r="W687" s="7"/>
      <c r="AB687" s="7" t="str">
        <f t="shared" si="1"/>
        <v/>
      </c>
    </row>
    <row r="688">
      <c r="A688" s="83"/>
      <c r="W688" s="7"/>
      <c r="AB688" s="7" t="str">
        <f t="shared" si="1"/>
        <v/>
      </c>
    </row>
    <row r="689">
      <c r="A689" s="83"/>
      <c r="W689" s="7"/>
      <c r="AB689" s="7" t="str">
        <f t="shared" si="1"/>
        <v/>
      </c>
    </row>
    <row r="690">
      <c r="A690" s="83"/>
      <c r="W690" s="7"/>
      <c r="AB690" s="7" t="str">
        <f t="shared" si="1"/>
        <v/>
      </c>
    </row>
    <row r="691">
      <c r="A691" s="83"/>
      <c r="W691" s="7"/>
      <c r="AB691" s="7" t="str">
        <f t="shared" si="1"/>
        <v/>
      </c>
    </row>
    <row r="692">
      <c r="A692" s="83"/>
      <c r="W692" s="7"/>
      <c r="AB692" s="7" t="str">
        <f t="shared" si="1"/>
        <v/>
      </c>
    </row>
    <row r="693">
      <c r="A693" s="83"/>
      <c r="W693" s="7"/>
      <c r="AB693" s="7" t="str">
        <f t="shared" si="1"/>
        <v/>
      </c>
    </row>
    <row r="694">
      <c r="A694" s="83"/>
      <c r="W694" s="7"/>
      <c r="AB694" s="7" t="str">
        <f t="shared" si="1"/>
        <v/>
      </c>
    </row>
    <row r="695">
      <c r="A695" s="83"/>
      <c r="W695" s="7"/>
      <c r="AB695" s="7" t="str">
        <f t="shared" si="1"/>
        <v/>
      </c>
    </row>
    <row r="696">
      <c r="A696" s="83"/>
      <c r="W696" s="7"/>
      <c r="AB696" s="7" t="str">
        <f t="shared" si="1"/>
        <v/>
      </c>
    </row>
    <row r="697">
      <c r="A697" s="83"/>
      <c r="W697" s="7"/>
      <c r="AB697" s="7" t="str">
        <f t="shared" si="1"/>
        <v/>
      </c>
    </row>
    <row r="698">
      <c r="A698" s="83"/>
      <c r="W698" s="7"/>
      <c r="AB698" s="7" t="str">
        <f t="shared" si="1"/>
        <v/>
      </c>
    </row>
    <row r="699">
      <c r="A699" s="83"/>
      <c r="W699" s="7"/>
      <c r="AB699" s="7" t="str">
        <f t="shared" si="1"/>
        <v/>
      </c>
    </row>
    <row r="700">
      <c r="A700" s="83"/>
      <c r="W700" s="7"/>
      <c r="AB700" s="7" t="str">
        <f t="shared" si="1"/>
        <v/>
      </c>
    </row>
    <row r="701">
      <c r="A701" s="83"/>
      <c r="W701" s="7"/>
      <c r="AB701" s="7" t="str">
        <f t="shared" si="1"/>
        <v/>
      </c>
    </row>
    <row r="702">
      <c r="A702" s="83"/>
      <c r="W702" s="7"/>
      <c r="AB702" s="7" t="str">
        <f t="shared" si="1"/>
        <v/>
      </c>
    </row>
    <row r="703">
      <c r="A703" s="83"/>
      <c r="W703" s="7"/>
      <c r="AB703" s="7" t="str">
        <f t="shared" si="1"/>
        <v/>
      </c>
    </row>
    <row r="704">
      <c r="A704" s="83"/>
      <c r="W704" s="7"/>
      <c r="AB704" s="7" t="str">
        <f t="shared" si="1"/>
        <v/>
      </c>
    </row>
    <row r="705">
      <c r="A705" s="83"/>
      <c r="W705" s="7"/>
      <c r="AB705" s="7" t="str">
        <f t="shared" si="1"/>
        <v/>
      </c>
    </row>
    <row r="706">
      <c r="A706" s="83"/>
      <c r="W706" s="7"/>
      <c r="AB706" s="7" t="str">
        <f t="shared" si="1"/>
        <v/>
      </c>
    </row>
    <row r="707">
      <c r="A707" s="83"/>
      <c r="W707" s="7"/>
      <c r="AB707" s="7" t="str">
        <f t="shared" si="1"/>
        <v/>
      </c>
    </row>
    <row r="708">
      <c r="A708" s="83"/>
      <c r="W708" s="7"/>
      <c r="AB708" s="7" t="str">
        <f t="shared" si="1"/>
        <v/>
      </c>
    </row>
    <row r="709">
      <c r="A709" s="83"/>
      <c r="W709" s="7"/>
      <c r="AB709" s="7" t="str">
        <f t="shared" si="1"/>
        <v/>
      </c>
    </row>
    <row r="710">
      <c r="A710" s="83"/>
      <c r="W710" s="7"/>
      <c r="AB710" s="7" t="str">
        <f t="shared" si="1"/>
        <v/>
      </c>
    </row>
    <row r="711">
      <c r="A711" s="83"/>
      <c r="W711" s="7"/>
      <c r="AB711" s="7" t="str">
        <f t="shared" si="1"/>
        <v/>
      </c>
    </row>
    <row r="712">
      <c r="A712" s="83"/>
      <c r="W712" s="7"/>
      <c r="AB712" s="7" t="str">
        <f t="shared" si="1"/>
        <v/>
      </c>
    </row>
    <row r="713">
      <c r="A713" s="83"/>
      <c r="W713" s="7"/>
      <c r="AB713" s="7" t="str">
        <f t="shared" si="1"/>
        <v/>
      </c>
    </row>
    <row r="714">
      <c r="A714" s="83"/>
      <c r="W714" s="7"/>
      <c r="AB714" s="7" t="str">
        <f t="shared" si="1"/>
        <v/>
      </c>
    </row>
    <row r="715">
      <c r="A715" s="83"/>
      <c r="W715" s="7"/>
      <c r="AB715" s="7" t="str">
        <f t="shared" si="1"/>
        <v/>
      </c>
    </row>
    <row r="716">
      <c r="A716" s="83"/>
      <c r="W716" s="7"/>
      <c r="AB716" s="7" t="str">
        <f t="shared" si="1"/>
        <v/>
      </c>
    </row>
    <row r="717">
      <c r="A717" s="83"/>
      <c r="W717" s="7"/>
      <c r="AB717" s="7" t="str">
        <f t="shared" si="1"/>
        <v/>
      </c>
    </row>
    <row r="718">
      <c r="A718" s="83"/>
      <c r="W718" s="7"/>
      <c r="AB718" s="7" t="str">
        <f t="shared" si="1"/>
        <v/>
      </c>
    </row>
    <row r="719">
      <c r="A719" s="83"/>
      <c r="W719" s="7"/>
      <c r="AB719" s="7" t="str">
        <f t="shared" si="1"/>
        <v/>
      </c>
    </row>
    <row r="720">
      <c r="A720" s="83"/>
      <c r="W720" s="7"/>
      <c r="AB720" s="7" t="str">
        <f t="shared" si="1"/>
        <v/>
      </c>
    </row>
    <row r="721">
      <c r="A721" s="83"/>
      <c r="W721" s="7"/>
      <c r="AB721" s="7" t="str">
        <f t="shared" si="1"/>
        <v/>
      </c>
    </row>
    <row r="722">
      <c r="A722" s="83"/>
      <c r="W722" s="7"/>
      <c r="AB722" s="7" t="str">
        <f t="shared" si="1"/>
        <v/>
      </c>
    </row>
    <row r="723">
      <c r="A723" s="83"/>
      <c r="W723" s="7"/>
      <c r="AB723" s="7" t="str">
        <f t="shared" si="1"/>
        <v/>
      </c>
    </row>
    <row r="724">
      <c r="A724" s="83"/>
      <c r="W724" s="7"/>
      <c r="AB724" s="7" t="str">
        <f t="shared" si="1"/>
        <v/>
      </c>
    </row>
    <row r="725">
      <c r="A725" s="83"/>
      <c r="W725" s="7"/>
      <c r="AB725" s="7" t="str">
        <f t="shared" si="1"/>
        <v/>
      </c>
    </row>
    <row r="726">
      <c r="A726" s="83"/>
      <c r="W726" s="7"/>
      <c r="AB726" s="7" t="str">
        <f t="shared" si="1"/>
        <v/>
      </c>
    </row>
    <row r="727">
      <c r="A727" s="83"/>
      <c r="W727" s="7"/>
      <c r="AB727" s="7" t="str">
        <f t="shared" si="1"/>
        <v/>
      </c>
    </row>
    <row r="728">
      <c r="A728" s="83"/>
      <c r="W728" s="7"/>
      <c r="AB728" s="7" t="str">
        <f t="shared" si="1"/>
        <v/>
      </c>
    </row>
    <row r="729">
      <c r="A729" s="83"/>
      <c r="W729" s="7"/>
      <c r="AB729" s="7" t="str">
        <f t="shared" si="1"/>
        <v/>
      </c>
    </row>
    <row r="730">
      <c r="A730" s="83"/>
      <c r="W730" s="7"/>
      <c r="AB730" s="7" t="str">
        <f t="shared" si="1"/>
        <v/>
      </c>
    </row>
    <row r="731">
      <c r="A731" s="83"/>
      <c r="W731" s="7"/>
      <c r="AB731" s="7" t="str">
        <f t="shared" si="1"/>
        <v/>
      </c>
    </row>
    <row r="732">
      <c r="A732" s="83"/>
      <c r="W732" s="7"/>
      <c r="AB732" s="7" t="str">
        <f t="shared" si="1"/>
        <v/>
      </c>
    </row>
    <row r="733">
      <c r="A733" s="83"/>
      <c r="W733" s="7"/>
      <c r="AB733" s="7" t="str">
        <f t="shared" si="1"/>
        <v/>
      </c>
    </row>
    <row r="734">
      <c r="A734" s="83"/>
      <c r="W734" s="7"/>
      <c r="AB734" s="7" t="str">
        <f t="shared" si="1"/>
        <v/>
      </c>
    </row>
    <row r="735">
      <c r="A735" s="83"/>
      <c r="W735" s="7"/>
      <c r="AB735" s="7" t="str">
        <f t="shared" si="1"/>
        <v/>
      </c>
    </row>
    <row r="736">
      <c r="A736" s="83"/>
      <c r="W736" s="7"/>
      <c r="AB736" s="7" t="str">
        <f t="shared" si="1"/>
        <v/>
      </c>
    </row>
    <row r="737">
      <c r="A737" s="83"/>
      <c r="W737" s="7"/>
      <c r="AB737" s="7" t="str">
        <f t="shared" si="1"/>
        <v/>
      </c>
    </row>
    <row r="738">
      <c r="A738" s="83"/>
      <c r="W738" s="7"/>
      <c r="AB738" s="7" t="str">
        <f t="shared" si="1"/>
        <v/>
      </c>
    </row>
    <row r="739">
      <c r="A739" s="83"/>
      <c r="W739" s="7"/>
      <c r="AB739" s="7" t="str">
        <f t="shared" si="1"/>
        <v/>
      </c>
    </row>
    <row r="740">
      <c r="A740" s="83"/>
      <c r="W740" s="7"/>
      <c r="AB740" s="7" t="str">
        <f t="shared" si="1"/>
        <v/>
      </c>
    </row>
    <row r="741">
      <c r="A741" s="83"/>
      <c r="W741" s="7"/>
      <c r="AB741" s="7" t="str">
        <f t="shared" si="1"/>
        <v/>
      </c>
    </row>
    <row r="742">
      <c r="A742" s="83"/>
      <c r="W742" s="7"/>
      <c r="AB742" s="7" t="str">
        <f t="shared" si="1"/>
        <v/>
      </c>
    </row>
    <row r="743">
      <c r="A743" s="83"/>
      <c r="W743" s="7"/>
      <c r="AB743" s="7" t="str">
        <f t="shared" si="1"/>
        <v/>
      </c>
    </row>
    <row r="744">
      <c r="A744" s="83"/>
      <c r="W744" s="7"/>
      <c r="AB744" s="7" t="str">
        <f t="shared" si="1"/>
        <v/>
      </c>
    </row>
    <row r="745">
      <c r="A745" s="83"/>
      <c r="W745" s="7"/>
      <c r="AB745" s="7" t="str">
        <f t="shared" si="1"/>
        <v/>
      </c>
    </row>
    <row r="746">
      <c r="A746" s="83"/>
      <c r="W746" s="7"/>
      <c r="AB746" s="7" t="str">
        <f t="shared" si="1"/>
        <v/>
      </c>
    </row>
    <row r="747">
      <c r="A747" s="83"/>
      <c r="W747" s="7"/>
      <c r="AB747" s="7" t="str">
        <f t="shared" si="1"/>
        <v/>
      </c>
    </row>
    <row r="748">
      <c r="A748" s="83"/>
      <c r="W748" s="7"/>
      <c r="AB748" s="7" t="str">
        <f t="shared" si="1"/>
        <v/>
      </c>
    </row>
    <row r="749">
      <c r="A749" s="83"/>
      <c r="W749" s="7"/>
      <c r="AB749" s="7" t="str">
        <f t="shared" si="1"/>
        <v/>
      </c>
    </row>
    <row r="750">
      <c r="A750" s="83"/>
      <c r="W750" s="7"/>
      <c r="AB750" s="7" t="str">
        <f t="shared" si="1"/>
        <v/>
      </c>
    </row>
    <row r="751">
      <c r="A751" s="83"/>
      <c r="W751" s="7"/>
      <c r="AB751" s="7" t="str">
        <f t="shared" si="1"/>
        <v/>
      </c>
    </row>
    <row r="752">
      <c r="A752" s="83"/>
      <c r="W752" s="7"/>
      <c r="AB752" s="7" t="str">
        <f t="shared" si="1"/>
        <v/>
      </c>
    </row>
    <row r="753">
      <c r="A753" s="83"/>
      <c r="W753" s="7"/>
      <c r="AB753" s="7" t="str">
        <f t="shared" si="1"/>
        <v/>
      </c>
    </row>
    <row r="754">
      <c r="A754" s="83"/>
      <c r="W754" s="7"/>
      <c r="AB754" s="7" t="str">
        <f t="shared" si="1"/>
        <v/>
      </c>
    </row>
    <row r="755">
      <c r="A755" s="83"/>
      <c r="W755" s="7"/>
      <c r="AB755" s="7" t="str">
        <f t="shared" si="1"/>
        <v/>
      </c>
    </row>
    <row r="756">
      <c r="A756" s="83"/>
      <c r="W756" s="7"/>
      <c r="AB756" s="7" t="str">
        <f t="shared" si="1"/>
        <v/>
      </c>
    </row>
    <row r="757">
      <c r="A757" s="83"/>
      <c r="W757" s="7"/>
      <c r="AB757" s="7" t="str">
        <f t="shared" si="1"/>
        <v/>
      </c>
    </row>
    <row r="758">
      <c r="A758" s="83"/>
      <c r="W758" s="7"/>
      <c r="AB758" s="7" t="str">
        <f t="shared" si="1"/>
        <v/>
      </c>
    </row>
    <row r="759">
      <c r="A759" s="83"/>
      <c r="W759" s="7"/>
      <c r="AB759" s="7" t="str">
        <f t="shared" si="1"/>
        <v/>
      </c>
    </row>
    <row r="760">
      <c r="A760" s="83"/>
      <c r="W760" s="7"/>
      <c r="AB760" s="7" t="str">
        <f t="shared" si="1"/>
        <v/>
      </c>
    </row>
    <row r="761">
      <c r="A761" s="83"/>
      <c r="W761" s="7"/>
      <c r="AB761" s="7" t="str">
        <f t="shared" si="1"/>
        <v/>
      </c>
    </row>
    <row r="762">
      <c r="A762" s="83"/>
      <c r="W762" s="7"/>
      <c r="AB762" s="7" t="str">
        <f t="shared" si="1"/>
        <v/>
      </c>
    </row>
    <row r="763">
      <c r="A763" s="83"/>
      <c r="W763" s="7"/>
      <c r="AB763" s="7" t="str">
        <f t="shared" si="1"/>
        <v/>
      </c>
    </row>
    <row r="764">
      <c r="A764" s="83"/>
      <c r="W764" s="7"/>
      <c r="AB764" s="7" t="str">
        <f t="shared" si="1"/>
        <v/>
      </c>
    </row>
    <row r="765">
      <c r="A765" s="83"/>
      <c r="W765" s="7"/>
      <c r="AB765" s="7" t="str">
        <f t="shared" si="1"/>
        <v/>
      </c>
    </row>
    <row r="766">
      <c r="A766" s="83"/>
      <c r="W766" s="7"/>
      <c r="AB766" s="7" t="str">
        <f t="shared" si="1"/>
        <v/>
      </c>
    </row>
    <row r="767">
      <c r="A767" s="83"/>
      <c r="W767" s="7"/>
      <c r="AB767" s="7" t="str">
        <f t="shared" si="1"/>
        <v/>
      </c>
    </row>
    <row r="768">
      <c r="A768" s="83"/>
      <c r="W768" s="7"/>
      <c r="AB768" s="7" t="str">
        <f t="shared" si="1"/>
        <v/>
      </c>
    </row>
    <row r="769">
      <c r="A769" s="83"/>
      <c r="W769" s="7"/>
      <c r="AB769" s="7" t="str">
        <f t="shared" si="1"/>
        <v/>
      </c>
    </row>
    <row r="770">
      <c r="A770" s="83"/>
      <c r="W770" s="7"/>
      <c r="AB770" s="7" t="str">
        <f t="shared" si="1"/>
        <v/>
      </c>
    </row>
    <row r="771">
      <c r="A771" s="83"/>
      <c r="W771" s="7"/>
      <c r="AB771" s="7" t="str">
        <f t="shared" si="1"/>
        <v/>
      </c>
    </row>
    <row r="772">
      <c r="A772" s="83"/>
      <c r="W772" s="7"/>
      <c r="AB772" s="7" t="str">
        <f t="shared" si="1"/>
        <v/>
      </c>
    </row>
    <row r="773">
      <c r="A773" s="83"/>
      <c r="W773" s="7"/>
      <c r="AB773" s="7" t="str">
        <f t="shared" si="1"/>
        <v/>
      </c>
    </row>
    <row r="774">
      <c r="A774" s="83"/>
      <c r="W774" s="7"/>
      <c r="AB774" s="7" t="str">
        <f t="shared" si="1"/>
        <v/>
      </c>
    </row>
    <row r="775">
      <c r="A775" s="83"/>
      <c r="W775" s="7"/>
      <c r="AB775" s="7" t="str">
        <f t="shared" si="1"/>
        <v/>
      </c>
    </row>
    <row r="776">
      <c r="A776" s="83"/>
      <c r="W776" s="7"/>
      <c r="AB776" s="7" t="str">
        <f t="shared" si="1"/>
        <v/>
      </c>
    </row>
    <row r="777">
      <c r="A777" s="83"/>
      <c r="W777" s="7"/>
      <c r="AB777" s="7" t="str">
        <f t="shared" si="1"/>
        <v/>
      </c>
    </row>
    <row r="778">
      <c r="A778" s="83"/>
      <c r="W778" s="7"/>
      <c r="AB778" s="7" t="str">
        <f t="shared" si="1"/>
        <v/>
      </c>
    </row>
    <row r="779">
      <c r="A779" s="83"/>
      <c r="W779" s="7"/>
      <c r="AB779" s="7" t="str">
        <f t="shared" si="1"/>
        <v/>
      </c>
    </row>
    <row r="780">
      <c r="A780" s="83"/>
      <c r="W780" s="7"/>
      <c r="AB780" s="7" t="str">
        <f t="shared" si="1"/>
        <v/>
      </c>
    </row>
    <row r="781">
      <c r="A781" s="83"/>
      <c r="W781" s="7"/>
      <c r="AB781" s="7" t="str">
        <f t="shared" si="1"/>
        <v/>
      </c>
    </row>
    <row r="782">
      <c r="A782" s="83"/>
      <c r="W782" s="7"/>
      <c r="AB782" s="7" t="str">
        <f t="shared" si="1"/>
        <v/>
      </c>
    </row>
    <row r="783">
      <c r="A783" s="83"/>
      <c r="W783" s="7"/>
      <c r="AB783" s="7" t="str">
        <f t="shared" si="1"/>
        <v/>
      </c>
    </row>
    <row r="784">
      <c r="A784" s="83"/>
      <c r="W784" s="7"/>
      <c r="AB784" s="7" t="str">
        <f t="shared" si="1"/>
        <v/>
      </c>
    </row>
    <row r="785">
      <c r="A785" s="83"/>
      <c r="W785" s="7"/>
      <c r="AB785" s="7" t="str">
        <f t="shared" si="1"/>
        <v/>
      </c>
    </row>
    <row r="786">
      <c r="A786" s="83"/>
      <c r="W786" s="7"/>
      <c r="AB786" s="7" t="str">
        <f t="shared" si="1"/>
        <v/>
      </c>
    </row>
    <row r="787">
      <c r="A787" s="83"/>
      <c r="W787" s="7"/>
      <c r="AB787" s="7" t="str">
        <f t="shared" si="1"/>
        <v/>
      </c>
    </row>
    <row r="788">
      <c r="A788" s="83"/>
      <c r="W788" s="7"/>
      <c r="AB788" s="7" t="str">
        <f t="shared" si="1"/>
        <v/>
      </c>
    </row>
    <row r="789">
      <c r="A789" s="83"/>
      <c r="W789" s="7"/>
      <c r="AB789" s="7" t="str">
        <f t="shared" si="1"/>
        <v/>
      </c>
    </row>
    <row r="790">
      <c r="A790" s="83"/>
      <c r="W790" s="7"/>
      <c r="AB790" s="7" t="str">
        <f t="shared" si="1"/>
        <v/>
      </c>
    </row>
    <row r="791">
      <c r="A791" s="83"/>
      <c r="W791" s="7"/>
      <c r="AB791" s="7" t="str">
        <f t="shared" si="1"/>
        <v/>
      </c>
    </row>
    <row r="792">
      <c r="A792" s="83"/>
      <c r="W792" s="7"/>
      <c r="AB792" s="7" t="str">
        <f t="shared" si="1"/>
        <v/>
      </c>
    </row>
    <row r="793">
      <c r="A793" s="83"/>
      <c r="W793" s="7"/>
      <c r="AB793" s="7" t="str">
        <f t="shared" si="1"/>
        <v/>
      </c>
    </row>
    <row r="794">
      <c r="A794" s="83"/>
      <c r="W794" s="7"/>
      <c r="AB794" s="7" t="str">
        <f t="shared" si="1"/>
        <v/>
      </c>
    </row>
    <row r="795">
      <c r="A795" s="83"/>
      <c r="W795" s="7"/>
      <c r="AB795" s="7" t="str">
        <f t="shared" si="1"/>
        <v/>
      </c>
    </row>
    <row r="796">
      <c r="A796" s="83"/>
      <c r="W796" s="7"/>
      <c r="AB796" s="7" t="str">
        <f t="shared" si="1"/>
        <v/>
      </c>
    </row>
    <row r="797">
      <c r="A797" s="83"/>
      <c r="W797" s="7"/>
      <c r="AB797" s="7" t="str">
        <f t="shared" si="1"/>
        <v/>
      </c>
    </row>
    <row r="798">
      <c r="A798" s="83"/>
      <c r="W798" s="7"/>
      <c r="AB798" s="7" t="str">
        <f t="shared" si="1"/>
        <v/>
      </c>
    </row>
    <row r="799">
      <c r="A799" s="83"/>
      <c r="W799" s="7"/>
      <c r="AB799" s="7" t="str">
        <f t="shared" si="1"/>
        <v/>
      </c>
    </row>
    <row r="800">
      <c r="A800" s="83"/>
      <c r="W800" s="7"/>
      <c r="AB800" s="7" t="str">
        <f t="shared" si="1"/>
        <v/>
      </c>
    </row>
    <row r="801">
      <c r="A801" s="83"/>
      <c r="W801" s="7"/>
      <c r="AB801" s="7" t="str">
        <f t="shared" si="1"/>
        <v/>
      </c>
    </row>
    <row r="802">
      <c r="A802" s="83"/>
      <c r="W802" s="7"/>
      <c r="AB802" s="7" t="str">
        <f t="shared" si="1"/>
        <v/>
      </c>
    </row>
    <row r="803">
      <c r="A803" s="83"/>
      <c r="W803" s="7"/>
      <c r="AB803" s="7" t="str">
        <f t="shared" si="1"/>
        <v/>
      </c>
    </row>
    <row r="804">
      <c r="A804" s="83"/>
      <c r="W804" s="7"/>
      <c r="AB804" s="7" t="str">
        <f t="shared" si="1"/>
        <v/>
      </c>
    </row>
    <row r="805">
      <c r="A805" s="83"/>
      <c r="W805" s="7"/>
      <c r="AB805" s="7" t="str">
        <f t="shared" si="1"/>
        <v/>
      </c>
    </row>
    <row r="806">
      <c r="A806" s="83"/>
      <c r="W806" s="7"/>
      <c r="AB806" s="7" t="str">
        <f t="shared" si="1"/>
        <v/>
      </c>
    </row>
    <row r="807">
      <c r="A807" s="83"/>
      <c r="W807" s="7"/>
      <c r="AB807" s="7" t="str">
        <f t="shared" si="1"/>
        <v/>
      </c>
    </row>
    <row r="808">
      <c r="A808" s="83"/>
      <c r="W808" s="7"/>
      <c r="AB808" s="7" t="str">
        <f t="shared" si="1"/>
        <v/>
      </c>
    </row>
    <row r="809">
      <c r="A809" s="83"/>
      <c r="W809" s="7"/>
      <c r="AB809" s="7" t="str">
        <f t="shared" si="1"/>
        <v/>
      </c>
    </row>
    <row r="810">
      <c r="A810" s="83"/>
      <c r="W810" s="7"/>
      <c r="AB810" s="7" t="str">
        <f t="shared" si="1"/>
        <v/>
      </c>
    </row>
    <row r="811">
      <c r="A811" s="83"/>
      <c r="W811" s="7"/>
      <c r="AB811" s="7" t="str">
        <f t="shared" si="1"/>
        <v/>
      </c>
    </row>
    <row r="812">
      <c r="A812" s="83"/>
      <c r="W812" s="7"/>
      <c r="AB812" s="7" t="str">
        <f t="shared" si="1"/>
        <v/>
      </c>
    </row>
    <row r="813">
      <c r="A813" s="83"/>
      <c r="W813" s="7"/>
      <c r="AB813" s="7" t="str">
        <f t="shared" si="1"/>
        <v/>
      </c>
    </row>
    <row r="814">
      <c r="A814" s="83"/>
      <c r="W814" s="7"/>
      <c r="AB814" s="7" t="str">
        <f t="shared" si="1"/>
        <v/>
      </c>
    </row>
    <row r="815">
      <c r="A815" s="83"/>
      <c r="W815" s="7"/>
      <c r="AB815" s="7" t="str">
        <f t="shared" si="1"/>
        <v/>
      </c>
    </row>
    <row r="816">
      <c r="A816" s="83"/>
      <c r="W816" s="7"/>
      <c r="AB816" s="7" t="str">
        <f t="shared" si="1"/>
        <v/>
      </c>
    </row>
    <row r="817">
      <c r="A817" s="83"/>
      <c r="W817" s="7"/>
      <c r="AB817" s="7" t="str">
        <f t="shared" si="1"/>
        <v/>
      </c>
    </row>
    <row r="818">
      <c r="A818" s="83"/>
      <c r="W818" s="7"/>
      <c r="AB818" s="7" t="str">
        <f t="shared" si="1"/>
        <v/>
      </c>
    </row>
    <row r="819">
      <c r="A819" s="83"/>
      <c r="W819" s="7"/>
      <c r="AB819" s="7" t="str">
        <f t="shared" si="1"/>
        <v/>
      </c>
    </row>
    <row r="820">
      <c r="A820" s="83"/>
      <c r="W820" s="7"/>
      <c r="AB820" s="7" t="str">
        <f t="shared" si="1"/>
        <v/>
      </c>
    </row>
    <row r="821">
      <c r="A821" s="83"/>
      <c r="W821" s="7"/>
      <c r="AB821" s="7" t="str">
        <f t="shared" si="1"/>
        <v/>
      </c>
    </row>
    <row r="822">
      <c r="A822" s="83"/>
      <c r="W822" s="7"/>
      <c r="AB822" s="7" t="str">
        <f t="shared" si="1"/>
        <v/>
      </c>
    </row>
    <row r="823">
      <c r="A823" s="83"/>
      <c r="W823" s="7"/>
      <c r="AB823" s="7" t="str">
        <f t="shared" si="1"/>
        <v/>
      </c>
    </row>
    <row r="824">
      <c r="A824" s="83"/>
      <c r="W824" s="7"/>
      <c r="AB824" s="7" t="str">
        <f t="shared" si="1"/>
        <v/>
      </c>
    </row>
    <row r="825">
      <c r="A825" s="83"/>
      <c r="W825" s="7"/>
      <c r="AB825" s="7" t="str">
        <f t="shared" si="1"/>
        <v/>
      </c>
    </row>
    <row r="826">
      <c r="A826" s="83"/>
      <c r="W826" s="7"/>
      <c r="AB826" s="7" t="str">
        <f t="shared" si="1"/>
        <v/>
      </c>
    </row>
    <row r="827">
      <c r="A827" s="83"/>
      <c r="W827" s="7"/>
      <c r="AB827" s="7" t="str">
        <f t="shared" si="1"/>
        <v/>
      </c>
    </row>
    <row r="828">
      <c r="A828" s="83"/>
      <c r="W828" s="7"/>
      <c r="AB828" s="7" t="str">
        <f t="shared" si="1"/>
        <v/>
      </c>
    </row>
    <row r="829">
      <c r="A829" s="83"/>
      <c r="W829" s="7"/>
      <c r="AB829" s="7" t="str">
        <f t="shared" si="1"/>
        <v/>
      </c>
    </row>
    <row r="830">
      <c r="A830" s="83"/>
      <c r="W830" s="7"/>
      <c r="AB830" s="7" t="str">
        <f t="shared" si="1"/>
        <v/>
      </c>
    </row>
    <row r="831">
      <c r="A831" s="83"/>
      <c r="W831" s="7"/>
      <c r="AB831" s="7" t="str">
        <f t="shared" si="1"/>
        <v/>
      </c>
    </row>
    <row r="832">
      <c r="A832" s="83"/>
      <c r="W832" s="7"/>
      <c r="AB832" s="7" t="str">
        <f t="shared" si="1"/>
        <v/>
      </c>
    </row>
    <row r="833">
      <c r="A833" s="83"/>
      <c r="W833" s="7"/>
      <c r="AB833" s="7" t="str">
        <f t="shared" si="1"/>
        <v/>
      </c>
    </row>
    <row r="834">
      <c r="A834" s="83"/>
      <c r="W834" s="7"/>
      <c r="AB834" s="7" t="str">
        <f t="shared" si="1"/>
        <v/>
      </c>
    </row>
    <row r="835">
      <c r="A835" s="83"/>
      <c r="W835" s="7"/>
      <c r="AB835" s="7" t="str">
        <f t="shared" si="1"/>
        <v/>
      </c>
    </row>
    <row r="836">
      <c r="A836" s="83"/>
      <c r="W836" s="7"/>
      <c r="AB836" s="7" t="str">
        <f t="shared" si="1"/>
        <v/>
      </c>
    </row>
    <row r="837">
      <c r="A837" s="83"/>
      <c r="W837" s="7"/>
      <c r="AB837" s="7" t="str">
        <f t="shared" si="1"/>
        <v/>
      </c>
    </row>
    <row r="838">
      <c r="A838" s="83"/>
      <c r="W838" s="7"/>
      <c r="AB838" s="7" t="str">
        <f t="shared" si="1"/>
        <v/>
      </c>
    </row>
    <row r="839">
      <c r="A839" s="83"/>
      <c r="W839" s="7"/>
      <c r="AB839" s="7" t="str">
        <f t="shared" si="1"/>
        <v/>
      </c>
    </row>
    <row r="840">
      <c r="A840" s="83"/>
      <c r="W840" s="7"/>
      <c r="AB840" s="7" t="str">
        <f t="shared" si="1"/>
        <v/>
      </c>
    </row>
    <row r="841">
      <c r="A841" s="83"/>
      <c r="W841" s="7"/>
      <c r="AB841" s="7" t="str">
        <f t="shared" si="1"/>
        <v/>
      </c>
    </row>
    <row r="842">
      <c r="A842" s="83"/>
      <c r="W842" s="7"/>
      <c r="AB842" s="7" t="str">
        <f t="shared" si="1"/>
        <v/>
      </c>
    </row>
    <row r="843">
      <c r="A843" s="83"/>
      <c r="W843" s="7"/>
      <c r="AB843" s="7" t="str">
        <f t="shared" si="1"/>
        <v/>
      </c>
    </row>
    <row r="844">
      <c r="A844" s="83"/>
      <c r="W844" s="7"/>
      <c r="AB844" s="7" t="str">
        <f t="shared" si="1"/>
        <v/>
      </c>
    </row>
    <row r="845">
      <c r="A845" s="83"/>
      <c r="W845" s="7"/>
      <c r="AB845" s="7" t="str">
        <f t="shared" si="1"/>
        <v/>
      </c>
    </row>
    <row r="846">
      <c r="A846" s="83"/>
      <c r="W846" s="7"/>
      <c r="AB846" s="7" t="str">
        <f t="shared" si="1"/>
        <v/>
      </c>
    </row>
    <row r="847">
      <c r="A847" s="83"/>
      <c r="W847" s="7"/>
      <c r="AB847" s="7" t="str">
        <f t="shared" si="1"/>
        <v/>
      </c>
    </row>
    <row r="848">
      <c r="A848" s="83"/>
      <c r="W848" s="7"/>
      <c r="AB848" s="7" t="str">
        <f t="shared" si="1"/>
        <v/>
      </c>
    </row>
    <row r="849">
      <c r="A849" s="83"/>
      <c r="W849" s="7"/>
      <c r="AB849" s="7" t="str">
        <f t="shared" si="1"/>
        <v/>
      </c>
    </row>
    <row r="850">
      <c r="A850" s="83"/>
      <c r="W850" s="7"/>
      <c r="AB850" s="7" t="str">
        <f t="shared" si="1"/>
        <v/>
      </c>
    </row>
    <row r="851">
      <c r="A851" s="83"/>
      <c r="W851" s="7"/>
      <c r="AB851" s="7" t="str">
        <f t="shared" si="1"/>
        <v/>
      </c>
    </row>
    <row r="852">
      <c r="A852" s="83"/>
      <c r="W852" s="7"/>
      <c r="AB852" s="7" t="str">
        <f t="shared" si="1"/>
        <v/>
      </c>
    </row>
    <row r="853">
      <c r="A853" s="83"/>
      <c r="W853" s="7"/>
      <c r="AB853" s="7" t="str">
        <f t="shared" si="1"/>
        <v/>
      </c>
    </row>
    <row r="854">
      <c r="A854" s="83"/>
      <c r="W854" s="7"/>
      <c r="AB854" s="7" t="str">
        <f t="shared" si="1"/>
        <v/>
      </c>
    </row>
    <row r="855">
      <c r="A855" s="83"/>
      <c r="W855" s="7"/>
      <c r="AB855" s="7" t="str">
        <f t="shared" si="1"/>
        <v/>
      </c>
    </row>
    <row r="856">
      <c r="A856" s="83"/>
      <c r="W856" s="7"/>
      <c r="AB856" s="7" t="str">
        <f t="shared" si="1"/>
        <v/>
      </c>
    </row>
    <row r="857">
      <c r="A857" s="83"/>
      <c r="W857" s="7"/>
      <c r="AB857" s="7" t="str">
        <f t="shared" si="1"/>
        <v/>
      </c>
    </row>
    <row r="858">
      <c r="A858" s="83"/>
      <c r="W858" s="7"/>
      <c r="AB858" s="7" t="str">
        <f t="shared" si="1"/>
        <v/>
      </c>
    </row>
    <row r="859">
      <c r="A859" s="83"/>
      <c r="W859" s="7"/>
      <c r="AB859" s="7" t="str">
        <f t="shared" si="1"/>
        <v/>
      </c>
    </row>
    <row r="860">
      <c r="A860" s="83"/>
      <c r="W860" s="7"/>
      <c r="AB860" s="7" t="str">
        <f t="shared" si="1"/>
        <v/>
      </c>
    </row>
    <row r="861">
      <c r="A861" s="83"/>
      <c r="W861" s="7"/>
      <c r="AB861" s="7" t="str">
        <f t="shared" si="1"/>
        <v/>
      </c>
    </row>
    <row r="862">
      <c r="A862" s="83"/>
      <c r="W862" s="7"/>
      <c r="AB862" s="7" t="str">
        <f t="shared" si="1"/>
        <v/>
      </c>
    </row>
    <row r="863">
      <c r="A863" s="83"/>
      <c r="W863" s="7"/>
      <c r="AB863" s="7" t="str">
        <f t="shared" si="1"/>
        <v/>
      </c>
    </row>
    <row r="864">
      <c r="A864" s="83"/>
      <c r="W864" s="7"/>
      <c r="AB864" s="7" t="str">
        <f t="shared" si="1"/>
        <v/>
      </c>
    </row>
    <row r="865">
      <c r="A865" s="83"/>
      <c r="W865" s="7"/>
      <c r="AB865" s="7" t="str">
        <f t="shared" si="1"/>
        <v/>
      </c>
    </row>
    <row r="866">
      <c r="A866" s="83"/>
      <c r="W866" s="7"/>
      <c r="AB866" s="7" t="str">
        <f t="shared" si="1"/>
        <v/>
      </c>
    </row>
    <row r="867">
      <c r="A867" s="83"/>
      <c r="W867" s="7"/>
      <c r="AB867" s="7" t="str">
        <f t="shared" si="1"/>
        <v/>
      </c>
    </row>
    <row r="868">
      <c r="A868" s="83"/>
      <c r="W868" s="7"/>
      <c r="AB868" s="7" t="str">
        <f t="shared" si="1"/>
        <v/>
      </c>
    </row>
    <row r="869">
      <c r="A869" s="83"/>
      <c r="W869" s="7"/>
      <c r="AB869" s="7" t="str">
        <f t="shared" si="1"/>
        <v/>
      </c>
    </row>
    <row r="870">
      <c r="A870" s="83"/>
      <c r="W870" s="7"/>
      <c r="AB870" s="7" t="str">
        <f t="shared" si="1"/>
        <v/>
      </c>
    </row>
    <row r="871">
      <c r="A871" s="83"/>
      <c r="W871" s="7"/>
      <c r="AB871" s="7" t="str">
        <f t="shared" si="1"/>
        <v/>
      </c>
    </row>
    <row r="872">
      <c r="A872" s="83"/>
      <c r="W872" s="7"/>
      <c r="AB872" s="7" t="str">
        <f t="shared" si="1"/>
        <v/>
      </c>
    </row>
    <row r="873">
      <c r="A873" s="83"/>
      <c r="W873" s="7"/>
      <c r="AB873" s="7" t="str">
        <f t="shared" si="1"/>
        <v/>
      </c>
    </row>
    <row r="874">
      <c r="A874" s="83"/>
      <c r="W874" s="7"/>
      <c r="AB874" s="7" t="str">
        <f t="shared" si="1"/>
        <v/>
      </c>
    </row>
    <row r="875">
      <c r="A875" s="83"/>
      <c r="W875" s="7"/>
      <c r="AB875" s="7" t="str">
        <f t="shared" si="1"/>
        <v/>
      </c>
    </row>
    <row r="876">
      <c r="A876" s="83"/>
      <c r="W876" s="7"/>
      <c r="AB876" s="7" t="str">
        <f t="shared" si="1"/>
        <v/>
      </c>
    </row>
    <row r="877">
      <c r="A877" s="83"/>
      <c r="W877" s="7"/>
      <c r="AB877" s="7" t="str">
        <f t="shared" si="1"/>
        <v/>
      </c>
    </row>
    <row r="878">
      <c r="A878" s="83"/>
      <c r="W878" s="7"/>
      <c r="AB878" s="7" t="str">
        <f t="shared" si="1"/>
        <v/>
      </c>
    </row>
    <row r="879">
      <c r="A879" s="83"/>
      <c r="W879" s="7"/>
      <c r="AB879" s="7" t="str">
        <f t="shared" si="1"/>
        <v/>
      </c>
    </row>
    <row r="880">
      <c r="A880" s="83"/>
      <c r="W880" s="7"/>
      <c r="AB880" s="7" t="str">
        <f t="shared" si="1"/>
        <v/>
      </c>
    </row>
    <row r="881">
      <c r="A881" s="83"/>
      <c r="W881" s="7"/>
      <c r="AB881" s="7" t="str">
        <f t="shared" si="1"/>
        <v/>
      </c>
    </row>
    <row r="882">
      <c r="A882" s="83"/>
      <c r="W882" s="7"/>
      <c r="AB882" s="7" t="str">
        <f t="shared" si="1"/>
        <v/>
      </c>
    </row>
    <row r="883">
      <c r="A883" s="83"/>
      <c r="W883" s="7"/>
      <c r="AB883" s="7" t="str">
        <f t="shared" si="1"/>
        <v/>
      </c>
    </row>
    <row r="884">
      <c r="A884" s="83"/>
      <c r="W884" s="7"/>
      <c r="AB884" s="7" t="str">
        <f t="shared" si="1"/>
        <v/>
      </c>
    </row>
    <row r="885">
      <c r="A885" s="83"/>
      <c r="W885" s="7"/>
      <c r="AB885" s="7" t="str">
        <f t="shared" si="1"/>
        <v/>
      </c>
    </row>
    <row r="886">
      <c r="A886" s="83"/>
      <c r="W886" s="7"/>
      <c r="AB886" s="7" t="str">
        <f t="shared" si="1"/>
        <v/>
      </c>
    </row>
    <row r="887">
      <c r="A887" s="83"/>
      <c r="W887" s="7"/>
      <c r="AB887" s="7" t="str">
        <f t="shared" si="1"/>
        <v/>
      </c>
    </row>
    <row r="888">
      <c r="A888" s="83"/>
      <c r="W888" s="7"/>
      <c r="AB888" s="7" t="str">
        <f t="shared" si="1"/>
        <v/>
      </c>
    </row>
    <row r="889">
      <c r="A889" s="83"/>
      <c r="W889" s="7"/>
      <c r="AB889" s="7" t="str">
        <f t="shared" si="1"/>
        <v/>
      </c>
    </row>
    <row r="890">
      <c r="A890" s="83"/>
      <c r="W890" s="7"/>
      <c r="AB890" s="7" t="str">
        <f t="shared" si="1"/>
        <v/>
      </c>
    </row>
    <row r="891">
      <c r="A891" s="83"/>
      <c r="W891" s="7"/>
      <c r="AB891" s="7" t="str">
        <f t="shared" si="1"/>
        <v/>
      </c>
    </row>
    <row r="892">
      <c r="A892" s="83"/>
      <c r="W892" s="7"/>
      <c r="AB892" s="7" t="str">
        <f t="shared" si="1"/>
        <v/>
      </c>
    </row>
    <row r="893">
      <c r="A893" s="83"/>
      <c r="W893" s="7"/>
      <c r="AB893" s="7" t="str">
        <f t="shared" si="1"/>
        <v/>
      </c>
    </row>
    <row r="894">
      <c r="A894" s="83"/>
      <c r="W894" s="7"/>
      <c r="AB894" s="7" t="str">
        <f t="shared" si="1"/>
        <v/>
      </c>
    </row>
    <row r="895">
      <c r="A895" s="83"/>
      <c r="W895" s="7"/>
      <c r="AB895" s="7" t="str">
        <f t="shared" si="1"/>
        <v/>
      </c>
    </row>
    <row r="896">
      <c r="A896" s="83"/>
      <c r="W896" s="7"/>
      <c r="AB896" s="7" t="str">
        <f t="shared" si="1"/>
        <v/>
      </c>
    </row>
    <row r="897">
      <c r="A897" s="83"/>
      <c r="W897" s="7"/>
      <c r="AB897" s="7" t="str">
        <f t="shared" si="1"/>
        <v/>
      </c>
    </row>
    <row r="898">
      <c r="A898" s="83"/>
      <c r="W898" s="7"/>
      <c r="AB898" s="7" t="str">
        <f t="shared" si="1"/>
        <v/>
      </c>
    </row>
    <row r="899">
      <c r="A899" s="83"/>
      <c r="W899" s="7"/>
      <c r="AB899" s="7" t="str">
        <f t="shared" si="1"/>
        <v/>
      </c>
    </row>
    <row r="900">
      <c r="A900" s="83"/>
      <c r="W900" s="7"/>
      <c r="AB900" s="7" t="str">
        <f t="shared" si="1"/>
        <v/>
      </c>
    </row>
    <row r="901">
      <c r="A901" s="83"/>
      <c r="W901" s="7"/>
      <c r="AB901" s="7" t="str">
        <f t="shared" si="1"/>
        <v/>
      </c>
    </row>
    <row r="902">
      <c r="A902" s="83"/>
      <c r="W902" s="7"/>
      <c r="AB902" s="7" t="str">
        <f t="shared" si="1"/>
        <v/>
      </c>
    </row>
    <row r="903">
      <c r="A903" s="83"/>
      <c r="W903" s="7"/>
      <c r="AB903" s="7" t="str">
        <f t="shared" si="1"/>
        <v/>
      </c>
    </row>
    <row r="904">
      <c r="A904" s="83"/>
      <c r="W904" s="7"/>
      <c r="AB904" s="7" t="str">
        <f t="shared" si="1"/>
        <v/>
      </c>
    </row>
    <row r="905">
      <c r="A905" s="83"/>
      <c r="W905" s="7"/>
      <c r="AB905" s="7" t="str">
        <f t="shared" si="1"/>
        <v/>
      </c>
    </row>
    <row r="906">
      <c r="A906" s="83"/>
      <c r="W906" s="7"/>
      <c r="AB906" s="7" t="str">
        <f t="shared" si="1"/>
        <v/>
      </c>
    </row>
    <row r="907">
      <c r="A907" s="83"/>
      <c r="W907" s="7"/>
      <c r="AB907" s="7" t="str">
        <f t="shared" si="1"/>
        <v/>
      </c>
    </row>
    <row r="908">
      <c r="A908" s="83"/>
      <c r="W908" s="7"/>
      <c r="AB908" s="7" t="str">
        <f t="shared" si="1"/>
        <v/>
      </c>
    </row>
    <row r="909">
      <c r="A909" s="83"/>
      <c r="W909" s="7"/>
      <c r="AB909" s="7" t="str">
        <f t="shared" si="1"/>
        <v/>
      </c>
    </row>
    <row r="910">
      <c r="A910" s="83"/>
      <c r="W910" s="7"/>
      <c r="AB910" s="7" t="str">
        <f t="shared" si="1"/>
        <v/>
      </c>
    </row>
    <row r="911">
      <c r="A911" s="83"/>
      <c r="W911" s="7"/>
      <c r="AB911" s="7" t="str">
        <f t="shared" si="1"/>
        <v/>
      </c>
    </row>
    <row r="912">
      <c r="A912" s="83"/>
      <c r="W912" s="7"/>
      <c r="AB912" s="7" t="str">
        <f t="shared" si="1"/>
        <v/>
      </c>
    </row>
    <row r="913">
      <c r="A913" s="83"/>
      <c r="W913" s="7"/>
      <c r="AB913" s="7" t="str">
        <f t="shared" si="1"/>
        <v/>
      </c>
    </row>
    <row r="914">
      <c r="A914" s="83"/>
      <c r="W914" s="7"/>
      <c r="AB914" s="7" t="str">
        <f t="shared" si="1"/>
        <v/>
      </c>
    </row>
    <row r="915">
      <c r="A915" s="83"/>
      <c r="W915" s="7"/>
      <c r="AB915" s="7" t="str">
        <f t="shared" si="1"/>
        <v/>
      </c>
    </row>
    <row r="916">
      <c r="A916" s="83"/>
      <c r="W916" s="7"/>
      <c r="AB916" s="7" t="str">
        <f t="shared" si="1"/>
        <v/>
      </c>
    </row>
    <row r="917">
      <c r="A917" s="83"/>
      <c r="W917" s="7"/>
      <c r="AB917" s="7" t="str">
        <f t="shared" si="1"/>
        <v/>
      </c>
    </row>
    <row r="918">
      <c r="A918" s="83"/>
      <c r="W918" s="7"/>
      <c r="AB918" s="7" t="str">
        <f t="shared" si="1"/>
        <v/>
      </c>
    </row>
    <row r="919">
      <c r="A919" s="83"/>
      <c r="W919" s="7"/>
      <c r="AB919" s="7" t="str">
        <f t="shared" si="1"/>
        <v/>
      </c>
    </row>
    <row r="920">
      <c r="A920" s="83"/>
      <c r="W920" s="7"/>
      <c r="AB920" s="7" t="str">
        <f t="shared" si="1"/>
        <v/>
      </c>
    </row>
    <row r="921">
      <c r="A921" s="83"/>
      <c r="W921" s="7"/>
      <c r="AB921" s="7" t="str">
        <f t="shared" si="1"/>
        <v/>
      </c>
    </row>
    <row r="922">
      <c r="A922" s="83"/>
      <c r="W922" s="7"/>
      <c r="AB922" s="7" t="str">
        <f t="shared" si="1"/>
        <v/>
      </c>
    </row>
    <row r="923">
      <c r="A923" s="83"/>
      <c r="W923" s="7"/>
      <c r="AB923" s="7" t="str">
        <f t="shared" si="1"/>
        <v/>
      </c>
    </row>
    <row r="924">
      <c r="A924" s="83"/>
      <c r="W924" s="7"/>
      <c r="AB924" s="7" t="str">
        <f t="shared" si="1"/>
        <v/>
      </c>
    </row>
    <row r="925">
      <c r="A925" s="83"/>
      <c r="W925" s="7"/>
      <c r="AB925" s="7" t="str">
        <f t="shared" si="1"/>
        <v/>
      </c>
    </row>
    <row r="926">
      <c r="A926" s="83"/>
      <c r="W926" s="7"/>
      <c r="AB926" s="7" t="str">
        <f t="shared" si="1"/>
        <v/>
      </c>
    </row>
    <row r="927">
      <c r="A927" s="83"/>
      <c r="W927" s="7"/>
      <c r="AB927" s="7" t="str">
        <f t="shared" si="1"/>
        <v/>
      </c>
    </row>
    <row r="928">
      <c r="A928" s="83"/>
      <c r="W928" s="7"/>
      <c r="AB928" s="7" t="str">
        <f t="shared" si="1"/>
        <v/>
      </c>
    </row>
    <row r="929">
      <c r="A929" s="83"/>
      <c r="W929" s="7"/>
      <c r="AB929" s="7" t="str">
        <f t="shared" si="1"/>
        <v/>
      </c>
    </row>
    <row r="930">
      <c r="A930" s="83"/>
      <c r="W930" s="7"/>
      <c r="AB930" s="7" t="str">
        <f t="shared" si="1"/>
        <v/>
      </c>
    </row>
    <row r="931">
      <c r="A931" s="83"/>
      <c r="W931" s="7"/>
      <c r="AB931" s="7" t="str">
        <f t="shared" si="1"/>
        <v/>
      </c>
    </row>
    <row r="932">
      <c r="A932" s="83"/>
      <c r="W932" s="7"/>
      <c r="AB932" s="7" t="str">
        <f t="shared" si="1"/>
        <v/>
      </c>
    </row>
    <row r="933">
      <c r="A933" s="83"/>
      <c r="W933" s="7"/>
      <c r="AB933" s="7" t="str">
        <f t="shared" si="1"/>
        <v/>
      </c>
    </row>
    <row r="934">
      <c r="A934" s="83"/>
      <c r="W934" s="7"/>
      <c r="AB934" s="7" t="str">
        <f t="shared" si="1"/>
        <v/>
      </c>
    </row>
    <row r="935">
      <c r="A935" s="83"/>
      <c r="W935" s="7"/>
      <c r="AB935" s="7" t="str">
        <f t="shared" si="1"/>
        <v/>
      </c>
    </row>
    <row r="936">
      <c r="A936" s="83"/>
      <c r="W936" s="7"/>
      <c r="AB936" s="7" t="str">
        <f t="shared" si="1"/>
        <v/>
      </c>
    </row>
    <row r="937">
      <c r="A937" s="83"/>
      <c r="W937" s="7"/>
      <c r="AB937" s="7" t="str">
        <f t="shared" si="1"/>
        <v/>
      </c>
    </row>
    <row r="938">
      <c r="A938" s="83"/>
      <c r="W938" s="7"/>
      <c r="AB938" s="7" t="str">
        <f t="shared" si="1"/>
        <v/>
      </c>
    </row>
    <row r="939">
      <c r="A939" s="83"/>
      <c r="W939" s="7"/>
      <c r="AB939" s="7" t="str">
        <f t="shared" si="1"/>
        <v/>
      </c>
    </row>
    <row r="940">
      <c r="A940" s="83"/>
      <c r="W940" s="7"/>
      <c r="AB940" s="7" t="str">
        <f t="shared" si="1"/>
        <v/>
      </c>
    </row>
    <row r="941">
      <c r="A941" s="83"/>
      <c r="W941" s="7"/>
      <c r="AB941" s="7" t="str">
        <f t="shared" si="1"/>
        <v/>
      </c>
    </row>
    <row r="942">
      <c r="A942" s="83"/>
      <c r="W942" s="7"/>
      <c r="AB942" s="7" t="str">
        <f t="shared" si="1"/>
        <v/>
      </c>
    </row>
    <row r="943">
      <c r="A943" s="83"/>
      <c r="W943" s="7"/>
      <c r="AB943" s="7" t="str">
        <f t="shared" si="1"/>
        <v/>
      </c>
    </row>
    <row r="944">
      <c r="A944" s="83"/>
      <c r="W944" s="7"/>
      <c r="AB944" s="7" t="str">
        <f t="shared" si="1"/>
        <v/>
      </c>
    </row>
    <row r="945">
      <c r="A945" s="83"/>
      <c r="W945" s="7"/>
      <c r="AB945" s="7" t="str">
        <f t="shared" si="1"/>
        <v/>
      </c>
    </row>
    <row r="946">
      <c r="A946" s="83"/>
      <c r="W946" s="7"/>
      <c r="AB946" s="7" t="str">
        <f t="shared" si="1"/>
        <v/>
      </c>
    </row>
    <row r="947">
      <c r="A947" s="83"/>
      <c r="W947" s="7"/>
      <c r="AB947" s="7" t="str">
        <f t="shared" si="1"/>
        <v/>
      </c>
    </row>
    <row r="948">
      <c r="A948" s="83"/>
      <c r="W948" s="7"/>
      <c r="AB948" s="7" t="str">
        <f t="shared" si="1"/>
        <v/>
      </c>
    </row>
    <row r="949">
      <c r="A949" s="83"/>
      <c r="W949" s="7"/>
      <c r="AB949" s="7" t="str">
        <f t="shared" si="1"/>
        <v/>
      </c>
    </row>
    <row r="950">
      <c r="A950" s="83"/>
      <c r="W950" s="7"/>
      <c r="AB950" s="7" t="str">
        <f t="shared" si="1"/>
        <v/>
      </c>
    </row>
    <row r="951">
      <c r="A951" s="83"/>
      <c r="W951" s="7"/>
      <c r="AB951" s="7" t="str">
        <f t="shared" si="1"/>
        <v/>
      </c>
    </row>
    <row r="952">
      <c r="A952" s="83"/>
      <c r="W952" s="7"/>
      <c r="AB952" s="7" t="str">
        <f t="shared" si="1"/>
        <v/>
      </c>
    </row>
    <row r="953">
      <c r="A953" s="83"/>
      <c r="W953" s="7"/>
      <c r="AB953" s="7" t="str">
        <f t="shared" si="1"/>
        <v/>
      </c>
    </row>
    <row r="954">
      <c r="A954" s="83"/>
      <c r="W954" s="7"/>
      <c r="AB954" s="7" t="str">
        <f t="shared" si="1"/>
        <v/>
      </c>
    </row>
    <row r="955">
      <c r="A955" s="83"/>
      <c r="W955" s="7"/>
      <c r="AB955" s="7" t="str">
        <f t="shared" si="1"/>
        <v/>
      </c>
    </row>
    <row r="956">
      <c r="A956" s="83"/>
      <c r="W956" s="7"/>
      <c r="AB956" s="7" t="str">
        <f t="shared" si="1"/>
        <v/>
      </c>
    </row>
    <row r="957">
      <c r="A957" s="83"/>
      <c r="W957" s="7"/>
      <c r="AB957" s="7" t="str">
        <f t="shared" si="1"/>
        <v/>
      </c>
    </row>
    <row r="958">
      <c r="A958" s="83"/>
      <c r="W958" s="7"/>
      <c r="AB958" s="7" t="str">
        <f t="shared" si="1"/>
        <v/>
      </c>
    </row>
    <row r="959">
      <c r="A959" s="83"/>
      <c r="W959" s="7"/>
      <c r="AB959" s="7" t="str">
        <f t="shared" si="1"/>
        <v/>
      </c>
    </row>
    <row r="960">
      <c r="A960" s="83"/>
      <c r="W960" s="7"/>
      <c r="AB960" s="7" t="str">
        <f t="shared" si="1"/>
        <v/>
      </c>
    </row>
    <row r="961">
      <c r="A961" s="83"/>
      <c r="W961" s="7"/>
      <c r="AB961" s="7" t="str">
        <f t="shared" si="1"/>
        <v/>
      </c>
    </row>
    <row r="962">
      <c r="A962" s="83"/>
      <c r="W962" s="7"/>
      <c r="AB962" s="7" t="str">
        <f t="shared" si="1"/>
        <v/>
      </c>
    </row>
    <row r="963">
      <c r="A963" s="83"/>
      <c r="W963" s="7"/>
      <c r="AB963" s="7" t="str">
        <f t="shared" si="1"/>
        <v/>
      </c>
    </row>
    <row r="964">
      <c r="A964" s="83"/>
      <c r="W964" s="7"/>
      <c r="AB964" s="7" t="str">
        <f t="shared" si="1"/>
        <v/>
      </c>
    </row>
    <row r="965">
      <c r="A965" s="83"/>
      <c r="W965" s="7"/>
      <c r="AB965" s="7" t="str">
        <f t="shared" si="1"/>
        <v/>
      </c>
    </row>
    <row r="966">
      <c r="A966" s="83"/>
      <c r="W966" s="7"/>
      <c r="AB966" s="7" t="str">
        <f t="shared" si="1"/>
        <v/>
      </c>
    </row>
    <row r="967">
      <c r="A967" s="83"/>
      <c r="W967" s="7"/>
      <c r="AB967" s="7" t="str">
        <f t="shared" si="1"/>
        <v/>
      </c>
    </row>
    <row r="968">
      <c r="A968" s="83"/>
      <c r="W968" s="7"/>
      <c r="AB968" s="7" t="str">
        <f t="shared" si="1"/>
        <v/>
      </c>
    </row>
    <row r="969">
      <c r="A969" s="83"/>
      <c r="W969" s="7"/>
      <c r="AB969" s="7" t="str">
        <f t="shared" si="1"/>
        <v/>
      </c>
    </row>
    <row r="970">
      <c r="A970" s="83"/>
      <c r="W970" s="7"/>
      <c r="AB970" s="7" t="str">
        <f t="shared" si="1"/>
        <v/>
      </c>
    </row>
    <row r="971">
      <c r="A971" s="83"/>
      <c r="W971" s="7"/>
      <c r="AB971" s="7" t="str">
        <f t="shared" si="1"/>
        <v/>
      </c>
    </row>
    <row r="972">
      <c r="A972" s="83"/>
      <c r="W972" s="7"/>
      <c r="AB972" s="7" t="str">
        <f t="shared" si="1"/>
        <v/>
      </c>
    </row>
    <row r="973">
      <c r="A973" s="83"/>
      <c r="W973" s="7"/>
      <c r="AB973" s="7" t="str">
        <f t="shared" si="1"/>
        <v/>
      </c>
    </row>
    <row r="974">
      <c r="A974" s="83"/>
      <c r="W974" s="7"/>
      <c r="AB974" s="7" t="str">
        <f t="shared" si="1"/>
        <v/>
      </c>
    </row>
    <row r="975">
      <c r="A975" s="83"/>
      <c r="W975" s="7"/>
      <c r="AB975" s="7" t="str">
        <f t="shared" si="1"/>
        <v/>
      </c>
    </row>
    <row r="976">
      <c r="A976" s="83"/>
      <c r="W976" s="7"/>
      <c r="AB976" s="7" t="str">
        <f t="shared" si="1"/>
        <v/>
      </c>
    </row>
    <row r="977">
      <c r="A977" s="83"/>
      <c r="W977" s="7"/>
      <c r="AB977" s="7" t="str">
        <f t="shared" si="1"/>
        <v/>
      </c>
    </row>
    <row r="978">
      <c r="A978" s="83"/>
      <c r="W978" s="7"/>
      <c r="AB978" s="7" t="str">
        <f t="shared" si="1"/>
        <v/>
      </c>
    </row>
    <row r="979">
      <c r="A979" s="83"/>
      <c r="W979" s="7"/>
      <c r="AB979" s="7" t="str">
        <f t="shared" si="1"/>
        <v/>
      </c>
    </row>
    <row r="980">
      <c r="A980" s="83"/>
      <c r="W980" s="7"/>
      <c r="AB980" s="7" t="str">
        <f t="shared" si="1"/>
        <v/>
      </c>
    </row>
    <row r="981">
      <c r="A981" s="83"/>
      <c r="W981" s="7"/>
      <c r="AB981" s="7" t="str">
        <f t="shared" si="1"/>
        <v/>
      </c>
    </row>
    <row r="982">
      <c r="A982" s="83"/>
      <c r="W982" s="7"/>
      <c r="AB982" s="7" t="str">
        <f t="shared" si="1"/>
        <v/>
      </c>
    </row>
    <row r="983">
      <c r="A983" s="83"/>
      <c r="W983" s="7"/>
      <c r="AB983" s="7" t="str">
        <f t="shared" si="1"/>
        <v/>
      </c>
    </row>
    <row r="984">
      <c r="A984" s="83"/>
      <c r="W984" s="7"/>
      <c r="AB984" s="7" t="str">
        <f t="shared" si="1"/>
        <v/>
      </c>
    </row>
    <row r="985">
      <c r="A985" s="83"/>
      <c r="W985" s="7"/>
      <c r="AB985" s="7" t="str">
        <f t="shared" si="1"/>
        <v/>
      </c>
    </row>
    <row r="986">
      <c r="A986" s="83"/>
      <c r="W986" s="7"/>
      <c r="AB986" s="7" t="str">
        <f t="shared" si="1"/>
        <v/>
      </c>
    </row>
    <row r="987">
      <c r="A987" s="83"/>
      <c r="W987" s="7"/>
      <c r="AB987" s="7" t="str">
        <f t="shared" si="1"/>
        <v/>
      </c>
    </row>
  </sheetData>
  <dataValidations>
    <dataValidation type="list" allowBlank="1" showErrorMessage="1" sqref="W3:W987">
      <formula1>Configs!$E$17:$E$23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19.25"/>
    <col customWidth="1" min="4" max="4" width="16.5"/>
    <col customWidth="1" min="5" max="5" width="24.5"/>
    <col customWidth="1" min="6" max="6" width="48.75"/>
  </cols>
  <sheetData>
    <row r="2">
      <c r="B2" s="163" t="s">
        <v>123</v>
      </c>
      <c r="C2" s="4" t="s">
        <v>2686</v>
      </c>
      <c r="D2" s="4" t="s">
        <v>2687</v>
      </c>
      <c r="F2" s="4" t="s">
        <v>2688</v>
      </c>
    </row>
    <row r="3" ht="108.0" customHeight="1">
      <c r="B3" s="164" t="s">
        <v>2690</v>
      </c>
      <c r="C3" s="4" t="s">
        <v>2691</v>
      </c>
      <c r="D3" s="4" t="s">
        <v>2692</v>
      </c>
      <c r="E3" s="4" t="s">
        <v>2693</v>
      </c>
      <c r="F3" s="4" t="s">
        <v>2694</v>
      </c>
    </row>
    <row r="4" ht="123.0" customHeight="1">
      <c r="B4" s="164" t="s">
        <v>2695</v>
      </c>
      <c r="C4" s="4" t="s">
        <v>2696</v>
      </c>
      <c r="D4" s="4" t="s">
        <v>2692</v>
      </c>
      <c r="E4" s="4" t="s">
        <v>2697</v>
      </c>
      <c r="F4" s="4" t="s">
        <v>2698</v>
      </c>
    </row>
    <row r="5" ht="123.0" customHeight="1">
      <c r="B5" s="165" t="s">
        <v>124</v>
      </c>
      <c r="C5" s="4" t="s">
        <v>2701</v>
      </c>
      <c r="D5" s="4" t="s">
        <v>2703</v>
      </c>
      <c r="E5" s="4" t="s">
        <v>2704</v>
      </c>
      <c r="F5" s="4" t="s">
        <v>2705</v>
      </c>
    </row>
    <row r="6">
      <c r="B6" s="166" t="s">
        <v>125</v>
      </c>
      <c r="C6" s="4" t="s">
        <v>2707</v>
      </c>
      <c r="D6" s="4" t="s">
        <v>2708</v>
      </c>
      <c r="E6" s="4" t="s">
        <v>2709</v>
      </c>
      <c r="F6" s="4" t="s">
        <v>2712</v>
      </c>
    </row>
    <row r="7" ht="120.0" customHeight="1">
      <c r="B7" s="167" t="s">
        <v>126</v>
      </c>
      <c r="C7" s="4" t="s">
        <v>2714</v>
      </c>
      <c r="D7" s="4" t="s">
        <v>2715</v>
      </c>
      <c r="E7" s="4" t="s">
        <v>2716</v>
      </c>
      <c r="F7" s="4" t="s">
        <v>2719</v>
      </c>
    </row>
    <row r="8" ht="118.5" customHeight="1">
      <c r="B8" s="163" t="s">
        <v>2721</v>
      </c>
      <c r="C8" s="4" t="s">
        <v>2723</v>
      </c>
      <c r="D8" s="4" t="s">
        <v>2724</v>
      </c>
      <c r="E8" s="4" t="s">
        <v>2725</v>
      </c>
      <c r="F8" s="4" t="s">
        <v>2727</v>
      </c>
    </row>
    <row r="9" ht="250.5" customHeight="1">
      <c r="B9" s="168" t="s">
        <v>2728</v>
      </c>
      <c r="C9" s="169" t="s">
        <v>2731</v>
      </c>
      <c r="D9" s="4" t="s">
        <v>2734</v>
      </c>
      <c r="F9" s="4" t="s">
        <v>2735</v>
      </c>
    </row>
    <row r="10">
      <c r="B10" s="4" t="s">
        <v>2736</v>
      </c>
    </row>
    <row r="11">
      <c r="B11" s="4" t="s">
        <v>2739</v>
      </c>
      <c r="C11" s="4" t="s">
        <v>2740</v>
      </c>
      <c r="E11" s="4" t="s">
        <v>2741</v>
      </c>
      <c r="F11" s="4" t="s">
        <v>2743</v>
      </c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7.75"/>
    <col customWidth="1" min="3" max="3" width="17.88"/>
    <col customWidth="1" min="4" max="4" width="21.75"/>
    <col customWidth="1" min="5" max="5" width="21.88"/>
    <col customWidth="1" min="6" max="6" width="23.5"/>
    <col customWidth="1" min="7" max="7" width="20.5"/>
    <col customWidth="1" min="8" max="9" width="20.13"/>
    <col customWidth="1" min="14" max="14" width="16.38"/>
  </cols>
  <sheetData>
    <row r="1">
      <c r="A1" s="172"/>
      <c r="B1" s="172"/>
      <c r="C1" s="172"/>
      <c r="D1" s="172"/>
      <c r="E1" s="172"/>
      <c r="F1" s="172"/>
      <c r="G1" s="172"/>
      <c r="H1" s="172"/>
      <c r="I1" s="172"/>
      <c r="J1" s="172"/>
      <c r="K1" s="172"/>
      <c r="L1" s="172"/>
      <c r="M1" s="172"/>
      <c r="N1" s="172"/>
      <c r="O1" s="172"/>
      <c r="P1" s="172"/>
      <c r="Q1" s="172"/>
      <c r="R1" s="172"/>
      <c r="S1" s="172"/>
      <c r="T1" s="172"/>
      <c r="U1" s="172"/>
      <c r="V1" s="172"/>
      <c r="W1" s="172"/>
      <c r="X1" s="172"/>
      <c r="Y1" s="172"/>
      <c r="Z1" s="172"/>
    </row>
    <row r="2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Z2" s="172"/>
    </row>
    <row r="3" ht="22.5" customHeight="1">
      <c r="A3" s="172"/>
      <c r="B3" s="173" t="s">
        <v>2790</v>
      </c>
      <c r="C3" s="173" t="s">
        <v>2791</v>
      </c>
      <c r="D3" s="173" t="s">
        <v>2793</v>
      </c>
      <c r="E3" s="173" t="s">
        <v>2795</v>
      </c>
      <c r="F3" s="173" t="s">
        <v>2797</v>
      </c>
      <c r="G3" s="173" t="s">
        <v>2799</v>
      </c>
      <c r="H3" s="173" t="s">
        <v>205</v>
      </c>
      <c r="I3" s="173" t="s">
        <v>9</v>
      </c>
      <c r="J3" s="172"/>
      <c r="K3" s="172"/>
      <c r="L3" s="174" t="s">
        <v>2805</v>
      </c>
      <c r="M3" s="172">
        <f>SUMIF(Venda_Online[Estado],"Vendido",Venda_Online[Margem de Lucro (€)])</f>
        <v>0</v>
      </c>
      <c r="N3" s="172"/>
      <c r="O3" s="172"/>
      <c r="P3" s="172"/>
      <c r="Q3" s="172"/>
      <c r="R3" s="172"/>
      <c r="S3" s="172"/>
      <c r="T3" s="172"/>
      <c r="U3" s="172"/>
      <c r="V3" s="172"/>
      <c r="W3" s="172"/>
      <c r="X3" s="172"/>
      <c r="Y3" s="172"/>
      <c r="Z3" s="172"/>
    </row>
    <row r="4" ht="22.5" customHeight="1">
      <c r="A4" s="172"/>
      <c r="B4" s="175" t="s">
        <v>2806</v>
      </c>
      <c r="C4" s="175"/>
      <c r="D4" s="176">
        <v>46.0</v>
      </c>
      <c r="E4" s="176">
        <v>75.0</v>
      </c>
      <c r="F4" s="177">
        <f t="shared" ref="F4:F16" si="1">E4-D4</f>
        <v>29</v>
      </c>
      <c r="G4" s="180">
        <f t="shared" ref="G4:G16" si="2">F4/E4</f>
        <v>0.3866666667</v>
      </c>
      <c r="H4" s="181" t="s">
        <v>2821</v>
      </c>
      <c r="I4" s="18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Z4" s="172"/>
    </row>
    <row r="5" ht="22.5" customHeight="1">
      <c r="A5" s="172"/>
      <c r="B5" s="175" t="s">
        <v>2829</v>
      </c>
      <c r="C5" s="175"/>
      <c r="D5" s="176">
        <v>58.0</v>
      </c>
      <c r="E5" s="176">
        <v>85.0</v>
      </c>
      <c r="F5" s="177">
        <f t="shared" si="1"/>
        <v>27</v>
      </c>
      <c r="G5" s="180">
        <f t="shared" si="2"/>
        <v>0.3176470588</v>
      </c>
      <c r="H5" s="183"/>
      <c r="I5" s="182"/>
      <c r="J5" s="172"/>
      <c r="K5" s="172"/>
      <c r="L5" s="172"/>
      <c r="M5" s="172"/>
      <c r="N5" s="172"/>
      <c r="O5" s="172"/>
      <c r="P5" s="172"/>
      <c r="Q5" s="172"/>
      <c r="R5" s="172"/>
      <c r="S5" s="172"/>
      <c r="T5" s="172"/>
      <c r="U5" s="172"/>
      <c r="V5" s="172"/>
      <c r="W5" s="172"/>
      <c r="X5" s="172"/>
      <c r="Y5" s="172"/>
      <c r="Z5" s="172"/>
    </row>
    <row r="6" ht="22.5" customHeight="1">
      <c r="A6" s="172"/>
      <c r="B6" s="175" t="s">
        <v>2836</v>
      </c>
      <c r="C6" s="175"/>
      <c r="D6" s="176">
        <v>41.0</v>
      </c>
      <c r="E6" s="176">
        <v>99.0</v>
      </c>
      <c r="F6" s="177">
        <f t="shared" si="1"/>
        <v>58</v>
      </c>
      <c r="G6" s="180">
        <f t="shared" si="2"/>
        <v>0.5858585859</v>
      </c>
      <c r="H6" s="183"/>
      <c r="I6" s="182"/>
      <c r="J6" s="172"/>
      <c r="K6" s="172"/>
      <c r="L6" s="31"/>
      <c r="M6" s="172"/>
      <c r="N6" s="172"/>
      <c r="O6" s="172"/>
      <c r="P6" s="172"/>
      <c r="Q6" s="172"/>
      <c r="R6" s="172"/>
      <c r="S6" s="172"/>
      <c r="T6" s="172"/>
      <c r="U6" s="172"/>
      <c r="V6" s="172"/>
      <c r="W6" s="172"/>
      <c r="X6" s="172"/>
      <c r="Y6" s="172"/>
      <c r="Z6" s="172"/>
    </row>
    <row r="7" ht="22.5" customHeight="1">
      <c r="A7" s="172"/>
      <c r="B7" s="175" t="s">
        <v>2853</v>
      </c>
      <c r="C7" s="175"/>
      <c r="D7" s="176">
        <v>57.0</v>
      </c>
      <c r="E7" s="176">
        <v>110.0</v>
      </c>
      <c r="F7" s="177">
        <f t="shared" si="1"/>
        <v>53</v>
      </c>
      <c r="G7" s="180">
        <f t="shared" si="2"/>
        <v>0.4818181818</v>
      </c>
      <c r="H7" s="181" t="s">
        <v>2821</v>
      </c>
      <c r="I7" s="182"/>
      <c r="J7" s="172"/>
      <c r="K7" s="172"/>
      <c r="L7" s="172"/>
      <c r="M7" s="172"/>
      <c r="N7" s="172"/>
      <c r="O7" s="172"/>
      <c r="P7" s="172"/>
      <c r="Q7" s="172"/>
      <c r="R7" s="172"/>
      <c r="S7" s="172"/>
      <c r="T7" s="172"/>
      <c r="U7" s="172"/>
      <c r="V7" s="172"/>
      <c r="W7" s="172"/>
      <c r="X7" s="172"/>
      <c r="Y7" s="172"/>
      <c r="Z7" s="172"/>
    </row>
    <row r="8" ht="22.5" customHeight="1">
      <c r="A8" s="172"/>
      <c r="B8" s="182" t="s">
        <v>2865</v>
      </c>
      <c r="C8" s="175"/>
      <c r="D8" s="182">
        <v>43.0</v>
      </c>
      <c r="E8" s="182">
        <v>60.0</v>
      </c>
      <c r="F8" s="177">
        <f t="shared" si="1"/>
        <v>17</v>
      </c>
      <c r="G8" s="180">
        <f t="shared" si="2"/>
        <v>0.2833333333</v>
      </c>
      <c r="H8" s="183"/>
      <c r="I8" s="182"/>
      <c r="J8" s="172"/>
      <c r="K8" s="172"/>
      <c r="L8" s="172"/>
      <c r="M8" s="172"/>
      <c r="N8" s="172"/>
      <c r="O8" s="172"/>
      <c r="P8" s="172"/>
      <c r="Q8" s="172"/>
      <c r="R8" s="172"/>
      <c r="S8" s="172"/>
      <c r="T8" s="172"/>
      <c r="U8" s="172"/>
      <c r="V8" s="172"/>
      <c r="W8" s="172"/>
      <c r="X8" s="172"/>
      <c r="Y8" s="172"/>
      <c r="Z8" s="172"/>
    </row>
    <row r="9" ht="22.5" customHeight="1">
      <c r="A9" s="172"/>
      <c r="B9" s="182" t="s">
        <v>2879</v>
      </c>
      <c r="C9" s="191" t="s">
        <v>2884</v>
      </c>
      <c r="D9" s="182">
        <v>82.0</v>
      </c>
      <c r="E9" s="182">
        <v>169.0</v>
      </c>
      <c r="F9" s="177">
        <f t="shared" si="1"/>
        <v>87</v>
      </c>
      <c r="G9" s="180">
        <f t="shared" si="2"/>
        <v>0.5147928994</v>
      </c>
      <c r="H9" s="181" t="s">
        <v>2821</v>
      </c>
      <c r="I9" s="182"/>
      <c r="J9" s="172"/>
      <c r="K9" s="172"/>
      <c r="L9" s="172"/>
      <c r="M9" s="172"/>
      <c r="N9" s="172"/>
      <c r="O9" s="172"/>
      <c r="P9" s="172"/>
      <c r="Q9" s="172"/>
      <c r="R9" s="172"/>
      <c r="S9" s="172"/>
      <c r="T9" s="172"/>
      <c r="U9" s="172"/>
      <c r="V9" s="172"/>
      <c r="W9" s="172"/>
      <c r="X9" s="172"/>
      <c r="Y9" s="172"/>
      <c r="Z9" s="172"/>
    </row>
    <row r="10" ht="22.5" customHeight="1">
      <c r="A10" s="172"/>
      <c r="B10" s="182" t="s">
        <v>2895</v>
      </c>
      <c r="C10" s="175"/>
      <c r="D10" s="182">
        <v>48.0</v>
      </c>
      <c r="E10" s="182">
        <v>70.0</v>
      </c>
      <c r="F10" s="177">
        <f t="shared" si="1"/>
        <v>22</v>
      </c>
      <c r="G10" s="180">
        <f t="shared" si="2"/>
        <v>0.3142857143</v>
      </c>
      <c r="H10" s="183"/>
      <c r="I10" s="18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Z10" s="172"/>
    </row>
    <row r="11" ht="22.5" customHeight="1">
      <c r="A11" s="172"/>
      <c r="B11" s="182" t="s">
        <v>2901</v>
      </c>
      <c r="C11" s="191" t="s">
        <v>2904</v>
      </c>
      <c r="D11" s="182">
        <v>54.99</v>
      </c>
      <c r="E11" s="182">
        <v>100.0</v>
      </c>
      <c r="F11" s="177">
        <f t="shared" si="1"/>
        <v>45.01</v>
      </c>
      <c r="G11" s="180">
        <f t="shared" si="2"/>
        <v>0.4501</v>
      </c>
      <c r="H11" s="183"/>
      <c r="I11" s="182"/>
      <c r="J11" s="172"/>
      <c r="K11" s="172"/>
      <c r="L11" s="172"/>
      <c r="M11" s="172"/>
      <c r="N11" s="172"/>
      <c r="O11" s="172"/>
      <c r="P11" s="172"/>
      <c r="Q11" s="172"/>
      <c r="R11" s="172"/>
      <c r="S11" s="172"/>
      <c r="T11" s="172"/>
      <c r="U11" s="172"/>
      <c r="V11" s="172"/>
      <c r="W11" s="172"/>
      <c r="X11" s="172"/>
      <c r="Y11" s="172"/>
      <c r="Z11" s="172"/>
    </row>
    <row r="12" ht="22.5" customHeight="1">
      <c r="A12" s="172"/>
      <c r="B12" s="182" t="s">
        <v>2909</v>
      </c>
      <c r="C12" s="192"/>
      <c r="D12" s="182">
        <v>39.99</v>
      </c>
      <c r="E12" s="182">
        <v>50.0</v>
      </c>
      <c r="F12" s="177">
        <f t="shared" si="1"/>
        <v>10.01</v>
      </c>
      <c r="G12" s="180">
        <f t="shared" si="2"/>
        <v>0.2002</v>
      </c>
      <c r="H12" s="183"/>
      <c r="I12" s="192"/>
      <c r="J12" s="172"/>
      <c r="K12" s="172"/>
      <c r="L12" s="172"/>
      <c r="M12" s="172"/>
      <c r="N12" s="172"/>
      <c r="O12" s="172"/>
      <c r="P12" s="172"/>
      <c r="Q12" s="172"/>
      <c r="R12" s="172"/>
      <c r="S12" s="172"/>
      <c r="T12" s="172"/>
      <c r="U12" s="172"/>
      <c r="V12" s="172"/>
      <c r="W12" s="172"/>
      <c r="X12" s="172"/>
      <c r="Y12" s="172"/>
      <c r="Z12" s="172"/>
    </row>
    <row r="13" ht="22.5" customHeight="1">
      <c r="A13" s="172"/>
      <c r="B13" s="182" t="s">
        <v>2910</v>
      </c>
      <c r="C13" s="192"/>
      <c r="D13" s="182">
        <v>82.0</v>
      </c>
      <c r="E13" s="182">
        <v>90.0</v>
      </c>
      <c r="F13" s="177">
        <f t="shared" si="1"/>
        <v>8</v>
      </c>
      <c r="G13" s="180">
        <f t="shared" si="2"/>
        <v>0.08888888889</v>
      </c>
      <c r="H13" s="183"/>
      <c r="I13" s="192"/>
      <c r="J13" s="172"/>
      <c r="K13" s="172"/>
      <c r="L13" s="172"/>
      <c r="M13" s="172"/>
      <c r="N13" s="172"/>
      <c r="O13" s="172"/>
      <c r="P13" s="172"/>
      <c r="Q13" s="172"/>
      <c r="R13" s="172"/>
      <c r="S13" s="172"/>
      <c r="T13" s="172"/>
      <c r="U13" s="172"/>
      <c r="V13" s="172"/>
      <c r="W13" s="172"/>
      <c r="X13" s="172"/>
      <c r="Y13" s="172"/>
      <c r="Z13" s="172"/>
    </row>
    <row r="14" ht="22.5" customHeight="1">
      <c r="A14" s="172"/>
      <c r="B14" s="182" t="s">
        <v>2917</v>
      </c>
      <c r="C14" s="192"/>
      <c r="D14" s="182">
        <v>59.0</v>
      </c>
      <c r="E14" s="182">
        <v>85.0</v>
      </c>
      <c r="F14" s="177">
        <f t="shared" si="1"/>
        <v>26</v>
      </c>
      <c r="G14" s="180">
        <f t="shared" si="2"/>
        <v>0.3058823529</v>
      </c>
      <c r="H14" s="181" t="s">
        <v>2821</v>
      </c>
      <c r="I14" s="192"/>
      <c r="J14" s="172"/>
      <c r="K14" s="172"/>
      <c r="L14" s="172"/>
      <c r="M14" s="172"/>
      <c r="N14" s="172"/>
      <c r="O14" s="172"/>
      <c r="P14" s="172"/>
      <c r="Q14" s="172"/>
      <c r="R14" s="172"/>
      <c r="S14" s="172"/>
      <c r="T14" s="172"/>
      <c r="U14" s="172"/>
      <c r="V14" s="172"/>
      <c r="W14" s="172"/>
      <c r="X14" s="172"/>
      <c r="Y14" s="172"/>
      <c r="Z14" s="172"/>
    </row>
    <row r="15" ht="22.5" customHeight="1">
      <c r="A15" s="172"/>
      <c r="B15" s="182" t="s">
        <v>2923</v>
      </c>
      <c r="C15" s="192"/>
      <c r="D15" s="182">
        <v>105.0</v>
      </c>
      <c r="E15" s="182">
        <v>150.0</v>
      </c>
      <c r="F15" s="177">
        <f t="shared" si="1"/>
        <v>45</v>
      </c>
      <c r="G15" s="180">
        <f t="shared" si="2"/>
        <v>0.3</v>
      </c>
      <c r="H15" s="181" t="s">
        <v>2821</v>
      </c>
      <c r="I15" s="192"/>
      <c r="J15" s="172"/>
      <c r="K15" s="172"/>
      <c r="L15" s="172"/>
      <c r="M15" s="172"/>
      <c r="N15" s="172"/>
      <c r="O15" s="172"/>
      <c r="P15" s="172"/>
      <c r="Q15" s="172"/>
      <c r="R15" s="172"/>
      <c r="S15" s="172"/>
      <c r="T15" s="172"/>
      <c r="U15" s="172"/>
      <c r="V15" s="172"/>
      <c r="W15" s="172"/>
      <c r="X15" s="172"/>
      <c r="Y15" s="172"/>
      <c r="Z15" s="172"/>
    </row>
    <row r="16" ht="22.5" customHeight="1">
      <c r="A16" s="172"/>
      <c r="B16" s="182" t="s">
        <v>2924</v>
      </c>
      <c r="C16" s="192"/>
      <c r="D16" s="182">
        <v>0.0</v>
      </c>
      <c r="E16" s="182">
        <v>50.0</v>
      </c>
      <c r="F16" s="177">
        <f t="shared" si="1"/>
        <v>50</v>
      </c>
      <c r="G16" s="180">
        <f t="shared" si="2"/>
        <v>1</v>
      </c>
      <c r="H16" s="181" t="s">
        <v>2821</v>
      </c>
      <c r="I16" s="192"/>
      <c r="J16" s="172"/>
      <c r="K16" s="172"/>
      <c r="L16" s="172"/>
      <c r="M16" s="172"/>
      <c r="N16" s="172"/>
      <c r="O16" s="172"/>
      <c r="P16" s="172"/>
      <c r="Q16" s="172"/>
      <c r="R16" s="172"/>
      <c r="S16" s="172"/>
      <c r="T16" s="172"/>
      <c r="U16" s="172"/>
      <c r="V16" s="172"/>
      <c r="W16" s="172"/>
      <c r="X16" s="172"/>
      <c r="Y16" s="172"/>
      <c r="Z16" s="172"/>
    </row>
    <row r="17" ht="22.5" customHeight="1">
      <c r="A17" s="172"/>
      <c r="B17" s="192"/>
      <c r="C17" s="192"/>
      <c r="D17" s="192"/>
      <c r="E17" s="192"/>
      <c r="F17" s="192"/>
      <c r="G17" s="199"/>
      <c r="H17" s="200"/>
      <c r="I17" s="192"/>
      <c r="J17" s="172"/>
      <c r="K17" s="172"/>
      <c r="L17" s="172"/>
      <c r="M17" s="172"/>
      <c r="N17" s="172"/>
      <c r="O17" s="172"/>
      <c r="P17" s="172"/>
      <c r="Q17" s="172"/>
      <c r="R17" s="172"/>
      <c r="S17" s="172"/>
      <c r="T17" s="172"/>
      <c r="U17" s="172"/>
      <c r="V17" s="172"/>
      <c r="W17" s="172"/>
      <c r="X17" s="172"/>
      <c r="Y17" s="172"/>
      <c r="Z17" s="172"/>
    </row>
    <row r="18" ht="22.5" customHeight="1">
      <c r="A18" s="172"/>
      <c r="B18" s="192"/>
      <c r="C18" s="192"/>
      <c r="D18" s="192"/>
      <c r="E18" s="192"/>
      <c r="F18" s="192"/>
      <c r="G18" s="199"/>
      <c r="H18" s="200"/>
      <c r="I18" s="192"/>
      <c r="J18" s="172"/>
      <c r="K18" s="172"/>
      <c r="L18" s="172"/>
      <c r="M18" s="172"/>
      <c r="N18" s="172"/>
      <c r="O18" s="172"/>
      <c r="P18" s="172"/>
      <c r="Q18" s="172"/>
      <c r="R18" s="172"/>
      <c r="S18" s="172"/>
      <c r="T18" s="172"/>
      <c r="U18" s="172"/>
      <c r="V18" s="172"/>
      <c r="W18" s="172"/>
      <c r="X18" s="172"/>
      <c r="Y18" s="172"/>
      <c r="Z18" s="172"/>
    </row>
    <row r="19" ht="22.5" customHeight="1">
      <c r="A19" s="172"/>
      <c r="B19" s="192"/>
      <c r="C19" s="192"/>
      <c r="D19" s="192"/>
      <c r="E19" s="192"/>
      <c r="F19" s="192"/>
      <c r="G19" s="199"/>
      <c r="H19" s="200"/>
      <c r="I19" s="192"/>
      <c r="J19" s="172"/>
      <c r="K19" s="172"/>
      <c r="L19" s="172"/>
      <c r="M19" s="172"/>
      <c r="N19" s="172"/>
      <c r="O19" s="172"/>
      <c r="P19" s="172"/>
      <c r="Q19" s="172"/>
      <c r="R19" s="172"/>
      <c r="S19" s="172"/>
      <c r="T19" s="172"/>
      <c r="U19" s="172"/>
      <c r="V19" s="172"/>
      <c r="W19" s="172"/>
      <c r="X19" s="172"/>
      <c r="Y19" s="172"/>
      <c r="Z19" s="172"/>
    </row>
    <row r="20" ht="22.5" customHeight="1">
      <c r="A20" s="172"/>
      <c r="B20" s="192"/>
      <c r="C20" s="192"/>
      <c r="D20" s="192"/>
      <c r="E20" s="192"/>
      <c r="F20" s="192"/>
      <c r="G20" s="199"/>
      <c r="H20" s="200"/>
      <c r="I20" s="192"/>
      <c r="J20" s="172"/>
      <c r="K20" s="172"/>
      <c r="L20" s="172"/>
      <c r="M20" s="172"/>
      <c r="N20" s="172"/>
      <c r="O20" s="172"/>
      <c r="P20" s="172"/>
      <c r="Q20" s="172"/>
      <c r="R20" s="172"/>
      <c r="S20" s="172"/>
      <c r="T20" s="172"/>
      <c r="U20" s="172"/>
      <c r="V20" s="172"/>
      <c r="W20" s="172"/>
      <c r="X20" s="172"/>
      <c r="Y20" s="172"/>
      <c r="Z20" s="172"/>
    </row>
    <row r="21" ht="22.5" customHeight="1">
      <c r="A21" s="172"/>
      <c r="B21" s="192"/>
      <c r="C21" s="192"/>
      <c r="D21" s="192"/>
      <c r="E21" s="192"/>
      <c r="F21" s="192"/>
      <c r="G21" s="199"/>
      <c r="H21" s="200"/>
      <c r="I21" s="192"/>
      <c r="J21" s="172"/>
      <c r="K21" s="172"/>
      <c r="L21" s="172"/>
      <c r="M21" s="172"/>
      <c r="N21" s="172"/>
      <c r="O21" s="172"/>
      <c r="P21" s="172"/>
      <c r="Q21" s="172"/>
      <c r="R21" s="172"/>
      <c r="S21" s="172"/>
      <c r="T21" s="172"/>
      <c r="U21" s="172"/>
      <c r="V21" s="172"/>
      <c r="W21" s="172"/>
      <c r="X21" s="172"/>
      <c r="Y21" s="172"/>
      <c r="Z21" s="172"/>
    </row>
    <row r="22" ht="22.5" customHeight="1">
      <c r="A22" s="172"/>
      <c r="B22" s="192"/>
      <c r="C22" s="192"/>
      <c r="D22" s="192"/>
      <c r="E22" s="192"/>
      <c r="F22" s="192"/>
      <c r="G22" s="199"/>
      <c r="H22" s="200"/>
      <c r="I22" s="192"/>
      <c r="J22" s="172"/>
      <c r="K22" s="172"/>
      <c r="L22" s="172"/>
      <c r="M22" s="172"/>
      <c r="N22" s="172"/>
      <c r="O22" s="172"/>
      <c r="P22" s="172"/>
      <c r="Q22" s="172"/>
      <c r="R22" s="172"/>
      <c r="S22" s="172"/>
      <c r="T22" s="172"/>
      <c r="U22" s="172"/>
      <c r="V22" s="172"/>
      <c r="W22" s="172"/>
      <c r="X22" s="172"/>
      <c r="Y22" s="172"/>
      <c r="Z22" s="172"/>
    </row>
    <row r="23" ht="22.5" customHeight="1">
      <c r="A23" s="172"/>
      <c r="B23" s="192"/>
      <c r="C23" s="192"/>
      <c r="D23" s="192"/>
      <c r="E23" s="192"/>
      <c r="F23" s="192"/>
      <c r="G23" s="199"/>
      <c r="H23" s="200"/>
      <c r="I23" s="192"/>
      <c r="J23" s="172"/>
      <c r="K23" s="172"/>
      <c r="L23" s="172"/>
      <c r="M23" s="172"/>
      <c r="N23" s="172"/>
      <c r="O23" s="172"/>
      <c r="P23" s="172"/>
      <c r="Q23" s="172"/>
      <c r="R23" s="172"/>
      <c r="S23" s="172"/>
      <c r="T23" s="172"/>
      <c r="U23" s="172"/>
      <c r="V23" s="172"/>
      <c r="W23" s="172"/>
      <c r="X23" s="172"/>
      <c r="Y23" s="172"/>
      <c r="Z23" s="172"/>
    </row>
    <row r="24" ht="22.5" customHeight="1">
      <c r="A24" s="172"/>
      <c r="B24" s="192"/>
      <c r="C24" s="192"/>
      <c r="D24" s="192"/>
      <c r="E24" s="192"/>
      <c r="F24" s="192"/>
      <c r="G24" s="199"/>
      <c r="H24" s="200"/>
      <c r="I24" s="192"/>
      <c r="J24" s="172"/>
      <c r="K24" s="172"/>
      <c r="L24" s="172"/>
      <c r="M24" s="172"/>
      <c r="N24" s="172"/>
      <c r="O24" s="172"/>
      <c r="P24" s="172"/>
      <c r="Q24" s="172"/>
      <c r="R24" s="172"/>
      <c r="S24" s="172"/>
      <c r="T24" s="172"/>
      <c r="U24" s="172"/>
      <c r="V24" s="172"/>
      <c r="W24" s="172"/>
      <c r="X24" s="172"/>
      <c r="Y24" s="172"/>
      <c r="Z24" s="172"/>
    </row>
    <row r="25" ht="22.5" customHeight="1">
      <c r="A25" s="172"/>
      <c r="B25" s="192"/>
      <c r="C25" s="192"/>
      <c r="D25" s="192"/>
      <c r="E25" s="192"/>
      <c r="F25" s="192"/>
      <c r="G25" s="199"/>
      <c r="H25" s="200"/>
      <c r="I25" s="192"/>
      <c r="J25" s="172"/>
      <c r="K25" s="172"/>
      <c r="L25" s="172"/>
      <c r="M25" s="172"/>
      <c r="N25" s="172"/>
      <c r="O25" s="172"/>
      <c r="P25" s="172"/>
      <c r="Q25" s="172"/>
      <c r="R25" s="172"/>
      <c r="S25" s="172"/>
      <c r="T25" s="172"/>
      <c r="U25" s="172"/>
      <c r="V25" s="172"/>
      <c r="W25" s="172"/>
      <c r="X25" s="172"/>
      <c r="Y25" s="172"/>
      <c r="Z25" s="172"/>
    </row>
    <row r="26" ht="22.5" customHeight="1">
      <c r="A26" s="172"/>
      <c r="B26" s="182"/>
      <c r="C26" s="192"/>
      <c r="D26" s="192"/>
      <c r="E26" s="182"/>
      <c r="F26" s="182"/>
      <c r="G26" s="199"/>
      <c r="H26" s="200"/>
      <c r="I26" s="192"/>
      <c r="J26" s="172"/>
      <c r="K26" s="172"/>
      <c r="L26" s="172"/>
      <c r="M26" s="172"/>
      <c r="N26" s="172"/>
      <c r="O26" s="172"/>
      <c r="P26" s="172"/>
      <c r="Q26" s="172"/>
      <c r="R26" s="172"/>
      <c r="S26" s="172"/>
      <c r="T26" s="172"/>
      <c r="U26" s="172"/>
      <c r="V26" s="172"/>
      <c r="W26" s="172"/>
      <c r="X26" s="172"/>
      <c r="Y26" s="172"/>
      <c r="Z26" s="172"/>
    </row>
    <row r="27">
      <c r="A27" s="172"/>
      <c r="B27" s="172"/>
      <c r="C27" s="172"/>
      <c r="D27" s="172"/>
      <c r="E27" s="172"/>
      <c r="F27" s="172"/>
      <c r="G27" s="172"/>
      <c r="H27" s="172"/>
      <c r="I27" s="172"/>
      <c r="J27" s="172"/>
      <c r="K27" s="172"/>
      <c r="L27" s="172"/>
      <c r="M27" s="172"/>
      <c r="N27" s="172"/>
      <c r="O27" s="172"/>
      <c r="P27" s="172"/>
      <c r="Q27" s="172"/>
      <c r="R27" s="172"/>
      <c r="S27" s="172"/>
      <c r="T27" s="172"/>
      <c r="U27" s="172"/>
      <c r="V27" s="172"/>
      <c r="W27" s="172"/>
      <c r="X27" s="172"/>
      <c r="Y27" s="172"/>
      <c r="Z27" s="172"/>
    </row>
    <row r="28">
      <c r="A28" s="172"/>
      <c r="B28" s="31"/>
      <c r="C28" s="172"/>
      <c r="D28" s="172"/>
      <c r="E28" s="172"/>
      <c r="F28" s="172"/>
      <c r="G28" s="172"/>
      <c r="H28" s="172"/>
      <c r="I28" s="172"/>
      <c r="J28" s="172"/>
      <c r="K28" s="172"/>
      <c r="L28" s="172"/>
      <c r="M28" s="172"/>
      <c r="N28" s="172"/>
      <c r="O28" s="172"/>
      <c r="P28" s="172"/>
      <c r="Q28" s="172"/>
      <c r="R28" s="172"/>
      <c r="S28" s="172"/>
      <c r="T28" s="172"/>
      <c r="U28" s="172"/>
      <c r="V28" s="172"/>
      <c r="W28" s="172"/>
      <c r="X28" s="172"/>
      <c r="Y28" s="172"/>
      <c r="Z28" s="172"/>
    </row>
    <row r="29">
      <c r="A29" s="172"/>
      <c r="B29" s="172"/>
      <c r="C29" s="172"/>
      <c r="D29" s="172"/>
      <c r="E29" s="172"/>
      <c r="F29" s="172"/>
      <c r="G29" s="172"/>
      <c r="H29" s="172"/>
      <c r="I29" s="172"/>
      <c r="J29" s="172"/>
      <c r="K29" s="172"/>
      <c r="L29" s="172"/>
      <c r="M29" s="172"/>
      <c r="N29" s="172"/>
      <c r="O29" s="172"/>
      <c r="P29" s="172"/>
      <c r="Q29" s="172"/>
      <c r="R29" s="172"/>
      <c r="S29" s="172"/>
      <c r="T29" s="172"/>
      <c r="U29" s="172"/>
      <c r="V29" s="172"/>
      <c r="W29" s="172"/>
      <c r="X29" s="172"/>
      <c r="Y29" s="172"/>
      <c r="Z29" s="172"/>
    </row>
    <row r="30">
      <c r="A30" s="172"/>
      <c r="B30" s="172"/>
      <c r="C30" s="172"/>
      <c r="D30" s="172"/>
      <c r="E30" s="172"/>
      <c r="F30" s="172"/>
      <c r="G30" s="172"/>
      <c r="H30" s="172"/>
      <c r="I30" s="172"/>
      <c r="J30" s="172"/>
      <c r="K30" s="172"/>
      <c r="L30" s="172"/>
      <c r="M30" s="172"/>
      <c r="N30" s="172"/>
      <c r="O30" s="172"/>
      <c r="P30" s="172"/>
      <c r="Q30" s="172"/>
      <c r="R30" s="172"/>
      <c r="S30" s="172"/>
      <c r="T30" s="172"/>
      <c r="U30" s="172"/>
      <c r="V30" s="172"/>
      <c r="W30" s="172"/>
      <c r="X30" s="172"/>
      <c r="Y30" s="172"/>
      <c r="Z30" s="172"/>
    </row>
    <row r="31">
      <c r="A31" s="172"/>
      <c r="B31" s="172"/>
      <c r="C31" s="172"/>
      <c r="D31" s="172"/>
      <c r="E31" s="172"/>
      <c r="F31" s="172"/>
      <c r="G31" s="172"/>
      <c r="H31" s="172"/>
      <c r="I31" s="172"/>
      <c r="J31" s="172"/>
      <c r="K31" s="172"/>
      <c r="L31" s="172"/>
      <c r="M31" s="172"/>
      <c r="N31" s="172"/>
      <c r="O31" s="172"/>
      <c r="P31" s="172"/>
      <c r="Q31" s="172"/>
      <c r="R31" s="172"/>
      <c r="S31" s="172"/>
      <c r="T31" s="172"/>
      <c r="U31" s="172"/>
      <c r="V31" s="172"/>
      <c r="W31" s="172"/>
      <c r="X31" s="172"/>
      <c r="Y31" s="172"/>
      <c r="Z31" s="172"/>
    </row>
    <row r="32">
      <c r="A32" s="172"/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Z32" s="172"/>
    </row>
    <row r="33">
      <c r="A33" s="172"/>
      <c r="B33" s="172"/>
      <c r="C33" s="172"/>
      <c r="D33" s="172"/>
      <c r="E33" s="172"/>
      <c r="F33" s="172"/>
      <c r="G33" s="172"/>
      <c r="H33" s="172"/>
      <c r="I33" s="172"/>
      <c r="J33" s="172"/>
      <c r="K33" s="172"/>
      <c r="L33" s="172"/>
      <c r="M33" s="172"/>
      <c r="N33" s="172"/>
      <c r="O33" s="172"/>
      <c r="P33" s="172"/>
      <c r="Q33" s="172"/>
      <c r="R33" s="172"/>
      <c r="S33" s="172"/>
      <c r="T33" s="172"/>
      <c r="U33" s="172"/>
      <c r="V33" s="172"/>
      <c r="W33" s="172"/>
      <c r="X33" s="172"/>
      <c r="Y33" s="172"/>
      <c r="Z33" s="172"/>
    </row>
    <row r="34">
      <c r="A34" s="172"/>
      <c r="B34" s="172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Z34" s="172"/>
    </row>
    <row r="35">
      <c r="A35" s="172"/>
      <c r="B35" s="172"/>
      <c r="C35" s="172"/>
      <c r="D35" s="172"/>
      <c r="E35" s="172"/>
      <c r="F35" s="172"/>
      <c r="G35" s="172"/>
      <c r="H35" s="172"/>
      <c r="I35" s="172"/>
      <c r="J35" s="172"/>
      <c r="K35" s="172"/>
      <c r="L35" s="172"/>
      <c r="M35" s="172"/>
      <c r="N35" s="172"/>
      <c r="O35" s="172"/>
      <c r="P35" s="172"/>
      <c r="Q35" s="172"/>
      <c r="R35" s="172"/>
      <c r="S35" s="172"/>
      <c r="T35" s="172"/>
      <c r="U35" s="172"/>
      <c r="V35" s="172"/>
      <c r="W35" s="172"/>
      <c r="X35" s="172"/>
      <c r="Y35" s="172"/>
      <c r="Z35" s="172"/>
    </row>
    <row r="36">
      <c r="A36" s="172"/>
      <c r="B36" s="172"/>
      <c r="C36" s="172"/>
      <c r="D36" s="172"/>
      <c r="E36" s="172"/>
      <c r="F36" s="172"/>
      <c r="G36" s="172"/>
      <c r="H36" s="172"/>
      <c r="I36" s="172"/>
      <c r="J36" s="172"/>
      <c r="K36" s="172"/>
      <c r="L36" s="172"/>
      <c r="M36" s="172"/>
      <c r="N36" s="172"/>
      <c r="O36" s="172"/>
      <c r="P36" s="172"/>
      <c r="Q36" s="172"/>
      <c r="R36" s="172"/>
      <c r="S36" s="172"/>
      <c r="T36" s="172"/>
      <c r="U36" s="172"/>
      <c r="V36" s="172"/>
      <c r="W36" s="172"/>
      <c r="X36" s="172"/>
      <c r="Y36" s="172"/>
      <c r="Z36" s="172"/>
    </row>
    <row r="37">
      <c r="A37" s="172"/>
      <c r="B37" s="172"/>
      <c r="C37" s="172"/>
      <c r="D37" s="172"/>
      <c r="E37" s="172"/>
      <c r="F37" s="172"/>
      <c r="G37" s="172"/>
      <c r="H37" s="172"/>
      <c r="I37" s="172"/>
      <c r="J37" s="172"/>
      <c r="K37" s="172"/>
      <c r="L37" s="172"/>
      <c r="M37" s="172"/>
      <c r="N37" s="172"/>
      <c r="O37" s="172"/>
      <c r="P37" s="172"/>
      <c r="Q37" s="172"/>
      <c r="R37" s="172"/>
      <c r="S37" s="172"/>
      <c r="T37" s="172"/>
      <c r="U37" s="172"/>
      <c r="V37" s="172"/>
      <c r="W37" s="172"/>
      <c r="X37" s="172"/>
      <c r="Y37" s="172"/>
      <c r="Z37" s="172"/>
    </row>
    <row r="38">
      <c r="A38" s="172"/>
      <c r="B38" s="172"/>
      <c r="C38" s="172"/>
      <c r="D38" s="172"/>
      <c r="E38" s="172"/>
      <c r="F38" s="172"/>
      <c r="G38" s="172"/>
      <c r="H38" s="172"/>
      <c r="I38" s="172"/>
      <c r="J38" s="172"/>
      <c r="K38" s="172"/>
      <c r="L38" s="172"/>
      <c r="M38" s="172"/>
      <c r="N38" s="172"/>
      <c r="O38" s="172"/>
      <c r="P38" s="172"/>
      <c r="Q38" s="172"/>
      <c r="R38" s="172"/>
      <c r="S38" s="172"/>
      <c r="T38" s="172"/>
      <c r="U38" s="172"/>
      <c r="V38" s="172"/>
      <c r="W38" s="172"/>
      <c r="X38" s="172"/>
      <c r="Y38" s="172"/>
      <c r="Z38" s="172"/>
    </row>
    <row r="39">
      <c r="A39" s="172"/>
      <c r="B39" s="172"/>
      <c r="C39" s="172"/>
      <c r="D39" s="172"/>
      <c r="E39" s="172"/>
      <c r="F39" s="172"/>
      <c r="G39" s="172"/>
      <c r="H39" s="172"/>
      <c r="I39" s="172"/>
      <c r="J39" s="172"/>
      <c r="K39" s="172"/>
      <c r="L39" s="172"/>
      <c r="M39" s="172"/>
      <c r="N39" s="172"/>
      <c r="O39" s="172"/>
      <c r="P39" s="172"/>
      <c r="Q39" s="172"/>
      <c r="R39" s="172"/>
      <c r="S39" s="172"/>
      <c r="T39" s="172"/>
      <c r="U39" s="172"/>
      <c r="V39" s="172"/>
      <c r="W39" s="172"/>
      <c r="X39" s="172"/>
      <c r="Y39" s="172"/>
      <c r="Z39" s="172"/>
    </row>
    <row r="40">
      <c r="A40" s="172"/>
      <c r="B40" s="172"/>
      <c r="C40" s="172"/>
      <c r="D40" s="172"/>
      <c r="E40" s="172"/>
      <c r="F40" s="172"/>
      <c r="G40" s="172"/>
      <c r="H40" s="172"/>
      <c r="I40" s="172"/>
      <c r="J40" s="172"/>
      <c r="K40" s="172"/>
      <c r="L40" s="172"/>
      <c r="M40" s="172"/>
      <c r="N40" s="172"/>
      <c r="O40" s="172"/>
      <c r="P40" s="172"/>
      <c r="Q40" s="172"/>
      <c r="R40" s="172"/>
      <c r="S40" s="172"/>
      <c r="T40" s="172"/>
      <c r="U40" s="172"/>
      <c r="V40" s="172"/>
      <c r="W40" s="172"/>
      <c r="X40" s="172"/>
      <c r="Y40" s="172"/>
      <c r="Z40" s="172"/>
    </row>
    <row r="41">
      <c r="A41" s="172"/>
      <c r="B41" s="172"/>
      <c r="C41" s="172"/>
      <c r="D41" s="172"/>
      <c r="E41" s="172"/>
      <c r="F41" s="172"/>
      <c r="G41" s="172"/>
      <c r="H41" s="172"/>
      <c r="I41" s="172"/>
      <c r="J41" s="172"/>
      <c r="K41" s="172"/>
      <c r="L41" s="172"/>
      <c r="M41" s="172"/>
      <c r="N41" s="172"/>
      <c r="O41" s="172"/>
      <c r="P41" s="172"/>
      <c r="Q41" s="172"/>
      <c r="R41" s="172"/>
      <c r="S41" s="172"/>
      <c r="T41" s="172"/>
      <c r="U41" s="172"/>
      <c r="V41" s="172"/>
      <c r="W41" s="172"/>
      <c r="X41" s="172"/>
      <c r="Y41" s="172"/>
      <c r="Z41" s="172"/>
    </row>
    <row r="42">
      <c r="A42" s="172"/>
      <c r="B42" s="172"/>
      <c r="C42" s="172"/>
      <c r="D42" s="172"/>
      <c r="E42" s="172"/>
      <c r="F42" s="172"/>
      <c r="G42" s="172"/>
      <c r="H42" s="172"/>
      <c r="I42" s="172"/>
      <c r="J42" s="172"/>
      <c r="K42" s="172"/>
      <c r="L42" s="172"/>
      <c r="M42" s="172"/>
      <c r="N42" s="172"/>
      <c r="O42" s="172"/>
      <c r="P42" s="172"/>
      <c r="Q42" s="172"/>
      <c r="R42" s="172"/>
      <c r="S42" s="172"/>
      <c r="T42" s="172"/>
      <c r="U42" s="172"/>
      <c r="V42" s="172"/>
      <c r="W42" s="172"/>
      <c r="X42" s="172"/>
      <c r="Y42" s="172"/>
      <c r="Z42" s="172"/>
    </row>
    <row r="43">
      <c r="A43" s="172"/>
      <c r="B43" s="172"/>
      <c r="C43" s="172"/>
      <c r="D43" s="172"/>
      <c r="E43" s="172"/>
      <c r="F43" s="172"/>
      <c r="G43" s="172"/>
      <c r="H43" s="172"/>
      <c r="I43" s="172"/>
      <c r="J43" s="172"/>
      <c r="K43" s="172"/>
      <c r="L43" s="172"/>
      <c r="M43" s="172"/>
      <c r="N43" s="172"/>
      <c r="O43" s="172"/>
      <c r="P43" s="172"/>
      <c r="Q43" s="172"/>
      <c r="R43" s="172"/>
      <c r="S43" s="172"/>
      <c r="T43" s="172"/>
      <c r="U43" s="172"/>
      <c r="V43" s="172"/>
      <c r="W43" s="172"/>
      <c r="X43" s="172"/>
      <c r="Y43" s="172"/>
      <c r="Z43" s="172"/>
    </row>
    <row r="44">
      <c r="A44" s="172"/>
      <c r="B44" s="172"/>
      <c r="C44" s="172"/>
      <c r="D44" s="172"/>
      <c r="E44" s="172"/>
      <c r="F44" s="172"/>
      <c r="G44" s="172"/>
      <c r="H44" s="172"/>
      <c r="I44" s="172"/>
      <c r="J44" s="172"/>
      <c r="K44" s="172"/>
      <c r="L44" s="172"/>
      <c r="M44" s="172"/>
      <c r="N44" s="172"/>
      <c r="O44" s="172"/>
      <c r="P44" s="172"/>
      <c r="Q44" s="172"/>
      <c r="R44" s="172"/>
      <c r="S44" s="172"/>
      <c r="T44" s="172"/>
      <c r="U44" s="172"/>
      <c r="V44" s="172"/>
      <c r="W44" s="172"/>
      <c r="X44" s="172"/>
      <c r="Y44" s="172"/>
      <c r="Z44" s="172"/>
    </row>
    <row r="45">
      <c r="A45" s="172"/>
      <c r="B45" s="172"/>
      <c r="C45" s="172"/>
      <c r="D45" s="172"/>
      <c r="E45" s="172"/>
      <c r="F45" s="172"/>
      <c r="G45" s="172"/>
      <c r="H45" s="172"/>
      <c r="I45" s="172"/>
      <c r="J45" s="172"/>
      <c r="K45" s="172"/>
      <c r="L45" s="172"/>
      <c r="M45" s="172"/>
      <c r="N45" s="172"/>
      <c r="O45" s="172"/>
      <c r="P45" s="172"/>
      <c r="Q45" s="172"/>
      <c r="R45" s="172"/>
      <c r="S45" s="172"/>
      <c r="T45" s="172"/>
      <c r="U45" s="172"/>
      <c r="V45" s="172"/>
      <c r="W45" s="172"/>
      <c r="X45" s="172"/>
      <c r="Y45" s="172"/>
      <c r="Z45" s="172"/>
    </row>
    <row r="46">
      <c r="A46" s="172"/>
      <c r="B46" s="172"/>
      <c r="C46" s="172"/>
      <c r="D46" s="172"/>
      <c r="E46" s="172"/>
      <c r="F46" s="172"/>
      <c r="G46" s="172"/>
      <c r="H46" s="172"/>
      <c r="I46" s="172"/>
      <c r="J46" s="172"/>
      <c r="K46" s="172"/>
      <c r="L46" s="172"/>
      <c r="M46" s="172"/>
      <c r="N46" s="172"/>
      <c r="O46" s="172"/>
      <c r="P46" s="172"/>
      <c r="Q46" s="172"/>
      <c r="R46" s="172"/>
      <c r="S46" s="172"/>
      <c r="T46" s="172"/>
      <c r="U46" s="172"/>
      <c r="V46" s="172"/>
      <c r="W46" s="172"/>
      <c r="X46" s="172"/>
      <c r="Y46" s="172"/>
      <c r="Z46" s="172"/>
    </row>
    <row r="47">
      <c r="A47" s="172"/>
      <c r="B47" s="172"/>
      <c r="C47" s="172"/>
      <c r="D47" s="172"/>
      <c r="E47" s="172"/>
      <c r="F47" s="172"/>
      <c r="G47" s="172"/>
      <c r="H47" s="172"/>
      <c r="I47" s="172"/>
      <c r="J47" s="172"/>
      <c r="K47" s="172"/>
      <c r="L47" s="172"/>
      <c r="M47" s="172"/>
      <c r="N47" s="172"/>
      <c r="O47" s="172"/>
      <c r="P47" s="172"/>
      <c r="Q47" s="172"/>
      <c r="R47" s="172"/>
      <c r="S47" s="172"/>
      <c r="T47" s="172"/>
      <c r="U47" s="172"/>
      <c r="V47" s="172"/>
      <c r="W47" s="172"/>
      <c r="X47" s="172"/>
      <c r="Y47" s="172"/>
      <c r="Z47" s="172"/>
    </row>
    <row r="48">
      <c r="A48" s="172"/>
      <c r="B48" s="172"/>
      <c r="C48" s="172"/>
      <c r="D48" s="172"/>
      <c r="E48" s="172"/>
      <c r="F48" s="172"/>
      <c r="G48" s="172"/>
      <c r="H48" s="172"/>
      <c r="I48" s="172"/>
      <c r="J48" s="172"/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V48" s="172"/>
      <c r="W48" s="172"/>
      <c r="X48" s="172"/>
      <c r="Y48" s="172"/>
      <c r="Z48" s="172"/>
    </row>
    <row r="49">
      <c r="A49" s="172"/>
      <c r="B49" s="172"/>
      <c r="C49" s="172"/>
      <c r="D49" s="172"/>
      <c r="E49" s="172"/>
      <c r="F49" s="172"/>
      <c r="G49" s="172"/>
      <c r="H49" s="172"/>
      <c r="I49" s="172"/>
      <c r="J49" s="172"/>
      <c r="K49" s="172"/>
      <c r="L49" s="172"/>
      <c r="M49" s="172"/>
      <c r="N49" s="172"/>
      <c r="O49" s="172"/>
      <c r="P49" s="172"/>
      <c r="Q49" s="172"/>
      <c r="R49" s="172"/>
      <c r="S49" s="172"/>
      <c r="T49" s="172"/>
      <c r="U49" s="172"/>
      <c r="V49" s="172"/>
      <c r="W49" s="172"/>
      <c r="X49" s="172"/>
      <c r="Y49" s="172"/>
      <c r="Z49" s="172"/>
    </row>
    <row r="50">
      <c r="A50" s="172"/>
      <c r="B50" s="172"/>
      <c r="C50" s="172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Z50" s="172"/>
    </row>
    <row r="51">
      <c r="A51" s="172"/>
      <c r="B51" s="172"/>
      <c r="C51" s="172"/>
      <c r="D51" s="172"/>
      <c r="E51" s="172"/>
      <c r="F51" s="172"/>
      <c r="G51" s="172"/>
      <c r="H51" s="172"/>
      <c r="I51" s="172"/>
      <c r="J51" s="172"/>
      <c r="K51" s="172"/>
      <c r="L51" s="172"/>
      <c r="M51" s="172"/>
      <c r="N51" s="172"/>
      <c r="O51" s="172"/>
      <c r="P51" s="172"/>
      <c r="Q51" s="172"/>
      <c r="R51" s="172"/>
      <c r="S51" s="172"/>
      <c r="T51" s="172"/>
      <c r="U51" s="172"/>
      <c r="V51" s="172"/>
      <c r="W51" s="172"/>
      <c r="X51" s="172"/>
      <c r="Y51" s="172"/>
      <c r="Z51" s="172"/>
    </row>
    <row r="52">
      <c r="A52" s="172"/>
      <c r="B52" s="172"/>
      <c r="C52" s="172"/>
      <c r="D52" s="172"/>
      <c r="E52" s="172"/>
      <c r="F52" s="172"/>
      <c r="G52" s="172"/>
      <c r="H52" s="172"/>
      <c r="I52" s="172"/>
      <c r="J52" s="172"/>
      <c r="K52" s="172"/>
      <c r="L52" s="172"/>
      <c r="M52" s="172"/>
      <c r="N52" s="172"/>
      <c r="O52" s="172"/>
      <c r="P52" s="172"/>
      <c r="Q52" s="172"/>
      <c r="R52" s="172"/>
      <c r="S52" s="172"/>
      <c r="T52" s="172"/>
      <c r="U52" s="172"/>
      <c r="V52" s="172"/>
      <c r="W52" s="172"/>
      <c r="X52" s="172"/>
      <c r="Y52" s="172"/>
      <c r="Z52" s="172"/>
    </row>
    <row r="53">
      <c r="A53" s="172"/>
      <c r="B53" s="172"/>
      <c r="C53" s="172"/>
      <c r="D53" s="172"/>
      <c r="E53" s="172"/>
      <c r="F53" s="172"/>
      <c r="G53" s="172"/>
      <c r="H53" s="172"/>
      <c r="I53" s="172"/>
      <c r="J53" s="172"/>
      <c r="K53" s="172"/>
      <c r="L53" s="172"/>
      <c r="M53" s="172"/>
      <c r="N53" s="172"/>
      <c r="O53" s="172"/>
      <c r="P53" s="172"/>
      <c r="Q53" s="172"/>
      <c r="R53" s="172"/>
      <c r="S53" s="172"/>
      <c r="T53" s="172"/>
      <c r="U53" s="172"/>
      <c r="V53" s="172"/>
      <c r="W53" s="172"/>
      <c r="X53" s="172"/>
      <c r="Y53" s="172"/>
      <c r="Z53" s="172"/>
    </row>
    <row r="54">
      <c r="A54" s="172"/>
      <c r="B54" s="172"/>
      <c r="C54" s="172"/>
      <c r="D54" s="172"/>
      <c r="E54" s="172"/>
      <c r="F54" s="172"/>
      <c r="G54" s="172"/>
      <c r="H54" s="172"/>
      <c r="I54" s="172"/>
      <c r="J54" s="172"/>
      <c r="K54" s="172"/>
      <c r="L54" s="172"/>
      <c r="M54" s="172"/>
      <c r="N54" s="172"/>
      <c r="O54" s="172"/>
      <c r="P54" s="172"/>
      <c r="Q54" s="172"/>
      <c r="R54" s="172"/>
      <c r="S54" s="172"/>
      <c r="T54" s="172"/>
      <c r="U54" s="172"/>
      <c r="V54" s="172"/>
      <c r="W54" s="172"/>
      <c r="X54" s="172"/>
      <c r="Y54" s="172"/>
      <c r="Z54" s="172"/>
    </row>
    <row r="55">
      <c r="A55" s="172"/>
      <c r="B55" s="172"/>
      <c r="C55" s="172"/>
      <c r="D55" s="172"/>
      <c r="E55" s="172"/>
      <c r="F55" s="172"/>
      <c r="G55" s="172"/>
      <c r="H55" s="172"/>
      <c r="I55" s="172"/>
      <c r="J55" s="172"/>
      <c r="K55" s="172"/>
      <c r="L55" s="172"/>
      <c r="M55" s="172"/>
      <c r="N55" s="172"/>
      <c r="O55" s="172"/>
      <c r="P55" s="172"/>
      <c r="Q55" s="172"/>
      <c r="R55" s="172"/>
      <c r="S55" s="172"/>
      <c r="T55" s="172"/>
      <c r="U55" s="172"/>
      <c r="V55" s="172"/>
      <c r="W55" s="172"/>
      <c r="X55" s="172"/>
      <c r="Y55" s="172"/>
      <c r="Z55" s="172"/>
    </row>
    <row r="56">
      <c r="A56" s="172"/>
      <c r="B56" s="172"/>
      <c r="C56" s="172"/>
      <c r="D56" s="172"/>
      <c r="E56" s="172"/>
      <c r="F56" s="172"/>
      <c r="G56" s="172"/>
      <c r="H56" s="172"/>
      <c r="I56" s="172"/>
      <c r="J56" s="172"/>
      <c r="K56" s="172"/>
      <c r="L56" s="172"/>
      <c r="M56" s="172"/>
      <c r="N56" s="172"/>
      <c r="O56" s="172"/>
      <c r="P56" s="172"/>
      <c r="Q56" s="172"/>
      <c r="R56" s="172"/>
      <c r="S56" s="172"/>
      <c r="T56" s="172"/>
      <c r="U56" s="172"/>
      <c r="V56" s="172"/>
      <c r="W56" s="172"/>
      <c r="X56" s="172"/>
      <c r="Y56" s="172"/>
      <c r="Z56" s="172"/>
    </row>
    <row r="57">
      <c r="A57" s="172"/>
      <c r="B57" s="172"/>
      <c r="C57" s="172"/>
      <c r="D57" s="172"/>
      <c r="E57" s="172"/>
      <c r="F57" s="172"/>
      <c r="G57" s="172"/>
      <c r="H57" s="172"/>
      <c r="I57" s="172"/>
      <c r="J57" s="172"/>
      <c r="K57" s="172"/>
      <c r="L57" s="172"/>
      <c r="M57" s="172"/>
      <c r="N57" s="172"/>
      <c r="O57" s="172"/>
      <c r="P57" s="172"/>
      <c r="Q57" s="172"/>
      <c r="R57" s="172"/>
      <c r="S57" s="172"/>
      <c r="T57" s="172"/>
      <c r="U57" s="172"/>
      <c r="V57" s="172"/>
      <c r="W57" s="172"/>
      <c r="X57" s="172"/>
      <c r="Y57" s="172"/>
      <c r="Z57" s="172"/>
    </row>
    <row r="58">
      <c r="A58" s="172"/>
      <c r="B58" s="172"/>
      <c r="C58" s="172"/>
      <c r="D58" s="172"/>
      <c r="E58" s="172"/>
      <c r="F58" s="172"/>
      <c r="G58" s="172"/>
      <c r="H58" s="172"/>
      <c r="I58" s="172"/>
      <c r="J58" s="172"/>
      <c r="K58" s="172"/>
      <c r="L58" s="172"/>
      <c r="M58" s="172"/>
      <c r="N58" s="172"/>
      <c r="O58" s="172"/>
      <c r="P58" s="172"/>
      <c r="Q58" s="172"/>
      <c r="R58" s="172"/>
      <c r="S58" s="172"/>
      <c r="T58" s="172"/>
      <c r="U58" s="172"/>
      <c r="V58" s="172"/>
      <c r="W58" s="172"/>
      <c r="X58" s="172"/>
      <c r="Y58" s="172"/>
      <c r="Z58" s="172"/>
    </row>
    <row r="59">
      <c r="A59" s="172"/>
      <c r="B59" s="172"/>
      <c r="C59" s="172"/>
      <c r="D59" s="172"/>
      <c r="E59" s="172"/>
      <c r="F59" s="172"/>
      <c r="G59" s="172"/>
      <c r="H59" s="172"/>
      <c r="I59" s="172"/>
      <c r="J59" s="172"/>
      <c r="K59" s="172"/>
      <c r="L59" s="172"/>
      <c r="M59" s="172"/>
      <c r="N59" s="172"/>
      <c r="O59" s="172"/>
      <c r="P59" s="172"/>
      <c r="Q59" s="172"/>
      <c r="R59" s="172"/>
      <c r="S59" s="172"/>
      <c r="T59" s="172"/>
      <c r="U59" s="172"/>
      <c r="V59" s="172"/>
      <c r="W59" s="172"/>
      <c r="X59" s="172"/>
      <c r="Y59" s="172"/>
      <c r="Z59" s="172"/>
    </row>
    <row r="60">
      <c r="A60" s="172"/>
      <c r="B60" s="172"/>
      <c r="C60" s="172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Z60" s="172"/>
    </row>
    <row r="61">
      <c r="A61" s="172"/>
      <c r="B61" s="172"/>
      <c r="C61" s="172"/>
      <c r="D61" s="172"/>
      <c r="E61" s="172"/>
      <c r="F61" s="172"/>
      <c r="G61" s="172"/>
      <c r="H61" s="172"/>
      <c r="I61" s="172"/>
      <c r="J61" s="172"/>
      <c r="K61" s="172"/>
      <c r="L61" s="172"/>
      <c r="M61" s="172"/>
      <c r="N61" s="172"/>
      <c r="O61" s="172"/>
      <c r="P61" s="172"/>
      <c r="Q61" s="172"/>
      <c r="R61" s="172"/>
      <c r="S61" s="172"/>
      <c r="T61" s="172"/>
      <c r="U61" s="172"/>
      <c r="V61" s="172"/>
      <c r="W61" s="172"/>
      <c r="X61" s="172"/>
      <c r="Y61" s="172"/>
      <c r="Z61" s="172"/>
    </row>
    <row r="62">
      <c r="A62" s="172"/>
      <c r="B62" s="172"/>
      <c r="C62" s="172"/>
      <c r="D62" s="172"/>
      <c r="E62" s="172"/>
      <c r="F62" s="172"/>
      <c r="G62" s="172"/>
      <c r="H62" s="172"/>
      <c r="I62" s="172"/>
      <c r="J62" s="172"/>
      <c r="K62" s="172"/>
      <c r="L62" s="172"/>
      <c r="M62" s="172"/>
      <c r="N62" s="172"/>
      <c r="O62" s="172"/>
      <c r="P62" s="172"/>
      <c r="Q62" s="172"/>
      <c r="R62" s="172"/>
      <c r="S62" s="172"/>
      <c r="T62" s="172"/>
      <c r="U62" s="172"/>
      <c r="V62" s="172"/>
      <c r="W62" s="172"/>
      <c r="X62" s="172"/>
      <c r="Y62" s="172"/>
      <c r="Z62" s="172"/>
    </row>
    <row r="63">
      <c r="A63" s="172"/>
      <c r="B63" s="172"/>
      <c r="C63" s="172"/>
      <c r="D63" s="172"/>
      <c r="E63" s="172"/>
      <c r="F63" s="172"/>
      <c r="G63" s="172"/>
      <c r="H63" s="172"/>
      <c r="I63" s="172"/>
      <c r="J63" s="172"/>
      <c r="K63" s="172"/>
      <c r="L63" s="172"/>
      <c r="M63" s="172"/>
      <c r="N63" s="172"/>
      <c r="O63" s="172"/>
      <c r="P63" s="172"/>
      <c r="Q63" s="172"/>
      <c r="R63" s="172"/>
      <c r="S63" s="172"/>
      <c r="T63" s="172"/>
      <c r="U63" s="172"/>
      <c r="V63" s="172"/>
      <c r="W63" s="172"/>
      <c r="X63" s="172"/>
      <c r="Y63" s="172"/>
      <c r="Z63" s="172"/>
    </row>
    <row r="64">
      <c r="A64" s="172"/>
      <c r="B64" s="172"/>
      <c r="C64" s="172"/>
      <c r="D64" s="172"/>
      <c r="E64" s="172"/>
      <c r="F64" s="172"/>
      <c r="G64" s="172"/>
      <c r="H64" s="172"/>
      <c r="I64" s="172"/>
      <c r="J64" s="172"/>
      <c r="K64" s="172"/>
      <c r="L64" s="172"/>
      <c r="M64" s="172"/>
      <c r="N64" s="172"/>
      <c r="O64" s="172"/>
      <c r="P64" s="172"/>
      <c r="Q64" s="172"/>
      <c r="R64" s="172"/>
      <c r="S64" s="172"/>
      <c r="T64" s="172"/>
      <c r="U64" s="172"/>
      <c r="V64" s="172"/>
      <c r="W64" s="172"/>
      <c r="X64" s="172"/>
      <c r="Y64" s="172"/>
      <c r="Z64" s="172"/>
    </row>
    <row r="65">
      <c r="A65" s="172"/>
      <c r="B65" s="172"/>
      <c r="C65" s="172"/>
      <c r="D65" s="172"/>
      <c r="E65" s="172"/>
      <c r="F65" s="172"/>
      <c r="G65" s="172"/>
      <c r="H65" s="172"/>
      <c r="I65" s="172"/>
      <c r="J65" s="172"/>
      <c r="K65" s="172"/>
      <c r="L65" s="172"/>
      <c r="M65" s="172"/>
      <c r="N65" s="172"/>
      <c r="O65" s="172"/>
      <c r="P65" s="172"/>
      <c r="Q65" s="172"/>
      <c r="R65" s="172"/>
      <c r="S65" s="172"/>
      <c r="T65" s="172"/>
      <c r="U65" s="172"/>
      <c r="V65" s="172"/>
      <c r="W65" s="172"/>
      <c r="X65" s="172"/>
      <c r="Y65" s="172"/>
      <c r="Z65" s="172"/>
    </row>
    <row r="66">
      <c r="A66" s="172"/>
      <c r="B66" s="172"/>
      <c r="C66" s="172"/>
      <c r="D66" s="172"/>
      <c r="E66" s="172"/>
      <c r="F66" s="172"/>
      <c r="G66" s="172"/>
      <c r="H66" s="172"/>
      <c r="I66" s="172"/>
      <c r="J66" s="172"/>
      <c r="K66" s="172"/>
      <c r="L66" s="172"/>
      <c r="M66" s="172"/>
      <c r="N66" s="172"/>
      <c r="O66" s="172"/>
      <c r="P66" s="172"/>
      <c r="Q66" s="172"/>
      <c r="R66" s="172"/>
      <c r="S66" s="172"/>
      <c r="T66" s="172"/>
      <c r="U66" s="172"/>
      <c r="V66" s="172"/>
      <c r="W66" s="172"/>
      <c r="X66" s="172"/>
      <c r="Y66" s="172"/>
      <c r="Z66" s="172"/>
    </row>
    <row r="67">
      <c r="A67" s="172"/>
      <c r="B67" s="172"/>
      <c r="C67" s="172"/>
      <c r="D67" s="172"/>
      <c r="E67" s="172"/>
      <c r="F67" s="172"/>
      <c r="G67" s="172"/>
      <c r="H67" s="172"/>
      <c r="I67" s="172"/>
      <c r="J67" s="172"/>
      <c r="K67" s="172"/>
      <c r="L67" s="172"/>
      <c r="M67" s="172"/>
      <c r="N67" s="172"/>
      <c r="O67" s="172"/>
      <c r="P67" s="172"/>
      <c r="Q67" s="172"/>
      <c r="R67" s="172"/>
      <c r="S67" s="172"/>
      <c r="T67" s="172"/>
      <c r="U67" s="172"/>
      <c r="V67" s="172"/>
      <c r="W67" s="172"/>
      <c r="X67" s="172"/>
      <c r="Y67" s="172"/>
      <c r="Z67" s="172"/>
    </row>
    <row r="68">
      <c r="A68" s="172"/>
      <c r="B68" s="172"/>
      <c r="C68" s="172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2"/>
      <c r="Q68" s="172"/>
      <c r="R68" s="172"/>
      <c r="S68" s="172"/>
      <c r="T68" s="172"/>
      <c r="U68" s="172"/>
      <c r="V68" s="172"/>
      <c r="W68" s="172"/>
      <c r="X68" s="172"/>
      <c r="Y68" s="172"/>
      <c r="Z68" s="172"/>
    </row>
    <row r="69">
      <c r="A69" s="172"/>
      <c r="B69" s="172"/>
      <c r="C69" s="172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Z69" s="172"/>
    </row>
    <row r="70">
      <c r="A70" s="172"/>
      <c r="B70" s="172"/>
      <c r="C70" s="172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2"/>
      <c r="Q70" s="172"/>
      <c r="R70" s="172"/>
      <c r="S70" s="172"/>
      <c r="T70" s="172"/>
      <c r="U70" s="172"/>
      <c r="V70" s="172"/>
      <c r="W70" s="172"/>
      <c r="X70" s="172"/>
      <c r="Y70" s="172"/>
      <c r="Z70" s="172"/>
    </row>
    <row r="71">
      <c r="A71" s="172"/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Z71" s="172"/>
    </row>
    <row r="72">
      <c r="A72" s="172"/>
      <c r="B72" s="172"/>
      <c r="C72" s="172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2"/>
      <c r="Q72" s="172"/>
      <c r="R72" s="172"/>
      <c r="S72" s="172"/>
      <c r="T72" s="172"/>
      <c r="U72" s="172"/>
      <c r="V72" s="172"/>
      <c r="W72" s="172"/>
      <c r="X72" s="172"/>
      <c r="Y72" s="172"/>
      <c r="Z72" s="172"/>
    </row>
    <row r="73">
      <c r="A73" s="172"/>
      <c r="B73" s="172"/>
      <c r="C73" s="172"/>
      <c r="D73" s="172"/>
      <c r="E73" s="172"/>
      <c r="F73" s="172"/>
      <c r="G73" s="172"/>
      <c r="H73" s="172"/>
      <c r="I73" s="172"/>
      <c r="J73" s="172"/>
      <c r="K73" s="172"/>
      <c r="L73" s="172"/>
      <c r="M73" s="172"/>
      <c r="N73" s="172"/>
      <c r="O73" s="172"/>
      <c r="P73" s="172"/>
      <c r="Q73" s="172"/>
      <c r="R73" s="172"/>
      <c r="S73" s="172"/>
      <c r="T73" s="172"/>
      <c r="U73" s="172"/>
      <c r="V73" s="172"/>
      <c r="W73" s="172"/>
      <c r="X73" s="172"/>
      <c r="Y73" s="172"/>
      <c r="Z73" s="172"/>
    </row>
    <row r="74">
      <c r="A74" s="172"/>
      <c r="B74" s="172"/>
      <c r="C74" s="172"/>
      <c r="D74" s="172"/>
      <c r="E74" s="172"/>
      <c r="F74" s="172"/>
      <c r="G74" s="172"/>
      <c r="H74" s="172"/>
      <c r="I74" s="172"/>
      <c r="J74" s="172"/>
      <c r="K74" s="172"/>
      <c r="L74" s="172"/>
      <c r="M74" s="172"/>
      <c r="N74" s="172"/>
      <c r="O74" s="172"/>
      <c r="P74" s="172"/>
      <c r="Q74" s="172"/>
      <c r="R74" s="172"/>
      <c r="S74" s="172"/>
      <c r="T74" s="172"/>
      <c r="U74" s="172"/>
      <c r="V74" s="172"/>
      <c r="W74" s="172"/>
      <c r="X74" s="172"/>
      <c r="Y74" s="172"/>
      <c r="Z74" s="172"/>
    </row>
    <row r="75">
      <c r="A75" s="172"/>
      <c r="B75" s="172"/>
      <c r="C75" s="172"/>
      <c r="D75" s="172"/>
      <c r="E75" s="172"/>
      <c r="F75" s="172"/>
      <c r="G75" s="172"/>
      <c r="H75" s="172"/>
      <c r="I75" s="172"/>
      <c r="J75" s="172"/>
      <c r="K75" s="172"/>
      <c r="L75" s="172"/>
      <c r="M75" s="172"/>
      <c r="N75" s="172"/>
      <c r="O75" s="172"/>
      <c r="P75" s="172"/>
      <c r="Q75" s="172"/>
      <c r="R75" s="172"/>
      <c r="S75" s="172"/>
      <c r="T75" s="172"/>
      <c r="U75" s="172"/>
      <c r="V75" s="172"/>
      <c r="W75" s="172"/>
      <c r="X75" s="172"/>
      <c r="Y75" s="172"/>
      <c r="Z75" s="172"/>
    </row>
    <row r="76">
      <c r="A76" s="172"/>
      <c r="B76" s="172"/>
      <c r="C76" s="172"/>
      <c r="D76" s="172"/>
      <c r="E76" s="172"/>
      <c r="F76" s="172"/>
      <c r="G76" s="172"/>
      <c r="H76" s="172"/>
      <c r="I76" s="172"/>
      <c r="J76" s="172"/>
      <c r="K76" s="172"/>
      <c r="L76" s="172"/>
      <c r="M76" s="172"/>
      <c r="N76" s="172"/>
      <c r="O76" s="172"/>
      <c r="P76" s="172"/>
      <c r="Q76" s="172"/>
      <c r="R76" s="172"/>
      <c r="S76" s="172"/>
      <c r="T76" s="172"/>
      <c r="U76" s="172"/>
      <c r="V76" s="172"/>
      <c r="W76" s="172"/>
      <c r="X76" s="172"/>
      <c r="Y76" s="172"/>
      <c r="Z76" s="172"/>
    </row>
    <row r="77">
      <c r="A77" s="172"/>
      <c r="B77" s="172"/>
      <c r="C77" s="172"/>
      <c r="D77" s="172"/>
      <c r="E77" s="172"/>
      <c r="F77" s="172"/>
      <c r="G77" s="172"/>
      <c r="H77" s="172"/>
      <c r="I77" s="172"/>
      <c r="J77" s="172"/>
      <c r="K77" s="172"/>
      <c r="L77" s="172"/>
      <c r="M77" s="172"/>
      <c r="N77" s="172"/>
      <c r="O77" s="172"/>
      <c r="P77" s="172"/>
      <c r="Q77" s="172"/>
      <c r="R77" s="172"/>
      <c r="S77" s="172"/>
      <c r="T77" s="172"/>
      <c r="U77" s="172"/>
      <c r="V77" s="172"/>
      <c r="W77" s="172"/>
      <c r="X77" s="172"/>
      <c r="Y77" s="172"/>
      <c r="Z77" s="172"/>
    </row>
    <row r="78">
      <c r="A78" s="172"/>
      <c r="B78" s="172"/>
      <c r="C78" s="172"/>
      <c r="D78" s="172"/>
      <c r="E78" s="172"/>
      <c r="F78" s="172"/>
      <c r="G78" s="172"/>
      <c r="H78" s="172"/>
      <c r="I78" s="172"/>
      <c r="J78" s="172"/>
      <c r="K78" s="172"/>
      <c r="L78" s="172"/>
      <c r="M78" s="172"/>
      <c r="N78" s="172"/>
      <c r="O78" s="172"/>
      <c r="P78" s="172"/>
      <c r="Q78" s="172"/>
      <c r="R78" s="172"/>
      <c r="S78" s="172"/>
      <c r="T78" s="172"/>
      <c r="U78" s="172"/>
      <c r="V78" s="172"/>
      <c r="W78" s="172"/>
      <c r="X78" s="172"/>
      <c r="Y78" s="172"/>
      <c r="Z78" s="172"/>
    </row>
    <row r="79">
      <c r="A79" s="172"/>
      <c r="B79" s="172"/>
      <c r="C79" s="172"/>
      <c r="D79" s="172"/>
      <c r="E79" s="172"/>
      <c r="F79" s="172"/>
      <c r="G79" s="172"/>
      <c r="H79" s="172"/>
      <c r="I79" s="172"/>
      <c r="J79" s="172"/>
      <c r="K79" s="172"/>
      <c r="L79" s="172"/>
      <c r="M79" s="172"/>
      <c r="N79" s="172"/>
      <c r="O79" s="172"/>
      <c r="P79" s="172"/>
      <c r="Q79" s="172"/>
      <c r="R79" s="172"/>
      <c r="S79" s="172"/>
      <c r="T79" s="172"/>
      <c r="U79" s="172"/>
      <c r="V79" s="172"/>
      <c r="W79" s="172"/>
      <c r="X79" s="172"/>
      <c r="Y79" s="172"/>
      <c r="Z79" s="172"/>
    </row>
    <row r="80">
      <c r="A80" s="172"/>
      <c r="B80" s="172"/>
      <c r="C80" s="172"/>
      <c r="D80" s="172"/>
      <c r="E80" s="172"/>
      <c r="F80" s="172"/>
      <c r="G80" s="172"/>
      <c r="H80" s="172"/>
      <c r="I80" s="172"/>
      <c r="J80" s="172"/>
      <c r="K80" s="172"/>
      <c r="L80" s="172"/>
      <c r="M80" s="172"/>
      <c r="N80" s="172"/>
      <c r="O80" s="172"/>
      <c r="P80" s="172"/>
      <c r="Q80" s="172"/>
      <c r="R80" s="172"/>
      <c r="S80" s="172"/>
      <c r="T80" s="172"/>
      <c r="U80" s="172"/>
      <c r="V80" s="172"/>
      <c r="W80" s="172"/>
      <c r="X80" s="172"/>
      <c r="Y80" s="172"/>
      <c r="Z80" s="172"/>
    </row>
    <row r="81">
      <c r="A81" s="172"/>
      <c r="B81" s="172"/>
      <c r="C81" s="172"/>
      <c r="D81" s="172"/>
      <c r="E81" s="172"/>
      <c r="F81" s="172"/>
      <c r="G81" s="172"/>
      <c r="H81" s="172"/>
      <c r="I81" s="172"/>
      <c r="J81" s="172"/>
      <c r="K81" s="172"/>
      <c r="L81" s="172"/>
      <c r="M81" s="172"/>
      <c r="N81" s="172"/>
      <c r="O81" s="172"/>
      <c r="P81" s="172"/>
      <c r="Q81" s="172"/>
      <c r="R81" s="172"/>
      <c r="S81" s="172"/>
      <c r="T81" s="172"/>
      <c r="U81" s="172"/>
      <c r="V81" s="172"/>
      <c r="W81" s="172"/>
      <c r="X81" s="172"/>
      <c r="Y81" s="172"/>
      <c r="Z81" s="172"/>
    </row>
    <row r="82">
      <c r="A82" s="172"/>
      <c r="B82" s="172"/>
      <c r="C82" s="172"/>
      <c r="D82" s="172"/>
      <c r="E82" s="172"/>
      <c r="F82" s="172"/>
      <c r="G82" s="172"/>
      <c r="H82" s="172"/>
      <c r="I82" s="172"/>
      <c r="J82" s="172"/>
      <c r="K82" s="172"/>
      <c r="L82" s="172"/>
      <c r="M82" s="172"/>
      <c r="N82" s="172"/>
      <c r="O82" s="172"/>
      <c r="P82" s="172"/>
      <c r="Q82" s="172"/>
      <c r="R82" s="172"/>
      <c r="S82" s="172"/>
      <c r="T82" s="172"/>
      <c r="U82" s="172"/>
      <c r="V82" s="172"/>
      <c r="W82" s="172"/>
      <c r="X82" s="172"/>
      <c r="Y82" s="172"/>
      <c r="Z82" s="172"/>
    </row>
    <row r="83">
      <c r="A83" s="172"/>
      <c r="B83" s="172"/>
      <c r="C83" s="172"/>
      <c r="D83" s="172"/>
      <c r="E83" s="172"/>
      <c r="F83" s="172"/>
      <c r="G83" s="172"/>
      <c r="H83" s="172"/>
      <c r="I83" s="172"/>
      <c r="J83" s="172"/>
      <c r="K83" s="172"/>
      <c r="L83" s="172"/>
      <c r="M83" s="172"/>
      <c r="N83" s="172"/>
      <c r="O83" s="172"/>
      <c r="P83" s="172"/>
      <c r="Q83" s="172"/>
      <c r="R83" s="172"/>
      <c r="S83" s="172"/>
      <c r="T83" s="172"/>
      <c r="U83" s="172"/>
      <c r="V83" s="172"/>
      <c r="W83" s="172"/>
      <c r="X83" s="172"/>
      <c r="Y83" s="172"/>
      <c r="Z83" s="172"/>
    </row>
    <row r="84">
      <c r="A84" s="172"/>
      <c r="B84" s="172"/>
      <c r="C84" s="172"/>
      <c r="D84" s="172"/>
      <c r="E84" s="172"/>
      <c r="F84" s="172"/>
      <c r="G84" s="172"/>
      <c r="H84" s="172"/>
      <c r="I84" s="172"/>
      <c r="J84" s="172"/>
      <c r="K84" s="172"/>
      <c r="L84" s="172"/>
      <c r="M84" s="172"/>
      <c r="N84" s="172"/>
      <c r="O84" s="172"/>
      <c r="P84" s="172"/>
      <c r="Q84" s="172"/>
      <c r="R84" s="172"/>
      <c r="S84" s="172"/>
      <c r="T84" s="172"/>
      <c r="U84" s="172"/>
      <c r="V84" s="172"/>
      <c r="W84" s="172"/>
      <c r="X84" s="172"/>
      <c r="Y84" s="172"/>
      <c r="Z84" s="172"/>
    </row>
    <row r="85">
      <c r="A85" s="172"/>
      <c r="B85" s="172"/>
      <c r="C85" s="172"/>
      <c r="D85" s="172"/>
      <c r="E85" s="172"/>
      <c r="F85" s="172"/>
      <c r="G85" s="172"/>
      <c r="H85" s="172"/>
      <c r="I85" s="172"/>
      <c r="J85" s="172"/>
      <c r="K85" s="172"/>
      <c r="L85" s="172"/>
      <c r="M85" s="172"/>
      <c r="N85" s="172"/>
      <c r="O85" s="172"/>
      <c r="P85" s="172"/>
      <c r="Q85" s="172"/>
      <c r="R85" s="172"/>
      <c r="S85" s="172"/>
      <c r="T85" s="172"/>
      <c r="U85" s="172"/>
      <c r="V85" s="172"/>
      <c r="W85" s="172"/>
      <c r="X85" s="172"/>
      <c r="Y85" s="172"/>
      <c r="Z85" s="172"/>
    </row>
    <row r="86">
      <c r="A86" s="172"/>
      <c r="B86" s="172"/>
      <c r="C86" s="172"/>
      <c r="D86" s="172"/>
      <c r="E86" s="172"/>
      <c r="F86" s="172"/>
      <c r="G86" s="172"/>
      <c r="H86" s="172"/>
      <c r="I86" s="172"/>
      <c r="J86" s="172"/>
      <c r="K86" s="172"/>
      <c r="L86" s="172"/>
      <c r="M86" s="172"/>
      <c r="N86" s="172"/>
      <c r="O86" s="172"/>
      <c r="P86" s="172"/>
      <c r="Q86" s="172"/>
      <c r="R86" s="172"/>
      <c r="S86" s="172"/>
      <c r="T86" s="172"/>
      <c r="U86" s="172"/>
      <c r="V86" s="172"/>
      <c r="W86" s="172"/>
      <c r="X86" s="172"/>
      <c r="Y86" s="172"/>
      <c r="Z86" s="172"/>
    </row>
    <row r="87">
      <c r="A87" s="172"/>
      <c r="B87" s="172"/>
      <c r="C87" s="172"/>
      <c r="D87" s="172"/>
      <c r="E87" s="172"/>
      <c r="F87" s="172"/>
      <c r="G87" s="172"/>
      <c r="H87" s="172"/>
      <c r="I87" s="172"/>
      <c r="J87" s="172"/>
      <c r="K87" s="172"/>
      <c r="L87" s="172"/>
      <c r="M87" s="172"/>
      <c r="N87" s="172"/>
      <c r="O87" s="172"/>
      <c r="P87" s="172"/>
      <c r="Q87" s="172"/>
      <c r="R87" s="172"/>
      <c r="S87" s="172"/>
      <c r="T87" s="172"/>
      <c r="U87" s="172"/>
      <c r="V87" s="172"/>
      <c r="W87" s="172"/>
      <c r="X87" s="172"/>
      <c r="Y87" s="172"/>
      <c r="Z87" s="172"/>
    </row>
    <row r="88">
      <c r="A88" s="172"/>
      <c r="B88" s="172"/>
      <c r="C88" s="172"/>
      <c r="D88" s="172"/>
      <c r="E88" s="172"/>
      <c r="F88" s="172"/>
      <c r="G88" s="172"/>
      <c r="H88" s="172"/>
      <c r="I88" s="172"/>
      <c r="J88" s="172"/>
      <c r="K88" s="172"/>
      <c r="L88" s="172"/>
      <c r="M88" s="172"/>
      <c r="N88" s="172"/>
      <c r="O88" s="172"/>
      <c r="P88" s="172"/>
      <c r="Q88" s="172"/>
      <c r="R88" s="172"/>
      <c r="S88" s="172"/>
      <c r="T88" s="172"/>
      <c r="U88" s="172"/>
      <c r="V88" s="172"/>
      <c r="W88" s="172"/>
      <c r="X88" s="172"/>
      <c r="Y88" s="172"/>
      <c r="Z88" s="172"/>
    </row>
    <row r="89">
      <c r="A89" s="172"/>
      <c r="B89" s="172"/>
      <c r="C89" s="172"/>
      <c r="D89" s="172"/>
      <c r="E89" s="172"/>
      <c r="F89" s="172"/>
      <c r="G89" s="172"/>
      <c r="H89" s="172"/>
      <c r="I89" s="172"/>
      <c r="J89" s="172"/>
      <c r="K89" s="172"/>
      <c r="L89" s="172"/>
      <c r="M89" s="172"/>
      <c r="N89" s="172"/>
      <c r="O89" s="172"/>
      <c r="P89" s="172"/>
      <c r="Q89" s="172"/>
      <c r="R89" s="172"/>
      <c r="S89" s="172"/>
      <c r="T89" s="172"/>
      <c r="U89" s="172"/>
      <c r="V89" s="172"/>
      <c r="W89" s="172"/>
      <c r="X89" s="172"/>
      <c r="Y89" s="172"/>
      <c r="Z89" s="172"/>
    </row>
    <row r="90">
      <c r="A90" s="172"/>
      <c r="B90" s="172"/>
      <c r="C90" s="172"/>
      <c r="D90" s="172"/>
      <c r="E90" s="172"/>
      <c r="F90" s="172"/>
      <c r="G90" s="172"/>
      <c r="H90" s="172"/>
      <c r="I90" s="172"/>
      <c r="J90" s="172"/>
      <c r="K90" s="172"/>
      <c r="L90" s="172"/>
      <c r="M90" s="172"/>
      <c r="N90" s="172"/>
      <c r="O90" s="172"/>
      <c r="P90" s="172"/>
      <c r="Q90" s="172"/>
      <c r="R90" s="172"/>
      <c r="S90" s="172"/>
      <c r="T90" s="172"/>
      <c r="U90" s="172"/>
      <c r="V90" s="172"/>
      <c r="W90" s="172"/>
      <c r="X90" s="172"/>
      <c r="Y90" s="172"/>
      <c r="Z90" s="172"/>
    </row>
    <row r="91">
      <c r="A91" s="172"/>
      <c r="B91" s="172"/>
      <c r="C91" s="172"/>
      <c r="D91" s="172"/>
      <c r="E91" s="172"/>
      <c r="F91" s="172"/>
      <c r="G91" s="172"/>
      <c r="H91" s="172"/>
      <c r="I91" s="172"/>
      <c r="J91" s="172"/>
      <c r="K91" s="172"/>
      <c r="L91" s="172"/>
      <c r="M91" s="172"/>
      <c r="N91" s="172"/>
      <c r="O91" s="172"/>
      <c r="P91" s="172"/>
      <c r="Q91" s="172"/>
      <c r="R91" s="172"/>
      <c r="S91" s="172"/>
      <c r="T91" s="172"/>
      <c r="U91" s="172"/>
      <c r="V91" s="172"/>
      <c r="W91" s="172"/>
      <c r="X91" s="172"/>
      <c r="Y91" s="172"/>
      <c r="Z91" s="172"/>
    </row>
    <row r="92">
      <c r="A92" s="172"/>
      <c r="B92" s="172"/>
      <c r="C92" s="172"/>
      <c r="D92" s="172"/>
      <c r="E92" s="172"/>
      <c r="F92" s="172"/>
      <c r="G92" s="172"/>
      <c r="H92" s="172"/>
      <c r="I92" s="172"/>
      <c r="J92" s="172"/>
      <c r="K92" s="172"/>
      <c r="L92" s="172"/>
      <c r="M92" s="172"/>
      <c r="N92" s="172"/>
      <c r="O92" s="172"/>
      <c r="P92" s="172"/>
      <c r="Q92" s="172"/>
      <c r="R92" s="172"/>
      <c r="S92" s="172"/>
      <c r="T92" s="172"/>
      <c r="U92" s="172"/>
      <c r="V92" s="172"/>
      <c r="W92" s="172"/>
      <c r="X92" s="172"/>
      <c r="Y92" s="172"/>
      <c r="Z92" s="172"/>
    </row>
    <row r="93">
      <c r="A93" s="172"/>
      <c r="B93" s="172"/>
      <c r="C93" s="172"/>
      <c r="D93" s="172"/>
      <c r="E93" s="172"/>
      <c r="F93" s="172"/>
      <c r="G93" s="172"/>
      <c r="H93" s="172"/>
      <c r="I93" s="172"/>
      <c r="J93" s="172"/>
      <c r="K93" s="172"/>
      <c r="L93" s="172"/>
      <c r="M93" s="172"/>
      <c r="N93" s="172"/>
      <c r="O93" s="172"/>
      <c r="P93" s="172"/>
      <c r="Q93" s="172"/>
      <c r="R93" s="172"/>
      <c r="S93" s="172"/>
      <c r="T93" s="172"/>
      <c r="U93" s="172"/>
      <c r="V93" s="172"/>
      <c r="W93" s="172"/>
      <c r="X93" s="172"/>
      <c r="Y93" s="172"/>
      <c r="Z93" s="172"/>
    </row>
    <row r="94">
      <c r="A94" s="172"/>
      <c r="B94" s="172"/>
      <c r="C94" s="172"/>
      <c r="D94" s="172"/>
      <c r="E94" s="172"/>
      <c r="F94" s="172"/>
      <c r="G94" s="172"/>
      <c r="H94" s="172"/>
      <c r="I94" s="172"/>
      <c r="J94" s="172"/>
      <c r="K94" s="172"/>
      <c r="L94" s="172"/>
      <c r="M94" s="172"/>
      <c r="N94" s="172"/>
      <c r="O94" s="172"/>
      <c r="P94" s="172"/>
      <c r="Q94" s="172"/>
      <c r="R94" s="172"/>
      <c r="S94" s="172"/>
      <c r="T94" s="172"/>
      <c r="U94" s="172"/>
      <c r="V94" s="172"/>
      <c r="W94" s="172"/>
      <c r="X94" s="172"/>
      <c r="Y94" s="172"/>
      <c r="Z94" s="172"/>
    </row>
    <row r="95">
      <c r="A95" s="172"/>
      <c r="B95" s="172"/>
      <c r="C95" s="172"/>
      <c r="D95" s="172"/>
      <c r="E95" s="172"/>
      <c r="F95" s="172"/>
      <c r="G95" s="172"/>
      <c r="H95" s="172"/>
      <c r="I95" s="172"/>
      <c r="J95" s="172"/>
      <c r="K95" s="172"/>
      <c r="L95" s="172"/>
      <c r="M95" s="172"/>
      <c r="N95" s="172"/>
      <c r="O95" s="172"/>
      <c r="P95" s="172"/>
      <c r="Q95" s="172"/>
      <c r="R95" s="172"/>
      <c r="S95" s="172"/>
      <c r="T95" s="172"/>
      <c r="U95" s="172"/>
      <c r="V95" s="172"/>
      <c r="W95" s="172"/>
      <c r="X95" s="172"/>
      <c r="Y95" s="172"/>
      <c r="Z95" s="172"/>
    </row>
    <row r="96">
      <c r="A96" s="172"/>
      <c r="B96" s="172"/>
      <c r="C96" s="172"/>
      <c r="D96" s="172"/>
      <c r="E96" s="172"/>
      <c r="F96" s="172"/>
      <c r="G96" s="172"/>
      <c r="H96" s="172"/>
      <c r="I96" s="172"/>
      <c r="J96" s="172"/>
      <c r="K96" s="172"/>
      <c r="L96" s="172"/>
      <c r="M96" s="172"/>
      <c r="N96" s="172"/>
      <c r="O96" s="172"/>
      <c r="P96" s="172"/>
      <c r="Q96" s="172"/>
      <c r="R96" s="172"/>
      <c r="S96" s="172"/>
      <c r="T96" s="172"/>
      <c r="U96" s="172"/>
      <c r="V96" s="172"/>
      <c r="W96" s="172"/>
      <c r="X96" s="172"/>
      <c r="Y96" s="172"/>
      <c r="Z96" s="172"/>
    </row>
    <row r="97">
      <c r="A97" s="172"/>
      <c r="B97" s="172"/>
      <c r="C97" s="172"/>
      <c r="D97" s="172"/>
      <c r="E97" s="172"/>
      <c r="F97" s="172"/>
      <c r="G97" s="172"/>
      <c r="H97" s="172"/>
      <c r="I97" s="172"/>
      <c r="J97" s="172"/>
      <c r="K97" s="172"/>
      <c r="L97" s="172"/>
      <c r="M97" s="172"/>
      <c r="N97" s="172"/>
      <c r="O97" s="172"/>
      <c r="P97" s="172"/>
      <c r="Q97" s="172"/>
      <c r="R97" s="172"/>
      <c r="S97" s="172"/>
      <c r="T97" s="172"/>
      <c r="U97" s="172"/>
      <c r="V97" s="172"/>
      <c r="W97" s="172"/>
      <c r="X97" s="172"/>
      <c r="Y97" s="172"/>
      <c r="Z97" s="172"/>
    </row>
    <row r="98">
      <c r="A98" s="172"/>
      <c r="B98" s="172"/>
      <c r="C98" s="172"/>
      <c r="D98" s="172"/>
      <c r="E98" s="172"/>
      <c r="F98" s="172"/>
      <c r="G98" s="172"/>
      <c r="H98" s="172"/>
      <c r="I98" s="172"/>
      <c r="J98" s="172"/>
      <c r="K98" s="172"/>
      <c r="L98" s="172"/>
      <c r="M98" s="172"/>
      <c r="N98" s="172"/>
      <c r="O98" s="172"/>
      <c r="P98" s="172"/>
      <c r="Q98" s="172"/>
      <c r="R98" s="172"/>
      <c r="S98" s="172"/>
      <c r="T98" s="172"/>
      <c r="U98" s="172"/>
      <c r="V98" s="172"/>
      <c r="W98" s="172"/>
      <c r="X98" s="172"/>
      <c r="Y98" s="172"/>
      <c r="Z98" s="172"/>
    </row>
    <row r="99">
      <c r="A99" s="172"/>
      <c r="B99" s="172"/>
      <c r="C99" s="172"/>
      <c r="D99" s="172"/>
      <c r="E99" s="172"/>
      <c r="F99" s="172"/>
      <c r="G99" s="172"/>
      <c r="H99" s="172"/>
      <c r="I99" s="172"/>
      <c r="J99" s="172"/>
      <c r="K99" s="172"/>
      <c r="L99" s="172"/>
      <c r="M99" s="172"/>
      <c r="N99" s="172"/>
      <c r="O99" s="172"/>
      <c r="P99" s="172"/>
      <c r="Q99" s="172"/>
      <c r="R99" s="172"/>
      <c r="S99" s="172"/>
      <c r="T99" s="172"/>
      <c r="U99" s="172"/>
      <c r="V99" s="172"/>
      <c r="W99" s="172"/>
      <c r="X99" s="172"/>
      <c r="Y99" s="172"/>
      <c r="Z99" s="172"/>
    </row>
    <row r="100">
      <c r="A100" s="172"/>
      <c r="B100" s="172"/>
      <c r="C100" s="172"/>
      <c r="D100" s="172"/>
      <c r="E100" s="172"/>
      <c r="F100" s="172"/>
      <c r="G100" s="172"/>
      <c r="H100" s="172"/>
      <c r="I100" s="172"/>
      <c r="J100" s="172"/>
      <c r="K100" s="172"/>
      <c r="L100" s="172"/>
      <c r="M100" s="172"/>
      <c r="N100" s="172"/>
      <c r="O100" s="172"/>
      <c r="P100" s="172"/>
      <c r="Q100" s="172"/>
      <c r="R100" s="172"/>
      <c r="S100" s="172"/>
      <c r="T100" s="172"/>
      <c r="U100" s="172"/>
      <c r="V100" s="172"/>
      <c r="W100" s="172"/>
      <c r="X100" s="172"/>
      <c r="Y100" s="172"/>
      <c r="Z100" s="172"/>
    </row>
    <row r="101">
      <c r="A101" s="172"/>
      <c r="B101" s="172"/>
      <c r="C101" s="172"/>
      <c r="D101" s="172"/>
      <c r="E101" s="172"/>
      <c r="F101" s="172"/>
      <c r="G101" s="172"/>
      <c r="H101" s="172"/>
      <c r="I101" s="172"/>
      <c r="J101" s="172"/>
      <c r="K101" s="172"/>
      <c r="L101" s="172"/>
      <c r="M101" s="172"/>
      <c r="N101" s="172"/>
      <c r="O101" s="172"/>
      <c r="P101" s="172"/>
      <c r="Q101" s="172"/>
      <c r="R101" s="172"/>
      <c r="S101" s="172"/>
      <c r="T101" s="172"/>
      <c r="U101" s="172"/>
      <c r="V101" s="172"/>
      <c r="W101" s="172"/>
      <c r="X101" s="172"/>
      <c r="Y101" s="172"/>
      <c r="Z101" s="172"/>
    </row>
    <row r="102">
      <c r="A102" s="172"/>
      <c r="B102" s="172"/>
      <c r="C102" s="172"/>
      <c r="D102" s="172"/>
      <c r="E102" s="172"/>
      <c r="F102" s="172"/>
      <c r="G102" s="172"/>
      <c r="H102" s="172"/>
      <c r="I102" s="172"/>
      <c r="J102" s="172"/>
      <c r="K102" s="172"/>
      <c r="L102" s="172"/>
      <c r="M102" s="172"/>
      <c r="N102" s="172"/>
      <c r="O102" s="172"/>
      <c r="P102" s="172"/>
      <c r="Q102" s="172"/>
      <c r="R102" s="172"/>
      <c r="S102" s="172"/>
      <c r="T102" s="172"/>
      <c r="U102" s="172"/>
      <c r="V102" s="172"/>
      <c r="W102" s="172"/>
      <c r="X102" s="172"/>
      <c r="Y102" s="172"/>
      <c r="Z102" s="172"/>
    </row>
    <row r="103">
      <c r="A103" s="172"/>
      <c r="B103" s="172"/>
      <c r="C103" s="172"/>
      <c r="D103" s="172"/>
      <c r="E103" s="172"/>
      <c r="F103" s="172"/>
      <c r="G103" s="172"/>
      <c r="H103" s="172"/>
      <c r="I103" s="172"/>
      <c r="J103" s="172"/>
      <c r="K103" s="172"/>
      <c r="L103" s="172"/>
      <c r="M103" s="172"/>
      <c r="N103" s="172"/>
      <c r="O103" s="172"/>
      <c r="P103" s="172"/>
      <c r="Q103" s="172"/>
      <c r="R103" s="172"/>
      <c r="S103" s="172"/>
      <c r="T103" s="172"/>
      <c r="U103" s="172"/>
      <c r="V103" s="172"/>
      <c r="W103" s="172"/>
      <c r="X103" s="172"/>
      <c r="Y103" s="172"/>
      <c r="Z103" s="172"/>
    </row>
    <row r="104">
      <c r="A104" s="172"/>
      <c r="B104" s="172"/>
      <c r="C104" s="172"/>
      <c r="D104" s="172"/>
      <c r="E104" s="172"/>
      <c r="F104" s="172"/>
      <c r="G104" s="172"/>
      <c r="H104" s="172"/>
      <c r="I104" s="172"/>
      <c r="J104" s="172"/>
      <c r="K104" s="172"/>
      <c r="L104" s="172"/>
      <c r="M104" s="172"/>
      <c r="N104" s="172"/>
      <c r="O104" s="172"/>
      <c r="P104" s="172"/>
      <c r="Q104" s="172"/>
      <c r="R104" s="172"/>
      <c r="S104" s="172"/>
      <c r="T104" s="172"/>
      <c r="U104" s="172"/>
      <c r="V104" s="172"/>
      <c r="W104" s="172"/>
      <c r="X104" s="172"/>
      <c r="Y104" s="172"/>
      <c r="Z104" s="172"/>
    </row>
    <row r="105">
      <c r="A105" s="172"/>
      <c r="B105" s="172"/>
      <c r="C105" s="172"/>
      <c r="D105" s="172"/>
      <c r="E105" s="172"/>
      <c r="F105" s="172"/>
      <c r="G105" s="172"/>
      <c r="H105" s="172"/>
      <c r="I105" s="172"/>
      <c r="J105" s="172"/>
      <c r="K105" s="172"/>
      <c r="L105" s="172"/>
      <c r="M105" s="172"/>
      <c r="N105" s="172"/>
      <c r="O105" s="172"/>
      <c r="P105" s="172"/>
      <c r="Q105" s="172"/>
      <c r="R105" s="172"/>
      <c r="S105" s="172"/>
      <c r="T105" s="172"/>
      <c r="U105" s="172"/>
      <c r="V105" s="172"/>
      <c r="W105" s="172"/>
      <c r="X105" s="172"/>
      <c r="Y105" s="172"/>
      <c r="Z105" s="172"/>
    </row>
    <row r="106">
      <c r="A106" s="172"/>
      <c r="B106" s="172"/>
      <c r="C106" s="172"/>
      <c r="D106" s="172"/>
      <c r="E106" s="172"/>
      <c r="F106" s="172"/>
      <c r="G106" s="172"/>
      <c r="H106" s="172"/>
      <c r="I106" s="172"/>
      <c r="J106" s="172"/>
      <c r="K106" s="172"/>
      <c r="L106" s="172"/>
      <c r="M106" s="172"/>
      <c r="N106" s="172"/>
      <c r="O106" s="172"/>
      <c r="P106" s="172"/>
      <c r="Q106" s="172"/>
      <c r="R106" s="172"/>
      <c r="S106" s="172"/>
      <c r="T106" s="172"/>
      <c r="U106" s="172"/>
      <c r="V106" s="172"/>
      <c r="W106" s="172"/>
      <c r="X106" s="172"/>
      <c r="Y106" s="172"/>
      <c r="Z106" s="172"/>
    </row>
    <row r="107">
      <c r="A107" s="172"/>
      <c r="B107" s="172"/>
      <c r="C107" s="172"/>
      <c r="D107" s="172"/>
      <c r="E107" s="172"/>
      <c r="F107" s="172"/>
      <c r="G107" s="172"/>
      <c r="H107" s="172"/>
      <c r="I107" s="172"/>
      <c r="J107" s="172"/>
      <c r="K107" s="172"/>
      <c r="L107" s="172"/>
      <c r="M107" s="172"/>
      <c r="N107" s="172"/>
      <c r="O107" s="172"/>
      <c r="P107" s="172"/>
      <c r="Q107" s="172"/>
      <c r="R107" s="172"/>
      <c r="S107" s="172"/>
      <c r="T107" s="172"/>
      <c r="U107" s="172"/>
      <c r="V107" s="172"/>
      <c r="W107" s="172"/>
      <c r="X107" s="172"/>
      <c r="Y107" s="172"/>
      <c r="Z107" s="172"/>
    </row>
    <row r="108">
      <c r="A108" s="172"/>
      <c r="B108" s="172"/>
      <c r="C108" s="172"/>
      <c r="D108" s="172"/>
      <c r="E108" s="172"/>
      <c r="F108" s="172"/>
      <c r="G108" s="172"/>
      <c r="H108" s="172"/>
      <c r="I108" s="172"/>
      <c r="J108" s="172"/>
      <c r="K108" s="172"/>
      <c r="L108" s="172"/>
      <c r="M108" s="172"/>
      <c r="N108" s="172"/>
      <c r="O108" s="172"/>
      <c r="P108" s="172"/>
      <c r="Q108" s="172"/>
      <c r="R108" s="172"/>
      <c r="S108" s="172"/>
      <c r="T108" s="172"/>
      <c r="U108" s="172"/>
      <c r="V108" s="172"/>
      <c r="W108" s="172"/>
      <c r="X108" s="172"/>
      <c r="Y108" s="172"/>
      <c r="Z108" s="172"/>
    </row>
    <row r="109">
      <c r="A109" s="172"/>
      <c r="B109" s="172"/>
      <c r="C109" s="172"/>
      <c r="D109" s="172"/>
      <c r="E109" s="172"/>
      <c r="F109" s="172"/>
      <c r="G109" s="172"/>
      <c r="H109" s="172"/>
      <c r="I109" s="172"/>
      <c r="J109" s="172"/>
      <c r="K109" s="172"/>
      <c r="L109" s="172"/>
      <c r="M109" s="172"/>
      <c r="N109" s="172"/>
      <c r="O109" s="172"/>
      <c r="P109" s="172"/>
      <c r="Q109" s="172"/>
      <c r="R109" s="172"/>
      <c r="S109" s="172"/>
      <c r="T109" s="172"/>
      <c r="U109" s="172"/>
      <c r="V109" s="172"/>
      <c r="W109" s="172"/>
      <c r="X109" s="172"/>
      <c r="Y109" s="172"/>
      <c r="Z109" s="172"/>
    </row>
    <row r="110">
      <c r="A110" s="172"/>
      <c r="B110" s="172"/>
      <c r="C110" s="172"/>
      <c r="D110" s="172"/>
      <c r="E110" s="172"/>
      <c r="F110" s="172"/>
      <c r="G110" s="172"/>
      <c r="H110" s="172"/>
      <c r="I110" s="172"/>
      <c r="J110" s="172"/>
      <c r="K110" s="172"/>
      <c r="L110" s="172"/>
      <c r="M110" s="172"/>
      <c r="N110" s="172"/>
      <c r="O110" s="172"/>
      <c r="P110" s="172"/>
      <c r="Q110" s="172"/>
      <c r="R110" s="172"/>
      <c r="S110" s="172"/>
      <c r="T110" s="172"/>
      <c r="U110" s="172"/>
      <c r="V110" s="172"/>
      <c r="W110" s="172"/>
      <c r="X110" s="172"/>
      <c r="Y110" s="172"/>
      <c r="Z110" s="172"/>
    </row>
    <row r="111">
      <c r="A111" s="172"/>
      <c r="B111" s="172"/>
      <c r="C111" s="172"/>
      <c r="D111" s="172"/>
      <c r="E111" s="172"/>
      <c r="F111" s="172"/>
      <c r="G111" s="172"/>
      <c r="H111" s="172"/>
      <c r="I111" s="172"/>
      <c r="J111" s="172"/>
      <c r="K111" s="172"/>
      <c r="L111" s="172"/>
      <c r="M111" s="172"/>
      <c r="N111" s="172"/>
      <c r="O111" s="172"/>
      <c r="P111" s="172"/>
      <c r="Q111" s="172"/>
      <c r="R111" s="172"/>
      <c r="S111" s="172"/>
      <c r="T111" s="172"/>
      <c r="U111" s="172"/>
      <c r="V111" s="172"/>
      <c r="W111" s="172"/>
      <c r="X111" s="172"/>
      <c r="Y111" s="172"/>
      <c r="Z111" s="172"/>
    </row>
    <row r="112">
      <c r="A112" s="172"/>
      <c r="B112" s="172"/>
      <c r="C112" s="172"/>
      <c r="D112" s="172"/>
      <c r="E112" s="172"/>
      <c r="F112" s="172"/>
      <c r="G112" s="172"/>
      <c r="H112" s="172"/>
      <c r="I112" s="172"/>
      <c r="J112" s="172"/>
      <c r="K112" s="172"/>
      <c r="L112" s="172"/>
      <c r="M112" s="172"/>
      <c r="N112" s="172"/>
      <c r="O112" s="172"/>
      <c r="P112" s="172"/>
      <c r="Q112" s="172"/>
      <c r="R112" s="172"/>
      <c r="S112" s="172"/>
      <c r="T112" s="172"/>
      <c r="U112" s="172"/>
      <c r="V112" s="172"/>
      <c r="W112" s="172"/>
      <c r="X112" s="172"/>
      <c r="Y112" s="172"/>
      <c r="Z112" s="172"/>
    </row>
    <row r="113">
      <c r="A113" s="172"/>
      <c r="B113" s="172"/>
      <c r="C113" s="172"/>
      <c r="D113" s="172"/>
      <c r="E113" s="172"/>
      <c r="F113" s="172"/>
      <c r="G113" s="172"/>
      <c r="H113" s="172"/>
      <c r="I113" s="172"/>
      <c r="J113" s="172"/>
      <c r="K113" s="172"/>
      <c r="L113" s="172"/>
      <c r="M113" s="172"/>
      <c r="N113" s="172"/>
      <c r="O113" s="172"/>
      <c r="P113" s="172"/>
      <c r="Q113" s="172"/>
      <c r="R113" s="172"/>
      <c r="S113" s="172"/>
      <c r="T113" s="172"/>
      <c r="U113" s="172"/>
      <c r="V113" s="172"/>
      <c r="W113" s="172"/>
      <c r="X113" s="172"/>
      <c r="Y113" s="172"/>
      <c r="Z113" s="172"/>
    </row>
    <row r="114">
      <c r="A114" s="172"/>
      <c r="B114" s="172"/>
      <c r="C114" s="172"/>
      <c r="D114" s="172"/>
      <c r="E114" s="172"/>
      <c r="F114" s="172"/>
      <c r="G114" s="172"/>
      <c r="H114" s="172"/>
      <c r="I114" s="172"/>
      <c r="J114" s="172"/>
      <c r="K114" s="172"/>
      <c r="L114" s="172"/>
      <c r="M114" s="172"/>
      <c r="N114" s="172"/>
      <c r="O114" s="172"/>
      <c r="P114" s="172"/>
      <c r="Q114" s="172"/>
      <c r="R114" s="172"/>
      <c r="S114" s="172"/>
      <c r="T114" s="172"/>
      <c r="U114" s="172"/>
      <c r="V114" s="172"/>
      <c r="W114" s="172"/>
      <c r="X114" s="172"/>
      <c r="Y114" s="172"/>
      <c r="Z114" s="172"/>
    </row>
    <row r="115">
      <c r="A115" s="172"/>
      <c r="B115" s="172"/>
      <c r="C115" s="172"/>
      <c r="D115" s="172"/>
      <c r="E115" s="172"/>
      <c r="F115" s="172"/>
      <c r="G115" s="172"/>
      <c r="H115" s="172"/>
      <c r="I115" s="172"/>
      <c r="J115" s="172"/>
      <c r="K115" s="172"/>
      <c r="L115" s="172"/>
      <c r="M115" s="172"/>
      <c r="N115" s="172"/>
      <c r="O115" s="172"/>
      <c r="P115" s="172"/>
      <c r="Q115" s="172"/>
      <c r="R115" s="172"/>
      <c r="S115" s="172"/>
      <c r="T115" s="172"/>
      <c r="U115" s="172"/>
      <c r="V115" s="172"/>
      <c r="W115" s="172"/>
      <c r="X115" s="172"/>
      <c r="Y115" s="172"/>
      <c r="Z115" s="172"/>
    </row>
    <row r="116">
      <c r="A116" s="172"/>
      <c r="B116" s="172"/>
      <c r="C116" s="172"/>
      <c r="D116" s="172"/>
      <c r="E116" s="172"/>
      <c r="F116" s="172"/>
      <c r="G116" s="172"/>
      <c r="H116" s="172"/>
      <c r="I116" s="172"/>
      <c r="J116" s="172"/>
      <c r="K116" s="172"/>
      <c r="L116" s="172"/>
      <c r="M116" s="172"/>
      <c r="N116" s="172"/>
      <c r="O116" s="172"/>
      <c r="P116" s="172"/>
      <c r="Q116" s="172"/>
      <c r="R116" s="172"/>
      <c r="S116" s="172"/>
      <c r="T116" s="172"/>
      <c r="U116" s="172"/>
      <c r="V116" s="172"/>
      <c r="W116" s="172"/>
      <c r="X116" s="172"/>
      <c r="Y116" s="172"/>
      <c r="Z116" s="172"/>
    </row>
    <row r="117">
      <c r="A117" s="172"/>
      <c r="B117" s="172"/>
      <c r="C117" s="172"/>
      <c r="D117" s="172"/>
      <c r="E117" s="172"/>
      <c r="F117" s="172"/>
      <c r="G117" s="172"/>
      <c r="H117" s="172"/>
      <c r="I117" s="172"/>
      <c r="J117" s="172"/>
      <c r="K117" s="172"/>
      <c r="L117" s="172"/>
      <c r="M117" s="172"/>
      <c r="N117" s="172"/>
      <c r="O117" s="172"/>
      <c r="P117" s="172"/>
      <c r="Q117" s="172"/>
      <c r="R117" s="172"/>
      <c r="S117" s="172"/>
      <c r="T117" s="172"/>
      <c r="U117" s="172"/>
      <c r="V117" s="172"/>
      <c r="W117" s="172"/>
      <c r="X117" s="172"/>
      <c r="Y117" s="172"/>
      <c r="Z117" s="172"/>
    </row>
    <row r="118">
      <c r="A118" s="172"/>
      <c r="B118" s="172"/>
      <c r="C118" s="172"/>
      <c r="D118" s="172"/>
      <c r="E118" s="172"/>
      <c r="F118" s="172"/>
      <c r="G118" s="172"/>
      <c r="H118" s="172"/>
      <c r="I118" s="172"/>
      <c r="J118" s="172"/>
      <c r="K118" s="172"/>
      <c r="L118" s="172"/>
      <c r="M118" s="172"/>
      <c r="N118" s="172"/>
      <c r="O118" s="172"/>
      <c r="P118" s="172"/>
      <c r="Q118" s="172"/>
      <c r="R118" s="172"/>
      <c r="S118" s="172"/>
      <c r="T118" s="172"/>
      <c r="U118" s="172"/>
      <c r="V118" s="172"/>
      <c r="W118" s="172"/>
      <c r="X118" s="172"/>
      <c r="Y118" s="172"/>
      <c r="Z118" s="172"/>
    </row>
    <row r="119">
      <c r="A119" s="172"/>
      <c r="B119" s="172"/>
      <c r="C119" s="172"/>
      <c r="D119" s="172"/>
      <c r="E119" s="172"/>
      <c r="F119" s="172"/>
      <c r="G119" s="172"/>
      <c r="H119" s="172"/>
      <c r="I119" s="172"/>
      <c r="J119" s="172"/>
      <c r="K119" s="172"/>
      <c r="L119" s="172"/>
      <c r="M119" s="172"/>
      <c r="N119" s="172"/>
      <c r="O119" s="172"/>
      <c r="P119" s="172"/>
      <c r="Q119" s="172"/>
      <c r="R119" s="172"/>
      <c r="S119" s="172"/>
      <c r="T119" s="172"/>
      <c r="U119" s="172"/>
      <c r="V119" s="172"/>
      <c r="W119" s="172"/>
      <c r="X119" s="172"/>
      <c r="Y119" s="172"/>
      <c r="Z119" s="172"/>
    </row>
    <row r="120">
      <c r="A120" s="172"/>
      <c r="B120" s="172"/>
      <c r="C120" s="172"/>
      <c r="D120" s="172"/>
      <c r="E120" s="172"/>
      <c r="F120" s="172"/>
      <c r="G120" s="172"/>
      <c r="H120" s="172"/>
      <c r="I120" s="172"/>
      <c r="J120" s="172"/>
      <c r="K120" s="172"/>
      <c r="L120" s="172"/>
      <c r="M120" s="172"/>
      <c r="N120" s="172"/>
      <c r="O120" s="172"/>
      <c r="P120" s="172"/>
      <c r="Q120" s="172"/>
      <c r="R120" s="172"/>
      <c r="S120" s="172"/>
      <c r="T120" s="172"/>
      <c r="U120" s="172"/>
      <c r="V120" s="172"/>
      <c r="W120" s="172"/>
      <c r="X120" s="172"/>
      <c r="Y120" s="172"/>
      <c r="Z120" s="172"/>
    </row>
    <row r="121">
      <c r="A121" s="172"/>
      <c r="B121" s="172"/>
      <c r="C121" s="172"/>
      <c r="D121" s="172"/>
      <c r="E121" s="172"/>
      <c r="F121" s="172"/>
      <c r="G121" s="172"/>
      <c r="H121" s="172"/>
      <c r="I121" s="172"/>
      <c r="J121" s="172"/>
      <c r="K121" s="172"/>
      <c r="L121" s="172"/>
      <c r="M121" s="172"/>
      <c r="N121" s="172"/>
      <c r="O121" s="172"/>
      <c r="P121" s="172"/>
      <c r="Q121" s="172"/>
      <c r="R121" s="172"/>
      <c r="S121" s="172"/>
      <c r="T121" s="172"/>
      <c r="U121" s="172"/>
      <c r="V121" s="172"/>
      <c r="W121" s="172"/>
      <c r="X121" s="172"/>
      <c r="Y121" s="172"/>
      <c r="Z121" s="172"/>
    </row>
    <row r="122">
      <c r="A122" s="172"/>
      <c r="B122" s="172"/>
      <c r="C122" s="172"/>
      <c r="D122" s="172"/>
      <c r="E122" s="172"/>
      <c r="F122" s="172"/>
      <c r="G122" s="172"/>
      <c r="H122" s="172"/>
      <c r="I122" s="172"/>
      <c r="J122" s="172"/>
      <c r="K122" s="172"/>
      <c r="L122" s="172"/>
      <c r="M122" s="172"/>
      <c r="N122" s="172"/>
      <c r="O122" s="172"/>
      <c r="P122" s="172"/>
      <c r="Q122" s="172"/>
      <c r="R122" s="172"/>
      <c r="S122" s="172"/>
      <c r="T122" s="172"/>
      <c r="U122" s="172"/>
      <c r="V122" s="172"/>
      <c r="W122" s="172"/>
      <c r="X122" s="172"/>
      <c r="Y122" s="172"/>
      <c r="Z122" s="172"/>
    </row>
    <row r="123">
      <c r="A123" s="172"/>
      <c r="B123" s="172"/>
      <c r="C123" s="172"/>
      <c r="D123" s="172"/>
      <c r="E123" s="172"/>
      <c r="F123" s="172"/>
      <c r="G123" s="172"/>
      <c r="H123" s="172"/>
      <c r="I123" s="172"/>
      <c r="J123" s="172"/>
      <c r="K123" s="172"/>
      <c r="L123" s="172"/>
      <c r="M123" s="172"/>
      <c r="N123" s="172"/>
      <c r="O123" s="172"/>
      <c r="P123" s="172"/>
      <c r="Q123" s="172"/>
      <c r="R123" s="172"/>
      <c r="S123" s="172"/>
      <c r="T123" s="172"/>
      <c r="U123" s="172"/>
      <c r="V123" s="172"/>
      <c r="W123" s="172"/>
      <c r="X123" s="172"/>
      <c r="Y123" s="172"/>
      <c r="Z123" s="172"/>
    </row>
    <row r="124">
      <c r="A124" s="172"/>
      <c r="B124" s="172"/>
      <c r="C124" s="172"/>
      <c r="D124" s="172"/>
      <c r="E124" s="172"/>
      <c r="F124" s="172"/>
      <c r="G124" s="172"/>
      <c r="H124" s="172"/>
      <c r="I124" s="172"/>
      <c r="J124" s="172"/>
      <c r="K124" s="172"/>
      <c r="L124" s="172"/>
      <c r="M124" s="172"/>
      <c r="N124" s="172"/>
      <c r="O124" s="172"/>
      <c r="P124" s="172"/>
      <c r="Q124" s="172"/>
      <c r="R124" s="172"/>
      <c r="S124" s="172"/>
      <c r="T124" s="172"/>
      <c r="U124" s="172"/>
      <c r="V124" s="172"/>
      <c r="W124" s="172"/>
      <c r="X124" s="172"/>
      <c r="Y124" s="172"/>
      <c r="Z124" s="172"/>
    </row>
    <row r="125">
      <c r="A125" s="172"/>
      <c r="B125" s="172"/>
      <c r="C125" s="172"/>
      <c r="D125" s="172"/>
      <c r="E125" s="172"/>
      <c r="F125" s="172"/>
      <c r="G125" s="172"/>
      <c r="H125" s="172"/>
      <c r="I125" s="172"/>
      <c r="J125" s="172"/>
      <c r="K125" s="172"/>
      <c r="L125" s="172"/>
      <c r="M125" s="172"/>
      <c r="N125" s="172"/>
      <c r="O125" s="172"/>
      <c r="P125" s="172"/>
      <c r="Q125" s="172"/>
      <c r="R125" s="172"/>
      <c r="S125" s="172"/>
      <c r="T125" s="172"/>
      <c r="U125" s="172"/>
      <c r="V125" s="172"/>
      <c r="W125" s="172"/>
      <c r="X125" s="172"/>
      <c r="Y125" s="172"/>
      <c r="Z125" s="172"/>
    </row>
    <row r="126">
      <c r="A126" s="172"/>
      <c r="B126" s="172"/>
      <c r="C126" s="172"/>
      <c r="D126" s="172"/>
      <c r="E126" s="172"/>
      <c r="F126" s="172"/>
      <c r="G126" s="172"/>
      <c r="H126" s="172"/>
      <c r="I126" s="172"/>
      <c r="J126" s="172"/>
      <c r="K126" s="172"/>
      <c r="L126" s="172"/>
      <c r="M126" s="172"/>
      <c r="N126" s="172"/>
      <c r="O126" s="172"/>
      <c r="P126" s="172"/>
      <c r="Q126" s="172"/>
      <c r="R126" s="172"/>
      <c r="S126" s="172"/>
      <c r="T126" s="172"/>
      <c r="U126" s="172"/>
      <c r="V126" s="172"/>
      <c r="W126" s="172"/>
      <c r="X126" s="172"/>
      <c r="Y126" s="172"/>
      <c r="Z126" s="172"/>
    </row>
    <row r="127">
      <c r="A127" s="172"/>
      <c r="B127" s="172"/>
      <c r="C127" s="172"/>
      <c r="D127" s="172"/>
      <c r="E127" s="172"/>
      <c r="F127" s="172"/>
      <c r="G127" s="172"/>
      <c r="H127" s="172"/>
      <c r="I127" s="172"/>
      <c r="J127" s="172"/>
      <c r="K127" s="172"/>
      <c r="L127" s="172"/>
      <c r="M127" s="172"/>
      <c r="N127" s="172"/>
      <c r="O127" s="172"/>
      <c r="P127" s="172"/>
      <c r="Q127" s="172"/>
      <c r="R127" s="172"/>
      <c r="S127" s="172"/>
      <c r="T127" s="172"/>
      <c r="U127" s="172"/>
      <c r="V127" s="172"/>
      <c r="W127" s="172"/>
      <c r="X127" s="172"/>
      <c r="Y127" s="172"/>
      <c r="Z127" s="172"/>
    </row>
    <row r="128">
      <c r="A128" s="172"/>
      <c r="B128" s="172"/>
      <c r="C128" s="172"/>
      <c r="D128" s="172"/>
      <c r="E128" s="172"/>
      <c r="F128" s="172"/>
      <c r="G128" s="172"/>
      <c r="H128" s="172"/>
      <c r="I128" s="172"/>
      <c r="J128" s="172"/>
      <c r="K128" s="172"/>
      <c r="L128" s="172"/>
      <c r="M128" s="172"/>
      <c r="N128" s="172"/>
      <c r="O128" s="172"/>
      <c r="P128" s="172"/>
      <c r="Q128" s="172"/>
      <c r="R128" s="172"/>
      <c r="S128" s="172"/>
      <c r="T128" s="172"/>
      <c r="U128" s="172"/>
      <c r="V128" s="172"/>
      <c r="W128" s="172"/>
      <c r="X128" s="172"/>
      <c r="Y128" s="172"/>
      <c r="Z128" s="172"/>
    </row>
    <row r="129">
      <c r="A129" s="172"/>
      <c r="B129" s="172"/>
      <c r="C129" s="172"/>
      <c r="D129" s="172"/>
      <c r="E129" s="172"/>
      <c r="F129" s="172"/>
      <c r="G129" s="172"/>
      <c r="H129" s="172"/>
      <c r="I129" s="172"/>
      <c r="J129" s="172"/>
      <c r="K129" s="172"/>
      <c r="L129" s="172"/>
      <c r="M129" s="172"/>
      <c r="N129" s="172"/>
      <c r="O129" s="172"/>
      <c r="P129" s="172"/>
      <c r="Q129" s="172"/>
      <c r="R129" s="172"/>
      <c r="S129" s="172"/>
      <c r="T129" s="172"/>
      <c r="U129" s="172"/>
      <c r="V129" s="172"/>
      <c r="W129" s="172"/>
      <c r="X129" s="172"/>
      <c r="Y129" s="172"/>
      <c r="Z129" s="172"/>
    </row>
    <row r="130">
      <c r="A130" s="172"/>
      <c r="B130" s="172"/>
      <c r="C130" s="172"/>
      <c r="D130" s="172"/>
      <c r="E130" s="172"/>
      <c r="F130" s="172"/>
      <c r="G130" s="172"/>
      <c r="H130" s="172"/>
      <c r="I130" s="172"/>
      <c r="J130" s="172"/>
      <c r="K130" s="172"/>
      <c r="L130" s="172"/>
      <c r="M130" s="172"/>
      <c r="N130" s="172"/>
      <c r="O130" s="172"/>
      <c r="P130" s="172"/>
      <c r="Q130" s="172"/>
      <c r="R130" s="172"/>
      <c r="S130" s="172"/>
      <c r="T130" s="172"/>
      <c r="U130" s="172"/>
      <c r="V130" s="172"/>
      <c r="W130" s="172"/>
      <c r="X130" s="172"/>
      <c r="Y130" s="172"/>
      <c r="Z130" s="172"/>
    </row>
    <row r="131">
      <c r="A131" s="172"/>
      <c r="B131" s="172"/>
      <c r="C131" s="172"/>
      <c r="D131" s="172"/>
      <c r="E131" s="172"/>
      <c r="F131" s="172"/>
      <c r="G131" s="172"/>
      <c r="H131" s="172"/>
      <c r="I131" s="172"/>
      <c r="J131" s="172"/>
      <c r="K131" s="172"/>
      <c r="L131" s="172"/>
      <c r="M131" s="172"/>
      <c r="N131" s="172"/>
      <c r="O131" s="172"/>
      <c r="P131" s="172"/>
      <c r="Q131" s="172"/>
      <c r="R131" s="172"/>
      <c r="S131" s="172"/>
      <c r="T131" s="172"/>
      <c r="U131" s="172"/>
      <c r="V131" s="172"/>
      <c r="W131" s="172"/>
      <c r="X131" s="172"/>
      <c r="Y131" s="172"/>
      <c r="Z131" s="172"/>
    </row>
    <row r="132">
      <c r="A132" s="172"/>
      <c r="B132" s="172"/>
      <c r="C132" s="172"/>
      <c r="D132" s="172"/>
      <c r="E132" s="172"/>
      <c r="F132" s="172"/>
      <c r="G132" s="172"/>
      <c r="H132" s="172"/>
      <c r="I132" s="172"/>
      <c r="J132" s="172"/>
      <c r="K132" s="172"/>
      <c r="L132" s="172"/>
      <c r="M132" s="172"/>
      <c r="N132" s="172"/>
      <c r="O132" s="172"/>
      <c r="P132" s="172"/>
      <c r="Q132" s="172"/>
      <c r="R132" s="172"/>
      <c r="S132" s="172"/>
      <c r="T132" s="172"/>
      <c r="U132" s="172"/>
      <c r="V132" s="172"/>
      <c r="W132" s="172"/>
      <c r="X132" s="172"/>
      <c r="Y132" s="172"/>
      <c r="Z132" s="172"/>
    </row>
    <row r="133">
      <c r="A133" s="172"/>
      <c r="B133" s="172"/>
      <c r="C133" s="172"/>
      <c r="D133" s="172"/>
      <c r="E133" s="172"/>
      <c r="F133" s="172"/>
      <c r="G133" s="172"/>
      <c r="H133" s="172"/>
      <c r="I133" s="172"/>
      <c r="J133" s="172"/>
      <c r="K133" s="172"/>
      <c r="L133" s="172"/>
      <c r="M133" s="172"/>
      <c r="N133" s="172"/>
      <c r="O133" s="172"/>
      <c r="P133" s="172"/>
      <c r="Q133" s="172"/>
      <c r="R133" s="172"/>
      <c r="S133" s="172"/>
      <c r="T133" s="172"/>
      <c r="U133" s="172"/>
      <c r="V133" s="172"/>
      <c r="W133" s="172"/>
      <c r="X133" s="172"/>
      <c r="Y133" s="172"/>
      <c r="Z133" s="172"/>
    </row>
    <row r="134">
      <c r="A134" s="172"/>
      <c r="B134" s="172"/>
      <c r="C134" s="172"/>
      <c r="D134" s="172"/>
      <c r="E134" s="172"/>
      <c r="F134" s="172"/>
      <c r="G134" s="172"/>
      <c r="H134" s="172"/>
      <c r="I134" s="172"/>
      <c r="J134" s="172"/>
      <c r="K134" s="172"/>
      <c r="L134" s="172"/>
      <c r="M134" s="172"/>
      <c r="N134" s="172"/>
      <c r="O134" s="172"/>
      <c r="P134" s="172"/>
      <c r="Q134" s="172"/>
      <c r="R134" s="172"/>
      <c r="S134" s="172"/>
      <c r="T134" s="172"/>
      <c r="U134" s="172"/>
      <c r="V134" s="172"/>
      <c r="W134" s="172"/>
      <c r="X134" s="172"/>
      <c r="Y134" s="172"/>
      <c r="Z134" s="172"/>
    </row>
    <row r="135">
      <c r="A135" s="172"/>
      <c r="B135" s="172"/>
      <c r="C135" s="172"/>
      <c r="D135" s="172"/>
      <c r="E135" s="172"/>
      <c r="F135" s="172"/>
      <c r="G135" s="172"/>
      <c r="H135" s="172"/>
      <c r="I135" s="172"/>
      <c r="J135" s="172"/>
      <c r="K135" s="172"/>
      <c r="L135" s="172"/>
      <c r="M135" s="172"/>
      <c r="N135" s="172"/>
      <c r="O135" s="172"/>
      <c r="P135" s="172"/>
      <c r="Q135" s="172"/>
      <c r="R135" s="172"/>
      <c r="S135" s="172"/>
      <c r="T135" s="172"/>
      <c r="U135" s="172"/>
      <c r="V135" s="172"/>
      <c r="W135" s="172"/>
      <c r="X135" s="172"/>
      <c r="Y135" s="172"/>
      <c r="Z135" s="172"/>
    </row>
    <row r="136">
      <c r="A136" s="172"/>
      <c r="B136" s="172"/>
      <c r="C136" s="172"/>
      <c r="D136" s="172"/>
      <c r="E136" s="172"/>
      <c r="F136" s="172"/>
      <c r="G136" s="172"/>
      <c r="H136" s="172"/>
      <c r="I136" s="172"/>
      <c r="J136" s="172"/>
      <c r="K136" s="172"/>
      <c r="L136" s="172"/>
      <c r="M136" s="172"/>
      <c r="N136" s="172"/>
      <c r="O136" s="172"/>
      <c r="P136" s="172"/>
      <c r="Q136" s="172"/>
      <c r="R136" s="172"/>
      <c r="S136" s="172"/>
      <c r="T136" s="172"/>
      <c r="U136" s="172"/>
      <c r="V136" s="172"/>
      <c r="W136" s="172"/>
      <c r="X136" s="172"/>
      <c r="Y136" s="172"/>
      <c r="Z136" s="172"/>
    </row>
    <row r="137">
      <c r="A137" s="172"/>
      <c r="B137" s="172"/>
      <c r="C137" s="172"/>
      <c r="D137" s="172"/>
      <c r="E137" s="172"/>
      <c r="F137" s="172"/>
      <c r="G137" s="172"/>
      <c r="H137" s="172"/>
      <c r="I137" s="172"/>
      <c r="J137" s="172"/>
      <c r="K137" s="172"/>
      <c r="L137" s="172"/>
      <c r="M137" s="172"/>
      <c r="N137" s="172"/>
      <c r="O137" s="172"/>
      <c r="P137" s="172"/>
      <c r="Q137" s="172"/>
      <c r="R137" s="172"/>
      <c r="S137" s="172"/>
      <c r="T137" s="172"/>
      <c r="U137" s="172"/>
      <c r="V137" s="172"/>
      <c r="W137" s="172"/>
      <c r="X137" s="172"/>
      <c r="Y137" s="172"/>
      <c r="Z137" s="172"/>
    </row>
    <row r="138">
      <c r="A138" s="172"/>
      <c r="B138" s="172"/>
      <c r="C138" s="172"/>
      <c r="D138" s="172"/>
      <c r="E138" s="172"/>
      <c r="F138" s="172"/>
      <c r="G138" s="172"/>
      <c r="H138" s="172"/>
      <c r="I138" s="172"/>
      <c r="J138" s="172"/>
      <c r="K138" s="172"/>
      <c r="L138" s="172"/>
      <c r="M138" s="172"/>
      <c r="N138" s="172"/>
      <c r="O138" s="172"/>
      <c r="P138" s="172"/>
      <c r="Q138" s="172"/>
      <c r="R138" s="172"/>
      <c r="S138" s="172"/>
      <c r="T138" s="172"/>
      <c r="U138" s="172"/>
      <c r="V138" s="172"/>
      <c r="W138" s="172"/>
      <c r="X138" s="172"/>
      <c r="Y138" s="172"/>
      <c r="Z138" s="172"/>
    </row>
    <row r="139">
      <c r="A139" s="172"/>
      <c r="B139" s="172"/>
      <c r="C139" s="172"/>
      <c r="D139" s="172"/>
      <c r="E139" s="172"/>
      <c r="F139" s="172"/>
      <c r="G139" s="172"/>
      <c r="H139" s="172"/>
      <c r="I139" s="172"/>
      <c r="J139" s="172"/>
      <c r="K139" s="172"/>
      <c r="L139" s="172"/>
      <c r="M139" s="172"/>
      <c r="N139" s="172"/>
      <c r="O139" s="172"/>
      <c r="P139" s="172"/>
      <c r="Q139" s="172"/>
      <c r="R139" s="172"/>
      <c r="S139" s="172"/>
      <c r="T139" s="172"/>
      <c r="U139" s="172"/>
      <c r="V139" s="172"/>
      <c r="W139" s="172"/>
      <c r="X139" s="172"/>
      <c r="Y139" s="172"/>
      <c r="Z139" s="172"/>
    </row>
    <row r="140">
      <c r="A140" s="172"/>
      <c r="B140" s="172"/>
      <c r="C140" s="172"/>
      <c r="D140" s="172"/>
      <c r="E140" s="172"/>
      <c r="F140" s="172"/>
      <c r="G140" s="172"/>
      <c r="H140" s="172"/>
      <c r="I140" s="172"/>
      <c r="J140" s="172"/>
      <c r="K140" s="172"/>
      <c r="L140" s="172"/>
      <c r="M140" s="172"/>
      <c r="N140" s="172"/>
      <c r="O140" s="172"/>
      <c r="P140" s="172"/>
      <c r="Q140" s="172"/>
      <c r="R140" s="172"/>
      <c r="S140" s="172"/>
      <c r="T140" s="172"/>
      <c r="U140" s="172"/>
      <c r="V140" s="172"/>
      <c r="W140" s="172"/>
      <c r="X140" s="172"/>
      <c r="Y140" s="172"/>
      <c r="Z140" s="172"/>
    </row>
    <row r="141">
      <c r="A141" s="172"/>
      <c r="B141" s="172"/>
      <c r="C141" s="172"/>
      <c r="D141" s="172"/>
      <c r="E141" s="172"/>
      <c r="F141" s="172"/>
      <c r="G141" s="172"/>
      <c r="H141" s="172"/>
      <c r="I141" s="172"/>
      <c r="J141" s="172"/>
      <c r="K141" s="172"/>
      <c r="L141" s="172"/>
      <c r="M141" s="172"/>
      <c r="N141" s="172"/>
      <c r="O141" s="172"/>
      <c r="P141" s="172"/>
      <c r="Q141" s="172"/>
      <c r="R141" s="172"/>
      <c r="S141" s="172"/>
      <c r="T141" s="172"/>
      <c r="U141" s="172"/>
      <c r="V141" s="172"/>
      <c r="W141" s="172"/>
      <c r="X141" s="172"/>
      <c r="Y141" s="172"/>
      <c r="Z141" s="172"/>
    </row>
    <row r="142">
      <c r="A142" s="172"/>
      <c r="B142" s="172"/>
      <c r="C142" s="172"/>
      <c r="D142" s="172"/>
      <c r="E142" s="172"/>
      <c r="F142" s="172"/>
      <c r="G142" s="172"/>
      <c r="H142" s="172"/>
      <c r="I142" s="172"/>
      <c r="J142" s="172"/>
      <c r="K142" s="172"/>
      <c r="L142" s="172"/>
      <c r="M142" s="172"/>
      <c r="N142" s="172"/>
      <c r="O142" s="172"/>
      <c r="P142" s="172"/>
      <c r="Q142" s="172"/>
      <c r="R142" s="172"/>
      <c r="S142" s="172"/>
      <c r="T142" s="172"/>
      <c r="U142" s="172"/>
      <c r="V142" s="172"/>
      <c r="W142" s="172"/>
      <c r="X142" s="172"/>
      <c r="Y142" s="172"/>
      <c r="Z142" s="172"/>
    </row>
    <row r="143">
      <c r="A143" s="172"/>
      <c r="B143" s="172"/>
      <c r="C143" s="172"/>
      <c r="D143" s="172"/>
      <c r="E143" s="172"/>
      <c r="F143" s="172"/>
      <c r="G143" s="172"/>
      <c r="H143" s="172"/>
      <c r="I143" s="172"/>
      <c r="J143" s="172"/>
      <c r="K143" s="172"/>
      <c r="L143" s="172"/>
      <c r="M143" s="172"/>
      <c r="N143" s="172"/>
      <c r="O143" s="172"/>
      <c r="P143" s="172"/>
      <c r="Q143" s="172"/>
      <c r="R143" s="172"/>
      <c r="S143" s="172"/>
      <c r="T143" s="172"/>
      <c r="U143" s="172"/>
      <c r="V143" s="172"/>
      <c r="W143" s="172"/>
      <c r="X143" s="172"/>
      <c r="Y143" s="172"/>
      <c r="Z143" s="172"/>
    </row>
    <row r="144">
      <c r="A144" s="172"/>
      <c r="B144" s="172"/>
      <c r="C144" s="172"/>
      <c r="D144" s="172"/>
      <c r="E144" s="172"/>
      <c r="F144" s="172"/>
      <c r="G144" s="172"/>
      <c r="H144" s="172"/>
      <c r="I144" s="172"/>
      <c r="J144" s="172"/>
      <c r="K144" s="172"/>
      <c r="L144" s="172"/>
      <c r="M144" s="172"/>
      <c r="N144" s="172"/>
      <c r="O144" s="172"/>
      <c r="P144" s="172"/>
      <c r="Q144" s="172"/>
      <c r="R144" s="172"/>
      <c r="S144" s="172"/>
      <c r="T144" s="172"/>
      <c r="U144" s="172"/>
      <c r="V144" s="172"/>
      <c r="W144" s="172"/>
      <c r="X144" s="172"/>
      <c r="Y144" s="172"/>
      <c r="Z144" s="172"/>
    </row>
    <row r="145">
      <c r="A145" s="172"/>
      <c r="B145" s="172"/>
      <c r="C145" s="172"/>
      <c r="D145" s="172"/>
      <c r="E145" s="172"/>
      <c r="F145" s="172"/>
      <c r="G145" s="172"/>
      <c r="H145" s="172"/>
      <c r="I145" s="172"/>
      <c r="J145" s="172"/>
      <c r="K145" s="172"/>
      <c r="L145" s="172"/>
      <c r="M145" s="172"/>
      <c r="N145" s="172"/>
      <c r="O145" s="172"/>
      <c r="P145" s="172"/>
      <c r="Q145" s="172"/>
      <c r="R145" s="172"/>
      <c r="S145" s="172"/>
      <c r="T145" s="172"/>
      <c r="U145" s="172"/>
      <c r="V145" s="172"/>
      <c r="W145" s="172"/>
      <c r="X145" s="172"/>
      <c r="Y145" s="172"/>
      <c r="Z145" s="172"/>
    </row>
    <row r="146">
      <c r="A146" s="172"/>
      <c r="B146" s="172"/>
      <c r="C146" s="172"/>
      <c r="D146" s="172"/>
      <c r="E146" s="172"/>
      <c r="F146" s="172"/>
      <c r="G146" s="172"/>
      <c r="H146" s="172"/>
      <c r="I146" s="172"/>
      <c r="J146" s="172"/>
      <c r="K146" s="172"/>
      <c r="L146" s="172"/>
      <c r="M146" s="172"/>
      <c r="N146" s="172"/>
      <c r="O146" s="172"/>
      <c r="P146" s="172"/>
      <c r="Q146" s="172"/>
      <c r="R146" s="172"/>
      <c r="S146" s="172"/>
      <c r="T146" s="172"/>
      <c r="U146" s="172"/>
      <c r="V146" s="172"/>
      <c r="W146" s="172"/>
      <c r="X146" s="172"/>
      <c r="Y146" s="172"/>
      <c r="Z146" s="172"/>
    </row>
    <row r="147">
      <c r="A147" s="172"/>
      <c r="B147" s="172"/>
      <c r="C147" s="172"/>
      <c r="D147" s="172"/>
      <c r="E147" s="172"/>
      <c r="F147" s="172"/>
      <c r="G147" s="172"/>
      <c r="H147" s="172"/>
      <c r="I147" s="172"/>
      <c r="J147" s="172"/>
      <c r="K147" s="172"/>
      <c r="L147" s="172"/>
      <c r="M147" s="172"/>
      <c r="N147" s="172"/>
      <c r="O147" s="172"/>
      <c r="P147" s="172"/>
      <c r="Q147" s="172"/>
      <c r="R147" s="172"/>
      <c r="S147" s="172"/>
      <c r="T147" s="172"/>
      <c r="U147" s="172"/>
      <c r="V147" s="172"/>
      <c r="W147" s="172"/>
      <c r="X147" s="172"/>
      <c r="Y147" s="172"/>
      <c r="Z147" s="172"/>
    </row>
    <row r="148">
      <c r="A148" s="172"/>
      <c r="B148" s="172"/>
      <c r="C148" s="172"/>
      <c r="D148" s="172"/>
      <c r="E148" s="172"/>
      <c r="F148" s="172"/>
      <c r="G148" s="172"/>
      <c r="H148" s="172"/>
      <c r="I148" s="172"/>
      <c r="J148" s="172"/>
      <c r="K148" s="172"/>
      <c r="L148" s="172"/>
      <c r="M148" s="172"/>
      <c r="N148" s="172"/>
      <c r="O148" s="172"/>
      <c r="P148" s="172"/>
      <c r="Q148" s="172"/>
      <c r="R148" s="172"/>
      <c r="S148" s="172"/>
      <c r="T148" s="172"/>
      <c r="U148" s="172"/>
      <c r="V148" s="172"/>
      <c r="W148" s="172"/>
      <c r="X148" s="172"/>
      <c r="Y148" s="172"/>
      <c r="Z148" s="172"/>
    </row>
    <row r="149">
      <c r="A149" s="172"/>
      <c r="B149" s="172"/>
      <c r="C149" s="172"/>
      <c r="D149" s="172"/>
      <c r="E149" s="172"/>
      <c r="F149" s="172"/>
      <c r="G149" s="172"/>
      <c r="H149" s="172"/>
      <c r="I149" s="172"/>
      <c r="J149" s="172"/>
      <c r="K149" s="172"/>
      <c r="L149" s="172"/>
      <c r="M149" s="172"/>
      <c r="N149" s="172"/>
      <c r="O149" s="172"/>
      <c r="P149" s="172"/>
      <c r="Q149" s="172"/>
      <c r="R149" s="172"/>
      <c r="S149" s="172"/>
      <c r="T149" s="172"/>
      <c r="U149" s="172"/>
      <c r="V149" s="172"/>
      <c r="W149" s="172"/>
      <c r="X149" s="172"/>
      <c r="Y149" s="172"/>
      <c r="Z149" s="172"/>
    </row>
    <row r="150">
      <c r="A150" s="172"/>
      <c r="B150" s="172"/>
      <c r="C150" s="172"/>
      <c r="D150" s="172"/>
      <c r="E150" s="172"/>
      <c r="F150" s="172"/>
      <c r="G150" s="172"/>
      <c r="H150" s="172"/>
      <c r="I150" s="172"/>
      <c r="J150" s="172"/>
      <c r="K150" s="172"/>
      <c r="L150" s="172"/>
      <c r="M150" s="172"/>
      <c r="N150" s="172"/>
      <c r="O150" s="172"/>
      <c r="P150" s="172"/>
      <c r="Q150" s="172"/>
      <c r="R150" s="172"/>
      <c r="S150" s="172"/>
      <c r="T150" s="172"/>
      <c r="U150" s="172"/>
      <c r="V150" s="172"/>
      <c r="W150" s="172"/>
      <c r="X150" s="172"/>
      <c r="Y150" s="172"/>
      <c r="Z150" s="172"/>
    </row>
    <row r="151">
      <c r="A151" s="172"/>
      <c r="B151" s="172"/>
      <c r="C151" s="172"/>
      <c r="D151" s="172"/>
      <c r="E151" s="172"/>
      <c r="F151" s="172"/>
      <c r="G151" s="172"/>
      <c r="H151" s="172"/>
      <c r="I151" s="172"/>
      <c r="J151" s="172"/>
      <c r="K151" s="172"/>
      <c r="L151" s="172"/>
      <c r="M151" s="172"/>
      <c r="N151" s="172"/>
      <c r="O151" s="172"/>
      <c r="P151" s="172"/>
      <c r="Q151" s="172"/>
      <c r="R151" s="172"/>
      <c r="S151" s="172"/>
      <c r="T151" s="172"/>
      <c r="U151" s="172"/>
      <c r="V151" s="172"/>
      <c r="W151" s="172"/>
      <c r="X151" s="172"/>
      <c r="Y151" s="172"/>
      <c r="Z151" s="172"/>
    </row>
    <row r="152">
      <c r="A152" s="172"/>
      <c r="B152" s="172"/>
      <c r="C152" s="172"/>
      <c r="D152" s="172"/>
      <c r="E152" s="172"/>
      <c r="F152" s="172"/>
      <c r="G152" s="172"/>
      <c r="H152" s="172"/>
      <c r="I152" s="172"/>
      <c r="J152" s="172"/>
      <c r="K152" s="172"/>
      <c r="L152" s="172"/>
      <c r="M152" s="172"/>
      <c r="N152" s="172"/>
      <c r="O152" s="172"/>
      <c r="P152" s="172"/>
      <c r="Q152" s="172"/>
      <c r="R152" s="172"/>
      <c r="S152" s="172"/>
      <c r="T152" s="172"/>
      <c r="U152" s="172"/>
      <c r="V152" s="172"/>
      <c r="W152" s="172"/>
      <c r="X152" s="172"/>
      <c r="Y152" s="172"/>
      <c r="Z152" s="172"/>
    </row>
    <row r="153">
      <c r="A153" s="172"/>
      <c r="B153" s="172"/>
      <c r="C153" s="172"/>
      <c r="D153" s="172"/>
      <c r="E153" s="172"/>
      <c r="F153" s="172"/>
      <c r="G153" s="172"/>
      <c r="H153" s="172"/>
      <c r="I153" s="172"/>
      <c r="J153" s="172"/>
      <c r="K153" s="172"/>
      <c r="L153" s="172"/>
      <c r="M153" s="172"/>
      <c r="N153" s="172"/>
      <c r="O153" s="172"/>
      <c r="P153" s="172"/>
      <c r="Q153" s="172"/>
      <c r="R153" s="172"/>
      <c r="S153" s="172"/>
      <c r="T153" s="172"/>
      <c r="U153" s="172"/>
      <c r="V153" s="172"/>
      <c r="W153" s="172"/>
      <c r="X153" s="172"/>
      <c r="Y153" s="172"/>
      <c r="Z153" s="172"/>
    </row>
    <row r="154">
      <c r="A154" s="172"/>
      <c r="B154" s="172"/>
      <c r="C154" s="172"/>
      <c r="D154" s="172"/>
      <c r="E154" s="172"/>
      <c r="F154" s="172"/>
      <c r="G154" s="172"/>
      <c r="H154" s="172"/>
      <c r="I154" s="172"/>
      <c r="J154" s="172"/>
      <c r="K154" s="172"/>
      <c r="L154" s="172"/>
      <c r="M154" s="172"/>
      <c r="N154" s="172"/>
      <c r="O154" s="172"/>
      <c r="P154" s="172"/>
      <c r="Q154" s="172"/>
      <c r="R154" s="172"/>
      <c r="S154" s="172"/>
      <c r="T154" s="172"/>
      <c r="U154" s="172"/>
      <c r="V154" s="172"/>
      <c r="W154" s="172"/>
      <c r="X154" s="172"/>
      <c r="Y154" s="172"/>
      <c r="Z154" s="172"/>
    </row>
    <row r="155">
      <c r="A155" s="172"/>
      <c r="B155" s="172"/>
      <c r="C155" s="172"/>
      <c r="D155" s="172"/>
      <c r="E155" s="172"/>
      <c r="F155" s="172"/>
      <c r="G155" s="172"/>
      <c r="H155" s="172"/>
      <c r="I155" s="172"/>
      <c r="J155" s="172"/>
      <c r="K155" s="172"/>
      <c r="L155" s="172"/>
      <c r="M155" s="172"/>
      <c r="N155" s="172"/>
      <c r="O155" s="172"/>
      <c r="P155" s="172"/>
      <c r="Q155" s="172"/>
      <c r="R155" s="172"/>
      <c r="S155" s="172"/>
      <c r="T155" s="172"/>
      <c r="U155" s="172"/>
      <c r="V155" s="172"/>
      <c r="W155" s="172"/>
      <c r="X155" s="172"/>
      <c r="Y155" s="172"/>
      <c r="Z155" s="172"/>
    </row>
    <row r="156">
      <c r="A156" s="172"/>
      <c r="B156" s="172"/>
      <c r="C156" s="172"/>
      <c r="D156" s="172"/>
      <c r="E156" s="172"/>
      <c r="F156" s="172"/>
      <c r="G156" s="172"/>
      <c r="H156" s="172"/>
      <c r="I156" s="172"/>
      <c r="J156" s="172"/>
      <c r="K156" s="172"/>
      <c r="L156" s="172"/>
      <c r="M156" s="172"/>
      <c r="N156" s="172"/>
      <c r="O156" s="172"/>
      <c r="P156" s="172"/>
      <c r="Q156" s="172"/>
      <c r="R156" s="172"/>
      <c r="S156" s="172"/>
      <c r="T156" s="172"/>
      <c r="U156" s="172"/>
      <c r="V156" s="172"/>
      <c r="W156" s="172"/>
      <c r="X156" s="172"/>
      <c r="Y156" s="172"/>
      <c r="Z156" s="172"/>
    </row>
    <row r="157">
      <c r="A157" s="172"/>
      <c r="B157" s="172"/>
      <c r="C157" s="172"/>
      <c r="D157" s="172"/>
      <c r="E157" s="172"/>
      <c r="F157" s="172"/>
      <c r="G157" s="172"/>
      <c r="H157" s="172"/>
      <c r="I157" s="172"/>
      <c r="J157" s="172"/>
      <c r="K157" s="172"/>
      <c r="L157" s="172"/>
      <c r="M157" s="172"/>
      <c r="N157" s="172"/>
      <c r="O157" s="172"/>
      <c r="P157" s="172"/>
      <c r="Q157" s="172"/>
      <c r="R157" s="172"/>
      <c r="S157" s="172"/>
      <c r="T157" s="172"/>
      <c r="U157" s="172"/>
      <c r="V157" s="172"/>
      <c r="W157" s="172"/>
      <c r="X157" s="172"/>
      <c r="Y157" s="172"/>
      <c r="Z157" s="172"/>
    </row>
    <row r="158">
      <c r="A158" s="172"/>
      <c r="B158" s="172"/>
      <c r="C158" s="172"/>
      <c r="D158" s="172"/>
      <c r="E158" s="172"/>
      <c r="F158" s="172"/>
      <c r="G158" s="172"/>
      <c r="H158" s="172"/>
      <c r="I158" s="172"/>
      <c r="J158" s="172"/>
      <c r="K158" s="172"/>
      <c r="L158" s="172"/>
      <c r="M158" s="172"/>
      <c r="N158" s="172"/>
      <c r="O158" s="172"/>
      <c r="P158" s="172"/>
      <c r="Q158" s="172"/>
      <c r="R158" s="172"/>
      <c r="S158" s="172"/>
      <c r="T158" s="172"/>
      <c r="U158" s="172"/>
      <c r="V158" s="172"/>
      <c r="W158" s="172"/>
      <c r="X158" s="172"/>
      <c r="Y158" s="172"/>
      <c r="Z158" s="172"/>
    </row>
    <row r="159">
      <c r="A159" s="172"/>
      <c r="B159" s="172"/>
      <c r="C159" s="172"/>
      <c r="D159" s="172"/>
      <c r="E159" s="172"/>
      <c r="F159" s="172"/>
      <c r="G159" s="172"/>
      <c r="H159" s="172"/>
      <c r="I159" s="172"/>
      <c r="J159" s="172"/>
      <c r="K159" s="172"/>
      <c r="L159" s="172"/>
      <c r="M159" s="172"/>
      <c r="N159" s="172"/>
      <c r="O159" s="172"/>
      <c r="P159" s="172"/>
      <c r="Q159" s="172"/>
      <c r="R159" s="172"/>
      <c r="S159" s="172"/>
      <c r="T159" s="172"/>
      <c r="U159" s="172"/>
      <c r="V159" s="172"/>
      <c r="W159" s="172"/>
      <c r="X159" s="172"/>
      <c r="Y159" s="172"/>
      <c r="Z159" s="172"/>
    </row>
    <row r="160">
      <c r="A160" s="172"/>
      <c r="B160" s="172"/>
      <c r="C160" s="172"/>
      <c r="D160" s="172"/>
      <c r="E160" s="172"/>
      <c r="F160" s="172"/>
      <c r="G160" s="172"/>
      <c r="H160" s="172"/>
      <c r="I160" s="172"/>
      <c r="J160" s="172"/>
      <c r="K160" s="172"/>
      <c r="L160" s="172"/>
      <c r="M160" s="172"/>
      <c r="N160" s="172"/>
      <c r="O160" s="172"/>
      <c r="P160" s="172"/>
      <c r="Q160" s="172"/>
      <c r="R160" s="172"/>
      <c r="S160" s="172"/>
      <c r="T160" s="172"/>
      <c r="U160" s="172"/>
      <c r="V160" s="172"/>
      <c r="W160" s="172"/>
      <c r="X160" s="172"/>
      <c r="Y160" s="172"/>
      <c r="Z160" s="172"/>
    </row>
    <row r="161">
      <c r="A161" s="172"/>
      <c r="B161" s="172"/>
      <c r="C161" s="172"/>
      <c r="D161" s="172"/>
      <c r="E161" s="172"/>
      <c r="F161" s="172"/>
      <c r="G161" s="172"/>
      <c r="H161" s="172"/>
      <c r="I161" s="172"/>
      <c r="J161" s="172"/>
      <c r="K161" s="172"/>
      <c r="L161" s="172"/>
      <c r="M161" s="172"/>
      <c r="N161" s="172"/>
      <c r="O161" s="172"/>
      <c r="P161" s="172"/>
      <c r="Q161" s="172"/>
      <c r="R161" s="172"/>
      <c r="S161" s="172"/>
      <c r="T161" s="172"/>
      <c r="U161" s="172"/>
      <c r="V161" s="172"/>
      <c r="W161" s="172"/>
      <c r="X161" s="172"/>
      <c r="Y161" s="172"/>
      <c r="Z161" s="172"/>
    </row>
    <row r="162">
      <c r="A162" s="172"/>
      <c r="B162" s="172"/>
      <c r="C162" s="172"/>
      <c r="D162" s="172"/>
      <c r="E162" s="172"/>
      <c r="F162" s="172"/>
      <c r="G162" s="172"/>
      <c r="H162" s="172"/>
      <c r="I162" s="172"/>
      <c r="J162" s="172"/>
      <c r="K162" s="172"/>
      <c r="L162" s="172"/>
      <c r="M162" s="172"/>
      <c r="N162" s="172"/>
      <c r="O162" s="172"/>
      <c r="P162" s="172"/>
      <c r="Q162" s="172"/>
      <c r="R162" s="172"/>
      <c r="S162" s="172"/>
      <c r="T162" s="172"/>
      <c r="U162" s="172"/>
      <c r="V162" s="172"/>
      <c r="W162" s="172"/>
      <c r="X162" s="172"/>
      <c r="Y162" s="172"/>
      <c r="Z162" s="172"/>
    </row>
    <row r="163">
      <c r="A163" s="172"/>
      <c r="B163" s="172"/>
      <c r="C163" s="172"/>
      <c r="D163" s="172"/>
      <c r="E163" s="172"/>
      <c r="F163" s="172"/>
      <c r="G163" s="172"/>
      <c r="H163" s="172"/>
      <c r="I163" s="172"/>
      <c r="J163" s="172"/>
      <c r="K163" s="172"/>
      <c r="L163" s="172"/>
      <c r="M163" s="172"/>
      <c r="N163" s="172"/>
      <c r="O163" s="172"/>
      <c r="P163" s="172"/>
      <c r="Q163" s="172"/>
      <c r="R163" s="172"/>
      <c r="S163" s="172"/>
      <c r="T163" s="172"/>
      <c r="U163" s="172"/>
      <c r="V163" s="172"/>
      <c r="W163" s="172"/>
      <c r="X163" s="172"/>
      <c r="Y163" s="172"/>
      <c r="Z163" s="172"/>
    </row>
    <row r="164">
      <c r="A164" s="172"/>
      <c r="B164" s="172"/>
      <c r="C164" s="172"/>
      <c r="D164" s="172"/>
      <c r="E164" s="172"/>
      <c r="F164" s="172"/>
      <c r="G164" s="172"/>
      <c r="H164" s="172"/>
      <c r="I164" s="172"/>
      <c r="J164" s="172"/>
      <c r="K164" s="172"/>
      <c r="L164" s="172"/>
      <c r="M164" s="172"/>
      <c r="N164" s="172"/>
      <c r="O164" s="172"/>
      <c r="P164" s="172"/>
      <c r="Q164" s="172"/>
      <c r="R164" s="172"/>
      <c r="S164" s="172"/>
      <c r="T164" s="172"/>
      <c r="U164" s="172"/>
      <c r="V164" s="172"/>
      <c r="W164" s="172"/>
      <c r="X164" s="172"/>
      <c r="Y164" s="172"/>
      <c r="Z164" s="172"/>
    </row>
    <row r="165">
      <c r="A165" s="172"/>
      <c r="B165" s="172"/>
      <c r="C165" s="172"/>
      <c r="D165" s="172"/>
      <c r="E165" s="172"/>
      <c r="F165" s="172"/>
      <c r="G165" s="172"/>
      <c r="H165" s="172"/>
      <c r="I165" s="172"/>
      <c r="J165" s="172"/>
      <c r="K165" s="172"/>
      <c r="L165" s="172"/>
      <c r="M165" s="172"/>
      <c r="N165" s="172"/>
      <c r="O165" s="172"/>
      <c r="P165" s="172"/>
      <c r="Q165" s="172"/>
      <c r="R165" s="172"/>
      <c r="S165" s="172"/>
      <c r="T165" s="172"/>
      <c r="U165" s="172"/>
      <c r="V165" s="172"/>
      <c r="W165" s="172"/>
      <c r="X165" s="172"/>
      <c r="Y165" s="172"/>
      <c r="Z165" s="172"/>
    </row>
    <row r="166">
      <c r="A166" s="172"/>
      <c r="B166" s="172"/>
      <c r="C166" s="172"/>
      <c r="D166" s="172"/>
      <c r="E166" s="172"/>
      <c r="F166" s="172"/>
      <c r="G166" s="172"/>
      <c r="H166" s="172"/>
      <c r="I166" s="172"/>
      <c r="J166" s="172"/>
      <c r="K166" s="172"/>
      <c r="L166" s="172"/>
      <c r="M166" s="172"/>
      <c r="N166" s="172"/>
      <c r="O166" s="172"/>
      <c r="P166" s="172"/>
      <c r="Q166" s="172"/>
      <c r="R166" s="172"/>
      <c r="S166" s="172"/>
      <c r="T166" s="172"/>
      <c r="U166" s="172"/>
      <c r="V166" s="172"/>
      <c r="W166" s="172"/>
      <c r="X166" s="172"/>
      <c r="Y166" s="172"/>
      <c r="Z166" s="172"/>
    </row>
    <row r="167">
      <c r="A167" s="172"/>
      <c r="B167" s="172"/>
      <c r="C167" s="172"/>
      <c r="D167" s="172"/>
      <c r="E167" s="172"/>
      <c r="F167" s="172"/>
      <c r="G167" s="172"/>
      <c r="H167" s="172"/>
      <c r="I167" s="172"/>
      <c r="J167" s="172"/>
      <c r="K167" s="172"/>
      <c r="L167" s="172"/>
      <c r="M167" s="172"/>
      <c r="N167" s="172"/>
      <c r="O167" s="172"/>
      <c r="P167" s="172"/>
      <c r="Q167" s="172"/>
      <c r="R167" s="172"/>
      <c r="S167" s="172"/>
      <c r="T167" s="172"/>
      <c r="U167" s="172"/>
      <c r="V167" s="172"/>
      <c r="W167" s="172"/>
      <c r="X167" s="172"/>
      <c r="Y167" s="172"/>
      <c r="Z167" s="172"/>
    </row>
    <row r="168">
      <c r="A168" s="172"/>
      <c r="B168" s="172"/>
      <c r="C168" s="172"/>
      <c r="D168" s="172"/>
      <c r="E168" s="172"/>
      <c r="F168" s="172"/>
      <c r="G168" s="172"/>
      <c r="H168" s="172"/>
      <c r="I168" s="172"/>
      <c r="J168" s="172"/>
      <c r="K168" s="172"/>
      <c r="L168" s="172"/>
      <c r="M168" s="172"/>
      <c r="N168" s="172"/>
      <c r="O168" s="172"/>
      <c r="P168" s="172"/>
      <c r="Q168" s="172"/>
      <c r="R168" s="172"/>
      <c r="S168" s="172"/>
      <c r="T168" s="172"/>
      <c r="U168" s="172"/>
      <c r="V168" s="172"/>
      <c r="W168" s="172"/>
      <c r="X168" s="172"/>
      <c r="Y168" s="172"/>
      <c r="Z168" s="172"/>
    </row>
    <row r="169">
      <c r="A169" s="172"/>
      <c r="B169" s="172"/>
      <c r="C169" s="172"/>
      <c r="D169" s="172"/>
      <c r="E169" s="172"/>
      <c r="F169" s="172"/>
      <c r="G169" s="172"/>
      <c r="H169" s="172"/>
      <c r="I169" s="172"/>
      <c r="J169" s="172"/>
      <c r="K169" s="172"/>
      <c r="L169" s="172"/>
      <c r="M169" s="172"/>
      <c r="N169" s="172"/>
      <c r="O169" s="172"/>
      <c r="P169" s="172"/>
      <c r="Q169" s="172"/>
      <c r="R169" s="172"/>
      <c r="S169" s="172"/>
      <c r="T169" s="172"/>
      <c r="U169" s="172"/>
      <c r="V169" s="172"/>
      <c r="W169" s="172"/>
      <c r="X169" s="172"/>
      <c r="Y169" s="172"/>
      <c r="Z169" s="172"/>
    </row>
    <row r="170">
      <c r="A170" s="172"/>
      <c r="B170" s="172"/>
      <c r="C170" s="172"/>
      <c r="D170" s="172"/>
      <c r="E170" s="172"/>
      <c r="F170" s="172"/>
      <c r="G170" s="172"/>
      <c r="H170" s="172"/>
      <c r="I170" s="172"/>
      <c r="J170" s="172"/>
      <c r="K170" s="172"/>
      <c r="L170" s="172"/>
      <c r="M170" s="172"/>
      <c r="N170" s="172"/>
      <c r="O170" s="172"/>
      <c r="P170" s="172"/>
      <c r="Q170" s="172"/>
      <c r="R170" s="172"/>
      <c r="S170" s="172"/>
      <c r="T170" s="172"/>
      <c r="U170" s="172"/>
      <c r="V170" s="172"/>
      <c r="W170" s="172"/>
      <c r="X170" s="172"/>
      <c r="Y170" s="172"/>
      <c r="Z170" s="172"/>
    </row>
    <row r="171">
      <c r="A171" s="172"/>
      <c r="B171" s="172"/>
      <c r="C171" s="172"/>
      <c r="D171" s="172"/>
      <c r="E171" s="172"/>
      <c r="F171" s="172"/>
      <c r="G171" s="172"/>
      <c r="H171" s="172"/>
      <c r="I171" s="172"/>
      <c r="J171" s="172"/>
      <c r="K171" s="172"/>
      <c r="L171" s="172"/>
      <c r="M171" s="172"/>
      <c r="N171" s="172"/>
      <c r="O171" s="172"/>
      <c r="P171" s="172"/>
      <c r="Q171" s="172"/>
      <c r="R171" s="172"/>
      <c r="S171" s="172"/>
      <c r="T171" s="172"/>
      <c r="U171" s="172"/>
      <c r="V171" s="172"/>
      <c r="W171" s="172"/>
      <c r="X171" s="172"/>
      <c r="Y171" s="172"/>
      <c r="Z171" s="172"/>
    </row>
    <row r="172">
      <c r="A172" s="172"/>
      <c r="B172" s="172"/>
      <c r="C172" s="172"/>
      <c r="D172" s="172"/>
      <c r="E172" s="172"/>
      <c r="F172" s="172"/>
      <c r="G172" s="172"/>
      <c r="H172" s="172"/>
      <c r="I172" s="172"/>
      <c r="J172" s="172"/>
      <c r="K172" s="172"/>
      <c r="L172" s="172"/>
      <c r="M172" s="172"/>
      <c r="N172" s="172"/>
      <c r="O172" s="172"/>
      <c r="P172" s="172"/>
      <c r="Q172" s="172"/>
      <c r="R172" s="172"/>
      <c r="S172" s="172"/>
      <c r="T172" s="172"/>
      <c r="U172" s="172"/>
      <c r="V172" s="172"/>
      <c r="W172" s="172"/>
      <c r="X172" s="172"/>
      <c r="Y172" s="172"/>
      <c r="Z172" s="172"/>
    </row>
    <row r="173">
      <c r="A173" s="172"/>
      <c r="B173" s="172"/>
      <c r="C173" s="172"/>
      <c r="D173" s="172"/>
      <c r="E173" s="172"/>
      <c r="F173" s="172"/>
      <c r="G173" s="172"/>
      <c r="H173" s="172"/>
      <c r="I173" s="172"/>
      <c r="J173" s="172"/>
      <c r="K173" s="172"/>
      <c r="L173" s="172"/>
      <c r="M173" s="172"/>
      <c r="N173" s="172"/>
      <c r="O173" s="172"/>
      <c r="P173" s="172"/>
      <c r="Q173" s="172"/>
      <c r="R173" s="172"/>
      <c r="S173" s="172"/>
      <c r="T173" s="172"/>
      <c r="U173" s="172"/>
      <c r="V173" s="172"/>
      <c r="W173" s="172"/>
      <c r="X173" s="172"/>
      <c r="Y173" s="172"/>
      <c r="Z173" s="172"/>
    </row>
    <row r="174">
      <c r="A174" s="172"/>
      <c r="B174" s="172"/>
      <c r="C174" s="172"/>
      <c r="D174" s="172"/>
      <c r="E174" s="172"/>
      <c r="F174" s="172"/>
      <c r="G174" s="172"/>
      <c r="H174" s="172"/>
      <c r="I174" s="172"/>
      <c r="J174" s="172"/>
      <c r="K174" s="172"/>
      <c r="L174" s="172"/>
      <c r="M174" s="172"/>
      <c r="N174" s="172"/>
      <c r="O174" s="172"/>
      <c r="P174" s="172"/>
      <c r="Q174" s="172"/>
      <c r="R174" s="172"/>
      <c r="S174" s="172"/>
      <c r="T174" s="172"/>
      <c r="U174" s="172"/>
      <c r="V174" s="172"/>
      <c r="W174" s="172"/>
      <c r="X174" s="172"/>
      <c r="Y174" s="172"/>
      <c r="Z174" s="172"/>
    </row>
    <row r="175">
      <c r="A175" s="172"/>
      <c r="B175" s="172"/>
      <c r="C175" s="172"/>
      <c r="D175" s="172"/>
      <c r="E175" s="172"/>
      <c r="F175" s="172"/>
      <c r="G175" s="172"/>
      <c r="H175" s="172"/>
      <c r="I175" s="172"/>
      <c r="J175" s="172"/>
      <c r="K175" s="172"/>
      <c r="L175" s="172"/>
      <c r="M175" s="172"/>
      <c r="N175" s="172"/>
      <c r="O175" s="172"/>
      <c r="P175" s="172"/>
      <c r="Q175" s="172"/>
      <c r="R175" s="172"/>
      <c r="S175" s="172"/>
      <c r="T175" s="172"/>
      <c r="U175" s="172"/>
      <c r="V175" s="172"/>
      <c r="W175" s="172"/>
      <c r="X175" s="172"/>
      <c r="Y175" s="172"/>
      <c r="Z175" s="172"/>
    </row>
    <row r="176">
      <c r="A176" s="172"/>
      <c r="B176" s="172"/>
      <c r="C176" s="172"/>
      <c r="D176" s="172"/>
      <c r="E176" s="172"/>
      <c r="F176" s="172"/>
      <c r="G176" s="172"/>
      <c r="H176" s="172"/>
      <c r="I176" s="172"/>
      <c r="J176" s="172"/>
      <c r="K176" s="172"/>
      <c r="L176" s="172"/>
      <c r="M176" s="172"/>
      <c r="N176" s="172"/>
      <c r="O176" s="172"/>
      <c r="P176" s="172"/>
      <c r="Q176" s="172"/>
      <c r="R176" s="172"/>
      <c r="S176" s="172"/>
      <c r="T176" s="172"/>
      <c r="U176" s="172"/>
      <c r="V176" s="172"/>
      <c r="W176" s="172"/>
      <c r="X176" s="172"/>
      <c r="Y176" s="172"/>
      <c r="Z176" s="172"/>
    </row>
    <row r="177">
      <c r="A177" s="172"/>
      <c r="B177" s="172"/>
      <c r="C177" s="172"/>
      <c r="D177" s="172"/>
      <c r="E177" s="172"/>
      <c r="F177" s="172"/>
      <c r="G177" s="172"/>
      <c r="H177" s="172"/>
      <c r="I177" s="172"/>
      <c r="J177" s="172"/>
      <c r="K177" s="172"/>
      <c r="L177" s="172"/>
      <c r="M177" s="172"/>
      <c r="N177" s="172"/>
      <c r="O177" s="172"/>
      <c r="P177" s="172"/>
      <c r="Q177" s="172"/>
      <c r="R177" s="172"/>
      <c r="S177" s="172"/>
      <c r="T177" s="172"/>
      <c r="U177" s="172"/>
      <c r="V177" s="172"/>
      <c r="W177" s="172"/>
      <c r="X177" s="172"/>
      <c r="Y177" s="172"/>
      <c r="Z177" s="172"/>
    </row>
    <row r="178">
      <c r="A178" s="172"/>
      <c r="B178" s="172"/>
      <c r="C178" s="172"/>
      <c r="D178" s="172"/>
      <c r="E178" s="172"/>
      <c r="F178" s="172"/>
      <c r="G178" s="172"/>
      <c r="H178" s="172"/>
      <c r="I178" s="172"/>
      <c r="J178" s="172"/>
      <c r="K178" s="172"/>
      <c r="L178" s="172"/>
      <c r="M178" s="172"/>
      <c r="N178" s="172"/>
      <c r="O178" s="172"/>
      <c r="P178" s="172"/>
      <c r="Q178" s="172"/>
      <c r="R178" s="172"/>
      <c r="S178" s="172"/>
      <c r="T178" s="172"/>
      <c r="U178" s="172"/>
      <c r="V178" s="172"/>
      <c r="W178" s="172"/>
      <c r="X178" s="172"/>
      <c r="Y178" s="172"/>
      <c r="Z178" s="172"/>
    </row>
    <row r="179">
      <c r="A179" s="172"/>
      <c r="B179" s="172"/>
      <c r="C179" s="172"/>
      <c r="D179" s="172"/>
      <c r="E179" s="172"/>
      <c r="F179" s="172"/>
      <c r="G179" s="172"/>
      <c r="H179" s="172"/>
      <c r="I179" s="172"/>
      <c r="J179" s="172"/>
      <c r="K179" s="172"/>
      <c r="L179" s="172"/>
      <c r="M179" s="172"/>
      <c r="N179" s="172"/>
      <c r="O179" s="172"/>
      <c r="P179" s="172"/>
      <c r="Q179" s="172"/>
      <c r="R179" s="172"/>
      <c r="S179" s="172"/>
      <c r="T179" s="172"/>
      <c r="U179" s="172"/>
      <c r="V179" s="172"/>
      <c r="W179" s="172"/>
      <c r="X179" s="172"/>
      <c r="Y179" s="172"/>
      <c r="Z179" s="172"/>
    </row>
    <row r="180">
      <c r="A180" s="172"/>
      <c r="B180" s="172"/>
      <c r="C180" s="172"/>
      <c r="D180" s="172"/>
      <c r="E180" s="172"/>
      <c r="F180" s="172"/>
      <c r="G180" s="172"/>
      <c r="H180" s="172"/>
      <c r="I180" s="172"/>
      <c r="J180" s="172"/>
      <c r="K180" s="172"/>
      <c r="L180" s="172"/>
      <c r="M180" s="172"/>
      <c r="N180" s="172"/>
      <c r="O180" s="172"/>
      <c r="P180" s="172"/>
      <c r="Q180" s="172"/>
      <c r="R180" s="172"/>
      <c r="S180" s="172"/>
      <c r="T180" s="172"/>
      <c r="U180" s="172"/>
      <c r="V180" s="172"/>
      <c r="W180" s="172"/>
      <c r="X180" s="172"/>
      <c r="Y180" s="172"/>
      <c r="Z180" s="172"/>
    </row>
    <row r="181">
      <c r="A181" s="172"/>
      <c r="B181" s="172"/>
      <c r="C181" s="172"/>
      <c r="D181" s="172"/>
      <c r="E181" s="172"/>
      <c r="F181" s="172"/>
      <c r="G181" s="172"/>
      <c r="H181" s="172"/>
      <c r="I181" s="172"/>
      <c r="J181" s="172"/>
      <c r="K181" s="172"/>
      <c r="L181" s="172"/>
      <c r="M181" s="172"/>
      <c r="N181" s="172"/>
      <c r="O181" s="172"/>
      <c r="P181" s="172"/>
      <c r="Q181" s="172"/>
      <c r="R181" s="172"/>
      <c r="S181" s="172"/>
      <c r="T181" s="172"/>
      <c r="U181" s="172"/>
      <c r="V181" s="172"/>
      <c r="W181" s="172"/>
      <c r="X181" s="172"/>
      <c r="Y181" s="172"/>
      <c r="Z181" s="172"/>
    </row>
    <row r="182">
      <c r="A182" s="172"/>
      <c r="B182" s="172"/>
      <c r="C182" s="172"/>
      <c r="D182" s="172"/>
      <c r="E182" s="172"/>
      <c r="F182" s="172"/>
      <c r="G182" s="172"/>
      <c r="H182" s="172"/>
      <c r="I182" s="172"/>
      <c r="J182" s="172"/>
      <c r="K182" s="172"/>
      <c r="L182" s="172"/>
      <c r="M182" s="172"/>
      <c r="N182" s="172"/>
      <c r="O182" s="172"/>
      <c r="P182" s="172"/>
      <c r="Q182" s="172"/>
      <c r="R182" s="172"/>
      <c r="S182" s="172"/>
      <c r="T182" s="172"/>
      <c r="U182" s="172"/>
      <c r="V182" s="172"/>
      <c r="W182" s="172"/>
      <c r="X182" s="172"/>
      <c r="Y182" s="172"/>
      <c r="Z182" s="172"/>
    </row>
    <row r="183">
      <c r="A183" s="172"/>
      <c r="B183" s="172"/>
      <c r="C183" s="172"/>
      <c r="D183" s="172"/>
      <c r="E183" s="172"/>
      <c r="F183" s="172"/>
      <c r="G183" s="172"/>
      <c r="H183" s="172"/>
      <c r="I183" s="172"/>
      <c r="J183" s="172"/>
      <c r="K183" s="172"/>
      <c r="L183" s="172"/>
      <c r="M183" s="172"/>
      <c r="N183" s="172"/>
      <c r="O183" s="172"/>
      <c r="P183" s="172"/>
      <c r="Q183" s="172"/>
      <c r="R183" s="172"/>
      <c r="S183" s="172"/>
      <c r="T183" s="172"/>
      <c r="U183" s="172"/>
      <c r="V183" s="172"/>
      <c r="W183" s="172"/>
      <c r="X183" s="172"/>
      <c r="Y183" s="172"/>
      <c r="Z183" s="172"/>
    </row>
    <row r="184">
      <c r="A184" s="172"/>
      <c r="B184" s="172"/>
      <c r="C184" s="172"/>
      <c r="D184" s="172"/>
      <c r="E184" s="172"/>
      <c r="F184" s="172"/>
      <c r="G184" s="172"/>
      <c r="H184" s="172"/>
      <c r="I184" s="172"/>
      <c r="J184" s="172"/>
      <c r="K184" s="172"/>
      <c r="L184" s="172"/>
      <c r="M184" s="172"/>
      <c r="N184" s="172"/>
      <c r="O184" s="172"/>
      <c r="P184" s="172"/>
      <c r="Q184" s="172"/>
      <c r="R184" s="172"/>
      <c r="S184" s="172"/>
      <c r="T184" s="172"/>
      <c r="U184" s="172"/>
      <c r="V184" s="172"/>
      <c r="W184" s="172"/>
      <c r="X184" s="172"/>
      <c r="Y184" s="172"/>
      <c r="Z184" s="172"/>
    </row>
    <row r="185">
      <c r="A185" s="172"/>
      <c r="B185" s="172"/>
      <c r="C185" s="172"/>
      <c r="D185" s="172"/>
      <c r="E185" s="172"/>
      <c r="F185" s="172"/>
      <c r="G185" s="172"/>
      <c r="H185" s="172"/>
      <c r="I185" s="172"/>
      <c r="J185" s="172"/>
      <c r="K185" s="172"/>
      <c r="L185" s="172"/>
      <c r="M185" s="172"/>
      <c r="N185" s="172"/>
      <c r="O185" s="172"/>
      <c r="P185" s="172"/>
      <c r="Q185" s="172"/>
      <c r="R185" s="172"/>
      <c r="S185" s="172"/>
      <c r="T185" s="172"/>
      <c r="U185" s="172"/>
      <c r="V185" s="172"/>
      <c r="W185" s="172"/>
      <c r="X185" s="172"/>
      <c r="Y185" s="172"/>
      <c r="Z185" s="172"/>
    </row>
    <row r="186">
      <c r="A186" s="172"/>
      <c r="B186" s="172"/>
      <c r="C186" s="172"/>
      <c r="D186" s="172"/>
      <c r="E186" s="172"/>
      <c r="F186" s="172"/>
      <c r="G186" s="172"/>
      <c r="H186" s="172"/>
      <c r="I186" s="172"/>
      <c r="J186" s="172"/>
      <c r="K186" s="172"/>
      <c r="L186" s="172"/>
      <c r="M186" s="172"/>
      <c r="N186" s="172"/>
      <c r="O186" s="172"/>
      <c r="P186" s="172"/>
      <c r="Q186" s="172"/>
      <c r="R186" s="172"/>
      <c r="S186" s="172"/>
      <c r="T186" s="172"/>
      <c r="U186" s="172"/>
      <c r="V186" s="172"/>
      <c r="W186" s="172"/>
      <c r="X186" s="172"/>
      <c r="Y186" s="172"/>
      <c r="Z186" s="172"/>
    </row>
    <row r="187">
      <c r="A187" s="172"/>
      <c r="B187" s="172"/>
      <c r="C187" s="172"/>
      <c r="D187" s="172"/>
      <c r="E187" s="172"/>
      <c r="F187" s="172"/>
      <c r="G187" s="172"/>
      <c r="H187" s="172"/>
      <c r="I187" s="172"/>
      <c r="J187" s="172"/>
      <c r="K187" s="172"/>
      <c r="L187" s="172"/>
      <c r="M187" s="172"/>
      <c r="N187" s="172"/>
      <c r="O187" s="172"/>
      <c r="P187" s="172"/>
      <c r="Q187" s="172"/>
      <c r="R187" s="172"/>
      <c r="S187" s="172"/>
      <c r="T187" s="172"/>
      <c r="U187" s="172"/>
      <c r="V187" s="172"/>
      <c r="W187" s="172"/>
      <c r="X187" s="172"/>
      <c r="Y187" s="172"/>
      <c r="Z187" s="172"/>
    </row>
    <row r="188">
      <c r="A188" s="172"/>
      <c r="B188" s="172"/>
      <c r="C188" s="172"/>
      <c r="D188" s="172"/>
      <c r="E188" s="172"/>
      <c r="F188" s="172"/>
      <c r="G188" s="172"/>
      <c r="H188" s="172"/>
      <c r="I188" s="172"/>
      <c r="J188" s="172"/>
      <c r="K188" s="172"/>
      <c r="L188" s="172"/>
      <c r="M188" s="172"/>
      <c r="N188" s="172"/>
      <c r="O188" s="172"/>
      <c r="P188" s="172"/>
      <c r="Q188" s="172"/>
      <c r="R188" s="172"/>
      <c r="S188" s="172"/>
      <c r="T188" s="172"/>
      <c r="U188" s="172"/>
      <c r="V188" s="172"/>
      <c r="W188" s="172"/>
      <c r="X188" s="172"/>
      <c r="Y188" s="172"/>
      <c r="Z188" s="172"/>
    </row>
    <row r="189">
      <c r="A189" s="172"/>
      <c r="B189" s="172"/>
      <c r="C189" s="172"/>
      <c r="D189" s="172"/>
      <c r="E189" s="172"/>
      <c r="F189" s="172"/>
      <c r="G189" s="172"/>
      <c r="H189" s="172"/>
      <c r="I189" s="172"/>
      <c r="J189" s="172"/>
      <c r="K189" s="172"/>
      <c r="L189" s="172"/>
      <c r="M189" s="172"/>
      <c r="N189" s="172"/>
      <c r="O189" s="172"/>
      <c r="P189" s="172"/>
      <c r="Q189" s="172"/>
      <c r="R189" s="172"/>
      <c r="S189" s="172"/>
      <c r="T189" s="172"/>
      <c r="U189" s="172"/>
      <c r="V189" s="172"/>
      <c r="W189" s="172"/>
      <c r="X189" s="172"/>
      <c r="Y189" s="172"/>
      <c r="Z189" s="172"/>
    </row>
    <row r="190">
      <c r="A190" s="172"/>
      <c r="B190" s="172"/>
      <c r="C190" s="172"/>
      <c r="D190" s="172"/>
      <c r="E190" s="172"/>
      <c r="F190" s="172"/>
      <c r="G190" s="172"/>
      <c r="H190" s="172"/>
      <c r="I190" s="172"/>
      <c r="J190" s="172"/>
      <c r="K190" s="172"/>
      <c r="L190" s="172"/>
      <c r="M190" s="172"/>
      <c r="N190" s="172"/>
      <c r="O190" s="172"/>
      <c r="P190" s="172"/>
      <c r="Q190" s="172"/>
      <c r="R190" s="172"/>
      <c r="S190" s="172"/>
      <c r="T190" s="172"/>
      <c r="U190" s="172"/>
      <c r="V190" s="172"/>
      <c r="W190" s="172"/>
      <c r="X190" s="172"/>
      <c r="Y190" s="172"/>
      <c r="Z190" s="172"/>
    </row>
    <row r="191">
      <c r="A191" s="172"/>
      <c r="B191" s="172"/>
      <c r="C191" s="172"/>
      <c r="D191" s="172"/>
      <c r="E191" s="172"/>
      <c r="F191" s="172"/>
      <c r="G191" s="172"/>
      <c r="H191" s="172"/>
      <c r="I191" s="172"/>
      <c r="J191" s="172"/>
      <c r="K191" s="172"/>
      <c r="L191" s="172"/>
      <c r="M191" s="172"/>
      <c r="N191" s="172"/>
      <c r="O191" s="172"/>
      <c r="P191" s="172"/>
      <c r="Q191" s="172"/>
      <c r="R191" s="172"/>
      <c r="S191" s="172"/>
      <c r="T191" s="172"/>
      <c r="U191" s="172"/>
      <c r="V191" s="172"/>
      <c r="W191" s="172"/>
      <c r="X191" s="172"/>
      <c r="Y191" s="172"/>
      <c r="Z191" s="172"/>
    </row>
    <row r="192">
      <c r="A192" s="172"/>
      <c r="B192" s="172"/>
      <c r="C192" s="172"/>
      <c r="D192" s="172"/>
      <c r="E192" s="172"/>
      <c r="F192" s="172"/>
      <c r="G192" s="172"/>
      <c r="H192" s="172"/>
      <c r="I192" s="172"/>
      <c r="J192" s="172"/>
      <c r="K192" s="172"/>
      <c r="L192" s="172"/>
      <c r="M192" s="172"/>
      <c r="N192" s="172"/>
      <c r="O192" s="172"/>
      <c r="P192" s="172"/>
      <c r="Q192" s="172"/>
      <c r="R192" s="172"/>
      <c r="S192" s="172"/>
      <c r="T192" s="172"/>
      <c r="U192" s="172"/>
      <c r="V192" s="172"/>
      <c r="W192" s="172"/>
      <c r="X192" s="172"/>
      <c r="Y192" s="172"/>
      <c r="Z192" s="172"/>
    </row>
    <row r="193">
      <c r="A193" s="172"/>
      <c r="B193" s="172"/>
      <c r="C193" s="172"/>
      <c r="D193" s="172"/>
      <c r="E193" s="172"/>
      <c r="F193" s="172"/>
      <c r="G193" s="172"/>
      <c r="H193" s="172"/>
      <c r="I193" s="172"/>
      <c r="J193" s="172"/>
      <c r="K193" s="172"/>
      <c r="L193" s="172"/>
      <c r="M193" s="172"/>
      <c r="N193" s="172"/>
      <c r="O193" s="172"/>
      <c r="P193" s="172"/>
      <c r="Q193" s="172"/>
      <c r="R193" s="172"/>
      <c r="S193" s="172"/>
      <c r="T193" s="172"/>
      <c r="U193" s="172"/>
      <c r="V193" s="172"/>
      <c r="W193" s="172"/>
      <c r="X193" s="172"/>
      <c r="Y193" s="172"/>
      <c r="Z193" s="172"/>
    </row>
    <row r="194">
      <c r="A194" s="172"/>
      <c r="B194" s="172"/>
      <c r="C194" s="172"/>
      <c r="D194" s="172"/>
      <c r="E194" s="172"/>
      <c r="F194" s="172"/>
      <c r="G194" s="172"/>
      <c r="H194" s="172"/>
      <c r="I194" s="172"/>
      <c r="J194" s="172"/>
      <c r="K194" s="172"/>
      <c r="L194" s="172"/>
      <c r="M194" s="172"/>
      <c r="N194" s="172"/>
      <c r="O194" s="172"/>
      <c r="P194" s="172"/>
      <c r="Q194" s="172"/>
      <c r="R194" s="172"/>
      <c r="S194" s="172"/>
      <c r="T194" s="172"/>
      <c r="U194" s="172"/>
      <c r="V194" s="172"/>
      <c r="W194" s="172"/>
      <c r="X194" s="172"/>
      <c r="Y194" s="172"/>
      <c r="Z194" s="172"/>
    </row>
    <row r="195">
      <c r="A195" s="172"/>
      <c r="B195" s="172"/>
      <c r="C195" s="172"/>
      <c r="D195" s="172"/>
      <c r="E195" s="172"/>
      <c r="F195" s="172"/>
      <c r="G195" s="172"/>
      <c r="H195" s="172"/>
      <c r="I195" s="172"/>
      <c r="J195" s="172"/>
      <c r="K195" s="172"/>
      <c r="L195" s="172"/>
      <c r="M195" s="172"/>
      <c r="N195" s="172"/>
      <c r="O195" s="172"/>
      <c r="P195" s="172"/>
      <c r="Q195" s="172"/>
      <c r="R195" s="172"/>
      <c r="S195" s="172"/>
      <c r="T195" s="172"/>
      <c r="U195" s="172"/>
      <c r="V195" s="172"/>
      <c r="W195" s="172"/>
      <c r="X195" s="172"/>
      <c r="Y195" s="172"/>
      <c r="Z195" s="172"/>
    </row>
    <row r="196">
      <c r="A196" s="172"/>
      <c r="B196" s="172"/>
      <c r="C196" s="172"/>
      <c r="D196" s="172"/>
      <c r="E196" s="172"/>
      <c r="F196" s="172"/>
      <c r="G196" s="172"/>
      <c r="H196" s="172"/>
      <c r="I196" s="172"/>
      <c r="J196" s="172"/>
      <c r="K196" s="172"/>
      <c r="L196" s="172"/>
      <c r="M196" s="172"/>
      <c r="N196" s="172"/>
      <c r="O196" s="172"/>
      <c r="P196" s="172"/>
      <c r="Q196" s="172"/>
      <c r="R196" s="172"/>
      <c r="S196" s="172"/>
      <c r="T196" s="172"/>
      <c r="U196" s="172"/>
      <c r="V196" s="172"/>
      <c r="W196" s="172"/>
      <c r="X196" s="172"/>
      <c r="Y196" s="172"/>
      <c r="Z196" s="172"/>
    </row>
    <row r="197">
      <c r="A197" s="172"/>
      <c r="B197" s="172"/>
      <c r="C197" s="172"/>
      <c r="D197" s="172"/>
      <c r="E197" s="172"/>
      <c r="F197" s="172"/>
      <c r="G197" s="172"/>
      <c r="H197" s="172"/>
      <c r="I197" s="172"/>
      <c r="J197" s="172"/>
      <c r="K197" s="172"/>
      <c r="L197" s="172"/>
      <c r="M197" s="172"/>
      <c r="N197" s="172"/>
      <c r="O197" s="172"/>
      <c r="P197" s="172"/>
      <c r="Q197" s="172"/>
      <c r="R197" s="172"/>
      <c r="S197" s="172"/>
      <c r="T197" s="172"/>
      <c r="U197" s="172"/>
      <c r="V197" s="172"/>
      <c r="W197" s="172"/>
      <c r="X197" s="172"/>
      <c r="Y197" s="172"/>
      <c r="Z197" s="172"/>
    </row>
    <row r="198">
      <c r="A198" s="172"/>
      <c r="B198" s="172"/>
      <c r="C198" s="172"/>
      <c r="D198" s="172"/>
      <c r="E198" s="172"/>
      <c r="F198" s="172"/>
      <c r="G198" s="172"/>
      <c r="H198" s="172"/>
      <c r="I198" s="172"/>
      <c r="J198" s="172"/>
      <c r="K198" s="172"/>
      <c r="L198" s="172"/>
      <c r="M198" s="172"/>
      <c r="N198" s="172"/>
      <c r="O198" s="172"/>
      <c r="P198" s="172"/>
      <c r="Q198" s="172"/>
      <c r="R198" s="172"/>
      <c r="S198" s="172"/>
      <c r="T198" s="172"/>
      <c r="U198" s="172"/>
      <c r="V198" s="172"/>
      <c r="W198" s="172"/>
      <c r="X198" s="172"/>
      <c r="Y198" s="172"/>
      <c r="Z198" s="172"/>
    </row>
    <row r="199">
      <c r="A199" s="172"/>
      <c r="B199" s="172"/>
      <c r="C199" s="172"/>
      <c r="D199" s="172"/>
      <c r="E199" s="172"/>
      <c r="F199" s="172"/>
      <c r="G199" s="172"/>
      <c r="H199" s="172"/>
      <c r="I199" s="172"/>
      <c r="J199" s="172"/>
      <c r="K199" s="172"/>
      <c r="L199" s="172"/>
      <c r="M199" s="172"/>
      <c r="N199" s="172"/>
      <c r="O199" s="172"/>
      <c r="P199" s="172"/>
      <c r="Q199" s="172"/>
      <c r="R199" s="172"/>
      <c r="S199" s="172"/>
      <c r="T199" s="172"/>
      <c r="U199" s="172"/>
      <c r="V199" s="172"/>
      <c r="W199" s="172"/>
      <c r="X199" s="172"/>
      <c r="Y199" s="172"/>
      <c r="Z199" s="172"/>
    </row>
    <row r="200">
      <c r="A200" s="172"/>
      <c r="B200" s="172"/>
      <c r="C200" s="172"/>
      <c r="D200" s="172"/>
      <c r="E200" s="172"/>
      <c r="F200" s="172"/>
      <c r="G200" s="172"/>
      <c r="H200" s="172"/>
      <c r="I200" s="172"/>
      <c r="J200" s="172"/>
      <c r="K200" s="172"/>
      <c r="L200" s="172"/>
      <c r="M200" s="172"/>
      <c r="N200" s="172"/>
      <c r="O200" s="172"/>
      <c r="P200" s="172"/>
      <c r="Q200" s="172"/>
      <c r="R200" s="172"/>
      <c r="S200" s="172"/>
      <c r="T200" s="172"/>
      <c r="U200" s="172"/>
      <c r="V200" s="172"/>
      <c r="W200" s="172"/>
      <c r="X200" s="172"/>
      <c r="Y200" s="172"/>
      <c r="Z200" s="172"/>
    </row>
    <row r="201">
      <c r="A201" s="172"/>
      <c r="B201" s="172"/>
      <c r="C201" s="172"/>
      <c r="D201" s="172"/>
      <c r="E201" s="172"/>
      <c r="F201" s="172"/>
      <c r="G201" s="172"/>
      <c r="H201" s="172"/>
      <c r="I201" s="172"/>
      <c r="J201" s="172"/>
      <c r="K201" s="172"/>
      <c r="L201" s="172"/>
      <c r="M201" s="172"/>
      <c r="N201" s="172"/>
      <c r="O201" s="172"/>
      <c r="P201" s="172"/>
      <c r="Q201" s="172"/>
      <c r="R201" s="172"/>
      <c r="S201" s="172"/>
      <c r="T201" s="172"/>
      <c r="U201" s="172"/>
      <c r="V201" s="172"/>
      <c r="W201" s="172"/>
      <c r="X201" s="172"/>
      <c r="Y201" s="172"/>
      <c r="Z201" s="172"/>
    </row>
    <row r="202">
      <c r="A202" s="172"/>
      <c r="B202" s="172"/>
      <c r="C202" s="172"/>
      <c r="D202" s="172"/>
      <c r="E202" s="172"/>
      <c r="F202" s="172"/>
      <c r="G202" s="172"/>
      <c r="H202" s="172"/>
      <c r="I202" s="172"/>
      <c r="J202" s="172"/>
      <c r="K202" s="172"/>
      <c r="L202" s="172"/>
      <c r="M202" s="172"/>
      <c r="N202" s="172"/>
      <c r="O202" s="172"/>
      <c r="P202" s="172"/>
      <c r="Q202" s="172"/>
      <c r="R202" s="172"/>
      <c r="S202" s="172"/>
      <c r="T202" s="172"/>
      <c r="U202" s="172"/>
      <c r="V202" s="172"/>
      <c r="W202" s="172"/>
      <c r="X202" s="172"/>
      <c r="Y202" s="172"/>
      <c r="Z202" s="172"/>
    </row>
    <row r="203">
      <c r="A203" s="172"/>
      <c r="B203" s="172"/>
      <c r="C203" s="172"/>
      <c r="D203" s="172"/>
      <c r="E203" s="172"/>
      <c r="F203" s="172"/>
      <c r="G203" s="172"/>
      <c r="H203" s="172"/>
      <c r="I203" s="172"/>
      <c r="J203" s="172"/>
      <c r="K203" s="172"/>
      <c r="L203" s="172"/>
      <c r="M203" s="172"/>
      <c r="N203" s="172"/>
      <c r="O203" s="172"/>
      <c r="P203" s="172"/>
      <c r="Q203" s="172"/>
      <c r="R203" s="172"/>
      <c r="S203" s="172"/>
      <c r="T203" s="172"/>
      <c r="U203" s="172"/>
      <c r="V203" s="172"/>
      <c r="W203" s="172"/>
      <c r="X203" s="172"/>
      <c r="Y203" s="172"/>
      <c r="Z203" s="172"/>
    </row>
    <row r="204">
      <c r="A204" s="172"/>
      <c r="B204" s="172"/>
      <c r="C204" s="172"/>
      <c r="D204" s="172"/>
      <c r="E204" s="172"/>
      <c r="F204" s="172"/>
      <c r="G204" s="172"/>
      <c r="H204" s="172"/>
      <c r="I204" s="172"/>
      <c r="J204" s="172"/>
      <c r="K204" s="172"/>
      <c r="L204" s="172"/>
      <c r="M204" s="172"/>
      <c r="N204" s="172"/>
      <c r="O204" s="172"/>
      <c r="P204" s="172"/>
      <c r="Q204" s="172"/>
      <c r="R204" s="172"/>
      <c r="S204" s="172"/>
      <c r="T204" s="172"/>
      <c r="U204" s="172"/>
      <c r="V204" s="172"/>
      <c r="W204" s="172"/>
      <c r="X204" s="172"/>
      <c r="Y204" s="172"/>
      <c r="Z204" s="172"/>
    </row>
    <row r="205">
      <c r="A205" s="172"/>
      <c r="B205" s="172"/>
      <c r="C205" s="172"/>
      <c r="D205" s="172"/>
      <c r="E205" s="172"/>
      <c r="F205" s="172"/>
      <c r="G205" s="172"/>
      <c r="H205" s="172"/>
      <c r="I205" s="172"/>
      <c r="J205" s="172"/>
      <c r="K205" s="172"/>
      <c r="L205" s="172"/>
      <c r="M205" s="172"/>
      <c r="N205" s="172"/>
      <c r="O205" s="172"/>
      <c r="P205" s="172"/>
      <c r="Q205" s="172"/>
      <c r="R205" s="172"/>
      <c r="S205" s="172"/>
      <c r="T205" s="172"/>
      <c r="U205" s="172"/>
      <c r="V205" s="172"/>
      <c r="W205" s="172"/>
      <c r="X205" s="172"/>
      <c r="Y205" s="172"/>
      <c r="Z205" s="172"/>
    </row>
    <row r="206">
      <c r="A206" s="172"/>
      <c r="B206" s="172"/>
      <c r="C206" s="172"/>
      <c r="D206" s="172"/>
      <c r="E206" s="172"/>
      <c r="F206" s="172"/>
      <c r="G206" s="172"/>
      <c r="H206" s="172"/>
      <c r="I206" s="172"/>
      <c r="J206" s="172"/>
      <c r="K206" s="172"/>
      <c r="L206" s="172"/>
      <c r="M206" s="172"/>
      <c r="N206" s="172"/>
      <c r="O206" s="172"/>
      <c r="P206" s="172"/>
      <c r="Q206" s="172"/>
      <c r="R206" s="172"/>
      <c r="S206" s="172"/>
      <c r="T206" s="172"/>
      <c r="U206" s="172"/>
      <c r="V206" s="172"/>
      <c r="W206" s="172"/>
      <c r="X206" s="172"/>
      <c r="Y206" s="172"/>
      <c r="Z206" s="172"/>
    </row>
    <row r="207">
      <c r="A207" s="172"/>
      <c r="B207" s="172"/>
      <c r="C207" s="172"/>
      <c r="D207" s="172"/>
      <c r="E207" s="172"/>
      <c r="F207" s="172"/>
      <c r="G207" s="172"/>
      <c r="H207" s="172"/>
      <c r="I207" s="172"/>
      <c r="J207" s="172"/>
      <c r="K207" s="172"/>
      <c r="L207" s="172"/>
      <c r="M207" s="172"/>
      <c r="N207" s="172"/>
      <c r="O207" s="172"/>
      <c r="P207" s="172"/>
      <c r="Q207" s="172"/>
      <c r="R207" s="172"/>
      <c r="S207" s="172"/>
      <c r="T207" s="172"/>
      <c r="U207" s="172"/>
      <c r="V207" s="172"/>
      <c r="W207" s="172"/>
      <c r="X207" s="172"/>
      <c r="Y207" s="172"/>
      <c r="Z207" s="172"/>
    </row>
    <row r="208">
      <c r="A208" s="172"/>
      <c r="B208" s="172"/>
      <c r="C208" s="172"/>
      <c r="D208" s="172"/>
      <c r="E208" s="172"/>
      <c r="F208" s="172"/>
      <c r="G208" s="172"/>
      <c r="H208" s="172"/>
      <c r="I208" s="172"/>
      <c r="J208" s="172"/>
      <c r="K208" s="172"/>
      <c r="L208" s="172"/>
      <c r="M208" s="172"/>
      <c r="N208" s="172"/>
      <c r="O208" s="172"/>
      <c r="P208" s="172"/>
      <c r="Q208" s="172"/>
      <c r="R208" s="172"/>
      <c r="S208" s="172"/>
      <c r="T208" s="172"/>
      <c r="U208" s="172"/>
      <c r="V208" s="172"/>
      <c r="W208" s="172"/>
      <c r="X208" s="172"/>
      <c r="Y208" s="172"/>
      <c r="Z208" s="172"/>
    </row>
    <row r="209">
      <c r="A209" s="172"/>
      <c r="B209" s="172"/>
      <c r="C209" s="172"/>
      <c r="D209" s="172"/>
      <c r="E209" s="172"/>
      <c r="F209" s="172"/>
      <c r="G209" s="172"/>
      <c r="H209" s="172"/>
      <c r="I209" s="172"/>
      <c r="J209" s="172"/>
      <c r="K209" s="172"/>
      <c r="L209" s="172"/>
      <c r="M209" s="172"/>
      <c r="N209" s="172"/>
      <c r="O209" s="172"/>
      <c r="P209" s="172"/>
      <c r="Q209" s="172"/>
      <c r="R209" s="172"/>
      <c r="S209" s="172"/>
      <c r="T209" s="172"/>
      <c r="U209" s="172"/>
      <c r="V209" s="172"/>
      <c r="W209" s="172"/>
      <c r="X209" s="172"/>
      <c r="Y209" s="172"/>
      <c r="Z209" s="172"/>
    </row>
    <row r="210">
      <c r="A210" s="172"/>
      <c r="B210" s="172"/>
      <c r="C210" s="172"/>
      <c r="D210" s="172"/>
      <c r="E210" s="172"/>
      <c r="F210" s="172"/>
      <c r="G210" s="172"/>
      <c r="H210" s="172"/>
      <c r="I210" s="172"/>
      <c r="J210" s="172"/>
      <c r="K210" s="172"/>
      <c r="L210" s="172"/>
      <c r="M210" s="172"/>
      <c r="N210" s="172"/>
      <c r="O210" s="172"/>
      <c r="P210" s="172"/>
      <c r="Q210" s="172"/>
      <c r="R210" s="172"/>
      <c r="S210" s="172"/>
      <c r="T210" s="172"/>
      <c r="U210" s="172"/>
      <c r="V210" s="172"/>
      <c r="W210" s="172"/>
      <c r="X210" s="172"/>
      <c r="Y210" s="172"/>
      <c r="Z210" s="172"/>
    </row>
    <row r="211">
      <c r="A211" s="172"/>
      <c r="B211" s="172"/>
      <c r="C211" s="172"/>
      <c r="D211" s="172"/>
      <c r="E211" s="172"/>
      <c r="F211" s="172"/>
      <c r="G211" s="172"/>
      <c r="H211" s="172"/>
      <c r="I211" s="172"/>
      <c r="J211" s="172"/>
      <c r="K211" s="172"/>
      <c r="L211" s="172"/>
      <c r="M211" s="172"/>
      <c r="N211" s="172"/>
      <c r="O211" s="172"/>
      <c r="P211" s="172"/>
      <c r="Q211" s="172"/>
      <c r="R211" s="172"/>
      <c r="S211" s="172"/>
      <c r="T211" s="172"/>
      <c r="U211" s="172"/>
      <c r="V211" s="172"/>
      <c r="W211" s="172"/>
      <c r="X211" s="172"/>
      <c r="Y211" s="172"/>
      <c r="Z211" s="172"/>
    </row>
    <row r="212">
      <c r="A212" s="172"/>
      <c r="B212" s="172"/>
      <c r="C212" s="172"/>
      <c r="D212" s="172"/>
      <c r="E212" s="172"/>
      <c r="F212" s="172"/>
      <c r="G212" s="172"/>
      <c r="H212" s="172"/>
      <c r="I212" s="172"/>
      <c r="J212" s="172"/>
      <c r="K212" s="172"/>
      <c r="L212" s="172"/>
      <c r="M212" s="172"/>
      <c r="N212" s="172"/>
      <c r="O212" s="172"/>
      <c r="P212" s="172"/>
      <c r="Q212" s="172"/>
      <c r="R212" s="172"/>
      <c r="S212" s="172"/>
      <c r="T212" s="172"/>
      <c r="U212" s="172"/>
      <c r="V212" s="172"/>
      <c r="W212" s="172"/>
      <c r="X212" s="172"/>
      <c r="Y212" s="172"/>
      <c r="Z212" s="172"/>
    </row>
    <row r="213">
      <c r="A213" s="172"/>
      <c r="B213" s="172"/>
      <c r="C213" s="172"/>
      <c r="D213" s="172"/>
      <c r="E213" s="172"/>
      <c r="F213" s="172"/>
      <c r="G213" s="172"/>
      <c r="H213" s="172"/>
      <c r="I213" s="172"/>
      <c r="J213" s="172"/>
      <c r="K213" s="172"/>
      <c r="L213" s="172"/>
      <c r="M213" s="172"/>
      <c r="N213" s="172"/>
      <c r="O213" s="172"/>
      <c r="P213" s="172"/>
      <c r="Q213" s="172"/>
      <c r="R213" s="172"/>
      <c r="S213" s="172"/>
      <c r="T213" s="172"/>
      <c r="U213" s="172"/>
      <c r="V213" s="172"/>
      <c r="W213" s="172"/>
      <c r="X213" s="172"/>
      <c r="Y213" s="172"/>
      <c r="Z213" s="172"/>
    </row>
    <row r="214">
      <c r="A214" s="172"/>
      <c r="B214" s="172"/>
      <c r="C214" s="172"/>
      <c r="D214" s="172"/>
      <c r="E214" s="172"/>
      <c r="F214" s="172"/>
      <c r="G214" s="172"/>
      <c r="H214" s="172"/>
      <c r="I214" s="172"/>
      <c r="J214" s="172"/>
      <c r="K214" s="172"/>
      <c r="L214" s="172"/>
      <c r="M214" s="172"/>
      <c r="N214" s="172"/>
      <c r="O214" s="172"/>
      <c r="P214" s="172"/>
      <c r="Q214" s="172"/>
      <c r="R214" s="172"/>
      <c r="S214" s="172"/>
      <c r="T214" s="172"/>
      <c r="U214" s="172"/>
      <c r="V214" s="172"/>
      <c r="W214" s="172"/>
      <c r="X214" s="172"/>
      <c r="Y214" s="172"/>
      <c r="Z214" s="172"/>
    </row>
    <row r="215">
      <c r="A215" s="172"/>
      <c r="B215" s="172"/>
      <c r="C215" s="172"/>
      <c r="D215" s="172"/>
      <c r="E215" s="172"/>
      <c r="F215" s="172"/>
      <c r="G215" s="172"/>
      <c r="H215" s="172"/>
      <c r="I215" s="172"/>
      <c r="J215" s="172"/>
      <c r="K215" s="172"/>
      <c r="L215" s="172"/>
      <c r="M215" s="172"/>
      <c r="N215" s="172"/>
      <c r="O215" s="172"/>
      <c r="P215" s="172"/>
      <c r="Q215" s="172"/>
      <c r="R215" s="172"/>
      <c r="S215" s="172"/>
      <c r="T215" s="172"/>
      <c r="U215" s="172"/>
      <c r="V215" s="172"/>
      <c r="W215" s="172"/>
      <c r="X215" s="172"/>
      <c r="Y215" s="172"/>
      <c r="Z215" s="172"/>
    </row>
    <row r="216">
      <c r="A216" s="172"/>
      <c r="B216" s="172"/>
      <c r="C216" s="172"/>
      <c r="D216" s="172"/>
      <c r="E216" s="172"/>
      <c r="F216" s="172"/>
      <c r="G216" s="172"/>
      <c r="H216" s="172"/>
      <c r="I216" s="172"/>
      <c r="J216" s="172"/>
      <c r="K216" s="172"/>
      <c r="L216" s="172"/>
      <c r="M216" s="172"/>
      <c r="N216" s="172"/>
      <c r="O216" s="172"/>
      <c r="P216" s="172"/>
      <c r="Q216" s="172"/>
      <c r="R216" s="172"/>
      <c r="S216" s="172"/>
      <c r="T216" s="172"/>
      <c r="U216" s="172"/>
      <c r="V216" s="172"/>
      <c r="W216" s="172"/>
      <c r="X216" s="172"/>
      <c r="Y216" s="172"/>
      <c r="Z216" s="172"/>
    </row>
    <row r="217">
      <c r="A217" s="172"/>
      <c r="B217" s="172"/>
      <c r="C217" s="172"/>
      <c r="D217" s="172"/>
      <c r="E217" s="172"/>
      <c r="F217" s="172"/>
      <c r="G217" s="172"/>
      <c r="H217" s="172"/>
      <c r="I217" s="172"/>
      <c r="J217" s="172"/>
      <c r="K217" s="172"/>
      <c r="L217" s="172"/>
      <c r="M217" s="172"/>
      <c r="N217" s="172"/>
      <c r="O217" s="172"/>
      <c r="P217" s="172"/>
      <c r="Q217" s="172"/>
      <c r="R217" s="172"/>
      <c r="S217" s="172"/>
      <c r="T217" s="172"/>
      <c r="U217" s="172"/>
      <c r="V217" s="172"/>
      <c r="W217" s="172"/>
      <c r="X217" s="172"/>
      <c r="Y217" s="172"/>
      <c r="Z217" s="172"/>
    </row>
    <row r="218">
      <c r="A218" s="172"/>
      <c r="B218" s="172"/>
      <c r="C218" s="172"/>
      <c r="D218" s="172"/>
      <c r="E218" s="172"/>
      <c r="F218" s="172"/>
      <c r="G218" s="172"/>
      <c r="H218" s="172"/>
      <c r="I218" s="172"/>
      <c r="J218" s="172"/>
      <c r="K218" s="172"/>
      <c r="L218" s="172"/>
      <c r="M218" s="172"/>
      <c r="N218" s="172"/>
      <c r="O218" s="172"/>
      <c r="P218" s="172"/>
      <c r="Q218" s="172"/>
      <c r="R218" s="172"/>
      <c r="S218" s="172"/>
      <c r="T218" s="172"/>
      <c r="U218" s="172"/>
      <c r="V218" s="172"/>
      <c r="W218" s="172"/>
      <c r="X218" s="172"/>
      <c r="Y218" s="172"/>
      <c r="Z218" s="172"/>
    </row>
    <row r="219">
      <c r="A219" s="172"/>
      <c r="B219" s="172"/>
      <c r="C219" s="172"/>
      <c r="D219" s="172"/>
      <c r="E219" s="172"/>
      <c r="F219" s="172"/>
      <c r="G219" s="172"/>
      <c r="H219" s="172"/>
      <c r="I219" s="172"/>
      <c r="J219" s="172"/>
      <c r="K219" s="172"/>
      <c r="L219" s="172"/>
      <c r="M219" s="172"/>
      <c r="N219" s="172"/>
      <c r="O219" s="172"/>
      <c r="P219" s="172"/>
      <c r="Q219" s="172"/>
      <c r="R219" s="172"/>
      <c r="S219" s="172"/>
      <c r="T219" s="172"/>
      <c r="U219" s="172"/>
      <c r="V219" s="172"/>
      <c r="W219" s="172"/>
      <c r="X219" s="172"/>
      <c r="Y219" s="172"/>
      <c r="Z219" s="172"/>
    </row>
    <row r="220">
      <c r="A220" s="172"/>
      <c r="B220" s="172"/>
      <c r="C220" s="172"/>
      <c r="D220" s="172"/>
      <c r="E220" s="172"/>
      <c r="F220" s="172"/>
      <c r="G220" s="172"/>
      <c r="H220" s="172"/>
      <c r="I220" s="172"/>
      <c r="J220" s="172"/>
      <c r="K220" s="172"/>
      <c r="L220" s="172"/>
      <c r="M220" s="172"/>
      <c r="N220" s="172"/>
      <c r="O220" s="172"/>
      <c r="P220" s="172"/>
      <c r="Q220" s="172"/>
      <c r="R220" s="172"/>
      <c r="S220" s="172"/>
      <c r="T220" s="172"/>
      <c r="U220" s="172"/>
      <c r="V220" s="172"/>
      <c r="W220" s="172"/>
      <c r="X220" s="172"/>
      <c r="Y220" s="172"/>
      <c r="Z220" s="172"/>
    </row>
    <row r="221">
      <c r="A221" s="172"/>
      <c r="B221" s="172"/>
      <c r="C221" s="172"/>
      <c r="D221" s="172"/>
      <c r="E221" s="172"/>
      <c r="F221" s="172"/>
      <c r="G221" s="172"/>
      <c r="H221" s="172"/>
      <c r="I221" s="172"/>
      <c r="J221" s="172"/>
      <c r="K221" s="172"/>
      <c r="L221" s="172"/>
      <c r="M221" s="172"/>
      <c r="N221" s="172"/>
      <c r="O221" s="172"/>
      <c r="P221" s="172"/>
      <c r="Q221" s="172"/>
      <c r="R221" s="172"/>
      <c r="S221" s="172"/>
      <c r="T221" s="172"/>
      <c r="U221" s="172"/>
      <c r="V221" s="172"/>
      <c r="W221" s="172"/>
      <c r="X221" s="172"/>
      <c r="Y221" s="172"/>
      <c r="Z221" s="172"/>
    </row>
    <row r="222">
      <c r="A222" s="172"/>
      <c r="B222" s="172"/>
      <c r="C222" s="172"/>
      <c r="D222" s="172"/>
      <c r="E222" s="172"/>
      <c r="F222" s="172"/>
      <c r="G222" s="172"/>
      <c r="H222" s="172"/>
      <c r="I222" s="172"/>
      <c r="J222" s="172"/>
      <c r="K222" s="172"/>
      <c r="L222" s="172"/>
      <c r="M222" s="172"/>
      <c r="N222" s="172"/>
      <c r="O222" s="172"/>
      <c r="P222" s="172"/>
      <c r="Q222" s="172"/>
      <c r="R222" s="172"/>
      <c r="S222" s="172"/>
      <c r="T222" s="172"/>
      <c r="U222" s="172"/>
      <c r="V222" s="172"/>
      <c r="W222" s="172"/>
      <c r="X222" s="172"/>
      <c r="Y222" s="172"/>
      <c r="Z222" s="172"/>
    </row>
    <row r="223">
      <c r="A223" s="172"/>
      <c r="B223" s="172"/>
      <c r="C223" s="172"/>
      <c r="D223" s="172"/>
      <c r="E223" s="172"/>
      <c r="F223" s="172"/>
      <c r="G223" s="172"/>
      <c r="H223" s="172"/>
      <c r="I223" s="172"/>
      <c r="J223" s="172"/>
      <c r="K223" s="172"/>
      <c r="L223" s="172"/>
      <c r="M223" s="172"/>
      <c r="N223" s="172"/>
      <c r="O223" s="172"/>
      <c r="P223" s="172"/>
      <c r="Q223" s="172"/>
      <c r="R223" s="172"/>
      <c r="S223" s="172"/>
      <c r="T223" s="172"/>
      <c r="U223" s="172"/>
      <c r="V223" s="172"/>
      <c r="W223" s="172"/>
      <c r="X223" s="172"/>
      <c r="Y223" s="172"/>
      <c r="Z223" s="172"/>
    </row>
    <row r="224">
      <c r="A224" s="172"/>
      <c r="B224" s="172"/>
      <c r="C224" s="172"/>
      <c r="D224" s="172"/>
      <c r="E224" s="172"/>
      <c r="F224" s="172"/>
      <c r="G224" s="172"/>
      <c r="H224" s="172"/>
      <c r="I224" s="172"/>
      <c r="J224" s="172"/>
      <c r="K224" s="172"/>
      <c r="L224" s="172"/>
      <c r="M224" s="172"/>
      <c r="N224" s="172"/>
      <c r="O224" s="172"/>
      <c r="P224" s="172"/>
      <c r="Q224" s="172"/>
      <c r="R224" s="172"/>
      <c r="S224" s="172"/>
      <c r="T224" s="172"/>
      <c r="U224" s="172"/>
      <c r="V224" s="172"/>
      <c r="W224" s="172"/>
      <c r="X224" s="172"/>
      <c r="Y224" s="172"/>
      <c r="Z224" s="172"/>
    </row>
    <row r="225">
      <c r="A225" s="172"/>
      <c r="B225" s="172"/>
      <c r="C225" s="172"/>
      <c r="D225" s="172"/>
      <c r="E225" s="172"/>
      <c r="F225" s="172"/>
      <c r="G225" s="172"/>
      <c r="H225" s="172"/>
      <c r="I225" s="172"/>
      <c r="J225" s="172"/>
      <c r="K225" s="172"/>
      <c r="L225" s="172"/>
      <c r="M225" s="172"/>
      <c r="N225" s="172"/>
      <c r="O225" s="172"/>
      <c r="P225" s="172"/>
      <c r="Q225" s="172"/>
      <c r="R225" s="172"/>
      <c r="S225" s="172"/>
      <c r="T225" s="172"/>
      <c r="U225" s="172"/>
      <c r="V225" s="172"/>
      <c r="W225" s="172"/>
      <c r="X225" s="172"/>
      <c r="Y225" s="172"/>
      <c r="Z225" s="172"/>
    </row>
    <row r="226">
      <c r="A226" s="172"/>
      <c r="B226" s="172"/>
      <c r="C226" s="172"/>
      <c r="D226" s="172"/>
      <c r="E226" s="172"/>
      <c r="F226" s="172"/>
      <c r="G226" s="172"/>
      <c r="H226" s="172"/>
      <c r="I226" s="172"/>
      <c r="J226" s="172"/>
      <c r="K226" s="172"/>
      <c r="L226" s="172"/>
      <c r="M226" s="172"/>
      <c r="N226" s="172"/>
      <c r="O226" s="172"/>
      <c r="P226" s="172"/>
      <c r="Q226" s="172"/>
      <c r="R226" s="172"/>
      <c r="S226" s="172"/>
      <c r="T226" s="172"/>
      <c r="U226" s="172"/>
      <c r="V226" s="172"/>
      <c r="W226" s="172"/>
      <c r="X226" s="172"/>
      <c r="Y226" s="172"/>
      <c r="Z226" s="172"/>
    </row>
    <row r="227">
      <c r="A227" s="172"/>
      <c r="B227" s="172"/>
      <c r="C227" s="172"/>
      <c r="D227" s="172"/>
      <c r="E227" s="172"/>
      <c r="F227" s="172"/>
      <c r="G227" s="172"/>
      <c r="H227" s="172"/>
      <c r="I227" s="172"/>
      <c r="J227" s="172"/>
      <c r="K227" s="172"/>
      <c r="L227" s="172"/>
      <c r="M227" s="172"/>
      <c r="N227" s="172"/>
      <c r="O227" s="172"/>
      <c r="P227" s="172"/>
      <c r="Q227" s="172"/>
      <c r="R227" s="172"/>
      <c r="S227" s="172"/>
      <c r="T227" s="172"/>
      <c r="U227" s="172"/>
      <c r="V227" s="172"/>
      <c r="W227" s="172"/>
      <c r="X227" s="172"/>
      <c r="Y227" s="172"/>
      <c r="Z227" s="172"/>
    </row>
    <row r="228">
      <c r="A228" s="172"/>
      <c r="B228" s="172"/>
      <c r="C228" s="172"/>
      <c r="D228" s="172"/>
      <c r="E228" s="172"/>
      <c r="F228" s="172"/>
      <c r="G228" s="172"/>
      <c r="H228" s="172"/>
      <c r="I228" s="172"/>
      <c r="J228" s="172"/>
      <c r="K228" s="172"/>
      <c r="L228" s="172"/>
      <c r="M228" s="172"/>
      <c r="N228" s="172"/>
      <c r="O228" s="172"/>
      <c r="P228" s="172"/>
      <c r="Q228" s="172"/>
      <c r="R228" s="172"/>
      <c r="S228" s="172"/>
      <c r="T228" s="172"/>
      <c r="U228" s="172"/>
      <c r="V228" s="172"/>
      <c r="W228" s="172"/>
      <c r="X228" s="172"/>
      <c r="Y228" s="172"/>
      <c r="Z228" s="172"/>
    </row>
    <row r="229">
      <c r="A229" s="172"/>
      <c r="B229" s="172"/>
      <c r="C229" s="172"/>
      <c r="D229" s="172"/>
      <c r="E229" s="172"/>
      <c r="F229" s="172"/>
      <c r="G229" s="172"/>
      <c r="H229" s="172"/>
      <c r="I229" s="172"/>
      <c r="J229" s="172"/>
      <c r="K229" s="172"/>
      <c r="L229" s="172"/>
      <c r="M229" s="172"/>
      <c r="N229" s="172"/>
      <c r="O229" s="172"/>
      <c r="P229" s="172"/>
      <c r="Q229" s="172"/>
      <c r="R229" s="172"/>
      <c r="S229" s="172"/>
      <c r="T229" s="172"/>
      <c r="U229" s="172"/>
      <c r="V229" s="172"/>
      <c r="W229" s="172"/>
      <c r="X229" s="172"/>
      <c r="Y229" s="172"/>
      <c r="Z229" s="172"/>
    </row>
    <row r="230">
      <c r="A230" s="172"/>
      <c r="B230" s="172"/>
      <c r="C230" s="172"/>
      <c r="D230" s="172"/>
      <c r="E230" s="172"/>
      <c r="F230" s="172"/>
      <c r="G230" s="172"/>
      <c r="H230" s="172"/>
      <c r="I230" s="172"/>
      <c r="J230" s="172"/>
      <c r="K230" s="172"/>
      <c r="L230" s="172"/>
      <c r="M230" s="172"/>
      <c r="N230" s="172"/>
      <c r="O230" s="172"/>
      <c r="P230" s="172"/>
      <c r="Q230" s="172"/>
      <c r="R230" s="172"/>
      <c r="S230" s="172"/>
      <c r="T230" s="172"/>
      <c r="U230" s="172"/>
      <c r="V230" s="172"/>
      <c r="W230" s="172"/>
      <c r="X230" s="172"/>
      <c r="Y230" s="172"/>
      <c r="Z230" s="172"/>
    </row>
    <row r="231">
      <c r="A231" s="172"/>
      <c r="B231" s="172"/>
      <c r="C231" s="172"/>
      <c r="D231" s="172"/>
      <c r="E231" s="172"/>
      <c r="F231" s="172"/>
      <c r="G231" s="172"/>
      <c r="H231" s="172"/>
      <c r="I231" s="172"/>
      <c r="J231" s="172"/>
      <c r="K231" s="172"/>
      <c r="L231" s="172"/>
      <c r="M231" s="172"/>
      <c r="N231" s="172"/>
      <c r="O231" s="172"/>
      <c r="P231" s="172"/>
      <c r="Q231" s="172"/>
      <c r="R231" s="172"/>
      <c r="S231" s="172"/>
      <c r="T231" s="172"/>
      <c r="U231" s="172"/>
      <c r="V231" s="172"/>
      <c r="W231" s="172"/>
      <c r="X231" s="172"/>
      <c r="Y231" s="172"/>
      <c r="Z231" s="172"/>
    </row>
    <row r="232">
      <c r="A232" s="172"/>
      <c r="B232" s="172"/>
      <c r="C232" s="172"/>
      <c r="D232" s="172"/>
      <c r="E232" s="172"/>
      <c r="F232" s="172"/>
      <c r="G232" s="172"/>
      <c r="H232" s="172"/>
      <c r="I232" s="172"/>
      <c r="J232" s="172"/>
      <c r="K232" s="172"/>
      <c r="L232" s="172"/>
      <c r="M232" s="172"/>
      <c r="N232" s="172"/>
      <c r="O232" s="172"/>
      <c r="P232" s="172"/>
      <c r="Q232" s="172"/>
      <c r="R232" s="172"/>
      <c r="S232" s="172"/>
      <c r="T232" s="172"/>
      <c r="U232" s="172"/>
      <c r="V232" s="172"/>
      <c r="W232" s="172"/>
      <c r="X232" s="172"/>
      <c r="Y232" s="172"/>
      <c r="Z232" s="172"/>
    </row>
    <row r="233">
      <c r="A233" s="172"/>
      <c r="B233" s="172"/>
      <c r="C233" s="172"/>
      <c r="D233" s="172"/>
      <c r="E233" s="172"/>
      <c r="F233" s="172"/>
      <c r="G233" s="172"/>
      <c r="H233" s="172"/>
      <c r="I233" s="172"/>
      <c r="J233" s="172"/>
      <c r="K233" s="172"/>
      <c r="L233" s="172"/>
      <c r="M233" s="172"/>
      <c r="N233" s="172"/>
      <c r="O233" s="172"/>
      <c r="P233" s="172"/>
      <c r="Q233" s="172"/>
      <c r="R233" s="172"/>
      <c r="S233" s="172"/>
      <c r="T233" s="172"/>
      <c r="U233" s="172"/>
      <c r="V233" s="172"/>
      <c r="W233" s="172"/>
      <c r="X233" s="172"/>
      <c r="Y233" s="172"/>
      <c r="Z233" s="172"/>
    </row>
    <row r="234">
      <c r="A234" s="172"/>
      <c r="B234" s="172"/>
      <c r="C234" s="172"/>
      <c r="D234" s="172"/>
      <c r="E234" s="172"/>
      <c r="F234" s="172"/>
      <c r="G234" s="172"/>
      <c r="H234" s="172"/>
      <c r="I234" s="172"/>
      <c r="J234" s="172"/>
      <c r="K234" s="172"/>
      <c r="L234" s="172"/>
      <c r="M234" s="172"/>
      <c r="N234" s="172"/>
      <c r="O234" s="172"/>
      <c r="P234" s="172"/>
      <c r="Q234" s="172"/>
      <c r="R234" s="172"/>
      <c r="S234" s="172"/>
      <c r="T234" s="172"/>
      <c r="U234" s="172"/>
      <c r="V234" s="172"/>
      <c r="W234" s="172"/>
      <c r="X234" s="172"/>
      <c r="Y234" s="172"/>
      <c r="Z234" s="172"/>
    </row>
    <row r="235">
      <c r="A235" s="172"/>
      <c r="B235" s="172"/>
      <c r="C235" s="172"/>
      <c r="D235" s="172"/>
      <c r="E235" s="172"/>
      <c r="F235" s="172"/>
      <c r="G235" s="172"/>
      <c r="H235" s="172"/>
      <c r="I235" s="172"/>
      <c r="J235" s="172"/>
      <c r="K235" s="172"/>
      <c r="L235" s="172"/>
      <c r="M235" s="172"/>
      <c r="N235" s="172"/>
      <c r="O235" s="172"/>
      <c r="P235" s="172"/>
      <c r="Q235" s="172"/>
      <c r="R235" s="172"/>
      <c r="S235" s="172"/>
      <c r="T235" s="172"/>
      <c r="U235" s="172"/>
      <c r="V235" s="172"/>
      <c r="W235" s="172"/>
      <c r="X235" s="172"/>
      <c r="Y235" s="172"/>
      <c r="Z235" s="172"/>
    </row>
    <row r="236">
      <c r="A236" s="172"/>
      <c r="B236" s="172"/>
      <c r="C236" s="172"/>
      <c r="D236" s="172"/>
      <c r="E236" s="172"/>
      <c r="F236" s="172"/>
      <c r="G236" s="172"/>
      <c r="H236" s="172"/>
      <c r="I236" s="172"/>
      <c r="J236" s="172"/>
      <c r="K236" s="172"/>
      <c r="L236" s="172"/>
      <c r="M236" s="172"/>
      <c r="N236" s="172"/>
      <c r="O236" s="172"/>
      <c r="P236" s="172"/>
      <c r="Q236" s="172"/>
      <c r="R236" s="172"/>
      <c r="S236" s="172"/>
      <c r="T236" s="172"/>
      <c r="U236" s="172"/>
      <c r="V236" s="172"/>
      <c r="W236" s="172"/>
      <c r="X236" s="172"/>
      <c r="Y236" s="172"/>
      <c r="Z236" s="172"/>
    </row>
    <row r="237">
      <c r="A237" s="172"/>
      <c r="B237" s="172"/>
      <c r="C237" s="172"/>
      <c r="D237" s="172"/>
      <c r="E237" s="172"/>
      <c r="F237" s="172"/>
      <c r="G237" s="172"/>
      <c r="H237" s="172"/>
      <c r="I237" s="172"/>
      <c r="J237" s="172"/>
      <c r="K237" s="172"/>
      <c r="L237" s="172"/>
      <c r="M237" s="172"/>
      <c r="N237" s="172"/>
      <c r="O237" s="172"/>
      <c r="P237" s="172"/>
      <c r="Q237" s="172"/>
      <c r="R237" s="172"/>
      <c r="S237" s="172"/>
      <c r="T237" s="172"/>
      <c r="U237" s="172"/>
      <c r="V237" s="172"/>
      <c r="W237" s="172"/>
      <c r="X237" s="172"/>
      <c r="Y237" s="172"/>
      <c r="Z237" s="172"/>
    </row>
    <row r="238">
      <c r="A238" s="172"/>
      <c r="B238" s="172"/>
      <c r="C238" s="172"/>
      <c r="D238" s="172"/>
      <c r="E238" s="172"/>
      <c r="F238" s="172"/>
      <c r="G238" s="172"/>
      <c r="H238" s="172"/>
      <c r="I238" s="172"/>
      <c r="J238" s="172"/>
      <c r="K238" s="172"/>
      <c r="L238" s="172"/>
      <c r="M238" s="172"/>
      <c r="N238" s="172"/>
      <c r="O238" s="172"/>
      <c r="P238" s="172"/>
      <c r="Q238" s="172"/>
      <c r="R238" s="172"/>
      <c r="S238" s="172"/>
      <c r="T238" s="172"/>
      <c r="U238" s="172"/>
      <c r="V238" s="172"/>
      <c r="W238" s="172"/>
      <c r="X238" s="172"/>
      <c r="Y238" s="172"/>
      <c r="Z238" s="172"/>
    </row>
    <row r="239">
      <c r="A239" s="172"/>
      <c r="B239" s="172"/>
      <c r="C239" s="172"/>
      <c r="D239" s="172"/>
      <c r="E239" s="172"/>
      <c r="F239" s="172"/>
      <c r="G239" s="172"/>
      <c r="H239" s="172"/>
      <c r="I239" s="172"/>
      <c r="J239" s="172"/>
      <c r="K239" s="172"/>
      <c r="L239" s="172"/>
      <c r="M239" s="172"/>
      <c r="N239" s="172"/>
      <c r="O239" s="172"/>
      <c r="P239" s="172"/>
      <c r="Q239" s="172"/>
      <c r="R239" s="172"/>
      <c r="S239" s="172"/>
      <c r="T239" s="172"/>
      <c r="U239" s="172"/>
      <c r="V239" s="172"/>
      <c r="W239" s="172"/>
      <c r="X239" s="172"/>
      <c r="Y239" s="172"/>
      <c r="Z239" s="172"/>
    </row>
    <row r="240">
      <c r="A240" s="172"/>
      <c r="B240" s="172"/>
      <c r="C240" s="172"/>
      <c r="D240" s="172"/>
      <c r="E240" s="172"/>
      <c r="F240" s="172"/>
      <c r="G240" s="172"/>
      <c r="H240" s="172"/>
      <c r="I240" s="172"/>
      <c r="J240" s="172"/>
      <c r="K240" s="172"/>
      <c r="L240" s="172"/>
      <c r="M240" s="172"/>
      <c r="N240" s="172"/>
      <c r="O240" s="172"/>
      <c r="P240" s="172"/>
      <c r="Q240" s="172"/>
      <c r="R240" s="172"/>
      <c r="S240" s="172"/>
      <c r="T240" s="172"/>
      <c r="U240" s="172"/>
      <c r="V240" s="172"/>
      <c r="W240" s="172"/>
      <c r="X240" s="172"/>
      <c r="Y240" s="172"/>
      <c r="Z240" s="172"/>
    </row>
    <row r="241">
      <c r="A241" s="172"/>
      <c r="B241" s="172"/>
      <c r="C241" s="172"/>
      <c r="D241" s="172"/>
      <c r="E241" s="172"/>
      <c r="F241" s="172"/>
      <c r="G241" s="172"/>
      <c r="H241" s="172"/>
      <c r="I241" s="172"/>
      <c r="J241" s="172"/>
      <c r="K241" s="172"/>
      <c r="L241" s="172"/>
      <c r="M241" s="172"/>
      <c r="N241" s="172"/>
      <c r="O241" s="172"/>
      <c r="P241" s="172"/>
      <c r="Q241" s="172"/>
      <c r="R241" s="172"/>
      <c r="S241" s="172"/>
      <c r="T241" s="172"/>
      <c r="U241" s="172"/>
      <c r="V241" s="172"/>
      <c r="W241" s="172"/>
      <c r="X241" s="172"/>
      <c r="Y241" s="172"/>
      <c r="Z241" s="172"/>
    </row>
    <row r="242">
      <c r="A242" s="172"/>
      <c r="B242" s="172"/>
      <c r="C242" s="172"/>
      <c r="D242" s="172"/>
      <c r="E242" s="172"/>
      <c r="F242" s="172"/>
      <c r="G242" s="172"/>
      <c r="H242" s="172"/>
      <c r="I242" s="172"/>
      <c r="J242" s="172"/>
      <c r="K242" s="172"/>
      <c r="L242" s="172"/>
      <c r="M242" s="172"/>
      <c r="N242" s="172"/>
      <c r="O242" s="172"/>
      <c r="P242" s="172"/>
      <c r="Q242" s="172"/>
      <c r="R242" s="172"/>
      <c r="S242" s="172"/>
      <c r="T242" s="172"/>
      <c r="U242" s="172"/>
      <c r="V242" s="172"/>
      <c r="W242" s="172"/>
      <c r="X242" s="172"/>
      <c r="Y242" s="172"/>
      <c r="Z242" s="172"/>
    </row>
    <row r="243">
      <c r="A243" s="172"/>
      <c r="B243" s="172"/>
      <c r="C243" s="172"/>
      <c r="D243" s="172"/>
      <c r="E243" s="172"/>
      <c r="F243" s="172"/>
      <c r="G243" s="172"/>
      <c r="H243" s="172"/>
      <c r="I243" s="172"/>
      <c r="J243" s="172"/>
      <c r="K243" s="172"/>
      <c r="L243" s="172"/>
      <c r="M243" s="172"/>
      <c r="N243" s="172"/>
      <c r="O243" s="172"/>
      <c r="P243" s="172"/>
      <c r="Q243" s="172"/>
      <c r="R243" s="172"/>
      <c r="S243" s="172"/>
      <c r="T243" s="172"/>
      <c r="U243" s="172"/>
      <c r="V243" s="172"/>
      <c r="W243" s="172"/>
      <c r="X243" s="172"/>
      <c r="Y243" s="172"/>
      <c r="Z243" s="172"/>
    </row>
    <row r="244">
      <c r="A244" s="172"/>
      <c r="B244" s="172"/>
      <c r="C244" s="172"/>
      <c r="D244" s="172"/>
      <c r="E244" s="172"/>
      <c r="F244" s="172"/>
      <c r="G244" s="172"/>
      <c r="H244" s="172"/>
      <c r="I244" s="172"/>
      <c r="J244" s="172"/>
      <c r="K244" s="172"/>
      <c r="L244" s="172"/>
      <c r="M244" s="172"/>
      <c r="N244" s="172"/>
      <c r="O244" s="172"/>
      <c r="P244" s="172"/>
      <c r="Q244" s="172"/>
      <c r="R244" s="172"/>
      <c r="S244" s="172"/>
      <c r="T244" s="172"/>
      <c r="U244" s="172"/>
      <c r="V244" s="172"/>
      <c r="W244" s="172"/>
      <c r="X244" s="172"/>
      <c r="Y244" s="172"/>
      <c r="Z244" s="172"/>
    </row>
    <row r="245">
      <c r="A245" s="172"/>
      <c r="B245" s="172"/>
      <c r="C245" s="172"/>
      <c r="D245" s="172"/>
      <c r="E245" s="172"/>
      <c r="F245" s="172"/>
      <c r="G245" s="172"/>
      <c r="H245" s="172"/>
      <c r="I245" s="172"/>
      <c r="J245" s="172"/>
      <c r="K245" s="172"/>
      <c r="L245" s="172"/>
      <c r="M245" s="172"/>
      <c r="N245" s="172"/>
      <c r="O245" s="172"/>
      <c r="P245" s="172"/>
      <c r="Q245" s="172"/>
      <c r="R245" s="172"/>
      <c r="S245" s="172"/>
      <c r="T245" s="172"/>
      <c r="U245" s="172"/>
      <c r="V245" s="172"/>
      <c r="W245" s="172"/>
      <c r="X245" s="172"/>
      <c r="Y245" s="172"/>
      <c r="Z245" s="172"/>
    </row>
    <row r="246">
      <c r="A246" s="172"/>
      <c r="B246" s="172"/>
      <c r="C246" s="172"/>
      <c r="D246" s="172"/>
      <c r="E246" s="172"/>
      <c r="F246" s="172"/>
      <c r="G246" s="172"/>
      <c r="H246" s="172"/>
      <c r="I246" s="172"/>
      <c r="J246" s="172"/>
      <c r="K246" s="172"/>
      <c r="L246" s="172"/>
      <c r="M246" s="172"/>
      <c r="N246" s="172"/>
      <c r="O246" s="172"/>
      <c r="P246" s="172"/>
      <c r="Q246" s="172"/>
      <c r="R246" s="172"/>
      <c r="S246" s="172"/>
      <c r="T246" s="172"/>
      <c r="U246" s="172"/>
      <c r="V246" s="172"/>
      <c r="W246" s="172"/>
      <c r="X246" s="172"/>
      <c r="Y246" s="172"/>
      <c r="Z246" s="172"/>
    </row>
    <row r="247">
      <c r="A247" s="172"/>
      <c r="B247" s="172"/>
      <c r="C247" s="172"/>
      <c r="D247" s="172"/>
      <c r="E247" s="172"/>
      <c r="F247" s="172"/>
      <c r="G247" s="172"/>
      <c r="H247" s="172"/>
      <c r="I247" s="172"/>
      <c r="J247" s="172"/>
      <c r="K247" s="172"/>
      <c r="L247" s="172"/>
      <c r="M247" s="172"/>
      <c r="N247" s="172"/>
      <c r="O247" s="172"/>
      <c r="P247" s="172"/>
      <c r="Q247" s="172"/>
      <c r="R247" s="172"/>
      <c r="S247" s="172"/>
      <c r="T247" s="172"/>
      <c r="U247" s="172"/>
      <c r="V247" s="172"/>
      <c r="W247" s="172"/>
      <c r="X247" s="172"/>
      <c r="Y247" s="172"/>
      <c r="Z247" s="172"/>
    </row>
    <row r="248">
      <c r="A248" s="172"/>
      <c r="B248" s="172"/>
      <c r="C248" s="172"/>
      <c r="D248" s="172"/>
      <c r="E248" s="172"/>
      <c r="F248" s="172"/>
      <c r="G248" s="172"/>
      <c r="H248" s="172"/>
      <c r="I248" s="172"/>
      <c r="J248" s="172"/>
      <c r="K248" s="172"/>
      <c r="L248" s="172"/>
      <c r="M248" s="172"/>
      <c r="N248" s="172"/>
      <c r="O248" s="172"/>
      <c r="P248" s="172"/>
      <c r="Q248" s="172"/>
      <c r="R248" s="172"/>
      <c r="S248" s="172"/>
      <c r="T248" s="172"/>
      <c r="U248" s="172"/>
      <c r="V248" s="172"/>
      <c r="W248" s="172"/>
      <c r="X248" s="172"/>
      <c r="Y248" s="172"/>
      <c r="Z248" s="172"/>
    </row>
    <row r="249">
      <c r="A249" s="172"/>
      <c r="B249" s="172"/>
      <c r="C249" s="172"/>
      <c r="D249" s="172"/>
      <c r="E249" s="172"/>
      <c r="F249" s="172"/>
      <c r="G249" s="172"/>
      <c r="H249" s="172"/>
      <c r="I249" s="172"/>
      <c r="J249" s="172"/>
      <c r="K249" s="172"/>
      <c r="L249" s="172"/>
      <c r="M249" s="172"/>
      <c r="N249" s="172"/>
      <c r="O249" s="172"/>
      <c r="P249" s="172"/>
      <c r="Q249" s="172"/>
      <c r="R249" s="172"/>
      <c r="S249" s="172"/>
      <c r="T249" s="172"/>
      <c r="U249" s="172"/>
      <c r="V249" s="172"/>
      <c r="W249" s="172"/>
      <c r="X249" s="172"/>
      <c r="Y249" s="172"/>
      <c r="Z249" s="172"/>
    </row>
    <row r="250">
      <c r="A250" s="172"/>
      <c r="B250" s="172"/>
      <c r="C250" s="172"/>
      <c r="D250" s="172"/>
      <c r="E250" s="172"/>
      <c r="F250" s="172"/>
      <c r="G250" s="172"/>
      <c r="H250" s="172"/>
      <c r="I250" s="172"/>
      <c r="J250" s="172"/>
      <c r="K250" s="172"/>
      <c r="L250" s="172"/>
      <c r="M250" s="172"/>
      <c r="N250" s="172"/>
      <c r="O250" s="172"/>
      <c r="P250" s="172"/>
      <c r="Q250" s="172"/>
      <c r="R250" s="172"/>
      <c r="S250" s="172"/>
      <c r="T250" s="172"/>
      <c r="U250" s="172"/>
      <c r="V250" s="172"/>
      <c r="W250" s="172"/>
      <c r="X250" s="172"/>
      <c r="Y250" s="172"/>
      <c r="Z250" s="172"/>
    </row>
    <row r="251">
      <c r="A251" s="172"/>
      <c r="B251" s="172"/>
      <c r="C251" s="172"/>
      <c r="D251" s="172"/>
      <c r="E251" s="172"/>
      <c r="F251" s="172"/>
      <c r="G251" s="172"/>
      <c r="H251" s="172"/>
      <c r="I251" s="172"/>
      <c r="J251" s="172"/>
      <c r="K251" s="172"/>
      <c r="L251" s="172"/>
      <c r="M251" s="172"/>
      <c r="N251" s="172"/>
      <c r="O251" s="172"/>
      <c r="P251" s="172"/>
      <c r="Q251" s="172"/>
      <c r="R251" s="172"/>
      <c r="S251" s="172"/>
      <c r="T251" s="172"/>
      <c r="U251" s="172"/>
      <c r="V251" s="172"/>
      <c r="W251" s="172"/>
      <c r="X251" s="172"/>
      <c r="Y251" s="172"/>
      <c r="Z251" s="172"/>
    </row>
    <row r="252">
      <c r="A252" s="172"/>
      <c r="B252" s="172"/>
      <c r="C252" s="172"/>
      <c r="D252" s="172"/>
      <c r="E252" s="172"/>
      <c r="F252" s="172"/>
      <c r="G252" s="172"/>
      <c r="H252" s="172"/>
      <c r="I252" s="172"/>
      <c r="J252" s="172"/>
      <c r="K252" s="172"/>
      <c r="L252" s="172"/>
      <c r="M252" s="172"/>
      <c r="N252" s="172"/>
      <c r="O252" s="172"/>
      <c r="P252" s="172"/>
      <c r="Q252" s="172"/>
      <c r="R252" s="172"/>
      <c r="S252" s="172"/>
      <c r="T252" s="172"/>
      <c r="U252" s="172"/>
      <c r="V252" s="172"/>
      <c r="W252" s="172"/>
      <c r="X252" s="172"/>
      <c r="Y252" s="172"/>
      <c r="Z252" s="172"/>
    </row>
    <row r="253">
      <c r="A253" s="172"/>
      <c r="B253" s="172"/>
      <c r="C253" s="172"/>
      <c r="D253" s="172"/>
      <c r="E253" s="172"/>
      <c r="F253" s="172"/>
      <c r="G253" s="172"/>
      <c r="H253" s="172"/>
      <c r="I253" s="172"/>
      <c r="J253" s="172"/>
      <c r="K253" s="172"/>
      <c r="L253" s="172"/>
      <c r="M253" s="172"/>
      <c r="N253" s="172"/>
      <c r="O253" s="172"/>
      <c r="P253" s="172"/>
      <c r="Q253" s="172"/>
      <c r="R253" s="172"/>
      <c r="S253" s="172"/>
      <c r="T253" s="172"/>
      <c r="U253" s="172"/>
      <c r="V253" s="172"/>
      <c r="W253" s="172"/>
      <c r="X253" s="172"/>
      <c r="Y253" s="172"/>
      <c r="Z253" s="172"/>
    </row>
    <row r="254">
      <c r="A254" s="172"/>
      <c r="B254" s="172"/>
      <c r="C254" s="172"/>
      <c r="D254" s="172"/>
      <c r="E254" s="172"/>
      <c r="F254" s="172"/>
      <c r="G254" s="172"/>
      <c r="H254" s="172"/>
      <c r="I254" s="172"/>
      <c r="J254" s="172"/>
      <c r="K254" s="172"/>
      <c r="L254" s="172"/>
      <c r="M254" s="172"/>
      <c r="N254" s="172"/>
      <c r="O254" s="172"/>
      <c r="P254" s="172"/>
      <c r="Q254" s="172"/>
      <c r="R254" s="172"/>
      <c r="S254" s="172"/>
      <c r="T254" s="172"/>
      <c r="U254" s="172"/>
      <c r="V254" s="172"/>
      <c r="W254" s="172"/>
      <c r="X254" s="172"/>
      <c r="Y254" s="172"/>
      <c r="Z254" s="172"/>
    </row>
    <row r="255">
      <c r="A255" s="172"/>
      <c r="B255" s="172"/>
      <c r="C255" s="172"/>
      <c r="D255" s="172"/>
      <c r="E255" s="172"/>
      <c r="F255" s="172"/>
      <c r="G255" s="172"/>
      <c r="H255" s="172"/>
      <c r="I255" s="172"/>
      <c r="J255" s="172"/>
      <c r="K255" s="172"/>
      <c r="L255" s="172"/>
      <c r="M255" s="172"/>
      <c r="N255" s="172"/>
      <c r="O255" s="172"/>
      <c r="P255" s="172"/>
      <c r="Q255" s="172"/>
      <c r="R255" s="172"/>
      <c r="S255" s="172"/>
      <c r="T255" s="172"/>
      <c r="U255" s="172"/>
      <c r="V255" s="172"/>
      <c r="W255" s="172"/>
      <c r="X255" s="172"/>
      <c r="Y255" s="172"/>
      <c r="Z255" s="172"/>
    </row>
    <row r="256">
      <c r="A256" s="172"/>
      <c r="B256" s="172"/>
      <c r="C256" s="172"/>
      <c r="D256" s="172"/>
      <c r="E256" s="172"/>
      <c r="F256" s="172"/>
      <c r="G256" s="172"/>
      <c r="H256" s="172"/>
      <c r="I256" s="172"/>
      <c r="J256" s="172"/>
      <c r="K256" s="172"/>
      <c r="L256" s="172"/>
      <c r="M256" s="172"/>
      <c r="N256" s="172"/>
      <c r="O256" s="172"/>
      <c r="P256" s="172"/>
      <c r="Q256" s="172"/>
      <c r="R256" s="172"/>
      <c r="S256" s="172"/>
      <c r="T256" s="172"/>
      <c r="U256" s="172"/>
      <c r="V256" s="172"/>
      <c r="W256" s="172"/>
      <c r="X256" s="172"/>
      <c r="Y256" s="172"/>
      <c r="Z256" s="172"/>
    </row>
    <row r="257">
      <c r="A257" s="172"/>
      <c r="B257" s="172"/>
      <c r="C257" s="172"/>
      <c r="D257" s="172"/>
      <c r="E257" s="172"/>
      <c r="F257" s="172"/>
      <c r="G257" s="172"/>
      <c r="H257" s="172"/>
      <c r="I257" s="172"/>
      <c r="J257" s="172"/>
      <c r="K257" s="172"/>
      <c r="L257" s="172"/>
      <c r="M257" s="172"/>
      <c r="N257" s="172"/>
      <c r="O257" s="172"/>
      <c r="P257" s="172"/>
      <c r="Q257" s="172"/>
      <c r="R257" s="172"/>
      <c r="S257" s="172"/>
      <c r="T257" s="172"/>
      <c r="U257" s="172"/>
      <c r="V257" s="172"/>
      <c r="W257" s="172"/>
      <c r="X257" s="172"/>
      <c r="Y257" s="172"/>
      <c r="Z257" s="172"/>
    </row>
    <row r="258">
      <c r="A258" s="172"/>
      <c r="B258" s="172"/>
      <c r="C258" s="172"/>
      <c r="D258" s="172"/>
      <c r="E258" s="172"/>
      <c r="F258" s="172"/>
      <c r="G258" s="172"/>
      <c r="H258" s="172"/>
      <c r="I258" s="172"/>
      <c r="J258" s="172"/>
      <c r="K258" s="172"/>
      <c r="L258" s="172"/>
      <c r="M258" s="172"/>
      <c r="N258" s="172"/>
      <c r="O258" s="172"/>
      <c r="P258" s="172"/>
      <c r="Q258" s="172"/>
      <c r="R258" s="172"/>
      <c r="S258" s="172"/>
      <c r="T258" s="172"/>
      <c r="U258" s="172"/>
      <c r="V258" s="172"/>
      <c r="W258" s="172"/>
      <c r="X258" s="172"/>
      <c r="Y258" s="172"/>
      <c r="Z258" s="172"/>
    </row>
    <row r="259">
      <c r="A259" s="172"/>
      <c r="B259" s="172"/>
      <c r="C259" s="172"/>
      <c r="D259" s="172"/>
      <c r="E259" s="172"/>
      <c r="F259" s="172"/>
      <c r="G259" s="172"/>
      <c r="H259" s="172"/>
      <c r="I259" s="172"/>
      <c r="J259" s="172"/>
      <c r="K259" s="172"/>
      <c r="L259" s="172"/>
      <c r="M259" s="172"/>
      <c r="N259" s="172"/>
      <c r="O259" s="172"/>
      <c r="P259" s="172"/>
      <c r="Q259" s="172"/>
      <c r="R259" s="172"/>
      <c r="S259" s="172"/>
      <c r="T259" s="172"/>
      <c r="U259" s="172"/>
      <c r="V259" s="172"/>
      <c r="W259" s="172"/>
      <c r="X259" s="172"/>
      <c r="Y259" s="172"/>
      <c r="Z259" s="172"/>
    </row>
    <row r="260">
      <c r="A260" s="172"/>
      <c r="B260" s="172"/>
      <c r="C260" s="172"/>
      <c r="D260" s="172"/>
      <c r="E260" s="172"/>
      <c r="F260" s="172"/>
      <c r="G260" s="172"/>
      <c r="H260" s="172"/>
      <c r="I260" s="172"/>
      <c r="J260" s="172"/>
      <c r="K260" s="172"/>
      <c r="L260" s="172"/>
      <c r="M260" s="172"/>
      <c r="N260" s="172"/>
      <c r="O260" s="172"/>
      <c r="P260" s="172"/>
      <c r="Q260" s="172"/>
      <c r="R260" s="172"/>
      <c r="S260" s="172"/>
      <c r="T260" s="172"/>
      <c r="U260" s="172"/>
      <c r="V260" s="172"/>
      <c r="W260" s="172"/>
      <c r="X260" s="172"/>
      <c r="Y260" s="172"/>
      <c r="Z260" s="172"/>
    </row>
    <row r="261">
      <c r="A261" s="172"/>
      <c r="B261" s="172"/>
      <c r="C261" s="172"/>
      <c r="D261" s="172"/>
      <c r="E261" s="172"/>
      <c r="F261" s="172"/>
      <c r="G261" s="172"/>
      <c r="H261" s="172"/>
      <c r="I261" s="172"/>
      <c r="J261" s="172"/>
      <c r="K261" s="172"/>
      <c r="L261" s="172"/>
      <c r="M261" s="172"/>
      <c r="N261" s="172"/>
      <c r="O261" s="172"/>
      <c r="P261" s="172"/>
      <c r="Q261" s="172"/>
      <c r="R261" s="172"/>
      <c r="S261" s="172"/>
      <c r="T261" s="172"/>
      <c r="U261" s="172"/>
      <c r="V261" s="172"/>
      <c r="W261" s="172"/>
      <c r="X261" s="172"/>
      <c r="Y261" s="172"/>
      <c r="Z261" s="172"/>
    </row>
    <row r="262">
      <c r="A262" s="172"/>
      <c r="B262" s="172"/>
      <c r="C262" s="172"/>
      <c r="D262" s="172"/>
      <c r="E262" s="172"/>
      <c r="F262" s="172"/>
      <c r="G262" s="172"/>
      <c r="H262" s="172"/>
      <c r="I262" s="172"/>
      <c r="J262" s="172"/>
      <c r="K262" s="172"/>
      <c r="L262" s="172"/>
      <c r="M262" s="172"/>
      <c r="N262" s="172"/>
      <c r="O262" s="172"/>
      <c r="P262" s="172"/>
      <c r="Q262" s="172"/>
      <c r="R262" s="172"/>
      <c r="S262" s="172"/>
      <c r="T262" s="172"/>
      <c r="U262" s="172"/>
      <c r="V262" s="172"/>
      <c r="W262" s="172"/>
      <c r="X262" s="172"/>
      <c r="Y262" s="172"/>
      <c r="Z262" s="172"/>
    </row>
    <row r="263">
      <c r="A263" s="172"/>
      <c r="B263" s="172"/>
      <c r="C263" s="172"/>
      <c r="D263" s="172"/>
      <c r="E263" s="172"/>
      <c r="F263" s="172"/>
      <c r="G263" s="172"/>
      <c r="H263" s="172"/>
      <c r="I263" s="172"/>
      <c r="J263" s="172"/>
      <c r="K263" s="172"/>
      <c r="L263" s="172"/>
      <c r="M263" s="172"/>
      <c r="N263" s="172"/>
      <c r="O263" s="172"/>
      <c r="P263" s="172"/>
      <c r="Q263" s="172"/>
      <c r="R263" s="172"/>
      <c r="S263" s="172"/>
      <c r="T263" s="172"/>
      <c r="U263" s="172"/>
      <c r="V263" s="172"/>
      <c r="W263" s="172"/>
      <c r="X263" s="172"/>
      <c r="Y263" s="172"/>
      <c r="Z263" s="172"/>
    </row>
    <row r="264">
      <c r="A264" s="172"/>
      <c r="B264" s="172"/>
      <c r="C264" s="172"/>
      <c r="D264" s="172"/>
      <c r="E264" s="172"/>
      <c r="F264" s="172"/>
      <c r="G264" s="172"/>
      <c r="H264" s="172"/>
      <c r="I264" s="172"/>
      <c r="J264" s="172"/>
      <c r="K264" s="172"/>
      <c r="L264" s="172"/>
      <c r="M264" s="172"/>
      <c r="N264" s="172"/>
      <c r="O264" s="172"/>
      <c r="P264" s="172"/>
      <c r="Q264" s="172"/>
      <c r="R264" s="172"/>
      <c r="S264" s="172"/>
      <c r="T264" s="172"/>
      <c r="U264" s="172"/>
      <c r="V264" s="172"/>
      <c r="W264" s="172"/>
      <c r="X264" s="172"/>
      <c r="Y264" s="172"/>
      <c r="Z264" s="172"/>
    </row>
    <row r="265">
      <c r="A265" s="172"/>
      <c r="B265" s="172"/>
      <c r="C265" s="172"/>
      <c r="D265" s="172"/>
      <c r="E265" s="172"/>
      <c r="F265" s="172"/>
      <c r="G265" s="172"/>
      <c r="H265" s="172"/>
      <c r="I265" s="172"/>
      <c r="J265" s="172"/>
      <c r="K265" s="172"/>
      <c r="L265" s="172"/>
      <c r="M265" s="172"/>
      <c r="N265" s="172"/>
      <c r="O265" s="172"/>
      <c r="P265" s="172"/>
      <c r="Q265" s="172"/>
      <c r="R265" s="172"/>
      <c r="S265" s="172"/>
      <c r="T265" s="172"/>
      <c r="U265" s="172"/>
      <c r="V265" s="172"/>
      <c r="W265" s="172"/>
      <c r="X265" s="172"/>
      <c r="Y265" s="172"/>
      <c r="Z265" s="172"/>
    </row>
    <row r="266">
      <c r="A266" s="172"/>
      <c r="B266" s="172"/>
      <c r="C266" s="172"/>
      <c r="D266" s="172"/>
      <c r="E266" s="172"/>
      <c r="F266" s="172"/>
      <c r="G266" s="172"/>
      <c r="H266" s="172"/>
      <c r="I266" s="172"/>
      <c r="J266" s="172"/>
      <c r="K266" s="172"/>
      <c r="L266" s="172"/>
      <c r="M266" s="172"/>
      <c r="N266" s="172"/>
      <c r="O266" s="172"/>
      <c r="P266" s="172"/>
      <c r="Q266" s="172"/>
      <c r="R266" s="172"/>
      <c r="S266" s="172"/>
      <c r="T266" s="172"/>
      <c r="U266" s="172"/>
      <c r="V266" s="172"/>
      <c r="W266" s="172"/>
      <c r="X266" s="172"/>
      <c r="Y266" s="172"/>
      <c r="Z266" s="172"/>
    </row>
    <row r="267">
      <c r="A267" s="172"/>
      <c r="B267" s="172"/>
      <c r="C267" s="172"/>
      <c r="D267" s="172"/>
      <c r="E267" s="172"/>
      <c r="F267" s="172"/>
      <c r="G267" s="172"/>
      <c r="H267" s="172"/>
      <c r="I267" s="172"/>
      <c r="J267" s="172"/>
      <c r="K267" s="172"/>
      <c r="L267" s="172"/>
      <c r="M267" s="172"/>
      <c r="N267" s="172"/>
      <c r="O267" s="172"/>
      <c r="P267" s="172"/>
      <c r="Q267" s="172"/>
      <c r="R267" s="172"/>
      <c r="S267" s="172"/>
      <c r="T267" s="172"/>
      <c r="U267" s="172"/>
      <c r="V267" s="172"/>
      <c r="W267" s="172"/>
      <c r="X267" s="172"/>
      <c r="Y267" s="172"/>
      <c r="Z267" s="172"/>
    </row>
    <row r="268">
      <c r="A268" s="172"/>
      <c r="B268" s="172"/>
      <c r="C268" s="172"/>
      <c r="D268" s="172"/>
      <c r="E268" s="172"/>
      <c r="F268" s="172"/>
      <c r="G268" s="172"/>
      <c r="H268" s="172"/>
      <c r="I268" s="172"/>
      <c r="J268" s="172"/>
      <c r="K268" s="172"/>
      <c r="L268" s="172"/>
      <c r="M268" s="172"/>
      <c r="N268" s="172"/>
      <c r="O268" s="172"/>
      <c r="P268" s="172"/>
      <c r="Q268" s="172"/>
      <c r="R268" s="172"/>
      <c r="S268" s="172"/>
      <c r="T268" s="172"/>
      <c r="U268" s="172"/>
      <c r="V268" s="172"/>
      <c r="W268" s="172"/>
      <c r="X268" s="172"/>
      <c r="Y268" s="172"/>
      <c r="Z268" s="172"/>
    </row>
    <row r="269">
      <c r="A269" s="172"/>
      <c r="B269" s="172"/>
      <c r="C269" s="172"/>
      <c r="D269" s="172"/>
      <c r="E269" s="172"/>
      <c r="F269" s="172"/>
      <c r="G269" s="172"/>
      <c r="H269" s="172"/>
      <c r="I269" s="172"/>
      <c r="J269" s="172"/>
      <c r="K269" s="172"/>
      <c r="L269" s="172"/>
      <c r="M269" s="172"/>
      <c r="N269" s="172"/>
      <c r="O269" s="172"/>
      <c r="P269" s="172"/>
      <c r="Q269" s="172"/>
      <c r="R269" s="172"/>
      <c r="S269" s="172"/>
      <c r="T269" s="172"/>
      <c r="U269" s="172"/>
      <c r="V269" s="172"/>
      <c r="W269" s="172"/>
      <c r="X269" s="172"/>
      <c r="Y269" s="172"/>
      <c r="Z269" s="172"/>
    </row>
    <row r="270">
      <c r="A270" s="172"/>
      <c r="B270" s="172"/>
      <c r="C270" s="172"/>
      <c r="D270" s="172"/>
      <c r="E270" s="172"/>
      <c r="F270" s="172"/>
      <c r="G270" s="172"/>
      <c r="H270" s="172"/>
      <c r="I270" s="172"/>
      <c r="J270" s="172"/>
      <c r="K270" s="172"/>
      <c r="L270" s="172"/>
      <c r="M270" s="172"/>
      <c r="N270" s="172"/>
      <c r="O270" s="172"/>
      <c r="P270" s="172"/>
      <c r="Q270" s="172"/>
      <c r="R270" s="172"/>
      <c r="S270" s="172"/>
      <c r="T270" s="172"/>
      <c r="U270" s="172"/>
      <c r="V270" s="172"/>
      <c r="W270" s="172"/>
      <c r="X270" s="172"/>
      <c r="Y270" s="172"/>
      <c r="Z270" s="172"/>
    </row>
    <row r="271">
      <c r="A271" s="172"/>
      <c r="B271" s="172"/>
      <c r="C271" s="172"/>
      <c r="D271" s="172"/>
      <c r="E271" s="172"/>
      <c r="F271" s="172"/>
      <c r="G271" s="172"/>
      <c r="H271" s="172"/>
      <c r="I271" s="172"/>
      <c r="J271" s="172"/>
      <c r="K271" s="172"/>
      <c r="L271" s="172"/>
      <c r="M271" s="172"/>
      <c r="N271" s="172"/>
      <c r="O271" s="172"/>
      <c r="P271" s="172"/>
      <c r="Q271" s="172"/>
      <c r="R271" s="172"/>
      <c r="S271" s="172"/>
      <c r="T271" s="172"/>
      <c r="U271" s="172"/>
      <c r="V271" s="172"/>
      <c r="W271" s="172"/>
      <c r="X271" s="172"/>
      <c r="Y271" s="172"/>
      <c r="Z271" s="172"/>
    </row>
    <row r="272">
      <c r="A272" s="172"/>
      <c r="B272" s="172"/>
      <c r="C272" s="172"/>
      <c r="D272" s="172"/>
      <c r="E272" s="172"/>
      <c r="F272" s="172"/>
      <c r="G272" s="172"/>
      <c r="H272" s="172"/>
      <c r="I272" s="172"/>
      <c r="J272" s="172"/>
      <c r="K272" s="172"/>
      <c r="L272" s="172"/>
      <c r="M272" s="172"/>
      <c r="N272" s="172"/>
      <c r="O272" s="172"/>
      <c r="P272" s="172"/>
      <c r="Q272" s="172"/>
      <c r="R272" s="172"/>
      <c r="S272" s="172"/>
      <c r="T272" s="172"/>
      <c r="U272" s="172"/>
      <c r="V272" s="172"/>
      <c r="W272" s="172"/>
      <c r="X272" s="172"/>
      <c r="Y272" s="172"/>
      <c r="Z272" s="172"/>
    </row>
    <row r="273">
      <c r="A273" s="172"/>
      <c r="B273" s="172"/>
      <c r="C273" s="172"/>
      <c r="D273" s="172"/>
      <c r="E273" s="172"/>
      <c r="F273" s="172"/>
      <c r="G273" s="172"/>
      <c r="H273" s="172"/>
      <c r="I273" s="172"/>
      <c r="J273" s="172"/>
      <c r="K273" s="172"/>
      <c r="L273" s="172"/>
      <c r="M273" s="172"/>
      <c r="N273" s="172"/>
      <c r="O273" s="172"/>
      <c r="P273" s="172"/>
      <c r="Q273" s="172"/>
      <c r="R273" s="172"/>
      <c r="S273" s="172"/>
      <c r="T273" s="172"/>
      <c r="U273" s="172"/>
      <c r="V273" s="172"/>
      <c r="W273" s="172"/>
      <c r="X273" s="172"/>
      <c r="Y273" s="172"/>
      <c r="Z273" s="172"/>
    </row>
    <row r="274">
      <c r="A274" s="172"/>
      <c r="B274" s="172"/>
      <c r="C274" s="172"/>
      <c r="D274" s="172"/>
      <c r="E274" s="172"/>
      <c r="F274" s="172"/>
      <c r="G274" s="172"/>
      <c r="H274" s="172"/>
      <c r="I274" s="172"/>
      <c r="J274" s="172"/>
      <c r="K274" s="172"/>
      <c r="L274" s="172"/>
      <c r="M274" s="172"/>
      <c r="N274" s="172"/>
      <c r="O274" s="172"/>
      <c r="P274" s="172"/>
      <c r="Q274" s="172"/>
      <c r="R274" s="172"/>
      <c r="S274" s="172"/>
      <c r="T274" s="172"/>
      <c r="U274" s="172"/>
      <c r="V274" s="172"/>
      <c r="W274" s="172"/>
      <c r="X274" s="172"/>
      <c r="Y274" s="172"/>
      <c r="Z274" s="172"/>
    </row>
    <row r="275">
      <c r="A275" s="172"/>
      <c r="B275" s="172"/>
      <c r="C275" s="172"/>
      <c r="D275" s="172"/>
      <c r="E275" s="172"/>
      <c r="F275" s="172"/>
      <c r="G275" s="172"/>
      <c r="H275" s="172"/>
      <c r="I275" s="172"/>
      <c r="J275" s="172"/>
      <c r="K275" s="172"/>
      <c r="L275" s="172"/>
      <c r="M275" s="172"/>
      <c r="N275" s="172"/>
      <c r="O275" s="172"/>
      <c r="P275" s="172"/>
      <c r="Q275" s="172"/>
      <c r="R275" s="172"/>
      <c r="S275" s="172"/>
      <c r="T275" s="172"/>
      <c r="U275" s="172"/>
      <c r="V275" s="172"/>
      <c r="W275" s="172"/>
      <c r="X275" s="172"/>
      <c r="Y275" s="172"/>
      <c r="Z275" s="172"/>
    </row>
    <row r="276">
      <c r="A276" s="172"/>
      <c r="B276" s="172"/>
      <c r="C276" s="172"/>
      <c r="D276" s="172"/>
      <c r="E276" s="172"/>
      <c r="F276" s="172"/>
      <c r="G276" s="172"/>
      <c r="H276" s="172"/>
      <c r="I276" s="172"/>
      <c r="J276" s="172"/>
      <c r="K276" s="172"/>
      <c r="L276" s="172"/>
      <c r="M276" s="172"/>
      <c r="N276" s="172"/>
      <c r="O276" s="172"/>
      <c r="P276" s="172"/>
      <c r="Q276" s="172"/>
      <c r="R276" s="172"/>
      <c r="S276" s="172"/>
      <c r="T276" s="172"/>
      <c r="U276" s="172"/>
      <c r="V276" s="172"/>
      <c r="W276" s="172"/>
      <c r="X276" s="172"/>
      <c r="Y276" s="172"/>
      <c r="Z276" s="172"/>
    </row>
    <row r="277">
      <c r="A277" s="172"/>
      <c r="B277" s="172"/>
      <c r="C277" s="172"/>
      <c r="D277" s="172"/>
      <c r="E277" s="172"/>
      <c r="F277" s="172"/>
      <c r="G277" s="172"/>
      <c r="H277" s="172"/>
      <c r="I277" s="172"/>
      <c r="J277" s="172"/>
      <c r="K277" s="172"/>
      <c r="L277" s="172"/>
      <c r="M277" s="172"/>
      <c r="N277" s="172"/>
      <c r="O277" s="172"/>
      <c r="P277" s="172"/>
      <c r="Q277" s="172"/>
      <c r="R277" s="172"/>
      <c r="S277" s="172"/>
      <c r="T277" s="172"/>
      <c r="U277" s="172"/>
      <c r="V277" s="172"/>
      <c r="W277" s="172"/>
      <c r="X277" s="172"/>
      <c r="Y277" s="172"/>
      <c r="Z277" s="172"/>
    </row>
    <row r="278">
      <c r="A278" s="172"/>
      <c r="B278" s="172"/>
      <c r="C278" s="172"/>
      <c r="D278" s="172"/>
      <c r="E278" s="172"/>
      <c r="F278" s="172"/>
      <c r="G278" s="172"/>
      <c r="H278" s="172"/>
      <c r="I278" s="172"/>
      <c r="J278" s="172"/>
      <c r="K278" s="172"/>
      <c r="L278" s="172"/>
      <c r="M278" s="172"/>
      <c r="N278" s="172"/>
      <c r="O278" s="172"/>
      <c r="P278" s="172"/>
      <c r="Q278" s="172"/>
      <c r="R278" s="172"/>
      <c r="S278" s="172"/>
      <c r="T278" s="172"/>
      <c r="U278" s="172"/>
      <c r="V278" s="172"/>
      <c r="W278" s="172"/>
      <c r="X278" s="172"/>
      <c r="Y278" s="172"/>
      <c r="Z278" s="172"/>
    </row>
    <row r="279">
      <c r="A279" s="172"/>
      <c r="B279" s="172"/>
      <c r="C279" s="172"/>
      <c r="D279" s="172"/>
      <c r="E279" s="172"/>
      <c r="F279" s="172"/>
      <c r="G279" s="172"/>
      <c r="H279" s="172"/>
      <c r="I279" s="172"/>
      <c r="J279" s="172"/>
      <c r="K279" s="172"/>
      <c r="L279" s="172"/>
      <c r="M279" s="172"/>
      <c r="N279" s="172"/>
      <c r="O279" s="172"/>
      <c r="P279" s="172"/>
      <c r="Q279" s="172"/>
      <c r="R279" s="172"/>
      <c r="S279" s="172"/>
      <c r="T279" s="172"/>
      <c r="U279" s="172"/>
      <c r="V279" s="172"/>
      <c r="W279" s="172"/>
      <c r="X279" s="172"/>
      <c r="Y279" s="172"/>
      <c r="Z279" s="172"/>
    </row>
    <row r="280">
      <c r="A280" s="172"/>
      <c r="B280" s="172"/>
      <c r="C280" s="172"/>
      <c r="D280" s="172"/>
      <c r="E280" s="172"/>
      <c r="F280" s="172"/>
      <c r="G280" s="172"/>
      <c r="H280" s="172"/>
      <c r="I280" s="172"/>
      <c r="J280" s="172"/>
      <c r="K280" s="172"/>
      <c r="L280" s="172"/>
      <c r="M280" s="172"/>
      <c r="N280" s="172"/>
      <c r="O280" s="172"/>
      <c r="P280" s="172"/>
      <c r="Q280" s="172"/>
      <c r="R280" s="172"/>
      <c r="S280" s="172"/>
      <c r="T280" s="172"/>
      <c r="U280" s="172"/>
      <c r="V280" s="172"/>
      <c r="W280" s="172"/>
      <c r="X280" s="172"/>
      <c r="Y280" s="172"/>
      <c r="Z280" s="172"/>
    </row>
    <row r="281">
      <c r="A281" s="172"/>
      <c r="B281" s="172"/>
      <c r="C281" s="172"/>
      <c r="D281" s="172"/>
      <c r="E281" s="172"/>
      <c r="F281" s="172"/>
      <c r="G281" s="172"/>
      <c r="H281" s="172"/>
      <c r="I281" s="172"/>
      <c r="J281" s="172"/>
      <c r="K281" s="172"/>
      <c r="L281" s="172"/>
      <c r="M281" s="172"/>
      <c r="N281" s="172"/>
      <c r="O281" s="172"/>
      <c r="P281" s="172"/>
      <c r="Q281" s="172"/>
      <c r="R281" s="172"/>
      <c r="S281" s="172"/>
      <c r="T281" s="172"/>
      <c r="U281" s="172"/>
      <c r="V281" s="172"/>
      <c r="W281" s="172"/>
      <c r="X281" s="172"/>
      <c r="Y281" s="172"/>
      <c r="Z281" s="172"/>
    </row>
    <row r="282">
      <c r="A282" s="172"/>
      <c r="B282" s="172"/>
      <c r="C282" s="172"/>
      <c r="D282" s="172"/>
      <c r="E282" s="172"/>
      <c r="F282" s="172"/>
      <c r="G282" s="172"/>
      <c r="H282" s="172"/>
      <c r="I282" s="172"/>
      <c r="J282" s="172"/>
      <c r="K282" s="172"/>
      <c r="L282" s="172"/>
      <c r="M282" s="172"/>
      <c r="N282" s="172"/>
      <c r="O282" s="172"/>
      <c r="P282" s="172"/>
      <c r="Q282" s="172"/>
      <c r="R282" s="172"/>
      <c r="S282" s="172"/>
      <c r="T282" s="172"/>
      <c r="U282" s="172"/>
      <c r="V282" s="172"/>
      <c r="W282" s="172"/>
      <c r="X282" s="172"/>
      <c r="Y282" s="172"/>
      <c r="Z282" s="172"/>
    </row>
    <row r="283">
      <c r="A283" s="172"/>
      <c r="B283" s="172"/>
      <c r="C283" s="172"/>
      <c r="D283" s="172"/>
      <c r="E283" s="172"/>
      <c r="F283" s="172"/>
      <c r="G283" s="172"/>
      <c r="H283" s="172"/>
      <c r="I283" s="172"/>
      <c r="J283" s="172"/>
      <c r="K283" s="172"/>
      <c r="L283" s="172"/>
      <c r="M283" s="172"/>
      <c r="N283" s="172"/>
      <c r="O283" s="172"/>
      <c r="P283" s="172"/>
      <c r="Q283" s="172"/>
      <c r="R283" s="172"/>
      <c r="S283" s="172"/>
      <c r="T283" s="172"/>
      <c r="U283" s="172"/>
      <c r="V283" s="172"/>
      <c r="W283" s="172"/>
      <c r="X283" s="172"/>
      <c r="Y283" s="172"/>
      <c r="Z283" s="172"/>
    </row>
    <row r="284">
      <c r="A284" s="172"/>
      <c r="B284" s="172"/>
      <c r="C284" s="172"/>
      <c r="D284" s="172"/>
      <c r="E284" s="172"/>
      <c r="F284" s="172"/>
      <c r="G284" s="172"/>
      <c r="H284" s="172"/>
      <c r="I284" s="172"/>
      <c r="J284" s="172"/>
      <c r="K284" s="172"/>
      <c r="L284" s="172"/>
      <c r="M284" s="172"/>
      <c r="N284" s="172"/>
      <c r="O284" s="172"/>
      <c r="P284" s="172"/>
      <c r="Q284" s="172"/>
      <c r="R284" s="172"/>
      <c r="S284" s="172"/>
      <c r="T284" s="172"/>
      <c r="U284" s="172"/>
      <c r="V284" s="172"/>
      <c r="W284" s="172"/>
      <c r="X284" s="172"/>
      <c r="Y284" s="172"/>
      <c r="Z284" s="172"/>
    </row>
    <row r="285">
      <c r="A285" s="172"/>
      <c r="B285" s="172"/>
      <c r="C285" s="172"/>
      <c r="D285" s="172"/>
      <c r="E285" s="172"/>
      <c r="F285" s="172"/>
      <c r="G285" s="172"/>
      <c r="H285" s="172"/>
      <c r="I285" s="172"/>
      <c r="J285" s="172"/>
      <c r="K285" s="172"/>
      <c r="L285" s="172"/>
      <c r="M285" s="172"/>
      <c r="N285" s="172"/>
      <c r="O285" s="172"/>
      <c r="P285" s="172"/>
      <c r="Q285" s="172"/>
      <c r="R285" s="172"/>
      <c r="S285" s="172"/>
      <c r="T285" s="172"/>
      <c r="U285" s="172"/>
      <c r="V285" s="172"/>
      <c r="W285" s="172"/>
      <c r="X285" s="172"/>
      <c r="Y285" s="172"/>
      <c r="Z285" s="172"/>
    </row>
    <row r="286">
      <c r="A286" s="172"/>
      <c r="B286" s="172"/>
      <c r="C286" s="172"/>
      <c r="D286" s="172"/>
      <c r="E286" s="172"/>
      <c r="F286" s="172"/>
      <c r="G286" s="172"/>
      <c r="H286" s="172"/>
      <c r="I286" s="172"/>
      <c r="J286" s="172"/>
      <c r="K286" s="172"/>
      <c r="L286" s="172"/>
      <c r="M286" s="172"/>
      <c r="N286" s="172"/>
      <c r="O286" s="172"/>
      <c r="P286" s="172"/>
      <c r="Q286" s="172"/>
      <c r="R286" s="172"/>
      <c r="S286" s="172"/>
      <c r="T286" s="172"/>
      <c r="U286" s="172"/>
      <c r="V286" s="172"/>
      <c r="W286" s="172"/>
      <c r="X286" s="172"/>
      <c r="Y286" s="172"/>
      <c r="Z286" s="172"/>
    </row>
    <row r="287">
      <c r="A287" s="172"/>
      <c r="B287" s="172"/>
      <c r="C287" s="172"/>
      <c r="D287" s="172"/>
      <c r="E287" s="172"/>
      <c r="F287" s="172"/>
      <c r="G287" s="172"/>
      <c r="H287" s="172"/>
      <c r="I287" s="172"/>
      <c r="J287" s="172"/>
      <c r="K287" s="172"/>
      <c r="L287" s="172"/>
      <c r="M287" s="172"/>
      <c r="N287" s="172"/>
      <c r="O287" s="172"/>
      <c r="P287" s="172"/>
      <c r="Q287" s="172"/>
      <c r="R287" s="172"/>
      <c r="S287" s="172"/>
      <c r="T287" s="172"/>
      <c r="U287" s="172"/>
      <c r="V287" s="172"/>
      <c r="W287" s="172"/>
      <c r="X287" s="172"/>
      <c r="Y287" s="172"/>
      <c r="Z287" s="172"/>
    </row>
    <row r="288">
      <c r="A288" s="172"/>
      <c r="B288" s="172"/>
      <c r="C288" s="172"/>
      <c r="D288" s="172"/>
      <c r="E288" s="172"/>
      <c r="F288" s="172"/>
      <c r="G288" s="172"/>
      <c r="H288" s="172"/>
      <c r="I288" s="172"/>
      <c r="J288" s="172"/>
      <c r="K288" s="172"/>
      <c r="L288" s="172"/>
      <c r="M288" s="172"/>
      <c r="N288" s="172"/>
      <c r="O288" s="172"/>
      <c r="P288" s="172"/>
      <c r="Q288" s="172"/>
      <c r="R288" s="172"/>
      <c r="S288" s="172"/>
      <c r="T288" s="172"/>
      <c r="U288" s="172"/>
      <c r="V288" s="172"/>
      <c r="W288" s="172"/>
      <c r="X288" s="172"/>
      <c r="Y288" s="172"/>
      <c r="Z288" s="172"/>
    </row>
    <row r="289">
      <c r="A289" s="172"/>
      <c r="B289" s="172"/>
      <c r="C289" s="172"/>
      <c r="D289" s="172"/>
      <c r="E289" s="172"/>
      <c r="F289" s="172"/>
      <c r="G289" s="172"/>
      <c r="H289" s="172"/>
      <c r="I289" s="172"/>
      <c r="J289" s="172"/>
      <c r="K289" s="172"/>
      <c r="L289" s="172"/>
      <c r="M289" s="172"/>
      <c r="N289" s="172"/>
      <c r="O289" s="172"/>
      <c r="P289" s="172"/>
      <c r="Q289" s="172"/>
      <c r="R289" s="172"/>
      <c r="S289" s="172"/>
      <c r="T289" s="172"/>
      <c r="U289" s="172"/>
      <c r="V289" s="172"/>
      <c r="W289" s="172"/>
      <c r="X289" s="172"/>
      <c r="Y289" s="172"/>
      <c r="Z289" s="172"/>
    </row>
    <row r="290">
      <c r="A290" s="172"/>
      <c r="B290" s="172"/>
      <c r="C290" s="172"/>
      <c r="D290" s="172"/>
      <c r="E290" s="172"/>
      <c r="F290" s="172"/>
      <c r="G290" s="172"/>
      <c r="H290" s="172"/>
      <c r="I290" s="172"/>
      <c r="J290" s="172"/>
      <c r="K290" s="172"/>
      <c r="L290" s="172"/>
      <c r="M290" s="172"/>
      <c r="N290" s="172"/>
      <c r="O290" s="172"/>
      <c r="P290" s="172"/>
      <c r="Q290" s="172"/>
      <c r="R290" s="172"/>
      <c r="S290" s="172"/>
      <c r="T290" s="172"/>
      <c r="U290" s="172"/>
      <c r="V290" s="172"/>
      <c r="W290" s="172"/>
      <c r="X290" s="172"/>
      <c r="Y290" s="172"/>
      <c r="Z290" s="172"/>
    </row>
    <row r="291">
      <c r="A291" s="172"/>
      <c r="B291" s="172"/>
      <c r="C291" s="172"/>
      <c r="D291" s="172"/>
      <c r="E291" s="172"/>
      <c r="F291" s="172"/>
      <c r="G291" s="172"/>
      <c r="H291" s="172"/>
      <c r="I291" s="172"/>
      <c r="J291" s="172"/>
      <c r="K291" s="172"/>
      <c r="L291" s="172"/>
      <c r="M291" s="172"/>
      <c r="N291" s="172"/>
      <c r="O291" s="172"/>
      <c r="P291" s="172"/>
      <c r="Q291" s="172"/>
      <c r="R291" s="172"/>
      <c r="S291" s="172"/>
      <c r="T291" s="172"/>
      <c r="U291" s="172"/>
      <c r="V291" s="172"/>
      <c r="W291" s="172"/>
      <c r="X291" s="172"/>
      <c r="Y291" s="172"/>
      <c r="Z291" s="172"/>
    </row>
    <row r="292">
      <c r="A292" s="172"/>
      <c r="B292" s="172"/>
      <c r="C292" s="172"/>
      <c r="D292" s="172"/>
      <c r="E292" s="172"/>
      <c r="F292" s="172"/>
      <c r="G292" s="172"/>
      <c r="H292" s="172"/>
      <c r="I292" s="172"/>
      <c r="J292" s="172"/>
      <c r="K292" s="172"/>
      <c r="L292" s="172"/>
      <c r="M292" s="172"/>
      <c r="N292" s="172"/>
      <c r="O292" s="172"/>
      <c r="P292" s="172"/>
      <c r="Q292" s="172"/>
      <c r="R292" s="172"/>
      <c r="S292" s="172"/>
      <c r="T292" s="172"/>
      <c r="U292" s="172"/>
      <c r="V292" s="172"/>
      <c r="W292" s="172"/>
      <c r="X292" s="172"/>
      <c r="Y292" s="172"/>
      <c r="Z292" s="172"/>
    </row>
    <row r="293">
      <c r="A293" s="172"/>
      <c r="B293" s="172"/>
      <c r="C293" s="172"/>
      <c r="D293" s="172"/>
      <c r="E293" s="172"/>
      <c r="F293" s="172"/>
      <c r="G293" s="172"/>
      <c r="H293" s="172"/>
      <c r="I293" s="172"/>
      <c r="J293" s="172"/>
      <c r="K293" s="172"/>
      <c r="L293" s="172"/>
      <c r="M293" s="172"/>
      <c r="N293" s="172"/>
      <c r="O293" s="172"/>
      <c r="P293" s="172"/>
      <c r="Q293" s="172"/>
      <c r="R293" s="172"/>
      <c r="S293" s="172"/>
      <c r="T293" s="172"/>
      <c r="U293" s="172"/>
      <c r="V293" s="172"/>
      <c r="W293" s="172"/>
      <c r="X293" s="172"/>
      <c r="Y293" s="172"/>
      <c r="Z293" s="172"/>
    </row>
    <row r="294">
      <c r="A294" s="172"/>
      <c r="B294" s="172"/>
      <c r="C294" s="172"/>
      <c r="D294" s="172"/>
      <c r="E294" s="172"/>
      <c r="F294" s="172"/>
      <c r="G294" s="172"/>
      <c r="H294" s="172"/>
      <c r="I294" s="172"/>
      <c r="J294" s="172"/>
      <c r="K294" s="172"/>
      <c r="L294" s="172"/>
      <c r="M294" s="172"/>
      <c r="N294" s="172"/>
      <c r="O294" s="172"/>
      <c r="P294" s="172"/>
      <c r="Q294" s="172"/>
      <c r="R294" s="172"/>
      <c r="S294" s="172"/>
      <c r="T294" s="172"/>
      <c r="U294" s="172"/>
      <c r="V294" s="172"/>
      <c r="W294" s="172"/>
      <c r="X294" s="172"/>
      <c r="Y294" s="172"/>
      <c r="Z294" s="172"/>
    </row>
    <row r="295">
      <c r="A295" s="172"/>
      <c r="B295" s="172"/>
      <c r="C295" s="172"/>
      <c r="D295" s="172"/>
      <c r="E295" s="172"/>
      <c r="F295" s="172"/>
      <c r="G295" s="172"/>
      <c r="H295" s="172"/>
      <c r="I295" s="172"/>
      <c r="J295" s="172"/>
      <c r="K295" s="172"/>
      <c r="L295" s="172"/>
      <c r="M295" s="172"/>
      <c r="N295" s="172"/>
      <c r="O295" s="172"/>
      <c r="P295" s="172"/>
      <c r="Q295" s="172"/>
      <c r="R295" s="172"/>
      <c r="S295" s="172"/>
      <c r="T295" s="172"/>
      <c r="U295" s="172"/>
      <c r="V295" s="172"/>
      <c r="W295" s="172"/>
      <c r="X295" s="172"/>
      <c r="Y295" s="172"/>
      <c r="Z295" s="172"/>
    </row>
    <row r="296">
      <c r="A296" s="172"/>
      <c r="B296" s="172"/>
      <c r="C296" s="172"/>
      <c r="D296" s="172"/>
      <c r="E296" s="172"/>
      <c r="F296" s="172"/>
      <c r="G296" s="172"/>
      <c r="H296" s="172"/>
      <c r="I296" s="172"/>
      <c r="J296" s="172"/>
      <c r="K296" s="172"/>
      <c r="L296" s="172"/>
      <c r="M296" s="172"/>
      <c r="N296" s="172"/>
      <c r="O296" s="172"/>
      <c r="P296" s="172"/>
      <c r="Q296" s="172"/>
      <c r="R296" s="172"/>
      <c r="S296" s="172"/>
      <c r="T296" s="172"/>
      <c r="U296" s="172"/>
      <c r="V296" s="172"/>
      <c r="W296" s="172"/>
      <c r="X296" s="172"/>
      <c r="Y296" s="172"/>
      <c r="Z296" s="172"/>
    </row>
    <row r="297">
      <c r="A297" s="172"/>
      <c r="B297" s="172"/>
      <c r="C297" s="172"/>
      <c r="D297" s="172"/>
      <c r="E297" s="172"/>
      <c r="F297" s="172"/>
      <c r="G297" s="172"/>
      <c r="H297" s="172"/>
      <c r="I297" s="172"/>
      <c r="J297" s="172"/>
      <c r="K297" s="172"/>
      <c r="L297" s="172"/>
      <c r="M297" s="172"/>
      <c r="N297" s="172"/>
      <c r="O297" s="172"/>
      <c r="P297" s="172"/>
      <c r="Q297" s="172"/>
      <c r="R297" s="172"/>
      <c r="S297" s="172"/>
      <c r="T297" s="172"/>
      <c r="U297" s="172"/>
      <c r="V297" s="172"/>
      <c r="W297" s="172"/>
      <c r="X297" s="172"/>
      <c r="Y297" s="172"/>
      <c r="Z297" s="172"/>
    </row>
    <row r="298">
      <c r="A298" s="172"/>
      <c r="B298" s="172"/>
      <c r="C298" s="172"/>
      <c r="D298" s="172"/>
      <c r="E298" s="172"/>
      <c r="F298" s="172"/>
      <c r="G298" s="172"/>
      <c r="H298" s="172"/>
      <c r="I298" s="172"/>
      <c r="J298" s="172"/>
      <c r="K298" s="172"/>
      <c r="L298" s="172"/>
      <c r="M298" s="172"/>
      <c r="N298" s="172"/>
      <c r="O298" s="172"/>
      <c r="P298" s="172"/>
      <c r="Q298" s="172"/>
      <c r="R298" s="172"/>
      <c r="S298" s="172"/>
      <c r="T298" s="172"/>
      <c r="U298" s="172"/>
      <c r="V298" s="172"/>
      <c r="W298" s="172"/>
      <c r="X298" s="172"/>
      <c r="Y298" s="172"/>
      <c r="Z298" s="172"/>
    </row>
    <row r="299">
      <c r="A299" s="172"/>
      <c r="B299" s="172"/>
      <c r="C299" s="172"/>
      <c r="D299" s="172"/>
      <c r="E299" s="172"/>
      <c r="F299" s="172"/>
      <c r="G299" s="172"/>
      <c r="H299" s="172"/>
      <c r="I299" s="172"/>
      <c r="J299" s="172"/>
      <c r="K299" s="172"/>
      <c r="L299" s="172"/>
      <c r="M299" s="172"/>
      <c r="N299" s="172"/>
      <c r="O299" s="172"/>
      <c r="P299" s="172"/>
      <c r="Q299" s="172"/>
      <c r="R299" s="172"/>
      <c r="S299" s="172"/>
      <c r="T299" s="172"/>
      <c r="U299" s="172"/>
      <c r="V299" s="172"/>
      <c r="W299" s="172"/>
      <c r="X299" s="172"/>
      <c r="Y299" s="172"/>
      <c r="Z299" s="172"/>
    </row>
    <row r="300">
      <c r="A300" s="172"/>
      <c r="B300" s="172"/>
      <c r="C300" s="172"/>
      <c r="D300" s="172"/>
      <c r="E300" s="172"/>
      <c r="F300" s="172"/>
      <c r="G300" s="172"/>
      <c r="H300" s="172"/>
      <c r="I300" s="172"/>
      <c r="J300" s="172"/>
      <c r="K300" s="172"/>
      <c r="L300" s="172"/>
      <c r="M300" s="172"/>
      <c r="N300" s="172"/>
      <c r="O300" s="172"/>
      <c r="P300" s="172"/>
      <c r="Q300" s="172"/>
      <c r="R300" s="172"/>
      <c r="S300" s="172"/>
      <c r="T300" s="172"/>
      <c r="U300" s="172"/>
      <c r="V300" s="172"/>
      <c r="W300" s="172"/>
      <c r="X300" s="172"/>
      <c r="Y300" s="172"/>
      <c r="Z300" s="172"/>
    </row>
    <row r="301">
      <c r="A301" s="172"/>
      <c r="B301" s="172"/>
      <c r="C301" s="172"/>
      <c r="D301" s="172"/>
      <c r="E301" s="172"/>
      <c r="F301" s="172"/>
      <c r="G301" s="172"/>
      <c r="H301" s="172"/>
      <c r="I301" s="172"/>
      <c r="J301" s="172"/>
      <c r="K301" s="172"/>
      <c r="L301" s="172"/>
      <c r="M301" s="172"/>
      <c r="N301" s="172"/>
      <c r="O301" s="172"/>
      <c r="P301" s="172"/>
      <c r="Q301" s="172"/>
      <c r="R301" s="172"/>
      <c r="S301" s="172"/>
      <c r="T301" s="172"/>
      <c r="U301" s="172"/>
      <c r="V301" s="172"/>
      <c r="W301" s="172"/>
      <c r="X301" s="172"/>
      <c r="Y301" s="172"/>
      <c r="Z301" s="172"/>
    </row>
    <row r="302">
      <c r="A302" s="172"/>
      <c r="B302" s="172"/>
      <c r="C302" s="172"/>
      <c r="D302" s="172"/>
      <c r="E302" s="172"/>
      <c r="F302" s="172"/>
      <c r="G302" s="172"/>
      <c r="H302" s="172"/>
      <c r="I302" s="172"/>
      <c r="J302" s="172"/>
      <c r="K302" s="172"/>
      <c r="L302" s="172"/>
      <c r="M302" s="172"/>
      <c r="N302" s="172"/>
      <c r="O302" s="172"/>
      <c r="P302" s="172"/>
      <c r="Q302" s="172"/>
      <c r="R302" s="172"/>
      <c r="S302" s="172"/>
      <c r="T302" s="172"/>
      <c r="U302" s="172"/>
      <c r="V302" s="172"/>
      <c r="W302" s="172"/>
      <c r="X302" s="172"/>
      <c r="Y302" s="172"/>
      <c r="Z302" s="172"/>
    </row>
    <row r="303">
      <c r="A303" s="172"/>
      <c r="B303" s="172"/>
      <c r="C303" s="172"/>
      <c r="D303" s="172"/>
      <c r="E303" s="172"/>
      <c r="F303" s="172"/>
      <c r="G303" s="172"/>
      <c r="H303" s="172"/>
      <c r="I303" s="172"/>
      <c r="J303" s="172"/>
      <c r="K303" s="172"/>
      <c r="L303" s="172"/>
      <c r="M303" s="172"/>
      <c r="N303" s="172"/>
      <c r="O303" s="172"/>
      <c r="P303" s="172"/>
      <c r="Q303" s="172"/>
      <c r="R303" s="172"/>
      <c r="S303" s="172"/>
      <c r="T303" s="172"/>
      <c r="U303" s="172"/>
      <c r="V303" s="172"/>
      <c r="W303" s="172"/>
      <c r="X303" s="172"/>
      <c r="Y303" s="172"/>
      <c r="Z303" s="172"/>
    </row>
    <row r="304">
      <c r="A304" s="172"/>
      <c r="B304" s="172"/>
      <c r="C304" s="172"/>
      <c r="D304" s="172"/>
      <c r="E304" s="172"/>
      <c r="F304" s="172"/>
      <c r="G304" s="172"/>
      <c r="H304" s="172"/>
      <c r="I304" s="172"/>
      <c r="J304" s="172"/>
      <c r="K304" s="172"/>
      <c r="L304" s="172"/>
      <c r="M304" s="172"/>
      <c r="N304" s="172"/>
      <c r="O304" s="172"/>
      <c r="P304" s="172"/>
      <c r="Q304" s="172"/>
      <c r="R304" s="172"/>
      <c r="S304" s="172"/>
      <c r="T304" s="172"/>
      <c r="U304" s="172"/>
      <c r="V304" s="172"/>
      <c r="W304" s="172"/>
      <c r="X304" s="172"/>
      <c r="Y304" s="172"/>
      <c r="Z304" s="172"/>
    </row>
    <row r="305">
      <c r="A305" s="172"/>
      <c r="B305" s="172"/>
      <c r="C305" s="172"/>
      <c r="D305" s="172"/>
      <c r="E305" s="172"/>
      <c r="F305" s="172"/>
      <c r="G305" s="172"/>
      <c r="H305" s="172"/>
      <c r="I305" s="172"/>
      <c r="J305" s="172"/>
      <c r="K305" s="172"/>
      <c r="L305" s="172"/>
      <c r="M305" s="172"/>
      <c r="N305" s="172"/>
      <c r="O305" s="172"/>
      <c r="P305" s="172"/>
      <c r="Q305" s="172"/>
      <c r="R305" s="172"/>
      <c r="S305" s="172"/>
      <c r="T305" s="172"/>
      <c r="U305" s="172"/>
      <c r="V305" s="172"/>
      <c r="W305" s="172"/>
      <c r="X305" s="172"/>
      <c r="Y305" s="172"/>
      <c r="Z305" s="172"/>
    </row>
    <row r="306">
      <c r="A306" s="172"/>
      <c r="B306" s="172"/>
      <c r="C306" s="172"/>
      <c r="D306" s="172"/>
      <c r="E306" s="172"/>
      <c r="F306" s="172"/>
      <c r="G306" s="172"/>
      <c r="H306" s="172"/>
      <c r="I306" s="172"/>
      <c r="J306" s="172"/>
      <c r="K306" s="172"/>
      <c r="L306" s="172"/>
      <c r="M306" s="172"/>
      <c r="N306" s="172"/>
      <c r="O306" s="172"/>
      <c r="P306" s="172"/>
      <c r="Q306" s="172"/>
      <c r="R306" s="172"/>
      <c r="S306" s="172"/>
      <c r="T306" s="172"/>
      <c r="U306" s="172"/>
      <c r="V306" s="172"/>
      <c r="W306" s="172"/>
      <c r="X306" s="172"/>
      <c r="Y306" s="172"/>
      <c r="Z306" s="172"/>
    </row>
    <row r="307">
      <c r="A307" s="172"/>
      <c r="B307" s="172"/>
      <c r="C307" s="172"/>
      <c r="D307" s="172"/>
      <c r="E307" s="172"/>
      <c r="F307" s="172"/>
      <c r="G307" s="172"/>
      <c r="H307" s="172"/>
      <c r="I307" s="172"/>
      <c r="J307" s="172"/>
      <c r="K307" s="172"/>
      <c r="L307" s="172"/>
      <c r="M307" s="172"/>
      <c r="N307" s="172"/>
      <c r="O307" s="172"/>
      <c r="P307" s="172"/>
      <c r="Q307" s="172"/>
      <c r="R307" s="172"/>
      <c r="S307" s="172"/>
      <c r="T307" s="172"/>
      <c r="U307" s="172"/>
      <c r="V307" s="172"/>
      <c r="W307" s="172"/>
      <c r="X307" s="172"/>
      <c r="Y307" s="172"/>
      <c r="Z307" s="172"/>
    </row>
    <row r="308">
      <c r="A308" s="172"/>
      <c r="B308" s="172"/>
      <c r="C308" s="172"/>
      <c r="D308" s="172"/>
      <c r="E308" s="172"/>
      <c r="F308" s="172"/>
      <c r="G308" s="172"/>
      <c r="H308" s="172"/>
      <c r="I308" s="172"/>
      <c r="J308" s="172"/>
      <c r="K308" s="172"/>
      <c r="L308" s="172"/>
      <c r="M308" s="172"/>
      <c r="N308" s="172"/>
      <c r="O308" s="172"/>
      <c r="P308" s="172"/>
      <c r="Q308" s="172"/>
      <c r="R308" s="172"/>
      <c r="S308" s="172"/>
      <c r="T308" s="172"/>
      <c r="U308" s="172"/>
      <c r="V308" s="172"/>
      <c r="W308" s="172"/>
      <c r="X308" s="172"/>
      <c r="Y308" s="172"/>
      <c r="Z308" s="172"/>
    </row>
    <row r="309">
      <c r="A309" s="172"/>
      <c r="B309" s="172"/>
      <c r="C309" s="172"/>
      <c r="D309" s="172"/>
      <c r="E309" s="172"/>
      <c r="F309" s="172"/>
      <c r="G309" s="172"/>
      <c r="H309" s="172"/>
      <c r="I309" s="172"/>
      <c r="J309" s="172"/>
      <c r="K309" s="172"/>
      <c r="L309" s="172"/>
      <c r="M309" s="172"/>
      <c r="N309" s="172"/>
      <c r="O309" s="172"/>
      <c r="P309" s="172"/>
      <c r="Q309" s="172"/>
      <c r="R309" s="172"/>
      <c r="S309" s="172"/>
      <c r="T309" s="172"/>
      <c r="U309" s="172"/>
      <c r="V309" s="172"/>
      <c r="W309" s="172"/>
      <c r="X309" s="172"/>
      <c r="Y309" s="172"/>
      <c r="Z309" s="172"/>
    </row>
    <row r="310">
      <c r="A310" s="172"/>
      <c r="B310" s="172"/>
      <c r="C310" s="172"/>
      <c r="D310" s="172"/>
      <c r="E310" s="172"/>
      <c r="F310" s="172"/>
      <c r="G310" s="172"/>
      <c r="H310" s="172"/>
      <c r="I310" s="172"/>
      <c r="J310" s="172"/>
      <c r="K310" s="172"/>
      <c r="L310" s="172"/>
      <c r="M310" s="172"/>
      <c r="N310" s="172"/>
      <c r="O310" s="172"/>
      <c r="P310" s="172"/>
      <c r="Q310" s="172"/>
      <c r="R310" s="172"/>
      <c r="S310" s="172"/>
      <c r="T310" s="172"/>
      <c r="U310" s="172"/>
      <c r="V310" s="172"/>
      <c r="W310" s="172"/>
      <c r="X310" s="172"/>
      <c r="Y310" s="172"/>
      <c r="Z310" s="172"/>
    </row>
    <row r="311">
      <c r="A311" s="172"/>
      <c r="B311" s="172"/>
      <c r="C311" s="172"/>
      <c r="D311" s="172"/>
      <c r="E311" s="172"/>
      <c r="F311" s="172"/>
      <c r="G311" s="172"/>
      <c r="H311" s="172"/>
      <c r="I311" s="172"/>
      <c r="J311" s="172"/>
      <c r="K311" s="172"/>
      <c r="L311" s="172"/>
      <c r="M311" s="172"/>
      <c r="N311" s="172"/>
      <c r="O311" s="172"/>
      <c r="P311" s="172"/>
      <c r="Q311" s="172"/>
      <c r="R311" s="172"/>
      <c r="S311" s="172"/>
      <c r="T311" s="172"/>
      <c r="U311" s="172"/>
      <c r="V311" s="172"/>
      <c r="W311" s="172"/>
      <c r="X311" s="172"/>
      <c r="Y311" s="172"/>
      <c r="Z311" s="172"/>
    </row>
    <row r="312">
      <c r="A312" s="172"/>
      <c r="B312" s="172"/>
      <c r="C312" s="172"/>
      <c r="D312" s="172"/>
      <c r="E312" s="172"/>
      <c r="F312" s="172"/>
      <c r="G312" s="172"/>
      <c r="H312" s="172"/>
      <c r="I312" s="172"/>
      <c r="J312" s="172"/>
      <c r="K312" s="172"/>
      <c r="L312" s="172"/>
      <c r="M312" s="172"/>
      <c r="N312" s="172"/>
      <c r="O312" s="172"/>
      <c r="P312" s="172"/>
      <c r="Q312" s="172"/>
      <c r="R312" s="172"/>
      <c r="S312" s="172"/>
      <c r="T312" s="172"/>
      <c r="U312" s="172"/>
      <c r="V312" s="172"/>
      <c r="W312" s="172"/>
      <c r="X312" s="172"/>
      <c r="Y312" s="172"/>
      <c r="Z312" s="172"/>
    </row>
    <row r="313">
      <c r="A313" s="172"/>
      <c r="B313" s="172"/>
      <c r="C313" s="172"/>
      <c r="D313" s="172"/>
      <c r="E313" s="172"/>
      <c r="F313" s="172"/>
      <c r="G313" s="172"/>
      <c r="H313" s="172"/>
      <c r="I313" s="172"/>
      <c r="J313" s="172"/>
      <c r="K313" s="172"/>
      <c r="L313" s="172"/>
      <c r="M313" s="172"/>
      <c r="N313" s="172"/>
      <c r="O313" s="172"/>
      <c r="P313" s="172"/>
      <c r="Q313" s="172"/>
      <c r="R313" s="172"/>
      <c r="S313" s="172"/>
      <c r="T313" s="172"/>
      <c r="U313" s="172"/>
      <c r="V313" s="172"/>
      <c r="W313" s="172"/>
      <c r="X313" s="172"/>
      <c r="Y313" s="172"/>
      <c r="Z313" s="172"/>
    </row>
    <row r="314">
      <c r="A314" s="172"/>
      <c r="B314" s="172"/>
      <c r="C314" s="172"/>
      <c r="D314" s="172"/>
      <c r="E314" s="172"/>
      <c r="F314" s="172"/>
      <c r="G314" s="172"/>
      <c r="H314" s="172"/>
      <c r="I314" s="172"/>
      <c r="J314" s="172"/>
      <c r="K314" s="172"/>
      <c r="L314" s="172"/>
      <c r="M314" s="172"/>
      <c r="N314" s="172"/>
      <c r="O314" s="172"/>
      <c r="P314" s="172"/>
      <c r="Q314" s="172"/>
      <c r="R314" s="172"/>
      <c r="S314" s="172"/>
      <c r="T314" s="172"/>
      <c r="U314" s="172"/>
      <c r="V314" s="172"/>
      <c r="W314" s="172"/>
      <c r="X314" s="172"/>
      <c r="Y314" s="172"/>
      <c r="Z314" s="172"/>
    </row>
    <row r="315">
      <c r="A315" s="172"/>
      <c r="B315" s="172"/>
      <c r="C315" s="172"/>
      <c r="D315" s="172"/>
      <c r="E315" s="172"/>
      <c r="F315" s="172"/>
      <c r="G315" s="172"/>
      <c r="H315" s="172"/>
      <c r="I315" s="172"/>
      <c r="J315" s="172"/>
      <c r="K315" s="172"/>
      <c r="L315" s="172"/>
      <c r="M315" s="172"/>
      <c r="N315" s="172"/>
      <c r="O315" s="172"/>
      <c r="P315" s="172"/>
      <c r="Q315" s="172"/>
      <c r="R315" s="172"/>
      <c r="S315" s="172"/>
      <c r="T315" s="172"/>
      <c r="U315" s="172"/>
      <c r="V315" s="172"/>
      <c r="W315" s="172"/>
      <c r="X315" s="172"/>
      <c r="Y315" s="172"/>
      <c r="Z315" s="172"/>
    </row>
    <row r="316">
      <c r="A316" s="172"/>
      <c r="B316" s="172"/>
      <c r="C316" s="172"/>
      <c r="D316" s="172"/>
      <c r="E316" s="172"/>
      <c r="F316" s="172"/>
      <c r="G316" s="172"/>
      <c r="H316" s="172"/>
      <c r="I316" s="172"/>
      <c r="J316" s="172"/>
      <c r="K316" s="172"/>
      <c r="L316" s="172"/>
      <c r="M316" s="172"/>
      <c r="N316" s="172"/>
      <c r="O316" s="172"/>
      <c r="P316" s="172"/>
      <c r="Q316" s="172"/>
      <c r="R316" s="172"/>
      <c r="S316" s="172"/>
      <c r="T316" s="172"/>
      <c r="U316" s="172"/>
      <c r="V316" s="172"/>
      <c r="W316" s="172"/>
      <c r="X316" s="172"/>
      <c r="Y316" s="172"/>
      <c r="Z316" s="172"/>
    </row>
    <row r="317">
      <c r="A317" s="172"/>
      <c r="B317" s="172"/>
      <c r="C317" s="172"/>
      <c r="D317" s="172"/>
      <c r="E317" s="172"/>
      <c r="F317" s="172"/>
      <c r="G317" s="172"/>
      <c r="H317" s="172"/>
      <c r="I317" s="172"/>
      <c r="J317" s="172"/>
      <c r="K317" s="172"/>
      <c r="L317" s="172"/>
      <c r="M317" s="172"/>
      <c r="N317" s="172"/>
      <c r="O317" s="172"/>
      <c r="P317" s="172"/>
      <c r="Q317" s="172"/>
      <c r="R317" s="172"/>
      <c r="S317" s="172"/>
      <c r="T317" s="172"/>
      <c r="U317" s="172"/>
      <c r="V317" s="172"/>
      <c r="W317" s="172"/>
      <c r="X317" s="172"/>
      <c r="Y317" s="172"/>
      <c r="Z317" s="172"/>
    </row>
    <row r="318">
      <c r="A318" s="172"/>
      <c r="B318" s="172"/>
      <c r="C318" s="172"/>
      <c r="D318" s="172"/>
      <c r="E318" s="172"/>
      <c r="F318" s="172"/>
      <c r="G318" s="172"/>
      <c r="H318" s="172"/>
      <c r="I318" s="172"/>
      <c r="J318" s="172"/>
      <c r="K318" s="172"/>
      <c r="L318" s="172"/>
      <c r="M318" s="172"/>
      <c r="N318" s="172"/>
      <c r="O318" s="172"/>
      <c r="P318" s="172"/>
      <c r="Q318" s="172"/>
      <c r="R318" s="172"/>
      <c r="S318" s="172"/>
      <c r="T318" s="172"/>
      <c r="U318" s="172"/>
      <c r="V318" s="172"/>
      <c r="W318" s="172"/>
      <c r="X318" s="172"/>
      <c r="Y318" s="172"/>
      <c r="Z318" s="172"/>
    </row>
    <row r="319">
      <c r="A319" s="172"/>
      <c r="B319" s="172"/>
      <c r="C319" s="172"/>
      <c r="D319" s="172"/>
      <c r="E319" s="172"/>
      <c r="F319" s="172"/>
      <c r="G319" s="172"/>
      <c r="H319" s="172"/>
      <c r="I319" s="172"/>
      <c r="J319" s="172"/>
      <c r="K319" s="172"/>
      <c r="L319" s="172"/>
      <c r="M319" s="172"/>
      <c r="N319" s="172"/>
      <c r="O319" s="172"/>
      <c r="P319" s="172"/>
      <c r="Q319" s="172"/>
      <c r="R319" s="172"/>
      <c r="S319" s="172"/>
      <c r="T319" s="172"/>
      <c r="U319" s="172"/>
      <c r="V319" s="172"/>
      <c r="W319" s="172"/>
      <c r="X319" s="172"/>
      <c r="Y319" s="172"/>
      <c r="Z319" s="172"/>
    </row>
    <row r="320">
      <c r="A320" s="172"/>
      <c r="B320" s="172"/>
      <c r="C320" s="172"/>
      <c r="D320" s="172"/>
      <c r="E320" s="172"/>
      <c r="F320" s="172"/>
      <c r="G320" s="172"/>
      <c r="H320" s="172"/>
      <c r="I320" s="172"/>
      <c r="J320" s="172"/>
      <c r="K320" s="172"/>
      <c r="L320" s="172"/>
      <c r="M320" s="172"/>
      <c r="N320" s="172"/>
      <c r="O320" s="172"/>
      <c r="P320" s="172"/>
      <c r="Q320" s="172"/>
      <c r="R320" s="172"/>
      <c r="S320" s="172"/>
      <c r="T320" s="172"/>
      <c r="U320" s="172"/>
      <c r="V320" s="172"/>
      <c r="W320" s="172"/>
      <c r="X320" s="172"/>
      <c r="Y320" s="172"/>
      <c r="Z320" s="172"/>
    </row>
    <row r="321">
      <c r="A321" s="172"/>
      <c r="B321" s="172"/>
      <c r="C321" s="172"/>
      <c r="D321" s="172"/>
      <c r="E321" s="172"/>
      <c r="F321" s="172"/>
      <c r="G321" s="172"/>
      <c r="H321" s="172"/>
      <c r="I321" s="172"/>
      <c r="J321" s="172"/>
      <c r="K321" s="172"/>
      <c r="L321" s="172"/>
      <c r="M321" s="172"/>
      <c r="N321" s="172"/>
      <c r="O321" s="172"/>
      <c r="P321" s="172"/>
      <c r="Q321" s="172"/>
      <c r="R321" s="172"/>
      <c r="S321" s="172"/>
      <c r="T321" s="172"/>
      <c r="U321" s="172"/>
      <c r="V321" s="172"/>
      <c r="W321" s="172"/>
      <c r="X321" s="172"/>
      <c r="Y321" s="172"/>
      <c r="Z321" s="172"/>
    </row>
    <row r="322">
      <c r="A322" s="172"/>
      <c r="B322" s="172"/>
      <c r="C322" s="172"/>
      <c r="D322" s="172"/>
      <c r="E322" s="172"/>
      <c r="F322" s="172"/>
      <c r="G322" s="172"/>
      <c r="H322" s="172"/>
      <c r="I322" s="172"/>
      <c r="J322" s="172"/>
      <c r="K322" s="172"/>
      <c r="L322" s="172"/>
      <c r="M322" s="172"/>
      <c r="N322" s="172"/>
      <c r="O322" s="172"/>
      <c r="P322" s="172"/>
      <c r="Q322" s="172"/>
      <c r="R322" s="172"/>
      <c r="S322" s="172"/>
      <c r="T322" s="172"/>
      <c r="U322" s="172"/>
      <c r="V322" s="172"/>
      <c r="W322" s="172"/>
      <c r="X322" s="172"/>
      <c r="Y322" s="172"/>
      <c r="Z322" s="172"/>
    </row>
    <row r="323">
      <c r="A323" s="172"/>
      <c r="B323" s="172"/>
      <c r="C323" s="172"/>
      <c r="D323" s="172"/>
      <c r="E323" s="172"/>
      <c r="F323" s="172"/>
      <c r="G323" s="172"/>
      <c r="H323" s="172"/>
      <c r="I323" s="172"/>
      <c r="J323" s="172"/>
      <c r="K323" s="172"/>
      <c r="L323" s="172"/>
      <c r="M323" s="172"/>
      <c r="N323" s="172"/>
      <c r="O323" s="172"/>
      <c r="P323" s="172"/>
      <c r="Q323" s="172"/>
      <c r="R323" s="172"/>
      <c r="S323" s="172"/>
      <c r="T323" s="172"/>
      <c r="U323" s="172"/>
      <c r="V323" s="172"/>
      <c r="W323" s="172"/>
      <c r="X323" s="172"/>
      <c r="Y323" s="172"/>
      <c r="Z323" s="172"/>
    </row>
    <row r="324">
      <c r="A324" s="172"/>
      <c r="B324" s="172"/>
      <c r="C324" s="172"/>
      <c r="D324" s="172"/>
      <c r="E324" s="172"/>
      <c r="F324" s="172"/>
      <c r="G324" s="172"/>
      <c r="H324" s="172"/>
      <c r="I324" s="172"/>
      <c r="J324" s="172"/>
      <c r="K324" s="172"/>
      <c r="L324" s="172"/>
      <c r="M324" s="172"/>
      <c r="N324" s="172"/>
      <c r="O324" s="172"/>
      <c r="P324" s="172"/>
      <c r="Q324" s="172"/>
      <c r="R324" s="172"/>
      <c r="S324" s="172"/>
      <c r="T324" s="172"/>
      <c r="U324" s="172"/>
      <c r="V324" s="172"/>
      <c r="W324" s="172"/>
      <c r="X324" s="172"/>
      <c r="Y324" s="172"/>
      <c r="Z324" s="172"/>
    </row>
    <row r="325">
      <c r="A325" s="172"/>
      <c r="B325" s="172"/>
      <c r="C325" s="172"/>
      <c r="D325" s="172"/>
      <c r="E325" s="172"/>
      <c r="F325" s="172"/>
      <c r="G325" s="172"/>
      <c r="H325" s="172"/>
      <c r="I325" s="172"/>
      <c r="J325" s="172"/>
      <c r="K325" s="172"/>
      <c r="L325" s="172"/>
      <c r="M325" s="172"/>
      <c r="N325" s="172"/>
      <c r="O325" s="172"/>
      <c r="P325" s="172"/>
      <c r="Q325" s="172"/>
      <c r="R325" s="172"/>
      <c r="S325" s="172"/>
      <c r="T325" s="172"/>
      <c r="U325" s="172"/>
      <c r="V325" s="172"/>
      <c r="W325" s="172"/>
      <c r="X325" s="172"/>
      <c r="Y325" s="172"/>
      <c r="Z325" s="172"/>
    </row>
    <row r="326">
      <c r="A326" s="172"/>
      <c r="B326" s="172"/>
      <c r="C326" s="172"/>
      <c r="D326" s="172"/>
      <c r="E326" s="172"/>
      <c r="F326" s="172"/>
      <c r="G326" s="172"/>
      <c r="H326" s="172"/>
      <c r="I326" s="172"/>
      <c r="J326" s="172"/>
      <c r="K326" s="172"/>
      <c r="L326" s="172"/>
      <c r="M326" s="172"/>
      <c r="N326" s="172"/>
      <c r="O326" s="172"/>
      <c r="P326" s="172"/>
      <c r="Q326" s="172"/>
      <c r="R326" s="172"/>
      <c r="S326" s="172"/>
      <c r="T326" s="172"/>
      <c r="U326" s="172"/>
      <c r="V326" s="172"/>
      <c r="W326" s="172"/>
      <c r="X326" s="172"/>
      <c r="Y326" s="172"/>
      <c r="Z326" s="172"/>
    </row>
    <row r="327">
      <c r="A327" s="172"/>
      <c r="B327" s="172"/>
      <c r="C327" s="172"/>
      <c r="D327" s="172"/>
      <c r="E327" s="172"/>
      <c r="F327" s="172"/>
      <c r="G327" s="172"/>
      <c r="H327" s="172"/>
      <c r="I327" s="172"/>
      <c r="J327" s="172"/>
      <c r="K327" s="172"/>
      <c r="L327" s="172"/>
      <c r="M327" s="172"/>
      <c r="N327" s="172"/>
      <c r="O327" s="172"/>
      <c r="P327" s="172"/>
      <c r="Q327" s="172"/>
      <c r="R327" s="172"/>
      <c r="S327" s="172"/>
      <c r="T327" s="172"/>
      <c r="U327" s="172"/>
      <c r="V327" s="172"/>
      <c r="W327" s="172"/>
      <c r="X327" s="172"/>
      <c r="Y327" s="172"/>
      <c r="Z327" s="172"/>
    </row>
    <row r="328">
      <c r="A328" s="172"/>
      <c r="B328" s="172"/>
      <c r="C328" s="172"/>
      <c r="D328" s="172"/>
      <c r="E328" s="172"/>
      <c r="F328" s="172"/>
      <c r="G328" s="172"/>
      <c r="H328" s="172"/>
      <c r="I328" s="172"/>
      <c r="J328" s="172"/>
      <c r="K328" s="172"/>
      <c r="L328" s="172"/>
      <c r="M328" s="172"/>
      <c r="N328" s="172"/>
      <c r="O328" s="172"/>
      <c r="P328" s="172"/>
      <c r="Q328" s="172"/>
      <c r="R328" s="172"/>
      <c r="S328" s="172"/>
      <c r="T328" s="172"/>
      <c r="U328" s="172"/>
      <c r="V328" s="172"/>
      <c r="W328" s="172"/>
      <c r="X328" s="172"/>
      <c r="Y328" s="172"/>
      <c r="Z328" s="172"/>
    </row>
    <row r="329">
      <c r="A329" s="172"/>
      <c r="B329" s="172"/>
      <c r="C329" s="172"/>
      <c r="D329" s="172"/>
      <c r="E329" s="172"/>
      <c r="F329" s="172"/>
      <c r="G329" s="172"/>
      <c r="H329" s="172"/>
      <c r="I329" s="172"/>
      <c r="J329" s="172"/>
      <c r="K329" s="172"/>
      <c r="L329" s="172"/>
      <c r="M329" s="172"/>
      <c r="N329" s="172"/>
      <c r="O329" s="172"/>
      <c r="P329" s="172"/>
      <c r="Q329" s="172"/>
      <c r="R329" s="172"/>
      <c r="S329" s="172"/>
      <c r="T329" s="172"/>
      <c r="U329" s="172"/>
      <c r="V329" s="172"/>
      <c r="W329" s="172"/>
      <c r="X329" s="172"/>
      <c r="Y329" s="172"/>
      <c r="Z329" s="172"/>
    </row>
    <row r="330">
      <c r="A330" s="172"/>
      <c r="B330" s="172"/>
      <c r="C330" s="172"/>
      <c r="D330" s="172"/>
      <c r="E330" s="172"/>
      <c r="F330" s="172"/>
      <c r="G330" s="172"/>
      <c r="H330" s="172"/>
      <c r="I330" s="172"/>
      <c r="J330" s="172"/>
      <c r="K330" s="172"/>
      <c r="L330" s="172"/>
      <c r="M330" s="172"/>
      <c r="N330" s="172"/>
      <c r="O330" s="172"/>
      <c r="P330" s="172"/>
      <c r="Q330" s="172"/>
      <c r="R330" s="172"/>
      <c r="S330" s="172"/>
      <c r="T330" s="172"/>
      <c r="U330" s="172"/>
      <c r="V330" s="172"/>
      <c r="W330" s="172"/>
      <c r="X330" s="172"/>
      <c r="Y330" s="172"/>
      <c r="Z330" s="172"/>
    </row>
    <row r="331">
      <c r="A331" s="172"/>
      <c r="B331" s="172"/>
      <c r="C331" s="172"/>
      <c r="D331" s="172"/>
      <c r="E331" s="172"/>
      <c r="F331" s="172"/>
      <c r="G331" s="172"/>
      <c r="H331" s="172"/>
      <c r="I331" s="172"/>
      <c r="J331" s="172"/>
      <c r="K331" s="172"/>
      <c r="L331" s="172"/>
      <c r="M331" s="172"/>
      <c r="N331" s="172"/>
      <c r="O331" s="172"/>
      <c r="P331" s="172"/>
      <c r="Q331" s="172"/>
      <c r="R331" s="172"/>
      <c r="S331" s="172"/>
      <c r="T331" s="172"/>
      <c r="U331" s="172"/>
      <c r="V331" s="172"/>
      <c r="W331" s="172"/>
      <c r="X331" s="172"/>
      <c r="Y331" s="172"/>
      <c r="Z331" s="172"/>
    </row>
    <row r="332">
      <c r="A332" s="172"/>
      <c r="B332" s="172"/>
      <c r="C332" s="172"/>
      <c r="D332" s="172"/>
      <c r="E332" s="172"/>
      <c r="F332" s="172"/>
      <c r="G332" s="172"/>
      <c r="H332" s="172"/>
      <c r="I332" s="172"/>
      <c r="J332" s="172"/>
      <c r="K332" s="172"/>
      <c r="L332" s="172"/>
      <c r="M332" s="172"/>
      <c r="N332" s="172"/>
      <c r="O332" s="172"/>
      <c r="P332" s="172"/>
      <c r="Q332" s="172"/>
      <c r="R332" s="172"/>
      <c r="S332" s="172"/>
      <c r="T332" s="172"/>
      <c r="U332" s="172"/>
      <c r="V332" s="172"/>
      <c r="W332" s="172"/>
      <c r="X332" s="172"/>
      <c r="Y332" s="172"/>
      <c r="Z332" s="172"/>
    </row>
    <row r="333">
      <c r="A333" s="172"/>
      <c r="B333" s="172"/>
      <c r="C333" s="172"/>
      <c r="D333" s="172"/>
      <c r="E333" s="172"/>
      <c r="F333" s="172"/>
      <c r="G333" s="172"/>
      <c r="H333" s="172"/>
      <c r="I333" s="172"/>
      <c r="J333" s="172"/>
      <c r="K333" s="172"/>
      <c r="L333" s="172"/>
      <c r="M333" s="172"/>
      <c r="N333" s="172"/>
      <c r="O333" s="172"/>
      <c r="P333" s="172"/>
      <c r="Q333" s="172"/>
      <c r="R333" s="172"/>
      <c r="S333" s="172"/>
      <c r="T333" s="172"/>
      <c r="U333" s="172"/>
      <c r="V333" s="172"/>
      <c r="W333" s="172"/>
      <c r="X333" s="172"/>
      <c r="Y333" s="172"/>
      <c r="Z333" s="172"/>
    </row>
    <row r="334">
      <c r="A334" s="172"/>
      <c r="B334" s="172"/>
      <c r="C334" s="172"/>
      <c r="D334" s="172"/>
      <c r="E334" s="172"/>
      <c r="F334" s="172"/>
      <c r="G334" s="172"/>
      <c r="H334" s="172"/>
      <c r="I334" s="172"/>
      <c r="J334" s="172"/>
      <c r="K334" s="172"/>
      <c r="L334" s="172"/>
      <c r="M334" s="172"/>
      <c r="N334" s="172"/>
      <c r="O334" s="172"/>
      <c r="P334" s="172"/>
      <c r="Q334" s="172"/>
      <c r="R334" s="172"/>
      <c r="S334" s="172"/>
      <c r="T334" s="172"/>
      <c r="U334" s="172"/>
      <c r="V334" s="172"/>
      <c r="W334" s="172"/>
      <c r="X334" s="172"/>
      <c r="Y334" s="172"/>
      <c r="Z334" s="172"/>
    </row>
    <row r="335">
      <c r="A335" s="172"/>
      <c r="B335" s="172"/>
      <c r="C335" s="172"/>
      <c r="D335" s="172"/>
      <c r="E335" s="172"/>
      <c r="F335" s="172"/>
      <c r="G335" s="172"/>
      <c r="H335" s="172"/>
      <c r="I335" s="172"/>
      <c r="J335" s="172"/>
      <c r="K335" s="172"/>
      <c r="L335" s="172"/>
      <c r="M335" s="172"/>
      <c r="N335" s="172"/>
      <c r="O335" s="172"/>
      <c r="P335" s="172"/>
      <c r="Q335" s="172"/>
      <c r="R335" s="172"/>
      <c r="S335" s="172"/>
      <c r="T335" s="172"/>
      <c r="U335" s="172"/>
      <c r="V335" s="172"/>
      <c r="W335" s="172"/>
      <c r="X335" s="172"/>
      <c r="Y335" s="172"/>
      <c r="Z335" s="172"/>
    </row>
    <row r="336">
      <c r="A336" s="172"/>
      <c r="B336" s="172"/>
      <c r="C336" s="172"/>
      <c r="D336" s="172"/>
      <c r="E336" s="172"/>
      <c r="F336" s="172"/>
      <c r="G336" s="172"/>
      <c r="H336" s="172"/>
      <c r="I336" s="172"/>
      <c r="J336" s="172"/>
      <c r="K336" s="172"/>
      <c r="L336" s="172"/>
      <c r="M336" s="172"/>
      <c r="N336" s="172"/>
      <c r="O336" s="172"/>
      <c r="P336" s="172"/>
      <c r="Q336" s="172"/>
      <c r="R336" s="172"/>
      <c r="S336" s="172"/>
      <c r="T336" s="172"/>
      <c r="U336" s="172"/>
      <c r="V336" s="172"/>
      <c r="W336" s="172"/>
      <c r="X336" s="172"/>
      <c r="Y336" s="172"/>
      <c r="Z336" s="172"/>
    </row>
    <row r="337">
      <c r="A337" s="172"/>
      <c r="B337" s="172"/>
      <c r="C337" s="172"/>
      <c r="D337" s="172"/>
      <c r="E337" s="172"/>
      <c r="F337" s="172"/>
      <c r="G337" s="172"/>
      <c r="H337" s="172"/>
      <c r="I337" s="172"/>
      <c r="J337" s="172"/>
      <c r="K337" s="172"/>
      <c r="L337" s="172"/>
      <c r="M337" s="172"/>
      <c r="N337" s="172"/>
      <c r="O337" s="172"/>
      <c r="P337" s="172"/>
      <c r="Q337" s="172"/>
      <c r="R337" s="172"/>
      <c r="S337" s="172"/>
      <c r="T337" s="172"/>
      <c r="U337" s="172"/>
      <c r="V337" s="172"/>
      <c r="W337" s="172"/>
      <c r="X337" s="172"/>
      <c r="Y337" s="172"/>
      <c r="Z337" s="172"/>
    </row>
    <row r="338">
      <c r="A338" s="172"/>
      <c r="B338" s="172"/>
      <c r="C338" s="172"/>
      <c r="D338" s="172"/>
      <c r="E338" s="172"/>
      <c r="F338" s="172"/>
      <c r="G338" s="172"/>
      <c r="H338" s="172"/>
      <c r="I338" s="172"/>
      <c r="J338" s="172"/>
      <c r="K338" s="172"/>
      <c r="L338" s="172"/>
      <c r="M338" s="172"/>
      <c r="N338" s="172"/>
      <c r="O338" s="172"/>
      <c r="P338" s="172"/>
      <c r="Q338" s="172"/>
      <c r="R338" s="172"/>
      <c r="S338" s="172"/>
      <c r="T338" s="172"/>
      <c r="U338" s="172"/>
      <c r="V338" s="172"/>
      <c r="W338" s="172"/>
      <c r="X338" s="172"/>
      <c r="Y338" s="172"/>
      <c r="Z338" s="172"/>
    </row>
    <row r="339">
      <c r="A339" s="172"/>
      <c r="B339" s="172"/>
      <c r="C339" s="172"/>
      <c r="D339" s="172"/>
      <c r="E339" s="172"/>
      <c r="F339" s="172"/>
      <c r="G339" s="172"/>
      <c r="H339" s="172"/>
      <c r="I339" s="172"/>
      <c r="J339" s="172"/>
      <c r="K339" s="172"/>
      <c r="L339" s="172"/>
      <c r="M339" s="172"/>
      <c r="N339" s="172"/>
      <c r="O339" s="172"/>
      <c r="P339" s="172"/>
      <c r="Q339" s="172"/>
      <c r="R339" s="172"/>
      <c r="S339" s="172"/>
      <c r="T339" s="172"/>
      <c r="U339" s="172"/>
      <c r="V339" s="172"/>
      <c r="W339" s="172"/>
      <c r="X339" s="172"/>
      <c r="Y339" s="172"/>
      <c r="Z339" s="172"/>
    </row>
    <row r="340">
      <c r="A340" s="172"/>
      <c r="B340" s="172"/>
      <c r="C340" s="172"/>
      <c r="D340" s="172"/>
      <c r="E340" s="172"/>
      <c r="F340" s="172"/>
      <c r="G340" s="172"/>
      <c r="H340" s="172"/>
      <c r="I340" s="172"/>
      <c r="J340" s="172"/>
      <c r="K340" s="172"/>
      <c r="L340" s="172"/>
      <c r="M340" s="172"/>
      <c r="N340" s="172"/>
      <c r="O340" s="172"/>
      <c r="P340" s="172"/>
      <c r="Q340" s="172"/>
      <c r="R340" s="172"/>
      <c r="S340" s="172"/>
      <c r="T340" s="172"/>
      <c r="U340" s="172"/>
      <c r="V340" s="172"/>
      <c r="W340" s="172"/>
      <c r="X340" s="172"/>
      <c r="Y340" s="172"/>
      <c r="Z340" s="172"/>
    </row>
    <row r="341">
      <c r="A341" s="172"/>
      <c r="B341" s="172"/>
      <c r="C341" s="172"/>
      <c r="D341" s="172"/>
      <c r="E341" s="172"/>
      <c r="F341" s="172"/>
      <c r="G341" s="172"/>
      <c r="H341" s="172"/>
      <c r="I341" s="172"/>
      <c r="J341" s="172"/>
      <c r="K341" s="172"/>
      <c r="L341" s="172"/>
      <c r="M341" s="172"/>
      <c r="N341" s="172"/>
      <c r="O341" s="172"/>
      <c r="P341" s="172"/>
      <c r="Q341" s="172"/>
      <c r="R341" s="172"/>
      <c r="S341" s="172"/>
      <c r="T341" s="172"/>
      <c r="U341" s="172"/>
      <c r="V341" s="172"/>
      <c r="W341" s="172"/>
      <c r="X341" s="172"/>
      <c r="Y341" s="172"/>
      <c r="Z341" s="172"/>
    </row>
    <row r="342">
      <c r="A342" s="172"/>
      <c r="B342" s="172"/>
      <c r="C342" s="172"/>
      <c r="D342" s="172"/>
      <c r="E342" s="172"/>
      <c r="F342" s="172"/>
      <c r="G342" s="172"/>
      <c r="H342" s="172"/>
      <c r="I342" s="172"/>
      <c r="J342" s="172"/>
      <c r="K342" s="172"/>
      <c r="L342" s="172"/>
      <c r="M342" s="172"/>
      <c r="N342" s="172"/>
      <c r="O342" s="172"/>
      <c r="P342" s="172"/>
      <c r="Q342" s="172"/>
      <c r="R342" s="172"/>
      <c r="S342" s="172"/>
      <c r="T342" s="172"/>
      <c r="U342" s="172"/>
      <c r="V342" s="172"/>
      <c r="W342" s="172"/>
      <c r="X342" s="172"/>
      <c r="Y342" s="172"/>
      <c r="Z342" s="172"/>
    </row>
    <row r="343">
      <c r="A343" s="172"/>
      <c r="B343" s="172"/>
      <c r="C343" s="172"/>
      <c r="D343" s="172"/>
      <c r="E343" s="172"/>
      <c r="F343" s="172"/>
      <c r="G343" s="172"/>
      <c r="H343" s="172"/>
      <c r="I343" s="172"/>
      <c r="J343" s="172"/>
      <c r="K343" s="172"/>
      <c r="L343" s="172"/>
      <c r="M343" s="172"/>
      <c r="N343" s="172"/>
      <c r="O343" s="172"/>
      <c r="P343" s="172"/>
      <c r="Q343" s="172"/>
      <c r="R343" s="172"/>
      <c r="S343" s="172"/>
      <c r="T343" s="172"/>
      <c r="U343" s="172"/>
      <c r="V343" s="172"/>
      <c r="W343" s="172"/>
      <c r="X343" s="172"/>
      <c r="Y343" s="172"/>
      <c r="Z343" s="172"/>
    </row>
    <row r="344">
      <c r="A344" s="172"/>
      <c r="B344" s="172"/>
      <c r="C344" s="172"/>
      <c r="D344" s="172"/>
      <c r="E344" s="172"/>
      <c r="F344" s="172"/>
      <c r="G344" s="172"/>
      <c r="H344" s="172"/>
      <c r="I344" s="172"/>
      <c r="J344" s="172"/>
      <c r="K344" s="172"/>
      <c r="L344" s="172"/>
      <c r="M344" s="172"/>
      <c r="N344" s="172"/>
      <c r="O344" s="172"/>
      <c r="P344" s="172"/>
      <c r="Q344" s="172"/>
      <c r="R344" s="172"/>
      <c r="S344" s="172"/>
      <c r="T344" s="172"/>
      <c r="U344" s="172"/>
      <c r="V344" s="172"/>
      <c r="W344" s="172"/>
      <c r="X344" s="172"/>
      <c r="Y344" s="172"/>
      <c r="Z344" s="172"/>
    </row>
    <row r="345">
      <c r="A345" s="172"/>
      <c r="B345" s="172"/>
      <c r="C345" s="172"/>
      <c r="D345" s="172"/>
      <c r="E345" s="172"/>
      <c r="F345" s="172"/>
      <c r="G345" s="172"/>
      <c r="H345" s="172"/>
      <c r="I345" s="172"/>
      <c r="J345" s="172"/>
      <c r="K345" s="172"/>
      <c r="L345" s="172"/>
      <c r="M345" s="172"/>
      <c r="N345" s="172"/>
      <c r="O345" s="172"/>
      <c r="P345" s="172"/>
      <c r="Q345" s="172"/>
      <c r="R345" s="172"/>
      <c r="S345" s="172"/>
      <c r="T345" s="172"/>
      <c r="U345" s="172"/>
      <c r="V345" s="172"/>
      <c r="W345" s="172"/>
      <c r="X345" s="172"/>
      <c r="Y345" s="172"/>
      <c r="Z345" s="172"/>
    </row>
    <row r="346">
      <c r="A346" s="172"/>
      <c r="B346" s="172"/>
      <c r="C346" s="172"/>
      <c r="D346" s="172"/>
      <c r="E346" s="172"/>
      <c r="F346" s="172"/>
      <c r="G346" s="172"/>
      <c r="H346" s="172"/>
      <c r="I346" s="172"/>
      <c r="J346" s="172"/>
      <c r="K346" s="172"/>
      <c r="L346" s="172"/>
      <c r="M346" s="172"/>
      <c r="N346" s="172"/>
      <c r="O346" s="172"/>
      <c r="P346" s="172"/>
      <c r="Q346" s="172"/>
      <c r="R346" s="172"/>
      <c r="S346" s="172"/>
      <c r="T346" s="172"/>
      <c r="U346" s="172"/>
      <c r="V346" s="172"/>
      <c r="W346" s="172"/>
      <c r="X346" s="172"/>
      <c r="Y346" s="172"/>
      <c r="Z346" s="172"/>
    </row>
    <row r="347">
      <c r="A347" s="172"/>
      <c r="B347" s="172"/>
      <c r="C347" s="172"/>
      <c r="D347" s="172"/>
      <c r="E347" s="172"/>
      <c r="F347" s="172"/>
      <c r="G347" s="172"/>
      <c r="H347" s="172"/>
      <c r="I347" s="172"/>
      <c r="J347" s="172"/>
      <c r="K347" s="172"/>
      <c r="L347" s="172"/>
      <c r="M347" s="172"/>
      <c r="N347" s="172"/>
      <c r="O347" s="172"/>
      <c r="P347" s="172"/>
      <c r="Q347" s="172"/>
      <c r="R347" s="172"/>
      <c r="S347" s="172"/>
      <c r="T347" s="172"/>
      <c r="U347" s="172"/>
      <c r="V347" s="172"/>
      <c r="W347" s="172"/>
      <c r="X347" s="172"/>
      <c r="Y347" s="172"/>
      <c r="Z347" s="172"/>
    </row>
    <row r="348">
      <c r="A348" s="172"/>
      <c r="B348" s="172"/>
      <c r="C348" s="172"/>
      <c r="D348" s="172"/>
      <c r="E348" s="172"/>
      <c r="F348" s="172"/>
      <c r="G348" s="172"/>
      <c r="H348" s="172"/>
      <c r="I348" s="172"/>
      <c r="J348" s="172"/>
      <c r="K348" s="172"/>
      <c r="L348" s="172"/>
      <c r="M348" s="172"/>
      <c r="N348" s="172"/>
      <c r="O348" s="172"/>
      <c r="P348" s="172"/>
      <c r="Q348" s="172"/>
      <c r="R348" s="172"/>
      <c r="S348" s="172"/>
      <c r="T348" s="172"/>
      <c r="U348" s="172"/>
      <c r="V348" s="172"/>
      <c r="W348" s="172"/>
      <c r="X348" s="172"/>
      <c r="Y348" s="172"/>
      <c r="Z348" s="172"/>
    </row>
    <row r="349">
      <c r="A349" s="172"/>
      <c r="B349" s="172"/>
      <c r="C349" s="172"/>
      <c r="D349" s="172"/>
      <c r="E349" s="172"/>
      <c r="F349" s="172"/>
      <c r="G349" s="172"/>
      <c r="H349" s="172"/>
      <c r="I349" s="172"/>
      <c r="J349" s="172"/>
      <c r="K349" s="172"/>
      <c r="L349" s="172"/>
      <c r="M349" s="172"/>
      <c r="N349" s="172"/>
      <c r="O349" s="172"/>
      <c r="P349" s="172"/>
      <c r="Q349" s="172"/>
      <c r="R349" s="172"/>
      <c r="S349" s="172"/>
      <c r="T349" s="172"/>
      <c r="U349" s="172"/>
      <c r="V349" s="172"/>
      <c r="W349" s="172"/>
      <c r="X349" s="172"/>
      <c r="Y349" s="172"/>
      <c r="Z349" s="172"/>
    </row>
    <row r="350">
      <c r="A350" s="172"/>
      <c r="B350" s="172"/>
      <c r="C350" s="172"/>
      <c r="D350" s="172"/>
      <c r="E350" s="172"/>
      <c r="F350" s="172"/>
      <c r="G350" s="172"/>
      <c r="H350" s="172"/>
      <c r="I350" s="172"/>
      <c r="J350" s="172"/>
      <c r="K350" s="172"/>
      <c r="L350" s="172"/>
      <c r="M350" s="172"/>
      <c r="N350" s="172"/>
      <c r="O350" s="172"/>
      <c r="P350" s="172"/>
      <c r="Q350" s="172"/>
      <c r="R350" s="172"/>
      <c r="S350" s="172"/>
      <c r="T350" s="172"/>
      <c r="U350" s="172"/>
      <c r="V350" s="172"/>
      <c r="W350" s="172"/>
      <c r="X350" s="172"/>
      <c r="Y350" s="172"/>
      <c r="Z350" s="172"/>
    </row>
    <row r="351">
      <c r="A351" s="172"/>
      <c r="B351" s="172"/>
      <c r="C351" s="172"/>
      <c r="D351" s="172"/>
      <c r="E351" s="172"/>
      <c r="F351" s="172"/>
      <c r="G351" s="172"/>
      <c r="H351" s="172"/>
      <c r="I351" s="172"/>
      <c r="J351" s="172"/>
      <c r="K351" s="172"/>
      <c r="L351" s="172"/>
      <c r="M351" s="172"/>
      <c r="N351" s="172"/>
      <c r="O351" s="172"/>
      <c r="P351" s="172"/>
      <c r="Q351" s="172"/>
      <c r="R351" s="172"/>
      <c r="S351" s="172"/>
      <c r="T351" s="172"/>
      <c r="U351" s="172"/>
      <c r="V351" s="172"/>
      <c r="W351" s="172"/>
      <c r="X351" s="172"/>
      <c r="Y351" s="172"/>
      <c r="Z351" s="172"/>
    </row>
    <row r="352">
      <c r="A352" s="172"/>
      <c r="B352" s="172"/>
      <c r="C352" s="172"/>
      <c r="D352" s="172"/>
      <c r="E352" s="172"/>
      <c r="F352" s="172"/>
      <c r="G352" s="172"/>
      <c r="H352" s="172"/>
      <c r="I352" s="172"/>
      <c r="J352" s="172"/>
      <c r="K352" s="172"/>
      <c r="L352" s="172"/>
      <c r="M352" s="172"/>
      <c r="N352" s="172"/>
      <c r="O352" s="172"/>
      <c r="P352" s="172"/>
      <c r="Q352" s="172"/>
      <c r="R352" s="172"/>
      <c r="S352" s="172"/>
      <c r="T352" s="172"/>
      <c r="U352" s="172"/>
      <c r="V352" s="172"/>
      <c r="W352" s="172"/>
      <c r="X352" s="172"/>
      <c r="Y352" s="172"/>
      <c r="Z352" s="172"/>
    </row>
    <row r="353">
      <c r="A353" s="172"/>
      <c r="B353" s="172"/>
      <c r="C353" s="172"/>
      <c r="D353" s="172"/>
      <c r="E353" s="172"/>
      <c r="F353" s="172"/>
      <c r="G353" s="172"/>
      <c r="H353" s="172"/>
      <c r="I353" s="172"/>
      <c r="J353" s="172"/>
      <c r="K353" s="172"/>
      <c r="L353" s="172"/>
      <c r="M353" s="172"/>
      <c r="N353" s="172"/>
      <c r="O353" s="172"/>
      <c r="P353" s="172"/>
      <c r="Q353" s="172"/>
      <c r="R353" s="172"/>
      <c r="S353" s="172"/>
      <c r="T353" s="172"/>
      <c r="U353" s="172"/>
      <c r="V353" s="172"/>
      <c r="W353" s="172"/>
      <c r="X353" s="172"/>
      <c r="Y353" s="172"/>
      <c r="Z353" s="172"/>
    </row>
    <row r="354">
      <c r="A354" s="172"/>
      <c r="B354" s="172"/>
      <c r="C354" s="172"/>
      <c r="D354" s="172"/>
      <c r="E354" s="172"/>
      <c r="F354" s="172"/>
      <c r="G354" s="172"/>
      <c r="H354" s="172"/>
      <c r="I354" s="172"/>
      <c r="J354" s="172"/>
      <c r="K354" s="172"/>
      <c r="L354" s="172"/>
      <c r="M354" s="172"/>
      <c r="N354" s="172"/>
      <c r="O354" s="172"/>
      <c r="P354" s="172"/>
      <c r="Q354" s="172"/>
      <c r="R354" s="172"/>
      <c r="S354" s="172"/>
      <c r="T354" s="172"/>
      <c r="U354" s="172"/>
      <c r="V354" s="172"/>
      <c r="W354" s="172"/>
      <c r="X354" s="172"/>
      <c r="Y354" s="172"/>
      <c r="Z354" s="172"/>
    </row>
    <row r="355">
      <c r="A355" s="172"/>
      <c r="B355" s="172"/>
      <c r="C355" s="172"/>
      <c r="D355" s="172"/>
      <c r="E355" s="172"/>
      <c r="F355" s="172"/>
      <c r="G355" s="172"/>
      <c r="H355" s="172"/>
      <c r="I355" s="172"/>
      <c r="J355" s="172"/>
      <c r="K355" s="172"/>
      <c r="L355" s="172"/>
      <c r="M355" s="172"/>
      <c r="N355" s="172"/>
      <c r="O355" s="172"/>
      <c r="P355" s="172"/>
      <c r="Q355" s="172"/>
      <c r="R355" s="172"/>
      <c r="S355" s="172"/>
      <c r="T355" s="172"/>
      <c r="U355" s="172"/>
      <c r="V355" s="172"/>
      <c r="W355" s="172"/>
      <c r="X355" s="172"/>
      <c r="Y355" s="172"/>
      <c r="Z355" s="172"/>
    </row>
    <row r="356">
      <c r="A356" s="172"/>
      <c r="B356" s="172"/>
      <c r="C356" s="172"/>
      <c r="D356" s="172"/>
      <c r="E356" s="172"/>
      <c r="F356" s="172"/>
      <c r="G356" s="172"/>
      <c r="H356" s="172"/>
      <c r="I356" s="172"/>
      <c r="J356" s="172"/>
      <c r="K356" s="172"/>
      <c r="L356" s="172"/>
      <c r="M356" s="172"/>
      <c r="N356" s="172"/>
      <c r="O356" s="172"/>
      <c r="P356" s="172"/>
      <c r="Q356" s="172"/>
      <c r="R356" s="172"/>
      <c r="S356" s="172"/>
      <c r="T356" s="172"/>
      <c r="U356" s="172"/>
      <c r="V356" s="172"/>
      <c r="W356" s="172"/>
      <c r="X356" s="172"/>
      <c r="Y356" s="172"/>
      <c r="Z356" s="172"/>
    </row>
    <row r="357">
      <c r="A357" s="172"/>
      <c r="B357" s="172"/>
      <c r="C357" s="172"/>
      <c r="D357" s="172"/>
      <c r="E357" s="172"/>
      <c r="F357" s="172"/>
      <c r="G357" s="172"/>
      <c r="H357" s="172"/>
      <c r="I357" s="172"/>
      <c r="J357" s="172"/>
      <c r="K357" s="172"/>
      <c r="L357" s="172"/>
      <c r="M357" s="172"/>
      <c r="N357" s="172"/>
      <c r="O357" s="172"/>
      <c r="P357" s="172"/>
      <c r="Q357" s="172"/>
      <c r="R357" s="172"/>
      <c r="S357" s="172"/>
      <c r="T357" s="172"/>
      <c r="U357" s="172"/>
      <c r="V357" s="172"/>
      <c r="W357" s="172"/>
      <c r="X357" s="172"/>
      <c r="Y357" s="172"/>
      <c r="Z357" s="172"/>
    </row>
    <row r="358">
      <c r="A358" s="172"/>
      <c r="B358" s="172"/>
      <c r="C358" s="172"/>
      <c r="D358" s="172"/>
      <c r="E358" s="172"/>
      <c r="F358" s="172"/>
      <c r="G358" s="172"/>
      <c r="H358" s="172"/>
      <c r="I358" s="172"/>
      <c r="J358" s="172"/>
      <c r="K358" s="172"/>
      <c r="L358" s="172"/>
      <c r="M358" s="172"/>
      <c r="N358" s="172"/>
      <c r="O358" s="172"/>
      <c r="P358" s="172"/>
      <c r="Q358" s="172"/>
      <c r="R358" s="172"/>
      <c r="S358" s="172"/>
      <c r="T358" s="172"/>
      <c r="U358" s="172"/>
      <c r="V358" s="172"/>
      <c r="W358" s="172"/>
      <c r="X358" s="172"/>
      <c r="Y358" s="172"/>
      <c r="Z358" s="172"/>
    </row>
    <row r="359">
      <c r="A359" s="172"/>
      <c r="B359" s="172"/>
      <c r="C359" s="172"/>
      <c r="D359" s="172"/>
      <c r="E359" s="172"/>
      <c r="F359" s="172"/>
      <c r="G359" s="172"/>
      <c r="H359" s="172"/>
      <c r="I359" s="172"/>
      <c r="J359" s="172"/>
      <c r="K359" s="172"/>
      <c r="L359" s="172"/>
      <c r="M359" s="172"/>
      <c r="N359" s="172"/>
      <c r="O359" s="172"/>
      <c r="P359" s="172"/>
      <c r="Q359" s="172"/>
      <c r="R359" s="172"/>
      <c r="S359" s="172"/>
      <c r="T359" s="172"/>
      <c r="U359" s="172"/>
      <c r="V359" s="172"/>
      <c r="W359" s="172"/>
      <c r="X359" s="172"/>
      <c r="Y359" s="172"/>
      <c r="Z359" s="172"/>
    </row>
    <row r="360">
      <c r="A360" s="172"/>
      <c r="B360" s="172"/>
      <c r="C360" s="172"/>
      <c r="D360" s="172"/>
      <c r="E360" s="172"/>
      <c r="F360" s="172"/>
      <c r="G360" s="172"/>
      <c r="H360" s="172"/>
      <c r="I360" s="172"/>
      <c r="J360" s="172"/>
      <c r="K360" s="172"/>
      <c r="L360" s="172"/>
      <c r="M360" s="172"/>
      <c r="N360" s="172"/>
      <c r="O360" s="172"/>
      <c r="P360" s="172"/>
      <c r="Q360" s="172"/>
      <c r="R360" s="172"/>
      <c r="S360" s="172"/>
      <c r="T360" s="172"/>
      <c r="U360" s="172"/>
      <c r="V360" s="172"/>
      <c r="W360" s="172"/>
      <c r="X360" s="172"/>
      <c r="Y360" s="172"/>
      <c r="Z360" s="172"/>
    </row>
    <row r="361">
      <c r="A361" s="172"/>
      <c r="B361" s="172"/>
      <c r="C361" s="172"/>
      <c r="D361" s="172"/>
      <c r="E361" s="172"/>
      <c r="F361" s="172"/>
      <c r="G361" s="172"/>
      <c r="H361" s="172"/>
      <c r="I361" s="172"/>
      <c r="J361" s="172"/>
      <c r="K361" s="172"/>
      <c r="L361" s="172"/>
      <c r="M361" s="172"/>
      <c r="N361" s="172"/>
      <c r="O361" s="172"/>
      <c r="P361" s="172"/>
      <c r="Q361" s="172"/>
      <c r="R361" s="172"/>
      <c r="S361" s="172"/>
      <c r="T361" s="172"/>
      <c r="U361" s="172"/>
      <c r="V361" s="172"/>
      <c r="W361" s="172"/>
      <c r="X361" s="172"/>
      <c r="Y361" s="172"/>
      <c r="Z361" s="172"/>
    </row>
    <row r="362">
      <c r="A362" s="172"/>
      <c r="B362" s="172"/>
      <c r="C362" s="172"/>
      <c r="D362" s="172"/>
      <c r="E362" s="172"/>
      <c r="F362" s="172"/>
      <c r="G362" s="172"/>
      <c r="H362" s="172"/>
      <c r="I362" s="172"/>
      <c r="J362" s="172"/>
      <c r="K362" s="172"/>
      <c r="L362" s="172"/>
      <c r="M362" s="172"/>
      <c r="N362" s="172"/>
      <c r="O362" s="172"/>
      <c r="P362" s="172"/>
      <c r="Q362" s="172"/>
      <c r="R362" s="172"/>
      <c r="S362" s="172"/>
      <c r="T362" s="172"/>
      <c r="U362" s="172"/>
      <c r="V362" s="172"/>
      <c r="W362" s="172"/>
      <c r="X362" s="172"/>
      <c r="Y362" s="172"/>
      <c r="Z362" s="172"/>
    </row>
    <row r="363">
      <c r="A363" s="172"/>
      <c r="B363" s="172"/>
      <c r="C363" s="172"/>
      <c r="D363" s="172"/>
      <c r="E363" s="172"/>
      <c r="F363" s="172"/>
      <c r="G363" s="172"/>
      <c r="H363" s="172"/>
      <c r="I363" s="172"/>
      <c r="J363" s="172"/>
      <c r="K363" s="172"/>
      <c r="L363" s="172"/>
      <c r="M363" s="172"/>
      <c r="N363" s="172"/>
      <c r="O363" s="172"/>
      <c r="P363" s="172"/>
      <c r="Q363" s="172"/>
      <c r="R363" s="172"/>
      <c r="S363" s="172"/>
      <c r="T363" s="172"/>
      <c r="U363" s="172"/>
      <c r="V363" s="172"/>
      <c r="W363" s="172"/>
      <c r="X363" s="172"/>
      <c r="Y363" s="172"/>
      <c r="Z363" s="172"/>
    </row>
    <row r="364">
      <c r="A364" s="172"/>
      <c r="B364" s="172"/>
      <c r="C364" s="172"/>
      <c r="D364" s="172"/>
      <c r="E364" s="172"/>
      <c r="F364" s="172"/>
      <c r="G364" s="172"/>
      <c r="H364" s="172"/>
      <c r="I364" s="172"/>
      <c r="J364" s="172"/>
      <c r="K364" s="172"/>
      <c r="L364" s="172"/>
      <c r="M364" s="172"/>
      <c r="N364" s="172"/>
      <c r="O364" s="172"/>
      <c r="P364" s="172"/>
      <c r="Q364" s="172"/>
      <c r="R364" s="172"/>
      <c r="S364" s="172"/>
      <c r="T364" s="172"/>
      <c r="U364" s="172"/>
      <c r="V364" s="172"/>
      <c r="W364" s="172"/>
      <c r="X364" s="172"/>
      <c r="Y364" s="172"/>
      <c r="Z364" s="172"/>
    </row>
    <row r="365">
      <c r="A365" s="172"/>
      <c r="B365" s="172"/>
      <c r="C365" s="172"/>
      <c r="D365" s="172"/>
      <c r="E365" s="172"/>
      <c r="F365" s="172"/>
      <c r="G365" s="172"/>
      <c r="H365" s="172"/>
      <c r="I365" s="172"/>
      <c r="J365" s="172"/>
      <c r="K365" s="172"/>
      <c r="L365" s="172"/>
      <c r="M365" s="172"/>
      <c r="N365" s="172"/>
      <c r="O365" s="172"/>
      <c r="P365" s="172"/>
      <c r="Q365" s="172"/>
      <c r="R365" s="172"/>
      <c r="S365" s="172"/>
      <c r="T365" s="172"/>
      <c r="U365" s="172"/>
      <c r="V365" s="172"/>
      <c r="W365" s="172"/>
      <c r="X365" s="172"/>
      <c r="Y365" s="172"/>
      <c r="Z365" s="172"/>
    </row>
    <row r="366">
      <c r="A366" s="172"/>
      <c r="B366" s="172"/>
      <c r="C366" s="172"/>
      <c r="D366" s="172"/>
      <c r="E366" s="172"/>
      <c r="F366" s="172"/>
      <c r="G366" s="172"/>
      <c r="H366" s="172"/>
      <c r="I366" s="172"/>
      <c r="J366" s="172"/>
      <c r="K366" s="172"/>
      <c r="L366" s="172"/>
      <c r="M366" s="172"/>
      <c r="N366" s="172"/>
      <c r="O366" s="172"/>
      <c r="P366" s="172"/>
      <c r="Q366" s="172"/>
      <c r="R366" s="172"/>
      <c r="S366" s="172"/>
      <c r="T366" s="172"/>
      <c r="U366" s="172"/>
      <c r="V366" s="172"/>
      <c r="W366" s="172"/>
      <c r="X366" s="172"/>
      <c r="Y366" s="172"/>
      <c r="Z366" s="172"/>
    </row>
    <row r="367">
      <c r="A367" s="172"/>
      <c r="B367" s="172"/>
      <c r="C367" s="172"/>
      <c r="D367" s="172"/>
      <c r="E367" s="172"/>
      <c r="F367" s="172"/>
      <c r="G367" s="172"/>
      <c r="H367" s="172"/>
      <c r="I367" s="172"/>
      <c r="J367" s="172"/>
      <c r="K367" s="172"/>
      <c r="L367" s="172"/>
      <c r="M367" s="172"/>
      <c r="N367" s="172"/>
      <c r="O367" s="172"/>
      <c r="P367" s="172"/>
      <c r="Q367" s="172"/>
      <c r="R367" s="172"/>
      <c r="S367" s="172"/>
      <c r="T367" s="172"/>
      <c r="U367" s="172"/>
      <c r="V367" s="172"/>
      <c r="W367" s="172"/>
      <c r="X367" s="172"/>
      <c r="Y367" s="172"/>
      <c r="Z367" s="172"/>
    </row>
    <row r="368">
      <c r="A368" s="172"/>
      <c r="B368" s="172"/>
      <c r="C368" s="172"/>
      <c r="D368" s="172"/>
      <c r="E368" s="172"/>
      <c r="F368" s="172"/>
      <c r="G368" s="172"/>
      <c r="H368" s="172"/>
      <c r="I368" s="172"/>
      <c r="J368" s="172"/>
      <c r="K368" s="172"/>
      <c r="L368" s="172"/>
      <c r="M368" s="172"/>
      <c r="N368" s="172"/>
      <c r="O368" s="172"/>
      <c r="P368" s="172"/>
      <c r="Q368" s="172"/>
      <c r="R368" s="172"/>
      <c r="S368" s="172"/>
      <c r="T368" s="172"/>
      <c r="U368" s="172"/>
      <c r="V368" s="172"/>
      <c r="W368" s="172"/>
      <c r="X368" s="172"/>
      <c r="Y368" s="172"/>
      <c r="Z368" s="172"/>
    </row>
    <row r="369">
      <c r="A369" s="172"/>
      <c r="B369" s="172"/>
      <c r="C369" s="172"/>
      <c r="D369" s="172"/>
      <c r="E369" s="172"/>
      <c r="F369" s="172"/>
      <c r="G369" s="172"/>
      <c r="H369" s="172"/>
      <c r="I369" s="172"/>
      <c r="J369" s="172"/>
      <c r="K369" s="172"/>
      <c r="L369" s="172"/>
      <c r="M369" s="172"/>
      <c r="N369" s="172"/>
      <c r="O369" s="172"/>
      <c r="P369" s="172"/>
      <c r="Q369" s="172"/>
      <c r="R369" s="172"/>
      <c r="S369" s="172"/>
      <c r="T369" s="172"/>
      <c r="U369" s="172"/>
      <c r="V369" s="172"/>
      <c r="W369" s="172"/>
      <c r="X369" s="172"/>
      <c r="Y369" s="172"/>
      <c r="Z369" s="172"/>
    </row>
    <row r="370">
      <c r="A370" s="172"/>
      <c r="B370" s="172"/>
      <c r="C370" s="172"/>
      <c r="D370" s="172"/>
      <c r="E370" s="172"/>
      <c r="F370" s="172"/>
      <c r="G370" s="172"/>
      <c r="H370" s="172"/>
      <c r="I370" s="172"/>
      <c r="J370" s="172"/>
      <c r="K370" s="172"/>
      <c r="L370" s="172"/>
      <c r="M370" s="172"/>
      <c r="N370" s="172"/>
      <c r="O370" s="172"/>
      <c r="P370" s="172"/>
      <c r="Q370" s="172"/>
      <c r="R370" s="172"/>
      <c r="S370" s="172"/>
      <c r="T370" s="172"/>
      <c r="U370" s="172"/>
      <c r="V370" s="172"/>
      <c r="W370" s="172"/>
      <c r="X370" s="172"/>
      <c r="Y370" s="172"/>
      <c r="Z370" s="172"/>
    </row>
    <row r="371">
      <c r="A371" s="172"/>
      <c r="B371" s="172"/>
      <c r="C371" s="172"/>
      <c r="D371" s="172"/>
      <c r="E371" s="172"/>
      <c r="F371" s="172"/>
      <c r="G371" s="172"/>
      <c r="H371" s="172"/>
      <c r="I371" s="172"/>
      <c r="J371" s="172"/>
      <c r="K371" s="172"/>
      <c r="L371" s="172"/>
      <c r="M371" s="172"/>
      <c r="N371" s="172"/>
      <c r="O371" s="172"/>
      <c r="P371" s="172"/>
      <c r="Q371" s="172"/>
      <c r="R371" s="172"/>
      <c r="S371" s="172"/>
      <c r="T371" s="172"/>
      <c r="U371" s="172"/>
      <c r="V371" s="172"/>
      <c r="W371" s="172"/>
      <c r="X371" s="172"/>
      <c r="Y371" s="172"/>
      <c r="Z371" s="172"/>
    </row>
    <row r="372">
      <c r="A372" s="172"/>
      <c r="B372" s="172"/>
      <c r="C372" s="172"/>
      <c r="D372" s="172"/>
      <c r="E372" s="172"/>
      <c r="F372" s="172"/>
      <c r="G372" s="172"/>
      <c r="H372" s="172"/>
      <c r="I372" s="172"/>
      <c r="J372" s="172"/>
      <c r="K372" s="172"/>
      <c r="L372" s="172"/>
      <c r="M372" s="172"/>
      <c r="N372" s="172"/>
      <c r="O372" s="172"/>
      <c r="P372" s="172"/>
      <c r="Q372" s="172"/>
      <c r="R372" s="172"/>
      <c r="S372" s="172"/>
      <c r="T372" s="172"/>
      <c r="U372" s="172"/>
      <c r="V372" s="172"/>
      <c r="W372" s="172"/>
      <c r="X372" s="172"/>
      <c r="Y372" s="172"/>
      <c r="Z372" s="172"/>
    </row>
    <row r="373">
      <c r="A373" s="172"/>
      <c r="B373" s="172"/>
      <c r="C373" s="172"/>
      <c r="D373" s="172"/>
      <c r="E373" s="172"/>
      <c r="F373" s="172"/>
      <c r="G373" s="172"/>
      <c r="H373" s="172"/>
      <c r="I373" s="172"/>
      <c r="J373" s="172"/>
      <c r="K373" s="172"/>
      <c r="L373" s="172"/>
      <c r="M373" s="172"/>
      <c r="N373" s="172"/>
      <c r="O373" s="172"/>
      <c r="P373" s="172"/>
      <c r="Q373" s="172"/>
      <c r="R373" s="172"/>
      <c r="S373" s="172"/>
      <c r="T373" s="172"/>
      <c r="U373" s="172"/>
      <c r="V373" s="172"/>
      <c r="W373" s="172"/>
      <c r="X373" s="172"/>
      <c r="Y373" s="172"/>
      <c r="Z373" s="172"/>
    </row>
    <row r="374">
      <c r="A374" s="172"/>
      <c r="B374" s="172"/>
      <c r="C374" s="172"/>
      <c r="D374" s="172"/>
      <c r="E374" s="172"/>
      <c r="F374" s="172"/>
      <c r="G374" s="172"/>
      <c r="H374" s="172"/>
      <c r="I374" s="172"/>
      <c r="J374" s="172"/>
      <c r="K374" s="172"/>
      <c r="L374" s="172"/>
      <c r="M374" s="172"/>
      <c r="N374" s="172"/>
      <c r="O374" s="172"/>
      <c r="P374" s="172"/>
      <c r="Q374" s="172"/>
      <c r="R374" s="172"/>
      <c r="S374" s="172"/>
      <c r="T374" s="172"/>
      <c r="U374" s="172"/>
      <c r="V374" s="172"/>
      <c r="W374" s="172"/>
      <c r="X374" s="172"/>
      <c r="Y374" s="172"/>
      <c r="Z374" s="172"/>
    </row>
    <row r="375">
      <c r="A375" s="172"/>
      <c r="B375" s="172"/>
      <c r="C375" s="172"/>
      <c r="D375" s="172"/>
      <c r="E375" s="172"/>
      <c r="F375" s="172"/>
      <c r="G375" s="172"/>
      <c r="H375" s="172"/>
      <c r="I375" s="172"/>
      <c r="J375" s="172"/>
      <c r="K375" s="172"/>
      <c r="L375" s="172"/>
      <c r="M375" s="172"/>
      <c r="N375" s="172"/>
      <c r="O375" s="172"/>
      <c r="P375" s="172"/>
      <c r="Q375" s="172"/>
      <c r="R375" s="172"/>
      <c r="S375" s="172"/>
      <c r="T375" s="172"/>
      <c r="U375" s="172"/>
      <c r="V375" s="172"/>
      <c r="W375" s="172"/>
      <c r="X375" s="172"/>
      <c r="Y375" s="172"/>
      <c r="Z375" s="172"/>
    </row>
    <row r="376">
      <c r="A376" s="172"/>
      <c r="B376" s="172"/>
      <c r="C376" s="172"/>
      <c r="D376" s="172"/>
      <c r="E376" s="172"/>
      <c r="F376" s="172"/>
      <c r="G376" s="172"/>
      <c r="H376" s="172"/>
      <c r="I376" s="172"/>
      <c r="J376" s="172"/>
      <c r="K376" s="172"/>
      <c r="L376" s="172"/>
      <c r="M376" s="172"/>
      <c r="N376" s="172"/>
      <c r="O376" s="172"/>
      <c r="P376" s="172"/>
      <c r="Q376" s="172"/>
      <c r="R376" s="172"/>
      <c r="S376" s="172"/>
      <c r="T376" s="172"/>
      <c r="U376" s="172"/>
      <c r="V376" s="172"/>
      <c r="W376" s="172"/>
      <c r="X376" s="172"/>
      <c r="Y376" s="172"/>
      <c r="Z376" s="172"/>
    </row>
    <row r="377">
      <c r="A377" s="172"/>
      <c r="B377" s="172"/>
      <c r="C377" s="172"/>
      <c r="D377" s="172"/>
      <c r="E377" s="172"/>
      <c r="F377" s="172"/>
      <c r="G377" s="172"/>
      <c r="H377" s="172"/>
      <c r="I377" s="172"/>
      <c r="J377" s="172"/>
      <c r="K377" s="172"/>
      <c r="L377" s="172"/>
      <c r="M377" s="172"/>
      <c r="N377" s="172"/>
      <c r="O377" s="172"/>
      <c r="P377" s="172"/>
      <c r="Q377" s="172"/>
      <c r="R377" s="172"/>
      <c r="S377" s="172"/>
      <c r="T377" s="172"/>
      <c r="U377" s="172"/>
      <c r="V377" s="172"/>
      <c r="W377" s="172"/>
      <c r="X377" s="172"/>
      <c r="Y377" s="172"/>
      <c r="Z377" s="172"/>
    </row>
    <row r="378">
      <c r="A378" s="172"/>
      <c r="B378" s="172"/>
      <c r="C378" s="172"/>
      <c r="D378" s="172"/>
      <c r="E378" s="172"/>
      <c r="F378" s="172"/>
      <c r="G378" s="172"/>
      <c r="H378" s="172"/>
      <c r="I378" s="172"/>
      <c r="J378" s="172"/>
      <c r="K378" s="172"/>
      <c r="L378" s="172"/>
      <c r="M378" s="172"/>
      <c r="N378" s="172"/>
      <c r="O378" s="172"/>
      <c r="P378" s="172"/>
      <c r="Q378" s="172"/>
      <c r="R378" s="172"/>
      <c r="S378" s="172"/>
      <c r="T378" s="172"/>
      <c r="U378" s="172"/>
      <c r="V378" s="172"/>
      <c r="W378" s="172"/>
      <c r="X378" s="172"/>
      <c r="Y378" s="172"/>
      <c r="Z378" s="172"/>
    </row>
    <row r="379">
      <c r="A379" s="172"/>
      <c r="B379" s="172"/>
      <c r="C379" s="172"/>
      <c r="D379" s="172"/>
      <c r="E379" s="172"/>
      <c r="F379" s="172"/>
      <c r="G379" s="172"/>
      <c r="H379" s="172"/>
      <c r="I379" s="172"/>
      <c r="J379" s="172"/>
      <c r="K379" s="172"/>
      <c r="L379" s="172"/>
      <c r="M379" s="172"/>
      <c r="N379" s="172"/>
      <c r="O379" s="172"/>
      <c r="P379" s="172"/>
      <c r="Q379" s="172"/>
      <c r="R379" s="172"/>
      <c r="S379" s="172"/>
      <c r="T379" s="172"/>
      <c r="U379" s="172"/>
      <c r="V379" s="172"/>
      <c r="W379" s="172"/>
      <c r="X379" s="172"/>
      <c r="Y379" s="172"/>
      <c r="Z379" s="172"/>
    </row>
    <row r="380">
      <c r="A380" s="172"/>
      <c r="B380" s="172"/>
      <c r="C380" s="172"/>
      <c r="D380" s="172"/>
      <c r="E380" s="172"/>
      <c r="F380" s="172"/>
      <c r="G380" s="172"/>
      <c r="H380" s="172"/>
      <c r="I380" s="172"/>
      <c r="J380" s="172"/>
      <c r="K380" s="172"/>
      <c r="L380" s="172"/>
      <c r="M380" s="172"/>
      <c r="N380" s="172"/>
      <c r="O380" s="172"/>
      <c r="P380" s="172"/>
      <c r="Q380" s="172"/>
      <c r="R380" s="172"/>
      <c r="S380" s="172"/>
      <c r="T380" s="172"/>
      <c r="U380" s="172"/>
      <c r="V380" s="172"/>
      <c r="W380" s="172"/>
      <c r="X380" s="172"/>
      <c r="Y380" s="172"/>
      <c r="Z380" s="172"/>
    </row>
    <row r="381">
      <c r="A381" s="172"/>
      <c r="B381" s="172"/>
      <c r="C381" s="172"/>
      <c r="D381" s="172"/>
      <c r="E381" s="172"/>
      <c r="F381" s="172"/>
      <c r="G381" s="172"/>
      <c r="H381" s="172"/>
      <c r="I381" s="172"/>
      <c r="J381" s="172"/>
      <c r="K381" s="172"/>
      <c r="L381" s="172"/>
      <c r="M381" s="172"/>
      <c r="N381" s="172"/>
      <c r="O381" s="172"/>
      <c r="P381" s="172"/>
      <c r="Q381" s="172"/>
      <c r="R381" s="172"/>
      <c r="S381" s="172"/>
      <c r="T381" s="172"/>
      <c r="U381" s="172"/>
      <c r="V381" s="172"/>
      <c r="W381" s="172"/>
      <c r="X381" s="172"/>
      <c r="Y381" s="172"/>
      <c r="Z381" s="172"/>
    </row>
    <row r="382">
      <c r="A382" s="172"/>
      <c r="B382" s="172"/>
      <c r="C382" s="172"/>
      <c r="D382" s="172"/>
      <c r="E382" s="172"/>
      <c r="F382" s="172"/>
      <c r="G382" s="172"/>
      <c r="H382" s="172"/>
      <c r="I382" s="172"/>
      <c r="J382" s="172"/>
      <c r="K382" s="172"/>
      <c r="L382" s="172"/>
      <c r="M382" s="172"/>
      <c r="N382" s="172"/>
      <c r="O382" s="172"/>
      <c r="P382" s="172"/>
      <c r="Q382" s="172"/>
      <c r="R382" s="172"/>
      <c r="S382" s="172"/>
      <c r="T382" s="172"/>
      <c r="U382" s="172"/>
      <c r="V382" s="172"/>
      <c r="W382" s="172"/>
      <c r="X382" s="172"/>
      <c r="Y382" s="172"/>
      <c r="Z382" s="172"/>
    </row>
    <row r="383">
      <c r="A383" s="172"/>
      <c r="B383" s="172"/>
      <c r="C383" s="172"/>
      <c r="D383" s="172"/>
      <c r="E383" s="172"/>
      <c r="F383" s="172"/>
      <c r="G383" s="172"/>
      <c r="H383" s="172"/>
      <c r="I383" s="172"/>
      <c r="J383" s="172"/>
      <c r="K383" s="172"/>
      <c r="L383" s="172"/>
      <c r="M383" s="172"/>
      <c r="N383" s="172"/>
      <c r="O383" s="172"/>
      <c r="P383" s="172"/>
      <c r="Q383" s="172"/>
      <c r="R383" s="172"/>
      <c r="S383" s="172"/>
      <c r="T383" s="172"/>
      <c r="U383" s="172"/>
      <c r="V383" s="172"/>
      <c r="W383" s="172"/>
      <c r="X383" s="172"/>
      <c r="Y383" s="172"/>
      <c r="Z383" s="172"/>
    </row>
    <row r="384">
      <c r="A384" s="172"/>
      <c r="B384" s="172"/>
      <c r="C384" s="172"/>
      <c r="D384" s="172"/>
      <c r="E384" s="172"/>
      <c r="F384" s="172"/>
      <c r="G384" s="172"/>
      <c r="H384" s="172"/>
      <c r="I384" s="172"/>
      <c r="J384" s="172"/>
      <c r="K384" s="172"/>
      <c r="L384" s="172"/>
      <c r="M384" s="172"/>
      <c r="N384" s="172"/>
      <c r="O384" s="172"/>
      <c r="P384" s="172"/>
      <c r="Q384" s="172"/>
      <c r="R384" s="172"/>
      <c r="S384" s="172"/>
      <c r="T384" s="172"/>
      <c r="U384" s="172"/>
      <c r="V384" s="172"/>
      <c r="W384" s="172"/>
      <c r="X384" s="172"/>
      <c r="Y384" s="172"/>
      <c r="Z384" s="172"/>
    </row>
    <row r="385">
      <c r="A385" s="172"/>
      <c r="B385" s="172"/>
      <c r="C385" s="172"/>
      <c r="D385" s="172"/>
      <c r="E385" s="172"/>
      <c r="F385" s="172"/>
      <c r="G385" s="172"/>
      <c r="H385" s="172"/>
      <c r="I385" s="172"/>
      <c r="J385" s="172"/>
      <c r="K385" s="172"/>
      <c r="L385" s="172"/>
      <c r="M385" s="172"/>
      <c r="N385" s="172"/>
      <c r="O385" s="172"/>
      <c r="P385" s="172"/>
      <c r="Q385" s="172"/>
      <c r="R385" s="172"/>
      <c r="S385" s="172"/>
      <c r="T385" s="172"/>
      <c r="U385" s="172"/>
      <c r="V385" s="172"/>
      <c r="W385" s="172"/>
      <c r="X385" s="172"/>
      <c r="Y385" s="172"/>
      <c r="Z385" s="172"/>
    </row>
    <row r="386">
      <c r="A386" s="172"/>
      <c r="B386" s="172"/>
      <c r="C386" s="172"/>
      <c r="D386" s="172"/>
      <c r="E386" s="172"/>
      <c r="F386" s="172"/>
      <c r="G386" s="172"/>
      <c r="H386" s="172"/>
      <c r="I386" s="172"/>
      <c r="J386" s="172"/>
      <c r="K386" s="172"/>
      <c r="L386" s="172"/>
      <c r="M386" s="172"/>
      <c r="N386" s="172"/>
      <c r="O386" s="172"/>
      <c r="P386" s="172"/>
      <c r="Q386" s="172"/>
      <c r="R386" s="172"/>
      <c r="S386" s="172"/>
      <c r="T386" s="172"/>
      <c r="U386" s="172"/>
      <c r="V386" s="172"/>
      <c r="W386" s="172"/>
      <c r="X386" s="172"/>
      <c r="Y386" s="172"/>
      <c r="Z386" s="172"/>
    </row>
    <row r="387">
      <c r="A387" s="172"/>
      <c r="B387" s="172"/>
      <c r="C387" s="172"/>
      <c r="D387" s="172"/>
      <c r="E387" s="172"/>
      <c r="F387" s="172"/>
      <c r="G387" s="172"/>
      <c r="H387" s="172"/>
      <c r="I387" s="172"/>
      <c r="J387" s="172"/>
      <c r="K387" s="172"/>
      <c r="L387" s="172"/>
      <c r="M387" s="172"/>
      <c r="N387" s="172"/>
      <c r="O387" s="172"/>
      <c r="P387" s="172"/>
      <c r="Q387" s="172"/>
      <c r="R387" s="172"/>
      <c r="S387" s="172"/>
      <c r="T387" s="172"/>
      <c r="U387" s="172"/>
      <c r="V387" s="172"/>
      <c r="W387" s="172"/>
      <c r="X387" s="172"/>
      <c r="Y387" s="172"/>
      <c r="Z387" s="172"/>
    </row>
    <row r="388">
      <c r="A388" s="172"/>
      <c r="B388" s="172"/>
      <c r="C388" s="172"/>
      <c r="D388" s="172"/>
      <c r="E388" s="172"/>
      <c r="F388" s="172"/>
      <c r="G388" s="172"/>
      <c r="H388" s="172"/>
      <c r="I388" s="172"/>
      <c r="J388" s="172"/>
      <c r="K388" s="172"/>
      <c r="L388" s="172"/>
      <c r="M388" s="172"/>
      <c r="N388" s="172"/>
      <c r="O388" s="172"/>
      <c r="P388" s="172"/>
      <c r="Q388" s="172"/>
      <c r="R388" s="172"/>
      <c r="S388" s="172"/>
      <c r="T388" s="172"/>
      <c r="U388" s="172"/>
      <c r="V388" s="172"/>
      <c r="W388" s="172"/>
      <c r="X388" s="172"/>
      <c r="Y388" s="172"/>
      <c r="Z388" s="172"/>
    </row>
    <row r="389">
      <c r="A389" s="172"/>
      <c r="B389" s="172"/>
      <c r="C389" s="172"/>
      <c r="D389" s="172"/>
      <c r="E389" s="172"/>
      <c r="F389" s="172"/>
      <c r="G389" s="172"/>
      <c r="H389" s="172"/>
      <c r="I389" s="172"/>
      <c r="J389" s="172"/>
      <c r="K389" s="172"/>
      <c r="L389" s="172"/>
      <c r="M389" s="172"/>
      <c r="N389" s="172"/>
      <c r="O389" s="172"/>
      <c r="P389" s="172"/>
      <c r="Q389" s="172"/>
      <c r="R389" s="172"/>
      <c r="S389" s="172"/>
      <c r="T389" s="172"/>
      <c r="U389" s="172"/>
      <c r="V389" s="172"/>
      <c r="W389" s="172"/>
      <c r="X389" s="172"/>
      <c r="Y389" s="172"/>
      <c r="Z389" s="172"/>
    </row>
    <row r="390">
      <c r="A390" s="172"/>
      <c r="B390" s="172"/>
      <c r="C390" s="172"/>
      <c r="D390" s="172"/>
      <c r="E390" s="172"/>
      <c r="F390" s="172"/>
      <c r="G390" s="172"/>
      <c r="H390" s="172"/>
      <c r="I390" s="172"/>
      <c r="J390" s="172"/>
      <c r="K390" s="172"/>
      <c r="L390" s="172"/>
      <c r="M390" s="172"/>
      <c r="N390" s="172"/>
      <c r="O390" s="172"/>
      <c r="P390" s="172"/>
      <c r="Q390" s="172"/>
      <c r="R390" s="172"/>
      <c r="S390" s="172"/>
      <c r="T390" s="172"/>
      <c r="U390" s="172"/>
      <c r="V390" s="172"/>
      <c r="W390" s="172"/>
      <c r="X390" s="172"/>
      <c r="Y390" s="172"/>
      <c r="Z390" s="172"/>
    </row>
    <row r="391">
      <c r="A391" s="172"/>
      <c r="B391" s="172"/>
      <c r="C391" s="172"/>
      <c r="D391" s="172"/>
      <c r="E391" s="172"/>
      <c r="F391" s="172"/>
      <c r="G391" s="172"/>
      <c r="H391" s="172"/>
      <c r="I391" s="172"/>
      <c r="J391" s="172"/>
      <c r="K391" s="172"/>
      <c r="L391" s="172"/>
      <c r="M391" s="172"/>
      <c r="N391" s="172"/>
      <c r="O391" s="172"/>
      <c r="P391" s="172"/>
      <c r="Q391" s="172"/>
      <c r="R391" s="172"/>
      <c r="S391" s="172"/>
      <c r="T391" s="172"/>
      <c r="U391" s="172"/>
      <c r="V391" s="172"/>
      <c r="W391" s="172"/>
      <c r="X391" s="172"/>
      <c r="Y391" s="172"/>
      <c r="Z391" s="172"/>
    </row>
    <row r="392">
      <c r="A392" s="172"/>
      <c r="B392" s="172"/>
      <c r="C392" s="172"/>
      <c r="D392" s="172"/>
      <c r="E392" s="172"/>
      <c r="F392" s="172"/>
      <c r="G392" s="172"/>
      <c r="H392" s="172"/>
      <c r="I392" s="172"/>
      <c r="J392" s="172"/>
      <c r="K392" s="172"/>
      <c r="L392" s="172"/>
      <c r="M392" s="172"/>
      <c r="N392" s="172"/>
      <c r="O392" s="172"/>
      <c r="P392" s="172"/>
      <c r="Q392" s="172"/>
      <c r="R392" s="172"/>
      <c r="S392" s="172"/>
      <c r="T392" s="172"/>
      <c r="U392" s="172"/>
      <c r="V392" s="172"/>
      <c r="W392" s="172"/>
      <c r="X392" s="172"/>
      <c r="Y392" s="172"/>
      <c r="Z392" s="172"/>
    </row>
    <row r="393">
      <c r="A393" s="172"/>
      <c r="B393" s="172"/>
      <c r="C393" s="172"/>
      <c r="D393" s="172"/>
      <c r="E393" s="172"/>
      <c r="F393" s="172"/>
      <c r="G393" s="172"/>
      <c r="H393" s="172"/>
      <c r="I393" s="172"/>
      <c r="J393" s="172"/>
      <c r="K393" s="172"/>
      <c r="L393" s="172"/>
      <c r="M393" s="172"/>
      <c r="N393" s="172"/>
      <c r="O393" s="172"/>
      <c r="P393" s="172"/>
      <c r="Q393" s="172"/>
      <c r="R393" s="172"/>
      <c r="S393" s="172"/>
      <c r="T393" s="172"/>
      <c r="U393" s="172"/>
      <c r="V393" s="172"/>
      <c r="W393" s="172"/>
      <c r="X393" s="172"/>
      <c r="Y393" s="172"/>
      <c r="Z393" s="172"/>
    </row>
    <row r="394">
      <c r="A394" s="172"/>
      <c r="B394" s="172"/>
      <c r="C394" s="172"/>
      <c r="D394" s="172"/>
      <c r="E394" s="172"/>
      <c r="F394" s="172"/>
      <c r="G394" s="172"/>
      <c r="H394" s="172"/>
      <c r="I394" s="172"/>
      <c r="J394" s="172"/>
      <c r="K394" s="172"/>
      <c r="L394" s="172"/>
      <c r="M394" s="172"/>
      <c r="N394" s="172"/>
      <c r="O394" s="172"/>
      <c r="P394" s="172"/>
      <c r="Q394" s="172"/>
      <c r="R394" s="172"/>
      <c r="S394" s="172"/>
      <c r="T394" s="172"/>
      <c r="U394" s="172"/>
      <c r="V394" s="172"/>
      <c r="W394" s="172"/>
      <c r="X394" s="172"/>
      <c r="Y394" s="172"/>
      <c r="Z394" s="172"/>
    </row>
    <row r="395">
      <c r="A395" s="172"/>
      <c r="B395" s="172"/>
      <c r="C395" s="172"/>
      <c r="D395" s="172"/>
      <c r="E395" s="172"/>
      <c r="F395" s="172"/>
      <c r="G395" s="172"/>
      <c r="H395" s="172"/>
      <c r="I395" s="172"/>
      <c r="J395" s="172"/>
      <c r="K395" s="172"/>
      <c r="L395" s="172"/>
      <c r="M395" s="172"/>
      <c r="N395" s="172"/>
      <c r="O395" s="172"/>
      <c r="P395" s="172"/>
      <c r="Q395" s="172"/>
      <c r="R395" s="172"/>
      <c r="S395" s="172"/>
      <c r="T395" s="172"/>
      <c r="U395" s="172"/>
      <c r="V395" s="172"/>
      <c r="W395" s="172"/>
      <c r="X395" s="172"/>
      <c r="Y395" s="172"/>
      <c r="Z395" s="172"/>
    </row>
    <row r="396">
      <c r="A396" s="172"/>
      <c r="B396" s="172"/>
      <c r="C396" s="172"/>
      <c r="D396" s="172"/>
      <c r="E396" s="172"/>
      <c r="F396" s="172"/>
      <c r="G396" s="172"/>
      <c r="H396" s="172"/>
      <c r="I396" s="172"/>
      <c r="J396" s="172"/>
      <c r="K396" s="172"/>
      <c r="L396" s="172"/>
      <c r="M396" s="172"/>
      <c r="N396" s="172"/>
      <c r="O396" s="172"/>
      <c r="P396" s="172"/>
      <c r="Q396" s="172"/>
      <c r="R396" s="172"/>
      <c r="S396" s="172"/>
      <c r="T396" s="172"/>
      <c r="U396" s="172"/>
      <c r="V396" s="172"/>
      <c r="W396" s="172"/>
      <c r="X396" s="172"/>
      <c r="Y396" s="172"/>
      <c r="Z396" s="172"/>
    </row>
    <row r="397">
      <c r="A397" s="172"/>
      <c r="B397" s="172"/>
      <c r="C397" s="172"/>
      <c r="D397" s="172"/>
      <c r="E397" s="172"/>
      <c r="F397" s="172"/>
      <c r="G397" s="172"/>
      <c r="H397" s="172"/>
      <c r="I397" s="172"/>
      <c r="J397" s="172"/>
      <c r="K397" s="172"/>
      <c r="L397" s="172"/>
      <c r="M397" s="172"/>
      <c r="N397" s="172"/>
      <c r="O397" s="172"/>
      <c r="P397" s="172"/>
      <c r="Q397" s="172"/>
      <c r="R397" s="172"/>
      <c r="S397" s="172"/>
      <c r="T397" s="172"/>
      <c r="U397" s="172"/>
      <c r="V397" s="172"/>
      <c r="W397" s="172"/>
      <c r="X397" s="172"/>
      <c r="Y397" s="172"/>
      <c r="Z397" s="172"/>
    </row>
    <row r="398">
      <c r="A398" s="172"/>
      <c r="B398" s="172"/>
      <c r="C398" s="172"/>
      <c r="D398" s="172"/>
      <c r="E398" s="172"/>
      <c r="F398" s="172"/>
      <c r="G398" s="172"/>
      <c r="H398" s="172"/>
      <c r="I398" s="172"/>
      <c r="J398" s="172"/>
      <c r="K398" s="172"/>
      <c r="L398" s="172"/>
      <c r="M398" s="172"/>
      <c r="N398" s="172"/>
      <c r="O398" s="172"/>
      <c r="P398" s="172"/>
      <c r="Q398" s="172"/>
      <c r="R398" s="172"/>
      <c r="S398" s="172"/>
      <c r="T398" s="172"/>
      <c r="U398" s="172"/>
      <c r="V398" s="172"/>
      <c r="W398" s="172"/>
      <c r="X398" s="172"/>
      <c r="Y398" s="172"/>
      <c r="Z398" s="172"/>
    </row>
    <row r="399">
      <c r="A399" s="172"/>
      <c r="B399" s="172"/>
      <c r="C399" s="172"/>
      <c r="D399" s="172"/>
      <c r="E399" s="172"/>
      <c r="F399" s="172"/>
      <c r="G399" s="172"/>
      <c r="H399" s="172"/>
      <c r="I399" s="172"/>
      <c r="J399" s="172"/>
      <c r="K399" s="172"/>
      <c r="L399" s="172"/>
      <c r="M399" s="172"/>
      <c r="N399" s="172"/>
      <c r="O399" s="172"/>
      <c r="P399" s="172"/>
      <c r="Q399" s="172"/>
      <c r="R399" s="172"/>
      <c r="S399" s="172"/>
      <c r="T399" s="172"/>
      <c r="U399" s="172"/>
      <c r="V399" s="172"/>
      <c r="W399" s="172"/>
      <c r="X399" s="172"/>
      <c r="Y399" s="172"/>
      <c r="Z399" s="172"/>
    </row>
    <row r="400">
      <c r="A400" s="172"/>
      <c r="B400" s="172"/>
      <c r="C400" s="172"/>
      <c r="D400" s="172"/>
      <c r="E400" s="172"/>
      <c r="F400" s="172"/>
      <c r="G400" s="172"/>
      <c r="H400" s="172"/>
      <c r="I400" s="172"/>
      <c r="J400" s="172"/>
      <c r="K400" s="172"/>
      <c r="L400" s="172"/>
      <c r="M400" s="172"/>
      <c r="N400" s="172"/>
      <c r="O400" s="172"/>
      <c r="P400" s="172"/>
      <c r="Q400" s="172"/>
      <c r="R400" s="172"/>
      <c r="S400" s="172"/>
      <c r="T400" s="172"/>
      <c r="U400" s="172"/>
      <c r="V400" s="172"/>
      <c r="W400" s="172"/>
      <c r="X400" s="172"/>
      <c r="Y400" s="172"/>
      <c r="Z400" s="172"/>
    </row>
    <row r="401">
      <c r="A401" s="172"/>
      <c r="B401" s="172"/>
      <c r="C401" s="172"/>
      <c r="D401" s="172"/>
      <c r="E401" s="172"/>
      <c r="F401" s="172"/>
      <c r="G401" s="172"/>
      <c r="H401" s="172"/>
      <c r="I401" s="172"/>
      <c r="J401" s="172"/>
      <c r="K401" s="172"/>
      <c r="L401" s="172"/>
      <c r="M401" s="172"/>
      <c r="N401" s="172"/>
      <c r="O401" s="172"/>
      <c r="P401" s="172"/>
      <c r="Q401" s="172"/>
      <c r="R401" s="172"/>
      <c r="S401" s="172"/>
      <c r="T401" s="172"/>
      <c r="U401" s="172"/>
      <c r="V401" s="172"/>
      <c r="W401" s="172"/>
      <c r="X401" s="172"/>
      <c r="Y401" s="172"/>
      <c r="Z401" s="172"/>
    </row>
    <row r="402">
      <c r="A402" s="172"/>
      <c r="B402" s="172"/>
      <c r="C402" s="172"/>
      <c r="D402" s="172"/>
      <c r="E402" s="172"/>
      <c r="F402" s="172"/>
      <c r="G402" s="172"/>
      <c r="H402" s="172"/>
      <c r="I402" s="172"/>
      <c r="J402" s="172"/>
      <c r="K402" s="172"/>
      <c r="L402" s="172"/>
      <c r="M402" s="172"/>
      <c r="N402" s="172"/>
      <c r="O402" s="172"/>
      <c r="P402" s="172"/>
      <c r="Q402" s="172"/>
      <c r="R402" s="172"/>
      <c r="S402" s="172"/>
      <c r="T402" s="172"/>
      <c r="U402" s="172"/>
      <c r="V402" s="172"/>
      <c r="W402" s="172"/>
      <c r="X402" s="172"/>
      <c r="Y402" s="172"/>
      <c r="Z402" s="172"/>
    </row>
    <row r="403">
      <c r="A403" s="172"/>
      <c r="B403" s="172"/>
      <c r="C403" s="172"/>
      <c r="D403" s="172"/>
      <c r="E403" s="172"/>
      <c r="F403" s="172"/>
      <c r="G403" s="172"/>
      <c r="H403" s="172"/>
      <c r="I403" s="172"/>
      <c r="J403" s="172"/>
      <c r="K403" s="172"/>
      <c r="L403" s="172"/>
      <c r="M403" s="172"/>
      <c r="N403" s="172"/>
      <c r="O403" s="172"/>
      <c r="P403" s="172"/>
      <c r="Q403" s="172"/>
      <c r="R403" s="172"/>
      <c r="S403" s="172"/>
      <c r="T403" s="172"/>
      <c r="U403" s="172"/>
      <c r="V403" s="172"/>
      <c r="W403" s="172"/>
      <c r="X403" s="172"/>
      <c r="Y403" s="172"/>
      <c r="Z403" s="172"/>
    </row>
    <row r="404">
      <c r="A404" s="172"/>
      <c r="B404" s="172"/>
      <c r="C404" s="172"/>
      <c r="D404" s="172"/>
      <c r="E404" s="172"/>
      <c r="F404" s="172"/>
      <c r="G404" s="172"/>
      <c r="H404" s="172"/>
      <c r="I404" s="172"/>
      <c r="J404" s="172"/>
      <c r="K404" s="172"/>
      <c r="L404" s="172"/>
      <c r="M404" s="172"/>
      <c r="N404" s="172"/>
      <c r="O404" s="172"/>
      <c r="P404" s="172"/>
      <c r="Q404" s="172"/>
      <c r="R404" s="172"/>
      <c r="S404" s="172"/>
      <c r="T404" s="172"/>
      <c r="U404" s="172"/>
      <c r="V404" s="172"/>
      <c r="W404" s="172"/>
      <c r="X404" s="172"/>
      <c r="Y404" s="172"/>
      <c r="Z404" s="172"/>
    </row>
    <row r="405">
      <c r="A405" s="172"/>
      <c r="B405" s="172"/>
      <c r="C405" s="172"/>
      <c r="D405" s="172"/>
      <c r="E405" s="172"/>
      <c r="F405" s="172"/>
      <c r="G405" s="172"/>
      <c r="H405" s="172"/>
      <c r="I405" s="172"/>
      <c r="J405" s="172"/>
      <c r="K405" s="172"/>
      <c r="L405" s="172"/>
      <c r="M405" s="172"/>
      <c r="N405" s="172"/>
      <c r="O405" s="172"/>
      <c r="P405" s="172"/>
      <c r="Q405" s="172"/>
      <c r="R405" s="172"/>
      <c r="S405" s="172"/>
      <c r="T405" s="172"/>
      <c r="U405" s="172"/>
      <c r="V405" s="172"/>
      <c r="W405" s="172"/>
      <c r="X405" s="172"/>
      <c r="Y405" s="172"/>
      <c r="Z405" s="172"/>
    </row>
    <row r="406">
      <c r="A406" s="172"/>
      <c r="B406" s="172"/>
      <c r="C406" s="172"/>
      <c r="D406" s="172"/>
      <c r="E406" s="172"/>
      <c r="F406" s="172"/>
      <c r="G406" s="172"/>
      <c r="H406" s="172"/>
      <c r="I406" s="172"/>
      <c r="J406" s="172"/>
      <c r="K406" s="172"/>
      <c r="L406" s="172"/>
      <c r="M406" s="172"/>
      <c r="N406" s="172"/>
      <c r="O406" s="172"/>
      <c r="P406" s="172"/>
      <c r="Q406" s="172"/>
      <c r="R406" s="172"/>
      <c r="S406" s="172"/>
      <c r="T406" s="172"/>
      <c r="U406" s="172"/>
      <c r="V406" s="172"/>
      <c r="W406" s="172"/>
      <c r="X406" s="172"/>
      <c r="Y406" s="172"/>
      <c r="Z406" s="172"/>
    </row>
    <row r="407">
      <c r="A407" s="172"/>
      <c r="B407" s="172"/>
      <c r="C407" s="172"/>
      <c r="D407" s="172"/>
      <c r="E407" s="172"/>
      <c r="F407" s="172"/>
      <c r="G407" s="172"/>
      <c r="H407" s="172"/>
      <c r="I407" s="172"/>
      <c r="J407" s="172"/>
      <c r="K407" s="172"/>
      <c r="L407" s="172"/>
      <c r="M407" s="172"/>
      <c r="N407" s="172"/>
      <c r="O407" s="172"/>
      <c r="P407" s="172"/>
      <c r="Q407" s="172"/>
      <c r="R407" s="172"/>
      <c r="S407" s="172"/>
      <c r="T407" s="172"/>
      <c r="U407" s="172"/>
      <c r="V407" s="172"/>
      <c r="W407" s="172"/>
      <c r="X407" s="172"/>
      <c r="Y407" s="172"/>
      <c r="Z407" s="172"/>
    </row>
    <row r="408">
      <c r="A408" s="172"/>
      <c r="B408" s="172"/>
      <c r="C408" s="172"/>
      <c r="D408" s="172"/>
      <c r="E408" s="172"/>
      <c r="F408" s="172"/>
      <c r="G408" s="172"/>
      <c r="H408" s="172"/>
      <c r="I408" s="172"/>
      <c r="J408" s="172"/>
      <c r="K408" s="172"/>
      <c r="L408" s="172"/>
      <c r="M408" s="172"/>
      <c r="N408" s="172"/>
      <c r="O408" s="172"/>
      <c r="P408" s="172"/>
      <c r="Q408" s="172"/>
      <c r="R408" s="172"/>
      <c r="S408" s="172"/>
      <c r="T408" s="172"/>
      <c r="U408" s="172"/>
      <c r="V408" s="172"/>
      <c r="W408" s="172"/>
      <c r="X408" s="172"/>
      <c r="Y408" s="172"/>
      <c r="Z408" s="172"/>
    </row>
    <row r="409">
      <c r="A409" s="172"/>
      <c r="B409" s="172"/>
      <c r="C409" s="172"/>
      <c r="D409" s="172"/>
      <c r="E409" s="172"/>
      <c r="F409" s="172"/>
      <c r="G409" s="172"/>
      <c r="H409" s="172"/>
      <c r="I409" s="172"/>
      <c r="J409" s="172"/>
      <c r="K409" s="172"/>
      <c r="L409" s="172"/>
      <c r="M409" s="172"/>
      <c r="N409" s="172"/>
      <c r="O409" s="172"/>
      <c r="P409" s="172"/>
      <c r="Q409" s="172"/>
      <c r="R409" s="172"/>
      <c r="S409" s="172"/>
      <c r="T409" s="172"/>
      <c r="U409" s="172"/>
      <c r="V409" s="172"/>
      <c r="W409" s="172"/>
      <c r="X409" s="172"/>
      <c r="Y409" s="172"/>
      <c r="Z409" s="172"/>
    </row>
    <row r="410">
      <c r="A410" s="172"/>
      <c r="B410" s="172"/>
      <c r="C410" s="172"/>
      <c r="D410" s="172"/>
      <c r="E410" s="172"/>
      <c r="F410" s="172"/>
      <c r="G410" s="172"/>
      <c r="H410" s="172"/>
      <c r="I410" s="172"/>
      <c r="J410" s="172"/>
      <c r="K410" s="172"/>
      <c r="L410" s="172"/>
      <c r="M410" s="172"/>
      <c r="N410" s="172"/>
      <c r="O410" s="172"/>
      <c r="P410" s="172"/>
      <c r="Q410" s="172"/>
      <c r="R410" s="172"/>
      <c r="S410" s="172"/>
      <c r="T410" s="172"/>
      <c r="U410" s="172"/>
      <c r="V410" s="172"/>
      <c r="W410" s="172"/>
      <c r="X410" s="172"/>
      <c r="Y410" s="172"/>
      <c r="Z410" s="172"/>
    </row>
    <row r="411">
      <c r="A411" s="172"/>
      <c r="B411" s="172"/>
      <c r="C411" s="172"/>
      <c r="D411" s="172"/>
      <c r="E411" s="172"/>
      <c r="F411" s="172"/>
      <c r="G411" s="172"/>
      <c r="H411" s="172"/>
      <c r="I411" s="172"/>
      <c r="J411" s="172"/>
      <c r="K411" s="172"/>
      <c r="L411" s="172"/>
      <c r="M411" s="172"/>
      <c r="N411" s="172"/>
      <c r="O411" s="172"/>
      <c r="P411" s="172"/>
      <c r="Q411" s="172"/>
      <c r="R411" s="172"/>
      <c r="S411" s="172"/>
      <c r="T411" s="172"/>
      <c r="U411" s="172"/>
      <c r="V411" s="172"/>
      <c r="W411" s="172"/>
      <c r="X411" s="172"/>
      <c r="Y411" s="172"/>
      <c r="Z411" s="172"/>
    </row>
    <row r="412">
      <c r="A412" s="172"/>
      <c r="B412" s="172"/>
      <c r="C412" s="172"/>
      <c r="D412" s="172"/>
      <c r="E412" s="172"/>
      <c r="F412" s="172"/>
      <c r="G412" s="172"/>
      <c r="H412" s="172"/>
      <c r="I412" s="172"/>
      <c r="J412" s="172"/>
      <c r="K412" s="172"/>
      <c r="L412" s="172"/>
      <c r="M412" s="172"/>
      <c r="N412" s="172"/>
      <c r="O412" s="172"/>
      <c r="P412" s="172"/>
      <c r="Q412" s="172"/>
      <c r="R412" s="172"/>
      <c r="S412" s="172"/>
      <c r="T412" s="172"/>
      <c r="U412" s="172"/>
      <c r="V412" s="172"/>
      <c r="W412" s="172"/>
      <c r="X412" s="172"/>
      <c r="Y412" s="172"/>
      <c r="Z412" s="172"/>
    </row>
    <row r="413">
      <c r="A413" s="172"/>
      <c r="B413" s="172"/>
      <c r="C413" s="172"/>
      <c r="D413" s="172"/>
      <c r="E413" s="172"/>
      <c r="F413" s="172"/>
      <c r="G413" s="172"/>
      <c r="H413" s="172"/>
      <c r="I413" s="172"/>
      <c r="J413" s="172"/>
      <c r="K413" s="172"/>
      <c r="L413" s="172"/>
      <c r="M413" s="172"/>
      <c r="N413" s="172"/>
      <c r="O413" s="172"/>
      <c r="P413" s="172"/>
      <c r="Q413" s="172"/>
      <c r="R413" s="172"/>
      <c r="S413" s="172"/>
      <c r="T413" s="172"/>
      <c r="U413" s="172"/>
      <c r="V413" s="172"/>
      <c r="W413" s="172"/>
      <c r="X413" s="172"/>
      <c r="Y413" s="172"/>
      <c r="Z413" s="172"/>
    </row>
    <row r="414">
      <c r="A414" s="172"/>
      <c r="B414" s="172"/>
      <c r="C414" s="172"/>
      <c r="D414" s="172"/>
      <c r="E414" s="172"/>
      <c r="F414" s="172"/>
      <c r="G414" s="172"/>
      <c r="H414" s="172"/>
      <c r="I414" s="172"/>
      <c r="J414" s="172"/>
      <c r="K414" s="172"/>
      <c r="L414" s="172"/>
      <c r="M414" s="172"/>
      <c r="N414" s="172"/>
      <c r="O414" s="172"/>
      <c r="P414" s="172"/>
      <c r="Q414" s="172"/>
      <c r="R414" s="172"/>
      <c r="S414" s="172"/>
      <c r="T414" s="172"/>
      <c r="U414" s="172"/>
      <c r="V414" s="172"/>
      <c r="W414" s="172"/>
      <c r="X414" s="172"/>
      <c r="Y414" s="172"/>
      <c r="Z414" s="172"/>
    </row>
    <row r="415">
      <c r="A415" s="172"/>
      <c r="B415" s="172"/>
      <c r="C415" s="172"/>
      <c r="D415" s="172"/>
      <c r="E415" s="172"/>
      <c r="F415" s="172"/>
      <c r="G415" s="172"/>
      <c r="H415" s="172"/>
      <c r="I415" s="172"/>
      <c r="J415" s="172"/>
      <c r="K415" s="172"/>
      <c r="L415" s="172"/>
      <c r="M415" s="172"/>
      <c r="N415" s="172"/>
      <c r="O415" s="172"/>
      <c r="P415" s="172"/>
      <c r="Q415" s="172"/>
      <c r="R415" s="172"/>
      <c r="S415" s="172"/>
      <c r="T415" s="172"/>
      <c r="U415" s="172"/>
      <c r="V415" s="172"/>
      <c r="W415" s="172"/>
      <c r="X415" s="172"/>
      <c r="Y415" s="172"/>
      <c r="Z415" s="172"/>
    </row>
    <row r="416">
      <c r="A416" s="172"/>
      <c r="B416" s="172"/>
      <c r="C416" s="172"/>
      <c r="D416" s="172"/>
      <c r="E416" s="172"/>
      <c r="F416" s="172"/>
      <c r="G416" s="172"/>
      <c r="H416" s="172"/>
      <c r="I416" s="172"/>
      <c r="J416" s="172"/>
      <c r="K416" s="172"/>
      <c r="L416" s="172"/>
      <c r="M416" s="172"/>
      <c r="N416" s="172"/>
      <c r="O416" s="172"/>
      <c r="P416" s="172"/>
      <c r="Q416" s="172"/>
      <c r="R416" s="172"/>
      <c r="S416" s="172"/>
      <c r="T416" s="172"/>
      <c r="U416" s="172"/>
      <c r="V416" s="172"/>
      <c r="W416" s="172"/>
      <c r="X416" s="172"/>
      <c r="Y416" s="172"/>
      <c r="Z416" s="172"/>
    </row>
    <row r="417">
      <c r="A417" s="172"/>
      <c r="B417" s="172"/>
      <c r="C417" s="172"/>
      <c r="D417" s="172"/>
      <c r="E417" s="172"/>
      <c r="F417" s="172"/>
      <c r="G417" s="172"/>
      <c r="H417" s="172"/>
      <c r="I417" s="172"/>
      <c r="J417" s="172"/>
      <c r="K417" s="172"/>
      <c r="L417" s="172"/>
      <c r="M417" s="172"/>
      <c r="N417" s="172"/>
      <c r="O417" s="172"/>
      <c r="P417" s="172"/>
      <c r="Q417" s="172"/>
      <c r="R417" s="172"/>
      <c r="S417" s="172"/>
      <c r="T417" s="172"/>
      <c r="U417" s="172"/>
      <c r="V417" s="172"/>
      <c r="W417" s="172"/>
      <c r="X417" s="172"/>
      <c r="Y417" s="172"/>
      <c r="Z417" s="172"/>
    </row>
    <row r="418">
      <c r="A418" s="172"/>
      <c r="B418" s="172"/>
      <c r="C418" s="172"/>
      <c r="D418" s="172"/>
      <c r="E418" s="172"/>
      <c r="F418" s="172"/>
      <c r="G418" s="172"/>
      <c r="H418" s="172"/>
      <c r="I418" s="172"/>
      <c r="J418" s="172"/>
      <c r="K418" s="172"/>
      <c r="L418" s="172"/>
      <c r="M418" s="172"/>
      <c r="N418" s="172"/>
      <c r="O418" s="172"/>
      <c r="P418" s="172"/>
      <c r="Q418" s="172"/>
      <c r="R418" s="172"/>
      <c r="S418" s="172"/>
      <c r="T418" s="172"/>
      <c r="U418" s="172"/>
      <c r="V418" s="172"/>
      <c r="W418" s="172"/>
      <c r="X418" s="172"/>
      <c r="Y418" s="172"/>
      <c r="Z418" s="172"/>
    </row>
    <row r="419">
      <c r="A419" s="172"/>
      <c r="B419" s="172"/>
      <c r="C419" s="172"/>
      <c r="D419" s="172"/>
      <c r="E419" s="172"/>
      <c r="F419" s="172"/>
      <c r="G419" s="172"/>
      <c r="H419" s="172"/>
      <c r="I419" s="172"/>
      <c r="J419" s="172"/>
      <c r="K419" s="172"/>
      <c r="L419" s="172"/>
      <c r="M419" s="172"/>
      <c r="N419" s="172"/>
      <c r="O419" s="172"/>
      <c r="P419" s="172"/>
      <c r="Q419" s="172"/>
      <c r="R419" s="172"/>
      <c r="S419" s="172"/>
      <c r="T419" s="172"/>
      <c r="U419" s="172"/>
      <c r="V419" s="172"/>
      <c r="W419" s="172"/>
      <c r="X419" s="172"/>
      <c r="Y419" s="172"/>
      <c r="Z419" s="172"/>
    </row>
    <row r="420">
      <c r="A420" s="172"/>
      <c r="B420" s="172"/>
      <c r="C420" s="172"/>
      <c r="D420" s="172"/>
      <c r="E420" s="172"/>
      <c r="F420" s="172"/>
      <c r="G420" s="172"/>
      <c r="H420" s="172"/>
      <c r="I420" s="172"/>
      <c r="J420" s="172"/>
      <c r="K420" s="172"/>
      <c r="L420" s="172"/>
      <c r="M420" s="172"/>
      <c r="N420" s="172"/>
      <c r="O420" s="172"/>
      <c r="P420" s="172"/>
      <c r="Q420" s="172"/>
      <c r="R420" s="172"/>
      <c r="S420" s="172"/>
      <c r="T420" s="172"/>
      <c r="U420" s="172"/>
      <c r="V420" s="172"/>
      <c r="W420" s="172"/>
      <c r="X420" s="172"/>
      <c r="Y420" s="172"/>
      <c r="Z420" s="172"/>
    </row>
    <row r="421">
      <c r="A421" s="172"/>
      <c r="B421" s="172"/>
      <c r="C421" s="172"/>
      <c r="D421" s="172"/>
      <c r="E421" s="172"/>
      <c r="F421" s="172"/>
      <c r="G421" s="172"/>
      <c r="H421" s="172"/>
      <c r="I421" s="172"/>
      <c r="J421" s="172"/>
      <c r="K421" s="172"/>
      <c r="L421" s="172"/>
      <c r="M421" s="172"/>
      <c r="N421" s="172"/>
      <c r="O421" s="172"/>
      <c r="P421" s="172"/>
      <c r="Q421" s="172"/>
      <c r="R421" s="172"/>
      <c r="S421" s="172"/>
      <c r="T421" s="172"/>
      <c r="U421" s="172"/>
      <c r="V421" s="172"/>
      <c r="W421" s="172"/>
      <c r="X421" s="172"/>
      <c r="Y421" s="172"/>
      <c r="Z421" s="172"/>
    </row>
    <row r="422">
      <c r="A422" s="172"/>
      <c r="B422" s="172"/>
      <c r="C422" s="172"/>
      <c r="D422" s="172"/>
      <c r="E422" s="172"/>
      <c r="F422" s="172"/>
      <c r="G422" s="172"/>
      <c r="H422" s="172"/>
      <c r="I422" s="172"/>
      <c r="J422" s="172"/>
      <c r="K422" s="172"/>
      <c r="L422" s="172"/>
      <c r="M422" s="172"/>
      <c r="N422" s="172"/>
      <c r="O422" s="172"/>
      <c r="P422" s="172"/>
      <c r="Q422" s="172"/>
      <c r="R422" s="172"/>
      <c r="S422" s="172"/>
      <c r="T422" s="172"/>
      <c r="U422" s="172"/>
      <c r="V422" s="172"/>
      <c r="W422" s="172"/>
      <c r="X422" s="172"/>
      <c r="Y422" s="172"/>
      <c r="Z422" s="172"/>
    </row>
    <row r="423">
      <c r="A423" s="172"/>
      <c r="B423" s="172"/>
      <c r="C423" s="172"/>
      <c r="D423" s="172"/>
      <c r="E423" s="172"/>
      <c r="F423" s="172"/>
      <c r="G423" s="172"/>
      <c r="H423" s="172"/>
      <c r="I423" s="172"/>
      <c r="J423" s="172"/>
      <c r="K423" s="172"/>
      <c r="L423" s="172"/>
      <c r="M423" s="172"/>
      <c r="N423" s="172"/>
      <c r="O423" s="172"/>
      <c r="P423" s="172"/>
      <c r="Q423" s="172"/>
      <c r="R423" s="172"/>
      <c r="S423" s="172"/>
      <c r="T423" s="172"/>
      <c r="U423" s="172"/>
      <c r="V423" s="172"/>
      <c r="W423" s="172"/>
      <c r="X423" s="172"/>
      <c r="Y423" s="172"/>
      <c r="Z423" s="172"/>
    </row>
    <row r="424">
      <c r="A424" s="172"/>
      <c r="B424" s="172"/>
      <c r="C424" s="172"/>
      <c r="D424" s="172"/>
      <c r="E424" s="172"/>
      <c r="F424" s="172"/>
      <c r="G424" s="172"/>
      <c r="H424" s="172"/>
      <c r="I424" s="172"/>
      <c r="J424" s="172"/>
      <c r="K424" s="172"/>
      <c r="L424" s="172"/>
      <c r="M424" s="172"/>
      <c r="N424" s="172"/>
      <c r="O424" s="172"/>
      <c r="P424" s="172"/>
      <c r="Q424" s="172"/>
      <c r="R424" s="172"/>
      <c r="S424" s="172"/>
      <c r="T424" s="172"/>
      <c r="U424" s="172"/>
      <c r="V424" s="172"/>
      <c r="W424" s="172"/>
      <c r="X424" s="172"/>
      <c r="Y424" s="172"/>
      <c r="Z424" s="172"/>
    </row>
    <row r="425">
      <c r="A425" s="172"/>
      <c r="B425" s="172"/>
      <c r="C425" s="172"/>
      <c r="D425" s="172"/>
      <c r="E425" s="172"/>
      <c r="F425" s="172"/>
      <c r="G425" s="172"/>
      <c r="H425" s="172"/>
      <c r="I425" s="172"/>
      <c r="J425" s="172"/>
      <c r="K425" s="172"/>
      <c r="L425" s="172"/>
      <c r="M425" s="172"/>
      <c r="N425" s="172"/>
      <c r="O425" s="172"/>
      <c r="P425" s="172"/>
      <c r="Q425" s="172"/>
      <c r="R425" s="172"/>
      <c r="S425" s="172"/>
      <c r="T425" s="172"/>
      <c r="U425" s="172"/>
      <c r="V425" s="172"/>
      <c r="W425" s="172"/>
      <c r="X425" s="172"/>
      <c r="Y425" s="172"/>
      <c r="Z425" s="172"/>
    </row>
    <row r="426">
      <c r="A426" s="172"/>
      <c r="B426" s="172"/>
      <c r="C426" s="172"/>
      <c r="D426" s="172"/>
      <c r="E426" s="172"/>
      <c r="F426" s="172"/>
      <c r="G426" s="172"/>
      <c r="H426" s="172"/>
      <c r="I426" s="172"/>
      <c r="J426" s="172"/>
      <c r="K426" s="172"/>
      <c r="L426" s="172"/>
      <c r="M426" s="172"/>
      <c r="N426" s="172"/>
      <c r="O426" s="172"/>
      <c r="P426" s="172"/>
      <c r="Q426" s="172"/>
      <c r="R426" s="172"/>
      <c r="S426" s="172"/>
      <c r="T426" s="172"/>
      <c r="U426" s="172"/>
      <c r="V426" s="172"/>
      <c r="W426" s="172"/>
      <c r="X426" s="172"/>
      <c r="Y426" s="172"/>
      <c r="Z426" s="172"/>
    </row>
    <row r="427">
      <c r="A427" s="172"/>
      <c r="B427" s="172"/>
      <c r="C427" s="172"/>
      <c r="D427" s="172"/>
      <c r="E427" s="172"/>
      <c r="F427" s="172"/>
      <c r="G427" s="172"/>
      <c r="H427" s="172"/>
      <c r="I427" s="172"/>
      <c r="J427" s="172"/>
      <c r="K427" s="172"/>
      <c r="L427" s="172"/>
      <c r="M427" s="172"/>
      <c r="N427" s="172"/>
      <c r="O427" s="172"/>
      <c r="P427" s="172"/>
      <c r="Q427" s="172"/>
      <c r="R427" s="172"/>
      <c r="S427" s="172"/>
      <c r="T427" s="172"/>
      <c r="U427" s="172"/>
      <c r="V427" s="172"/>
      <c r="W427" s="172"/>
      <c r="X427" s="172"/>
      <c r="Y427" s="172"/>
      <c r="Z427" s="172"/>
    </row>
    <row r="428">
      <c r="A428" s="172"/>
      <c r="B428" s="172"/>
      <c r="C428" s="172"/>
      <c r="D428" s="172"/>
      <c r="E428" s="172"/>
      <c r="F428" s="172"/>
      <c r="G428" s="172"/>
      <c r="H428" s="172"/>
      <c r="I428" s="172"/>
      <c r="J428" s="172"/>
      <c r="K428" s="172"/>
      <c r="L428" s="172"/>
      <c r="M428" s="172"/>
      <c r="N428" s="172"/>
      <c r="O428" s="172"/>
      <c r="P428" s="172"/>
      <c r="Q428" s="172"/>
      <c r="R428" s="172"/>
      <c r="S428" s="172"/>
      <c r="T428" s="172"/>
      <c r="U428" s="172"/>
      <c r="V428" s="172"/>
      <c r="W428" s="172"/>
      <c r="X428" s="172"/>
      <c r="Y428" s="172"/>
      <c r="Z428" s="172"/>
    </row>
    <row r="429">
      <c r="A429" s="172"/>
      <c r="B429" s="172"/>
      <c r="C429" s="172"/>
      <c r="D429" s="172"/>
      <c r="E429" s="172"/>
      <c r="F429" s="172"/>
      <c r="G429" s="172"/>
      <c r="H429" s="172"/>
      <c r="I429" s="172"/>
      <c r="J429" s="172"/>
      <c r="K429" s="172"/>
      <c r="L429" s="172"/>
      <c r="M429" s="172"/>
      <c r="N429" s="172"/>
      <c r="O429" s="172"/>
      <c r="P429" s="172"/>
      <c r="Q429" s="172"/>
      <c r="R429" s="172"/>
      <c r="S429" s="172"/>
      <c r="T429" s="172"/>
      <c r="U429" s="172"/>
      <c r="V429" s="172"/>
      <c r="W429" s="172"/>
      <c r="X429" s="172"/>
      <c r="Y429" s="172"/>
      <c r="Z429" s="172"/>
    </row>
    <row r="430">
      <c r="A430" s="172"/>
      <c r="B430" s="172"/>
      <c r="C430" s="172"/>
      <c r="D430" s="172"/>
      <c r="E430" s="172"/>
      <c r="F430" s="172"/>
      <c r="G430" s="172"/>
      <c r="H430" s="172"/>
      <c r="I430" s="172"/>
      <c r="J430" s="172"/>
      <c r="K430" s="172"/>
      <c r="L430" s="172"/>
      <c r="M430" s="172"/>
      <c r="N430" s="172"/>
      <c r="O430" s="172"/>
      <c r="P430" s="172"/>
      <c r="Q430" s="172"/>
      <c r="R430" s="172"/>
      <c r="S430" s="172"/>
      <c r="T430" s="172"/>
      <c r="U430" s="172"/>
      <c r="V430" s="172"/>
      <c r="W430" s="172"/>
      <c r="X430" s="172"/>
      <c r="Y430" s="172"/>
      <c r="Z430" s="172"/>
    </row>
    <row r="431">
      <c r="A431" s="172"/>
      <c r="B431" s="172"/>
      <c r="C431" s="172"/>
      <c r="D431" s="172"/>
      <c r="E431" s="172"/>
      <c r="F431" s="172"/>
      <c r="G431" s="172"/>
      <c r="H431" s="172"/>
      <c r="I431" s="172"/>
      <c r="J431" s="172"/>
      <c r="K431" s="172"/>
      <c r="L431" s="172"/>
      <c r="M431" s="172"/>
      <c r="N431" s="172"/>
      <c r="O431" s="172"/>
      <c r="P431" s="172"/>
      <c r="Q431" s="172"/>
      <c r="R431" s="172"/>
      <c r="S431" s="172"/>
      <c r="T431" s="172"/>
      <c r="U431" s="172"/>
      <c r="V431" s="172"/>
      <c r="W431" s="172"/>
      <c r="X431" s="172"/>
      <c r="Y431" s="172"/>
      <c r="Z431" s="172"/>
    </row>
    <row r="432">
      <c r="A432" s="172"/>
      <c r="B432" s="172"/>
      <c r="C432" s="172"/>
      <c r="D432" s="172"/>
      <c r="E432" s="172"/>
      <c r="F432" s="172"/>
      <c r="G432" s="172"/>
      <c r="H432" s="172"/>
      <c r="I432" s="172"/>
      <c r="J432" s="172"/>
      <c r="K432" s="172"/>
      <c r="L432" s="172"/>
      <c r="M432" s="172"/>
      <c r="N432" s="172"/>
      <c r="O432" s="172"/>
      <c r="P432" s="172"/>
      <c r="Q432" s="172"/>
      <c r="R432" s="172"/>
      <c r="S432" s="172"/>
      <c r="T432" s="172"/>
      <c r="U432" s="172"/>
      <c r="V432" s="172"/>
      <c r="W432" s="172"/>
      <c r="X432" s="172"/>
      <c r="Y432" s="172"/>
      <c r="Z432" s="172"/>
    </row>
    <row r="433">
      <c r="A433" s="172"/>
      <c r="B433" s="172"/>
      <c r="C433" s="172"/>
      <c r="D433" s="172"/>
      <c r="E433" s="172"/>
      <c r="F433" s="172"/>
      <c r="G433" s="172"/>
      <c r="H433" s="172"/>
      <c r="I433" s="172"/>
      <c r="J433" s="172"/>
      <c r="K433" s="172"/>
      <c r="L433" s="172"/>
      <c r="M433" s="172"/>
      <c r="N433" s="172"/>
      <c r="O433" s="172"/>
      <c r="P433" s="172"/>
      <c r="Q433" s="172"/>
      <c r="R433" s="172"/>
      <c r="S433" s="172"/>
      <c r="T433" s="172"/>
      <c r="U433" s="172"/>
      <c r="V433" s="172"/>
      <c r="W433" s="172"/>
      <c r="X433" s="172"/>
      <c r="Y433" s="172"/>
      <c r="Z433" s="172"/>
    </row>
    <row r="434">
      <c r="A434" s="172"/>
      <c r="B434" s="172"/>
      <c r="C434" s="172"/>
      <c r="D434" s="172"/>
      <c r="E434" s="172"/>
      <c r="F434" s="172"/>
      <c r="G434" s="172"/>
      <c r="H434" s="172"/>
      <c r="I434" s="172"/>
      <c r="J434" s="172"/>
      <c r="K434" s="172"/>
      <c r="L434" s="172"/>
      <c r="M434" s="172"/>
      <c r="N434" s="172"/>
      <c r="O434" s="172"/>
      <c r="P434" s="172"/>
      <c r="Q434" s="172"/>
      <c r="R434" s="172"/>
      <c r="S434" s="172"/>
      <c r="T434" s="172"/>
      <c r="U434" s="172"/>
      <c r="V434" s="172"/>
      <c r="W434" s="172"/>
      <c r="X434" s="172"/>
      <c r="Y434" s="172"/>
      <c r="Z434" s="172"/>
    </row>
    <row r="435">
      <c r="A435" s="172"/>
      <c r="B435" s="172"/>
      <c r="C435" s="172"/>
      <c r="D435" s="172"/>
      <c r="E435" s="172"/>
      <c r="F435" s="172"/>
      <c r="G435" s="172"/>
      <c r="H435" s="172"/>
      <c r="I435" s="172"/>
      <c r="J435" s="172"/>
      <c r="K435" s="172"/>
      <c r="L435" s="172"/>
      <c r="M435" s="172"/>
      <c r="N435" s="172"/>
      <c r="O435" s="172"/>
      <c r="P435" s="172"/>
      <c r="Q435" s="172"/>
      <c r="R435" s="172"/>
      <c r="S435" s="172"/>
      <c r="T435" s="172"/>
      <c r="U435" s="172"/>
      <c r="V435" s="172"/>
      <c r="W435" s="172"/>
      <c r="X435" s="172"/>
      <c r="Y435" s="172"/>
      <c r="Z435" s="172"/>
    </row>
    <row r="436">
      <c r="A436" s="172"/>
      <c r="B436" s="172"/>
      <c r="C436" s="172"/>
      <c r="D436" s="172"/>
      <c r="E436" s="172"/>
      <c r="F436" s="172"/>
      <c r="G436" s="172"/>
      <c r="H436" s="172"/>
      <c r="I436" s="172"/>
      <c r="J436" s="172"/>
      <c r="K436" s="172"/>
      <c r="L436" s="172"/>
      <c r="M436" s="172"/>
      <c r="N436" s="172"/>
      <c r="O436" s="172"/>
      <c r="P436" s="172"/>
      <c r="Q436" s="172"/>
      <c r="R436" s="172"/>
      <c r="S436" s="172"/>
      <c r="T436" s="172"/>
      <c r="U436" s="172"/>
      <c r="V436" s="172"/>
      <c r="W436" s="172"/>
      <c r="X436" s="172"/>
      <c r="Y436" s="172"/>
      <c r="Z436" s="172"/>
    </row>
    <row r="437">
      <c r="A437" s="172"/>
      <c r="B437" s="172"/>
      <c r="C437" s="172"/>
      <c r="D437" s="172"/>
      <c r="E437" s="172"/>
      <c r="F437" s="172"/>
      <c r="G437" s="172"/>
      <c r="H437" s="172"/>
      <c r="I437" s="172"/>
      <c r="J437" s="172"/>
      <c r="K437" s="172"/>
      <c r="L437" s="172"/>
      <c r="M437" s="172"/>
      <c r="N437" s="172"/>
      <c r="O437" s="172"/>
      <c r="P437" s="172"/>
      <c r="Q437" s="172"/>
      <c r="R437" s="172"/>
      <c r="S437" s="172"/>
      <c r="T437" s="172"/>
      <c r="U437" s="172"/>
      <c r="V437" s="172"/>
      <c r="W437" s="172"/>
      <c r="X437" s="172"/>
      <c r="Y437" s="172"/>
      <c r="Z437" s="172"/>
    </row>
    <row r="438">
      <c r="A438" s="172"/>
      <c r="B438" s="172"/>
      <c r="C438" s="172"/>
      <c r="D438" s="172"/>
      <c r="E438" s="172"/>
      <c r="F438" s="172"/>
      <c r="G438" s="172"/>
      <c r="H438" s="172"/>
      <c r="I438" s="172"/>
      <c r="J438" s="172"/>
      <c r="K438" s="172"/>
      <c r="L438" s="172"/>
      <c r="M438" s="172"/>
      <c r="N438" s="172"/>
      <c r="O438" s="172"/>
      <c r="P438" s="172"/>
      <c r="Q438" s="172"/>
      <c r="R438" s="172"/>
      <c r="S438" s="172"/>
      <c r="T438" s="172"/>
      <c r="U438" s="172"/>
      <c r="V438" s="172"/>
      <c r="W438" s="172"/>
      <c r="X438" s="172"/>
      <c r="Y438" s="172"/>
      <c r="Z438" s="172"/>
    </row>
    <row r="439">
      <c r="A439" s="172"/>
      <c r="B439" s="172"/>
      <c r="C439" s="172"/>
      <c r="D439" s="172"/>
      <c r="E439" s="172"/>
      <c r="F439" s="172"/>
      <c r="G439" s="172"/>
      <c r="H439" s="172"/>
      <c r="I439" s="172"/>
      <c r="J439" s="172"/>
      <c r="K439" s="172"/>
      <c r="L439" s="172"/>
      <c r="M439" s="172"/>
      <c r="N439" s="172"/>
      <c r="O439" s="172"/>
      <c r="P439" s="172"/>
      <c r="Q439" s="172"/>
      <c r="R439" s="172"/>
      <c r="S439" s="172"/>
      <c r="T439" s="172"/>
      <c r="U439" s="172"/>
      <c r="V439" s="172"/>
      <c r="W439" s="172"/>
      <c r="X439" s="172"/>
      <c r="Y439" s="172"/>
      <c r="Z439" s="172"/>
    </row>
    <row r="440">
      <c r="A440" s="172"/>
      <c r="B440" s="172"/>
      <c r="C440" s="172"/>
      <c r="D440" s="172"/>
      <c r="E440" s="172"/>
      <c r="F440" s="172"/>
      <c r="G440" s="172"/>
      <c r="H440" s="172"/>
      <c r="I440" s="172"/>
      <c r="J440" s="172"/>
      <c r="K440" s="172"/>
      <c r="L440" s="172"/>
      <c r="M440" s="172"/>
      <c r="N440" s="172"/>
      <c r="O440" s="172"/>
      <c r="P440" s="172"/>
      <c r="Q440" s="172"/>
      <c r="R440" s="172"/>
      <c r="S440" s="172"/>
      <c r="T440" s="172"/>
      <c r="U440" s="172"/>
      <c r="V440" s="172"/>
      <c r="W440" s="172"/>
      <c r="X440" s="172"/>
      <c r="Y440" s="172"/>
      <c r="Z440" s="172"/>
    </row>
    <row r="441">
      <c r="A441" s="172"/>
      <c r="B441" s="172"/>
      <c r="C441" s="172"/>
      <c r="D441" s="172"/>
      <c r="E441" s="172"/>
      <c r="F441" s="172"/>
      <c r="G441" s="172"/>
      <c r="H441" s="172"/>
      <c r="I441" s="172"/>
      <c r="J441" s="172"/>
      <c r="K441" s="172"/>
      <c r="L441" s="172"/>
      <c r="M441" s="172"/>
      <c r="N441" s="172"/>
      <c r="O441" s="172"/>
      <c r="P441" s="172"/>
      <c r="Q441" s="172"/>
      <c r="R441" s="172"/>
      <c r="S441" s="172"/>
      <c r="T441" s="172"/>
      <c r="U441" s="172"/>
      <c r="V441" s="172"/>
      <c r="W441" s="172"/>
      <c r="X441" s="172"/>
      <c r="Y441" s="172"/>
      <c r="Z441" s="172"/>
    </row>
    <row r="442">
      <c r="A442" s="172"/>
      <c r="B442" s="172"/>
      <c r="C442" s="172"/>
      <c r="D442" s="172"/>
      <c r="E442" s="172"/>
      <c r="F442" s="172"/>
      <c r="G442" s="172"/>
      <c r="H442" s="172"/>
      <c r="I442" s="172"/>
      <c r="J442" s="172"/>
      <c r="K442" s="172"/>
      <c r="L442" s="172"/>
      <c r="M442" s="172"/>
      <c r="N442" s="172"/>
      <c r="O442" s="172"/>
      <c r="P442" s="172"/>
      <c r="Q442" s="172"/>
      <c r="R442" s="172"/>
      <c r="S442" s="172"/>
      <c r="T442" s="172"/>
      <c r="U442" s="172"/>
      <c r="V442" s="172"/>
      <c r="W442" s="172"/>
      <c r="X442" s="172"/>
      <c r="Y442" s="172"/>
      <c r="Z442" s="172"/>
    </row>
    <row r="443">
      <c r="A443" s="172"/>
      <c r="B443" s="172"/>
      <c r="C443" s="172"/>
      <c r="D443" s="172"/>
      <c r="E443" s="172"/>
      <c r="F443" s="172"/>
      <c r="G443" s="172"/>
      <c r="H443" s="172"/>
      <c r="I443" s="172"/>
      <c r="J443" s="172"/>
      <c r="K443" s="172"/>
      <c r="L443" s="172"/>
      <c r="M443" s="172"/>
      <c r="N443" s="172"/>
      <c r="O443" s="172"/>
      <c r="P443" s="172"/>
      <c r="Q443" s="172"/>
      <c r="R443" s="172"/>
      <c r="S443" s="172"/>
      <c r="T443" s="172"/>
      <c r="U443" s="172"/>
      <c r="V443" s="172"/>
      <c r="W443" s="172"/>
      <c r="X443" s="172"/>
      <c r="Y443" s="172"/>
      <c r="Z443" s="172"/>
    </row>
    <row r="444">
      <c r="A444" s="172"/>
      <c r="B444" s="172"/>
      <c r="C444" s="172"/>
      <c r="D444" s="172"/>
      <c r="E444" s="172"/>
      <c r="F444" s="172"/>
      <c r="G444" s="172"/>
      <c r="H444" s="172"/>
      <c r="I444" s="172"/>
      <c r="J444" s="172"/>
      <c r="K444" s="172"/>
      <c r="L444" s="172"/>
      <c r="M444" s="172"/>
      <c r="N444" s="172"/>
      <c r="O444" s="172"/>
      <c r="P444" s="172"/>
      <c r="Q444" s="172"/>
      <c r="R444" s="172"/>
      <c r="S444" s="172"/>
      <c r="T444" s="172"/>
      <c r="U444" s="172"/>
      <c r="V444" s="172"/>
      <c r="W444" s="172"/>
      <c r="X444" s="172"/>
      <c r="Y444" s="172"/>
      <c r="Z444" s="172"/>
    </row>
    <row r="445">
      <c r="A445" s="172"/>
      <c r="B445" s="172"/>
      <c r="C445" s="172"/>
      <c r="D445" s="172"/>
      <c r="E445" s="172"/>
      <c r="F445" s="172"/>
      <c r="G445" s="172"/>
      <c r="H445" s="172"/>
      <c r="I445" s="172"/>
      <c r="J445" s="172"/>
      <c r="K445" s="172"/>
      <c r="L445" s="172"/>
      <c r="M445" s="172"/>
      <c r="N445" s="172"/>
      <c r="O445" s="172"/>
      <c r="P445" s="172"/>
      <c r="Q445" s="172"/>
      <c r="R445" s="172"/>
      <c r="S445" s="172"/>
      <c r="T445" s="172"/>
      <c r="U445" s="172"/>
      <c r="V445" s="172"/>
      <c r="W445" s="172"/>
      <c r="X445" s="172"/>
      <c r="Y445" s="172"/>
      <c r="Z445" s="172"/>
    </row>
    <row r="446">
      <c r="A446" s="172"/>
      <c r="B446" s="172"/>
      <c r="C446" s="172"/>
      <c r="D446" s="172"/>
      <c r="E446" s="172"/>
      <c r="F446" s="172"/>
      <c r="G446" s="172"/>
      <c r="H446" s="172"/>
      <c r="I446" s="172"/>
      <c r="J446" s="172"/>
      <c r="K446" s="172"/>
      <c r="L446" s="172"/>
      <c r="M446" s="172"/>
      <c r="N446" s="172"/>
      <c r="O446" s="172"/>
      <c r="P446" s="172"/>
      <c r="Q446" s="172"/>
      <c r="R446" s="172"/>
      <c r="S446" s="172"/>
      <c r="T446" s="172"/>
      <c r="U446" s="172"/>
      <c r="V446" s="172"/>
      <c r="W446" s="172"/>
      <c r="X446" s="172"/>
      <c r="Y446" s="172"/>
      <c r="Z446" s="172"/>
    </row>
    <row r="447">
      <c r="A447" s="172"/>
      <c r="B447" s="172"/>
      <c r="C447" s="172"/>
      <c r="D447" s="172"/>
      <c r="E447" s="172"/>
      <c r="F447" s="172"/>
      <c r="G447" s="172"/>
      <c r="H447" s="172"/>
      <c r="I447" s="172"/>
      <c r="J447" s="172"/>
      <c r="K447" s="172"/>
      <c r="L447" s="172"/>
      <c r="M447" s="172"/>
      <c r="N447" s="172"/>
      <c r="O447" s="172"/>
      <c r="P447" s="172"/>
      <c r="Q447" s="172"/>
      <c r="R447" s="172"/>
      <c r="S447" s="172"/>
      <c r="T447" s="172"/>
      <c r="U447" s="172"/>
      <c r="V447" s="172"/>
      <c r="W447" s="172"/>
      <c r="X447" s="172"/>
      <c r="Y447" s="172"/>
      <c r="Z447" s="172"/>
    </row>
    <row r="448">
      <c r="A448" s="172"/>
      <c r="B448" s="172"/>
      <c r="C448" s="172"/>
      <c r="D448" s="172"/>
      <c r="E448" s="172"/>
      <c r="F448" s="172"/>
      <c r="G448" s="172"/>
      <c r="H448" s="172"/>
      <c r="I448" s="172"/>
      <c r="J448" s="172"/>
      <c r="K448" s="172"/>
      <c r="L448" s="172"/>
      <c r="M448" s="172"/>
      <c r="N448" s="172"/>
      <c r="O448" s="172"/>
      <c r="P448" s="172"/>
      <c r="Q448" s="172"/>
      <c r="R448" s="172"/>
      <c r="S448" s="172"/>
      <c r="T448" s="172"/>
      <c r="U448" s="172"/>
      <c r="V448" s="172"/>
      <c r="W448" s="172"/>
      <c r="X448" s="172"/>
      <c r="Y448" s="172"/>
      <c r="Z448" s="172"/>
    </row>
    <row r="449">
      <c r="A449" s="172"/>
      <c r="B449" s="172"/>
      <c r="C449" s="172"/>
      <c r="D449" s="172"/>
      <c r="E449" s="172"/>
      <c r="F449" s="172"/>
      <c r="G449" s="172"/>
      <c r="H449" s="172"/>
      <c r="I449" s="172"/>
      <c r="J449" s="172"/>
      <c r="K449" s="172"/>
      <c r="L449" s="172"/>
      <c r="M449" s="172"/>
      <c r="N449" s="172"/>
      <c r="O449" s="172"/>
      <c r="P449" s="172"/>
      <c r="Q449" s="172"/>
      <c r="R449" s="172"/>
      <c r="S449" s="172"/>
      <c r="T449" s="172"/>
      <c r="U449" s="172"/>
      <c r="V449" s="172"/>
      <c r="W449" s="172"/>
      <c r="X449" s="172"/>
      <c r="Y449" s="172"/>
      <c r="Z449" s="172"/>
    </row>
    <row r="450">
      <c r="A450" s="172"/>
      <c r="B450" s="172"/>
      <c r="C450" s="172"/>
      <c r="D450" s="172"/>
      <c r="E450" s="172"/>
      <c r="F450" s="172"/>
      <c r="G450" s="172"/>
      <c r="H450" s="172"/>
      <c r="I450" s="172"/>
      <c r="J450" s="172"/>
      <c r="K450" s="172"/>
      <c r="L450" s="172"/>
      <c r="M450" s="172"/>
      <c r="N450" s="172"/>
      <c r="O450" s="172"/>
      <c r="P450" s="172"/>
      <c r="Q450" s="172"/>
      <c r="R450" s="172"/>
      <c r="S450" s="172"/>
      <c r="T450" s="172"/>
      <c r="U450" s="172"/>
      <c r="V450" s="172"/>
      <c r="W450" s="172"/>
      <c r="X450" s="172"/>
      <c r="Y450" s="172"/>
      <c r="Z450" s="172"/>
    </row>
    <row r="451">
      <c r="A451" s="172"/>
      <c r="B451" s="172"/>
      <c r="C451" s="172"/>
      <c r="D451" s="172"/>
      <c r="E451" s="172"/>
      <c r="F451" s="172"/>
      <c r="G451" s="172"/>
      <c r="H451" s="172"/>
      <c r="I451" s="172"/>
      <c r="J451" s="172"/>
      <c r="K451" s="172"/>
      <c r="L451" s="172"/>
      <c r="M451" s="172"/>
      <c r="N451" s="172"/>
      <c r="O451" s="172"/>
      <c r="P451" s="172"/>
      <c r="Q451" s="172"/>
      <c r="R451" s="172"/>
      <c r="S451" s="172"/>
      <c r="T451" s="172"/>
      <c r="U451" s="172"/>
      <c r="V451" s="172"/>
      <c r="W451" s="172"/>
      <c r="X451" s="172"/>
      <c r="Y451" s="172"/>
      <c r="Z451" s="172"/>
    </row>
    <row r="452">
      <c r="A452" s="172"/>
      <c r="B452" s="172"/>
      <c r="C452" s="172"/>
      <c r="D452" s="172"/>
      <c r="E452" s="172"/>
      <c r="F452" s="172"/>
      <c r="G452" s="172"/>
      <c r="H452" s="172"/>
      <c r="I452" s="172"/>
      <c r="J452" s="172"/>
      <c r="K452" s="172"/>
      <c r="L452" s="172"/>
      <c r="M452" s="172"/>
      <c r="N452" s="172"/>
      <c r="O452" s="172"/>
      <c r="P452" s="172"/>
      <c r="Q452" s="172"/>
      <c r="R452" s="172"/>
      <c r="S452" s="172"/>
      <c r="T452" s="172"/>
      <c r="U452" s="172"/>
      <c r="V452" s="172"/>
      <c r="W452" s="172"/>
      <c r="X452" s="172"/>
      <c r="Y452" s="172"/>
      <c r="Z452" s="172"/>
    </row>
    <row r="453">
      <c r="A453" s="172"/>
      <c r="B453" s="172"/>
      <c r="C453" s="172"/>
      <c r="D453" s="172"/>
      <c r="E453" s="172"/>
      <c r="F453" s="172"/>
      <c r="G453" s="172"/>
      <c r="H453" s="172"/>
      <c r="I453" s="172"/>
      <c r="J453" s="172"/>
      <c r="K453" s="172"/>
      <c r="L453" s="172"/>
      <c r="M453" s="172"/>
      <c r="N453" s="172"/>
      <c r="O453" s="172"/>
      <c r="P453" s="172"/>
      <c r="Q453" s="172"/>
      <c r="R453" s="172"/>
      <c r="S453" s="172"/>
      <c r="T453" s="172"/>
      <c r="U453" s="172"/>
      <c r="V453" s="172"/>
      <c r="W453" s="172"/>
      <c r="X453" s="172"/>
      <c r="Y453" s="172"/>
      <c r="Z453" s="172"/>
    </row>
    <row r="454">
      <c r="A454" s="172"/>
      <c r="B454" s="172"/>
      <c r="C454" s="172"/>
      <c r="D454" s="172"/>
      <c r="E454" s="172"/>
      <c r="F454" s="172"/>
      <c r="G454" s="172"/>
      <c r="H454" s="172"/>
      <c r="I454" s="172"/>
      <c r="J454" s="172"/>
      <c r="K454" s="172"/>
      <c r="L454" s="172"/>
      <c r="M454" s="172"/>
      <c r="N454" s="172"/>
      <c r="O454" s="172"/>
      <c r="P454" s="172"/>
      <c r="Q454" s="172"/>
      <c r="R454" s="172"/>
      <c r="S454" s="172"/>
      <c r="T454" s="172"/>
      <c r="U454" s="172"/>
      <c r="V454" s="172"/>
      <c r="W454" s="172"/>
      <c r="X454" s="172"/>
      <c r="Y454" s="172"/>
      <c r="Z454" s="172"/>
    </row>
    <row r="455">
      <c r="A455" s="172"/>
      <c r="B455" s="172"/>
      <c r="C455" s="172"/>
      <c r="D455" s="172"/>
      <c r="E455" s="172"/>
      <c r="F455" s="172"/>
      <c r="G455" s="172"/>
      <c r="H455" s="172"/>
      <c r="I455" s="172"/>
      <c r="J455" s="172"/>
      <c r="K455" s="172"/>
      <c r="L455" s="172"/>
      <c r="M455" s="172"/>
      <c r="N455" s="172"/>
      <c r="O455" s="172"/>
      <c r="P455" s="172"/>
      <c r="Q455" s="172"/>
      <c r="R455" s="172"/>
      <c r="S455" s="172"/>
      <c r="T455" s="172"/>
      <c r="U455" s="172"/>
      <c r="V455" s="172"/>
      <c r="W455" s="172"/>
      <c r="X455" s="172"/>
      <c r="Y455" s="172"/>
      <c r="Z455" s="172"/>
    </row>
    <row r="456">
      <c r="A456" s="172"/>
      <c r="B456" s="172"/>
      <c r="C456" s="172"/>
      <c r="D456" s="172"/>
      <c r="E456" s="172"/>
      <c r="F456" s="172"/>
      <c r="G456" s="172"/>
      <c r="H456" s="172"/>
      <c r="I456" s="172"/>
      <c r="J456" s="172"/>
      <c r="K456" s="172"/>
      <c r="L456" s="172"/>
      <c r="M456" s="172"/>
      <c r="N456" s="172"/>
      <c r="O456" s="172"/>
      <c r="P456" s="172"/>
      <c r="Q456" s="172"/>
      <c r="R456" s="172"/>
      <c r="S456" s="172"/>
      <c r="T456" s="172"/>
      <c r="U456" s="172"/>
      <c r="V456" s="172"/>
      <c r="W456" s="172"/>
      <c r="X456" s="172"/>
      <c r="Y456" s="172"/>
      <c r="Z456" s="172"/>
    </row>
    <row r="457">
      <c r="A457" s="172"/>
      <c r="B457" s="172"/>
      <c r="C457" s="172"/>
      <c r="D457" s="172"/>
      <c r="E457" s="172"/>
      <c r="F457" s="172"/>
      <c r="G457" s="172"/>
      <c r="H457" s="172"/>
      <c r="I457" s="172"/>
      <c r="J457" s="172"/>
      <c r="K457" s="172"/>
      <c r="L457" s="172"/>
      <c r="M457" s="172"/>
      <c r="N457" s="172"/>
      <c r="O457" s="172"/>
      <c r="P457" s="172"/>
      <c r="Q457" s="172"/>
      <c r="R457" s="172"/>
      <c r="S457" s="172"/>
      <c r="T457" s="172"/>
      <c r="U457" s="172"/>
      <c r="V457" s="172"/>
      <c r="W457" s="172"/>
      <c r="X457" s="172"/>
      <c r="Y457" s="172"/>
      <c r="Z457" s="172"/>
    </row>
    <row r="458">
      <c r="A458" s="172"/>
      <c r="B458" s="172"/>
      <c r="C458" s="172"/>
      <c r="D458" s="172"/>
      <c r="E458" s="172"/>
      <c r="F458" s="172"/>
      <c r="G458" s="172"/>
      <c r="H458" s="172"/>
      <c r="I458" s="172"/>
      <c r="J458" s="172"/>
      <c r="K458" s="172"/>
      <c r="L458" s="172"/>
      <c r="M458" s="172"/>
      <c r="N458" s="172"/>
      <c r="O458" s="172"/>
      <c r="P458" s="172"/>
      <c r="Q458" s="172"/>
      <c r="R458" s="172"/>
      <c r="S458" s="172"/>
      <c r="T458" s="172"/>
      <c r="U458" s="172"/>
      <c r="V458" s="172"/>
      <c r="W458" s="172"/>
      <c r="X458" s="172"/>
      <c r="Y458" s="172"/>
      <c r="Z458" s="172"/>
    </row>
    <row r="459">
      <c r="A459" s="172"/>
      <c r="B459" s="172"/>
      <c r="C459" s="172"/>
      <c r="D459" s="172"/>
      <c r="E459" s="172"/>
      <c r="F459" s="172"/>
      <c r="G459" s="172"/>
      <c r="H459" s="172"/>
      <c r="I459" s="172"/>
      <c r="J459" s="172"/>
      <c r="K459" s="172"/>
      <c r="L459" s="172"/>
      <c r="M459" s="172"/>
      <c r="N459" s="172"/>
      <c r="O459" s="172"/>
      <c r="P459" s="172"/>
      <c r="Q459" s="172"/>
      <c r="R459" s="172"/>
      <c r="S459" s="172"/>
      <c r="T459" s="172"/>
      <c r="U459" s="172"/>
      <c r="V459" s="172"/>
      <c r="W459" s="172"/>
      <c r="X459" s="172"/>
      <c r="Y459" s="172"/>
      <c r="Z459" s="172"/>
    </row>
    <row r="460">
      <c r="A460" s="172"/>
      <c r="B460" s="172"/>
      <c r="C460" s="172"/>
      <c r="D460" s="172"/>
      <c r="E460" s="172"/>
      <c r="F460" s="172"/>
      <c r="G460" s="172"/>
      <c r="H460" s="172"/>
      <c r="I460" s="172"/>
      <c r="J460" s="172"/>
      <c r="K460" s="172"/>
      <c r="L460" s="172"/>
      <c r="M460" s="172"/>
      <c r="N460" s="172"/>
      <c r="O460" s="172"/>
      <c r="P460" s="172"/>
      <c r="Q460" s="172"/>
      <c r="R460" s="172"/>
      <c r="S460" s="172"/>
      <c r="T460" s="172"/>
      <c r="U460" s="172"/>
      <c r="V460" s="172"/>
      <c r="W460" s="172"/>
      <c r="X460" s="172"/>
      <c r="Y460" s="172"/>
      <c r="Z460" s="172"/>
    </row>
    <row r="461">
      <c r="A461" s="172"/>
      <c r="B461" s="172"/>
      <c r="C461" s="172"/>
      <c r="D461" s="172"/>
      <c r="E461" s="172"/>
      <c r="F461" s="172"/>
      <c r="G461" s="172"/>
      <c r="H461" s="172"/>
      <c r="I461" s="172"/>
      <c r="J461" s="172"/>
      <c r="K461" s="172"/>
      <c r="L461" s="172"/>
      <c r="M461" s="172"/>
      <c r="N461" s="172"/>
      <c r="O461" s="172"/>
      <c r="P461" s="172"/>
      <c r="Q461" s="172"/>
      <c r="R461" s="172"/>
      <c r="S461" s="172"/>
      <c r="T461" s="172"/>
      <c r="U461" s="172"/>
      <c r="V461" s="172"/>
      <c r="W461" s="172"/>
      <c r="X461" s="172"/>
      <c r="Y461" s="172"/>
      <c r="Z461" s="172"/>
    </row>
    <row r="462">
      <c r="A462" s="172"/>
      <c r="B462" s="172"/>
      <c r="C462" s="172"/>
      <c r="D462" s="172"/>
      <c r="E462" s="172"/>
      <c r="F462" s="172"/>
      <c r="G462" s="172"/>
      <c r="H462" s="172"/>
      <c r="I462" s="172"/>
      <c r="J462" s="172"/>
      <c r="K462" s="172"/>
      <c r="L462" s="172"/>
      <c r="M462" s="172"/>
      <c r="N462" s="172"/>
      <c r="O462" s="172"/>
      <c r="P462" s="172"/>
      <c r="Q462" s="172"/>
      <c r="R462" s="172"/>
      <c r="S462" s="172"/>
      <c r="T462" s="172"/>
      <c r="U462" s="172"/>
      <c r="V462" s="172"/>
      <c r="W462" s="172"/>
      <c r="X462" s="172"/>
      <c r="Y462" s="172"/>
      <c r="Z462" s="172"/>
    </row>
    <row r="463">
      <c r="A463" s="172"/>
      <c r="B463" s="172"/>
      <c r="C463" s="172"/>
      <c r="D463" s="172"/>
      <c r="E463" s="172"/>
      <c r="F463" s="172"/>
      <c r="G463" s="172"/>
      <c r="H463" s="172"/>
      <c r="I463" s="172"/>
      <c r="J463" s="172"/>
      <c r="K463" s="172"/>
      <c r="L463" s="172"/>
      <c r="M463" s="172"/>
      <c r="N463" s="172"/>
      <c r="O463" s="172"/>
      <c r="P463" s="172"/>
      <c r="Q463" s="172"/>
      <c r="R463" s="172"/>
      <c r="S463" s="172"/>
      <c r="T463" s="172"/>
      <c r="U463" s="172"/>
      <c r="V463" s="172"/>
      <c r="W463" s="172"/>
      <c r="X463" s="172"/>
      <c r="Y463" s="172"/>
      <c r="Z463" s="172"/>
    </row>
    <row r="464">
      <c r="A464" s="172"/>
      <c r="B464" s="172"/>
      <c r="C464" s="172"/>
      <c r="D464" s="172"/>
      <c r="E464" s="172"/>
      <c r="F464" s="172"/>
      <c r="G464" s="172"/>
      <c r="H464" s="172"/>
      <c r="I464" s="172"/>
      <c r="J464" s="172"/>
      <c r="K464" s="172"/>
      <c r="L464" s="172"/>
      <c r="M464" s="172"/>
      <c r="N464" s="172"/>
      <c r="O464" s="172"/>
      <c r="P464" s="172"/>
      <c r="Q464" s="172"/>
      <c r="R464" s="172"/>
      <c r="S464" s="172"/>
      <c r="T464" s="172"/>
      <c r="U464" s="172"/>
      <c r="V464" s="172"/>
      <c r="W464" s="172"/>
      <c r="X464" s="172"/>
      <c r="Y464" s="172"/>
      <c r="Z464" s="172"/>
    </row>
    <row r="465">
      <c r="A465" s="172"/>
      <c r="B465" s="172"/>
      <c r="C465" s="172"/>
      <c r="D465" s="172"/>
      <c r="E465" s="172"/>
      <c r="F465" s="172"/>
      <c r="G465" s="172"/>
      <c r="H465" s="172"/>
      <c r="I465" s="172"/>
      <c r="J465" s="172"/>
      <c r="K465" s="172"/>
      <c r="L465" s="172"/>
      <c r="M465" s="172"/>
      <c r="N465" s="172"/>
      <c r="O465" s="172"/>
      <c r="P465" s="172"/>
      <c r="Q465" s="172"/>
      <c r="R465" s="172"/>
      <c r="S465" s="172"/>
      <c r="T465" s="172"/>
      <c r="U465" s="172"/>
      <c r="V465" s="172"/>
      <c r="W465" s="172"/>
      <c r="X465" s="172"/>
      <c r="Y465" s="172"/>
      <c r="Z465" s="172"/>
    </row>
    <row r="466">
      <c r="A466" s="172"/>
      <c r="B466" s="172"/>
      <c r="C466" s="172"/>
      <c r="D466" s="172"/>
      <c r="E466" s="172"/>
      <c r="F466" s="172"/>
      <c r="G466" s="172"/>
      <c r="H466" s="172"/>
      <c r="I466" s="172"/>
      <c r="J466" s="172"/>
      <c r="K466" s="172"/>
      <c r="L466" s="172"/>
      <c r="M466" s="172"/>
      <c r="N466" s="172"/>
      <c r="O466" s="172"/>
      <c r="P466" s="172"/>
      <c r="Q466" s="172"/>
      <c r="R466" s="172"/>
      <c r="S466" s="172"/>
      <c r="T466" s="172"/>
      <c r="U466" s="172"/>
      <c r="V466" s="172"/>
      <c r="W466" s="172"/>
      <c r="X466" s="172"/>
      <c r="Y466" s="172"/>
      <c r="Z466" s="172"/>
    </row>
    <row r="467">
      <c r="A467" s="172"/>
      <c r="B467" s="172"/>
      <c r="C467" s="172"/>
      <c r="D467" s="172"/>
      <c r="E467" s="172"/>
      <c r="F467" s="172"/>
      <c r="G467" s="172"/>
      <c r="H467" s="172"/>
      <c r="I467" s="172"/>
      <c r="J467" s="172"/>
      <c r="K467" s="172"/>
      <c r="L467" s="172"/>
      <c r="M467" s="172"/>
      <c r="N467" s="172"/>
      <c r="O467" s="172"/>
      <c r="P467" s="172"/>
      <c r="Q467" s="172"/>
      <c r="R467" s="172"/>
      <c r="S467" s="172"/>
      <c r="T467" s="172"/>
      <c r="U467" s="172"/>
      <c r="V467" s="172"/>
      <c r="W467" s="172"/>
      <c r="X467" s="172"/>
      <c r="Y467" s="172"/>
      <c r="Z467" s="172"/>
    </row>
    <row r="468">
      <c r="A468" s="172"/>
      <c r="B468" s="172"/>
      <c r="C468" s="172"/>
      <c r="D468" s="172"/>
      <c r="E468" s="172"/>
      <c r="F468" s="172"/>
      <c r="G468" s="172"/>
      <c r="H468" s="172"/>
      <c r="I468" s="172"/>
      <c r="J468" s="172"/>
      <c r="K468" s="172"/>
      <c r="L468" s="172"/>
      <c r="M468" s="172"/>
      <c r="N468" s="172"/>
      <c r="O468" s="172"/>
      <c r="P468" s="172"/>
      <c r="Q468" s="172"/>
      <c r="R468" s="172"/>
      <c r="S468" s="172"/>
      <c r="T468" s="172"/>
      <c r="U468" s="172"/>
      <c r="V468" s="172"/>
      <c r="W468" s="172"/>
      <c r="X468" s="172"/>
      <c r="Y468" s="172"/>
      <c r="Z468" s="172"/>
    </row>
    <row r="469">
      <c r="A469" s="172"/>
      <c r="B469" s="172"/>
      <c r="C469" s="172"/>
      <c r="D469" s="172"/>
      <c r="E469" s="172"/>
      <c r="F469" s="172"/>
      <c r="G469" s="172"/>
      <c r="H469" s="172"/>
      <c r="I469" s="172"/>
      <c r="J469" s="172"/>
      <c r="K469" s="172"/>
      <c r="L469" s="172"/>
      <c r="M469" s="172"/>
      <c r="N469" s="172"/>
      <c r="O469" s="172"/>
      <c r="P469" s="172"/>
      <c r="Q469" s="172"/>
      <c r="R469" s="172"/>
      <c r="S469" s="172"/>
      <c r="T469" s="172"/>
      <c r="U469" s="172"/>
      <c r="V469" s="172"/>
      <c r="W469" s="172"/>
      <c r="X469" s="172"/>
      <c r="Y469" s="172"/>
      <c r="Z469" s="172"/>
    </row>
    <row r="470">
      <c r="A470" s="172"/>
      <c r="B470" s="172"/>
      <c r="C470" s="172"/>
      <c r="D470" s="172"/>
      <c r="E470" s="172"/>
      <c r="F470" s="172"/>
      <c r="G470" s="172"/>
      <c r="H470" s="172"/>
      <c r="I470" s="172"/>
      <c r="J470" s="172"/>
      <c r="K470" s="172"/>
      <c r="L470" s="172"/>
      <c r="M470" s="172"/>
      <c r="N470" s="172"/>
      <c r="O470" s="172"/>
      <c r="P470" s="172"/>
      <c r="Q470" s="172"/>
      <c r="R470" s="172"/>
      <c r="S470" s="172"/>
      <c r="T470" s="172"/>
      <c r="U470" s="172"/>
      <c r="V470" s="172"/>
      <c r="W470" s="172"/>
      <c r="X470" s="172"/>
      <c r="Y470" s="172"/>
      <c r="Z470" s="172"/>
    </row>
    <row r="471">
      <c r="A471" s="172"/>
      <c r="B471" s="172"/>
      <c r="C471" s="172"/>
      <c r="D471" s="172"/>
      <c r="E471" s="172"/>
      <c r="F471" s="172"/>
      <c r="G471" s="172"/>
      <c r="H471" s="172"/>
      <c r="I471" s="172"/>
      <c r="J471" s="172"/>
      <c r="K471" s="172"/>
      <c r="L471" s="172"/>
      <c r="M471" s="172"/>
      <c r="N471" s="172"/>
      <c r="O471" s="172"/>
      <c r="P471" s="172"/>
      <c r="Q471" s="172"/>
      <c r="R471" s="172"/>
      <c r="S471" s="172"/>
      <c r="T471" s="172"/>
      <c r="U471" s="172"/>
      <c r="V471" s="172"/>
      <c r="W471" s="172"/>
      <c r="X471" s="172"/>
      <c r="Y471" s="172"/>
      <c r="Z471" s="172"/>
    </row>
    <row r="472">
      <c r="A472" s="172"/>
      <c r="B472" s="172"/>
      <c r="C472" s="172"/>
      <c r="D472" s="172"/>
      <c r="E472" s="172"/>
      <c r="F472" s="172"/>
      <c r="G472" s="172"/>
      <c r="H472" s="172"/>
      <c r="I472" s="172"/>
      <c r="J472" s="172"/>
      <c r="K472" s="172"/>
      <c r="L472" s="172"/>
      <c r="M472" s="172"/>
      <c r="N472" s="172"/>
      <c r="O472" s="172"/>
      <c r="P472" s="172"/>
      <c r="Q472" s="172"/>
      <c r="R472" s="172"/>
      <c r="S472" s="172"/>
      <c r="T472" s="172"/>
      <c r="U472" s="172"/>
      <c r="V472" s="172"/>
      <c r="W472" s="172"/>
      <c r="X472" s="172"/>
      <c r="Y472" s="172"/>
      <c r="Z472" s="172"/>
    </row>
    <row r="473">
      <c r="A473" s="172"/>
      <c r="B473" s="172"/>
      <c r="C473" s="172"/>
      <c r="D473" s="172"/>
      <c r="E473" s="172"/>
      <c r="F473" s="172"/>
      <c r="G473" s="172"/>
      <c r="H473" s="172"/>
      <c r="I473" s="172"/>
      <c r="J473" s="172"/>
      <c r="K473" s="172"/>
      <c r="L473" s="172"/>
      <c r="M473" s="172"/>
      <c r="N473" s="172"/>
      <c r="O473" s="172"/>
      <c r="P473" s="172"/>
      <c r="Q473" s="172"/>
      <c r="R473" s="172"/>
      <c r="S473" s="172"/>
      <c r="T473" s="172"/>
      <c r="U473" s="172"/>
      <c r="V473" s="172"/>
      <c r="W473" s="172"/>
      <c r="X473" s="172"/>
      <c r="Y473" s="172"/>
      <c r="Z473" s="172"/>
    </row>
    <row r="474">
      <c r="A474" s="172"/>
      <c r="B474" s="172"/>
      <c r="C474" s="172"/>
      <c r="D474" s="172"/>
      <c r="E474" s="172"/>
      <c r="F474" s="172"/>
      <c r="G474" s="172"/>
      <c r="H474" s="172"/>
      <c r="I474" s="172"/>
      <c r="J474" s="172"/>
      <c r="K474" s="172"/>
      <c r="L474" s="172"/>
      <c r="M474" s="172"/>
      <c r="N474" s="172"/>
      <c r="O474" s="172"/>
      <c r="P474" s="172"/>
      <c r="Q474" s="172"/>
      <c r="R474" s="172"/>
      <c r="S474" s="172"/>
      <c r="T474" s="172"/>
      <c r="U474" s="172"/>
      <c r="V474" s="172"/>
      <c r="W474" s="172"/>
      <c r="X474" s="172"/>
      <c r="Y474" s="172"/>
      <c r="Z474" s="172"/>
    </row>
    <row r="475">
      <c r="A475" s="172"/>
      <c r="B475" s="172"/>
      <c r="C475" s="172"/>
      <c r="D475" s="172"/>
      <c r="E475" s="172"/>
      <c r="F475" s="172"/>
      <c r="G475" s="172"/>
      <c r="H475" s="172"/>
      <c r="I475" s="172"/>
      <c r="J475" s="172"/>
      <c r="K475" s="172"/>
      <c r="L475" s="172"/>
      <c r="M475" s="172"/>
      <c r="N475" s="172"/>
      <c r="O475" s="172"/>
      <c r="P475" s="172"/>
      <c r="Q475" s="172"/>
      <c r="R475" s="172"/>
      <c r="S475" s="172"/>
      <c r="T475" s="172"/>
      <c r="U475" s="172"/>
      <c r="V475" s="172"/>
      <c r="W475" s="172"/>
      <c r="X475" s="172"/>
      <c r="Y475" s="172"/>
      <c r="Z475" s="172"/>
    </row>
    <row r="476">
      <c r="A476" s="172"/>
      <c r="B476" s="172"/>
      <c r="C476" s="172"/>
      <c r="D476" s="172"/>
      <c r="E476" s="172"/>
      <c r="F476" s="172"/>
      <c r="G476" s="172"/>
      <c r="H476" s="172"/>
      <c r="I476" s="172"/>
      <c r="J476" s="172"/>
      <c r="K476" s="172"/>
      <c r="L476" s="172"/>
      <c r="M476" s="172"/>
      <c r="N476" s="172"/>
      <c r="O476" s="172"/>
      <c r="P476" s="172"/>
      <c r="Q476" s="172"/>
      <c r="R476" s="172"/>
      <c r="S476" s="172"/>
      <c r="T476" s="172"/>
      <c r="U476" s="172"/>
      <c r="V476" s="172"/>
      <c r="W476" s="172"/>
      <c r="X476" s="172"/>
      <c r="Y476" s="172"/>
      <c r="Z476" s="172"/>
    </row>
    <row r="477">
      <c r="A477" s="172"/>
      <c r="B477" s="172"/>
      <c r="C477" s="172"/>
      <c r="D477" s="172"/>
      <c r="E477" s="172"/>
      <c r="F477" s="172"/>
      <c r="G477" s="172"/>
      <c r="H477" s="172"/>
      <c r="I477" s="172"/>
      <c r="J477" s="172"/>
      <c r="K477" s="172"/>
      <c r="L477" s="172"/>
      <c r="M477" s="172"/>
      <c r="N477" s="172"/>
      <c r="O477" s="172"/>
      <c r="P477" s="172"/>
      <c r="Q477" s="172"/>
      <c r="R477" s="172"/>
      <c r="S477" s="172"/>
      <c r="T477" s="172"/>
      <c r="U477" s="172"/>
      <c r="V477" s="172"/>
      <c r="W477" s="172"/>
      <c r="X477" s="172"/>
      <c r="Y477" s="172"/>
      <c r="Z477" s="172"/>
    </row>
    <row r="478">
      <c r="A478" s="172"/>
      <c r="B478" s="172"/>
      <c r="C478" s="172"/>
      <c r="D478" s="172"/>
      <c r="E478" s="172"/>
      <c r="F478" s="172"/>
      <c r="G478" s="172"/>
      <c r="H478" s="172"/>
      <c r="I478" s="172"/>
      <c r="J478" s="172"/>
      <c r="K478" s="172"/>
      <c r="L478" s="172"/>
      <c r="M478" s="172"/>
      <c r="N478" s="172"/>
      <c r="O478" s="172"/>
      <c r="P478" s="172"/>
      <c r="Q478" s="172"/>
      <c r="R478" s="172"/>
      <c r="S478" s="172"/>
      <c r="T478" s="172"/>
      <c r="U478" s="172"/>
      <c r="V478" s="172"/>
      <c r="W478" s="172"/>
      <c r="X478" s="172"/>
      <c r="Y478" s="172"/>
      <c r="Z478" s="172"/>
    </row>
    <row r="479">
      <c r="A479" s="172"/>
      <c r="B479" s="172"/>
      <c r="C479" s="172"/>
      <c r="D479" s="172"/>
      <c r="E479" s="172"/>
      <c r="F479" s="172"/>
      <c r="G479" s="172"/>
      <c r="H479" s="172"/>
      <c r="I479" s="172"/>
      <c r="J479" s="172"/>
      <c r="K479" s="172"/>
      <c r="L479" s="172"/>
      <c r="M479" s="172"/>
      <c r="N479" s="172"/>
      <c r="O479" s="172"/>
      <c r="P479" s="172"/>
      <c r="Q479" s="172"/>
      <c r="R479" s="172"/>
      <c r="S479" s="172"/>
      <c r="T479" s="172"/>
      <c r="U479" s="172"/>
      <c r="V479" s="172"/>
      <c r="W479" s="172"/>
      <c r="X479" s="172"/>
      <c r="Y479" s="172"/>
      <c r="Z479" s="172"/>
    </row>
    <row r="480">
      <c r="A480" s="172"/>
      <c r="B480" s="172"/>
      <c r="C480" s="172"/>
      <c r="D480" s="172"/>
      <c r="E480" s="172"/>
      <c r="F480" s="172"/>
      <c r="G480" s="172"/>
      <c r="H480" s="172"/>
      <c r="I480" s="172"/>
      <c r="J480" s="172"/>
      <c r="K480" s="172"/>
      <c r="L480" s="172"/>
      <c r="M480" s="172"/>
      <c r="N480" s="172"/>
      <c r="O480" s="172"/>
      <c r="P480" s="172"/>
      <c r="Q480" s="172"/>
      <c r="R480" s="172"/>
      <c r="S480" s="172"/>
      <c r="T480" s="172"/>
      <c r="U480" s="172"/>
      <c r="V480" s="172"/>
      <c r="W480" s="172"/>
      <c r="X480" s="172"/>
      <c r="Y480" s="172"/>
      <c r="Z480" s="172"/>
    </row>
    <row r="481">
      <c r="A481" s="172"/>
      <c r="B481" s="172"/>
      <c r="C481" s="172"/>
      <c r="D481" s="172"/>
      <c r="E481" s="172"/>
      <c r="F481" s="172"/>
      <c r="G481" s="172"/>
      <c r="H481" s="172"/>
      <c r="I481" s="172"/>
      <c r="J481" s="172"/>
      <c r="K481" s="172"/>
      <c r="L481" s="172"/>
      <c r="M481" s="172"/>
      <c r="N481" s="172"/>
      <c r="O481" s="172"/>
      <c r="P481" s="172"/>
      <c r="Q481" s="172"/>
      <c r="R481" s="172"/>
      <c r="S481" s="172"/>
      <c r="T481" s="172"/>
      <c r="U481" s="172"/>
      <c r="V481" s="172"/>
      <c r="W481" s="172"/>
      <c r="X481" s="172"/>
      <c r="Y481" s="172"/>
      <c r="Z481" s="172"/>
    </row>
    <row r="482">
      <c r="A482" s="172"/>
      <c r="B482" s="172"/>
      <c r="C482" s="172"/>
      <c r="D482" s="172"/>
      <c r="E482" s="172"/>
      <c r="F482" s="172"/>
      <c r="G482" s="172"/>
      <c r="H482" s="172"/>
      <c r="I482" s="172"/>
      <c r="J482" s="172"/>
      <c r="K482" s="172"/>
      <c r="L482" s="172"/>
      <c r="M482" s="172"/>
      <c r="N482" s="172"/>
      <c r="O482" s="172"/>
      <c r="P482" s="172"/>
      <c r="Q482" s="172"/>
      <c r="R482" s="172"/>
      <c r="S482" s="172"/>
      <c r="T482" s="172"/>
      <c r="U482" s="172"/>
      <c r="V482" s="172"/>
      <c r="W482" s="172"/>
      <c r="X482" s="172"/>
      <c r="Y482" s="172"/>
      <c r="Z482" s="172"/>
    </row>
    <row r="483">
      <c r="A483" s="172"/>
      <c r="B483" s="172"/>
      <c r="C483" s="172"/>
      <c r="D483" s="172"/>
      <c r="E483" s="172"/>
      <c r="F483" s="172"/>
      <c r="G483" s="172"/>
      <c r="H483" s="172"/>
      <c r="I483" s="172"/>
      <c r="J483" s="172"/>
      <c r="K483" s="172"/>
      <c r="L483" s="172"/>
      <c r="M483" s="172"/>
      <c r="N483" s="172"/>
      <c r="O483" s="172"/>
      <c r="P483" s="172"/>
      <c r="Q483" s="172"/>
      <c r="R483" s="172"/>
      <c r="S483" s="172"/>
      <c r="T483" s="172"/>
      <c r="U483" s="172"/>
      <c r="V483" s="172"/>
      <c r="W483" s="172"/>
      <c r="X483" s="172"/>
      <c r="Y483" s="172"/>
      <c r="Z483" s="172"/>
    </row>
    <row r="484">
      <c r="A484" s="172"/>
      <c r="B484" s="172"/>
      <c r="C484" s="172"/>
      <c r="D484" s="172"/>
      <c r="E484" s="172"/>
      <c r="F484" s="172"/>
      <c r="G484" s="172"/>
      <c r="H484" s="172"/>
      <c r="I484" s="172"/>
      <c r="J484" s="172"/>
      <c r="K484" s="172"/>
      <c r="L484" s="172"/>
      <c r="M484" s="172"/>
      <c r="N484" s="172"/>
      <c r="O484" s="172"/>
      <c r="P484" s="172"/>
      <c r="Q484" s="172"/>
      <c r="R484" s="172"/>
      <c r="S484" s="172"/>
      <c r="T484" s="172"/>
      <c r="U484" s="172"/>
      <c r="V484" s="172"/>
      <c r="W484" s="172"/>
      <c r="X484" s="172"/>
      <c r="Y484" s="172"/>
      <c r="Z484" s="172"/>
    </row>
    <row r="485">
      <c r="A485" s="172"/>
      <c r="B485" s="172"/>
      <c r="C485" s="172"/>
      <c r="D485" s="172"/>
      <c r="E485" s="172"/>
      <c r="F485" s="172"/>
      <c r="G485" s="172"/>
      <c r="H485" s="172"/>
      <c r="I485" s="172"/>
      <c r="J485" s="172"/>
      <c r="K485" s="172"/>
      <c r="L485" s="172"/>
      <c r="M485" s="172"/>
      <c r="N485" s="172"/>
      <c r="O485" s="172"/>
      <c r="P485" s="172"/>
      <c r="Q485" s="172"/>
      <c r="R485" s="172"/>
      <c r="S485" s="172"/>
      <c r="T485" s="172"/>
      <c r="U485" s="172"/>
      <c r="V485" s="172"/>
      <c r="W485" s="172"/>
      <c r="X485" s="172"/>
      <c r="Y485" s="172"/>
      <c r="Z485" s="172"/>
    </row>
    <row r="486">
      <c r="A486" s="172"/>
      <c r="B486" s="172"/>
      <c r="C486" s="172"/>
      <c r="D486" s="172"/>
      <c r="E486" s="172"/>
      <c r="F486" s="172"/>
      <c r="G486" s="172"/>
      <c r="H486" s="172"/>
      <c r="I486" s="172"/>
      <c r="J486" s="172"/>
      <c r="K486" s="172"/>
      <c r="L486" s="172"/>
      <c r="M486" s="172"/>
      <c r="N486" s="172"/>
      <c r="O486" s="172"/>
      <c r="P486" s="172"/>
      <c r="Q486" s="172"/>
      <c r="R486" s="172"/>
      <c r="S486" s="172"/>
      <c r="T486" s="172"/>
      <c r="U486" s="172"/>
      <c r="V486" s="172"/>
      <c r="W486" s="172"/>
      <c r="X486" s="172"/>
      <c r="Y486" s="172"/>
      <c r="Z486" s="172"/>
    </row>
    <row r="487">
      <c r="A487" s="172"/>
      <c r="B487" s="172"/>
      <c r="C487" s="172"/>
      <c r="D487" s="172"/>
      <c r="E487" s="172"/>
      <c r="F487" s="172"/>
      <c r="G487" s="172"/>
      <c r="H487" s="172"/>
      <c r="I487" s="172"/>
      <c r="J487" s="172"/>
      <c r="K487" s="172"/>
      <c r="L487" s="172"/>
      <c r="M487" s="172"/>
      <c r="N487" s="172"/>
      <c r="O487" s="172"/>
      <c r="P487" s="172"/>
      <c r="Q487" s="172"/>
      <c r="R487" s="172"/>
      <c r="S487" s="172"/>
      <c r="T487" s="172"/>
      <c r="U487" s="172"/>
      <c r="V487" s="172"/>
      <c r="W487" s="172"/>
      <c r="X487" s="172"/>
      <c r="Y487" s="172"/>
      <c r="Z487" s="172"/>
    </row>
    <row r="488">
      <c r="A488" s="172"/>
      <c r="B488" s="172"/>
      <c r="C488" s="172"/>
      <c r="D488" s="172"/>
      <c r="E488" s="172"/>
      <c r="F488" s="172"/>
      <c r="G488" s="172"/>
      <c r="H488" s="172"/>
      <c r="I488" s="172"/>
      <c r="J488" s="172"/>
      <c r="K488" s="172"/>
      <c r="L488" s="172"/>
      <c r="M488" s="172"/>
      <c r="N488" s="172"/>
      <c r="O488" s="172"/>
      <c r="P488" s="172"/>
      <c r="Q488" s="172"/>
      <c r="R488" s="172"/>
      <c r="S488" s="172"/>
      <c r="T488" s="172"/>
      <c r="U488" s="172"/>
      <c r="V488" s="172"/>
      <c r="W488" s="172"/>
      <c r="X488" s="172"/>
      <c r="Y488" s="172"/>
      <c r="Z488" s="172"/>
    </row>
    <row r="489">
      <c r="A489" s="172"/>
      <c r="B489" s="172"/>
      <c r="C489" s="172"/>
      <c r="D489" s="172"/>
      <c r="E489" s="172"/>
      <c r="F489" s="172"/>
      <c r="G489" s="172"/>
      <c r="H489" s="172"/>
      <c r="I489" s="172"/>
      <c r="J489" s="172"/>
      <c r="K489" s="172"/>
      <c r="L489" s="172"/>
      <c r="M489" s="172"/>
      <c r="N489" s="172"/>
      <c r="O489" s="172"/>
      <c r="P489" s="172"/>
      <c r="Q489" s="172"/>
      <c r="R489" s="172"/>
      <c r="S489" s="172"/>
      <c r="T489" s="172"/>
      <c r="U489" s="172"/>
      <c r="V489" s="172"/>
      <c r="W489" s="172"/>
      <c r="X489" s="172"/>
      <c r="Y489" s="172"/>
      <c r="Z489" s="172"/>
    </row>
    <row r="490">
      <c r="A490" s="172"/>
      <c r="B490" s="172"/>
      <c r="C490" s="172"/>
      <c r="D490" s="172"/>
      <c r="E490" s="172"/>
      <c r="F490" s="172"/>
      <c r="G490" s="172"/>
      <c r="H490" s="172"/>
      <c r="I490" s="172"/>
      <c r="J490" s="172"/>
      <c r="K490" s="172"/>
      <c r="L490" s="172"/>
      <c r="M490" s="172"/>
      <c r="N490" s="172"/>
      <c r="O490" s="172"/>
      <c r="P490" s="172"/>
      <c r="Q490" s="172"/>
      <c r="R490" s="172"/>
      <c r="S490" s="172"/>
      <c r="T490" s="172"/>
      <c r="U490" s="172"/>
      <c r="V490" s="172"/>
      <c r="W490" s="172"/>
      <c r="X490" s="172"/>
      <c r="Y490" s="172"/>
      <c r="Z490" s="172"/>
    </row>
    <row r="491">
      <c r="A491" s="172"/>
      <c r="B491" s="172"/>
      <c r="C491" s="172"/>
      <c r="D491" s="172"/>
      <c r="E491" s="172"/>
      <c r="F491" s="172"/>
      <c r="G491" s="172"/>
      <c r="H491" s="172"/>
      <c r="I491" s="172"/>
      <c r="J491" s="172"/>
      <c r="K491" s="172"/>
      <c r="L491" s="172"/>
      <c r="M491" s="172"/>
      <c r="N491" s="172"/>
      <c r="O491" s="172"/>
      <c r="P491" s="172"/>
      <c r="Q491" s="172"/>
      <c r="R491" s="172"/>
      <c r="S491" s="172"/>
      <c r="T491" s="172"/>
      <c r="U491" s="172"/>
      <c r="V491" s="172"/>
      <c r="W491" s="172"/>
      <c r="X491" s="172"/>
      <c r="Y491" s="172"/>
      <c r="Z491" s="172"/>
    </row>
    <row r="492">
      <c r="A492" s="172"/>
      <c r="B492" s="172"/>
      <c r="C492" s="172"/>
      <c r="D492" s="172"/>
      <c r="E492" s="172"/>
      <c r="F492" s="172"/>
      <c r="G492" s="172"/>
      <c r="H492" s="172"/>
      <c r="I492" s="172"/>
      <c r="J492" s="172"/>
      <c r="K492" s="172"/>
      <c r="L492" s="172"/>
      <c r="M492" s="172"/>
      <c r="N492" s="172"/>
      <c r="O492" s="172"/>
      <c r="P492" s="172"/>
      <c r="Q492" s="172"/>
      <c r="R492" s="172"/>
      <c r="S492" s="172"/>
      <c r="T492" s="172"/>
      <c r="U492" s="172"/>
      <c r="V492" s="172"/>
      <c r="W492" s="172"/>
      <c r="X492" s="172"/>
      <c r="Y492" s="172"/>
      <c r="Z492" s="172"/>
    </row>
    <row r="493">
      <c r="A493" s="172"/>
      <c r="B493" s="172"/>
      <c r="C493" s="172"/>
      <c r="D493" s="172"/>
      <c r="E493" s="172"/>
      <c r="F493" s="172"/>
      <c r="G493" s="172"/>
      <c r="H493" s="172"/>
      <c r="I493" s="172"/>
      <c r="J493" s="172"/>
      <c r="K493" s="172"/>
      <c r="L493" s="172"/>
      <c r="M493" s="172"/>
      <c r="N493" s="172"/>
      <c r="O493" s="172"/>
      <c r="P493" s="172"/>
      <c r="Q493" s="172"/>
      <c r="R493" s="172"/>
      <c r="S493" s="172"/>
      <c r="T493" s="172"/>
      <c r="U493" s="172"/>
      <c r="V493" s="172"/>
      <c r="W493" s="172"/>
      <c r="X493" s="172"/>
      <c r="Y493" s="172"/>
      <c r="Z493" s="172"/>
    </row>
    <row r="494">
      <c r="A494" s="172"/>
      <c r="B494" s="172"/>
      <c r="C494" s="172"/>
      <c r="D494" s="172"/>
      <c r="E494" s="172"/>
      <c r="F494" s="172"/>
      <c r="G494" s="172"/>
      <c r="H494" s="172"/>
      <c r="I494" s="172"/>
      <c r="J494" s="172"/>
      <c r="K494" s="172"/>
      <c r="L494" s="172"/>
      <c r="M494" s="172"/>
      <c r="N494" s="172"/>
      <c r="O494" s="172"/>
      <c r="P494" s="172"/>
      <c r="Q494" s="172"/>
      <c r="R494" s="172"/>
      <c r="S494" s="172"/>
      <c r="T494" s="172"/>
      <c r="U494" s="172"/>
      <c r="V494" s="172"/>
      <c r="W494" s="172"/>
      <c r="X494" s="172"/>
      <c r="Y494" s="172"/>
      <c r="Z494" s="172"/>
    </row>
    <row r="495">
      <c r="A495" s="172"/>
      <c r="B495" s="172"/>
      <c r="C495" s="172"/>
      <c r="D495" s="172"/>
      <c r="E495" s="172"/>
      <c r="F495" s="172"/>
      <c r="G495" s="172"/>
      <c r="H495" s="172"/>
      <c r="I495" s="172"/>
      <c r="J495" s="172"/>
      <c r="K495" s="172"/>
      <c r="L495" s="172"/>
      <c r="M495" s="172"/>
      <c r="N495" s="172"/>
      <c r="O495" s="172"/>
      <c r="P495" s="172"/>
      <c r="Q495" s="172"/>
      <c r="R495" s="172"/>
      <c r="S495" s="172"/>
      <c r="T495" s="172"/>
      <c r="U495" s="172"/>
      <c r="V495" s="172"/>
      <c r="W495" s="172"/>
      <c r="X495" s="172"/>
      <c r="Y495" s="172"/>
      <c r="Z495" s="172"/>
    </row>
    <row r="496">
      <c r="A496" s="172"/>
      <c r="B496" s="172"/>
      <c r="C496" s="172"/>
      <c r="D496" s="172"/>
      <c r="E496" s="172"/>
      <c r="F496" s="172"/>
      <c r="G496" s="172"/>
      <c r="H496" s="172"/>
      <c r="I496" s="172"/>
      <c r="J496" s="172"/>
      <c r="K496" s="172"/>
      <c r="L496" s="172"/>
      <c r="M496" s="172"/>
      <c r="N496" s="172"/>
      <c r="O496" s="172"/>
      <c r="P496" s="172"/>
      <c r="Q496" s="172"/>
      <c r="R496" s="172"/>
      <c r="S496" s="172"/>
      <c r="T496" s="172"/>
      <c r="U496" s="172"/>
      <c r="V496" s="172"/>
      <c r="W496" s="172"/>
      <c r="X496" s="172"/>
      <c r="Y496" s="172"/>
      <c r="Z496" s="172"/>
    </row>
    <row r="497">
      <c r="A497" s="172"/>
      <c r="B497" s="172"/>
      <c r="C497" s="172"/>
      <c r="D497" s="172"/>
      <c r="E497" s="172"/>
      <c r="F497" s="172"/>
      <c r="G497" s="172"/>
      <c r="H497" s="172"/>
      <c r="I497" s="172"/>
      <c r="J497" s="172"/>
      <c r="K497" s="172"/>
      <c r="L497" s="172"/>
      <c r="M497" s="172"/>
      <c r="N497" s="172"/>
      <c r="O497" s="172"/>
      <c r="P497" s="172"/>
      <c r="Q497" s="172"/>
      <c r="R497" s="172"/>
      <c r="S497" s="172"/>
      <c r="T497" s="172"/>
      <c r="U497" s="172"/>
      <c r="V497" s="172"/>
      <c r="W497" s="172"/>
      <c r="X497" s="172"/>
      <c r="Y497" s="172"/>
      <c r="Z497" s="172"/>
    </row>
    <row r="498">
      <c r="A498" s="172"/>
      <c r="B498" s="172"/>
      <c r="C498" s="172"/>
      <c r="D498" s="172"/>
      <c r="E498" s="172"/>
      <c r="F498" s="172"/>
      <c r="G498" s="172"/>
      <c r="H498" s="172"/>
      <c r="I498" s="172"/>
      <c r="J498" s="172"/>
      <c r="K498" s="172"/>
      <c r="L498" s="172"/>
      <c r="M498" s="172"/>
      <c r="N498" s="172"/>
      <c r="O498" s="172"/>
      <c r="P498" s="172"/>
      <c r="Q498" s="172"/>
      <c r="R498" s="172"/>
      <c r="S498" s="172"/>
      <c r="T498" s="172"/>
      <c r="U498" s="172"/>
      <c r="V498" s="172"/>
      <c r="W498" s="172"/>
      <c r="X498" s="172"/>
      <c r="Y498" s="172"/>
      <c r="Z498" s="172"/>
    </row>
    <row r="499">
      <c r="A499" s="172"/>
      <c r="B499" s="172"/>
      <c r="C499" s="172"/>
      <c r="D499" s="172"/>
      <c r="E499" s="172"/>
      <c r="F499" s="172"/>
      <c r="G499" s="172"/>
      <c r="H499" s="172"/>
      <c r="I499" s="172"/>
      <c r="J499" s="172"/>
      <c r="K499" s="172"/>
      <c r="L499" s="172"/>
      <c r="M499" s="172"/>
      <c r="N499" s="172"/>
      <c r="O499" s="172"/>
      <c r="P499" s="172"/>
      <c r="Q499" s="172"/>
      <c r="R499" s="172"/>
      <c r="S499" s="172"/>
      <c r="T499" s="172"/>
      <c r="U499" s="172"/>
      <c r="V499" s="172"/>
      <c r="W499" s="172"/>
      <c r="X499" s="172"/>
      <c r="Y499" s="172"/>
      <c r="Z499" s="172"/>
    </row>
    <row r="500">
      <c r="A500" s="172"/>
      <c r="B500" s="172"/>
      <c r="C500" s="172"/>
      <c r="D500" s="172"/>
      <c r="E500" s="172"/>
      <c r="F500" s="172"/>
      <c r="G500" s="172"/>
      <c r="H500" s="172"/>
      <c r="I500" s="172"/>
      <c r="J500" s="172"/>
      <c r="K500" s="172"/>
      <c r="L500" s="172"/>
      <c r="M500" s="172"/>
      <c r="N500" s="172"/>
      <c r="O500" s="172"/>
      <c r="P500" s="172"/>
      <c r="Q500" s="172"/>
      <c r="R500" s="172"/>
      <c r="S500" s="172"/>
      <c r="T500" s="172"/>
      <c r="U500" s="172"/>
      <c r="V500" s="172"/>
      <c r="W500" s="172"/>
      <c r="X500" s="172"/>
      <c r="Y500" s="172"/>
      <c r="Z500" s="172"/>
    </row>
    <row r="501">
      <c r="A501" s="172"/>
      <c r="B501" s="172"/>
      <c r="C501" s="172"/>
      <c r="D501" s="172"/>
      <c r="E501" s="172"/>
      <c r="F501" s="172"/>
      <c r="G501" s="172"/>
      <c r="H501" s="172"/>
      <c r="I501" s="172"/>
      <c r="J501" s="172"/>
      <c r="K501" s="172"/>
      <c r="L501" s="172"/>
      <c r="M501" s="172"/>
      <c r="N501" s="172"/>
      <c r="O501" s="172"/>
      <c r="P501" s="172"/>
      <c r="Q501" s="172"/>
      <c r="R501" s="172"/>
      <c r="S501" s="172"/>
      <c r="T501" s="172"/>
      <c r="U501" s="172"/>
      <c r="V501" s="172"/>
      <c r="W501" s="172"/>
      <c r="X501" s="172"/>
      <c r="Y501" s="172"/>
      <c r="Z501" s="172"/>
    </row>
    <row r="502">
      <c r="A502" s="172"/>
      <c r="B502" s="172"/>
      <c r="C502" s="172"/>
      <c r="D502" s="172"/>
      <c r="E502" s="172"/>
      <c r="F502" s="172"/>
      <c r="G502" s="172"/>
      <c r="H502" s="172"/>
      <c r="I502" s="172"/>
      <c r="J502" s="172"/>
      <c r="K502" s="172"/>
      <c r="L502" s="172"/>
      <c r="M502" s="172"/>
      <c r="N502" s="172"/>
      <c r="O502" s="172"/>
      <c r="P502" s="172"/>
      <c r="Q502" s="172"/>
      <c r="R502" s="172"/>
      <c r="S502" s="172"/>
      <c r="T502" s="172"/>
      <c r="U502" s="172"/>
      <c r="V502" s="172"/>
      <c r="W502" s="172"/>
      <c r="X502" s="172"/>
      <c r="Y502" s="172"/>
      <c r="Z502" s="172"/>
    </row>
    <row r="503">
      <c r="A503" s="172"/>
      <c r="B503" s="172"/>
      <c r="C503" s="172"/>
      <c r="D503" s="172"/>
      <c r="E503" s="172"/>
      <c r="F503" s="172"/>
      <c r="G503" s="172"/>
      <c r="H503" s="172"/>
      <c r="I503" s="172"/>
      <c r="J503" s="172"/>
      <c r="K503" s="172"/>
      <c r="L503" s="172"/>
      <c r="M503" s="172"/>
      <c r="N503" s="172"/>
      <c r="O503" s="172"/>
      <c r="P503" s="172"/>
      <c r="Q503" s="172"/>
      <c r="R503" s="172"/>
      <c r="S503" s="172"/>
      <c r="T503" s="172"/>
      <c r="U503" s="172"/>
      <c r="V503" s="172"/>
      <c r="W503" s="172"/>
      <c r="X503" s="172"/>
      <c r="Y503" s="172"/>
      <c r="Z503" s="172"/>
    </row>
    <row r="504">
      <c r="A504" s="172"/>
      <c r="B504" s="172"/>
      <c r="C504" s="172"/>
      <c r="D504" s="172"/>
      <c r="E504" s="172"/>
      <c r="F504" s="172"/>
      <c r="G504" s="172"/>
      <c r="H504" s="172"/>
      <c r="I504" s="172"/>
      <c r="J504" s="172"/>
      <c r="K504" s="172"/>
      <c r="L504" s="172"/>
      <c r="M504" s="172"/>
      <c r="N504" s="172"/>
      <c r="O504" s="172"/>
      <c r="P504" s="172"/>
      <c r="Q504" s="172"/>
      <c r="R504" s="172"/>
      <c r="S504" s="172"/>
      <c r="T504" s="172"/>
      <c r="U504" s="172"/>
      <c r="V504" s="172"/>
      <c r="W504" s="172"/>
      <c r="X504" s="172"/>
      <c r="Y504" s="172"/>
      <c r="Z504" s="172"/>
    </row>
    <row r="505">
      <c r="A505" s="172"/>
      <c r="B505" s="172"/>
      <c r="C505" s="172"/>
      <c r="D505" s="172"/>
      <c r="E505" s="172"/>
      <c r="F505" s="172"/>
      <c r="G505" s="172"/>
      <c r="H505" s="172"/>
      <c r="I505" s="172"/>
      <c r="J505" s="172"/>
      <c r="K505" s="172"/>
      <c r="L505" s="172"/>
      <c r="M505" s="172"/>
      <c r="N505" s="172"/>
      <c r="O505" s="172"/>
      <c r="P505" s="172"/>
      <c r="Q505" s="172"/>
      <c r="R505" s="172"/>
      <c r="S505" s="172"/>
      <c r="T505" s="172"/>
      <c r="U505" s="172"/>
      <c r="V505" s="172"/>
      <c r="W505" s="172"/>
      <c r="X505" s="172"/>
      <c r="Y505" s="172"/>
      <c r="Z505" s="172"/>
    </row>
    <row r="506">
      <c r="A506" s="172"/>
      <c r="B506" s="172"/>
      <c r="C506" s="172"/>
      <c r="D506" s="172"/>
      <c r="E506" s="172"/>
      <c r="F506" s="172"/>
      <c r="G506" s="172"/>
      <c r="H506" s="172"/>
      <c r="I506" s="172"/>
      <c r="J506" s="172"/>
      <c r="K506" s="172"/>
      <c r="L506" s="172"/>
      <c r="M506" s="172"/>
      <c r="N506" s="172"/>
      <c r="O506" s="172"/>
      <c r="P506" s="172"/>
      <c r="Q506" s="172"/>
      <c r="R506" s="172"/>
      <c r="S506" s="172"/>
      <c r="T506" s="172"/>
      <c r="U506" s="172"/>
      <c r="V506" s="172"/>
      <c r="W506" s="172"/>
      <c r="X506" s="172"/>
      <c r="Y506" s="172"/>
      <c r="Z506" s="172"/>
    </row>
    <row r="507">
      <c r="A507" s="172"/>
      <c r="B507" s="172"/>
      <c r="C507" s="172"/>
      <c r="D507" s="172"/>
      <c r="E507" s="172"/>
      <c r="F507" s="172"/>
      <c r="G507" s="172"/>
      <c r="H507" s="172"/>
      <c r="I507" s="172"/>
      <c r="J507" s="172"/>
      <c r="K507" s="172"/>
      <c r="L507" s="172"/>
      <c r="M507" s="172"/>
      <c r="N507" s="172"/>
      <c r="O507" s="172"/>
      <c r="P507" s="172"/>
      <c r="Q507" s="172"/>
      <c r="R507" s="172"/>
      <c r="S507" s="172"/>
      <c r="T507" s="172"/>
      <c r="U507" s="172"/>
      <c r="V507" s="172"/>
      <c r="W507" s="172"/>
      <c r="X507" s="172"/>
      <c r="Y507" s="172"/>
      <c r="Z507" s="172"/>
    </row>
    <row r="508">
      <c r="A508" s="172"/>
      <c r="B508" s="172"/>
      <c r="C508" s="172"/>
      <c r="D508" s="172"/>
      <c r="E508" s="172"/>
      <c r="F508" s="172"/>
      <c r="G508" s="172"/>
      <c r="H508" s="172"/>
      <c r="I508" s="172"/>
      <c r="J508" s="172"/>
      <c r="K508" s="172"/>
      <c r="L508" s="172"/>
      <c r="M508" s="172"/>
      <c r="N508" s="172"/>
      <c r="O508" s="172"/>
      <c r="P508" s="172"/>
      <c r="Q508" s="172"/>
      <c r="R508" s="172"/>
      <c r="S508" s="172"/>
      <c r="T508" s="172"/>
      <c r="U508" s="172"/>
      <c r="V508" s="172"/>
      <c r="W508" s="172"/>
      <c r="X508" s="172"/>
      <c r="Y508" s="172"/>
      <c r="Z508" s="172"/>
    </row>
    <row r="509">
      <c r="A509" s="172"/>
      <c r="B509" s="172"/>
      <c r="C509" s="172"/>
      <c r="D509" s="172"/>
      <c r="E509" s="172"/>
      <c r="F509" s="172"/>
      <c r="G509" s="172"/>
      <c r="H509" s="172"/>
      <c r="I509" s="172"/>
      <c r="J509" s="172"/>
      <c r="K509" s="172"/>
      <c r="L509" s="172"/>
      <c r="M509" s="172"/>
      <c r="N509" s="172"/>
      <c r="O509" s="172"/>
      <c r="P509" s="172"/>
      <c r="Q509" s="172"/>
      <c r="R509" s="172"/>
      <c r="S509" s="172"/>
      <c r="T509" s="172"/>
      <c r="U509" s="172"/>
      <c r="V509" s="172"/>
      <c r="W509" s="172"/>
      <c r="X509" s="172"/>
      <c r="Y509" s="172"/>
      <c r="Z509" s="172"/>
    </row>
    <row r="510">
      <c r="A510" s="172"/>
      <c r="B510" s="172"/>
      <c r="C510" s="172"/>
      <c r="D510" s="172"/>
      <c r="E510" s="172"/>
      <c r="F510" s="172"/>
      <c r="G510" s="172"/>
      <c r="H510" s="172"/>
      <c r="I510" s="172"/>
      <c r="J510" s="172"/>
      <c r="K510" s="172"/>
      <c r="L510" s="172"/>
      <c r="M510" s="172"/>
      <c r="N510" s="172"/>
      <c r="O510" s="172"/>
      <c r="P510" s="172"/>
      <c r="Q510" s="172"/>
      <c r="R510" s="172"/>
      <c r="S510" s="172"/>
      <c r="T510" s="172"/>
      <c r="U510" s="172"/>
      <c r="V510" s="172"/>
      <c r="W510" s="172"/>
      <c r="X510" s="172"/>
      <c r="Y510" s="172"/>
      <c r="Z510" s="172"/>
    </row>
    <row r="511">
      <c r="A511" s="172"/>
      <c r="B511" s="172"/>
      <c r="C511" s="172"/>
      <c r="D511" s="172"/>
      <c r="E511" s="172"/>
      <c r="F511" s="172"/>
      <c r="G511" s="172"/>
      <c r="H511" s="172"/>
      <c r="I511" s="172"/>
      <c r="J511" s="172"/>
      <c r="K511" s="172"/>
      <c r="L511" s="172"/>
      <c r="M511" s="172"/>
      <c r="N511" s="172"/>
      <c r="O511" s="172"/>
      <c r="P511" s="172"/>
      <c r="Q511" s="172"/>
      <c r="R511" s="172"/>
      <c r="S511" s="172"/>
      <c r="T511" s="172"/>
      <c r="U511" s="172"/>
      <c r="V511" s="172"/>
      <c r="W511" s="172"/>
      <c r="X511" s="172"/>
      <c r="Y511" s="172"/>
      <c r="Z511" s="172"/>
    </row>
    <row r="512">
      <c r="A512" s="172"/>
      <c r="B512" s="172"/>
      <c r="C512" s="172"/>
      <c r="D512" s="172"/>
      <c r="E512" s="172"/>
      <c r="F512" s="172"/>
      <c r="G512" s="172"/>
      <c r="H512" s="172"/>
      <c r="I512" s="172"/>
      <c r="J512" s="172"/>
      <c r="K512" s="172"/>
      <c r="L512" s="172"/>
      <c r="M512" s="172"/>
      <c r="N512" s="172"/>
      <c r="O512" s="172"/>
      <c r="P512" s="172"/>
      <c r="Q512" s="172"/>
      <c r="R512" s="172"/>
      <c r="S512" s="172"/>
      <c r="T512" s="172"/>
      <c r="U512" s="172"/>
      <c r="V512" s="172"/>
      <c r="W512" s="172"/>
      <c r="X512" s="172"/>
      <c r="Y512" s="172"/>
      <c r="Z512" s="172"/>
    </row>
    <row r="513">
      <c r="A513" s="172"/>
      <c r="B513" s="172"/>
      <c r="C513" s="172"/>
      <c r="D513" s="172"/>
      <c r="E513" s="172"/>
      <c r="F513" s="172"/>
      <c r="G513" s="172"/>
      <c r="H513" s="172"/>
      <c r="I513" s="172"/>
      <c r="J513" s="172"/>
      <c r="K513" s="172"/>
      <c r="L513" s="172"/>
      <c r="M513" s="172"/>
      <c r="N513" s="172"/>
      <c r="O513" s="172"/>
      <c r="P513" s="172"/>
      <c r="Q513" s="172"/>
      <c r="R513" s="172"/>
      <c r="S513" s="172"/>
      <c r="T513" s="172"/>
      <c r="U513" s="172"/>
      <c r="V513" s="172"/>
      <c r="W513" s="172"/>
      <c r="X513" s="172"/>
      <c r="Y513" s="172"/>
      <c r="Z513" s="172"/>
    </row>
    <row r="514">
      <c r="A514" s="172"/>
      <c r="B514" s="172"/>
      <c r="C514" s="172"/>
      <c r="D514" s="172"/>
      <c r="E514" s="172"/>
      <c r="F514" s="172"/>
      <c r="G514" s="172"/>
      <c r="H514" s="172"/>
      <c r="I514" s="172"/>
      <c r="J514" s="172"/>
      <c r="K514" s="172"/>
      <c r="L514" s="172"/>
      <c r="M514" s="172"/>
      <c r="N514" s="172"/>
      <c r="O514" s="172"/>
      <c r="P514" s="172"/>
      <c r="Q514" s="172"/>
      <c r="R514" s="172"/>
      <c r="S514" s="172"/>
      <c r="T514" s="172"/>
      <c r="U514" s="172"/>
      <c r="V514" s="172"/>
      <c r="W514" s="172"/>
      <c r="X514" s="172"/>
      <c r="Y514" s="172"/>
      <c r="Z514" s="172"/>
    </row>
    <row r="515">
      <c r="A515" s="172"/>
      <c r="B515" s="172"/>
      <c r="C515" s="172"/>
      <c r="D515" s="172"/>
      <c r="E515" s="172"/>
      <c r="F515" s="172"/>
      <c r="G515" s="172"/>
      <c r="H515" s="172"/>
      <c r="I515" s="172"/>
      <c r="J515" s="172"/>
      <c r="K515" s="172"/>
      <c r="L515" s="172"/>
      <c r="M515" s="172"/>
      <c r="N515" s="172"/>
      <c r="O515" s="172"/>
      <c r="P515" s="172"/>
      <c r="Q515" s="172"/>
      <c r="R515" s="172"/>
      <c r="S515" s="172"/>
      <c r="T515" s="172"/>
      <c r="U515" s="172"/>
      <c r="V515" s="172"/>
      <c r="W515" s="172"/>
      <c r="X515" s="172"/>
      <c r="Y515" s="172"/>
      <c r="Z515" s="172"/>
    </row>
    <row r="516">
      <c r="A516" s="172"/>
      <c r="B516" s="172"/>
      <c r="C516" s="172"/>
      <c r="D516" s="172"/>
      <c r="E516" s="172"/>
      <c r="F516" s="172"/>
      <c r="G516" s="172"/>
      <c r="H516" s="172"/>
      <c r="I516" s="172"/>
      <c r="J516" s="172"/>
      <c r="K516" s="172"/>
      <c r="L516" s="172"/>
      <c r="M516" s="172"/>
      <c r="N516" s="172"/>
      <c r="O516" s="172"/>
      <c r="P516" s="172"/>
      <c r="Q516" s="172"/>
      <c r="R516" s="172"/>
      <c r="S516" s="172"/>
      <c r="T516" s="172"/>
      <c r="U516" s="172"/>
      <c r="V516" s="172"/>
      <c r="W516" s="172"/>
      <c r="X516" s="172"/>
      <c r="Y516" s="172"/>
      <c r="Z516" s="172"/>
    </row>
    <row r="517">
      <c r="A517" s="172"/>
      <c r="B517" s="172"/>
      <c r="C517" s="172"/>
      <c r="D517" s="172"/>
      <c r="E517" s="172"/>
      <c r="F517" s="172"/>
      <c r="G517" s="172"/>
      <c r="H517" s="172"/>
      <c r="I517" s="172"/>
      <c r="J517" s="172"/>
      <c r="K517" s="172"/>
      <c r="L517" s="172"/>
      <c r="M517" s="172"/>
      <c r="N517" s="172"/>
      <c r="O517" s="172"/>
      <c r="P517" s="172"/>
      <c r="Q517" s="172"/>
      <c r="R517" s="172"/>
      <c r="S517" s="172"/>
      <c r="T517" s="172"/>
      <c r="U517" s="172"/>
      <c r="V517" s="172"/>
      <c r="W517" s="172"/>
      <c r="X517" s="172"/>
      <c r="Y517" s="172"/>
      <c r="Z517" s="172"/>
    </row>
    <row r="518">
      <c r="A518" s="172"/>
      <c r="B518" s="172"/>
      <c r="C518" s="172"/>
      <c r="D518" s="172"/>
      <c r="E518" s="172"/>
      <c r="F518" s="172"/>
      <c r="G518" s="172"/>
      <c r="H518" s="172"/>
      <c r="I518" s="172"/>
      <c r="J518" s="172"/>
      <c r="K518" s="172"/>
      <c r="L518" s="172"/>
      <c r="M518" s="172"/>
      <c r="N518" s="172"/>
      <c r="O518" s="172"/>
      <c r="P518" s="172"/>
      <c r="Q518" s="172"/>
      <c r="R518" s="172"/>
      <c r="S518" s="172"/>
      <c r="T518" s="172"/>
      <c r="U518" s="172"/>
      <c r="V518" s="172"/>
      <c r="W518" s="172"/>
      <c r="X518" s="172"/>
      <c r="Y518" s="172"/>
      <c r="Z518" s="172"/>
    </row>
    <row r="519">
      <c r="A519" s="172"/>
      <c r="B519" s="172"/>
      <c r="C519" s="172"/>
      <c r="D519" s="172"/>
      <c r="E519" s="172"/>
      <c r="F519" s="172"/>
      <c r="G519" s="172"/>
      <c r="H519" s="172"/>
      <c r="I519" s="172"/>
      <c r="J519" s="172"/>
      <c r="K519" s="172"/>
      <c r="L519" s="172"/>
      <c r="M519" s="172"/>
      <c r="N519" s="172"/>
      <c r="O519" s="172"/>
      <c r="P519" s="172"/>
      <c r="Q519" s="172"/>
      <c r="R519" s="172"/>
      <c r="S519" s="172"/>
      <c r="T519" s="172"/>
      <c r="U519" s="172"/>
      <c r="V519" s="172"/>
      <c r="W519" s="172"/>
      <c r="X519" s="172"/>
      <c r="Y519" s="172"/>
      <c r="Z519" s="172"/>
    </row>
    <row r="520">
      <c r="A520" s="172"/>
      <c r="B520" s="172"/>
      <c r="C520" s="172"/>
      <c r="D520" s="172"/>
      <c r="E520" s="172"/>
      <c r="F520" s="172"/>
      <c r="G520" s="172"/>
      <c r="H520" s="172"/>
      <c r="I520" s="172"/>
      <c r="J520" s="172"/>
      <c r="K520" s="172"/>
      <c r="L520" s="172"/>
      <c r="M520" s="172"/>
      <c r="N520" s="172"/>
      <c r="O520" s="172"/>
      <c r="P520" s="172"/>
      <c r="Q520" s="172"/>
      <c r="R520" s="172"/>
      <c r="S520" s="172"/>
      <c r="T520" s="172"/>
      <c r="U520" s="172"/>
      <c r="V520" s="172"/>
      <c r="W520" s="172"/>
      <c r="X520" s="172"/>
      <c r="Y520" s="172"/>
      <c r="Z520" s="172"/>
    </row>
    <row r="521">
      <c r="A521" s="172"/>
      <c r="B521" s="172"/>
      <c r="C521" s="172"/>
      <c r="D521" s="172"/>
      <c r="E521" s="172"/>
      <c r="F521" s="172"/>
      <c r="G521" s="172"/>
      <c r="H521" s="172"/>
      <c r="I521" s="172"/>
      <c r="J521" s="172"/>
      <c r="K521" s="172"/>
      <c r="L521" s="172"/>
      <c r="M521" s="172"/>
      <c r="N521" s="172"/>
      <c r="O521" s="172"/>
      <c r="P521" s="172"/>
      <c r="Q521" s="172"/>
      <c r="R521" s="172"/>
      <c r="S521" s="172"/>
      <c r="T521" s="172"/>
      <c r="U521" s="172"/>
      <c r="V521" s="172"/>
      <c r="W521" s="172"/>
      <c r="X521" s="172"/>
      <c r="Y521" s="172"/>
      <c r="Z521" s="172"/>
    </row>
    <row r="522">
      <c r="A522" s="172"/>
      <c r="B522" s="172"/>
      <c r="C522" s="172"/>
      <c r="D522" s="172"/>
      <c r="E522" s="172"/>
      <c r="F522" s="172"/>
      <c r="G522" s="172"/>
      <c r="H522" s="172"/>
      <c r="I522" s="172"/>
      <c r="J522" s="172"/>
      <c r="K522" s="172"/>
      <c r="L522" s="172"/>
      <c r="M522" s="172"/>
      <c r="N522" s="172"/>
      <c r="O522" s="172"/>
      <c r="P522" s="172"/>
      <c r="Q522" s="172"/>
      <c r="R522" s="172"/>
      <c r="S522" s="172"/>
      <c r="T522" s="172"/>
      <c r="U522" s="172"/>
      <c r="V522" s="172"/>
      <c r="W522" s="172"/>
      <c r="X522" s="172"/>
      <c r="Y522" s="172"/>
      <c r="Z522" s="172"/>
    </row>
    <row r="523">
      <c r="A523" s="172"/>
      <c r="B523" s="172"/>
      <c r="C523" s="172"/>
      <c r="D523" s="172"/>
      <c r="E523" s="172"/>
      <c r="F523" s="172"/>
      <c r="G523" s="172"/>
      <c r="H523" s="172"/>
      <c r="I523" s="172"/>
      <c r="J523" s="172"/>
      <c r="K523" s="172"/>
      <c r="L523" s="172"/>
      <c r="M523" s="172"/>
      <c r="N523" s="172"/>
      <c r="O523" s="172"/>
      <c r="P523" s="172"/>
      <c r="Q523" s="172"/>
      <c r="R523" s="172"/>
      <c r="S523" s="172"/>
      <c r="T523" s="172"/>
      <c r="U523" s="172"/>
      <c r="V523" s="172"/>
      <c r="W523" s="172"/>
      <c r="X523" s="172"/>
      <c r="Y523" s="172"/>
      <c r="Z523" s="172"/>
    </row>
    <row r="524">
      <c r="A524" s="172"/>
      <c r="B524" s="172"/>
      <c r="C524" s="172"/>
      <c r="D524" s="172"/>
      <c r="E524" s="172"/>
      <c r="F524" s="172"/>
      <c r="G524" s="172"/>
      <c r="H524" s="172"/>
      <c r="I524" s="172"/>
      <c r="J524" s="172"/>
      <c r="K524" s="172"/>
      <c r="L524" s="172"/>
      <c r="M524" s="172"/>
      <c r="N524" s="172"/>
      <c r="O524" s="172"/>
      <c r="P524" s="172"/>
      <c r="Q524" s="172"/>
      <c r="R524" s="172"/>
      <c r="S524" s="172"/>
      <c r="T524" s="172"/>
      <c r="U524" s="172"/>
      <c r="V524" s="172"/>
      <c r="W524" s="172"/>
      <c r="X524" s="172"/>
      <c r="Y524" s="172"/>
      <c r="Z524" s="172"/>
    </row>
    <row r="525">
      <c r="A525" s="172"/>
      <c r="B525" s="172"/>
      <c r="C525" s="172"/>
      <c r="D525" s="172"/>
      <c r="E525" s="172"/>
      <c r="F525" s="172"/>
      <c r="G525" s="172"/>
      <c r="H525" s="172"/>
      <c r="I525" s="172"/>
      <c r="J525" s="172"/>
      <c r="K525" s="172"/>
      <c r="L525" s="172"/>
      <c r="M525" s="172"/>
      <c r="N525" s="172"/>
      <c r="O525" s="172"/>
      <c r="P525" s="172"/>
      <c r="Q525" s="172"/>
      <c r="R525" s="172"/>
      <c r="S525" s="172"/>
      <c r="T525" s="172"/>
      <c r="U525" s="172"/>
      <c r="V525" s="172"/>
      <c r="W525" s="172"/>
      <c r="X525" s="172"/>
      <c r="Y525" s="172"/>
      <c r="Z525" s="172"/>
    </row>
    <row r="526">
      <c r="A526" s="172"/>
      <c r="B526" s="172"/>
      <c r="C526" s="172"/>
      <c r="D526" s="172"/>
      <c r="E526" s="172"/>
      <c r="F526" s="172"/>
      <c r="G526" s="172"/>
      <c r="H526" s="172"/>
      <c r="I526" s="172"/>
      <c r="J526" s="172"/>
      <c r="K526" s="172"/>
      <c r="L526" s="172"/>
      <c r="M526" s="172"/>
      <c r="N526" s="172"/>
      <c r="O526" s="172"/>
      <c r="P526" s="172"/>
      <c r="Q526" s="172"/>
      <c r="R526" s="172"/>
      <c r="S526" s="172"/>
      <c r="T526" s="172"/>
      <c r="U526" s="172"/>
      <c r="V526" s="172"/>
      <c r="W526" s="172"/>
      <c r="X526" s="172"/>
      <c r="Y526" s="172"/>
      <c r="Z526" s="172"/>
    </row>
    <row r="527">
      <c r="A527" s="172"/>
      <c r="B527" s="172"/>
      <c r="C527" s="172"/>
      <c r="D527" s="172"/>
      <c r="E527" s="172"/>
      <c r="F527" s="172"/>
      <c r="G527" s="172"/>
      <c r="H527" s="172"/>
      <c r="I527" s="172"/>
      <c r="J527" s="172"/>
      <c r="K527" s="172"/>
      <c r="L527" s="172"/>
      <c r="M527" s="172"/>
      <c r="N527" s="172"/>
      <c r="O527" s="172"/>
      <c r="P527" s="172"/>
      <c r="Q527" s="172"/>
      <c r="R527" s="172"/>
      <c r="S527" s="172"/>
      <c r="T527" s="172"/>
      <c r="U527" s="172"/>
      <c r="V527" s="172"/>
      <c r="W527" s="172"/>
      <c r="X527" s="172"/>
      <c r="Y527" s="172"/>
      <c r="Z527" s="172"/>
    </row>
    <row r="528">
      <c r="A528" s="172"/>
      <c r="B528" s="172"/>
      <c r="C528" s="172"/>
      <c r="D528" s="172"/>
      <c r="E528" s="172"/>
      <c r="F528" s="172"/>
      <c r="G528" s="172"/>
      <c r="H528" s="172"/>
      <c r="I528" s="172"/>
      <c r="J528" s="172"/>
      <c r="K528" s="172"/>
      <c r="L528" s="172"/>
      <c r="M528" s="172"/>
      <c r="N528" s="172"/>
      <c r="O528" s="172"/>
      <c r="P528" s="172"/>
      <c r="Q528" s="172"/>
      <c r="R528" s="172"/>
      <c r="S528" s="172"/>
      <c r="T528" s="172"/>
      <c r="U528" s="172"/>
      <c r="V528" s="172"/>
      <c r="W528" s="172"/>
      <c r="X528" s="172"/>
      <c r="Y528" s="172"/>
      <c r="Z528" s="172"/>
    </row>
    <row r="529">
      <c r="A529" s="172"/>
      <c r="B529" s="172"/>
      <c r="C529" s="172"/>
      <c r="D529" s="172"/>
      <c r="E529" s="172"/>
      <c r="F529" s="172"/>
      <c r="G529" s="172"/>
      <c r="H529" s="172"/>
      <c r="I529" s="172"/>
      <c r="J529" s="172"/>
      <c r="K529" s="172"/>
      <c r="L529" s="172"/>
      <c r="M529" s="172"/>
      <c r="N529" s="172"/>
      <c r="O529" s="172"/>
      <c r="P529" s="172"/>
      <c r="Q529" s="172"/>
      <c r="R529" s="172"/>
      <c r="S529" s="172"/>
      <c r="T529" s="172"/>
      <c r="U529" s="172"/>
      <c r="V529" s="172"/>
      <c r="W529" s="172"/>
      <c r="X529" s="172"/>
      <c r="Y529" s="172"/>
      <c r="Z529" s="172"/>
    </row>
    <row r="530">
      <c r="A530" s="172"/>
      <c r="B530" s="172"/>
      <c r="C530" s="172"/>
      <c r="D530" s="172"/>
      <c r="E530" s="172"/>
      <c r="F530" s="172"/>
      <c r="G530" s="172"/>
      <c r="H530" s="172"/>
      <c r="I530" s="172"/>
      <c r="J530" s="172"/>
      <c r="K530" s="172"/>
      <c r="L530" s="172"/>
      <c r="M530" s="172"/>
      <c r="N530" s="172"/>
      <c r="O530" s="172"/>
      <c r="P530" s="172"/>
      <c r="Q530" s="172"/>
      <c r="R530" s="172"/>
      <c r="S530" s="172"/>
      <c r="T530" s="172"/>
      <c r="U530" s="172"/>
      <c r="V530" s="172"/>
      <c r="W530" s="172"/>
      <c r="X530" s="172"/>
      <c r="Y530" s="172"/>
      <c r="Z530" s="172"/>
    </row>
    <row r="531">
      <c r="A531" s="172"/>
      <c r="B531" s="172"/>
      <c r="C531" s="172"/>
      <c r="D531" s="172"/>
      <c r="E531" s="172"/>
      <c r="F531" s="172"/>
      <c r="G531" s="172"/>
      <c r="H531" s="172"/>
      <c r="I531" s="172"/>
      <c r="J531" s="172"/>
      <c r="K531" s="172"/>
      <c r="L531" s="172"/>
      <c r="M531" s="172"/>
      <c r="N531" s="172"/>
      <c r="O531" s="172"/>
      <c r="P531" s="172"/>
      <c r="Q531" s="172"/>
      <c r="R531" s="172"/>
      <c r="S531" s="172"/>
      <c r="T531" s="172"/>
      <c r="U531" s="172"/>
      <c r="V531" s="172"/>
      <c r="W531" s="172"/>
      <c r="X531" s="172"/>
      <c r="Y531" s="172"/>
      <c r="Z531" s="172"/>
    </row>
    <row r="532">
      <c r="A532" s="172"/>
      <c r="B532" s="172"/>
      <c r="C532" s="172"/>
      <c r="D532" s="172"/>
      <c r="E532" s="172"/>
      <c r="F532" s="172"/>
      <c r="G532" s="172"/>
      <c r="H532" s="172"/>
      <c r="I532" s="172"/>
      <c r="J532" s="172"/>
      <c r="K532" s="172"/>
      <c r="L532" s="172"/>
      <c r="M532" s="172"/>
      <c r="N532" s="172"/>
      <c r="O532" s="172"/>
      <c r="P532" s="172"/>
      <c r="Q532" s="172"/>
      <c r="R532" s="172"/>
      <c r="S532" s="172"/>
      <c r="T532" s="172"/>
      <c r="U532" s="172"/>
      <c r="V532" s="172"/>
      <c r="W532" s="172"/>
      <c r="X532" s="172"/>
      <c r="Y532" s="172"/>
      <c r="Z532" s="172"/>
    </row>
    <row r="533">
      <c r="A533" s="172"/>
      <c r="B533" s="172"/>
      <c r="C533" s="172"/>
      <c r="D533" s="172"/>
      <c r="E533" s="172"/>
      <c r="F533" s="172"/>
      <c r="G533" s="172"/>
      <c r="H533" s="172"/>
      <c r="I533" s="172"/>
      <c r="J533" s="172"/>
      <c r="K533" s="172"/>
      <c r="L533" s="172"/>
      <c r="M533" s="172"/>
      <c r="N533" s="172"/>
      <c r="O533" s="172"/>
      <c r="P533" s="172"/>
      <c r="Q533" s="172"/>
      <c r="R533" s="172"/>
      <c r="S533" s="172"/>
      <c r="T533" s="172"/>
      <c r="U533" s="172"/>
      <c r="V533" s="172"/>
      <c r="W533" s="172"/>
      <c r="X533" s="172"/>
      <c r="Y533" s="172"/>
      <c r="Z533" s="172"/>
    </row>
    <row r="534">
      <c r="A534" s="172"/>
      <c r="B534" s="172"/>
      <c r="C534" s="172"/>
      <c r="D534" s="172"/>
      <c r="E534" s="172"/>
      <c r="F534" s="172"/>
      <c r="G534" s="172"/>
      <c r="H534" s="172"/>
      <c r="I534" s="172"/>
      <c r="J534" s="172"/>
      <c r="K534" s="172"/>
      <c r="L534" s="172"/>
      <c r="M534" s="172"/>
      <c r="N534" s="172"/>
      <c r="O534" s="172"/>
      <c r="P534" s="172"/>
      <c r="Q534" s="172"/>
      <c r="R534" s="172"/>
      <c r="S534" s="172"/>
      <c r="T534" s="172"/>
      <c r="U534" s="172"/>
      <c r="V534" s="172"/>
      <c r="W534" s="172"/>
      <c r="X534" s="172"/>
      <c r="Y534" s="172"/>
      <c r="Z534" s="172"/>
    </row>
    <row r="535">
      <c r="A535" s="172"/>
      <c r="B535" s="172"/>
      <c r="C535" s="172"/>
      <c r="D535" s="172"/>
      <c r="E535" s="172"/>
      <c r="F535" s="172"/>
      <c r="G535" s="172"/>
      <c r="H535" s="172"/>
      <c r="I535" s="172"/>
      <c r="J535" s="172"/>
      <c r="K535" s="172"/>
      <c r="L535" s="172"/>
      <c r="M535" s="172"/>
      <c r="N535" s="172"/>
      <c r="O535" s="172"/>
      <c r="P535" s="172"/>
      <c r="Q535" s="172"/>
      <c r="R535" s="172"/>
      <c r="S535" s="172"/>
      <c r="T535" s="172"/>
      <c r="U535" s="172"/>
      <c r="V535" s="172"/>
      <c r="W535" s="172"/>
      <c r="X535" s="172"/>
      <c r="Y535" s="172"/>
      <c r="Z535" s="172"/>
    </row>
    <row r="536">
      <c r="A536" s="172"/>
      <c r="B536" s="172"/>
      <c r="C536" s="172"/>
      <c r="D536" s="172"/>
      <c r="E536" s="172"/>
      <c r="F536" s="172"/>
      <c r="G536" s="172"/>
      <c r="H536" s="172"/>
      <c r="I536" s="172"/>
      <c r="J536" s="172"/>
      <c r="K536" s="172"/>
      <c r="L536" s="172"/>
      <c r="M536" s="172"/>
      <c r="N536" s="172"/>
      <c r="O536" s="172"/>
      <c r="P536" s="172"/>
      <c r="Q536" s="172"/>
      <c r="R536" s="172"/>
      <c r="S536" s="172"/>
      <c r="T536" s="172"/>
      <c r="U536" s="172"/>
      <c r="V536" s="172"/>
      <c r="W536" s="172"/>
      <c r="X536" s="172"/>
      <c r="Y536" s="172"/>
      <c r="Z536" s="172"/>
    </row>
    <row r="537">
      <c r="A537" s="172"/>
      <c r="B537" s="172"/>
      <c r="C537" s="172"/>
      <c r="D537" s="172"/>
      <c r="E537" s="172"/>
      <c r="F537" s="172"/>
      <c r="G537" s="172"/>
      <c r="H537" s="172"/>
      <c r="I537" s="172"/>
      <c r="J537" s="172"/>
      <c r="K537" s="172"/>
      <c r="L537" s="172"/>
      <c r="M537" s="172"/>
      <c r="N537" s="172"/>
      <c r="O537" s="172"/>
      <c r="P537" s="172"/>
      <c r="Q537" s="172"/>
      <c r="R537" s="172"/>
      <c r="S537" s="172"/>
      <c r="T537" s="172"/>
      <c r="U537" s="172"/>
      <c r="V537" s="172"/>
      <c r="W537" s="172"/>
      <c r="X537" s="172"/>
      <c r="Y537" s="172"/>
      <c r="Z537" s="172"/>
    </row>
    <row r="538">
      <c r="A538" s="172"/>
      <c r="B538" s="172"/>
      <c r="C538" s="172"/>
      <c r="D538" s="172"/>
      <c r="E538" s="172"/>
      <c r="F538" s="172"/>
      <c r="G538" s="172"/>
      <c r="H538" s="172"/>
      <c r="I538" s="172"/>
      <c r="J538" s="172"/>
      <c r="K538" s="172"/>
      <c r="L538" s="172"/>
      <c r="M538" s="172"/>
      <c r="N538" s="172"/>
      <c r="O538" s="172"/>
      <c r="P538" s="172"/>
      <c r="Q538" s="172"/>
      <c r="R538" s="172"/>
      <c r="S538" s="172"/>
      <c r="T538" s="172"/>
      <c r="U538" s="172"/>
      <c r="V538" s="172"/>
      <c r="W538" s="172"/>
      <c r="X538" s="172"/>
      <c r="Y538" s="172"/>
      <c r="Z538" s="172"/>
    </row>
    <row r="539">
      <c r="A539" s="172"/>
      <c r="B539" s="172"/>
      <c r="C539" s="172"/>
      <c r="D539" s="172"/>
      <c r="E539" s="172"/>
      <c r="F539" s="172"/>
      <c r="G539" s="172"/>
      <c r="H539" s="172"/>
      <c r="I539" s="172"/>
      <c r="J539" s="172"/>
      <c r="K539" s="172"/>
      <c r="L539" s="172"/>
      <c r="M539" s="172"/>
      <c r="N539" s="172"/>
      <c r="O539" s="172"/>
      <c r="P539" s="172"/>
      <c r="Q539" s="172"/>
      <c r="R539" s="172"/>
      <c r="S539" s="172"/>
      <c r="T539" s="172"/>
      <c r="U539" s="172"/>
      <c r="V539" s="172"/>
      <c r="W539" s="172"/>
      <c r="X539" s="172"/>
      <c r="Y539" s="172"/>
      <c r="Z539" s="172"/>
    </row>
    <row r="540">
      <c r="A540" s="172"/>
      <c r="B540" s="172"/>
      <c r="C540" s="172"/>
      <c r="D540" s="172"/>
      <c r="E540" s="172"/>
      <c r="F540" s="172"/>
      <c r="G540" s="172"/>
      <c r="H540" s="172"/>
      <c r="I540" s="172"/>
      <c r="J540" s="172"/>
      <c r="K540" s="172"/>
      <c r="L540" s="172"/>
      <c r="M540" s="172"/>
      <c r="N540" s="172"/>
      <c r="O540" s="172"/>
      <c r="P540" s="172"/>
      <c r="Q540" s="172"/>
      <c r="R540" s="172"/>
      <c r="S540" s="172"/>
      <c r="T540" s="172"/>
      <c r="U540" s="172"/>
      <c r="V540" s="172"/>
      <c r="W540" s="172"/>
      <c r="X540" s="172"/>
      <c r="Y540" s="172"/>
      <c r="Z540" s="172"/>
    </row>
    <row r="541">
      <c r="A541" s="172"/>
      <c r="B541" s="172"/>
      <c r="C541" s="172"/>
      <c r="D541" s="172"/>
      <c r="E541" s="172"/>
      <c r="F541" s="172"/>
      <c r="G541" s="172"/>
      <c r="H541" s="172"/>
      <c r="I541" s="172"/>
      <c r="J541" s="172"/>
      <c r="K541" s="172"/>
      <c r="L541" s="172"/>
      <c r="M541" s="172"/>
      <c r="N541" s="172"/>
      <c r="O541" s="172"/>
      <c r="P541" s="172"/>
      <c r="Q541" s="172"/>
      <c r="R541" s="172"/>
      <c r="S541" s="172"/>
      <c r="T541" s="172"/>
      <c r="U541" s="172"/>
      <c r="V541" s="172"/>
      <c r="W541" s="172"/>
      <c r="X541" s="172"/>
      <c r="Y541" s="172"/>
      <c r="Z541" s="172"/>
    </row>
    <row r="542">
      <c r="A542" s="172"/>
      <c r="B542" s="172"/>
      <c r="C542" s="172"/>
      <c r="D542" s="172"/>
      <c r="E542" s="172"/>
      <c r="F542" s="172"/>
      <c r="G542" s="172"/>
      <c r="H542" s="172"/>
      <c r="I542" s="172"/>
      <c r="J542" s="172"/>
      <c r="K542" s="172"/>
      <c r="L542" s="172"/>
      <c r="M542" s="172"/>
      <c r="N542" s="172"/>
      <c r="O542" s="172"/>
      <c r="P542" s="172"/>
      <c r="Q542" s="172"/>
      <c r="R542" s="172"/>
      <c r="S542" s="172"/>
      <c r="T542" s="172"/>
      <c r="U542" s="172"/>
      <c r="V542" s="172"/>
      <c r="W542" s="172"/>
      <c r="X542" s="172"/>
      <c r="Y542" s="172"/>
      <c r="Z542" s="172"/>
    </row>
    <row r="543">
      <c r="A543" s="172"/>
      <c r="B543" s="172"/>
      <c r="C543" s="172"/>
      <c r="D543" s="172"/>
      <c r="E543" s="172"/>
      <c r="F543" s="172"/>
      <c r="G543" s="172"/>
      <c r="H543" s="172"/>
      <c r="I543" s="172"/>
      <c r="J543" s="172"/>
      <c r="K543" s="172"/>
      <c r="L543" s="172"/>
      <c r="M543" s="172"/>
      <c r="N543" s="172"/>
      <c r="O543" s="172"/>
      <c r="P543" s="172"/>
      <c r="Q543" s="172"/>
      <c r="R543" s="172"/>
      <c r="S543" s="172"/>
      <c r="T543" s="172"/>
      <c r="U543" s="172"/>
      <c r="V543" s="172"/>
      <c r="W543" s="172"/>
      <c r="X543" s="172"/>
      <c r="Y543" s="172"/>
      <c r="Z543" s="172"/>
    </row>
    <row r="544">
      <c r="A544" s="172"/>
      <c r="B544" s="172"/>
      <c r="C544" s="172"/>
      <c r="D544" s="172"/>
      <c r="E544" s="172"/>
      <c r="F544" s="172"/>
      <c r="G544" s="172"/>
      <c r="H544" s="172"/>
      <c r="I544" s="172"/>
      <c r="J544" s="172"/>
      <c r="K544" s="172"/>
      <c r="L544" s="172"/>
      <c r="M544" s="172"/>
      <c r="N544" s="172"/>
      <c r="O544" s="172"/>
      <c r="P544" s="172"/>
      <c r="Q544" s="172"/>
      <c r="R544" s="172"/>
      <c r="S544" s="172"/>
      <c r="T544" s="172"/>
      <c r="U544" s="172"/>
      <c r="V544" s="172"/>
      <c r="W544" s="172"/>
      <c r="X544" s="172"/>
      <c r="Y544" s="172"/>
      <c r="Z544" s="172"/>
    </row>
    <row r="545">
      <c r="A545" s="172"/>
      <c r="B545" s="172"/>
      <c r="C545" s="172"/>
      <c r="D545" s="172"/>
      <c r="E545" s="172"/>
      <c r="F545" s="172"/>
      <c r="G545" s="172"/>
      <c r="H545" s="172"/>
      <c r="I545" s="172"/>
      <c r="J545" s="172"/>
      <c r="K545" s="172"/>
      <c r="L545" s="172"/>
      <c r="M545" s="172"/>
      <c r="N545" s="172"/>
      <c r="O545" s="172"/>
      <c r="P545" s="172"/>
      <c r="Q545" s="172"/>
      <c r="R545" s="172"/>
      <c r="S545" s="172"/>
      <c r="T545" s="172"/>
      <c r="U545" s="172"/>
      <c r="V545" s="172"/>
      <c r="W545" s="172"/>
      <c r="X545" s="172"/>
      <c r="Y545" s="172"/>
      <c r="Z545" s="172"/>
    </row>
    <row r="546">
      <c r="A546" s="172"/>
      <c r="B546" s="172"/>
      <c r="C546" s="172"/>
      <c r="D546" s="172"/>
      <c r="E546" s="172"/>
      <c r="F546" s="172"/>
      <c r="G546" s="172"/>
      <c r="H546" s="172"/>
      <c r="I546" s="172"/>
      <c r="J546" s="172"/>
      <c r="K546" s="172"/>
      <c r="L546" s="172"/>
      <c r="M546" s="172"/>
      <c r="N546" s="172"/>
      <c r="O546" s="172"/>
      <c r="P546" s="172"/>
      <c r="Q546" s="172"/>
      <c r="R546" s="172"/>
      <c r="S546" s="172"/>
      <c r="T546" s="172"/>
      <c r="U546" s="172"/>
      <c r="V546" s="172"/>
      <c r="W546" s="172"/>
      <c r="X546" s="172"/>
      <c r="Y546" s="172"/>
      <c r="Z546" s="172"/>
    </row>
    <row r="547">
      <c r="A547" s="172"/>
      <c r="B547" s="172"/>
      <c r="C547" s="172"/>
      <c r="D547" s="172"/>
      <c r="E547" s="172"/>
      <c r="F547" s="172"/>
      <c r="G547" s="172"/>
      <c r="H547" s="172"/>
      <c r="I547" s="172"/>
      <c r="J547" s="172"/>
      <c r="K547" s="172"/>
      <c r="L547" s="172"/>
      <c r="M547" s="172"/>
      <c r="N547" s="172"/>
      <c r="O547" s="172"/>
      <c r="P547" s="172"/>
      <c r="Q547" s="172"/>
      <c r="R547" s="172"/>
      <c r="S547" s="172"/>
      <c r="T547" s="172"/>
      <c r="U547" s="172"/>
      <c r="V547" s="172"/>
      <c r="W547" s="172"/>
      <c r="X547" s="172"/>
      <c r="Y547" s="172"/>
      <c r="Z547" s="172"/>
    </row>
    <row r="548">
      <c r="A548" s="172"/>
      <c r="B548" s="172"/>
      <c r="C548" s="172"/>
      <c r="D548" s="172"/>
      <c r="E548" s="172"/>
      <c r="F548" s="172"/>
      <c r="G548" s="172"/>
      <c r="H548" s="172"/>
      <c r="I548" s="172"/>
      <c r="J548" s="172"/>
      <c r="K548" s="172"/>
      <c r="L548" s="172"/>
      <c r="M548" s="172"/>
      <c r="N548" s="172"/>
      <c r="O548" s="172"/>
      <c r="P548" s="172"/>
      <c r="Q548" s="172"/>
      <c r="R548" s="172"/>
      <c r="S548" s="172"/>
      <c r="T548" s="172"/>
      <c r="U548" s="172"/>
      <c r="V548" s="172"/>
      <c r="W548" s="172"/>
      <c r="X548" s="172"/>
      <c r="Y548" s="172"/>
      <c r="Z548" s="172"/>
    </row>
    <row r="549">
      <c r="A549" s="172"/>
      <c r="B549" s="172"/>
      <c r="C549" s="172"/>
      <c r="D549" s="172"/>
      <c r="E549" s="172"/>
      <c r="F549" s="172"/>
      <c r="G549" s="172"/>
      <c r="H549" s="172"/>
      <c r="I549" s="172"/>
      <c r="J549" s="172"/>
      <c r="K549" s="172"/>
      <c r="L549" s="172"/>
      <c r="M549" s="172"/>
      <c r="N549" s="172"/>
      <c r="O549" s="172"/>
      <c r="P549" s="172"/>
      <c r="Q549" s="172"/>
      <c r="R549" s="172"/>
      <c r="S549" s="172"/>
      <c r="T549" s="172"/>
      <c r="U549" s="172"/>
      <c r="V549" s="172"/>
      <c r="W549" s="172"/>
      <c r="X549" s="172"/>
      <c r="Y549" s="172"/>
      <c r="Z549" s="172"/>
    </row>
    <row r="550">
      <c r="A550" s="172"/>
      <c r="B550" s="172"/>
      <c r="C550" s="172"/>
      <c r="D550" s="172"/>
      <c r="E550" s="172"/>
      <c r="F550" s="172"/>
      <c r="G550" s="172"/>
      <c r="H550" s="172"/>
      <c r="I550" s="172"/>
      <c r="J550" s="172"/>
      <c r="K550" s="172"/>
      <c r="L550" s="172"/>
      <c r="M550" s="172"/>
      <c r="N550" s="172"/>
      <c r="O550" s="172"/>
      <c r="P550" s="172"/>
      <c r="Q550" s="172"/>
      <c r="R550" s="172"/>
      <c r="S550" s="172"/>
      <c r="T550" s="172"/>
      <c r="U550" s="172"/>
      <c r="V550" s="172"/>
      <c r="W550" s="172"/>
      <c r="X550" s="172"/>
      <c r="Y550" s="172"/>
      <c r="Z550" s="172"/>
    </row>
    <row r="551">
      <c r="A551" s="172"/>
      <c r="B551" s="172"/>
      <c r="C551" s="172"/>
      <c r="D551" s="172"/>
      <c r="E551" s="172"/>
      <c r="F551" s="172"/>
      <c r="G551" s="172"/>
      <c r="H551" s="172"/>
      <c r="I551" s="172"/>
      <c r="J551" s="172"/>
      <c r="K551" s="172"/>
      <c r="L551" s="172"/>
      <c r="M551" s="172"/>
      <c r="N551" s="172"/>
      <c r="O551" s="172"/>
      <c r="P551" s="172"/>
      <c r="Q551" s="172"/>
      <c r="R551" s="172"/>
      <c r="S551" s="172"/>
      <c r="T551" s="172"/>
      <c r="U551" s="172"/>
      <c r="V551" s="172"/>
      <c r="W551" s="172"/>
      <c r="X551" s="172"/>
      <c r="Y551" s="172"/>
      <c r="Z551" s="172"/>
    </row>
    <row r="552">
      <c r="A552" s="172"/>
      <c r="B552" s="172"/>
      <c r="C552" s="172"/>
      <c r="D552" s="172"/>
      <c r="E552" s="172"/>
      <c r="F552" s="172"/>
      <c r="G552" s="172"/>
      <c r="H552" s="172"/>
      <c r="I552" s="172"/>
      <c r="J552" s="172"/>
      <c r="K552" s="172"/>
      <c r="L552" s="172"/>
      <c r="M552" s="172"/>
      <c r="N552" s="172"/>
      <c r="O552" s="172"/>
      <c r="P552" s="172"/>
      <c r="Q552" s="172"/>
      <c r="R552" s="172"/>
      <c r="S552" s="172"/>
      <c r="T552" s="172"/>
      <c r="U552" s="172"/>
      <c r="V552" s="172"/>
      <c r="W552" s="172"/>
      <c r="X552" s="172"/>
      <c r="Y552" s="172"/>
      <c r="Z552" s="172"/>
    </row>
    <row r="553">
      <c r="A553" s="172"/>
      <c r="B553" s="172"/>
      <c r="C553" s="172"/>
      <c r="D553" s="172"/>
      <c r="E553" s="172"/>
      <c r="F553" s="172"/>
      <c r="G553" s="172"/>
      <c r="H553" s="172"/>
      <c r="I553" s="172"/>
      <c r="J553" s="172"/>
      <c r="K553" s="172"/>
      <c r="L553" s="172"/>
      <c r="M553" s="172"/>
      <c r="N553" s="172"/>
      <c r="O553" s="172"/>
      <c r="P553" s="172"/>
      <c r="Q553" s="172"/>
      <c r="R553" s="172"/>
      <c r="S553" s="172"/>
      <c r="T553" s="172"/>
      <c r="U553" s="172"/>
      <c r="V553" s="172"/>
      <c r="W553" s="172"/>
      <c r="X553" s="172"/>
      <c r="Y553" s="172"/>
      <c r="Z553" s="172"/>
    </row>
    <row r="554">
      <c r="A554" s="172"/>
      <c r="B554" s="172"/>
      <c r="C554" s="172"/>
      <c r="D554" s="172"/>
      <c r="E554" s="172"/>
      <c r="F554" s="172"/>
      <c r="G554" s="172"/>
      <c r="H554" s="172"/>
      <c r="I554" s="172"/>
      <c r="J554" s="172"/>
      <c r="K554" s="172"/>
      <c r="L554" s="172"/>
      <c r="M554" s="172"/>
      <c r="N554" s="172"/>
      <c r="O554" s="172"/>
      <c r="P554" s="172"/>
      <c r="Q554" s="172"/>
      <c r="R554" s="172"/>
      <c r="S554" s="172"/>
      <c r="T554" s="172"/>
      <c r="U554" s="172"/>
      <c r="V554" s="172"/>
      <c r="W554" s="172"/>
      <c r="X554" s="172"/>
      <c r="Y554" s="172"/>
      <c r="Z554" s="172"/>
    </row>
    <row r="555">
      <c r="A555" s="172"/>
      <c r="B555" s="172"/>
      <c r="C555" s="172"/>
      <c r="D555" s="172"/>
      <c r="E555" s="172"/>
      <c r="F555" s="172"/>
      <c r="G555" s="172"/>
      <c r="H555" s="172"/>
      <c r="I555" s="172"/>
      <c r="J555" s="172"/>
      <c r="K555" s="172"/>
      <c r="L555" s="172"/>
      <c r="M555" s="172"/>
      <c r="N555" s="172"/>
      <c r="O555" s="172"/>
      <c r="P555" s="172"/>
      <c r="Q555" s="172"/>
      <c r="R555" s="172"/>
      <c r="S555" s="172"/>
      <c r="T555" s="172"/>
      <c r="U555" s="172"/>
      <c r="V555" s="172"/>
      <c r="W555" s="172"/>
      <c r="X555" s="172"/>
      <c r="Y555" s="172"/>
      <c r="Z555" s="172"/>
    </row>
    <row r="556">
      <c r="A556" s="172"/>
      <c r="B556" s="172"/>
      <c r="C556" s="172"/>
      <c r="D556" s="172"/>
      <c r="E556" s="172"/>
      <c r="F556" s="172"/>
      <c r="G556" s="172"/>
      <c r="H556" s="172"/>
      <c r="I556" s="172"/>
      <c r="J556" s="172"/>
      <c r="K556" s="172"/>
      <c r="L556" s="172"/>
      <c r="M556" s="172"/>
      <c r="N556" s="172"/>
      <c r="O556" s="172"/>
      <c r="P556" s="172"/>
      <c r="Q556" s="172"/>
      <c r="R556" s="172"/>
      <c r="S556" s="172"/>
      <c r="T556" s="172"/>
      <c r="U556" s="172"/>
      <c r="V556" s="172"/>
      <c r="W556" s="172"/>
      <c r="X556" s="172"/>
      <c r="Y556" s="172"/>
      <c r="Z556" s="172"/>
    </row>
    <row r="557">
      <c r="A557" s="172"/>
      <c r="B557" s="172"/>
      <c r="C557" s="172"/>
      <c r="D557" s="172"/>
      <c r="E557" s="172"/>
      <c r="F557" s="172"/>
      <c r="G557" s="172"/>
      <c r="H557" s="172"/>
      <c r="I557" s="172"/>
      <c r="J557" s="172"/>
      <c r="K557" s="172"/>
      <c r="L557" s="172"/>
      <c r="M557" s="172"/>
      <c r="N557" s="172"/>
      <c r="O557" s="172"/>
      <c r="P557" s="172"/>
      <c r="Q557" s="172"/>
      <c r="R557" s="172"/>
      <c r="S557" s="172"/>
      <c r="T557" s="172"/>
      <c r="U557" s="172"/>
      <c r="V557" s="172"/>
      <c r="W557" s="172"/>
      <c r="X557" s="172"/>
      <c r="Y557" s="172"/>
      <c r="Z557" s="172"/>
    </row>
    <row r="558">
      <c r="A558" s="172"/>
      <c r="B558" s="172"/>
      <c r="C558" s="172"/>
      <c r="D558" s="172"/>
      <c r="E558" s="172"/>
      <c r="F558" s="172"/>
      <c r="G558" s="172"/>
      <c r="H558" s="172"/>
      <c r="I558" s="172"/>
      <c r="J558" s="172"/>
      <c r="K558" s="172"/>
      <c r="L558" s="172"/>
      <c r="M558" s="172"/>
      <c r="N558" s="172"/>
      <c r="O558" s="172"/>
      <c r="P558" s="172"/>
      <c r="Q558" s="172"/>
      <c r="R558" s="172"/>
      <c r="S558" s="172"/>
      <c r="T558" s="172"/>
      <c r="U558" s="172"/>
      <c r="V558" s="172"/>
      <c r="W558" s="172"/>
      <c r="X558" s="172"/>
      <c r="Y558" s="172"/>
      <c r="Z558" s="172"/>
    </row>
    <row r="559">
      <c r="A559" s="172"/>
      <c r="B559" s="172"/>
      <c r="C559" s="172"/>
      <c r="D559" s="172"/>
      <c r="E559" s="172"/>
      <c r="F559" s="172"/>
      <c r="G559" s="172"/>
      <c r="H559" s="172"/>
      <c r="I559" s="172"/>
      <c r="J559" s="172"/>
      <c r="K559" s="172"/>
      <c r="L559" s="172"/>
      <c r="M559" s="172"/>
      <c r="N559" s="172"/>
      <c r="O559" s="172"/>
      <c r="P559" s="172"/>
      <c r="Q559" s="172"/>
      <c r="R559" s="172"/>
      <c r="S559" s="172"/>
      <c r="T559" s="172"/>
      <c r="U559" s="172"/>
      <c r="V559" s="172"/>
      <c r="W559" s="172"/>
      <c r="X559" s="172"/>
      <c r="Y559" s="172"/>
      <c r="Z559" s="172"/>
    </row>
    <row r="560">
      <c r="A560" s="172"/>
      <c r="B560" s="172"/>
      <c r="C560" s="172"/>
      <c r="D560" s="172"/>
      <c r="E560" s="172"/>
      <c r="F560" s="172"/>
      <c r="G560" s="172"/>
      <c r="H560" s="172"/>
      <c r="I560" s="172"/>
      <c r="J560" s="172"/>
      <c r="K560" s="172"/>
      <c r="L560" s="172"/>
      <c r="M560" s="172"/>
      <c r="N560" s="172"/>
      <c r="O560" s="172"/>
      <c r="P560" s="172"/>
      <c r="Q560" s="172"/>
      <c r="R560" s="172"/>
      <c r="S560" s="172"/>
      <c r="T560" s="172"/>
      <c r="U560" s="172"/>
      <c r="V560" s="172"/>
      <c r="W560" s="172"/>
      <c r="X560" s="172"/>
      <c r="Y560" s="172"/>
      <c r="Z560" s="172"/>
    </row>
    <row r="561">
      <c r="A561" s="172"/>
      <c r="B561" s="172"/>
      <c r="C561" s="172"/>
      <c r="D561" s="172"/>
      <c r="E561" s="172"/>
      <c r="F561" s="172"/>
      <c r="G561" s="172"/>
      <c r="H561" s="172"/>
      <c r="I561" s="172"/>
      <c r="J561" s="172"/>
      <c r="K561" s="172"/>
      <c r="L561" s="172"/>
      <c r="M561" s="172"/>
      <c r="N561" s="172"/>
      <c r="O561" s="172"/>
      <c r="P561" s="172"/>
      <c r="Q561" s="172"/>
      <c r="R561" s="172"/>
      <c r="S561" s="172"/>
      <c r="T561" s="172"/>
      <c r="U561" s="172"/>
      <c r="V561" s="172"/>
      <c r="W561" s="172"/>
      <c r="X561" s="172"/>
      <c r="Y561" s="172"/>
      <c r="Z561" s="172"/>
    </row>
    <row r="562">
      <c r="A562" s="172"/>
      <c r="B562" s="172"/>
      <c r="C562" s="172"/>
      <c r="D562" s="172"/>
      <c r="E562" s="172"/>
      <c r="F562" s="172"/>
      <c r="G562" s="172"/>
      <c r="H562" s="172"/>
      <c r="I562" s="172"/>
      <c r="J562" s="172"/>
      <c r="K562" s="172"/>
      <c r="L562" s="172"/>
      <c r="M562" s="172"/>
      <c r="N562" s="172"/>
      <c r="O562" s="172"/>
      <c r="P562" s="172"/>
      <c r="Q562" s="172"/>
      <c r="R562" s="172"/>
      <c r="S562" s="172"/>
      <c r="T562" s="172"/>
      <c r="U562" s="172"/>
      <c r="V562" s="172"/>
      <c r="W562" s="172"/>
      <c r="X562" s="172"/>
      <c r="Y562" s="172"/>
      <c r="Z562" s="172"/>
    </row>
    <row r="563">
      <c r="A563" s="172"/>
      <c r="B563" s="172"/>
      <c r="C563" s="172"/>
      <c r="D563" s="172"/>
      <c r="E563" s="172"/>
      <c r="F563" s="172"/>
      <c r="G563" s="172"/>
      <c r="H563" s="172"/>
      <c r="I563" s="172"/>
      <c r="J563" s="172"/>
      <c r="K563" s="172"/>
      <c r="L563" s="172"/>
      <c r="M563" s="172"/>
      <c r="N563" s="172"/>
      <c r="O563" s="172"/>
      <c r="P563" s="172"/>
      <c r="Q563" s="172"/>
      <c r="R563" s="172"/>
      <c r="S563" s="172"/>
      <c r="T563" s="172"/>
      <c r="U563" s="172"/>
      <c r="V563" s="172"/>
      <c r="W563" s="172"/>
      <c r="X563" s="172"/>
      <c r="Y563" s="172"/>
      <c r="Z563" s="172"/>
    </row>
    <row r="564">
      <c r="A564" s="172"/>
      <c r="B564" s="172"/>
      <c r="C564" s="172"/>
      <c r="D564" s="172"/>
      <c r="E564" s="172"/>
      <c r="F564" s="172"/>
      <c r="G564" s="172"/>
      <c r="H564" s="172"/>
      <c r="I564" s="172"/>
      <c r="J564" s="172"/>
      <c r="K564" s="172"/>
      <c r="L564" s="172"/>
      <c r="M564" s="172"/>
      <c r="N564" s="172"/>
      <c r="O564" s="172"/>
      <c r="P564" s="172"/>
      <c r="Q564" s="172"/>
      <c r="R564" s="172"/>
      <c r="S564" s="172"/>
      <c r="T564" s="172"/>
      <c r="U564" s="172"/>
      <c r="V564" s="172"/>
      <c r="W564" s="172"/>
      <c r="X564" s="172"/>
      <c r="Y564" s="172"/>
      <c r="Z564" s="172"/>
    </row>
    <row r="565">
      <c r="A565" s="172"/>
      <c r="B565" s="172"/>
      <c r="C565" s="172"/>
      <c r="D565" s="172"/>
      <c r="E565" s="172"/>
      <c r="F565" s="172"/>
      <c r="G565" s="172"/>
      <c r="H565" s="172"/>
      <c r="I565" s="172"/>
      <c r="J565" s="172"/>
      <c r="K565" s="172"/>
      <c r="L565" s="172"/>
      <c r="M565" s="172"/>
      <c r="N565" s="172"/>
      <c r="O565" s="172"/>
      <c r="P565" s="172"/>
      <c r="Q565" s="172"/>
      <c r="R565" s="172"/>
      <c r="S565" s="172"/>
      <c r="T565" s="172"/>
      <c r="U565" s="172"/>
      <c r="V565" s="172"/>
      <c r="W565" s="172"/>
      <c r="X565" s="172"/>
      <c r="Y565" s="172"/>
      <c r="Z565" s="172"/>
    </row>
    <row r="566">
      <c r="A566" s="172"/>
      <c r="B566" s="172"/>
      <c r="C566" s="172"/>
      <c r="D566" s="172"/>
      <c r="E566" s="172"/>
      <c r="F566" s="172"/>
      <c r="G566" s="172"/>
      <c r="H566" s="172"/>
      <c r="I566" s="172"/>
      <c r="J566" s="172"/>
      <c r="K566" s="172"/>
      <c r="L566" s="172"/>
      <c r="M566" s="172"/>
      <c r="N566" s="172"/>
      <c r="O566" s="172"/>
      <c r="P566" s="172"/>
      <c r="Q566" s="172"/>
      <c r="R566" s="172"/>
      <c r="S566" s="172"/>
      <c r="T566" s="172"/>
      <c r="U566" s="172"/>
      <c r="V566" s="172"/>
      <c r="W566" s="172"/>
      <c r="X566" s="172"/>
      <c r="Y566" s="172"/>
      <c r="Z566" s="172"/>
    </row>
    <row r="567">
      <c r="A567" s="172"/>
      <c r="B567" s="172"/>
      <c r="C567" s="172"/>
      <c r="D567" s="172"/>
      <c r="E567" s="172"/>
      <c r="F567" s="172"/>
      <c r="G567" s="172"/>
      <c r="H567" s="172"/>
      <c r="I567" s="172"/>
      <c r="J567" s="172"/>
      <c r="K567" s="172"/>
      <c r="L567" s="172"/>
      <c r="M567" s="172"/>
      <c r="N567" s="172"/>
      <c r="O567" s="172"/>
      <c r="P567" s="172"/>
      <c r="Q567" s="172"/>
      <c r="R567" s="172"/>
      <c r="S567" s="172"/>
      <c r="T567" s="172"/>
      <c r="U567" s="172"/>
      <c r="V567" s="172"/>
      <c r="W567" s="172"/>
      <c r="X567" s="172"/>
      <c r="Y567" s="172"/>
      <c r="Z567" s="172"/>
    </row>
    <row r="568">
      <c r="A568" s="172"/>
      <c r="B568" s="172"/>
      <c r="C568" s="172"/>
      <c r="D568" s="172"/>
      <c r="E568" s="172"/>
      <c r="F568" s="172"/>
      <c r="G568" s="172"/>
      <c r="H568" s="172"/>
      <c r="I568" s="172"/>
      <c r="J568" s="172"/>
      <c r="K568" s="172"/>
      <c r="L568" s="172"/>
      <c r="M568" s="172"/>
      <c r="N568" s="172"/>
      <c r="O568" s="172"/>
      <c r="P568" s="172"/>
      <c r="Q568" s="172"/>
      <c r="R568" s="172"/>
      <c r="S568" s="172"/>
      <c r="T568" s="172"/>
      <c r="U568" s="172"/>
      <c r="V568" s="172"/>
      <c r="W568" s="172"/>
      <c r="X568" s="172"/>
      <c r="Y568" s="172"/>
      <c r="Z568" s="172"/>
    </row>
    <row r="569">
      <c r="A569" s="172"/>
      <c r="B569" s="172"/>
      <c r="C569" s="172"/>
      <c r="D569" s="172"/>
      <c r="E569" s="172"/>
      <c r="F569" s="172"/>
      <c r="G569" s="172"/>
      <c r="H569" s="172"/>
      <c r="I569" s="172"/>
      <c r="J569" s="172"/>
      <c r="K569" s="172"/>
      <c r="L569" s="172"/>
      <c r="M569" s="172"/>
      <c r="N569" s="172"/>
      <c r="O569" s="172"/>
      <c r="P569" s="172"/>
      <c r="Q569" s="172"/>
      <c r="R569" s="172"/>
      <c r="S569" s="172"/>
      <c r="T569" s="172"/>
      <c r="U569" s="172"/>
      <c r="V569" s="172"/>
      <c r="W569" s="172"/>
      <c r="X569" s="172"/>
      <c r="Y569" s="172"/>
      <c r="Z569" s="172"/>
    </row>
    <row r="570">
      <c r="A570" s="172"/>
      <c r="B570" s="172"/>
      <c r="C570" s="172"/>
      <c r="D570" s="172"/>
      <c r="E570" s="172"/>
      <c r="F570" s="172"/>
      <c r="G570" s="172"/>
      <c r="H570" s="172"/>
      <c r="I570" s="172"/>
      <c r="J570" s="172"/>
      <c r="K570" s="172"/>
      <c r="L570" s="172"/>
      <c r="M570" s="172"/>
      <c r="N570" s="172"/>
      <c r="O570" s="172"/>
      <c r="P570" s="172"/>
      <c r="Q570" s="172"/>
      <c r="R570" s="172"/>
      <c r="S570" s="172"/>
      <c r="T570" s="172"/>
      <c r="U570" s="172"/>
      <c r="V570" s="172"/>
      <c r="W570" s="172"/>
      <c r="X570" s="172"/>
      <c r="Y570" s="172"/>
      <c r="Z570" s="172"/>
    </row>
    <row r="571">
      <c r="A571" s="172"/>
      <c r="B571" s="172"/>
      <c r="C571" s="172"/>
      <c r="D571" s="172"/>
      <c r="E571" s="172"/>
      <c r="F571" s="172"/>
      <c r="G571" s="172"/>
      <c r="H571" s="172"/>
      <c r="I571" s="172"/>
      <c r="J571" s="172"/>
      <c r="K571" s="172"/>
      <c r="L571" s="172"/>
      <c r="M571" s="172"/>
      <c r="N571" s="172"/>
      <c r="O571" s="172"/>
      <c r="P571" s="172"/>
      <c r="Q571" s="172"/>
      <c r="R571" s="172"/>
      <c r="S571" s="172"/>
      <c r="T571" s="172"/>
      <c r="U571" s="172"/>
      <c r="V571" s="172"/>
      <c r="W571" s="172"/>
      <c r="X571" s="172"/>
      <c r="Y571" s="172"/>
      <c r="Z571" s="172"/>
    </row>
    <row r="572">
      <c r="A572" s="172"/>
      <c r="B572" s="172"/>
      <c r="C572" s="172"/>
      <c r="D572" s="172"/>
      <c r="E572" s="172"/>
      <c r="F572" s="172"/>
      <c r="G572" s="172"/>
      <c r="H572" s="172"/>
      <c r="I572" s="172"/>
      <c r="J572" s="172"/>
      <c r="K572" s="172"/>
      <c r="L572" s="172"/>
      <c r="M572" s="172"/>
      <c r="N572" s="172"/>
      <c r="O572" s="172"/>
      <c r="P572" s="172"/>
      <c r="Q572" s="172"/>
      <c r="R572" s="172"/>
      <c r="S572" s="172"/>
      <c r="T572" s="172"/>
      <c r="U572" s="172"/>
      <c r="V572" s="172"/>
      <c r="W572" s="172"/>
      <c r="X572" s="172"/>
      <c r="Y572" s="172"/>
      <c r="Z572" s="172"/>
    </row>
    <row r="573">
      <c r="A573" s="172"/>
      <c r="B573" s="172"/>
      <c r="C573" s="172"/>
      <c r="D573" s="172"/>
      <c r="E573" s="172"/>
      <c r="F573" s="172"/>
      <c r="G573" s="172"/>
      <c r="H573" s="172"/>
      <c r="I573" s="172"/>
      <c r="J573" s="172"/>
      <c r="K573" s="172"/>
      <c r="L573" s="172"/>
      <c r="M573" s="172"/>
      <c r="N573" s="172"/>
      <c r="O573" s="172"/>
      <c r="P573" s="172"/>
      <c r="Q573" s="172"/>
      <c r="R573" s="172"/>
      <c r="S573" s="172"/>
      <c r="T573" s="172"/>
      <c r="U573" s="172"/>
      <c r="V573" s="172"/>
      <c r="W573" s="172"/>
      <c r="X573" s="172"/>
      <c r="Y573" s="172"/>
      <c r="Z573" s="172"/>
    </row>
    <row r="574">
      <c r="A574" s="172"/>
      <c r="B574" s="172"/>
      <c r="C574" s="172"/>
      <c r="D574" s="172"/>
      <c r="E574" s="172"/>
      <c r="F574" s="172"/>
      <c r="G574" s="172"/>
      <c r="H574" s="172"/>
      <c r="I574" s="172"/>
      <c r="J574" s="172"/>
      <c r="K574" s="172"/>
      <c r="L574" s="172"/>
      <c r="M574" s="172"/>
      <c r="N574" s="172"/>
      <c r="O574" s="172"/>
      <c r="P574" s="172"/>
      <c r="Q574" s="172"/>
      <c r="R574" s="172"/>
      <c r="S574" s="172"/>
      <c r="T574" s="172"/>
      <c r="U574" s="172"/>
      <c r="V574" s="172"/>
      <c r="W574" s="172"/>
      <c r="X574" s="172"/>
      <c r="Y574" s="172"/>
      <c r="Z574" s="172"/>
    </row>
    <row r="575">
      <c r="A575" s="172"/>
      <c r="B575" s="172"/>
      <c r="C575" s="172"/>
      <c r="D575" s="172"/>
      <c r="E575" s="172"/>
      <c r="F575" s="172"/>
      <c r="G575" s="172"/>
      <c r="H575" s="172"/>
      <c r="I575" s="172"/>
      <c r="J575" s="172"/>
      <c r="K575" s="172"/>
      <c r="L575" s="172"/>
      <c r="M575" s="172"/>
      <c r="N575" s="172"/>
      <c r="O575" s="172"/>
      <c r="P575" s="172"/>
      <c r="Q575" s="172"/>
      <c r="R575" s="172"/>
      <c r="S575" s="172"/>
      <c r="T575" s="172"/>
      <c r="U575" s="172"/>
      <c r="V575" s="172"/>
      <c r="W575" s="172"/>
      <c r="X575" s="172"/>
      <c r="Y575" s="172"/>
      <c r="Z575" s="172"/>
    </row>
    <row r="576">
      <c r="A576" s="172"/>
      <c r="B576" s="172"/>
      <c r="C576" s="172"/>
      <c r="D576" s="172"/>
      <c r="E576" s="172"/>
      <c r="F576" s="172"/>
      <c r="G576" s="172"/>
      <c r="H576" s="172"/>
      <c r="I576" s="172"/>
      <c r="J576" s="172"/>
      <c r="K576" s="172"/>
      <c r="L576" s="172"/>
      <c r="M576" s="172"/>
      <c r="N576" s="172"/>
      <c r="O576" s="172"/>
      <c r="P576" s="172"/>
      <c r="Q576" s="172"/>
      <c r="R576" s="172"/>
      <c r="S576" s="172"/>
      <c r="T576" s="172"/>
      <c r="U576" s="172"/>
      <c r="V576" s="172"/>
      <c r="W576" s="172"/>
      <c r="X576" s="172"/>
      <c r="Y576" s="172"/>
      <c r="Z576" s="172"/>
    </row>
    <row r="577">
      <c r="A577" s="172"/>
      <c r="B577" s="172"/>
      <c r="C577" s="172"/>
      <c r="D577" s="172"/>
      <c r="E577" s="172"/>
      <c r="F577" s="172"/>
      <c r="G577" s="172"/>
      <c r="H577" s="172"/>
      <c r="I577" s="172"/>
      <c r="J577" s="172"/>
      <c r="K577" s="172"/>
      <c r="L577" s="172"/>
      <c r="M577" s="172"/>
      <c r="N577" s="172"/>
      <c r="O577" s="172"/>
      <c r="P577" s="172"/>
      <c r="Q577" s="172"/>
      <c r="R577" s="172"/>
      <c r="S577" s="172"/>
      <c r="T577" s="172"/>
      <c r="U577" s="172"/>
      <c r="V577" s="172"/>
      <c r="W577" s="172"/>
      <c r="X577" s="172"/>
      <c r="Y577" s="172"/>
      <c r="Z577" s="172"/>
    </row>
    <row r="578">
      <c r="A578" s="172"/>
      <c r="B578" s="172"/>
      <c r="C578" s="172"/>
      <c r="D578" s="172"/>
      <c r="E578" s="172"/>
      <c r="F578" s="172"/>
      <c r="G578" s="172"/>
      <c r="H578" s="172"/>
      <c r="I578" s="172"/>
      <c r="J578" s="172"/>
      <c r="K578" s="172"/>
      <c r="L578" s="172"/>
      <c r="M578" s="172"/>
      <c r="N578" s="172"/>
      <c r="O578" s="172"/>
      <c r="P578" s="172"/>
      <c r="Q578" s="172"/>
      <c r="R578" s="172"/>
      <c r="S578" s="172"/>
      <c r="T578" s="172"/>
      <c r="U578" s="172"/>
      <c r="V578" s="172"/>
      <c r="W578" s="172"/>
      <c r="X578" s="172"/>
      <c r="Y578" s="172"/>
      <c r="Z578" s="172"/>
    </row>
    <row r="579">
      <c r="A579" s="172"/>
      <c r="B579" s="172"/>
      <c r="C579" s="172"/>
      <c r="D579" s="172"/>
      <c r="E579" s="172"/>
      <c r="F579" s="172"/>
      <c r="G579" s="172"/>
      <c r="H579" s="172"/>
      <c r="I579" s="172"/>
      <c r="J579" s="172"/>
      <c r="K579" s="172"/>
      <c r="L579" s="172"/>
      <c r="M579" s="172"/>
      <c r="N579" s="172"/>
      <c r="O579" s="172"/>
      <c r="P579" s="172"/>
      <c r="Q579" s="172"/>
      <c r="R579" s="172"/>
      <c r="S579" s="172"/>
      <c r="T579" s="172"/>
      <c r="U579" s="172"/>
      <c r="V579" s="172"/>
      <c r="W579" s="172"/>
      <c r="X579" s="172"/>
      <c r="Y579" s="172"/>
      <c r="Z579" s="172"/>
    </row>
    <row r="580">
      <c r="A580" s="172"/>
      <c r="B580" s="172"/>
      <c r="C580" s="172"/>
      <c r="D580" s="172"/>
      <c r="E580" s="172"/>
      <c r="F580" s="172"/>
      <c r="G580" s="172"/>
      <c r="H580" s="172"/>
      <c r="I580" s="172"/>
      <c r="J580" s="172"/>
      <c r="K580" s="172"/>
      <c r="L580" s="172"/>
      <c r="M580" s="172"/>
      <c r="N580" s="172"/>
      <c r="O580" s="172"/>
      <c r="P580" s="172"/>
      <c r="Q580" s="172"/>
      <c r="R580" s="172"/>
      <c r="S580" s="172"/>
      <c r="T580" s="172"/>
      <c r="U580" s="172"/>
      <c r="V580" s="172"/>
      <c r="W580" s="172"/>
      <c r="X580" s="172"/>
      <c r="Y580" s="172"/>
      <c r="Z580" s="172"/>
    </row>
    <row r="581">
      <c r="A581" s="172"/>
      <c r="B581" s="172"/>
      <c r="C581" s="172"/>
      <c r="D581" s="172"/>
      <c r="E581" s="172"/>
      <c r="F581" s="172"/>
      <c r="G581" s="172"/>
      <c r="H581" s="172"/>
      <c r="I581" s="172"/>
      <c r="J581" s="172"/>
      <c r="K581" s="172"/>
      <c r="L581" s="172"/>
      <c r="M581" s="172"/>
      <c r="N581" s="172"/>
      <c r="O581" s="172"/>
      <c r="P581" s="172"/>
      <c r="Q581" s="172"/>
      <c r="R581" s="172"/>
      <c r="S581" s="172"/>
      <c r="T581" s="172"/>
      <c r="U581" s="172"/>
      <c r="V581" s="172"/>
      <c r="W581" s="172"/>
      <c r="X581" s="172"/>
      <c r="Y581" s="172"/>
      <c r="Z581" s="172"/>
    </row>
    <row r="582">
      <c r="A582" s="172"/>
      <c r="B582" s="172"/>
      <c r="C582" s="172"/>
      <c r="D582" s="172"/>
      <c r="E582" s="172"/>
      <c r="F582" s="172"/>
      <c r="G582" s="172"/>
      <c r="H582" s="172"/>
      <c r="I582" s="172"/>
      <c r="J582" s="172"/>
      <c r="K582" s="172"/>
      <c r="L582" s="172"/>
      <c r="M582" s="172"/>
      <c r="N582" s="172"/>
      <c r="O582" s="172"/>
      <c r="P582" s="172"/>
      <c r="Q582" s="172"/>
      <c r="R582" s="172"/>
      <c r="S582" s="172"/>
      <c r="T582" s="172"/>
      <c r="U582" s="172"/>
      <c r="V582" s="172"/>
      <c r="W582" s="172"/>
      <c r="X582" s="172"/>
      <c r="Y582" s="172"/>
      <c r="Z582" s="172"/>
    </row>
    <row r="583">
      <c r="A583" s="172"/>
      <c r="B583" s="172"/>
      <c r="C583" s="172"/>
      <c r="D583" s="172"/>
      <c r="E583" s="172"/>
      <c r="F583" s="172"/>
      <c r="G583" s="172"/>
      <c r="H583" s="172"/>
      <c r="I583" s="172"/>
      <c r="J583" s="172"/>
      <c r="K583" s="172"/>
      <c r="L583" s="172"/>
      <c r="M583" s="172"/>
      <c r="N583" s="172"/>
      <c r="O583" s="172"/>
      <c r="P583" s="172"/>
      <c r="Q583" s="172"/>
      <c r="R583" s="172"/>
      <c r="S583" s="172"/>
      <c r="T583" s="172"/>
      <c r="U583" s="172"/>
      <c r="V583" s="172"/>
      <c r="W583" s="172"/>
      <c r="X583" s="172"/>
      <c r="Y583" s="172"/>
      <c r="Z583" s="172"/>
    </row>
    <row r="584">
      <c r="A584" s="172"/>
      <c r="B584" s="172"/>
      <c r="C584" s="172"/>
      <c r="D584" s="172"/>
      <c r="E584" s="172"/>
      <c r="F584" s="172"/>
      <c r="G584" s="172"/>
      <c r="H584" s="172"/>
      <c r="I584" s="172"/>
      <c r="J584" s="172"/>
      <c r="K584" s="172"/>
      <c r="L584" s="172"/>
      <c r="M584" s="172"/>
      <c r="N584" s="172"/>
      <c r="O584" s="172"/>
      <c r="P584" s="172"/>
      <c r="Q584" s="172"/>
      <c r="R584" s="172"/>
      <c r="S584" s="172"/>
      <c r="T584" s="172"/>
      <c r="U584" s="172"/>
      <c r="V584" s="172"/>
      <c r="W584" s="172"/>
      <c r="X584" s="172"/>
      <c r="Y584" s="172"/>
      <c r="Z584" s="172"/>
    </row>
    <row r="585">
      <c r="A585" s="172"/>
      <c r="B585" s="172"/>
      <c r="C585" s="172"/>
      <c r="D585" s="172"/>
      <c r="E585" s="172"/>
      <c r="F585" s="172"/>
      <c r="G585" s="172"/>
      <c r="H585" s="172"/>
      <c r="I585" s="172"/>
      <c r="J585" s="172"/>
      <c r="K585" s="172"/>
      <c r="L585" s="172"/>
      <c r="M585" s="172"/>
      <c r="N585" s="172"/>
      <c r="O585" s="172"/>
      <c r="P585" s="172"/>
      <c r="Q585" s="172"/>
      <c r="R585" s="172"/>
      <c r="S585" s="172"/>
      <c r="T585" s="172"/>
      <c r="U585" s="172"/>
      <c r="V585" s="172"/>
      <c r="W585" s="172"/>
      <c r="X585" s="172"/>
      <c r="Y585" s="172"/>
      <c r="Z585" s="172"/>
    </row>
    <row r="586">
      <c r="A586" s="172"/>
      <c r="B586" s="172"/>
      <c r="C586" s="172"/>
      <c r="D586" s="172"/>
      <c r="E586" s="172"/>
      <c r="F586" s="172"/>
      <c r="G586" s="172"/>
      <c r="H586" s="172"/>
      <c r="I586" s="172"/>
      <c r="J586" s="172"/>
      <c r="K586" s="172"/>
      <c r="L586" s="172"/>
      <c r="M586" s="172"/>
      <c r="N586" s="172"/>
      <c r="O586" s="172"/>
      <c r="P586" s="172"/>
      <c r="Q586" s="172"/>
      <c r="R586" s="172"/>
      <c r="S586" s="172"/>
      <c r="T586" s="172"/>
      <c r="U586" s="172"/>
      <c r="V586" s="172"/>
      <c r="W586" s="172"/>
      <c r="X586" s="172"/>
      <c r="Y586" s="172"/>
      <c r="Z586" s="172"/>
    </row>
    <row r="587">
      <c r="A587" s="172"/>
      <c r="B587" s="172"/>
      <c r="C587" s="172"/>
      <c r="D587" s="172"/>
      <c r="E587" s="172"/>
      <c r="F587" s="172"/>
      <c r="G587" s="172"/>
      <c r="H587" s="172"/>
      <c r="I587" s="172"/>
      <c r="J587" s="172"/>
      <c r="K587" s="172"/>
      <c r="L587" s="172"/>
      <c r="M587" s="172"/>
      <c r="N587" s="172"/>
      <c r="O587" s="172"/>
      <c r="P587" s="172"/>
      <c r="Q587" s="172"/>
      <c r="R587" s="172"/>
      <c r="S587" s="172"/>
      <c r="T587" s="172"/>
      <c r="U587" s="172"/>
      <c r="V587" s="172"/>
      <c r="W587" s="172"/>
      <c r="X587" s="172"/>
      <c r="Y587" s="172"/>
      <c r="Z587" s="172"/>
    </row>
    <row r="588">
      <c r="A588" s="172"/>
      <c r="B588" s="172"/>
      <c r="C588" s="172"/>
      <c r="D588" s="172"/>
      <c r="E588" s="172"/>
      <c r="F588" s="172"/>
      <c r="G588" s="172"/>
      <c r="H588" s="172"/>
      <c r="I588" s="172"/>
      <c r="J588" s="172"/>
      <c r="K588" s="172"/>
      <c r="L588" s="172"/>
      <c r="M588" s="172"/>
      <c r="N588" s="172"/>
      <c r="O588" s="172"/>
      <c r="P588" s="172"/>
      <c r="Q588" s="172"/>
      <c r="R588" s="172"/>
      <c r="S588" s="172"/>
      <c r="T588" s="172"/>
      <c r="U588" s="172"/>
      <c r="V588" s="172"/>
      <c r="W588" s="172"/>
      <c r="X588" s="172"/>
      <c r="Y588" s="172"/>
      <c r="Z588" s="172"/>
    </row>
    <row r="589">
      <c r="A589" s="172"/>
      <c r="B589" s="172"/>
      <c r="C589" s="172"/>
      <c r="D589" s="172"/>
      <c r="E589" s="172"/>
      <c r="F589" s="172"/>
      <c r="G589" s="172"/>
      <c r="H589" s="172"/>
      <c r="I589" s="172"/>
      <c r="J589" s="172"/>
      <c r="K589" s="172"/>
      <c r="L589" s="172"/>
      <c r="M589" s="172"/>
      <c r="N589" s="172"/>
      <c r="O589" s="172"/>
      <c r="P589" s="172"/>
      <c r="Q589" s="172"/>
      <c r="R589" s="172"/>
      <c r="S589" s="172"/>
      <c r="T589" s="172"/>
      <c r="U589" s="172"/>
      <c r="V589" s="172"/>
      <c r="W589" s="172"/>
      <c r="X589" s="172"/>
      <c r="Y589" s="172"/>
      <c r="Z589" s="172"/>
    </row>
    <row r="590">
      <c r="A590" s="172"/>
      <c r="B590" s="172"/>
      <c r="C590" s="172"/>
      <c r="D590" s="172"/>
      <c r="E590" s="172"/>
      <c r="F590" s="172"/>
      <c r="G590" s="172"/>
      <c r="H590" s="172"/>
      <c r="I590" s="172"/>
      <c r="J590" s="172"/>
      <c r="K590" s="172"/>
      <c r="L590" s="172"/>
      <c r="M590" s="172"/>
      <c r="N590" s="172"/>
      <c r="O590" s="172"/>
      <c r="P590" s="172"/>
      <c r="Q590" s="172"/>
      <c r="R590" s="172"/>
      <c r="S590" s="172"/>
      <c r="T590" s="172"/>
      <c r="U590" s="172"/>
      <c r="V590" s="172"/>
      <c r="W590" s="172"/>
      <c r="X590" s="172"/>
      <c r="Y590" s="172"/>
      <c r="Z590" s="172"/>
    </row>
    <row r="591">
      <c r="A591" s="172"/>
      <c r="B591" s="172"/>
      <c r="C591" s="172"/>
      <c r="D591" s="172"/>
      <c r="E591" s="172"/>
      <c r="F591" s="172"/>
      <c r="G591" s="172"/>
      <c r="H591" s="172"/>
      <c r="I591" s="172"/>
      <c r="J591" s="172"/>
      <c r="K591" s="172"/>
      <c r="L591" s="172"/>
      <c r="M591" s="172"/>
      <c r="N591" s="172"/>
      <c r="O591" s="172"/>
      <c r="P591" s="172"/>
      <c r="Q591" s="172"/>
      <c r="R591" s="172"/>
      <c r="S591" s="172"/>
      <c r="T591" s="172"/>
      <c r="U591" s="172"/>
      <c r="V591" s="172"/>
      <c r="W591" s="172"/>
      <c r="X591" s="172"/>
      <c r="Y591" s="172"/>
      <c r="Z591" s="172"/>
    </row>
    <row r="592">
      <c r="A592" s="172"/>
      <c r="B592" s="172"/>
      <c r="C592" s="172"/>
      <c r="D592" s="172"/>
      <c r="E592" s="172"/>
      <c r="F592" s="172"/>
      <c r="G592" s="172"/>
      <c r="H592" s="172"/>
      <c r="I592" s="172"/>
      <c r="J592" s="172"/>
      <c r="K592" s="172"/>
      <c r="L592" s="172"/>
      <c r="M592" s="172"/>
      <c r="N592" s="172"/>
      <c r="O592" s="172"/>
      <c r="P592" s="172"/>
      <c r="Q592" s="172"/>
      <c r="R592" s="172"/>
      <c r="S592" s="172"/>
      <c r="T592" s="172"/>
      <c r="U592" s="172"/>
      <c r="V592" s="172"/>
      <c r="W592" s="172"/>
      <c r="X592" s="172"/>
      <c r="Y592" s="172"/>
      <c r="Z592" s="172"/>
    </row>
    <row r="593">
      <c r="A593" s="172"/>
      <c r="B593" s="172"/>
      <c r="C593" s="172"/>
      <c r="D593" s="172"/>
      <c r="E593" s="172"/>
      <c r="F593" s="172"/>
      <c r="G593" s="172"/>
      <c r="H593" s="172"/>
      <c r="I593" s="172"/>
      <c r="J593" s="172"/>
      <c r="K593" s="172"/>
      <c r="L593" s="172"/>
      <c r="M593" s="172"/>
      <c r="N593" s="172"/>
      <c r="O593" s="172"/>
      <c r="P593" s="172"/>
      <c r="Q593" s="172"/>
      <c r="R593" s="172"/>
      <c r="S593" s="172"/>
      <c r="T593" s="172"/>
      <c r="U593" s="172"/>
      <c r="V593" s="172"/>
      <c r="W593" s="172"/>
      <c r="X593" s="172"/>
      <c r="Y593" s="172"/>
      <c r="Z593" s="172"/>
    </row>
    <row r="594">
      <c r="A594" s="172"/>
      <c r="B594" s="172"/>
      <c r="C594" s="172"/>
      <c r="D594" s="172"/>
      <c r="E594" s="172"/>
      <c r="F594" s="172"/>
      <c r="G594" s="172"/>
      <c r="H594" s="172"/>
      <c r="I594" s="172"/>
      <c r="J594" s="172"/>
      <c r="K594" s="172"/>
      <c r="L594" s="172"/>
      <c r="M594" s="172"/>
      <c r="N594" s="172"/>
      <c r="O594" s="172"/>
      <c r="P594" s="172"/>
      <c r="Q594" s="172"/>
      <c r="R594" s="172"/>
      <c r="S594" s="172"/>
      <c r="T594" s="172"/>
      <c r="U594" s="172"/>
      <c r="V594" s="172"/>
      <c r="W594" s="172"/>
      <c r="X594" s="172"/>
      <c r="Y594" s="172"/>
      <c r="Z594" s="172"/>
    </row>
    <row r="595">
      <c r="A595" s="172"/>
      <c r="B595" s="172"/>
      <c r="C595" s="172"/>
      <c r="D595" s="172"/>
      <c r="E595" s="172"/>
      <c r="F595" s="172"/>
      <c r="G595" s="172"/>
      <c r="H595" s="172"/>
      <c r="I595" s="172"/>
      <c r="J595" s="172"/>
      <c r="K595" s="172"/>
      <c r="L595" s="172"/>
      <c r="M595" s="172"/>
      <c r="N595" s="172"/>
      <c r="O595" s="172"/>
      <c r="P595" s="172"/>
      <c r="Q595" s="172"/>
      <c r="R595" s="172"/>
      <c r="S595" s="172"/>
      <c r="T595" s="172"/>
      <c r="U595" s="172"/>
      <c r="V595" s="172"/>
      <c r="W595" s="172"/>
      <c r="X595" s="172"/>
      <c r="Y595" s="172"/>
      <c r="Z595" s="172"/>
    </row>
    <row r="596">
      <c r="A596" s="172"/>
      <c r="B596" s="172"/>
      <c r="C596" s="172"/>
      <c r="D596" s="172"/>
      <c r="E596" s="172"/>
      <c r="F596" s="172"/>
      <c r="G596" s="172"/>
      <c r="H596" s="172"/>
      <c r="I596" s="172"/>
      <c r="J596" s="172"/>
      <c r="K596" s="172"/>
      <c r="L596" s="172"/>
      <c r="M596" s="172"/>
      <c r="N596" s="172"/>
      <c r="O596" s="172"/>
      <c r="P596" s="172"/>
      <c r="Q596" s="172"/>
      <c r="R596" s="172"/>
      <c r="S596" s="172"/>
      <c r="T596" s="172"/>
      <c r="U596" s="172"/>
      <c r="V596" s="172"/>
      <c r="W596" s="172"/>
      <c r="X596" s="172"/>
      <c r="Y596" s="172"/>
      <c r="Z596" s="172"/>
    </row>
    <row r="597">
      <c r="A597" s="172"/>
      <c r="B597" s="172"/>
      <c r="C597" s="172"/>
      <c r="D597" s="172"/>
      <c r="E597" s="172"/>
      <c r="F597" s="172"/>
      <c r="G597" s="172"/>
      <c r="H597" s="172"/>
      <c r="I597" s="172"/>
      <c r="J597" s="172"/>
      <c r="K597" s="172"/>
      <c r="L597" s="172"/>
      <c r="M597" s="172"/>
      <c r="N597" s="172"/>
      <c r="O597" s="172"/>
      <c r="P597" s="172"/>
      <c r="Q597" s="172"/>
      <c r="R597" s="172"/>
      <c r="S597" s="172"/>
      <c r="T597" s="172"/>
      <c r="U597" s="172"/>
      <c r="V597" s="172"/>
      <c r="W597" s="172"/>
      <c r="X597" s="172"/>
      <c r="Y597" s="172"/>
      <c r="Z597" s="172"/>
    </row>
    <row r="598">
      <c r="A598" s="172"/>
      <c r="B598" s="172"/>
      <c r="C598" s="172"/>
      <c r="D598" s="172"/>
      <c r="E598" s="172"/>
      <c r="F598" s="172"/>
      <c r="G598" s="172"/>
      <c r="H598" s="172"/>
      <c r="I598" s="172"/>
      <c r="J598" s="172"/>
      <c r="K598" s="172"/>
      <c r="L598" s="172"/>
      <c r="M598" s="172"/>
      <c r="N598" s="172"/>
      <c r="O598" s="172"/>
      <c r="P598" s="172"/>
      <c r="Q598" s="172"/>
      <c r="R598" s="172"/>
      <c r="S598" s="172"/>
      <c r="T598" s="172"/>
      <c r="U598" s="172"/>
      <c r="V598" s="172"/>
      <c r="W598" s="172"/>
      <c r="X598" s="172"/>
      <c r="Y598" s="172"/>
      <c r="Z598" s="172"/>
    </row>
    <row r="599">
      <c r="A599" s="172"/>
      <c r="B599" s="172"/>
      <c r="C599" s="172"/>
      <c r="D599" s="172"/>
      <c r="E599" s="172"/>
      <c r="F599" s="172"/>
      <c r="G599" s="172"/>
      <c r="H599" s="172"/>
      <c r="I599" s="172"/>
      <c r="J599" s="172"/>
      <c r="K599" s="172"/>
      <c r="L599" s="172"/>
      <c r="M599" s="172"/>
      <c r="N599" s="172"/>
      <c r="O599" s="172"/>
      <c r="P599" s="172"/>
      <c r="Q599" s="172"/>
      <c r="R599" s="172"/>
      <c r="S599" s="172"/>
      <c r="T599" s="172"/>
      <c r="U599" s="172"/>
      <c r="V599" s="172"/>
      <c r="W599" s="172"/>
      <c r="X599" s="172"/>
      <c r="Y599" s="172"/>
      <c r="Z599" s="172"/>
    </row>
    <row r="600">
      <c r="A600" s="172"/>
      <c r="B600" s="172"/>
      <c r="C600" s="172"/>
      <c r="D600" s="172"/>
      <c r="E600" s="172"/>
      <c r="F600" s="172"/>
      <c r="G600" s="172"/>
      <c r="H600" s="172"/>
      <c r="I600" s="172"/>
      <c r="J600" s="172"/>
      <c r="K600" s="172"/>
      <c r="L600" s="172"/>
      <c r="M600" s="172"/>
      <c r="N600" s="172"/>
      <c r="O600" s="172"/>
      <c r="P600" s="172"/>
      <c r="Q600" s="172"/>
      <c r="R600" s="172"/>
      <c r="S600" s="172"/>
      <c r="T600" s="172"/>
      <c r="U600" s="172"/>
      <c r="V600" s="172"/>
      <c r="W600" s="172"/>
      <c r="X600" s="172"/>
      <c r="Y600" s="172"/>
      <c r="Z600" s="172"/>
    </row>
    <row r="601">
      <c r="A601" s="172"/>
      <c r="B601" s="172"/>
      <c r="C601" s="172"/>
      <c r="D601" s="172"/>
      <c r="E601" s="172"/>
      <c r="F601" s="172"/>
      <c r="G601" s="172"/>
      <c r="H601" s="172"/>
      <c r="I601" s="172"/>
      <c r="J601" s="172"/>
      <c r="K601" s="172"/>
      <c r="L601" s="172"/>
      <c r="M601" s="172"/>
      <c r="N601" s="172"/>
      <c r="O601" s="172"/>
      <c r="P601" s="172"/>
      <c r="Q601" s="172"/>
      <c r="R601" s="172"/>
      <c r="S601" s="172"/>
      <c r="T601" s="172"/>
      <c r="U601" s="172"/>
      <c r="V601" s="172"/>
      <c r="W601" s="172"/>
      <c r="X601" s="172"/>
      <c r="Y601" s="172"/>
      <c r="Z601" s="172"/>
    </row>
    <row r="602">
      <c r="A602" s="172"/>
      <c r="B602" s="172"/>
      <c r="C602" s="172"/>
      <c r="D602" s="172"/>
      <c r="E602" s="172"/>
      <c r="F602" s="172"/>
      <c r="G602" s="172"/>
      <c r="H602" s="172"/>
      <c r="I602" s="172"/>
      <c r="J602" s="172"/>
      <c r="K602" s="172"/>
      <c r="L602" s="172"/>
      <c r="M602" s="172"/>
      <c r="N602" s="172"/>
      <c r="O602" s="172"/>
      <c r="P602" s="172"/>
      <c r="Q602" s="172"/>
      <c r="R602" s="172"/>
      <c r="S602" s="172"/>
      <c r="T602" s="172"/>
      <c r="U602" s="172"/>
      <c r="V602" s="172"/>
      <c r="W602" s="172"/>
      <c r="X602" s="172"/>
      <c r="Y602" s="172"/>
      <c r="Z602" s="172"/>
    </row>
    <row r="603">
      <c r="A603" s="172"/>
      <c r="B603" s="172"/>
      <c r="C603" s="172"/>
      <c r="D603" s="172"/>
      <c r="E603" s="172"/>
      <c r="F603" s="172"/>
      <c r="G603" s="172"/>
      <c r="H603" s="172"/>
      <c r="I603" s="172"/>
      <c r="J603" s="172"/>
      <c r="K603" s="172"/>
      <c r="L603" s="172"/>
      <c r="M603" s="172"/>
      <c r="N603" s="172"/>
      <c r="O603" s="172"/>
      <c r="P603" s="172"/>
      <c r="Q603" s="172"/>
      <c r="R603" s="172"/>
      <c r="S603" s="172"/>
      <c r="T603" s="172"/>
      <c r="U603" s="172"/>
      <c r="V603" s="172"/>
      <c r="W603" s="172"/>
      <c r="X603" s="172"/>
      <c r="Y603" s="172"/>
      <c r="Z603" s="172"/>
    </row>
    <row r="604">
      <c r="A604" s="172"/>
      <c r="B604" s="172"/>
      <c r="C604" s="172"/>
      <c r="D604" s="172"/>
      <c r="E604" s="172"/>
      <c r="F604" s="172"/>
      <c r="G604" s="172"/>
      <c r="H604" s="172"/>
      <c r="I604" s="172"/>
      <c r="J604" s="172"/>
      <c r="K604" s="172"/>
      <c r="L604" s="172"/>
      <c r="M604" s="172"/>
      <c r="N604" s="172"/>
      <c r="O604" s="172"/>
      <c r="P604" s="172"/>
      <c r="Q604" s="172"/>
      <c r="R604" s="172"/>
      <c r="S604" s="172"/>
      <c r="T604" s="172"/>
      <c r="U604" s="172"/>
      <c r="V604" s="172"/>
      <c r="W604" s="172"/>
      <c r="X604" s="172"/>
      <c r="Y604" s="172"/>
      <c r="Z604" s="172"/>
    </row>
    <row r="605">
      <c r="A605" s="172"/>
      <c r="B605" s="172"/>
      <c r="C605" s="172"/>
      <c r="D605" s="172"/>
      <c r="E605" s="172"/>
      <c r="F605" s="172"/>
      <c r="G605" s="172"/>
      <c r="H605" s="172"/>
      <c r="I605" s="172"/>
      <c r="J605" s="172"/>
      <c r="K605" s="172"/>
      <c r="L605" s="172"/>
      <c r="M605" s="172"/>
      <c r="N605" s="172"/>
      <c r="O605" s="172"/>
      <c r="P605" s="172"/>
      <c r="Q605" s="172"/>
      <c r="R605" s="172"/>
      <c r="S605" s="172"/>
      <c r="T605" s="172"/>
      <c r="U605" s="172"/>
      <c r="V605" s="172"/>
      <c r="W605" s="172"/>
      <c r="X605" s="172"/>
      <c r="Y605" s="172"/>
      <c r="Z605" s="172"/>
    </row>
    <row r="606">
      <c r="A606" s="172"/>
      <c r="B606" s="172"/>
      <c r="C606" s="172"/>
      <c r="D606" s="172"/>
      <c r="E606" s="172"/>
      <c r="F606" s="172"/>
      <c r="G606" s="172"/>
      <c r="H606" s="172"/>
      <c r="I606" s="172"/>
      <c r="J606" s="172"/>
      <c r="K606" s="172"/>
      <c r="L606" s="172"/>
      <c r="M606" s="172"/>
      <c r="N606" s="172"/>
      <c r="O606" s="172"/>
      <c r="P606" s="172"/>
      <c r="Q606" s="172"/>
      <c r="R606" s="172"/>
      <c r="S606" s="172"/>
      <c r="T606" s="172"/>
      <c r="U606" s="172"/>
      <c r="V606" s="172"/>
      <c r="W606" s="172"/>
      <c r="X606" s="172"/>
      <c r="Y606" s="172"/>
      <c r="Z606" s="172"/>
    </row>
    <row r="607">
      <c r="A607" s="172"/>
      <c r="B607" s="172"/>
      <c r="C607" s="172"/>
      <c r="D607" s="172"/>
      <c r="E607" s="172"/>
      <c r="F607" s="172"/>
      <c r="G607" s="172"/>
      <c r="H607" s="172"/>
      <c r="I607" s="172"/>
      <c r="J607" s="172"/>
      <c r="K607" s="172"/>
      <c r="L607" s="172"/>
      <c r="M607" s="172"/>
      <c r="N607" s="172"/>
      <c r="O607" s="172"/>
      <c r="P607" s="172"/>
      <c r="Q607" s="172"/>
      <c r="R607" s="172"/>
      <c r="S607" s="172"/>
      <c r="T607" s="172"/>
      <c r="U607" s="172"/>
      <c r="V607" s="172"/>
      <c r="W607" s="172"/>
      <c r="X607" s="172"/>
      <c r="Y607" s="172"/>
      <c r="Z607" s="172"/>
    </row>
    <row r="608">
      <c r="A608" s="172"/>
      <c r="B608" s="172"/>
      <c r="C608" s="172"/>
      <c r="D608" s="172"/>
      <c r="E608" s="172"/>
      <c r="F608" s="172"/>
      <c r="G608" s="172"/>
      <c r="H608" s="172"/>
      <c r="I608" s="172"/>
      <c r="J608" s="172"/>
      <c r="K608" s="172"/>
      <c r="L608" s="172"/>
      <c r="M608" s="172"/>
      <c r="N608" s="172"/>
      <c r="O608" s="172"/>
      <c r="P608" s="172"/>
      <c r="Q608" s="172"/>
      <c r="R608" s="172"/>
      <c r="S608" s="172"/>
      <c r="T608" s="172"/>
      <c r="U608" s="172"/>
      <c r="V608" s="172"/>
      <c r="W608" s="172"/>
      <c r="X608" s="172"/>
      <c r="Y608" s="172"/>
      <c r="Z608" s="172"/>
    </row>
    <row r="609">
      <c r="A609" s="172"/>
      <c r="B609" s="172"/>
      <c r="C609" s="172"/>
      <c r="D609" s="172"/>
      <c r="E609" s="172"/>
      <c r="F609" s="172"/>
      <c r="G609" s="172"/>
      <c r="H609" s="172"/>
      <c r="I609" s="172"/>
      <c r="J609" s="172"/>
      <c r="K609" s="172"/>
      <c r="L609" s="172"/>
      <c r="M609" s="172"/>
      <c r="N609" s="172"/>
      <c r="O609" s="172"/>
      <c r="P609" s="172"/>
      <c r="Q609" s="172"/>
      <c r="R609" s="172"/>
      <c r="S609" s="172"/>
      <c r="T609" s="172"/>
      <c r="U609" s="172"/>
      <c r="V609" s="172"/>
      <c r="W609" s="172"/>
      <c r="X609" s="172"/>
      <c r="Y609" s="172"/>
      <c r="Z609" s="172"/>
    </row>
    <row r="610">
      <c r="A610" s="172"/>
      <c r="B610" s="172"/>
      <c r="C610" s="172"/>
      <c r="D610" s="172"/>
      <c r="E610" s="172"/>
      <c r="F610" s="172"/>
      <c r="G610" s="172"/>
      <c r="H610" s="172"/>
      <c r="I610" s="172"/>
      <c r="J610" s="172"/>
      <c r="K610" s="172"/>
      <c r="L610" s="172"/>
      <c r="M610" s="172"/>
      <c r="N610" s="172"/>
      <c r="O610" s="172"/>
      <c r="P610" s="172"/>
      <c r="Q610" s="172"/>
      <c r="R610" s="172"/>
      <c r="S610" s="172"/>
      <c r="T610" s="172"/>
      <c r="U610" s="172"/>
      <c r="V610" s="172"/>
      <c r="W610" s="172"/>
      <c r="X610" s="172"/>
      <c r="Y610" s="172"/>
      <c r="Z610" s="172"/>
    </row>
    <row r="611">
      <c r="A611" s="172"/>
      <c r="B611" s="172"/>
      <c r="C611" s="172"/>
      <c r="D611" s="172"/>
      <c r="E611" s="172"/>
      <c r="F611" s="172"/>
      <c r="G611" s="172"/>
      <c r="H611" s="172"/>
      <c r="I611" s="172"/>
      <c r="J611" s="172"/>
      <c r="K611" s="172"/>
      <c r="L611" s="172"/>
      <c r="M611" s="172"/>
      <c r="N611" s="172"/>
      <c r="O611" s="172"/>
      <c r="P611" s="172"/>
      <c r="Q611" s="172"/>
      <c r="R611" s="172"/>
      <c r="S611" s="172"/>
      <c r="T611" s="172"/>
      <c r="U611" s="172"/>
      <c r="V611" s="172"/>
      <c r="W611" s="172"/>
      <c r="X611" s="172"/>
      <c r="Y611" s="172"/>
      <c r="Z611" s="172"/>
    </row>
    <row r="612">
      <c r="A612" s="172"/>
      <c r="B612" s="172"/>
      <c r="C612" s="172"/>
      <c r="D612" s="172"/>
      <c r="E612" s="172"/>
      <c r="F612" s="172"/>
      <c r="G612" s="172"/>
      <c r="H612" s="172"/>
      <c r="I612" s="172"/>
      <c r="J612" s="172"/>
      <c r="K612" s="172"/>
      <c r="L612" s="172"/>
      <c r="M612" s="172"/>
      <c r="N612" s="172"/>
      <c r="O612" s="172"/>
      <c r="P612" s="172"/>
      <c r="Q612" s="172"/>
      <c r="R612" s="172"/>
      <c r="S612" s="172"/>
      <c r="T612" s="172"/>
      <c r="U612" s="172"/>
      <c r="V612" s="172"/>
      <c r="W612" s="172"/>
      <c r="X612" s="172"/>
      <c r="Y612" s="172"/>
      <c r="Z612" s="172"/>
    </row>
    <row r="613">
      <c r="A613" s="172"/>
      <c r="B613" s="172"/>
      <c r="C613" s="172"/>
      <c r="D613" s="172"/>
      <c r="E613" s="172"/>
      <c r="F613" s="172"/>
      <c r="G613" s="172"/>
      <c r="H613" s="172"/>
      <c r="I613" s="172"/>
      <c r="J613" s="172"/>
      <c r="K613" s="172"/>
      <c r="L613" s="172"/>
      <c r="M613" s="172"/>
      <c r="N613" s="172"/>
      <c r="O613" s="172"/>
      <c r="P613" s="172"/>
      <c r="Q613" s="172"/>
      <c r="R613" s="172"/>
      <c r="S613" s="172"/>
      <c r="T613" s="172"/>
      <c r="U613" s="172"/>
      <c r="V613" s="172"/>
      <c r="W613" s="172"/>
      <c r="X613" s="172"/>
      <c r="Y613" s="172"/>
      <c r="Z613" s="172"/>
    </row>
    <row r="614">
      <c r="A614" s="172"/>
      <c r="B614" s="172"/>
      <c r="C614" s="172"/>
      <c r="D614" s="172"/>
      <c r="E614" s="172"/>
      <c r="F614" s="172"/>
      <c r="G614" s="172"/>
      <c r="H614" s="172"/>
      <c r="I614" s="172"/>
      <c r="J614" s="172"/>
      <c r="K614" s="172"/>
      <c r="L614" s="172"/>
      <c r="M614" s="172"/>
      <c r="N614" s="172"/>
      <c r="O614" s="172"/>
      <c r="P614" s="172"/>
      <c r="Q614" s="172"/>
      <c r="R614" s="172"/>
      <c r="S614" s="172"/>
      <c r="T614" s="172"/>
      <c r="U614" s="172"/>
      <c r="V614" s="172"/>
      <c r="W614" s="172"/>
      <c r="X614" s="172"/>
      <c r="Y614" s="172"/>
      <c r="Z614" s="172"/>
    </row>
    <row r="615">
      <c r="A615" s="172"/>
      <c r="B615" s="172"/>
      <c r="C615" s="172"/>
      <c r="D615" s="172"/>
      <c r="E615" s="172"/>
      <c r="F615" s="172"/>
      <c r="G615" s="172"/>
      <c r="H615" s="172"/>
      <c r="I615" s="172"/>
      <c r="J615" s="172"/>
      <c r="K615" s="172"/>
      <c r="L615" s="172"/>
      <c r="M615" s="172"/>
      <c r="N615" s="172"/>
      <c r="O615" s="172"/>
      <c r="P615" s="172"/>
      <c r="Q615" s="172"/>
      <c r="R615" s="172"/>
      <c r="S615" s="172"/>
      <c r="T615" s="172"/>
      <c r="U615" s="172"/>
      <c r="V615" s="172"/>
      <c r="W615" s="172"/>
      <c r="X615" s="172"/>
      <c r="Y615" s="172"/>
      <c r="Z615" s="172"/>
    </row>
    <row r="616">
      <c r="A616" s="172"/>
      <c r="B616" s="172"/>
      <c r="C616" s="172"/>
      <c r="D616" s="172"/>
      <c r="E616" s="172"/>
      <c r="F616" s="172"/>
      <c r="G616" s="172"/>
      <c r="H616" s="172"/>
      <c r="I616" s="172"/>
      <c r="J616" s="172"/>
      <c r="K616" s="172"/>
      <c r="L616" s="172"/>
      <c r="M616" s="172"/>
      <c r="N616" s="172"/>
      <c r="O616" s="172"/>
      <c r="P616" s="172"/>
      <c r="Q616" s="172"/>
      <c r="R616" s="172"/>
      <c r="S616" s="172"/>
      <c r="T616" s="172"/>
      <c r="U616" s="172"/>
      <c r="V616" s="172"/>
      <c r="W616" s="172"/>
      <c r="X616" s="172"/>
      <c r="Y616" s="172"/>
      <c r="Z616" s="172"/>
    </row>
    <row r="617">
      <c r="A617" s="172"/>
      <c r="B617" s="172"/>
      <c r="C617" s="172"/>
      <c r="D617" s="172"/>
      <c r="E617" s="172"/>
      <c r="F617" s="172"/>
      <c r="G617" s="172"/>
      <c r="H617" s="172"/>
      <c r="I617" s="172"/>
      <c r="J617" s="172"/>
      <c r="K617" s="172"/>
      <c r="L617" s="172"/>
      <c r="M617" s="172"/>
      <c r="N617" s="172"/>
      <c r="O617" s="172"/>
      <c r="P617" s="172"/>
      <c r="Q617" s="172"/>
      <c r="R617" s="172"/>
      <c r="S617" s="172"/>
      <c r="T617" s="172"/>
      <c r="U617" s="172"/>
      <c r="V617" s="172"/>
      <c r="W617" s="172"/>
      <c r="X617" s="172"/>
      <c r="Y617" s="172"/>
      <c r="Z617" s="172"/>
    </row>
    <row r="618">
      <c r="A618" s="172"/>
      <c r="B618" s="172"/>
      <c r="C618" s="172"/>
      <c r="D618" s="172"/>
      <c r="E618" s="172"/>
      <c r="F618" s="172"/>
      <c r="G618" s="172"/>
      <c r="H618" s="172"/>
      <c r="I618" s="172"/>
      <c r="J618" s="172"/>
      <c r="K618" s="172"/>
      <c r="L618" s="172"/>
      <c r="M618" s="172"/>
      <c r="N618" s="172"/>
      <c r="O618" s="172"/>
      <c r="P618" s="172"/>
      <c r="Q618" s="172"/>
      <c r="R618" s="172"/>
      <c r="S618" s="172"/>
      <c r="T618" s="172"/>
      <c r="U618" s="172"/>
      <c r="V618" s="172"/>
      <c r="W618" s="172"/>
      <c r="X618" s="172"/>
      <c r="Y618" s="172"/>
      <c r="Z618" s="172"/>
    </row>
    <row r="619">
      <c r="A619" s="172"/>
      <c r="B619" s="172"/>
      <c r="C619" s="172"/>
      <c r="D619" s="172"/>
      <c r="E619" s="172"/>
      <c r="F619" s="172"/>
      <c r="G619" s="172"/>
      <c r="H619" s="172"/>
      <c r="I619" s="172"/>
      <c r="J619" s="172"/>
      <c r="K619" s="172"/>
      <c r="L619" s="172"/>
      <c r="M619" s="172"/>
      <c r="N619" s="172"/>
      <c r="O619" s="172"/>
      <c r="P619" s="172"/>
      <c r="Q619" s="172"/>
      <c r="R619" s="172"/>
      <c r="S619" s="172"/>
      <c r="T619" s="172"/>
      <c r="U619" s="172"/>
      <c r="V619" s="172"/>
      <c r="W619" s="172"/>
      <c r="X619" s="172"/>
      <c r="Y619" s="172"/>
      <c r="Z619" s="172"/>
    </row>
    <row r="620">
      <c r="A620" s="172"/>
      <c r="B620" s="172"/>
      <c r="C620" s="172"/>
      <c r="D620" s="172"/>
      <c r="E620" s="172"/>
      <c r="F620" s="172"/>
      <c r="G620" s="172"/>
      <c r="H620" s="172"/>
      <c r="I620" s="172"/>
      <c r="J620" s="172"/>
      <c r="K620" s="172"/>
      <c r="L620" s="172"/>
      <c r="M620" s="172"/>
      <c r="N620" s="172"/>
      <c r="O620" s="172"/>
      <c r="P620" s="172"/>
      <c r="Q620" s="172"/>
      <c r="R620" s="172"/>
      <c r="S620" s="172"/>
      <c r="T620" s="172"/>
      <c r="U620" s="172"/>
      <c r="V620" s="172"/>
      <c r="W620" s="172"/>
      <c r="X620" s="172"/>
      <c r="Y620" s="172"/>
      <c r="Z620" s="172"/>
    </row>
    <row r="621">
      <c r="A621" s="172"/>
      <c r="B621" s="172"/>
      <c r="C621" s="172"/>
      <c r="D621" s="172"/>
      <c r="E621" s="172"/>
      <c r="F621" s="172"/>
      <c r="G621" s="172"/>
      <c r="H621" s="172"/>
      <c r="I621" s="172"/>
      <c r="J621" s="172"/>
      <c r="K621" s="172"/>
      <c r="L621" s="172"/>
      <c r="M621" s="172"/>
      <c r="N621" s="172"/>
      <c r="O621" s="172"/>
      <c r="P621" s="172"/>
      <c r="Q621" s="172"/>
      <c r="R621" s="172"/>
      <c r="S621" s="172"/>
      <c r="T621" s="172"/>
      <c r="U621" s="172"/>
      <c r="V621" s="172"/>
      <c r="W621" s="172"/>
      <c r="X621" s="172"/>
      <c r="Y621" s="172"/>
      <c r="Z621" s="172"/>
    </row>
    <row r="622">
      <c r="A622" s="172"/>
      <c r="B622" s="172"/>
      <c r="C622" s="172"/>
      <c r="D622" s="172"/>
      <c r="E622" s="172"/>
      <c r="F622" s="172"/>
      <c r="G622" s="172"/>
      <c r="H622" s="172"/>
      <c r="I622" s="172"/>
      <c r="J622" s="172"/>
      <c r="K622" s="172"/>
      <c r="L622" s="172"/>
      <c r="M622" s="172"/>
      <c r="N622" s="172"/>
      <c r="O622" s="172"/>
      <c r="P622" s="172"/>
      <c r="Q622" s="172"/>
      <c r="R622" s="172"/>
      <c r="S622" s="172"/>
      <c r="T622" s="172"/>
      <c r="U622" s="172"/>
      <c r="V622" s="172"/>
      <c r="W622" s="172"/>
      <c r="X622" s="172"/>
      <c r="Y622" s="172"/>
      <c r="Z622" s="172"/>
    </row>
    <row r="623">
      <c r="A623" s="172"/>
      <c r="B623" s="172"/>
      <c r="C623" s="172"/>
      <c r="D623" s="172"/>
      <c r="E623" s="172"/>
      <c r="F623" s="172"/>
      <c r="G623" s="172"/>
      <c r="H623" s="172"/>
      <c r="I623" s="172"/>
      <c r="J623" s="172"/>
      <c r="K623" s="172"/>
      <c r="L623" s="172"/>
      <c r="M623" s="172"/>
      <c r="N623" s="172"/>
      <c r="O623" s="172"/>
      <c r="P623" s="172"/>
      <c r="Q623" s="172"/>
      <c r="R623" s="172"/>
      <c r="S623" s="172"/>
      <c r="T623" s="172"/>
      <c r="U623" s="172"/>
      <c r="V623" s="172"/>
      <c r="W623" s="172"/>
      <c r="X623" s="172"/>
      <c r="Y623" s="172"/>
      <c r="Z623" s="172"/>
    </row>
    <row r="624">
      <c r="A624" s="172"/>
      <c r="B624" s="172"/>
      <c r="C624" s="172"/>
      <c r="D624" s="172"/>
      <c r="E624" s="172"/>
      <c r="F624" s="172"/>
      <c r="G624" s="172"/>
      <c r="H624" s="172"/>
      <c r="I624" s="172"/>
      <c r="J624" s="172"/>
      <c r="K624" s="172"/>
      <c r="L624" s="172"/>
      <c r="M624" s="172"/>
      <c r="N624" s="172"/>
      <c r="O624" s="172"/>
      <c r="P624" s="172"/>
      <c r="Q624" s="172"/>
      <c r="R624" s="172"/>
      <c r="S624" s="172"/>
      <c r="T624" s="172"/>
      <c r="U624" s="172"/>
      <c r="V624" s="172"/>
      <c r="W624" s="172"/>
      <c r="X624" s="172"/>
      <c r="Y624" s="172"/>
      <c r="Z624" s="172"/>
    </row>
    <row r="625">
      <c r="A625" s="172"/>
      <c r="B625" s="172"/>
      <c r="C625" s="172"/>
      <c r="D625" s="172"/>
      <c r="E625" s="172"/>
      <c r="F625" s="172"/>
      <c r="G625" s="172"/>
      <c r="H625" s="172"/>
      <c r="I625" s="172"/>
      <c r="J625" s="172"/>
      <c r="K625" s="172"/>
      <c r="L625" s="172"/>
      <c r="M625" s="172"/>
      <c r="N625" s="172"/>
      <c r="O625" s="172"/>
      <c r="P625" s="172"/>
      <c r="Q625" s="172"/>
      <c r="R625" s="172"/>
      <c r="S625" s="172"/>
      <c r="T625" s="172"/>
      <c r="U625" s="172"/>
      <c r="V625" s="172"/>
      <c r="W625" s="172"/>
      <c r="X625" s="172"/>
      <c r="Y625" s="172"/>
      <c r="Z625" s="172"/>
    </row>
    <row r="626">
      <c r="A626" s="172"/>
      <c r="B626" s="172"/>
      <c r="C626" s="172"/>
      <c r="D626" s="172"/>
      <c r="E626" s="172"/>
      <c r="F626" s="172"/>
      <c r="G626" s="172"/>
      <c r="H626" s="172"/>
      <c r="I626" s="172"/>
      <c r="J626" s="172"/>
      <c r="K626" s="172"/>
      <c r="L626" s="172"/>
      <c r="M626" s="172"/>
      <c r="N626" s="172"/>
      <c r="O626" s="172"/>
      <c r="P626" s="172"/>
      <c r="Q626" s="172"/>
      <c r="R626" s="172"/>
      <c r="S626" s="172"/>
      <c r="T626" s="172"/>
      <c r="U626" s="172"/>
      <c r="V626" s="172"/>
      <c r="W626" s="172"/>
      <c r="X626" s="172"/>
      <c r="Y626" s="172"/>
      <c r="Z626" s="172"/>
    </row>
    <row r="627">
      <c r="A627" s="172"/>
      <c r="B627" s="172"/>
      <c r="C627" s="172"/>
      <c r="D627" s="172"/>
      <c r="E627" s="172"/>
      <c r="F627" s="172"/>
      <c r="G627" s="172"/>
      <c r="H627" s="172"/>
      <c r="I627" s="172"/>
      <c r="J627" s="172"/>
      <c r="K627" s="172"/>
      <c r="L627" s="172"/>
      <c r="M627" s="172"/>
      <c r="N627" s="172"/>
      <c r="O627" s="172"/>
      <c r="P627" s="172"/>
      <c r="Q627" s="172"/>
      <c r="R627" s="172"/>
      <c r="S627" s="172"/>
      <c r="T627" s="172"/>
      <c r="U627" s="172"/>
      <c r="V627" s="172"/>
      <c r="W627" s="172"/>
      <c r="X627" s="172"/>
      <c r="Y627" s="172"/>
      <c r="Z627" s="172"/>
    </row>
    <row r="628">
      <c r="A628" s="172"/>
      <c r="B628" s="172"/>
      <c r="C628" s="172"/>
      <c r="D628" s="172"/>
      <c r="E628" s="172"/>
      <c r="F628" s="172"/>
      <c r="G628" s="172"/>
      <c r="H628" s="172"/>
      <c r="I628" s="172"/>
      <c r="J628" s="172"/>
      <c r="K628" s="172"/>
      <c r="L628" s="172"/>
      <c r="M628" s="172"/>
      <c r="N628" s="172"/>
      <c r="O628" s="172"/>
      <c r="P628" s="172"/>
      <c r="Q628" s="172"/>
      <c r="R628" s="172"/>
      <c r="S628" s="172"/>
      <c r="T628" s="172"/>
      <c r="U628" s="172"/>
      <c r="V628" s="172"/>
      <c r="W628" s="172"/>
      <c r="X628" s="172"/>
      <c r="Y628" s="172"/>
      <c r="Z628" s="172"/>
    </row>
    <row r="629">
      <c r="A629" s="172"/>
      <c r="B629" s="172"/>
      <c r="C629" s="172"/>
      <c r="D629" s="172"/>
      <c r="E629" s="172"/>
      <c r="F629" s="172"/>
      <c r="G629" s="172"/>
      <c r="H629" s="172"/>
      <c r="I629" s="172"/>
      <c r="J629" s="172"/>
      <c r="K629" s="172"/>
      <c r="L629" s="172"/>
      <c r="M629" s="172"/>
      <c r="N629" s="172"/>
      <c r="O629" s="172"/>
      <c r="P629" s="172"/>
      <c r="Q629" s="172"/>
      <c r="R629" s="172"/>
      <c r="S629" s="172"/>
      <c r="T629" s="172"/>
      <c r="U629" s="172"/>
      <c r="V629" s="172"/>
      <c r="W629" s="172"/>
      <c r="X629" s="172"/>
      <c r="Y629" s="172"/>
      <c r="Z629" s="172"/>
    </row>
    <row r="630">
      <c r="A630" s="172"/>
      <c r="B630" s="172"/>
      <c r="C630" s="172"/>
      <c r="D630" s="172"/>
      <c r="E630" s="172"/>
      <c r="F630" s="172"/>
      <c r="G630" s="172"/>
      <c r="H630" s="172"/>
      <c r="I630" s="172"/>
      <c r="J630" s="172"/>
      <c r="K630" s="172"/>
      <c r="L630" s="172"/>
      <c r="M630" s="172"/>
      <c r="N630" s="172"/>
      <c r="O630" s="172"/>
      <c r="P630" s="172"/>
      <c r="Q630" s="172"/>
      <c r="R630" s="172"/>
      <c r="S630" s="172"/>
      <c r="T630" s="172"/>
      <c r="U630" s="172"/>
      <c r="V630" s="172"/>
      <c r="W630" s="172"/>
      <c r="X630" s="172"/>
      <c r="Y630" s="172"/>
      <c r="Z630" s="172"/>
    </row>
    <row r="631">
      <c r="A631" s="172"/>
      <c r="B631" s="172"/>
      <c r="C631" s="172"/>
      <c r="D631" s="172"/>
      <c r="E631" s="172"/>
      <c r="F631" s="172"/>
      <c r="G631" s="172"/>
      <c r="H631" s="172"/>
      <c r="I631" s="172"/>
      <c r="J631" s="172"/>
      <c r="K631" s="172"/>
      <c r="L631" s="172"/>
      <c r="M631" s="172"/>
      <c r="N631" s="172"/>
      <c r="O631" s="172"/>
      <c r="P631" s="172"/>
      <c r="Q631" s="172"/>
      <c r="R631" s="172"/>
      <c r="S631" s="172"/>
      <c r="T631" s="172"/>
      <c r="U631" s="172"/>
      <c r="V631" s="172"/>
      <c r="W631" s="172"/>
      <c r="X631" s="172"/>
      <c r="Y631" s="172"/>
      <c r="Z631" s="172"/>
    </row>
    <row r="632">
      <c r="A632" s="172"/>
      <c r="B632" s="172"/>
      <c r="C632" s="172"/>
      <c r="D632" s="172"/>
      <c r="E632" s="172"/>
      <c r="F632" s="172"/>
      <c r="G632" s="172"/>
      <c r="H632" s="172"/>
      <c r="I632" s="172"/>
      <c r="J632" s="172"/>
      <c r="K632" s="172"/>
      <c r="L632" s="172"/>
      <c r="M632" s="172"/>
      <c r="N632" s="172"/>
      <c r="O632" s="172"/>
      <c r="P632" s="172"/>
      <c r="Q632" s="172"/>
      <c r="R632" s="172"/>
      <c r="S632" s="172"/>
      <c r="T632" s="172"/>
      <c r="U632" s="172"/>
      <c r="V632" s="172"/>
      <c r="W632" s="172"/>
      <c r="X632" s="172"/>
      <c r="Y632" s="172"/>
      <c r="Z632" s="172"/>
    </row>
    <row r="633">
      <c r="A633" s="172"/>
      <c r="B633" s="172"/>
      <c r="C633" s="172"/>
      <c r="D633" s="172"/>
      <c r="E633" s="172"/>
      <c r="F633" s="172"/>
      <c r="G633" s="172"/>
      <c r="H633" s="172"/>
      <c r="I633" s="172"/>
      <c r="J633" s="172"/>
      <c r="K633" s="172"/>
      <c r="L633" s="172"/>
      <c r="M633" s="172"/>
      <c r="N633" s="172"/>
      <c r="O633" s="172"/>
      <c r="P633" s="172"/>
      <c r="Q633" s="172"/>
      <c r="R633" s="172"/>
      <c r="S633" s="172"/>
      <c r="T633" s="172"/>
      <c r="U633" s="172"/>
      <c r="V633" s="172"/>
      <c r="W633" s="172"/>
      <c r="X633" s="172"/>
      <c r="Y633" s="172"/>
      <c r="Z633" s="172"/>
    </row>
    <row r="634">
      <c r="A634" s="172"/>
      <c r="B634" s="172"/>
      <c r="C634" s="172"/>
      <c r="D634" s="172"/>
      <c r="E634" s="172"/>
      <c r="F634" s="172"/>
      <c r="G634" s="172"/>
      <c r="H634" s="172"/>
      <c r="I634" s="172"/>
      <c r="J634" s="172"/>
      <c r="K634" s="172"/>
      <c r="L634" s="172"/>
      <c r="M634" s="172"/>
      <c r="N634" s="172"/>
      <c r="O634" s="172"/>
      <c r="P634" s="172"/>
      <c r="Q634" s="172"/>
      <c r="R634" s="172"/>
      <c r="S634" s="172"/>
      <c r="T634" s="172"/>
      <c r="U634" s="172"/>
      <c r="V634" s="172"/>
      <c r="W634" s="172"/>
      <c r="X634" s="172"/>
      <c r="Y634" s="172"/>
      <c r="Z634" s="172"/>
    </row>
    <row r="635">
      <c r="A635" s="172"/>
      <c r="B635" s="172"/>
      <c r="C635" s="172"/>
      <c r="D635" s="172"/>
      <c r="E635" s="172"/>
      <c r="F635" s="172"/>
      <c r="G635" s="172"/>
      <c r="H635" s="172"/>
      <c r="I635" s="172"/>
      <c r="J635" s="172"/>
      <c r="K635" s="172"/>
      <c r="L635" s="172"/>
      <c r="M635" s="172"/>
      <c r="N635" s="172"/>
      <c r="O635" s="172"/>
      <c r="P635" s="172"/>
      <c r="Q635" s="172"/>
      <c r="R635" s="172"/>
      <c r="S635" s="172"/>
      <c r="T635" s="172"/>
      <c r="U635" s="172"/>
      <c r="V635" s="172"/>
      <c r="W635" s="172"/>
      <c r="X635" s="172"/>
      <c r="Y635" s="172"/>
      <c r="Z635" s="172"/>
    </row>
    <row r="636">
      <c r="A636" s="172"/>
      <c r="B636" s="172"/>
      <c r="C636" s="172"/>
      <c r="D636" s="172"/>
      <c r="E636" s="172"/>
      <c r="F636" s="172"/>
      <c r="G636" s="172"/>
      <c r="H636" s="172"/>
      <c r="I636" s="172"/>
      <c r="J636" s="172"/>
      <c r="K636" s="172"/>
      <c r="L636" s="172"/>
      <c r="M636" s="172"/>
      <c r="N636" s="172"/>
      <c r="O636" s="172"/>
      <c r="P636" s="172"/>
      <c r="Q636" s="172"/>
      <c r="R636" s="172"/>
      <c r="S636" s="172"/>
      <c r="T636" s="172"/>
      <c r="U636" s="172"/>
      <c r="V636" s="172"/>
      <c r="W636" s="172"/>
      <c r="X636" s="172"/>
      <c r="Y636" s="172"/>
      <c r="Z636" s="172"/>
    </row>
    <row r="637">
      <c r="A637" s="172"/>
      <c r="B637" s="172"/>
      <c r="C637" s="172"/>
      <c r="D637" s="172"/>
      <c r="E637" s="172"/>
      <c r="F637" s="172"/>
      <c r="G637" s="172"/>
      <c r="H637" s="172"/>
      <c r="I637" s="172"/>
      <c r="J637" s="172"/>
      <c r="K637" s="172"/>
      <c r="L637" s="172"/>
      <c r="M637" s="172"/>
      <c r="N637" s="172"/>
      <c r="O637" s="172"/>
      <c r="P637" s="172"/>
      <c r="Q637" s="172"/>
      <c r="R637" s="172"/>
      <c r="S637" s="172"/>
      <c r="T637" s="172"/>
      <c r="U637" s="172"/>
      <c r="V637" s="172"/>
      <c r="W637" s="172"/>
      <c r="X637" s="172"/>
      <c r="Y637" s="172"/>
      <c r="Z637" s="172"/>
    </row>
    <row r="638">
      <c r="A638" s="172"/>
      <c r="B638" s="172"/>
      <c r="C638" s="172"/>
      <c r="D638" s="172"/>
      <c r="E638" s="172"/>
      <c r="F638" s="172"/>
      <c r="G638" s="172"/>
      <c r="H638" s="172"/>
      <c r="I638" s="172"/>
      <c r="J638" s="172"/>
      <c r="K638" s="172"/>
      <c r="L638" s="172"/>
      <c r="M638" s="172"/>
      <c r="N638" s="172"/>
      <c r="O638" s="172"/>
      <c r="P638" s="172"/>
      <c r="Q638" s="172"/>
      <c r="R638" s="172"/>
      <c r="S638" s="172"/>
      <c r="T638" s="172"/>
      <c r="U638" s="172"/>
      <c r="V638" s="172"/>
      <c r="W638" s="172"/>
      <c r="X638" s="172"/>
      <c r="Y638" s="172"/>
      <c r="Z638" s="172"/>
    </row>
    <row r="639">
      <c r="A639" s="172"/>
      <c r="B639" s="172"/>
      <c r="C639" s="172"/>
      <c r="D639" s="172"/>
      <c r="E639" s="172"/>
      <c r="F639" s="172"/>
      <c r="G639" s="172"/>
      <c r="H639" s="172"/>
      <c r="I639" s="172"/>
      <c r="J639" s="172"/>
      <c r="K639" s="172"/>
      <c r="L639" s="172"/>
      <c r="M639" s="172"/>
      <c r="N639" s="172"/>
      <c r="O639" s="172"/>
      <c r="P639" s="172"/>
      <c r="Q639" s="172"/>
      <c r="R639" s="172"/>
      <c r="S639" s="172"/>
      <c r="T639" s="172"/>
      <c r="U639" s="172"/>
      <c r="V639" s="172"/>
      <c r="W639" s="172"/>
      <c r="X639" s="172"/>
      <c r="Y639" s="172"/>
      <c r="Z639" s="172"/>
    </row>
    <row r="640">
      <c r="A640" s="172"/>
      <c r="B640" s="172"/>
      <c r="C640" s="172"/>
      <c r="D640" s="172"/>
      <c r="E640" s="172"/>
      <c r="F640" s="172"/>
      <c r="G640" s="172"/>
      <c r="H640" s="172"/>
      <c r="I640" s="172"/>
      <c r="J640" s="172"/>
      <c r="K640" s="172"/>
      <c r="L640" s="172"/>
      <c r="M640" s="172"/>
      <c r="N640" s="172"/>
      <c r="O640" s="172"/>
      <c r="P640" s="172"/>
      <c r="Q640" s="172"/>
      <c r="R640" s="172"/>
      <c r="S640" s="172"/>
      <c r="T640" s="172"/>
      <c r="U640" s="172"/>
      <c r="V640" s="172"/>
      <c r="W640" s="172"/>
      <c r="X640" s="172"/>
      <c r="Y640" s="172"/>
      <c r="Z640" s="172"/>
    </row>
    <row r="641">
      <c r="A641" s="172"/>
      <c r="B641" s="172"/>
      <c r="C641" s="172"/>
      <c r="D641" s="172"/>
      <c r="E641" s="172"/>
      <c r="F641" s="172"/>
      <c r="G641" s="172"/>
      <c r="H641" s="172"/>
      <c r="I641" s="172"/>
      <c r="J641" s="172"/>
      <c r="K641" s="172"/>
      <c r="L641" s="172"/>
      <c r="M641" s="172"/>
      <c r="N641" s="172"/>
      <c r="O641" s="172"/>
      <c r="P641" s="172"/>
      <c r="Q641" s="172"/>
      <c r="R641" s="172"/>
      <c r="S641" s="172"/>
      <c r="T641" s="172"/>
      <c r="U641" s="172"/>
      <c r="V641" s="172"/>
      <c r="W641" s="172"/>
      <c r="X641" s="172"/>
      <c r="Y641" s="172"/>
      <c r="Z641" s="172"/>
    </row>
    <row r="642">
      <c r="A642" s="172"/>
      <c r="B642" s="172"/>
      <c r="C642" s="172"/>
      <c r="D642" s="172"/>
      <c r="E642" s="172"/>
      <c r="F642" s="172"/>
      <c r="G642" s="172"/>
      <c r="H642" s="172"/>
      <c r="I642" s="172"/>
      <c r="J642" s="172"/>
      <c r="K642" s="172"/>
      <c r="L642" s="172"/>
      <c r="M642" s="172"/>
      <c r="N642" s="172"/>
      <c r="O642" s="172"/>
      <c r="P642" s="172"/>
      <c r="Q642" s="172"/>
      <c r="R642" s="172"/>
      <c r="S642" s="172"/>
      <c r="T642" s="172"/>
      <c r="U642" s="172"/>
      <c r="V642" s="172"/>
      <c r="W642" s="172"/>
      <c r="X642" s="172"/>
      <c r="Y642" s="172"/>
      <c r="Z642" s="172"/>
    </row>
    <row r="643">
      <c r="A643" s="172"/>
      <c r="B643" s="172"/>
      <c r="C643" s="172"/>
      <c r="D643" s="172"/>
      <c r="E643" s="172"/>
      <c r="F643" s="172"/>
      <c r="G643" s="172"/>
      <c r="H643" s="172"/>
      <c r="I643" s="172"/>
      <c r="J643" s="172"/>
      <c r="K643" s="172"/>
      <c r="L643" s="172"/>
      <c r="M643" s="172"/>
      <c r="N643" s="172"/>
      <c r="O643" s="172"/>
      <c r="P643" s="172"/>
      <c r="Q643" s="172"/>
      <c r="R643" s="172"/>
      <c r="S643" s="172"/>
      <c r="T643" s="172"/>
      <c r="U643" s="172"/>
      <c r="V643" s="172"/>
      <c r="W643" s="172"/>
      <c r="X643" s="172"/>
      <c r="Y643" s="172"/>
      <c r="Z643" s="172"/>
    </row>
    <row r="644">
      <c r="A644" s="172"/>
      <c r="B644" s="172"/>
      <c r="C644" s="172"/>
      <c r="D644" s="172"/>
      <c r="E644" s="172"/>
      <c r="F644" s="172"/>
      <c r="G644" s="172"/>
      <c r="H644" s="172"/>
      <c r="I644" s="172"/>
      <c r="J644" s="172"/>
      <c r="K644" s="172"/>
      <c r="L644" s="172"/>
      <c r="M644" s="172"/>
      <c r="N644" s="172"/>
      <c r="O644" s="172"/>
      <c r="P644" s="172"/>
      <c r="Q644" s="172"/>
      <c r="R644" s="172"/>
      <c r="S644" s="172"/>
      <c r="T644" s="172"/>
      <c r="U644" s="172"/>
      <c r="V644" s="172"/>
      <c r="W644" s="172"/>
      <c r="X644" s="172"/>
      <c r="Y644" s="172"/>
      <c r="Z644" s="172"/>
    </row>
    <row r="645">
      <c r="A645" s="172"/>
      <c r="B645" s="172"/>
      <c r="C645" s="172"/>
      <c r="D645" s="172"/>
      <c r="E645" s="172"/>
      <c r="F645" s="172"/>
      <c r="G645" s="172"/>
      <c r="H645" s="172"/>
      <c r="I645" s="172"/>
      <c r="J645" s="172"/>
      <c r="K645" s="172"/>
      <c r="L645" s="172"/>
      <c r="M645" s="172"/>
      <c r="N645" s="172"/>
      <c r="O645" s="172"/>
      <c r="P645" s="172"/>
      <c r="Q645" s="172"/>
      <c r="R645" s="172"/>
      <c r="S645" s="172"/>
      <c r="T645" s="172"/>
      <c r="U645" s="172"/>
      <c r="V645" s="172"/>
      <c r="W645" s="172"/>
      <c r="X645" s="172"/>
      <c r="Y645" s="172"/>
      <c r="Z645" s="172"/>
    </row>
    <row r="646">
      <c r="A646" s="172"/>
      <c r="B646" s="172"/>
      <c r="C646" s="172"/>
      <c r="D646" s="172"/>
      <c r="E646" s="172"/>
      <c r="F646" s="172"/>
      <c r="G646" s="172"/>
      <c r="H646" s="172"/>
      <c r="I646" s="172"/>
      <c r="J646" s="172"/>
      <c r="K646" s="172"/>
      <c r="L646" s="172"/>
      <c r="M646" s="172"/>
      <c r="N646" s="172"/>
      <c r="O646" s="172"/>
      <c r="P646" s="172"/>
      <c r="Q646" s="172"/>
      <c r="R646" s="172"/>
      <c r="S646" s="172"/>
      <c r="T646" s="172"/>
      <c r="U646" s="172"/>
      <c r="V646" s="172"/>
      <c r="W646" s="172"/>
      <c r="X646" s="172"/>
      <c r="Y646" s="172"/>
      <c r="Z646" s="172"/>
    </row>
    <row r="647">
      <c r="A647" s="172"/>
      <c r="B647" s="172"/>
      <c r="C647" s="172"/>
      <c r="D647" s="172"/>
      <c r="E647" s="172"/>
      <c r="F647" s="172"/>
      <c r="G647" s="172"/>
      <c r="H647" s="172"/>
      <c r="I647" s="172"/>
      <c r="J647" s="172"/>
      <c r="K647" s="172"/>
      <c r="L647" s="172"/>
      <c r="M647" s="172"/>
      <c r="N647" s="172"/>
      <c r="O647" s="172"/>
      <c r="P647" s="172"/>
      <c r="Q647" s="172"/>
      <c r="R647" s="172"/>
      <c r="S647" s="172"/>
      <c r="T647" s="172"/>
      <c r="U647" s="172"/>
      <c r="V647" s="172"/>
      <c r="W647" s="172"/>
      <c r="X647" s="172"/>
      <c r="Y647" s="172"/>
      <c r="Z647" s="172"/>
    </row>
    <row r="648">
      <c r="A648" s="172"/>
      <c r="B648" s="172"/>
      <c r="C648" s="172"/>
      <c r="D648" s="172"/>
      <c r="E648" s="172"/>
      <c r="F648" s="172"/>
      <c r="G648" s="172"/>
      <c r="H648" s="172"/>
      <c r="I648" s="172"/>
      <c r="J648" s="172"/>
      <c r="K648" s="172"/>
      <c r="L648" s="172"/>
      <c r="M648" s="172"/>
      <c r="N648" s="172"/>
      <c r="O648" s="172"/>
      <c r="P648" s="172"/>
      <c r="Q648" s="172"/>
      <c r="R648" s="172"/>
      <c r="S648" s="172"/>
      <c r="T648" s="172"/>
      <c r="U648" s="172"/>
      <c r="V648" s="172"/>
      <c r="W648" s="172"/>
      <c r="X648" s="172"/>
      <c r="Y648" s="172"/>
      <c r="Z648" s="172"/>
    </row>
    <row r="649">
      <c r="A649" s="172"/>
      <c r="B649" s="172"/>
      <c r="C649" s="172"/>
      <c r="D649" s="172"/>
      <c r="E649" s="172"/>
      <c r="F649" s="172"/>
      <c r="G649" s="172"/>
      <c r="H649" s="172"/>
      <c r="I649" s="172"/>
      <c r="J649" s="172"/>
      <c r="K649" s="172"/>
      <c r="L649" s="172"/>
      <c r="M649" s="172"/>
      <c r="N649" s="172"/>
      <c r="O649" s="172"/>
      <c r="P649" s="172"/>
      <c r="Q649" s="172"/>
      <c r="R649" s="172"/>
      <c r="S649" s="172"/>
      <c r="T649" s="172"/>
      <c r="U649" s="172"/>
      <c r="V649" s="172"/>
      <c r="W649" s="172"/>
      <c r="X649" s="172"/>
      <c r="Y649" s="172"/>
      <c r="Z649" s="172"/>
    </row>
    <row r="650">
      <c r="A650" s="172"/>
      <c r="B650" s="172"/>
      <c r="C650" s="172"/>
      <c r="D650" s="172"/>
      <c r="E650" s="172"/>
      <c r="F650" s="172"/>
      <c r="G650" s="172"/>
      <c r="H650" s="172"/>
      <c r="I650" s="172"/>
      <c r="J650" s="172"/>
      <c r="K650" s="172"/>
      <c r="L650" s="172"/>
      <c r="M650" s="172"/>
      <c r="N650" s="172"/>
      <c r="O650" s="172"/>
      <c r="P650" s="172"/>
      <c r="Q650" s="172"/>
      <c r="R650" s="172"/>
      <c r="S650" s="172"/>
      <c r="T650" s="172"/>
      <c r="U650" s="172"/>
      <c r="V650" s="172"/>
      <c r="W650" s="172"/>
      <c r="X650" s="172"/>
      <c r="Y650" s="172"/>
      <c r="Z650" s="172"/>
    </row>
    <row r="651">
      <c r="A651" s="172"/>
      <c r="B651" s="172"/>
      <c r="C651" s="172"/>
      <c r="D651" s="172"/>
      <c r="E651" s="172"/>
      <c r="F651" s="172"/>
      <c r="G651" s="172"/>
      <c r="H651" s="172"/>
      <c r="I651" s="172"/>
      <c r="J651" s="172"/>
      <c r="K651" s="172"/>
      <c r="L651" s="172"/>
      <c r="M651" s="172"/>
      <c r="N651" s="172"/>
      <c r="O651" s="172"/>
      <c r="P651" s="172"/>
      <c r="Q651" s="172"/>
      <c r="R651" s="172"/>
      <c r="S651" s="172"/>
      <c r="T651" s="172"/>
      <c r="U651" s="172"/>
      <c r="V651" s="172"/>
      <c r="W651" s="172"/>
      <c r="X651" s="172"/>
      <c r="Y651" s="172"/>
      <c r="Z651" s="172"/>
    </row>
    <row r="652">
      <c r="A652" s="172"/>
      <c r="B652" s="172"/>
      <c r="C652" s="172"/>
      <c r="D652" s="172"/>
      <c r="E652" s="172"/>
      <c r="F652" s="172"/>
      <c r="G652" s="172"/>
      <c r="H652" s="172"/>
      <c r="I652" s="172"/>
      <c r="J652" s="172"/>
      <c r="K652" s="172"/>
      <c r="L652" s="172"/>
      <c r="M652" s="172"/>
      <c r="N652" s="172"/>
      <c r="O652" s="172"/>
      <c r="P652" s="172"/>
      <c r="Q652" s="172"/>
      <c r="R652" s="172"/>
      <c r="S652" s="172"/>
      <c r="T652" s="172"/>
      <c r="U652" s="172"/>
      <c r="V652" s="172"/>
      <c r="W652" s="172"/>
      <c r="X652" s="172"/>
      <c r="Y652" s="172"/>
      <c r="Z652" s="172"/>
    </row>
    <row r="653">
      <c r="A653" s="172"/>
      <c r="B653" s="172"/>
      <c r="C653" s="172"/>
      <c r="D653" s="172"/>
      <c r="E653" s="172"/>
      <c r="F653" s="172"/>
      <c r="G653" s="172"/>
      <c r="H653" s="172"/>
      <c r="I653" s="172"/>
      <c r="J653" s="172"/>
      <c r="K653" s="172"/>
      <c r="L653" s="172"/>
      <c r="M653" s="172"/>
      <c r="N653" s="172"/>
      <c r="O653" s="172"/>
      <c r="P653" s="172"/>
      <c r="Q653" s="172"/>
      <c r="R653" s="172"/>
      <c r="S653" s="172"/>
      <c r="T653" s="172"/>
      <c r="U653" s="172"/>
      <c r="V653" s="172"/>
      <c r="W653" s="172"/>
      <c r="X653" s="172"/>
      <c r="Y653" s="172"/>
      <c r="Z653" s="172"/>
    </row>
    <row r="654">
      <c r="A654" s="172"/>
      <c r="B654" s="172"/>
      <c r="C654" s="172"/>
      <c r="D654" s="172"/>
      <c r="E654" s="172"/>
      <c r="F654" s="172"/>
      <c r="G654" s="172"/>
      <c r="H654" s="172"/>
      <c r="I654" s="172"/>
      <c r="J654" s="172"/>
      <c r="K654" s="172"/>
      <c r="L654" s="172"/>
      <c r="M654" s="172"/>
      <c r="N654" s="172"/>
      <c r="O654" s="172"/>
      <c r="P654" s="172"/>
      <c r="Q654" s="172"/>
      <c r="R654" s="172"/>
      <c r="S654" s="172"/>
      <c r="T654" s="172"/>
      <c r="U654" s="172"/>
      <c r="V654" s="172"/>
      <c r="W654" s="172"/>
      <c r="X654" s="172"/>
      <c r="Y654" s="172"/>
      <c r="Z654" s="172"/>
    </row>
    <row r="655">
      <c r="A655" s="172"/>
      <c r="B655" s="172"/>
      <c r="C655" s="172"/>
      <c r="D655" s="172"/>
      <c r="E655" s="172"/>
      <c r="F655" s="172"/>
      <c r="G655" s="172"/>
      <c r="H655" s="172"/>
      <c r="I655" s="172"/>
      <c r="J655" s="172"/>
      <c r="K655" s="172"/>
      <c r="L655" s="172"/>
      <c r="M655" s="172"/>
      <c r="N655" s="172"/>
      <c r="O655" s="172"/>
      <c r="P655" s="172"/>
      <c r="Q655" s="172"/>
      <c r="R655" s="172"/>
      <c r="S655" s="172"/>
      <c r="T655" s="172"/>
      <c r="U655" s="172"/>
      <c r="V655" s="172"/>
      <c r="W655" s="172"/>
      <c r="X655" s="172"/>
      <c r="Y655" s="172"/>
      <c r="Z655" s="172"/>
    </row>
    <row r="656">
      <c r="A656" s="172"/>
      <c r="B656" s="172"/>
      <c r="C656" s="172"/>
      <c r="D656" s="172"/>
      <c r="E656" s="172"/>
      <c r="F656" s="172"/>
      <c r="G656" s="172"/>
      <c r="H656" s="172"/>
      <c r="I656" s="172"/>
      <c r="J656" s="172"/>
      <c r="K656" s="172"/>
      <c r="L656" s="172"/>
      <c r="M656" s="172"/>
      <c r="N656" s="172"/>
      <c r="O656" s="172"/>
      <c r="P656" s="172"/>
      <c r="Q656" s="172"/>
      <c r="R656" s="172"/>
      <c r="S656" s="172"/>
      <c r="T656" s="172"/>
      <c r="U656" s="172"/>
      <c r="V656" s="172"/>
      <c r="W656" s="172"/>
      <c r="X656" s="172"/>
      <c r="Y656" s="172"/>
      <c r="Z656" s="172"/>
    </row>
    <row r="657">
      <c r="A657" s="172"/>
      <c r="B657" s="172"/>
      <c r="C657" s="172"/>
      <c r="D657" s="172"/>
      <c r="E657" s="172"/>
      <c r="F657" s="172"/>
      <c r="G657" s="172"/>
      <c r="H657" s="172"/>
      <c r="I657" s="172"/>
      <c r="J657" s="172"/>
      <c r="K657" s="172"/>
      <c r="L657" s="172"/>
      <c r="M657" s="172"/>
      <c r="N657" s="172"/>
      <c r="O657" s="172"/>
      <c r="P657" s="172"/>
      <c r="Q657" s="172"/>
      <c r="R657" s="172"/>
      <c r="S657" s="172"/>
      <c r="T657" s="172"/>
      <c r="U657" s="172"/>
      <c r="V657" s="172"/>
      <c r="W657" s="172"/>
      <c r="X657" s="172"/>
      <c r="Y657" s="172"/>
      <c r="Z657" s="172"/>
    </row>
    <row r="658">
      <c r="A658" s="172"/>
      <c r="B658" s="172"/>
      <c r="C658" s="172"/>
      <c r="D658" s="172"/>
      <c r="E658" s="172"/>
      <c r="F658" s="172"/>
      <c r="G658" s="172"/>
      <c r="H658" s="172"/>
      <c r="I658" s="172"/>
      <c r="J658" s="172"/>
      <c r="K658" s="172"/>
      <c r="L658" s="172"/>
      <c r="M658" s="172"/>
      <c r="N658" s="172"/>
      <c r="O658" s="172"/>
      <c r="P658" s="172"/>
      <c r="Q658" s="172"/>
      <c r="R658" s="172"/>
      <c r="S658" s="172"/>
      <c r="T658" s="172"/>
      <c r="U658" s="172"/>
      <c r="V658" s="172"/>
      <c r="W658" s="172"/>
      <c r="X658" s="172"/>
      <c r="Y658" s="172"/>
      <c r="Z658" s="172"/>
    </row>
    <row r="659">
      <c r="A659" s="172"/>
      <c r="B659" s="172"/>
      <c r="C659" s="172"/>
      <c r="D659" s="172"/>
      <c r="E659" s="172"/>
      <c r="F659" s="172"/>
      <c r="G659" s="172"/>
      <c r="H659" s="172"/>
      <c r="I659" s="172"/>
      <c r="J659" s="172"/>
      <c r="K659" s="172"/>
      <c r="L659" s="172"/>
      <c r="M659" s="172"/>
      <c r="N659" s="172"/>
      <c r="O659" s="172"/>
      <c r="P659" s="172"/>
      <c r="Q659" s="172"/>
      <c r="R659" s="172"/>
      <c r="S659" s="172"/>
      <c r="T659" s="172"/>
      <c r="U659" s="172"/>
      <c r="V659" s="172"/>
      <c r="W659" s="172"/>
      <c r="X659" s="172"/>
      <c r="Y659" s="172"/>
      <c r="Z659" s="172"/>
    </row>
    <row r="660">
      <c r="A660" s="172"/>
      <c r="B660" s="172"/>
      <c r="C660" s="172"/>
      <c r="D660" s="172"/>
      <c r="E660" s="172"/>
      <c r="F660" s="172"/>
      <c r="G660" s="172"/>
      <c r="H660" s="172"/>
      <c r="I660" s="172"/>
      <c r="J660" s="172"/>
      <c r="K660" s="172"/>
      <c r="L660" s="172"/>
      <c r="M660" s="172"/>
      <c r="N660" s="172"/>
      <c r="O660" s="172"/>
      <c r="P660" s="172"/>
      <c r="Q660" s="172"/>
      <c r="R660" s="172"/>
      <c r="S660" s="172"/>
      <c r="T660" s="172"/>
      <c r="U660" s="172"/>
      <c r="V660" s="172"/>
      <c r="W660" s="172"/>
      <c r="X660" s="172"/>
      <c r="Y660" s="172"/>
      <c r="Z660" s="172"/>
    </row>
    <row r="661">
      <c r="A661" s="172"/>
      <c r="B661" s="172"/>
      <c r="C661" s="172"/>
      <c r="D661" s="172"/>
      <c r="E661" s="172"/>
      <c r="F661" s="172"/>
      <c r="G661" s="172"/>
      <c r="H661" s="172"/>
      <c r="I661" s="172"/>
      <c r="J661" s="172"/>
      <c r="K661" s="172"/>
      <c r="L661" s="172"/>
      <c r="M661" s="172"/>
      <c r="N661" s="172"/>
      <c r="O661" s="172"/>
      <c r="P661" s="172"/>
      <c r="Q661" s="172"/>
      <c r="R661" s="172"/>
      <c r="S661" s="172"/>
      <c r="T661" s="172"/>
      <c r="U661" s="172"/>
      <c r="V661" s="172"/>
      <c r="W661" s="172"/>
      <c r="X661" s="172"/>
      <c r="Y661" s="172"/>
      <c r="Z661" s="172"/>
    </row>
    <row r="662">
      <c r="A662" s="172"/>
      <c r="B662" s="172"/>
      <c r="C662" s="172"/>
      <c r="D662" s="172"/>
      <c r="E662" s="172"/>
      <c r="F662" s="172"/>
      <c r="G662" s="172"/>
      <c r="H662" s="172"/>
      <c r="I662" s="172"/>
      <c r="J662" s="172"/>
      <c r="K662" s="172"/>
      <c r="L662" s="172"/>
      <c r="M662" s="172"/>
      <c r="N662" s="172"/>
      <c r="O662" s="172"/>
      <c r="P662" s="172"/>
      <c r="Q662" s="172"/>
      <c r="R662" s="172"/>
      <c r="S662" s="172"/>
      <c r="T662" s="172"/>
      <c r="U662" s="172"/>
      <c r="V662" s="172"/>
      <c r="W662" s="172"/>
      <c r="X662" s="172"/>
      <c r="Y662" s="172"/>
      <c r="Z662" s="172"/>
    </row>
    <row r="663">
      <c r="A663" s="172"/>
      <c r="B663" s="172"/>
      <c r="C663" s="172"/>
      <c r="D663" s="172"/>
      <c r="E663" s="172"/>
      <c r="F663" s="172"/>
      <c r="G663" s="172"/>
      <c r="H663" s="172"/>
      <c r="I663" s="172"/>
      <c r="J663" s="172"/>
      <c r="K663" s="172"/>
      <c r="L663" s="172"/>
      <c r="M663" s="172"/>
      <c r="N663" s="172"/>
      <c r="O663" s="172"/>
      <c r="P663" s="172"/>
      <c r="Q663" s="172"/>
      <c r="R663" s="172"/>
      <c r="S663" s="172"/>
      <c r="T663" s="172"/>
      <c r="U663" s="172"/>
      <c r="V663" s="172"/>
      <c r="W663" s="172"/>
      <c r="X663" s="172"/>
      <c r="Y663" s="172"/>
      <c r="Z663" s="172"/>
    </row>
    <row r="664">
      <c r="A664" s="172"/>
      <c r="B664" s="172"/>
      <c r="C664" s="172"/>
      <c r="D664" s="172"/>
      <c r="E664" s="172"/>
      <c r="F664" s="172"/>
      <c r="G664" s="172"/>
      <c r="H664" s="172"/>
      <c r="I664" s="172"/>
      <c r="J664" s="172"/>
      <c r="K664" s="172"/>
      <c r="L664" s="172"/>
      <c r="M664" s="172"/>
      <c r="N664" s="172"/>
      <c r="O664" s="172"/>
      <c r="P664" s="172"/>
      <c r="Q664" s="172"/>
      <c r="R664" s="172"/>
      <c r="S664" s="172"/>
      <c r="T664" s="172"/>
      <c r="U664" s="172"/>
      <c r="V664" s="172"/>
      <c r="W664" s="172"/>
      <c r="X664" s="172"/>
      <c r="Y664" s="172"/>
      <c r="Z664" s="172"/>
    </row>
    <row r="665">
      <c r="A665" s="172"/>
      <c r="B665" s="172"/>
      <c r="C665" s="172"/>
      <c r="D665" s="172"/>
      <c r="E665" s="172"/>
      <c r="F665" s="172"/>
      <c r="G665" s="172"/>
      <c r="H665" s="172"/>
      <c r="I665" s="172"/>
      <c r="J665" s="172"/>
      <c r="K665" s="172"/>
      <c r="L665" s="172"/>
      <c r="M665" s="172"/>
      <c r="N665" s="172"/>
      <c r="O665" s="172"/>
      <c r="P665" s="172"/>
      <c r="Q665" s="172"/>
      <c r="R665" s="172"/>
      <c r="S665" s="172"/>
      <c r="T665" s="172"/>
      <c r="U665" s="172"/>
      <c r="V665" s="172"/>
      <c r="W665" s="172"/>
      <c r="X665" s="172"/>
      <c r="Y665" s="172"/>
      <c r="Z665" s="172"/>
    </row>
    <row r="666">
      <c r="A666" s="172"/>
      <c r="B666" s="172"/>
      <c r="C666" s="172"/>
      <c r="D666" s="172"/>
      <c r="E666" s="172"/>
      <c r="F666" s="172"/>
      <c r="G666" s="172"/>
      <c r="H666" s="172"/>
      <c r="I666" s="172"/>
      <c r="J666" s="172"/>
      <c r="K666" s="172"/>
      <c r="L666" s="172"/>
      <c r="M666" s="172"/>
      <c r="N666" s="172"/>
      <c r="O666" s="172"/>
      <c r="P666" s="172"/>
      <c r="Q666" s="172"/>
      <c r="R666" s="172"/>
      <c r="S666" s="172"/>
      <c r="T666" s="172"/>
      <c r="U666" s="172"/>
      <c r="V666" s="172"/>
      <c r="W666" s="172"/>
      <c r="X666" s="172"/>
      <c r="Y666" s="172"/>
      <c r="Z666" s="172"/>
    </row>
    <row r="667">
      <c r="A667" s="172"/>
      <c r="B667" s="172"/>
      <c r="C667" s="172"/>
      <c r="D667" s="172"/>
      <c r="E667" s="172"/>
      <c r="F667" s="172"/>
      <c r="G667" s="172"/>
      <c r="H667" s="172"/>
      <c r="I667" s="172"/>
      <c r="J667" s="172"/>
      <c r="K667" s="172"/>
      <c r="L667" s="172"/>
      <c r="M667" s="172"/>
      <c r="N667" s="172"/>
      <c r="O667" s="172"/>
      <c r="P667" s="172"/>
      <c r="Q667" s="172"/>
      <c r="R667" s="172"/>
      <c r="S667" s="172"/>
      <c r="T667" s="172"/>
      <c r="U667" s="172"/>
      <c r="V667" s="172"/>
      <c r="W667" s="172"/>
      <c r="X667" s="172"/>
      <c r="Y667" s="172"/>
      <c r="Z667" s="172"/>
    </row>
    <row r="668">
      <c r="A668" s="172"/>
      <c r="B668" s="172"/>
      <c r="C668" s="172"/>
      <c r="D668" s="172"/>
      <c r="E668" s="172"/>
      <c r="F668" s="172"/>
      <c r="G668" s="172"/>
      <c r="H668" s="172"/>
      <c r="I668" s="172"/>
      <c r="J668" s="172"/>
      <c r="K668" s="172"/>
      <c r="L668" s="172"/>
      <c r="M668" s="172"/>
      <c r="N668" s="172"/>
      <c r="O668" s="172"/>
      <c r="P668" s="172"/>
      <c r="Q668" s="172"/>
      <c r="R668" s="172"/>
      <c r="S668" s="172"/>
      <c r="T668" s="172"/>
      <c r="U668" s="172"/>
      <c r="V668" s="172"/>
      <c r="W668" s="172"/>
      <c r="X668" s="172"/>
      <c r="Y668" s="172"/>
      <c r="Z668" s="172"/>
    </row>
    <row r="669">
      <c r="A669" s="172"/>
      <c r="B669" s="172"/>
      <c r="C669" s="172"/>
      <c r="D669" s="172"/>
      <c r="E669" s="172"/>
      <c r="F669" s="172"/>
      <c r="G669" s="172"/>
      <c r="H669" s="172"/>
      <c r="I669" s="172"/>
      <c r="J669" s="172"/>
      <c r="K669" s="172"/>
      <c r="L669" s="172"/>
      <c r="M669" s="172"/>
      <c r="N669" s="172"/>
      <c r="O669" s="172"/>
      <c r="P669" s="172"/>
      <c r="Q669" s="172"/>
      <c r="R669" s="172"/>
      <c r="S669" s="172"/>
      <c r="T669" s="172"/>
      <c r="U669" s="172"/>
      <c r="V669" s="172"/>
      <c r="W669" s="172"/>
      <c r="X669" s="172"/>
      <c r="Y669" s="172"/>
      <c r="Z669" s="172"/>
    </row>
    <row r="670">
      <c r="A670" s="172"/>
      <c r="B670" s="172"/>
      <c r="C670" s="172"/>
      <c r="D670" s="172"/>
      <c r="E670" s="172"/>
      <c r="F670" s="172"/>
      <c r="G670" s="172"/>
      <c r="H670" s="172"/>
      <c r="I670" s="172"/>
      <c r="J670" s="172"/>
      <c r="K670" s="172"/>
      <c r="L670" s="172"/>
      <c r="M670" s="172"/>
      <c r="N670" s="172"/>
      <c r="O670" s="172"/>
      <c r="P670" s="172"/>
      <c r="Q670" s="172"/>
      <c r="R670" s="172"/>
      <c r="S670" s="172"/>
      <c r="T670" s="172"/>
      <c r="U670" s="172"/>
      <c r="V670" s="172"/>
      <c r="W670" s="172"/>
      <c r="X670" s="172"/>
      <c r="Y670" s="172"/>
      <c r="Z670" s="172"/>
    </row>
    <row r="671">
      <c r="A671" s="172"/>
      <c r="B671" s="172"/>
      <c r="C671" s="172"/>
      <c r="D671" s="172"/>
      <c r="E671" s="172"/>
      <c r="F671" s="172"/>
      <c r="G671" s="172"/>
      <c r="H671" s="172"/>
      <c r="I671" s="172"/>
      <c r="J671" s="172"/>
      <c r="K671" s="172"/>
      <c r="L671" s="172"/>
      <c r="M671" s="172"/>
      <c r="N671" s="172"/>
      <c r="O671" s="172"/>
      <c r="P671" s="172"/>
      <c r="Q671" s="172"/>
      <c r="R671" s="172"/>
      <c r="S671" s="172"/>
      <c r="T671" s="172"/>
      <c r="U671" s="172"/>
      <c r="V671" s="172"/>
      <c r="W671" s="172"/>
      <c r="X671" s="172"/>
      <c r="Y671" s="172"/>
      <c r="Z671" s="172"/>
    </row>
    <row r="672">
      <c r="A672" s="172"/>
      <c r="B672" s="172"/>
      <c r="C672" s="172"/>
      <c r="D672" s="172"/>
      <c r="E672" s="172"/>
      <c r="F672" s="172"/>
      <c r="G672" s="172"/>
      <c r="H672" s="172"/>
      <c r="I672" s="172"/>
      <c r="J672" s="172"/>
      <c r="K672" s="172"/>
      <c r="L672" s="172"/>
      <c r="M672" s="172"/>
      <c r="N672" s="172"/>
      <c r="O672" s="172"/>
      <c r="P672" s="172"/>
      <c r="Q672" s="172"/>
      <c r="R672" s="172"/>
      <c r="S672" s="172"/>
      <c r="T672" s="172"/>
      <c r="U672" s="172"/>
      <c r="V672" s="172"/>
      <c r="W672" s="172"/>
      <c r="X672" s="172"/>
      <c r="Y672" s="172"/>
      <c r="Z672" s="172"/>
    </row>
    <row r="673">
      <c r="A673" s="172"/>
      <c r="B673" s="172"/>
      <c r="C673" s="172"/>
      <c r="D673" s="172"/>
      <c r="E673" s="172"/>
      <c r="F673" s="172"/>
      <c r="G673" s="172"/>
      <c r="H673" s="172"/>
      <c r="I673" s="172"/>
      <c r="J673" s="172"/>
      <c r="K673" s="172"/>
      <c r="L673" s="172"/>
      <c r="M673" s="172"/>
      <c r="N673" s="172"/>
      <c r="O673" s="172"/>
      <c r="P673" s="172"/>
      <c r="Q673" s="172"/>
      <c r="R673" s="172"/>
      <c r="S673" s="172"/>
      <c r="T673" s="172"/>
      <c r="U673" s="172"/>
      <c r="V673" s="172"/>
      <c r="W673" s="172"/>
      <c r="X673" s="172"/>
      <c r="Y673" s="172"/>
      <c r="Z673" s="172"/>
    </row>
    <row r="674">
      <c r="A674" s="172"/>
      <c r="B674" s="172"/>
      <c r="C674" s="172"/>
      <c r="D674" s="172"/>
      <c r="E674" s="172"/>
      <c r="F674" s="172"/>
      <c r="G674" s="172"/>
      <c r="H674" s="172"/>
      <c r="I674" s="172"/>
      <c r="J674" s="172"/>
      <c r="K674" s="172"/>
      <c r="L674" s="172"/>
      <c r="M674" s="172"/>
      <c r="N674" s="172"/>
      <c r="O674" s="172"/>
      <c r="P674" s="172"/>
      <c r="Q674" s="172"/>
      <c r="R674" s="172"/>
      <c r="S674" s="172"/>
      <c r="T674" s="172"/>
      <c r="U674" s="172"/>
      <c r="V674" s="172"/>
      <c r="W674" s="172"/>
      <c r="X674" s="172"/>
      <c r="Y674" s="172"/>
      <c r="Z674" s="172"/>
    </row>
    <row r="675">
      <c r="A675" s="172"/>
      <c r="B675" s="172"/>
      <c r="C675" s="172"/>
      <c r="D675" s="172"/>
      <c r="E675" s="172"/>
      <c r="F675" s="172"/>
      <c r="G675" s="172"/>
      <c r="H675" s="172"/>
      <c r="I675" s="172"/>
      <c r="J675" s="172"/>
      <c r="K675" s="172"/>
      <c r="L675" s="172"/>
      <c r="M675" s="172"/>
      <c r="N675" s="172"/>
      <c r="O675" s="172"/>
      <c r="P675" s="172"/>
      <c r="Q675" s="172"/>
      <c r="R675" s="172"/>
      <c r="S675" s="172"/>
      <c r="T675" s="172"/>
      <c r="U675" s="172"/>
      <c r="V675" s="172"/>
      <c r="W675" s="172"/>
      <c r="X675" s="172"/>
      <c r="Y675" s="172"/>
      <c r="Z675" s="172"/>
    </row>
    <row r="676">
      <c r="A676" s="172"/>
      <c r="B676" s="172"/>
      <c r="C676" s="172"/>
      <c r="D676" s="172"/>
      <c r="E676" s="172"/>
      <c r="F676" s="172"/>
      <c r="G676" s="172"/>
      <c r="H676" s="172"/>
      <c r="I676" s="172"/>
      <c r="J676" s="172"/>
      <c r="K676" s="172"/>
      <c r="L676" s="172"/>
      <c r="M676" s="172"/>
      <c r="N676" s="172"/>
      <c r="O676" s="172"/>
      <c r="P676" s="172"/>
      <c r="Q676" s="172"/>
      <c r="R676" s="172"/>
      <c r="S676" s="172"/>
      <c r="T676" s="172"/>
      <c r="U676" s="172"/>
      <c r="V676" s="172"/>
      <c r="W676" s="172"/>
      <c r="X676" s="172"/>
      <c r="Y676" s="172"/>
      <c r="Z676" s="172"/>
    </row>
    <row r="677">
      <c r="A677" s="172"/>
      <c r="B677" s="172"/>
      <c r="C677" s="172"/>
      <c r="D677" s="172"/>
      <c r="E677" s="172"/>
      <c r="F677" s="172"/>
      <c r="G677" s="172"/>
      <c r="H677" s="172"/>
      <c r="I677" s="172"/>
      <c r="J677" s="172"/>
      <c r="K677" s="172"/>
      <c r="L677" s="172"/>
      <c r="M677" s="172"/>
      <c r="N677" s="172"/>
      <c r="O677" s="172"/>
      <c r="P677" s="172"/>
      <c r="Q677" s="172"/>
      <c r="R677" s="172"/>
      <c r="S677" s="172"/>
      <c r="T677" s="172"/>
      <c r="U677" s="172"/>
      <c r="V677" s="172"/>
      <c r="W677" s="172"/>
      <c r="X677" s="172"/>
      <c r="Y677" s="172"/>
      <c r="Z677" s="172"/>
    </row>
    <row r="678">
      <c r="A678" s="172"/>
      <c r="B678" s="172"/>
      <c r="C678" s="172"/>
      <c r="D678" s="172"/>
      <c r="E678" s="172"/>
      <c r="F678" s="172"/>
      <c r="G678" s="172"/>
      <c r="H678" s="172"/>
      <c r="I678" s="172"/>
      <c r="J678" s="172"/>
      <c r="K678" s="172"/>
      <c r="L678" s="172"/>
      <c r="M678" s="172"/>
      <c r="N678" s="172"/>
      <c r="O678" s="172"/>
      <c r="P678" s="172"/>
      <c r="Q678" s="172"/>
      <c r="R678" s="172"/>
      <c r="S678" s="172"/>
      <c r="T678" s="172"/>
      <c r="U678" s="172"/>
      <c r="V678" s="172"/>
      <c r="W678" s="172"/>
      <c r="X678" s="172"/>
      <c r="Y678" s="172"/>
      <c r="Z678" s="172"/>
    </row>
    <row r="679">
      <c r="A679" s="172"/>
      <c r="B679" s="172"/>
      <c r="C679" s="172"/>
      <c r="D679" s="172"/>
      <c r="E679" s="172"/>
      <c r="F679" s="172"/>
      <c r="G679" s="172"/>
      <c r="H679" s="172"/>
      <c r="I679" s="172"/>
      <c r="J679" s="172"/>
      <c r="K679" s="172"/>
      <c r="L679" s="172"/>
      <c r="M679" s="172"/>
      <c r="N679" s="172"/>
      <c r="O679" s="172"/>
      <c r="P679" s="172"/>
      <c r="Q679" s="172"/>
      <c r="R679" s="172"/>
      <c r="S679" s="172"/>
      <c r="T679" s="172"/>
      <c r="U679" s="172"/>
      <c r="V679" s="172"/>
      <c r="W679" s="172"/>
      <c r="X679" s="172"/>
      <c r="Y679" s="172"/>
      <c r="Z679" s="172"/>
    </row>
    <row r="680">
      <c r="A680" s="172"/>
      <c r="B680" s="172"/>
      <c r="C680" s="172"/>
      <c r="D680" s="172"/>
      <c r="E680" s="172"/>
      <c r="F680" s="172"/>
      <c r="G680" s="172"/>
      <c r="H680" s="172"/>
      <c r="I680" s="172"/>
      <c r="J680" s="172"/>
      <c r="K680" s="172"/>
      <c r="L680" s="172"/>
      <c r="M680" s="172"/>
      <c r="N680" s="172"/>
      <c r="O680" s="172"/>
      <c r="P680" s="172"/>
      <c r="Q680" s="172"/>
      <c r="R680" s="172"/>
      <c r="S680" s="172"/>
      <c r="T680" s="172"/>
      <c r="U680" s="172"/>
      <c r="V680" s="172"/>
      <c r="W680" s="172"/>
      <c r="X680" s="172"/>
      <c r="Y680" s="172"/>
      <c r="Z680" s="172"/>
    </row>
    <row r="681">
      <c r="A681" s="172"/>
      <c r="B681" s="172"/>
      <c r="C681" s="172"/>
      <c r="D681" s="172"/>
      <c r="E681" s="172"/>
      <c r="F681" s="172"/>
      <c r="G681" s="172"/>
      <c r="H681" s="172"/>
      <c r="I681" s="172"/>
      <c r="J681" s="172"/>
      <c r="K681" s="172"/>
      <c r="L681" s="172"/>
      <c r="M681" s="172"/>
      <c r="N681" s="172"/>
      <c r="O681" s="172"/>
      <c r="P681" s="172"/>
      <c r="Q681" s="172"/>
      <c r="R681" s="172"/>
      <c r="S681" s="172"/>
      <c r="T681" s="172"/>
      <c r="U681" s="172"/>
      <c r="V681" s="172"/>
      <c r="W681" s="172"/>
      <c r="X681" s="172"/>
      <c r="Y681" s="172"/>
      <c r="Z681" s="172"/>
    </row>
    <row r="682">
      <c r="A682" s="172"/>
      <c r="B682" s="172"/>
      <c r="C682" s="172"/>
      <c r="D682" s="172"/>
      <c r="E682" s="172"/>
      <c r="F682" s="172"/>
      <c r="G682" s="172"/>
      <c r="H682" s="172"/>
      <c r="I682" s="172"/>
      <c r="J682" s="172"/>
      <c r="K682" s="172"/>
      <c r="L682" s="172"/>
      <c r="M682" s="172"/>
      <c r="N682" s="172"/>
      <c r="O682" s="172"/>
      <c r="P682" s="172"/>
      <c r="Q682" s="172"/>
      <c r="R682" s="172"/>
      <c r="S682" s="172"/>
      <c r="T682" s="172"/>
      <c r="U682" s="172"/>
      <c r="V682" s="172"/>
      <c r="W682" s="172"/>
      <c r="X682" s="172"/>
      <c r="Y682" s="172"/>
      <c r="Z682" s="172"/>
    </row>
    <row r="683">
      <c r="A683" s="172"/>
      <c r="B683" s="172"/>
      <c r="C683" s="172"/>
      <c r="D683" s="172"/>
      <c r="E683" s="172"/>
      <c r="F683" s="172"/>
      <c r="G683" s="172"/>
      <c r="H683" s="172"/>
      <c r="I683" s="172"/>
      <c r="J683" s="172"/>
      <c r="K683" s="172"/>
      <c r="L683" s="172"/>
      <c r="M683" s="172"/>
      <c r="N683" s="172"/>
      <c r="O683" s="172"/>
      <c r="P683" s="172"/>
      <c r="Q683" s="172"/>
      <c r="R683" s="172"/>
      <c r="S683" s="172"/>
      <c r="T683" s="172"/>
      <c r="U683" s="172"/>
      <c r="V683" s="172"/>
      <c r="W683" s="172"/>
      <c r="X683" s="172"/>
      <c r="Y683" s="172"/>
      <c r="Z683" s="172"/>
    </row>
    <row r="684">
      <c r="A684" s="172"/>
      <c r="B684" s="172"/>
      <c r="C684" s="172"/>
      <c r="D684" s="172"/>
      <c r="E684" s="172"/>
      <c r="F684" s="172"/>
      <c r="G684" s="172"/>
      <c r="H684" s="172"/>
      <c r="I684" s="172"/>
      <c r="J684" s="172"/>
      <c r="K684" s="172"/>
      <c r="L684" s="172"/>
      <c r="M684" s="172"/>
      <c r="N684" s="172"/>
      <c r="O684" s="172"/>
      <c r="P684" s="172"/>
      <c r="Q684" s="172"/>
      <c r="R684" s="172"/>
      <c r="S684" s="172"/>
      <c r="T684" s="172"/>
      <c r="U684" s="172"/>
      <c r="V684" s="172"/>
      <c r="W684" s="172"/>
      <c r="X684" s="172"/>
      <c r="Y684" s="172"/>
      <c r="Z684" s="172"/>
    </row>
    <row r="685">
      <c r="A685" s="172"/>
      <c r="B685" s="172"/>
      <c r="C685" s="172"/>
      <c r="D685" s="172"/>
      <c r="E685" s="172"/>
      <c r="F685" s="172"/>
      <c r="G685" s="172"/>
      <c r="H685" s="172"/>
      <c r="I685" s="172"/>
      <c r="J685" s="172"/>
      <c r="K685" s="172"/>
      <c r="L685" s="172"/>
      <c r="M685" s="172"/>
      <c r="N685" s="172"/>
      <c r="O685" s="172"/>
      <c r="P685" s="172"/>
      <c r="Q685" s="172"/>
      <c r="R685" s="172"/>
      <c r="S685" s="172"/>
      <c r="T685" s="172"/>
      <c r="U685" s="172"/>
      <c r="V685" s="172"/>
      <c r="W685" s="172"/>
      <c r="X685" s="172"/>
      <c r="Y685" s="172"/>
      <c r="Z685" s="172"/>
    </row>
    <row r="686">
      <c r="A686" s="172"/>
      <c r="B686" s="172"/>
      <c r="C686" s="172"/>
      <c r="D686" s="172"/>
      <c r="E686" s="172"/>
      <c r="F686" s="172"/>
      <c r="G686" s="172"/>
      <c r="H686" s="172"/>
      <c r="I686" s="172"/>
      <c r="J686" s="172"/>
      <c r="K686" s="172"/>
      <c r="L686" s="172"/>
      <c r="M686" s="172"/>
      <c r="N686" s="172"/>
      <c r="O686" s="172"/>
      <c r="P686" s="172"/>
      <c r="Q686" s="172"/>
      <c r="R686" s="172"/>
      <c r="S686" s="172"/>
      <c r="T686" s="172"/>
      <c r="U686" s="172"/>
      <c r="V686" s="172"/>
      <c r="W686" s="172"/>
      <c r="X686" s="172"/>
      <c r="Y686" s="172"/>
      <c r="Z686" s="172"/>
    </row>
    <row r="687">
      <c r="A687" s="172"/>
      <c r="B687" s="172"/>
      <c r="C687" s="172"/>
      <c r="D687" s="172"/>
      <c r="E687" s="172"/>
      <c r="F687" s="172"/>
      <c r="G687" s="172"/>
      <c r="H687" s="172"/>
      <c r="I687" s="172"/>
      <c r="J687" s="172"/>
      <c r="K687" s="172"/>
      <c r="L687" s="172"/>
      <c r="M687" s="172"/>
      <c r="N687" s="172"/>
      <c r="O687" s="172"/>
      <c r="P687" s="172"/>
      <c r="Q687" s="172"/>
      <c r="R687" s="172"/>
      <c r="S687" s="172"/>
      <c r="T687" s="172"/>
      <c r="U687" s="172"/>
      <c r="V687" s="172"/>
      <c r="W687" s="172"/>
      <c r="X687" s="172"/>
      <c r="Y687" s="172"/>
      <c r="Z687" s="172"/>
    </row>
    <row r="688">
      <c r="A688" s="172"/>
      <c r="B688" s="172"/>
      <c r="C688" s="172"/>
      <c r="D688" s="172"/>
      <c r="E688" s="172"/>
      <c r="F688" s="172"/>
      <c r="G688" s="172"/>
      <c r="H688" s="172"/>
      <c r="I688" s="172"/>
      <c r="J688" s="172"/>
      <c r="K688" s="172"/>
      <c r="L688" s="172"/>
      <c r="M688" s="172"/>
      <c r="N688" s="172"/>
      <c r="O688" s="172"/>
      <c r="P688" s="172"/>
      <c r="Q688" s="172"/>
      <c r="R688" s="172"/>
      <c r="S688" s="172"/>
      <c r="T688" s="172"/>
      <c r="U688" s="172"/>
      <c r="V688" s="172"/>
      <c r="W688" s="172"/>
      <c r="X688" s="172"/>
      <c r="Y688" s="172"/>
      <c r="Z688" s="172"/>
    </row>
    <row r="689">
      <c r="A689" s="172"/>
      <c r="B689" s="172"/>
      <c r="C689" s="172"/>
      <c r="D689" s="172"/>
      <c r="E689" s="172"/>
      <c r="F689" s="172"/>
      <c r="G689" s="172"/>
      <c r="H689" s="172"/>
      <c r="I689" s="172"/>
      <c r="J689" s="172"/>
      <c r="K689" s="172"/>
      <c r="L689" s="172"/>
      <c r="M689" s="172"/>
      <c r="N689" s="172"/>
      <c r="O689" s="172"/>
      <c r="P689" s="172"/>
      <c r="Q689" s="172"/>
      <c r="R689" s="172"/>
      <c r="S689" s="172"/>
      <c r="T689" s="172"/>
      <c r="U689" s="172"/>
      <c r="V689" s="172"/>
      <c r="W689" s="172"/>
      <c r="X689" s="172"/>
      <c r="Y689" s="172"/>
      <c r="Z689" s="172"/>
    </row>
    <row r="690">
      <c r="A690" s="172"/>
      <c r="B690" s="172"/>
      <c r="C690" s="172"/>
      <c r="D690" s="172"/>
      <c r="E690" s="172"/>
      <c r="F690" s="172"/>
      <c r="G690" s="172"/>
      <c r="H690" s="172"/>
      <c r="I690" s="172"/>
      <c r="J690" s="172"/>
      <c r="K690" s="172"/>
      <c r="L690" s="172"/>
      <c r="M690" s="172"/>
      <c r="N690" s="172"/>
      <c r="O690" s="172"/>
      <c r="P690" s="172"/>
      <c r="Q690" s="172"/>
      <c r="R690" s="172"/>
      <c r="S690" s="172"/>
      <c r="T690" s="172"/>
      <c r="U690" s="172"/>
      <c r="V690" s="172"/>
      <c r="W690" s="172"/>
      <c r="X690" s="172"/>
      <c r="Y690" s="172"/>
      <c r="Z690" s="172"/>
    </row>
    <row r="691">
      <c r="A691" s="172"/>
      <c r="B691" s="172"/>
      <c r="C691" s="172"/>
      <c r="D691" s="172"/>
      <c r="E691" s="172"/>
      <c r="F691" s="172"/>
      <c r="G691" s="172"/>
      <c r="H691" s="172"/>
      <c r="I691" s="172"/>
      <c r="J691" s="172"/>
      <c r="K691" s="172"/>
      <c r="L691" s="172"/>
      <c r="M691" s="172"/>
      <c r="N691" s="172"/>
      <c r="O691" s="172"/>
      <c r="P691" s="172"/>
      <c r="Q691" s="172"/>
      <c r="R691" s="172"/>
      <c r="S691" s="172"/>
      <c r="T691" s="172"/>
      <c r="U691" s="172"/>
      <c r="V691" s="172"/>
      <c r="W691" s="172"/>
      <c r="X691" s="172"/>
      <c r="Y691" s="172"/>
      <c r="Z691" s="172"/>
    </row>
    <row r="692">
      <c r="A692" s="172"/>
      <c r="B692" s="172"/>
      <c r="C692" s="172"/>
      <c r="D692" s="172"/>
      <c r="E692" s="172"/>
      <c r="F692" s="172"/>
      <c r="G692" s="172"/>
      <c r="H692" s="172"/>
      <c r="I692" s="172"/>
      <c r="J692" s="172"/>
      <c r="K692" s="172"/>
      <c r="L692" s="172"/>
      <c r="M692" s="172"/>
      <c r="N692" s="172"/>
      <c r="O692" s="172"/>
      <c r="P692" s="172"/>
      <c r="Q692" s="172"/>
      <c r="R692" s="172"/>
      <c r="S692" s="172"/>
      <c r="T692" s="172"/>
      <c r="U692" s="172"/>
      <c r="V692" s="172"/>
      <c r="W692" s="172"/>
      <c r="X692" s="172"/>
      <c r="Y692" s="172"/>
      <c r="Z692" s="172"/>
    </row>
    <row r="693">
      <c r="A693" s="172"/>
      <c r="B693" s="172"/>
      <c r="C693" s="172"/>
      <c r="D693" s="172"/>
      <c r="E693" s="172"/>
      <c r="F693" s="172"/>
      <c r="G693" s="172"/>
      <c r="H693" s="172"/>
      <c r="I693" s="172"/>
      <c r="J693" s="172"/>
      <c r="K693" s="172"/>
      <c r="L693" s="172"/>
      <c r="M693" s="172"/>
      <c r="N693" s="172"/>
      <c r="O693" s="172"/>
      <c r="P693" s="172"/>
      <c r="Q693" s="172"/>
      <c r="R693" s="172"/>
      <c r="S693" s="172"/>
      <c r="T693" s="172"/>
      <c r="U693" s="172"/>
      <c r="V693" s="172"/>
      <c r="W693" s="172"/>
      <c r="X693" s="172"/>
      <c r="Y693" s="172"/>
      <c r="Z693" s="172"/>
    </row>
    <row r="694">
      <c r="A694" s="172"/>
      <c r="B694" s="172"/>
      <c r="C694" s="172"/>
      <c r="D694" s="172"/>
      <c r="E694" s="172"/>
      <c r="F694" s="172"/>
      <c r="G694" s="172"/>
      <c r="H694" s="172"/>
      <c r="I694" s="172"/>
      <c r="J694" s="172"/>
      <c r="K694" s="172"/>
      <c r="L694" s="172"/>
      <c r="M694" s="172"/>
      <c r="N694" s="172"/>
      <c r="O694" s="172"/>
      <c r="P694" s="172"/>
      <c r="Q694" s="172"/>
      <c r="R694" s="172"/>
      <c r="S694" s="172"/>
      <c r="T694" s="172"/>
      <c r="U694" s="172"/>
      <c r="V694" s="172"/>
      <c r="W694" s="172"/>
      <c r="X694" s="172"/>
      <c r="Y694" s="172"/>
      <c r="Z694" s="172"/>
    </row>
    <row r="695">
      <c r="A695" s="172"/>
      <c r="B695" s="172"/>
      <c r="C695" s="172"/>
      <c r="D695" s="172"/>
      <c r="E695" s="172"/>
      <c r="F695" s="172"/>
      <c r="G695" s="172"/>
      <c r="H695" s="172"/>
      <c r="I695" s="172"/>
      <c r="J695" s="172"/>
      <c r="K695" s="172"/>
      <c r="L695" s="172"/>
      <c r="M695" s="172"/>
      <c r="N695" s="172"/>
      <c r="O695" s="172"/>
      <c r="P695" s="172"/>
      <c r="Q695" s="172"/>
      <c r="R695" s="172"/>
      <c r="S695" s="172"/>
      <c r="T695" s="172"/>
      <c r="U695" s="172"/>
      <c r="V695" s="172"/>
      <c r="W695" s="172"/>
      <c r="X695" s="172"/>
      <c r="Y695" s="172"/>
      <c r="Z695" s="172"/>
    </row>
    <row r="696">
      <c r="A696" s="172"/>
      <c r="B696" s="172"/>
      <c r="C696" s="172"/>
      <c r="D696" s="172"/>
      <c r="E696" s="172"/>
      <c r="F696" s="172"/>
      <c r="G696" s="172"/>
      <c r="H696" s="172"/>
      <c r="I696" s="172"/>
      <c r="J696" s="172"/>
      <c r="K696" s="172"/>
      <c r="L696" s="172"/>
      <c r="M696" s="172"/>
      <c r="N696" s="172"/>
      <c r="O696" s="172"/>
      <c r="P696" s="172"/>
      <c r="Q696" s="172"/>
      <c r="R696" s="172"/>
      <c r="S696" s="172"/>
      <c r="T696" s="172"/>
      <c r="U696" s="172"/>
      <c r="V696" s="172"/>
      <c r="W696" s="172"/>
      <c r="X696" s="172"/>
      <c r="Y696" s="172"/>
      <c r="Z696" s="172"/>
    </row>
    <row r="697">
      <c r="A697" s="172"/>
      <c r="B697" s="172"/>
      <c r="C697" s="172"/>
      <c r="D697" s="172"/>
      <c r="E697" s="172"/>
      <c r="F697" s="172"/>
      <c r="G697" s="172"/>
      <c r="H697" s="172"/>
      <c r="I697" s="172"/>
      <c r="J697" s="172"/>
      <c r="K697" s="172"/>
      <c r="L697" s="172"/>
      <c r="M697" s="172"/>
      <c r="N697" s="172"/>
      <c r="O697" s="172"/>
      <c r="P697" s="172"/>
      <c r="Q697" s="172"/>
      <c r="R697" s="172"/>
      <c r="S697" s="172"/>
      <c r="T697" s="172"/>
      <c r="U697" s="172"/>
      <c r="V697" s="172"/>
      <c r="W697" s="172"/>
      <c r="X697" s="172"/>
      <c r="Y697" s="172"/>
      <c r="Z697" s="172"/>
    </row>
    <row r="698">
      <c r="A698" s="172"/>
      <c r="B698" s="172"/>
      <c r="C698" s="172"/>
      <c r="D698" s="172"/>
      <c r="E698" s="172"/>
      <c r="F698" s="172"/>
      <c r="G698" s="172"/>
      <c r="H698" s="172"/>
      <c r="I698" s="172"/>
      <c r="J698" s="172"/>
      <c r="K698" s="172"/>
      <c r="L698" s="172"/>
      <c r="M698" s="172"/>
      <c r="N698" s="172"/>
      <c r="O698" s="172"/>
      <c r="P698" s="172"/>
      <c r="Q698" s="172"/>
      <c r="R698" s="172"/>
      <c r="S698" s="172"/>
      <c r="T698" s="172"/>
      <c r="U698" s="172"/>
      <c r="V698" s="172"/>
      <c r="W698" s="172"/>
      <c r="X698" s="172"/>
      <c r="Y698" s="172"/>
      <c r="Z698" s="172"/>
    </row>
    <row r="699">
      <c r="A699" s="172"/>
      <c r="B699" s="172"/>
      <c r="C699" s="172"/>
      <c r="D699" s="172"/>
      <c r="E699" s="172"/>
      <c r="F699" s="172"/>
      <c r="G699" s="172"/>
      <c r="H699" s="172"/>
      <c r="I699" s="172"/>
      <c r="J699" s="172"/>
      <c r="K699" s="172"/>
      <c r="L699" s="172"/>
      <c r="M699" s="172"/>
      <c r="N699" s="172"/>
      <c r="O699" s="172"/>
      <c r="P699" s="172"/>
      <c r="Q699" s="172"/>
      <c r="R699" s="172"/>
      <c r="S699" s="172"/>
      <c r="T699" s="172"/>
      <c r="U699" s="172"/>
      <c r="V699" s="172"/>
      <c r="W699" s="172"/>
      <c r="X699" s="172"/>
      <c r="Y699" s="172"/>
      <c r="Z699" s="172"/>
    </row>
    <row r="700">
      <c r="A700" s="172"/>
      <c r="B700" s="172"/>
      <c r="C700" s="172"/>
      <c r="D700" s="172"/>
      <c r="E700" s="172"/>
      <c r="F700" s="172"/>
      <c r="G700" s="172"/>
      <c r="H700" s="172"/>
      <c r="I700" s="172"/>
      <c r="J700" s="172"/>
      <c r="K700" s="172"/>
      <c r="L700" s="172"/>
      <c r="M700" s="172"/>
      <c r="N700" s="172"/>
      <c r="O700" s="172"/>
      <c r="P700" s="172"/>
      <c r="Q700" s="172"/>
      <c r="R700" s="172"/>
      <c r="S700" s="172"/>
      <c r="T700" s="172"/>
      <c r="U700" s="172"/>
      <c r="V700" s="172"/>
      <c r="W700" s="172"/>
      <c r="X700" s="172"/>
      <c r="Y700" s="172"/>
      <c r="Z700" s="172"/>
    </row>
    <row r="701">
      <c r="A701" s="172"/>
      <c r="B701" s="172"/>
      <c r="C701" s="172"/>
      <c r="D701" s="172"/>
      <c r="E701" s="172"/>
      <c r="F701" s="172"/>
      <c r="G701" s="172"/>
      <c r="H701" s="172"/>
      <c r="I701" s="172"/>
      <c r="J701" s="172"/>
      <c r="K701" s="172"/>
      <c r="L701" s="172"/>
      <c r="M701" s="172"/>
      <c r="N701" s="172"/>
      <c r="O701" s="172"/>
      <c r="P701" s="172"/>
      <c r="Q701" s="172"/>
      <c r="R701" s="172"/>
      <c r="S701" s="172"/>
      <c r="T701" s="172"/>
      <c r="U701" s="172"/>
      <c r="V701" s="172"/>
      <c r="W701" s="172"/>
      <c r="X701" s="172"/>
      <c r="Y701" s="172"/>
      <c r="Z701" s="172"/>
    </row>
    <row r="702">
      <c r="A702" s="172"/>
      <c r="B702" s="172"/>
      <c r="C702" s="172"/>
      <c r="D702" s="172"/>
      <c r="E702" s="172"/>
      <c r="F702" s="172"/>
      <c r="G702" s="172"/>
      <c r="H702" s="172"/>
      <c r="I702" s="172"/>
      <c r="J702" s="172"/>
      <c r="K702" s="172"/>
      <c r="L702" s="172"/>
      <c r="M702" s="172"/>
      <c r="N702" s="172"/>
      <c r="O702" s="172"/>
      <c r="P702" s="172"/>
      <c r="Q702" s="172"/>
      <c r="R702" s="172"/>
      <c r="S702" s="172"/>
      <c r="T702" s="172"/>
      <c r="U702" s="172"/>
      <c r="V702" s="172"/>
      <c r="W702" s="172"/>
      <c r="X702" s="172"/>
      <c r="Y702" s="172"/>
      <c r="Z702" s="172"/>
    </row>
    <row r="703">
      <c r="A703" s="172"/>
      <c r="B703" s="172"/>
      <c r="C703" s="172"/>
      <c r="D703" s="172"/>
      <c r="E703" s="172"/>
      <c r="F703" s="172"/>
      <c r="G703" s="172"/>
      <c r="H703" s="172"/>
      <c r="I703" s="172"/>
      <c r="J703" s="172"/>
      <c r="K703" s="172"/>
      <c r="L703" s="172"/>
      <c r="M703" s="172"/>
      <c r="N703" s="172"/>
      <c r="O703" s="172"/>
      <c r="P703" s="172"/>
      <c r="Q703" s="172"/>
      <c r="R703" s="172"/>
      <c r="S703" s="172"/>
      <c r="T703" s="172"/>
      <c r="U703" s="172"/>
      <c r="V703" s="172"/>
      <c r="W703" s="172"/>
      <c r="X703" s="172"/>
      <c r="Y703" s="172"/>
      <c r="Z703" s="172"/>
    </row>
    <row r="704">
      <c r="A704" s="172"/>
      <c r="B704" s="172"/>
      <c r="C704" s="172"/>
      <c r="D704" s="172"/>
      <c r="E704" s="172"/>
      <c r="F704" s="172"/>
      <c r="G704" s="172"/>
      <c r="H704" s="172"/>
      <c r="I704" s="172"/>
      <c r="J704" s="172"/>
      <c r="K704" s="172"/>
      <c r="L704" s="172"/>
      <c r="M704" s="172"/>
      <c r="N704" s="172"/>
      <c r="O704" s="172"/>
      <c r="P704" s="172"/>
      <c r="Q704" s="172"/>
      <c r="R704" s="172"/>
      <c r="S704" s="172"/>
      <c r="T704" s="172"/>
      <c r="U704" s="172"/>
      <c r="V704" s="172"/>
      <c r="W704" s="172"/>
      <c r="X704" s="172"/>
      <c r="Y704" s="172"/>
      <c r="Z704" s="172"/>
    </row>
    <row r="705">
      <c r="A705" s="172"/>
      <c r="B705" s="172"/>
      <c r="C705" s="172"/>
      <c r="D705" s="172"/>
      <c r="E705" s="172"/>
      <c r="F705" s="172"/>
      <c r="G705" s="172"/>
      <c r="H705" s="172"/>
      <c r="I705" s="172"/>
      <c r="J705" s="172"/>
      <c r="K705" s="172"/>
      <c r="L705" s="172"/>
      <c r="M705" s="172"/>
      <c r="N705" s="172"/>
      <c r="O705" s="172"/>
      <c r="P705" s="172"/>
      <c r="Q705" s="172"/>
      <c r="R705" s="172"/>
      <c r="S705" s="172"/>
      <c r="T705" s="172"/>
      <c r="U705" s="172"/>
      <c r="V705" s="172"/>
      <c r="W705" s="172"/>
      <c r="X705" s="172"/>
      <c r="Y705" s="172"/>
      <c r="Z705" s="172"/>
    </row>
    <row r="706">
      <c r="A706" s="172"/>
      <c r="B706" s="172"/>
      <c r="C706" s="172"/>
      <c r="D706" s="172"/>
      <c r="E706" s="172"/>
      <c r="F706" s="172"/>
      <c r="G706" s="172"/>
      <c r="H706" s="172"/>
      <c r="I706" s="172"/>
      <c r="J706" s="172"/>
      <c r="K706" s="172"/>
      <c r="L706" s="172"/>
      <c r="M706" s="172"/>
      <c r="N706" s="172"/>
      <c r="O706" s="172"/>
      <c r="P706" s="172"/>
      <c r="Q706" s="172"/>
      <c r="R706" s="172"/>
      <c r="S706" s="172"/>
      <c r="T706" s="172"/>
      <c r="U706" s="172"/>
      <c r="V706" s="172"/>
      <c r="W706" s="172"/>
      <c r="X706" s="172"/>
      <c r="Y706" s="172"/>
      <c r="Z706" s="172"/>
    </row>
    <row r="707">
      <c r="A707" s="172"/>
      <c r="B707" s="172"/>
      <c r="C707" s="172"/>
      <c r="D707" s="172"/>
      <c r="E707" s="172"/>
      <c r="F707" s="172"/>
      <c r="G707" s="172"/>
      <c r="H707" s="172"/>
      <c r="I707" s="172"/>
      <c r="J707" s="172"/>
      <c r="K707" s="172"/>
      <c r="L707" s="172"/>
      <c r="M707" s="172"/>
      <c r="N707" s="172"/>
      <c r="O707" s="172"/>
      <c r="P707" s="172"/>
      <c r="Q707" s="172"/>
      <c r="R707" s="172"/>
      <c r="S707" s="172"/>
      <c r="T707" s="172"/>
      <c r="U707" s="172"/>
      <c r="V707" s="172"/>
      <c r="W707" s="172"/>
      <c r="X707" s="172"/>
      <c r="Y707" s="172"/>
      <c r="Z707" s="172"/>
    </row>
    <row r="708">
      <c r="A708" s="172"/>
      <c r="B708" s="172"/>
      <c r="C708" s="172"/>
      <c r="D708" s="172"/>
      <c r="E708" s="172"/>
      <c r="F708" s="172"/>
      <c r="G708" s="172"/>
      <c r="H708" s="172"/>
      <c r="I708" s="172"/>
      <c r="J708" s="172"/>
      <c r="K708" s="172"/>
      <c r="L708" s="172"/>
      <c r="M708" s="172"/>
      <c r="N708" s="172"/>
      <c r="O708" s="172"/>
      <c r="P708" s="172"/>
      <c r="Q708" s="172"/>
      <c r="R708" s="172"/>
      <c r="S708" s="172"/>
      <c r="T708" s="172"/>
      <c r="U708" s="172"/>
      <c r="V708" s="172"/>
      <c r="W708" s="172"/>
      <c r="X708" s="172"/>
      <c r="Y708" s="172"/>
      <c r="Z708" s="172"/>
    </row>
    <row r="709">
      <c r="A709" s="172"/>
      <c r="B709" s="172"/>
      <c r="C709" s="172"/>
      <c r="D709" s="172"/>
      <c r="E709" s="172"/>
      <c r="F709" s="172"/>
      <c r="G709" s="172"/>
      <c r="H709" s="172"/>
      <c r="I709" s="172"/>
      <c r="J709" s="172"/>
      <c r="K709" s="172"/>
      <c r="L709" s="172"/>
      <c r="M709" s="172"/>
      <c r="N709" s="172"/>
      <c r="O709" s="172"/>
      <c r="P709" s="172"/>
      <c r="Q709" s="172"/>
      <c r="R709" s="172"/>
      <c r="S709" s="172"/>
      <c r="T709" s="172"/>
      <c r="U709" s="172"/>
      <c r="V709" s="172"/>
      <c r="W709" s="172"/>
      <c r="X709" s="172"/>
      <c r="Y709" s="172"/>
      <c r="Z709" s="172"/>
    </row>
    <row r="710">
      <c r="A710" s="172"/>
      <c r="B710" s="172"/>
      <c r="C710" s="172"/>
      <c r="D710" s="172"/>
      <c r="E710" s="172"/>
      <c r="F710" s="172"/>
      <c r="G710" s="172"/>
      <c r="H710" s="172"/>
      <c r="I710" s="172"/>
      <c r="J710" s="172"/>
      <c r="K710" s="172"/>
      <c r="L710" s="172"/>
      <c r="M710" s="172"/>
      <c r="N710" s="172"/>
      <c r="O710" s="172"/>
      <c r="P710" s="172"/>
      <c r="Q710" s="172"/>
      <c r="R710" s="172"/>
      <c r="S710" s="172"/>
      <c r="T710" s="172"/>
      <c r="U710" s="172"/>
      <c r="V710" s="172"/>
      <c r="W710" s="172"/>
      <c r="X710" s="172"/>
      <c r="Y710" s="172"/>
      <c r="Z710" s="172"/>
    </row>
    <row r="711">
      <c r="A711" s="172"/>
      <c r="B711" s="172"/>
      <c r="C711" s="172"/>
      <c r="D711" s="172"/>
      <c r="E711" s="172"/>
      <c r="F711" s="172"/>
      <c r="G711" s="172"/>
      <c r="H711" s="172"/>
      <c r="I711" s="172"/>
      <c r="J711" s="172"/>
      <c r="K711" s="172"/>
      <c r="L711" s="172"/>
      <c r="M711" s="172"/>
      <c r="N711" s="172"/>
      <c r="O711" s="172"/>
      <c r="P711" s="172"/>
      <c r="Q711" s="172"/>
      <c r="R711" s="172"/>
      <c r="S711" s="172"/>
      <c r="T711" s="172"/>
      <c r="U711" s="172"/>
      <c r="V711" s="172"/>
      <c r="W711" s="172"/>
      <c r="X711" s="172"/>
      <c r="Y711" s="172"/>
      <c r="Z711" s="172"/>
    </row>
    <row r="712">
      <c r="A712" s="172"/>
      <c r="B712" s="172"/>
      <c r="C712" s="172"/>
      <c r="D712" s="172"/>
      <c r="E712" s="172"/>
      <c r="F712" s="172"/>
      <c r="G712" s="172"/>
      <c r="H712" s="172"/>
      <c r="I712" s="172"/>
      <c r="J712" s="172"/>
      <c r="K712" s="172"/>
      <c r="L712" s="172"/>
      <c r="M712" s="172"/>
      <c r="N712" s="172"/>
      <c r="O712" s="172"/>
      <c r="P712" s="172"/>
      <c r="Q712" s="172"/>
      <c r="R712" s="172"/>
      <c r="S712" s="172"/>
      <c r="T712" s="172"/>
      <c r="U712" s="172"/>
      <c r="V712" s="172"/>
      <c r="W712" s="172"/>
      <c r="X712" s="172"/>
      <c r="Y712" s="172"/>
      <c r="Z712" s="172"/>
    </row>
    <row r="713">
      <c r="A713" s="172"/>
      <c r="B713" s="172"/>
      <c r="C713" s="172"/>
      <c r="D713" s="172"/>
      <c r="E713" s="172"/>
      <c r="F713" s="172"/>
      <c r="G713" s="172"/>
      <c r="H713" s="172"/>
      <c r="I713" s="172"/>
      <c r="J713" s="172"/>
      <c r="K713" s="172"/>
      <c r="L713" s="172"/>
      <c r="M713" s="172"/>
      <c r="N713" s="172"/>
      <c r="O713" s="172"/>
      <c r="P713" s="172"/>
      <c r="Q713" s="172"/>
      <c r="R713" s="172"/>
      <c r="S713" s="172"/>
      <c r="T713" s="172"/>
      <c r="U713" s="172"/>
      <c r="V713" s="172"/>
      <c r="W713" s="172"/>
      <c r="X713" s="172"/>
      <c r="Y713" s="172"/>
      <c r="Z713" s="172"/>
    </row>
    <row r="714">
      <c r="A714" s="172"/>
      <c r="B714" s="172"/>
      <c r="C714" s="172"/>
      <c r="D714" s="172"/>
      <c r="E714" s="172"/>
      <c r="F714" s="172"/>
      <c r="G714" s="172"/>
      <c r="H714" s="172"/>
      <c r="I714" s="172"/>
      <c r="J714" s="172"/>
      <c r="K714" s="172"/>
      <c r="L714" s="172"/>
      <c r="M714" s="172"/>
      <c r="N714" s="172"/>
      <c r="O714" s="172"/>
      <c r="P714" s="172"/>
      <c r="Q714" s="172"/>
      <c r="R714" s="172"/>
      <c r="S714" s="172"/>
      <c r="T714" s="172"/>
      <c r="U714" s="172"/>
      <c r="V714" s="172"/>
      <c r="W714" s="172"/>
      <c r="X714" s="172"/>
      <c r="Y714" s="172"/>
      <c r="Z714" s="172"/>
    </row>
    <row r="715">
      <c r="A715" s="172"/>
      <c r="B715" s="172"/>
      <c r="C715" s="172"/>
      <c r="D715" s="172"/>
      <c r="E715" s="172"/>
      <c r="F715" s="172"/>
      <c r="G715" s="172"/>
      <c r="H715" s="172"/>
      <c r="I715" s="172"/>
      <c r="J715" s="172"/>
      <c r="K715" s="172"/>
      <c r="L715" s="172"/>
      <c r="M715" s="172"/>
      <c r="N715" s="172"/>
      <c r="O715" s="172"/>
      <c r="P715" s="172"/>
      <c r="Q715" s="172"/>
      <c r="R715" s="172"/>
      <c r="S715" s="172"/>
      <c r="T715" s="172"/>
      <c r="U715" s="172"/>
      <c r="V715" s="172"/>
      <c r="W715" s="172"/>
      <c r="X715" s="172"/>
      <c r="Y715" s="172"/>
      <c r="Z715" s="172"/>
    </row>
    <row r="716">
      <c r="A716" s="172"/>
      <c r="B716" s="172"/>
      <c r="C716" s="172"/>
      <c r="D716" s="172"/>
      <c r="E716" s="172"/>
      <c r="F716" s="172"/>
      <c r="G716" s="172"/>
      <c r="H716" s="172"/>
      <c r="I716" s="172"/>
      <c r="J716" s="172"/>
      <c r="K716" s="172"/>
      <c r="L716" s="172"/>
      <c r="M716" s="172"/>
      <c r="N716" s="172"/>
      <c r="O716" s="172"/>
      <c r="P716" s="172"/>
      <c r="Q716" s="172"/>
      <c r="R716" s="172"/>
      <c r="S716" s="172"/>
      <c r="T716" s="172"/>
      <c r="U716" s="172"/>
      <c r="V716" s="172"/>
      <c r="W716" s="172"/>
      <c r="X716" s="172"/>
      <c r="Y716" s="172"/>
      <c r="Z716" s="172"/>
    </row>
    <row r="717">
      <c r="A717" s="172"/>
      <c r="B717" s="172"/>
      <c r="C717" s="172"/>
      <c r="D717" s="172"/>
      <c r="E717" s="172"/>
      <c r="F717" s="172"/>
      <c r="G717" s="172"/>
      <c r="H717" s="172"/>
      <c r="I717" s="172"/>
      <c r="J717" s="172"/>
      <c r="K717" s="172"/>
      <c r="L717" s="172"/>
      <c r="M717" s="172"/>
      <c r="N717" s="172"/>
      <c r="O717" s="172"/>
      <c r="P717" s="172"/>
      <c r="Q717" s="172"/>
      <c r="R717" s="172"/>
      <c r="S717" s="172"/>
      <c r="T717" s="172"/>
      <c r="U717" s="172"/>
      <c r="V717" s="172"/>
      <c r="W717" s="172"/>
      <c r="X717" s="172"/>
      <c r="Y717" s="172"/>
      <c r="Z717" s="172"/>
    </row>
    <row r="718">
      <c r="A718" s="172"/>
      <c r="B718" s="172"/>
      <c r="C718" s="172"/>
      <c r="D718" s="172"/>
      <c r="E718" s="172"/>
      <c r="F718" s="172"/>
      <c r="G718" s="172"/>
      <c r="H718" s="172"/>
      <c r="I718" s="172"/>
      <c r="J718" s="172"/>
      <c r="K718" s="172"/>
      <c r="L718" s="172"/>
      <c r="M718" s="172"/>
      <c r="N718" s="172"/>
      <c r="O718" s="172"/>
      <c r="P718" s="172"/>
      <c r="Q718" s="172"/>
      <c r="R718" s="172"/>
      <c r="S718" s="172"/>
      <c r="T718" s="172"/>
      <c r="U718" s="172"/>
      <c r="V718" s="172"/>
      <c r="W718" s="172"/>
      <c r="X718" s="172"/>
      <c r="Y718" s="172"/>
      <c r="Z718" s="172"/>
    </row>
    <row r="719">
      <c r="A719" s="172"/>
      <c r="B719" s="172"/>
      <c r="C719" s="172"/>
      <c r="D719" s="172"/>
      <c r="E719" s="172"/>
      <c r="F719" s="172"/>
      <c r="G719" s="172"/>
      <c r="H719" s="172"/>
      <c r="I719" s="172"/>
      <c r="J719" s="172"/>
      <c r="K719" s="172"/>
      <c r="L719" s="172"/>
      <c r="M719" s="172"/>
      <c r="N719" s="172"/>
      <c r="O719" s="172"/>
      <c r="P719" s="172"/>
      <c r="Q719" s="172"/>
      <c r="R719" s="172"/>
      <c r="S719" s="172"/>
      <c r="T719" s="172"/>
      <c r="U719" s="172"/>
      <c r="V719" s="172"/>
      <c r="W719" s="172"/>
      <c r="X719" s="172"/>
      <c r="Y719" s="172"/>
      <c r="Z719" s="172"/>
    </row>
    <row r="720">
      <c r="A720" s="172"/>
      <c r="B720" s="172"/>
      <c r="C720" s="172"/>
      <c r="D720" s="172"/>
      <c r="E720" s="172"/>
      <c r="F720" s="172"/>
      <c r="G720" s="172"/>
      <c r="H720" s="172"/>
      <c r="I720" s="172"/>
      <c r="J720" s="172"/>
      <c r="K720" s="172"/>
      <c r="L720" s="172"/>
      <c r="M720" s="172"/>
      <c r="N720" s="172"/>
      <c r="O720" s="172"/>
      <c r="P720" s="172"/>
      <c r="Q720" s="172"/>
      <c r="R720" s="172"/>
      <c r="S720" s="172"/>
      <c r="T720" s="172"/>
      <c r="U720" s="172"/>
      <c r="V720" s="172"/>
      <c r="W720" s="172"/>
      <c r="X720" s="172"/>
      <c r="Y720" s="172"/>
      <c r="Z720" s="172"/>
    </row>
    <row r="721">
      <c r="A721" s="172"/>
      <c r="B721" s="172"/>
      <c r="C721" s="172"/>
      <c r="D721" s="172"/>
      <c r="E721" s="172"/>
      <c r="F721" s="172"/>
      <c r="G721" s="172"/>
      <c r="H721" s="172"/>
      <c r="I721" s="172"/>
      <c r="J721" s="172"/>
      <c r="K721" s="172"/>
      <c r="L721" s="172"/>
      <c r="M721" s="172"/>
      <c r="N721" s="172"/>
      <c r="O721" s="172"/>
      <c r="P721" s="172"/>
      <c r="Q721" s="172"/>
      <c r="R721" s="172"/>
      <c r="S721" s="172"/>
      <c r="T721" s="172"/>
      <c r="U721" s="172"/>
      <c r="V721" s="172"/>
      <c r="W721" s="172"/>
      <c r="X721" s="172"/>
      <c r="Y721" s="172"/>
      <c r="Z721" s="172"/>
    </row>
    <row r="722">
      <c r="A722" s="172"/>
      <c r="B722" s="172"/>
      <c r="C722" s="172"/>
      <c r="D722" s="172"/>
      <c r="E722" s="172"/>
      <c r="F722" s="172"/>
      <c r="G722" s="172"/>
      <c r="H722" s="172"/>
      <c r="I722" s="172"/>
      <c r="J722" s="172"/>
      <c r="K722" s="172"/>
      <c r="L722" s="172"/>
      <c r="M722" s="172"/>
      <c r="N722" s="172"/>
      <c r="O722" s="172"/>
      <c r="P722" s="172"/>
      <c r="Q722" s="172"/>
      <c r="R722" s="172"/>
      <c r="S722" s="172"/>
      <c r="T722" s="172"/>
      <c r="U722" s="172"/>
      <c r="V722" s="172"/>
      <c r="W722" s="172"/>
      <c r="X722" s="172"/>
      <c r="Y722" s="172"/>
      <c r="Z722" s="172"/>
    </row>
    <row r="723">
      <c r="A723" s="172"/>
      <c r="B723" s="172"/>
      <c r="C723" s="172"/>
      <c r="D723" s="172"/>
      <c r="E723" s="172"/>
      <c r="F723" s="172"/>
      <c r="G723" s="172"/>
      <c r="H723" s="172"/>
      <c r="I723" s="172"/>
      <c r="J723" s="172"/>
      <c r="K723" s="172"/>
      <c r="L723" s="172"/>
      <c r="M723" s="172"/>
      <c r="N723" s="172"/>
      <c r="O723" s="172"/>
      <c r="P723" s="172"/>
      <c r="Q723" s="172"/>
      <c r="R723" s="172"/>
      <c r="S723" s="172"/>
      <c r="T723" s="172"/>
      <c r="U723" s="172"/>
      <c r="V723" s="172"/>
      <c r="W723" s="172"/>
      <c r="X723" s="172"/>
      <c r="Y723" s="172"/>
      <c r="Z723" s="172"/>
    </row>
    <row r="724">
      <c r="A724" s="172"/>
      <c r="B724" s="172"/>
      <c r="C724" s="172"/>
      <c r="D724" s="172"/>
      <c r="E724" s="172"/>
      <c r="F724" s="172"/>
      <c r="G724" s="172"/>
      <c r="H724" s="172"/>
      <c r="I724" s="172"/>
      <c r="J724" s="172"/>
      <c r="K724" s="172"/>
      <c r="L724" s="172"/>
      <c r="M724" s="172"/>
      <c r="N724" s="172"/>
      <c r="O724" s="172"/>
      <c r="P724" s="172"/>
      <c r="Q724" s="172"/>
      <c r="R724" s="172"/>
      <c r="S724" s="172"/>
      <c r="T724" s="172"/>
      <c r="U724" s="172"/>
      <c r="V724" s="172"/>
      <c r="W724" s="172"/>
      <c r="X724" s="172"/>
      <c r="Y724" s="172"/>
      <c r="Z724" s="172"/>
    </row>
    <row r="725">
      <c r="A725" s="172"/>
      <c r="B725" s="172"/>
      <c r="C725" s="172"/>
      <c r="D725" s="172"/>
      <c r="E725" s="172"/>
      <c r="F725" s="172"/>
      <c r="G725" s="172"/>
      <c r="H725" s="172"/>
      <c r="I725" s="172"/>
      <c r="J725" s="172"/>
      <c r="K725" s="172"/>
      <c r="L725" s="172"/>
      <c r="M725" s="172"/>
      <c r="N725" s="172"/>
      <c r="O725" s="172"/>
      <c r="P725" s="172"/>
      <c r="Q725" s="172"/>
      <c r="R725" s="172"/>
      <c r="S725" s="172"/>
      <c r="T725" s="172"/>
      <c r="U725" s="172"/>
      <c r="V725" s="172"/>
      <c r="W725" s="172"/>
      <c r="X725" s="172"/>
      <c r="Y725" s="172"/>
      <c r="Z725" s="172"/>
    </row>
    <row r="726">
      <c r="A726" s="172"/>
      <c r="B726" s="172"/>
      <c r="C726" s="172"/>
      <c r="D726" s="172"/>
      <c r="E726" s="172"/>
      <c r="F726" s="172"/>
      <c r="G726" s="172"/>
      <c r="H726" s="172"/>
      <c r="I726" s="172"/>
      <c r="J726" s="172"/>
      <c r="K726" s="172"/>
      <c r="L726" s="172"/>
      <c r="M726" s="172"/>
      <c r="N726" s="172"/>
      <c r="O726" s="172"/>
      <c r="P726" s="172"/>
      <c r="Q726" s="172"/>
      <c r="R726" s="172"/>
      <c r="S726" s="172"/>
      <c r="T726" s="172"/>
      <c r="U726" s="172"/>
      <c r="V726" s="172"/>
      <c r="W726" s="172"/>
      <c r="X726" s="172"/>
      <c r="Y726" s="172"/>
      <c r="Z726" s="172"/>
    </row>
    <row r="727">
      <c r="A727" s="172"/>
      <c r="B727" s="172"/>
      <c r="C727" s="172"/>
      <c r="D727" s="172"/>
      <c r="E727" s="172"/>
      <c r="F727" s="172"/>
      <c r="G727" s="172"/>
      <c r="H727" s="172"/>
      <c r="I727" s="172"/>
      <c r="J727" s="172"/>
      <c r="K727" s="172"/>
      <c r="L727" s="172"/>
      <c r="M727" s="172"/>
      <c r="N727" s="172"/>
      <c r="O727" s="172"/>
      <c r="P727" s="172"/>
      <c r="Q727" s="172"/>
      <c r="R727" s="172"/>
      <c r="S727" s="172"/>
      <c r="T727" s="172"/>
      <c r="U727" s="172"/>
      <c r="V727" s="172"/>
      <c r="W727" s="172"/>
      <c r="X727" s="172"/>
      <c r="Y727" s="172"/>
      <c r="Z727" s="172"/>
    </row>
    <row r="728">
      <c r="A728" s="172"/>
      <c r="B728" s="172"/>
      <c r="C728" s="172"/>
      <c r="D728" s="172"/>
      <c r="E728" s="172"/>
      <c r="F728" s="172"/>
      <c r="G728" s="172"/>
      <c r="H728" s="172"/>
      <c r="I728" s="172"/>
      <c r="J728" s="172"/>
      <c r="K728" s="172"/>
      <c r="L728" s="172"/>
      <c r="M728" s="172"/>
      <c r="N728" s="172"/>
      <c r="O728" s="172"/>
      <c r="P728" s="172"/>
      <c r="Q728" s="172"/>
      <c r="R728" s="172"/>
      <c r="S728" s="172"/>
      <c r="T728" s="172"/>
      <c r="U728" s="172"/>
      <c r="V728" s="172"/>
      <c r="W728" s="172"/>
      <c r="X728" s="172"/>
      <c r="Y728" s="172"/>
      <c r="Z728" s="172"/>
    </row>
    <row r="729">
      <c r="A729" s="172"/>
      <c r="B729" s="172"/>
      <c r="C729" s="172"/>
      <c r="D729" s="172"/>
      <c r="E729" s="172"/>
      <c r="F729" s="172"/>
      <c r="G729" s="172"/>
      <c r="H729" s="172"/>
      <c r="I729" s="172"/>
      <c r="J729" s="172"/>
      <c r="K729" s="172"/>
      <c r="L729" s="172"/>
      <c r="M729" s="172"/>
      <c r="N729" s="172"/>
      <c r="O729" s="172"/>
      <c r="P729" s="172"/>
      <c r="Q729" s="172"/>
      <c r="R729" s="172"/>
      <c r="S729" s="172"/>
      <c r="T729" s="172"/>
      <c r="U729" s="172"/>
      <c r="V729" s="172"/>
      <c r="W729" s="172"/>
      <c r="X729" s="172"/>
      <c r="Y729" s="172"/>
      <c r="Z729" s="172"/>
    </row>
    <row r="730">
      <c r="A730" s="172"/>
      <c r="B730" s="172"/>
      <c r="C730" s="172"/>
      <c r="D730" s="172"/>
      <c r="E730" s="172"/>
      <c r="F730" s="172"/>
      <c r="G730" s="172"/>
      <c r="H730" s="172"/>
      <c r="I730" s="172"/>
      <c r="J730" s="172"/>
      <c r="K730" s="172"/>
      <c r="L730" s="172"/>
      <c r="M730" s="172"/>
      <c r="N730" s="172"/>
      <c r="O730" s="172"/>
      <c r="P730" s="172"/>
      <c r="Q730" s="172"/>
      <c r="R730" s="172"/>
      <c r="S730" s="172"/>
      <c r="T730" s="172"/>
      <c r="U730" s="172"/>
      <c r="V730" s="172"/>
      <c r="W730" s="172"/>
      <c r="X730" s="172"/>
      <c r="Y730" s="172"/>
      <c r="Z730" s="172"/>
    </row>
    <row r="731">
      <c r="A731" s="172"/>
      <c r="B731" s="172"/>
      <c r="C731" s="172"/>
      <c r="D731" s="172"/>
      <c r="E731" s="172"/>
      <c r="F731" s="172"/>
      <c r="G731" s="172"/>
      <c r="H731" s="172"/>
      <c r="I731" s="172"/>
      <c r="J731" s="172"/>
      <c r="K731" s="172"/>
      <c r="L731" s="172"/>
      <c r="M731" s="172"/>
      <c r="N731" s="172"/>
      <c r="O731" s="172"/>
      <c r="P731" s="172"/>
      <c r="Q731" s="172"/>
      <c r="R731" s="172"/>
      <c r="S731" s="172"/>
      <c r="T731" s="172"/>
      <c r="U731" s="172"/>
      <c r="V731" s="172"/>
      <c r="W731" s="172"/>
      <c r="X731" s="172"/>
      <c r="Y731" s="172"/>
      <c r="Z731" s="172"/>
    </row>
    <row r="732">
      <c r="A732" s="172"/>
      <c r="B732" s="172"/>
      <c r="C732" s="172"/>
      <c r="D732" s="172"/>
      <c r="E732" s="172"/>
      <c r="F732" s="172"/>
      <c r="G732" s="172"/>
      <c r="H732" s="172"/>
      <c r="I732" s="172"/>
      <c r="J732" s="172"/>
      <c r="K732" s="172"/>
      <c r="L732" s="172"/>
      <c r="M732" s="172"/>
      <c r="N732" s="172"/>
      <c r="O732" s="172"/>
      <c r="P732" s="172"/>
      <c r="Q732" s="172"/>
      <c r="R732" s="172"/>
      <c r="S732" s="172"/>
      <c r="T732" s="172"/>
      <c r="U732" s="172"/>
      <c r="V732" s="172"/>
      <c r="W732" s="172"/>
      <c r="X732" s="172"/>
      <c r="Y732" s="172"/>
      <c r="Z732" s="172"/>
    </row>
    <row r="733">
      <c r="A733" s="172"/>
      <c r="B733" s="172"/>
      <c r="C733" s="172"/>
      <c r="D733" s="172"/>
      <c r="E733" s="172"/>
      <c r="F733" s="172"/>
      <c r="G733" s="172"/>
      <c r="H733" s="172"/>
      <c r="I733" s="172"/>
      <c r="J733" s="172"/>
      <c r="K733" s="172"/>
      <c r="L733" s="172"/>
      <c r="M733" s="172"/>
      <c r="N733" s="172"/>
      <c r="O733" s="172"/>
      <c r="P733" s="172"/>
      <c r="Q733" s="172"/>
      <c r="R733" s="172"/>
      <c r="S733" s="172"/>
      <c r="T733" s="172"/>
      <c r="U733" s="172"/>
      <c r="V733" s="172"/>
      <c r="W733" s="172"/>
      <c r="X733" s="172"/>
      <c r="Y733" s="172"/>
      <c r="Z733" s="172"/>
    </row>
    <row r="734">
      <c r="A734" s="172"/>
      <c r="B734" s="172"/>
      <c r="C734" s="172"/>
      <c r="D734" s="172"/>
      <c r="E734" s="172"/>
      <c r="F734" s="172"/>
      <c r="G734" s="172"/>
      <c r="H734" s="172"/>
      <c r="I734" s="172"/>
      <c r="J734" s="172"/>
      <c r="K734" s="172"/>
      <c r="L734" s="172"/>
      <c r="M734" s="172"/>
      <c r="N734" s="172"/>
      <c r="O734" s="172"/>
      <c r="P734" s="172"/>
      <c r="Q734" s="172"/>
      <c r="R734" s="172"/>
      <c r="S734" s="172"/>
      <c r="T734" s="172"/>
      <c r="U734" s="172"/>
      <c r="V734" s="172"/>
      <c r="W734" s="172"/>
      <c r="X734" s="172"/>
      <c r="Y734" s="172"/>
      <c r="Z734" s="172"/>
    </row>
    <row r="735">
      <c r="A735" s="172"/>
      <c r="B735" s="172"/>
      <c r="C735" s="172"/>
      <c r="D735" s="172"/>
      <c r="E735" s="172"/>
      <c r="F735" s="172"/>
      <c r="G735" s="172"/>
      <c r="H735" s="172"/>
      <c r="I735" s="172"/>
      <c r="J735" s="172"/>
      <c r="K735" s="172"/>
      <c r="L735" s="172"/>
      <c r="M735" s="172"/>
      <c r="N735" s="172"/>
      <c r="O735" s="172"/>
      <c r="P735" s="172"/>
      <c r="Q735" s="172"/>
      <c r="R735" s="172"/>
      <c r="S735" s="172"/>
      <c r="T735" s="172"/>
      <c r="U735" s="172"/>
      <c r="V735" s="172"/>
      <c r="W735" s="172"/>
      <c r="X735" s="172"/>
      <c r="Y735" s="172"/>
      <c r="Z735" s="172"/>
    </row>
    <row r="736">
      <c r="A736" s="172"/>
      <c r="B736" s="172"/>
      <c r="C736" s="172"/>
      <c r="D736" s="172"/>
      <c r="E736" s="172"/>
      <c r="F736" s="172"/>
      <c r="G736" s="172"/>
      <c r="H736" s="172"/>
      <c r="I736" s="172"/>
      <c r="J736" s="172"/>
      <c r="K736" s="172"/>
      <c r="L736" s="172"/>
      <c r="M736" s="172"/>
      <c r="N736" s="172"/>
      <c r="O736" s="172"/>
      <c r="P736" s="172"/>
      <c r="Q736" s="172"/>
      <c r="R736" s="172"/>
      <c r="S736" s="172"/>
      <c r="T736" s="172"/>
      <c r="U736" s="172"/>
      <c r="V736" s="172"/>
      <c r="W736" s="172"/>
      <c r="X736" s="172"/>
      <c r="Y736" s="172"/>
      <c r="Z736" s="172"/>
    </row>
    <row r="737">
      <c r="A737" s="172"/>
      <c r="B737" s="172"/>
      <c r="C737" s="172"/>
      <c r="D737" s="172"/>
      <c r="E737" s="172"/>
      <c r="F737" s="172"/>
      <c r="G737" s="172"/>
      <c r="H737" s="172"/>
      <c r="I737" s="172"/>
      <c r="J737" s="172"/>
      <c r="K737" s="172"/>
      <c r="L737" s="172"/>
      <c r="M737" s="172"/>
      <c r="N737" s="172"/>
      <c r="O737" s="172"/>
      <c r="P737" s="172"/>
      <c r="Q737" s="172"/>
      <c r="R737" s="172"/>
      <c r="S737" s="172"/>
      <c r="T737" s="172"/>
      <c r="U737" s="172"/>
      <c r="V737" s="172"/>
      <c r="W737" s="172"/>
      <c r="X737" s="172"/>
      <c r="Y737" s="172"/>
      <c r="Z737" s="172"/>
    </row>
    <row r="738">
      <c r="A738" s="172"/>
      <c r="B738" s="172"/>
      <c r="C738" s="172"/>
      <c r="D738" s="172"/>
      <c r="E738" s="172"/>
      <c r="F738" s="172"/>
      <c r="G738" s="172"/>
      <c r="H738" s="172"/>
      <c r="I738" s="172"/>
      <c r="J738" s="172"/>
      <c r="K738" s="172"/>
      <c r="L738" s="172"/>
      <c r="M738" s="172"/>
      <c r="N738" s="172"/>
      <c r="O738" s="172"/>
      <c r="P738" s="172"/>
      <c r="Q738" s="172"/>
      <c r="R738" s="172"/>
      <c r="S738" s="172"/>
      <c r="T738" s="172"/>
      <c r="U738" s="172"/>
      <c r="V738" s="172"/>
      <c r="W738" s="172"/>
      <c r="X738" s="172"/>
      <c r="Y738" s="172"/>
      <c r="Z738" s="172"/>
    </row>
    <row r="739">
      <c r="A739" s="172"/>
      <c r="B739" s="172"/>
      <c r="C739" s="172"/>
      <c r="D739" s="172"/>
      <c r="E739" s="172"/>
      <c r="F739" s="172"/>
      <c r="G739" s="172"/>
      <c r="H739" s="172"/>
      <c r="I739" s="172"/>
      <c r="J739" s="172"/>
      <c r="K739" s="172"/>
      <c r="L739" s="172"/>
      <c r="M739" s="172"/>
      <c r="N739" s="172"/>
      <c r="O739" s="172"/>
      <c r="P739" s="172"/>
      <c r="Q739" s="172"/>
      <c r="R739" s="172"/>
      <c r="S739" s="172"/>
      <c r="T739" s="172"/>
      <c r="U739" s="172"/>
      <c r="V739" s="172"/>
      <c r="W739" s="172"/>
      <c r="X739" s="172"/>
      <c r="Y739" s="172"/>
      <c r="Z739" s="172"/>
    </row>
    <row r="740">
      <c r="A740" s="172"/>
      <c r="B740" s="172"/>
      <c r="C740" s="172"/>
      <c r="D740" s="172"/>
      <c r="E740" s="172"/>
      <c r="F740" s="172"/>
      <c r="G740" s="172"/>
      <c r="H740" s="172"/>
      <c r="I740" s="172"/>
      <c r="J740" s="172"/>
      <c r="K740" s="172"/>
      <c r="L740" s="172"/>
      <c r="M740" s="172"/>
      <c r="N740" s="172"/>
      <c r="O740" s="172"/>
      <c r="P740" s="172"/>
      <c r="Q740" s="172"/>
      <c r="R740" s="172"/>
      <c r="S740" s="172"/>
      <c r="T740" s="172"/>
      <c r="U740" s="172"/>
      <c r="V740" s="172"/>
      <c r="W740" s="172"/>
      <c r="X740" s="172"/>
      <c r="Y740" s="172"/>
      <c r="Z740" s="172"/>
    </row>
    <row r="741">
      <c r="A741" s="172"/>
      <c r="B741" s="172"/>
      <c r="C741" s="172"/>
      <c r="D741" s="172"/>
      <c r="E741" s="172"/>
      <c r="F741" s="172"/>
      <c r="G741" s="172"/>
      <c r="H741" s="172"/>
      <c r="I741" s="172"/>
      <c r="J741" s="172"/>
      <c r="K741" s="172"/>
      <c r="L741" s="172"/>
      <c r="M741" s="172"/>
      <c r="N741" s="172"/>
      <c r="O741" s="172"/>
      <c r="P741" s="172"/>
      <c r="Q741" s="172"/>
      <c r="R741" s="172"/>
      <c r="S741" s="172"/>
      <c r="T741" s="172"/>
      <c r="U741" s="172"/>
      <c r="V741" s="172"/>
      <c r="W741" s="172"/>
      <c r="X741" s="172"/>
      <c r="Y741" s="172"/>
      <c r="Z741" s="172"/>
    </row>
    <row r="742">
      <c r="A742" s="172"/>
      <c r="B742" s="172"/>
      <c r="C742" s="172"/>
      <c r="D742" s="172"/>
      <c r="E742" s="172"/>
      <c r="F742" s="172"/>
      <c r="G742" s="172"/>
      <c r="H742" s="172"/>
      <c r="I742" s="172"/>
      <c r="J742" s="172"/>
      <c r="K742" s="172"/>
      <c r="L742" s="172"/>
      <c r="M742" s="172"/>
      <c r="N742" s="172"/>
      <c r="O742" s="172"/>
      <c r="P742" s="172"/>
      <c r="Q742" s="172"/>
      <c r="R742" s="172"/>
      <c r="S742" s="172"/>
      <c r="T742" s="172"/>
      <c r="U742" s="172"/>
      <c r="V742" s="172"/>
      <c r="W742" s="172"/>
      <c r="X742" s="172"/>
      <c r="Y742" s="172"/>
      <c r="Z742" s="172"/>
    </row>
    <row r="743">
      <c r="A743" s="172"/>
      <c r="B743" s="172"/>
      <c r="C743" s="172"/>
      <c r="D743" s="172"/>
      <c r="E743" s="172"/>
      <c r="F743" s="172"/>
      <c r="G743" s="172"/>
      <c r="H743" s="172"/>
      <c r="I743" s="172"/>
      <c r="J743" s="172"/>
      <c r="K743" s="172"/>
      <c r="L743" s="172"/>
      <c r="M743" s="172"/>
      <c r="N743" s="172"/>
      <c r="O743" s="172"/>
      <c r="P743" s="172"/>
      <c r="Q743" s="172"/>
      <c r="R743" s="172"/>
      <c r="S743" s="172"/>
      <c r="T743" s="172"/>
      <c r="U743" s="172"/>
      <c r="V743" s="172"/>
      <c r="W743" s="172"/>
      <c r="X743" s="172"/>
      <c r="Y743" s="172"/>
      <c r="Z743" s="172"/>
    </row>
    <row r="744">
      <c r="A744" s="172"/>
      <c r="B744" s="172"/>
      <c r="C744" s="172"/>
      <c r="D744" s="172"/>
      <c r="E744" s="172"/>
      <c r="F744" s="172"/>
      <c r="G744" s="172"/>
      <c r="H744" s="172"/>
      <c r="I744" s="172"/>
      <c r="J744" s="172"/>
      <c r="K744" s="172"/>
      <c r="L744" s="172"/>
      <c r="M744" s="172"/>
      <c r="N744" s="172"/>
      <c r="O744" s="172"/>
      <c r="P744" s="172"/>
      <c r="Q744" s="172"/>
      <c r="R744" s="172"/>
      <c r="S744" s="172"/>
      <c r="T744" s="172"/>
      <c r="U744" s="172"/>
      <c r="V744" s="172"/>
      <c r="W744" s="172"/>
      <c r="X744" s="172"/>
      <c r="Y744" s="172"/>
      <c r="Z744" s="172"/>
    </row>
    <row r="745">
      <c r="A745" s="172"/>
      <c r="B745" s="172"/>
      <c r="C745" s="172"/>
      <c r="D745" s="172"/>
      <c r="E745" s="172"/>
      <c r="F745" s="172"/>
      <c r="G745" s="172"/>
      <c r="H745" s="172"/>
      <c r="I745" s="172"/>
      <c r="J745" s="172"/>
      <c r="K745" s="172"/>
      <c r="L745" s="172"/>
      <c r="M745" s="172"/>
      <c r="N745" s="172"/>
      <c r="O745" s="172"/>
      <c r="P745" s="172"/>
      <c r="Q745" s="172"/>
      <c r="R745" s="172"/>
      <c r="S745" s="172"/>
      <c r="T745" s="172"/>
      <c r="U745" s="172"/>
      <c r="V745" s="172"/>
      <c r="W745" s="172"/>
      <c r="X745" s="172"/>
      <c r="Y745" s="172"/>
      <c r="Z745" s="172"/>
    </row>
    <row r="746">
      <c r="A746" s="172"/>
      <c r="B746" s="172"/>
      <c r="C746" s="172"/>
      <c r="D746" s="172"/>
      <c r="E746" s="172"/>
      <c r="F746" s="172"/>
      <c r="G746" s="172"/>
      <c r="H746" s="172"/>
      <c r="I746" s="172"/>
      <c r="J746" s="172"/>
      <c r="K746" s="172"/>
      <c r="L746" s="172"/>
      <c r="M746" s="172"/>
      <c r="N746" s="172"/>
      <c r="O746" s="172"/>
      <c r="P746" s="172"/>
      <c r="Q746" s="172"/>
      <c r="R746" s="172"/>
      <c r="S746" s="172"/>
      <c r="T746" s="172"/>
      <c r="U746" s="172"/>
      <c r="V746" s="172"/>
      <c r="W746" s="172"/>
      <c r="X746" s="172"/>
      <c r="Y746" s="172"/>
      <c r="Z746" s="172"/>
    </row>
    <row r="747">
      <c r="A747" s="172"/>
      <c r="B747" s="172"/>
      <c r="C747" s="172"/>
      <c r="D747" s="172"/>
      <c r="E747" s="172"/>
      <c r="F747" s="172"/>
      <c r="G747" s="172"/>
      <c r="H747" s="172"/>
      <c r="I747" s="172"/>
      <c r="J747" s="172"/>
      <c r="K747" s="172"/>
      <c r="L747" s="172"/>
      <c r="M747" s="172"/>
      <c r="N747" s="172"/>
      <c r="O747" s="172"/>
      <c r="P747" s="172"/>
      <c r="Q747" s="172"/>
      <c r="R747" s="172"/>
      <c r="S747" s="172"/>
      <c r="T747" s="172"/>
      <c r="U747" s="172"/>
      <c r="V747" s="172"/>
      <c r="W747" s="172"/>
      <c r="X747" s="172"/>
      <c r="Y747" s="172"/>
      <c r="Z747" s="172"/>
    </row>
    <row r="748">
      <c r="A748" s="172"/>
      <c r="B748" s="172"/>
      <c r="C748" s="172"/>
      <c r="D748" s="172"/>
      <c r="E748" s="172"/>
      <c r="F748" s="172"/>
      <c r="G748" s="172"/>
      <c r="H748" s="172"/>
      <c r="I748" s="172"/>
      <c r="J748" s="172"/>
      <c r="K748" s="172"/>
      <c r="L748" s="172"/>
      <c r="M748" s="172"/>
      <c r="N748" s="172"/>
      <c r="O748" s="172"/>
      <c r="P748" s="172"/>
      <c r="Q748" s="172"/>
      <c r="R748" s="172"/>
      <c r="S748" s="172"/>
      <c r="T748" s="172"/>
      <c r="U748" s="172"/>
      <c r="V748" s="172"/>
      <c r="W748" s="172"/>
      <c r="X748" s="172"/>
      <c r="Y748" s="172"/>
      <c r="Z748" s="172"/>
    </row>
    <row r="749">
      <c r="A749" s="172"/>
      <c r="B749" s="172"/>
      <c r="C749" s="172"/>
      <c r="D749" s="172"/>
      <c r="E749" s="172"/>
      <c r="F749" s="172"/>
      <c r="G749" s="172"/>
      <c r="H749" s="172"/>
      <c r="I749" s="172"/>
      <c r="J749" s="172"/>
      <c r="K749" s="172"/>
      <c r="L749" s="172"/>
      <c r="M749" s="172"/>
      <c r="N749" s="172"/>
      <c r="O749" s="172"/>
      <c r="P749" s="172"/>
      <c r="Q749" s="172"/>
      <c r="R749" s="172"/>
      <c r="S749" s="172"/>
      <c r="T749" s="172"/>
      <c r="U749" s="172"/>
      <c r="V749" s="172"/>
      <c r="W749" s="172"/>
      <c r="X749" s="172"/>
      <c r="Y749" s="172"/>
      <c r="Z749" s="172"/>
    </row>
    <row r="750">
      <c r="A750" s="172"/>
      <c r="B750" s="172"/>
      <c r="C750" s="172"/>
      <c r="D750" s="172"/>
      <c r="E750" s="172"/>
      <c r="F750" s="172"/>
      <c r="G750" s="172"/>
      <c r="H750" s="172"/>
      <c r="I750" s="172"/>
      <c r="J750" s="172"/>
      <c r="K750" s="172"/>
      <c r="L750" s="172"/>
      <c r="M750" s="172"/>
      <c r="N750" s="172"/>
      <c r="O750" s="172"/>
      <c r="P750" s="172"/>
      <c r="Q750" s="172"/>
      <c r="R750" s="172"/>
      <c r="S750" s="172"/>
      <c r="T750" s="172"/>
      <c r="U750" s="172"/>
      <c r="V750" s="172"/>
      <c r="W750" s="172"/>
      <c r="X750" s="172"/>
      <c r="Y750" s="172"/>
      <c r="Z750" s="172"/>
    </row>
    <row r="751">
      <c r="A751" s="172"/>
      <c r="B751" s="172"/>
      <c r="C751" s="172"/>
      <c r="D751" s="172"/>
      <c r="E751" s="172"/>
      <c r="F751" s="172"/>
      <c r="G751" s="172"/>
      <c r="H751" s="172"/>
      <c r="I751" s="172"/>
      <c r="J751" s="172"/>
      <c r="K751" s="172"/>
      <c r="L751" s="172"/>
      <c r="M751" s="172"/>
      <c r="N751" s="172"/>
      <c r="O751" s="172"/>
      <c r="P751" s="172"/>
      <c r="Q751" s="172"/>
      <c r="R751" s="172"/>
      <c r="S751" s="172"/>
      <c r="T751" s="172"/>
      <c r="U751" s="172"/>
      <c r="V751" s="172"/>
      <c r="W751" s="172"/>
      <c r="X751" s="172"/>
      <c r="Y751" s="172"/>
      <c r="Z751" s="172"/>
    </row>
    <row r="752">
      <c r="A752" s="172"/>
      <c r="B752" s="172"/>
      <c r="C752" s="172"/>
      <c r="D752" s="172"/>
      <c r="E752" s="172"/>
      <c r="F752" s="172"/>
      <c r="G752" s="172"/>
      <c r="H752" s="172"/>
      <c r="I752" s="172"/>
      <c r="J752" s="172"/>
      <c r="K752" s="172"/>
      <c r="L752" s="172"/>
      <c r="M752" s="172"/>
      <c r="N752" s="172"/>
      <c r="O752" s="172"/>
      <c r="P752" s="172"/>
      <c r="Q752" s="172"/>
      <c r="R752" s="172"/>
      <c r="S752" s="172"/>
      <c r="T752" s="172"/>
      <c r="U752" s="172"/>
      <c r="V752" s="172"/>
      <c r="W752" s="172"/>
      <c r="X752" s="172"/>
      <c r="Y752" s="172"/>
      <c r="Z752" s="172"/>
    </row>
    <row r="753">
      <c r="A753" s="172"/>
      <c r="B753" s="172"/>
      <c r="C753" s="172"/>
      <c r="D753" s="172"/>
      <c r="E753" s="172"/>
      <c r="F753" s="172"/>
      <c r="G753" s="172"/>
      <c r="H753" s="172"/>
      <c r="I753" s="172"/>
      <c r="J753" s="172"/>
      <c r="K753" s="172"/>
      <c r="L753" s="172"/>
      <c r="M753" s="172"/>
      <c r="N753" s="172"/>
      <c r="O753" s="172"/>
      <c r="P753" s="172"/>
      <c r="Q753" s="172"/>
      <c r="R753" s="172"/>
      <c r="S753" s="172"/>
      <c r="T753" s="172"/>
      <c r="U753" s="172"/>
      <c r="V753" s="172"/>
      <c r="W753" s="172"/>
      <c r="X753" s="172"/>
      <c r="Y753" s="172"/>
      <c r="Z753" s="172"/>
    </row>
    <row r="754">
      <c r="A754" s="172"/>
      <c r="B754" s="172"/>
      <c r="C754" s="172"/>
      <c r="D754" s="172"/>
      <c r="E754" s="172"/>
      <c r="F754" s="172"/>
      <c r="G754" s="172"/>
      <c r="H754" s="172"/>
      <c r="I754" s="172"/>
      <c r="J754" s="172"/>
      <c r="K754" s="172"/>
      <c r="L754" s="172"/>
      <c r="M754" s="172"/>
      <c r="N754" s="172"/>
      <c r="O754" s="172"/>
      <c r="P754" s="172"/>
      <c r="Q754" s="172"/>
      <c r="R754" s="172"/>
      <c r="S754" s="172"/>
      <c r="T754" s="172"/>
      <c r="U754" s="172"/>
      <c r="V754" s="172"/>
      <c r="W754" s="172"/>
      <c r="X754" s="172"/>
      <c r="Y754" s="172"/>
      <c r="Z754" s="172"/>
    </row>
    <row r="755">
      <c r="A755" s="172"/>
      <c r="B755" s="172"/>
      <c r="C755" s="172"/>
      <c r="D755" s="172"/>
      <c r="E755" s="172"/>
      <c r="F755" s="172"/>
      <c r="G755" s="172"/>
      <c r="H755" s="172"/>
      <c r="I755" s="172"/>
      <c r="J755" s="172"/>
      <c r="K755" s="172"/>
      <c r="L755" s="172"/>
      <c r="M755" s="172"/>
      <c r="N755" s="172"/>
      <c r="O755" s="172"/>
      <c r="P755" s="172"/>
      <c r="Q755" s="172"/>
      <c r="R755" s="172"/>
      <c r="S755" s="172"/>
      <c r="T755" s="172"/>
      <c r="U755" s="172"/>
      <c r="V755" s="172"/>
      <c r="W755" s="172"/>
      <c r="X755" s="172"/>
      <c r="Y755" s="172"/>
      <c r="Z755" s="172"/>
    </row>
    <row r="756">
      <c r="A756" s="172"/>
      <c r="B756" s="172"/>
      <c r="C756" s="172"/>
      <c r="D756" s="172"/>
      <c r="E756" s="172"/>
      <c r="F756" s="172"/>
      <c r="G756" s="172"/>
      <c r="H756" s="172"/>
      <c r="I756" s="172"/>
      <c r="J756" s="172"/>
      <c r="K756" s="172"/>
      <c r="L756" s="172"/>
      <c r="M756" s="172"/>
      <c r="N756" s="172"/>
      <c r="O756" s="172"/>
      <c r="P756" s="172"/>
      <c r="Q756" s="172"/>
      <c r="R756" s="172"/>
      <c r="S756" s="172"/>
      <c r="T756" s="172"/>
      <c r="U756" s="172"/>
      <c r="V756" s="172"/>
      <c r="W756" s="172"/>
      <c r="X756" s="172"/>
      <c r="Y756" s="172"/>
      <c r="Z756" s="172"/>
    </row>
    <row r="757">
      <c r="A757" s="172"/>
      <c r="B757" s="172"/>
      <c r="C757" s="172"/>
      <c r="D757" s="172"/>
      <c r="E757" s="172"/>
      <c r="F757" s="172"/>
      <c r="G757" s="172"/>
      <c r="H757" s="172"/>
      <c r="I757" s="172"/>
      <c r="J757" s="172"/>
      <c r="K757" s="172"/>
      <c r="L757" s="172"/>
      <c r="M757" s="172"/>
      <c r="N757" s="172"/>
      <c r="O757" s="172"/>
      <c r="P757" s="172"/>
      <c r="Q757" s="172"/>
      <c r="R757" s="172"/>
      <c r="S757" s="172"/>
      <c r="T757" s="172"/>
      <c r="U757" s="172"/>
      <c r="V757" s="172"/>
      <c r="W757" s="172"/>
      <c r="X757" s="172"/>
      <c r="Y757" s="172"/>
      <c r="Z757" s="172"/>
    </row>
    <row r="758">
      <c r="A758" s="172"/>
      <c r="B758" s="172"/>
      <c r="C758" s="172"/>
      <c r="D758" s="172"/>
      <c r="E758" s="172"/>
      <c r="F758" s="172"/>
      <c r="G758" s="172"/>
      <c r="H758" s="172"/>
      <c r="I758" s="172"/>
      <c r="J758" s="172"/>
      <c r="K758" s="172"/>
      <c r="L758" s="172"/>
      <c r="M758" s="172"/>
      <c r="N758" s="172"/>
      <c r="O758" s="172"/>
      <c r="P758" s="172"/>
      <c r="Q758" s="172"/>
      <c r="R758" s="172"/>
      <c r="S758" s="172"/>
      <c r="T758" s="172"/>
      <c r="U758" s="172"/>
      <c r="V758" s="172"/>
      <c r="W758" s="172"/>
      <c r="X758" s="172"/>
      <c r="Y758" s="172"/>
      <c r="Z758" s="172"/>
    </row>
    <row r="759">
      <c r="A759" s="172"/>
      <c r="B759" s="172"/>
      <c r="C759" s="172"/>
      <c r="D759" s="172"/>
      <c r="E759" s="172"/>
      <c r="F759" s="172"/>
      <c r="G759" s="172"/>
      <c r="H759" s="172"/>
      <c r="I759" s="172"/>
      <c r="J759" s="172"/>
      <c r="K759" s="172"/>
      <c r="L759" s="172"/>
      <c r="M759" s="172"/>
      <c r="N759" s="172"/>
      <c r="O759" s="172"/>
      <c r="P759" s="172"/>
      <c r="Q759" s="172"/>
      <c r="R759" s="172"/>
      <c r="S759" s="172"/>
      <c r="T759" s="172"/>
      <c r="U759" s="172"/>
      <c r="V759" s="172"/>
      <c r="W759" s="172"/>
      <c r="X759" s="172"/>
      <c r="Y759" s="172"/>
      <c r="Z759" s="172"/>
    </row>
    <row r="760">
      <c r="A760" s="172"/>
      <c r="B760" s="172"/>
      <c r="C760" s="172"/>
      <c r="D760" s="172"/>
      <c r="E760" s="172"/>
      <c r="F760" s="172"/>
      <c r="G760" s="172"/>
      <c r="H760" s="172"/>
      <c r="I760" s="172"/>
      <c r="J760" s="172"/>
      <c r="K760" s="172"/>
      <c r="L760" s="172"/>
      <c r="M760" s="172"/>
      <c r="N760" s="172"/>
      <c r="O760" s="172"/>
      <c r="P760" s="172"/>
      <c r="Q760" s="172"/>
      <c r="R760" s="172"/>
      <c r="S760" s="172"/>
      <c r="T760" s="172"/>
      <c r="U760" s="172"/>
      <c r="V760" s="172"/>
      <c r="W760" s="172"/>
      <c r="X760" s="172"/>
      <c r="Y760" s="172"/>
      <c r="Z760" s="172"/>
    </row>
    <row r="761">
      <c r="A761" s="172"/>
      <c r="B761" s="172"/>
      <c r="C761" s="172"/>
      <c r="D761" s="172"/>
      <c r="E761" s="172"/>
      <c r="F761" s="172"/>
      <c r="G761" s="172"/>
      <c r="H761" s="172"/>
      <c r="I761" s="172"/>
      <c r="J761" s="172"/>
      <c r="K761" s="172"/>
      <c r="L761" s="172"/>
      <c r="M761" s="172"/>
      <c r="N761" s="172"/>
      <c r="O761" s="172"/>
      <c r="P761" s="172"/>
      <c r="Q761" s="172"/>
      <c r="R761" s="172"/>
      <c r="S761" s="172"/>
      <c r="T761" s="172"/>
      <c r="U761" s="172"/>
      <c r="V761" s="172"/>
      <c r="W761" s="172"/>
      <c r="X761" s="172"/>
      <c r="Y761" s="172"/>
      <c r="Z761" s="172"/>
    </row>
    <row r="762">
      <c r="A762" s="172"/>
      <c r="B762" s="172"/>
      <c r="C762" s="172"/>
      <c r="D762" s="172"/>
      <c r="E762" s="172"/>
      <c r="F762" s="172"/>
      <c r="G762" s="172"/>
      <c r="H762" s="172"/>
      <c r="I762" s="172"/>
      <c r="J762" s="172"/>
      <c r="K762" s="172"/>
      <c r="L762" s="172"/>
      <c r="M762" s="172"/>
      <c r="N762" s="172"/>
      <c r="O762" s="172"/>
      <c r="P762" s="172"/>
      <c r="Q762" s="172"/>
      <c r="R762" s="172"/>
      <c r="S762" s="172"/>
      <c r="T762" s="172"/>
      <c r="U762" s="172"/>
      <c r="V762" s="172"/>
      <c r="W762" s="172"/>
      <c r="X762" s="172"/>
      <c r="Y762" s="172"/>
      <c r="Z762" s="172"/>
    </row>
    <row r="763">
      <c r="A763" s="172"/>
      <c r="B763" s="172"/>
      <c r="C763" s="172"/>
      <c r="D763" s="172"/>
      <c r="E763" s="172"/>
      <c r="F763" s="172"/>
      <c r="G763" s="172"/>
      <c r="H763" s="172"/>
      <c r="I763" s="172"/>
      <c r="J763" s="172"/>
      <c r="K763" s="172"/>
      <c r="L763" s="172"/>
      <c r="M763" s="172"/>
      <c r="N763" s="172"/>
      <c r="O763" s="172"/>
      <c r="P763" s="172"/>
      <c r="Q763" s="172"/>
      <c r="R763" s="172"/>
      <c r="S763" s="172"/>
      <c r="T763" s="172"/>
      <c r="U763" s="172"/>
      <c r="V763" s="172"/>
      <c r="W763" s="172"/>
      <c r="X763" s="172"/>
      <c r="Y763" s="172"/>
      <c r="Z763" s="172"/>
    </row>
    <row r="764">
      <c r="A764" s="172"/>
      <c r="B764" s="172"/>
      <c r="C764" s="172"/>
      <c r="D764" s="172"/>
      <c r="E764" s="172"/>
      <c r="F764" s="172"/>
      <c r="G764" s="172"/>
      <c r="H764" s="172"/>
      <c r="I764" s="172"/>
      <c r="J764" s="172"/>
      <c r="K764" s="172"/>
      <c r="L764" s="172"/>
      <c r="M764" s="172"/>
      <c r="N764" s="172"/>
      <c r="O764" s="172"/>
      <c r="P764" s="172"/>
      <c r="Q764" s="172"/>
      <c r="R764" s="172"/>
      <c r="S764" s="172"/>
      <c r="T764" s="172"/>
      <c r="U764" s="172"/>
      <c r="V764" s="172"/>
      <c r="W764" s="172"/>
      <c r="X764" s="172"/>
      <c r="Y764" s="172"/>
      <c r="Z764" s="172"/>
    </row>
    <row r="765">
      <c r="A765" s="172"/>
      <c r="B765" s="172"/>
      <c r="C765" s="172"/>
      <c r="D765" s="172"/>
      <c r="E765" s="172"/>
      <c r="F765" s="172"/>
      <c r="G765" s="172"/>
      <c r="H765" s="172"/>
      <c r="I765" s="172"/>
      <c r="J765" s="172"/>
      <c r="K765" s="172"/>
      <c r="L765" s="172"/>
      <c r="M765" s="172"/>
      <c r="N765" s="172"/>
      <c r="O765" s="172"/>
      <c r="P765" s="172"/>
      <c r="Q765" s="172"/>
      <c r="R765" s="172"/>
      <c r="S765" s="172"/>
      <c r="T765" s="172"/>
      <c r="U765" s="172"/>
      <c r="V765" s="172"/>
      <c r="W765" s="172"/>
      <c r="X765" s="172"/>
      <c r="Y765" s="172"/>
      <c r="Z765" s="172"/>
    </row>
    <row r="766">
      <c r="A766" s="172"/>
      <c r="B766" s="172"/>
      <c r="C766" s="172"/>
      <c r="D766" s="172"/>
      <c r="E766" s="172"/>
      <c r="F766" s="172"/>
      <c r="G766" s="172"/>
      <c r="H766" s="172"/>
      <c r="I766" s="172"/>
      <c r="J766" s="172"/>
      <c r="K766" s="172"/>
      <c r="L766" s="172"/>
      <c r="M766" s="172"/>
      <c r="N766" s="172"/>
      <c r="O766" s="172"/>
      <c r="P766" s="172"/>
      <c r="Q766" s="172"/>
      <c r="R766" s="172"/>
      <c r="S766" s="172"/>
      <c r="T766" s="172"/>
      <c r="U766" s="172"/>
      <c r="V766" s="172"/>
      <c r="W766" s="172"/>
      <c r="X766" s="172"/>
      <c r="Y766" s="172"/>
      <c r="Z766" s="172"/>
    </row>
    <row r="767">
      <c r="A767" s="172"/>
      <c r="B767" s="172"/>
      <c r="C767" s="172"/>
      <c r="D767" s="172"/>
      <c r="E767" s="172"/>
      <c r="F767" s="172"/>
      <c r="G767" s="172"/>
      <c r="H767" s="172"/>
      <c r="I767" s="172"/>
      <c r="J767" s="172"/>
      <c r="K767" s="172"/>
      <c r="L767" s="172"/>
      <c r="M767" s="172"/>
      <c r="N767" s="172"/>
      <c r="O767" s="172"/>
      <c r="P767" s="172"/>
      <c r="Q767" s="172"/>
      <c r="R767" s="172"/>
      <c r="S767" s="172"/>
      <c r="T767" s="172"/>
      <c r="U767" s="172"/>
      <c r="V767" s="172"/>
      <c r="W767" s="172"/>
      <c r="X767" s="172"/>
      <c r="Y767" s="172"/>
      <c r="Z767" s="172"/>
    </row>
    <row r="768">
      <c r="A768" s="172"/>
      <c r="B768" s="172"/>
      <c r="C768" s="172"/>
      <c r="D768" s="172"/>
      <c r="E768" s="172"/>
      <c r="F768" s="172"/>
      <c r="G768" s="172"/>
      <c r="H768" s="172"/>
      <c r="I768" s="172"/>
      <c r="J768" s="172"/>
      <c r="K768" s="172"/>
      <c r="L768" s="172"/>
      <c r="M768" s="172"/>
      <c r="N768" s="172"/>
      <c r="O768" s="172"/>
      <c r="P768" s="172"/>
      <c r="Q768" s="172"/>
      <c r="R768" s="172"/>
      <c r="S768" s="172"/>
      <c r="T768" s="172"/>
      <c r="U768" s="172"/>
      <c r="V768" s="172"/>
      <c r="W768" s="172"/>
      <c r="X768" s="172"/>
      <c r="Y768" s="172"/>
      <c r="Z768" s="172"/>
    </row>
    <row r="769">
      <c r="A769" s="172"/>
      <c r="B769" s="172"/>
      <c r="C769" s="172"/>
      <c r="D769" s="172"/>
      <c r="E769" s="172"/>
      <c r="F769" s="172"/>
      <c r="G769" s="172"/>
      <c r="H769" s="172"/>
      <c r="I769" s="172"/>
      <c r="J769" s="172"/>
      <c r="K769" s="172"/>
      <c r="L769" s="172"/>
      <c r="M769" s="172"/>
      <c r="N769" s="172"/>
      <c r="O769" s="172"/>
      <c r="P769" s="172"/>
      <c r="Q769" s="172"/>
      <c r="R769" s="172"/>
      <c r="S769" s="172"/>
      <c r="T769" s="172"/>
      <c r="U769" s="172"/>
      <c r="V769" s="172"/>
      <c r="W769" s="172"/>
      <c r="X769" s="172"/>
      <c r="Y769" s="172"/>
      <c r="Z769" s="172"/>
    </row>
    <row r="770">
      <c r="A770" s="172"/>
      <c r="B770" s="172"/>
      <c r="C770" s="172"/>
      <c r="D770" s="172"/>
      <c r="E770" s="172"/>
      <c r="F770" s="172"/>
      <c r="G770" s="172"/>
      <c r="H770" s="172"/>
      <c r="I770" s="172"/>
      <c r="J770" s="172"/>
      <c r="K770" s="172"/>
      <c r="L770" s="172"/>
      <c r="M770" s="172"/>
      <c r="N770" s="172"/>
      <c r="O770" s="172"/>
      <c r="P770" s="172"/>
      <c r="Q770" s="172"/>
      <c r="R770" s="172"/>
      <c r="S770" s="172"/>
      <c r="T770" s="172"/>
      <c r="U770" s="172"/>
      <c r="V770" s="172"/>
      <c r="W770" s="172"/>
      <c r="X770" s="172"/>
      <c r="Y770" s="172"/>
      <c r="Z770" s="172"/>
    </row>
    <row r="771">
      <c r="A771" s="172"/>
      <c r="B771" s="172"/>
      <c r="C771" s="172"/>
      <c r="D771" s="172"/>
      <c r="E771" s="172"/>
      <c r="F771" s="172"/>
      <c r="G771" s="172"/>
      <c r="H771" s="172"/>
      <c r="I771" s="172"/>
      <c r="J771" s="172"/>
      <c r="K771" s="172"/>
      <c r="L771" s="172"/>
      <c r="M771" s="172"/>
      <c r="N771" s="172"/>
      <c r="O771" s="172"/>
      <c r="P771" s="172"/>
      <c r="Q771" s="172"/>
      <c r="R771" s="172"/>
      <c r="S771" s="172"/>
      <c r="T771" s="172"/>
      <c r="U771" s="172"/>
      <c r="V771" s="172"/>
      <c r="W771" s="172"/>
      <c r="X771" s="172"/>
      <c r="Y771" s="172"/>
      <c r="Z771" s="172"/>
    </row>
    <row r="772">
      <c r="A772" s="172"/>
      <c r="B772" s="172"/>
      <c r="C772" s="172"/>
      <c r="D772" s="172"/>
      <c r="E772" s="172"/>
      <c r="F772" s="172"/>
      <c r="G772" s="172"/>
      <c r="H772" s="172"/>
      <c r="I772" s="172"/>
      <c r="J772" s="172"/>
      <c r="K772" s="172"/>
      <c r="L772" s="172"/>
      <c r="M772" s="172"/>
      <c r="N772" s="172"/>
      <c r="O772" s="172"/>
      <c r="P772" s="172"/>
      <c r="Q772" s="172"/>
      <c r="R772" s="172"/>
      <c r="S772" s="172"/>
      <c r="T772" s="172"/>
      <c r="U772" s="172"/>
      <c r="V772" s="172"/>
      <c r="W772" s="172"/>
      <c r="X772" s="172"/>
      <c r="Y772" s="172"/>
      <c r="Z772" s="172"/>
    </row>
    <row r="773">
      <c r="A773" s="172"/>
      <c r="B773" s="172"/>
      <c r="C773" s="172"/>
      <c r="D773" s="172"/>
      <c r="E773" s="172"/>
      <c r="F773" s="172"/>
      <c r="G773" s="172"/>
      <c r="H773" s="172"/>
      <c r="I773" s="172"/>
      <c r="J773" s="172"/>
      <c r="K773" s="172"/>
      <c r="L773" s="172"/>
      <c r="M773" s="172"/>
      <c r="N773" s="172"/>
      <c r="O773" s="172"/>
      <c r="P773" s="172"/>
      <c r="Q773" s="172"/>
      <c r="R773" s="172"/>
      <c r="S773" s="172"/>
      <c r="T773" s="172"/>
      <c r="U773" s="172"/>
      <c r="V773" s="172"/>
      <c r="W773" s="172"/>
      <c r="X773" s="172"/>
      <c r="Y773" s="172"/>
      <c r="Z773" s="172"/>
    </row>
    <row r="774">
      <c r="A774" s="172"/>
      <c r="B774" s="172"/>
      <c r="C774" s="172"/>
      <c r="D774" s="172"/>
      <c r="E774" s="172"/>
      <c r="F774" s="172"/>
      <c r="G774" s="172"/>
      <c r="H774" s="172"/>
      <c r="I774" s="172"/>
      <c r="J774" s="172"/>
      <c r="K774" s="172"/>
      <c r="L774" s="172"/>
      <c r="M774" s="172"/>
      <c r="N774" s="172"/>
      <c r="O774" s="172"/>
      <c r="P774" s="172"/>
      <c r="Q774" s="172"/>
      <c r="R774" s="172"/>
      <c r="S774" s="172"/>
      <c r="T774" s="172"/>
      <c r="U774" s="172"/>
      <c r="V774" s="172"/>
      <c r="W774" s="172"/>
      <c r="X774" s="172"/>
      <c r="Y774" s="172"/>
      <c r="Z774" s="172"/>
    </row>
    <row r="775">
      <c r="A775" s="172"/>
      <c r="B775" s="172"/>
      <c r="C775" s="172"/>
      <c r="D775" s="172"/>
      <c r="E775" s="172"/>
      <c r="F775" s="172"/>
      <c r="G775" s="172"/>
      <c r="H775" s="172"/>
      <c r="I775" s="172"/>
      <c r="J775" s="172"/>
      <c r="K775" s="172"/>
      <c r="L775" s="172"/>
      <c r="M775" s="172"/>
      <c r="N775" s="172"/>
      <c r="O775" s="172"/>
      <c r="P775" s="172"/>
      <c r="Q775" s="172"/>
      <c r="R775" s="172"/>
      <c r="S775" s="172"/>
      <c r="T775" s="172"/>
      <c r="U775" s="172"/>
      <c r="V775" s="172"/>
      <c r="W775" s="172"/>
      <c r="X775" s="172"/>
      <c r="Y775" s="172"/>
      <c r="Z775" s="172"/>
    </row>
    <row r="776">
      <c r="A776" s="172"/>
      <c r="B776" s="172"/>
      <c r="C776" s="172"/>
      <c r="D776" s="172"/>
      <c r="E776" s="172"/>
      <c r="F776" s="172"/>
      <c r="G776" s="172"/>
      <c r="H776" s="172"/>
      <c r="I776" s="172"/>
      <c r="J776" s="172"/>
      <c r="K776" s="172"/>
      <c r="L776" s="172"/>
      <c r="M776" s="172"/>
      <c r="N776" s="172"/>
      <c r="O776" s="172"/>
      <c r="P776" s="172"/>
      <c r="Q776" s="172"/>
      <c r="R776" s="172"/>
      <c r="S776" s="172"/>
      <c r="T776" s="172"/>
      <c r="U776" s="172"/>
      <c r="V776" s="172"/>
      <c r="W776" s="172"/>
      <c r="X776" s="172"/>
      <c r="Y776" s="172"/>
      <c r="Z776" s="172"/>
    </row>
    <row r="777">
      <c r="A777" s="172"/>
      <c r="B777" s="172"/>
      <c r="C777" s="172"/>
      <c r="D777" s="172"/>
      <c r="E777" s="172"/>
      <c r="F777" s="172"/>
      <c r="G777" s="172"/>
      <c r="H777" s="172"/>
      <c r="I777" s="172"/>
      <c r="J777" s="172"/>
      <c r="K777" s="172"/>
      <c r="L777" s="172"/>
      <c r="M777" s="172"/>
      <c r="N777" s="172"/>
      <c r="O777" s="172"/>
      <c r="P777" s="172"/>
      <c r="Q777" s="172"/>
      <c r="R777" s="172"/>
      <c r="S777" s="172"/>
      <c r="T777" s="172"/>
      <c r="U777" s="172"/>
      <c r="V777" s="172"/>
      <c r="W777" s="172"/>
      <c r="X777" s="172"/>
      <c r="Y777" s="172"/>
      <c r="Z777" s="172"/>
    </row>
    <row r="778">
      <c r="A778" s="172"/>
      <c r="B778" s="172"/>
      <c r="C778" s="172"/>
      <c r="D778" s="172"/>
      <c r="E778" s="172"/>
      <c r="F778" s="172"/>
      <c r="G778" s="172"/>
      <c r="H778" s="172"/>
      <c r="I778" s="172"/>
      <c r="J778" s="172"/>
      <c r="K778" s="172"/>
      <c r="L778" s="172"/>
      <c r="M778" s="172"/>
      <c r="N778" s="172"/>
      <c r="O778" s="172"/>
      <c r="P778" s="172"/>
      <c r="Q778" s="172"/>
      <c r="R778" s="172"/>
      <c r="S778" s="172"/>
      <c r="T778" s="172"/>
      <c r="U778" s="172"/>
      <c r="V778" s="172"/>
      <c r="W778" s="172"/>
      <c r="X778" s="172"/>
      <c r="Y778" s="172"/>
      <c r="Z778" s="172"/>
    </row>
    <row r="779">
      <c r="A779" s="172"/>
      <c r="B779" s="172"/>
      <c r="C779" s="172"/>
      <c r="D779" s="172"/>
      <c r="E779" s="172"/>
      <c r="F779" s="172"/>
      <c r="G779" s="172"/>
      <c r="H779" s="172"/>
      <c r="I779" s="172"/>
      <c r="J779" s="172"/>
      <c r="K779" s="172"/>
      <c r="L779" s="172"/>
      <c r="M779" s="172"/>
      <c r="N779" s="172"/>
      <c r="O779" s="172"/>
      <c r="P779" s="172"/>
      <c r="Q779" s="172"/>
      <c r="R779" s="172"/>
      <c r="S779" s="172"/>
      <c r="T779" s="172"/>
      <c r="U779" s="172"/>
      <c r="V779" s="172"/>
      <c r="W779" s="172"/>
      <c r="X779" s="172"/>
      <c r="Y779" s="172"/>
      <c r="Z779" s="172"/>
    </row>
    <row r="780">
      <c r="A780" s="172"/>
      <c r="B780" s="172"/>
      <c r="C780" s="172"/>
      <c r="D780" s="172"/>
      <c r="E780" s="172"/>
      <c r="F780" s="172"/>
      <c r="G780" s="172"/>
      <c r="H780" s="172"/>
      <c r="I780" s="172"/>
      <c r="J780" s="172"/>
      <c r="K780" s="172"/>
      <c r="L780" s="172"/>
      <c r="M780" s="172"/>
      <c r="N780" s="172"/>
      <c r="O780" s="172"/>
      <c r="P780" s="172"/>
      <c r="Q780" s="172"/>
      <c r="R780" s="172"/>
      <c r="S780" s="172"/>
      <c r="T780" s="172"/>
      <c r="U780" s="172"/>
      <c r="V780" s="172"/>
      <c r="W780" s="172"/>
      <c r="X780" s="172"/>
      <c r="Y780" s="172"/>
      <c r="Z780" s="172"/>
    </row>
    <row r="781">
      <c r="A781" s="172"/>
      <c r="B781" s="172"/>
      <c r="C781" s="172"/>
      <c r="D781" s="172"/>
      <c r="E781" s="172"/>
      <c r="F781" s="172"/>
      <c r="G781" s="172"/>
      <c r="H781" s="172"/>
      <c r="I781" s="172"/>
      <c r="J781" s="172"/>
      <c r="K781" s="172"/>
      <c r="L781" s="172"/>
      <c r="M781" s="172"/>
      <c r="N781" s="172"/>
      <c r="O781" s="172"/>
      <c r="P781" s="172"/>
      <c r="Q781" s="172"/>
      <c r="R781" s="172"/>
      <c r="S781" s="172"/>
      <c r="T781" s="172"/>
      <c r="U781" s="172"/>
      <c r="V781" s="172"/>
      <c r="W781" s="172"/>
      <c r="X781" s="172"/>
      <c r="Y781" s="172"/>
      <c r="Z781" s="172"/>
    </row>
    <row r="782">
      <c r="A782" s="172"/>
      <c r="B782" s="172"/>
      <c r="C782" s="172"/>
      <c r="D782" s="172"/>
      <c r="E782" s="172"/>
      <c r="F782" s="172"/>
      <c r="G782" s="172"/>
      <c r="H782" s="172"/>
      <c r="I782" s="172"/>
      <c r="J782" s="172"/>
      <c r="K782" s="172"/>
      <c r="L782" s="172"/>
      <c r="M782" s="172"/>
      <c r="N782" s="172"/>
      <c r="O782" s="172"/>
      <c r="P782" s="172"/>
      <c r="Q782" s="172"/>
      <c r="R782" s="172"/>
      <c r="S782" s="172"/>
      <c r="T782" s="172"/>
      <c r="U782" s="172"/>
      <c r="V782" s="172"/>
      <c r="W782" s="172"/>
      <c r="X782" s="172"/>
      <c r="Y782" s="172"/>
      <c r="Z782" s="172"/>
    </row>
    <row r="783">
      <c r="A783" s="172"/>
      <c r="B783" s="172"/>
      <c r="C783" s="172"/>
      <c r="D783" s="172"/>
      <c r="E783" s="172"/>
      <c r="F783" s="172"/>
      <c r="G783" s="172"/>
      <c r="H783" s="172"/>
      <c r="I783" s="172"/>
      <c r="J783" s="172"/>
      <c r="K783" s="172"/>
      <c r="L783" s="172"/>
      <c r="M783" s="172"/>
      <c r="N783" s="172"/>
      <c r="O783" s="172"/>
      <c r="P783" s="172"/>
      <c r="Q783" s="172"/>
      <c r="R783" s="172"/>
      <c r="S783" s="172"/>
      <c r="T783" s="172"/>
      <c r="U783" s="172"/>
      <c r="V783" s="172"/>
      <c r="W783" s="172"/>
      <c r="X783" s="172"/>
      <c r="Y783" s="172"/>
      <c r="Z783" s="172"/>
    </row>
    <row r="784">
      <c r="A784" s="172"/>
      <c r="B784" s="172"/>
      <c r="C784" s="172"/>
      <c r="D784" s="172"/>
      <c r="E784" s="172"/>
      <c r="F784" s="172"/>
      <c r="G784" s="172"/>
      <c r="H784" s="172"/>
      <c r="I784" s="172"/>
      <c r="J784" s="172"/>
      <c r="K784" s="172"/>
      <c r="L784" s="172"/>
      <c r="M784" s="172"/>
      <c r="N784" s="172"/>
      <c r="O784" s="172"/>
      <c r="P784" s="172"/>
      <c r="Q784" s="172"/>
      <c r="R784" s="172"/>
      <c r="S784" s="172"/>
      <c r="T784" s="172"/>
      <c r="U784" s="172"/>
      <c r="V784" s="172"/>
      <c r="W784" s="172"/>
      <c r="X784" s="172"/>
      <c r="Y784" s="172"/>
      <c r="Z784" s="172"/>
    </row>
    <row r="785">
      <c r="A785" s="172"/>
      <c r="B785" s="172"/>
      <c r="C785" s="172"/>
      <c r="D785" s="172"/>
      <c r="E785" s="172"/>
      <c r="F785" s="172"/>
      <c r="G785" s="172"/>
      <c r="H785" s="172"/>
      <c r="I785" s="172"/>
      <c r="J785" s="172"/>
      <c r="K785" s="172"/>
      <c r="L785" s="172"/>
      <c r="M785" s="172"/>
      <c r="N785" s="172"/>
      <c r="O785" s="172"/>
      <c r="P785" s="172"/>
      <c r="Q785" s="172"/>
      <c r="R785" s="172"/>
      <c r="S785" s="172"/>
      <c r="T785" s="172"/>
      <c r="U785" s="172"/>
      <c r="V785" s="172"/>
      <c r="W785" s="172"/>
      <c r="X785" s="172"/>
      <c r="Y785" s="172"/>
      <c r="Z785" s="172"/>
    </row>
    <row r="786">
      <c r="A786" s="172"/>
      <c r="B786" s="172"/>
      <c r="C786" s="172"/>
      <c r="D786" s="172"/>
      <c r="E786" s="172"/>
      <c r="F786" s="172"/>
      <c r="G786" s="172"/>
      <c r="H786" s="172"/>
      <c r="I786" s="172"/>
      <c r="J786" s="172"/>
      <c r="K786" s="172"/>
      <c r="L786" s="172"/>
      <c r="M786" s="172"/>
      <c r="N786" s="172"/>
      <c r="O786" s="172"/>
      <c r="P786" s="172"/>
      <c r="Q786" s="172"/>
      <c r="R786" s="172"/>
      <c r="S786" s="172"/>
      <c r="T786" s="172"/>
      <c r="U786" s="172"/>
      <c r="V786" s="172"/>
      <c r="W786" s="172"/>
      <c r="X786" s="172"/>
      <c r="Y786" s="172"/>
      <c r="Z786" s="172"/>
    </row>
    <row r="787">
      <c r="A787" s="172"/>
      <c r="B787" s="172"/>
      <c r="C787" s="172"/>
      <c r="D787" s="172"/>
      <c r="E787" s="172"/>
      <c r="F787" s="172"/>
      <c r="G787" s="172"/>
      <c r="H787" s="172"/>
      <c r="I787" s="172"/>
      <c r="J787" s="172"/>
      <c r="K787" s="172"/>
      <c r="L787" s="172"/>
      <c r="M787" s="172"/>
      <c r="N787" s="172"/>
      <c r="O787" s="172"/>
      <c r="P787" s="172"/>
      <c r="Q787" s="172"/>
      <c r="R787" s="172"/>
      <c r="S787" s="172"/>
      <c r="T787" s="172"/>
      <c r="U787" s="172"/>
      <c r="V787" s="172"/>
      <c r="W787" s="172"/>
      <c r="X787" s="172"/>
      <c r="Y787" s="172"/>
      <c r="Z787" s="172"/>
    </row>
    <row r="788">
      <c r="A788" s="172"/>
      <c r="B788" s="172"/>
      <c r="C788" s="172"/>
      <c r="D788" s="172"/>
      <c r="E788" s="172"/>
      <c r="F788" s="172"/>
      <c r="G788" s="172"/>
      <c r="H788" s="172"/>
      <c r="I788" s="172"/>
      <c r="J788" s="172"/>
      <c r="K788" s="172"/>
      <c r="L788" s="172"/>
      <c r="M788" s="172"/>
      <c r="N788" s="172"/>
      <c r="O788" s="172"/>
      <c r="P788" s="172"/>
      <c r="Q788" s="172"/>
      <c r="R788" s="172"/>
      <c r="S788" s="172"/>
      <c r="T788" s="172"/>
      <c r="U788" s="172"/>
      <c r="V788" s="172"/>
      <c r="W788" s="172"/>
      <c r="X788" s="172"/>
      <c r="Y788" s="172"/>
      <c r="Z788" s="172"/>
    </row>
    <row r="789">
      <c r="A789" s="172"/>
      <c r="B789" s="172"/>
      <c r="C789" s="172"/>
      <c r="D789" s="172"/>
      <c r="E789" s="172"/>
      <c r="F789" s="172"/>
      <c r="G789" s="172"/>
      <c r="H789" s="172"/>
      <c r="I789" s="172"/>
      <c r="J789" s="172"/>
      <c r="K789" s="172"/>
      <c r="L789" s="172"/>
      <c r="M789" s="172"/>
      <c r="N789" s="172"/>
      <c r="O789" s="172"/>
      <c r="P789" s="172"/>
      <c r="Q789" s="172"/>
      <c r="R789" s="172"/>
      <c r="S789" s="172"/>
      <c r="T789" s="172"/>
      <c r="U789" s="172"/>
      <c r="V789" s="172"/>
      <c r="W789" s="172"/>
      <c r="X789" s="172"/>
      <c r="Y789" s="172"/>
      <c r="Z789" s="172"/>
    </row>
    <row r="790">
      <c r="A790" s="172"/>
      <c r="B790" s="172"/>
      <c r="C790" s="172"/>
      <c r="D790" s="172"/>
      <c r="E790" s="172"/>
      <c r="F790" s="172"/>
      <c r="G790" s="172"/>
      <c r="H790" s="172"/>
      <c r="I790" s="172"/>
      <c r="J790" s="172"/>
      <c r="K790" s="172"/>
      <c r="L790" s="172"/>
      <c r="M790" s="172"/>
      <c r="N790" s="172"/>
      <c r="O790" s="172"/>
      <c r="P790" s="172"/>
      <c r="Q790" s="172"/>
      <c r="R790" s="172"/>
      <c r="S790" s="172"/>
      <c r="T790" s="172"/>
      <c r="U790" s="172"/>
      <c r="V790" s="172"/>
      <c r="W790" s="172"/>
      <c r="X790" s="172"/>
      <c r="Y790" s="172"/>
      <c r="Z790" s="172"/>
    </row>
    <row r="791">
      <c r="A791" s="172"/>
      <c r="B791" s="172"/>
      <c r="C791" s="172"/>
      <c r="D791" s="172"/>
      <c r="E791" s="172"/>
      <c r="F791" s="172"/>
      <c r="G791" s="172"/>
      <c r="H791" s="172"/>
      <c r="I791" s="172"/>
      <c r="J791" s="172"/>
      <c r="K791" s="172"/>
      <c r="L791" s="172"/>
      <c r="M791" s="172"/>
      <c r="N791" s="172"/>
      <c r="O791" s="172"/>
      <c r="P791" s="172"/>
      <c r="Q791" s="172"/>
      <c r="R791" s="172"/>
      <c r="S791" s="172"/>
      <c r="T791" s="172"/>
      <c r="U791" s="172"/>
      <c r="V791" s="172"/>
      <c r="W791" s="172"/>
      <c r="X791" s="172"/>
      <c r="Y791" s="172"/>
      <c r="Z791" s="172"/>
    </row>
    <row r="792">
      <c r="A792" s="172"/>
      <c r="B792" s="172"/>
      <c r="C792" s="172"/>
      <c r="D792" s="172"/>
      <c r="E792" s="172"/>
      <c r="F792" s="172"/>
      <c r="G792" s="172"/>
      <c r="H792" s="172"/>
      <c r="I792" s="172"/>
      <c r="J792" s="172"/>
      <c r="K792" s="172"/>
      <c r="L792" s="172"/>
      <c r="M792" s="172"/>
      <c r="N792" s="172"/>
      <c r="O792" s="172"/>
      <c r="P792" s="172"/>
      <c r="Q792" s="172"/>
      <c r="R792" s="172"/>
      <c r="S792" s="172"/>
      <c r="T792" s="172"/>
      <c r="U792" s="172"/>
      <c r="V792" s="172"/>
      <c r="W792" s="172"/>
      <c r="X792" s="172"/>
      <c r="Y792" s="172"/>
      <c r="Z792" s="172"/>
    </row>
    <row r="793">
      <c r="A793" s="172"/>
      <c r="B793" s="172"/>
      <c r="C793" s="172"/>
      <c r="D793" s="172"/>
      <c r="E793" s="172"/>
      <c r="F793" s="172"/>
      <c r="G793" s="172"/>
      <c r="H793" s="172"/>
      <c r="I793" s="172"/>
      <c r="J793" s="172"/>
      <c r="K793" s="172"/>
      <c r="L793" s="172"/>
      <c r="M793" s="172"/>
      <c r="N793" s="172"/>
      <c r="O793" s="172"/>
      <c r="P793" s="172"/>
      <c r="Q793" s="172"/>
      <c r="R793" s="172"/>
      <c r="S793" s="172"/>
      <c r="T793" s="172"/>
      <c r="U793" s="172"/>
      <c r="V793" s="172"/>
      <c r="W793" s="172"/>
      <c r="X793" s="172"/>
      <c r="Y793" s="172"/>
      <c r="Z793" s="172"/>
    </row>
    <row r="794">
      <c r="A794" s="172"/>
      <c r="B794" s="172"/>
      <c r="C794" s="172"/>
      <c r="D794" s="172"/>
      <c r="E794" s="172"/>
      <c r="F794" s="172"/>
      <c r="G794" s="172"/>
      <c r="H794" s="172"/>
      <c r="I794" s="172"/>
      <c r="J794" s="172"/>
      <c r="K794" s="172"/>
      <c r="L794" s="172"/>
      <c r="M794" s="172"/>
      <c r="N794" s="172"/>
      <c r="O794" s="172"/>
      <c r="P794" s="172"/>
      <c r="Q794" s="172"/>
      <c r="R794" s="172"/>
      <c r="S794" s="172"/>
      <c r="T794" s="172"/>
      <c r="U794" s="172"/>
      <c r="V794" s="172"/>
      <c r="W794" s="172"/>
      <c r="X794" s="172"/>
      <c r="Y794" s="172"/>
      <c r="Z794" s="172"/>
    </row>
    <row r="795">
      <c r="A795" s="172"/>
      <c r="B795" s="172"/>
      <c r="C795" s="172"/>
      <c r="D795" s="172"/>
      <c r="E795" s="172"/>
      <c r="F795" s="172"/>
      <c r="G795" s="172"/>
      <c r="H795" s="172"/>
      <c r="I795" s="172"/>
      <c r="J795" s="172"/>
      <c r="K795" s="172"/>
      <c r="L795" s="172"/>
      <c r="M795" s="172"/>
      <c r="N795" s="172"/>
      <c r="O795" s="172"/>
      <c r="P795" s="172"/>
      <c r="Q795" s="172"/>
      <c r="R795" s="172"/>
      <c r="S795" s="172"/>
      <c r="T795" s="172"/>
      <c r="U795" s="172"/>
      <c r="V795" s="172"/>
      <c r="W795" s="172"/>
      <c r="X795" s="172"/>
      <c r="Y795" s="172"/>
      <c r="Z795" s="172"/>
    </row>
    <row r="796">
      <c r="A796" s="172"/>
      <c r="B796" s="172"/>
      <c r="C796" s="172"/>
      <c r="D796" s="172"/>
      <c r="E796" s="172"/>
      <c r="F796" s="172"/>
      <c r="G796" s="172"/>
      <c r="H796" s="172"/>
      <c r="I796" s="172"/>
      <c r="J796" s="172"/>
      <c r="K796" s="172"/>
      <c r="L796" s="172"/>
      <c r="M796" s="172"/>
      <c r="N796" s="172"/>
      <c r="O796" s="172"/>
      <c r="P796" s="172"/>
      <c r="Q796" s="172"/>
      <c r="R796" s="172"/>
      <c r="S796" s="172"/>
      <c r="T796" s="172"/>
      <c r="U796" s="172"/>
      <c r="V796" s="172"/>
      <c r="W796" s="172"/>
      <c r="X796" s="172"/>
      <c r="Y796" s="172"/>
      <c r="Z796" s="172"/>
    </row>
    <row r="797">
      <c r="A797" s="172"/>
      <c r="B797" s="172"/>
      <c r="C797" s="172"/>
      <c r="D797" s="172"/>
      <c r="E797" s="172"/>
      <c r="F797" s="172"/>
      <c r="G797" s="172"/>
      <c r="H797" s="172"/>
      <c r="I797" s="172"/>
      <c r="J797" s="172"/>
      <c r="K797" s="172"/>
      <c r="L797" s="172"/>
      <c r="M797" s="172"/>
      <c r="N797" s="172"/>
      <c r="O797" s="172"/>
      <c r="P797" s="172"/>
      <c r="Q797" s="172"/>
      <c r="R797" s="172"/>
      <c r="S797" s="172"/>
      <c r="T797" s="172"/>
      <c r="U797" s="172"/>
      <c r="V797" s="172"/>
      <c r="W797" s="172"/>
      <c r="X797" s="172"/>
      <c r="Y797" s="172"/>
      <c r="Z797" s="172"/>
    </row>
    <row r="798">
      <c r="A798" s="172"/>
      <c r="B798" s="172"/>
      <c r="C798" s="172"/>
      <c r="D798" s="172"/>
      <c r="E798" s="172"/>
      <c r="F798" s="172"/>
      <c r="G798" s="172"/>
      <c r="H798" s="172"/>
      <c r="I798" s="172"/>
      <c r="J798" s="172"/>
      <c r="K798" s="172"/>
      <c r="L798" s="172"/>
      <c r="M798" s="172"/>
      <c r="N798" s="172"/>
      <c r="O798" s="172"/>
      <c r="P798" s="172"/>
      <c r="Q798" s="172"/>
      <c r="R798" s="172"/>
      <c r="S798" s="172"/>
      <c r="T798" s="172"/>
      <c r="U798" s="172"/>
      <c r="V798" s="172"/>
      <c r="W798" s="172"/>
      <c r="X798" s="172"/>
      <c r="Y798" s="172"/>
      <c r="Z798" s="172"/>
    </row>
    <row r="799">
      <c r="A799" s="172"/>
      <c r="B799" s="172"/>
      <c r="C799" s="172"/>
      <c r="D799" s="172"/>
      <c r="E799" s="172"/>
      <c r="F799" s="172"/>
      <c r="G799" s="172"/>
      <c r="H799" s="172"/>
      <c r="I799" s="172"/>
      <c r="J799" s="172"/>
      <c r="K799" s="172"/>
      <c r="L799" s="172"/>
      <c r="M799" s="172"/>
      <c r="N799" s="172"/>
      <c r="O799" s="172"/>
      <c r="P799" s="172"/>
      <c r="Q799" s="172"/>
      <c r="R799" s="172"/>
      <c r="S799" s="172"/>
      <c r="T799" s="172"/>
      <c r="U799" s="172"/>
      <c r="V799" s="172"/>
      <c r="W799" s="172"/>
      <c r="X799" s="172"/>
      <c r="Y799" s="172"/>
      <c r="Z799" s="172"/>
    </row>
    <row r="800">
      <c r="A800" s="172"/>
      <c r="B800" s="172"/>
      <c r="C800" s="172"/>
      <c r="D800" s="172"/>
      <c r="E800" s="172"/>
      <c r="F800" s="172"/>
      <c r="G800" s="172"/>
      <c r="H800" s="172"/>
      <c r="I800" s="172"/>
      <c r="J800" s="172"/>
      <c r="K800" s="172"/>
      <c r="L800" s="172"/>
      <c r="M800" s="172"/>
      <c r="N800" s="172"/>
      <c r="O800" s="172"/>
      <c r="P800" s="172"/>
      <c r="Q800" s="172"/>
      <c r="R800" s="172"/>
      <c r="S800" s="172"/>
      <c r="T800" s="172"/>
      <c r="U800" s="172"/>
      <c r="V800" s="172"/>
      <c r="W800" s="172"/>
      <c r="X800" s="172"/>
      <c r="Y800" s="172"/>
      <c r="Z800" s="172"/>
    </row>
    <row r="801">
      <c r="A801" s="172"/>
      <c r="B801" s="172"/>
      <c r="C801" s="172"/>
      <c r="D801" s="172"/>
      <c r="E801" s="172"/>
      <c r="F801" s="172"/>
      <c r="G801" s="172"/>
      <c r="H801" s="172"/>
      <c r="I801" s="172"/>
      <c r="J801" s="172"/>
      <c r="K801" s="172"/>
      <c r="L801" s="172"/>
      <c r="M801" s="172"/>
      <c r="N801" s="172"/>
      <c r="O801" s="172"/>
      <c r="P801" s="172"/>
      <c r="Q801" s="172"/>
      <c r="R801" s="172"/>
      <c r="S801" s="172"/>
      <c r="T801" s="172"/>
      <c r="U801" s="172"/>
      <c r="V801" s="172"/>
      <c r="W801" s="172"/>
      <c r="X801" s="172"/>
      <c r="Y801" s="172"/>
      <c r="Z801" s="172"/>
    </row>
    <row r="802">
      <c r="A802" s="172"/>
      <c r="B802" s="172"/>
      <c r="C802" s="172"/>
      <c r="D802" s="172"/>
      <c r="E802" s="172"/>
      <c r="F802" s="172"/>
      <c r="G802" s="172"/>
      <c r="H802" s="172"/>
      <c r="I802" s="172"/>
      <c r="J802" s="172"/>
      <c r="K802" s="172"/>
      <c r="L802" s="172"/>
      <c r="M802" s="172"/>
      <c r="N802" s="172"/>
      <c r="O802" s="172"/>
      <c r="P802" s="172"/>
      <c r="Q802" s="172"/>
      <c r="R802" s="172"/>
      <c r="S802" s="172"/>
      <c r="T802" s="172"/>
      <c r="U802" s="172"/>
      <c r="V802" s="172"/>
      <c r="W802" s="172"/>
      <c r="X802" s="172"/>
      <c r="Y802" s="172"/>
      <c r="Z802" s="172"/>
    </row>
    <row r="803">
      <c r="A803" s="172"/>
      <c r="B803" s="172"/>
      <c r="C803" s="172"/>
      <c r="D803" s="172"/>
      <c r="E803" s="172"/>
      <c r="F803" s="172"/>
      <c r="G803" s="172"/>
      <c r="H803" s="172"/>
      <c r="I803" s="172"/>
      <c r="J803" s="172"/>
      <c r="K803" s="172"/>
      <c r="L803" s="172"/>
      <c r="M803" s="172"/>
      <c r="N803" s="172"/>
      <c r="O803" s="172"/>
      <c r="P803" s="172"/>
      <c r="Q803" s="172"/>
      <c r="R803" s="172"/>
      <c r="S803" s="172"/>
      <c r="T803" s="172"/>
      <c r="U803" s="172"/>
      <c r="V803" s="172"/>
      <c r="W803" s="172"/>
      <c r="X803" s="172"/>
      <c r="Y803" s="172"/>
      <c r="Z803" s="172"/>
    </row>
    <row r="804">
      <c r="A804" s="172"/>
      <c r="B804" s="172"/>
      <c r="C804" s="172"/>
      <c r="D804" s="172"/>
      <c r="E804" s="172"/>
      <c r="F804" s="172"/>
      <c r="G804" s="172"/>
      <c r="H804" s="172"/>
      <c r="I804" s="172"/>
      <c r="J804" s="172"/>
      <c r="K804" s="172"/>
      <c r="L804" s="172"/>
      <c r="M804" s="172"/>
      <c r="N804" s="172"/>
      <c r="O804" s="172"/>
      <c r="P804" s="172"/>
      <c r="Q804" s="172"/>
      <c r="R804" s="172"/>
      <c r="S804" s="172"/>
      <c r="T804" s="172"/>
      <c r="U804" s="172"/>
      <c r="V804" s="172"/>
      <c r="W804" s="172"/>
      <c r="X804" s="172"/>
      <c r="Y804" s="172"/>
      <c r="Z804" s="172"/>
    </row>
    <row r="805">
      <c r="A805" s="172"/>
      <c r="B805" s="172"/>
      <c r="C805" s="172"/>
      <c r="D805" s="172"/>
      <c r="E805" s="172"/>
      <c r="F805" s="172"/>
      <c r="G805" s="172"/>
      <c r="H805" s="172"/>
      <c r="I805" s="172"/>
      <c r="J805" s="172"/>
      <c r="K805" s="172"/>
      <c r="L805" s="172"/>
      <c r="M805" s="172"/>
      <c r="N805" s="172"/>
      <c r="O805" s="172"/>
      <c r="P805" s="172"/>
      <c r="Q805" s="172"/>
      <c r="R805" s="172"/>
      <c r="S805" s="172"/>
      <c r="T805" s="172"/>
      <c r="U805" s="172"/>
      <c r="V805" s="172"/>
      <c r="W805" s="172"/>
      <c r="X805" s="172"/>
      <c r="Y805" s="172"/>
      <c r="Z805" s="172"/>
    </row>
    <row r="806">
      <c r="A806" s="172"/>
      <c r="B806" s="172"/>
      <c r="C806" s="172"/>
      <c r="D806" s="172"/>
      <c r="E806" s="172"/>
      <c r="F806" s="172"/>
      <c r="G806" s="172"/>
      <c r="H806" s="172"/>
      <c r="I806" s="172"/>
      <c r="J806" s="172"/>
      <c r="K806" s="172"/>
      <c r="L806" s="172"/>
      <c r="M806" s="172"/>
      <c r="N806" s="172"/>
      <c r="O806" s="172"/>
      <c r="P806" s="172"/>
      <c r="Q806" s="172"/>
      <c r="R806" s="172"/>
      <c r="S806" s="172"/>
      <c r="T806" s="172"/>
      <c r="U806" s="172"/>
      <c r="V806" s="172"/>
      <c r="W806" s="172"/>
      <c r="X806" s="172"/>
      <c r="Y806" s="172"/>
      <c r="Z806" s="172"/>
    </row>
    <row r="807">
      <c r="A807" s="172"/>
      <c r="B807" s="172"/>
      <c r="C807" s="172"/>
      <c r="D807" s="172"/>
      <c r="E807" s="172"/>
      <c r="F807" s="172"/>
      <c r="G807" s="172"/>
      <c r="H807" s="172"/>
      <c r="I807" s="172"/>
      <c r="J807" s="172"/>
      <c r="K807" s="172"/>
      <c r="L807" s="172"/>
      <c r="M807" s="172"/>
      <c r="N807" s="172"/>
      <c r="O807" s="172"/>
      <c r="P807" s="172"/>
      <c r="Q807" s="172"/>
      <c r="R807" s="172"/>
      <c r="S807" s="172"/>
      <c r="T807" s="172"/>
      <c r="U807" s="172"/>
      <c r="V807" s="172"/>
      <c r="W807" s="172"/>
      <c r="X807" s="172"/>
      <c r="Y807" s="172"/>
      <c r="Z807" s="172"/>
    </row>
    <row r="808">
      <c r="A808" s="172"/>
      <c r="B808" s="172"/>
      <c r="C808" s="172"/>
      <c r="D808" s="172"/>
      <c r="E808" s="172"/>
      <c r="F808" s="172"/>
      <c r="G808" s="172"/>
      <c r="H808" s="172"/>
      <c r="I808" s="172"/>
      <c r="J808" s="172"/>
      <c r="K808" s="172"/>
      <c r="L808" s="172"/>
      <c r="M808" s="172"/>
      <c r="N808" s="172"/>
      <c r="O808" s="172"/>
      <c r="P808" s="172"/>
      <c r="Q808" s="172"/>
      <c r="R808" s="172"/>
      <c r="S808" s="172"/>
      <c r="T808" s="172"/>
      <c r="U808" s="172"/>
      <c r="V808" s="172"/>
      <c r="W808" s="172"/>
      <c r="X808" s="172"/>
      <c r="Y808" s="172"/>
      <c r="Z808" s="172"/>
    </row>
    <row r="809">
      <c r="A809" s="172"/>
      <c r="B809" s="172"/>
      <c r="C809" s="172"/>
      <c r="D809" s="172"/>
      <c r="E809" s="172"/>
      <c r="F809" s="172"/>
      <c r="G809" s="172"/>
      <c r="H809" s="172"/>
      <c r="I809" s="172"/>
      <c r="J809" s="172"/>
      <c r="K809" s="172"/>
      <c r="L809" s="172"/>
      <c r="M809" s="172"/>
      <c r="N809" s="172"/>
      <c r="O809" s="172"/>
      <c r="P809" s="172"/>
      <c r="Q809" s="172"/>
      <c r="R809" s="172"/>
      <c r="S809" s="172"/>
      <c r="T809" s="172"/>
      <c r="U809" s="172"/>
      <c r="V809" s="172"/>
      <c r="W809" s="172"/>
      <c r="X809" s="172"/>
      <c r="Y809" s="172"/>
      <c r="Z809" s="172"/>
    </row>
    <row r="810">
      <c r="A810" s="172"/>
      <c r="B810" s="172"/>
      <c r="C810" s="172"/>
      <c r="D810" s="172"/>
      <c r="E810" s="172"/>
      <c r="F810" s="172"/>
      <c r="G810" s="172"/>
      <c r="H810" s="172"/>
      <c r="I810" s="172"/>
      <c r="J810" s="172"/>
      <c r="K810" s="172"/>
      <c r="L810" s="172"/>
      <c r="M810" s="172"/>
      <c r="N810" s="172"/>
      <c r="O810" s="172"/>
      <c r="P810" s="172"/>
      <c r="Q810" s="172"/>
      <c r="R810" s="172"/>
      <c r="S810" s="172"/>
      <c r="T810" s="172"/>
      <c r="U810" s="172"/>
      <c r="V810" s="172"/>
      <c r="W810" s="172"/>
      <c r="X810" s="172"/>
      <c r="Y810" s="172"/>
      <c r="Z810" s="172"/>
    </row>
    <row r="811">
      <c r="A811" s="172"/>
      <c r="B811" s="172"/>
      <c r="C811" s="172"/>
      <c r="D811" s="172"/>
      <c r="E811" s="172"/>
      <c r="F811" s="172"/>
      <c r="G811" s="172"/>
      <c r="H811" s="172"/>
      <c r="I811" s="172"/>
      <c r="J811" s="172"/>
      <c r="K811" s="172"/>
      <c r="L811" s="172"/>
      <c r="M811" s="172"/>
      <c r="N811" s="172"/>
      <c r="O811" s="172"/>
      <c r="P811" s="172"/>
      <c r="Q811" s="172"/>
      <c r="R811" s="172"/>
      <c r="S811" s="172"/>
      <c r="T811" s="172"/>
      <c r="U811" s="172"/>
      <c r="V811" s="172"/>
      <c r="W811" s="172"/>
      <c r="X811" s="172"/>
      <c r="Y811" s="172"/>
      <c r="Z811" s="172"/>
    </row>
    <row r="812">
      <c r="A812" s="172"/>
      <c r="B812" s="172"/>
      <c r="C812" s="172"/>
      <c r="D812" s="172"/>
      <c r="E812" s="172"/>
      <c r="F812" s="172"/>
      <c r="G812" s="172"/>
      <c r="H812" s="172"/>
      <c r="I812" s="172"/>
      <c r="J812" s="172"/>
      <c r="K812" s="172"/>
      <c r="L812" s="172"/>
      <c r="M812" s="172"/>
      <c r="N812" s="172"/>
      <c r="O812" s="172"/>
      <c r="P812" s="172"/>
      <c r="Q812" s="172"/>
      <c r="R812" s="172"/>
      <c r="S812" s="172"/>
      <c r="T812" s="172"/>
      <c r="U812" s="172"/>
      <c r="V812" s="172"/>
      <c r="W812" s="172"/>
      <c r="X812" s="172"/>
      <c r="Y812" s="172"/>
      <c r="Z812" s="172"/>
    </row>
    <row r="813">
      <c r="A813" s="172"/>
      <c r="B813" s="172"/>
      <c r="C813" s="172"/>
      <c r="D813" s="172"/>
      <c r="E813" s="172"/>
      <c r="F813" s="172"/>
      <c r="G813" s="172"/>
      <c r="H813" s="172"/>
      <c r="I813" s="172"/>
      <c r="J813" s="172"/>
      <c r="K813" s="172"/>
      <c r="L813" s="172"/>
      <c r="M813" s="172"/>
      <c r="N813" s="172"/>
      <c r="O813" s="172"/>
      <c r="P813" s="172"/>
      <c r="Q813" s="172"/>
      <c r="R813" s="172"/>
      <c r="S813" s="172"/>
      <c r="T813" s="172"/>
      <c r="U813" s="172"/>
      <c r="V813" s="172"/>
      <c r="W813" s="172"/>
      <c r="X813" s="172"/>
      <c r="Y813" s="172"/>
      <c r="Z813" s="172"/>
    </row>
    <row r="814">
      <c r="A814" s="172"/>
      <c r="B814" s="172"/>
      <c r="C814" s="172"/>
      <c r="D814" s="172"/>
      <c r="E814" s="172"/>
      <c r="F814" s="172"/>
      <c r="G814" s="172"/>
      <c r="H814" s="172"/>
      <c r="I814" s="172"/>
      <c r="J814" s="172"/>
      <c r="K814" s="172"/>
      <c r="L814" s="172"/>
      <c r="M814" s="172"/>
      <c r="N814" s="172"/>
      <c r="O814" s="172"/>
      <c r="P814" s="172"/>
      <c r="Q814" s="172"/>
      <c r="R814" s="172"/>
      <c r="S814" s="172"/>
      <c r="T814" s="172"/>
      <c r="U814" s="172"/>
      <c r="V814" s="172"/>
      <c r="W814" s="172"/>
      <c r="X814" s="172"/>
      <c r="Y814" s="172"/>
      <c r="Z814" s="172"/>
    </row>
    <row r="815">
      <c r="A815" s="172"/>
      <c r="B815" s="172"/>
      <c r="C815" s="172"/>
      <c r="D815" s="172"/>
      <c r="E815" s="172"/>
      <c r="F815" s="172"/>
      <c r="G815" s="172"/>
      <c r="H815" s="172"/>
      <c r="I815" s="172"/>
      <c r="J815" s="172"/>
      <c r="K815" s="172"/>
      <c r="L815" s="172"/>
      <c r="M815" s="172"/>
      <c r="N815" s="172"/>
      <c r="O815" s="172"/>
      <c r="P815" s="172"/>
      <c r="Q815" s="172"/>
      <c r="R815" s="172"/>
      <c r="S815" s="172"/>
      <c r="T815" s="172"/>
      <c r="U815" s="172"/>
      <c r="V815" s="172"/>
      <c r="W815" s="172"/>
      <c r="X815" s="172"/>
      <c r="Y815" s="172"/>
      <c r="Z815" s="172"/>
    </row>
    <row r="816">
      <c r="A816" s="172"/>
      <c r="B816" s="172"/>
      <c r="C816" s="172"/>
      <c r="D816" s="172"/>
      <c r="E816" s="172"/>
      <c r="F816" s="172"/>
      <c r="G816" s="172"/>
      <c r="H816" s="172"/>
      <c r="I816" s="172"/>
      <c r="J816" s="172"/>
      <c r="K816" s="172"/>
      <c r="L816" s="172"/>
      <c r="M816" s="172"/>
      <c r="N816" s="172"/>
      <c r="O816" s="172"/>
      <c r="P816" s="172"/>
      <c r="Q816" s="172"/>
      <c r="R816" s="172"/>
      <c r="S816" s="172"/>
      <c r="T816" s="172"/>
      <c r="U816" s="172"/>
      <c r="V816" s="172"/>
      <c r="W816" s="172"/>
      <c r="X816" s="172"/>
      <c r="Y816" s="172"/>
      <c r="Z816" s="172"/>
    </row>
    <row r="817">
      <c r="A817" s="172"/>
      <c r="B817" s="172"/>
      <c r="C817" s="172"/>
      <c r="D817" s="172"/>
      <c r="E817" s="172"/>
      <c r="F817" s="172"/>
      <c r="G817" s="172"/>
      <c r="H817" s="172"/>
      <c r="I817" s="172"/>
      <c r="J817" s="172"/>
      <c r="K817" s="172"/>
      <c r="L817" s="172"/>
      <c r="M817" s="172"/>
      <c r="N817" s="172"/>
      <c r="O817" s="172"/>
      <c r="P817" s="172"/>
      <c r="Q817" s="172"/>
      <c r="R817" s="172"/>
      <c r="S817" s="172"/>
      <c r="T817" s="172"/>
      <c r="U817" s="172"/>
      <c r="V817" s="172"/>
      <c r="W817" s="172"/>
      <c r="X817" s="172"/>
      <c r="Y817" s="172"/>
      <c r="Z817" s="172"/>
    </row>
    <row r="818">
      <c r="A818" s="172"/>
      <c r="B818" s="172"/>
      <c r="C818" s="172"/>
      <c r="D818" s="172"/>
      <c r="E818" s="172"/>
      <c r="F818" s="172"/>
      <c r="G818" s="172"/>
      <c r="H818" s="172"/>
      <c r="I818" s="172"/>
      <c r="J818" s="172"/>
      <c r="K818" s="172"/>
      <c r="L818" s="172"/>
      <c r="M818" s="172"/>
      <c r="N818" s="172"/>
      <c r="O818" s="172"/>
      <c r="P818" s="172"/>
      <c r="Q818" s="172"/>
      <c r="R818" s="172"/>
      <c r="S818" s="172"/>
      <c r="T818" s="172"/>
      <c r="U818" s="172"/>
      <c r="V818" s="172"/>
      <c r="W818" s="172"/>
      <c r="X818" s="172"/>
      <c r="Y818" s="172"/>
      <c r="Z818" s="172"/>
    </row>
    <row r="819">
      <c r="A819" s="172"/>
      <c r="B819" s="172"/>
      <c r="C819" s="172"/>
      <c r="D819" s="172"/>
      <c r="E819" s="172"/>
      <c r="F819" s="172"/>
      <c r="G819" s="172"/>
      <c r="H819" s="172"/>
      <c r="I819" s="172"/>
      <c r="J819" s="172"/>
      <c r="K819" s="172"/>
      <c r="L819" s="172"/>
      <c r="M819" s="172"/>
      <c r="N819" s="172"/>
      <c r="O819" s="172"/>
      <c r="P819" s="172"/>
      <c r="Q819" s="172"/>
      <c r="R819" s="172"/>
      <c r="S819" s="172"/>
      <c r="T819" s="172"/>
      <c r="U819" s="172"/>
      <c r="V819" s="172"/>
      <c r="W819" s="172"/>
      <c r="X819" s="172"/>
      <c r="Y819" s="172"/>
      <c r="Z819" s="172"/>
    </row>
    <row r="820">
      <c r="A820" s="172"/>
      <c r="B820" s="172"/>
      <c r="C820" s="172"/>
      <c r="D820" s="172"/>
      <c r="E820" s="172"/>
      <c r="F820" s="172"/>
      <c r="G820" s="172"/>
      <c r="H820" s="172"/>
      <c r="I820" s="172"/>
      <c r="J820" s="172"/>
      <c r="K820" s="172"/>
      <c r="L820" s="172"/>
      <c r="M820" s="172"/>
      <c r="N820" s="172"/>
      <c r="O820" s="172"/>
      <c r="P820" s="172"/>
      <c r="Q820" s="172"/>
      <c r="R820" s="172"/>
      <c r="S820" s="172"/>
      <c r="T820" s="172"/>
      <c r="U820" s="172"/>
      <c r="V820" s="172"/>
      <c r="W820" s="172"/>
      <c r="X820" s="172"/>
      <c r="Y820" s="172"/>
      <c r="Z820" s="172"/>
    </row>
    <row r="821">
      <c r="A821" s="172"/>
      <c r="B821" s="172"/>
      <c r="C821" s="172"/>
      <c r="D821" s="172"/>
      <c r="E821" s="172"/>
      <c r="F821" s="172"/>
      <c r="G821" s="172"/>
      <c r="H821" s="172"/>
      <c r="I821" s="172"/>
      <c r="J821" s="172"/>
      <c r="K821" s="172"/>
      <c r="L821" s="172"/>
      <c r="M821" s="172"/>
      <c r="N821" s="172"/>
      <c r="O821" s="172"/>
      <c r="P821" s="172"/>
      <c r="Q821" s="172"/>
      <c r="R821" s="172"/>
      <c r="S821" s="172"/>
      <c r="T821" s="172"/>
      <c r="U821" s="172"/>
      <c r="V821" s="172"/>
      <c r="W821" s="172"/>
      <c r="X821" s="172"/>
      <c r="Y821" s="172"/>
      <c r="Z821" s="172"/>
    </row>
    <row r="822">
      <c r="A822" s="172"/>
      <c r="B822" s="172"/>
      <c r="C822" s="172"/>
      <c r="D822" s="172"/>
      <c r="E822" s="172"/>
      <c r="F822" s="172"/>
      <c r="G822" s="172"/>
      <c r="H822" s="172"/>
      <c r="I822" s="172"/>
      <c r="J822" s="172"/>
      <c r="K822" s="172"/>
      <c r="L822" s="172"/>
      <c r="M822" s="172"/>
      <c r="N822" s="172"/>
      <c r="O822" s="172"/>
      <c r="P822" s="172"/>
      <c r="Q822" s="172"/>
      <c r="R822" s="172"/>
      <c r="S822" s="172"/>
      <c r="T822" s="172"/>
      <c r="U822" s="172"/>
      <c r="V822" s="172"/>
      <c r="W822" s="172"/>
      <c r="X822" s="172"/>
      <c r="Y822" s="172"/>
      <c r="Z822" s="172"/>
    </row>
    <row r="823">
      <c r="A823" s="172"/>
      <c r="B823" s="172"/>
      <c r="C823" s="172"/>
      <c r="D823" s="172"/>
      <c r="E823" s="172"/>
      <c r="F823" s="172"/>
      <c r="G823" s="172"/>
      <c r="H823" s="172"/>
      <c r="I823" s="172"/>
      <c r="J823" s="172"/>
      <c r="K823" s="172"/>
      <c r="L823" s="172"/>
      <c r="M823" s="172"/>
      <c r="N823" s="172"/>
      <c r="O823" s="172"/>
      <c r="P823" s="172"/>
      <c r="Q823" s="172"/>
      <c r="R823" s="172"/>
      <c r="S823" s="172"/>
      <c r="T823" s="172"/>
      <c r="U823" s="172"/>
      <c r="V823" s="172"/>
      <c r="W823" s="172"/>
      <c r="X823" s="172"/>
      <c r="Y823" s="172"/>
      <c r="Z823" s="172"/>
    </row>
    <row r="824">
      <c r="A824" s="172"/>
      <c r="B824" s="172"/>
      <c r="C824" s="172"/>
      <c r="D824" s="172"/>
      <c r="E824" s="172"/>
      <c r="F824" s="172"/>
      <c r="G824" s="172"/>
      <c r="H824" s="172"/>
      <c r="I824" s="172"/>
      <c r="J824" s="172"/>
      <c r="K824" s="172"/>
      <c r="L824" s="172"/>
      <c r="M824" s="172"/>
      <c r="N824" s="172"/>
      <c r="O824" s="172"/>
      <c r="P824" s="172"/>
      <c r="Q824" s="172"/>
      <c r="R824" s="172"/>
      <c r="S824" s="172"/>
      <c r="T824" s="172"/>
      <c r="U824" s="172"/>
      <c r="V824" s="172"/>
      <c r="W824" s="172"/>
      <c r="X824" s="172"/>
      <c r="Y824" s="172"/>
      <c r="Z824" s="172"/>
    </row>
    <row r="825">
      <c r="A825" s="172"/>
      <c r="B825" s="172"/>
      <c r="C825" s="172"/>
      <c r="D825" s="172"/>
      <c r="E825" s="172"/>
      <c r="F825" s="172"/>
      <c r="G825" s="172"/>
      <c r="H825" s="172"/>
      <c r="I825" s="172"/>
      <c r="J825" s="172"/>
      <c r="K825" s="172"/>
      <c r="L825" s="172"/>
      <c r="M825" s="172"/>
      <c r="N825" s="172"/>
      <c r="O825" s="172"/>
      <c r="P825" s="172"/>
      <c r="Q825" s="172"/>
      <c r="R825" s="172"/>
      <c r="S825" s="172"/>
      <c r="T825" s="172"/>
      <c r="U825" s="172"/>
      <c r="V825" s="172"/>
      <c r="W825" s="172"/>
      <c r="X825" s="172"/>
      <c r="Y825" s="172"/>
      <c r="Z825" s="172"/>
    </row>
    <row r="826">
      <c r="A826" s="172"/>
      <c r="B826" s="172"/>
      <c r="C826" s="172"/>
      <c r="D826" s="172"/>
      <c r="E826" s="172"/>
      <c r="F826" s="172"/>
      <c r="G826" s="172"/>
      <c r="H826" s="172"/>
      <c r="I826" s="172"/>
      <c r="J826" s="172"/>
      <c r="K826" s="172"/>
      <c r="L826" s="172"/>
      <c r="M826" s="172"/>
      <c r="N826" s="172"/>
      <c r="O826" s="172"/>
      <c r="P826" s="172"/>
      <c r="Q826" s="172"/>
      <c r="R826" s="172"/>
      <c r="S826" s="172"/>
      <c r="T826" s="172"/>
      <c r="U826" s="172"/>
      <c r="V826" s="172"/>
      <c r="W826" s="172"/>
      <c r="X826" s="172"/>
      <c r="Y826" s="172"/>
      <c r="Z826" s="172"/>
    </row>
    <row r="827">
      <c r="A827" s="172"/>
      <c r="B827" s="172"/>
      <c r="C827" s="172"/>
      <c r="D827" s="172"/>
      <c r="E827" s="172"/>
      <c r="F827" s="172"/>
      <c r="G827" s="172"/>
      <c r="H827" s="172"/>
      <c r="I827" s="172"/>
      <c r="J827" s="172"/>
      <c r="K827" s="172"/>
      <c r="L827" s="172"/>
      <c r="M827" s="172"/>
      <c r="N827" s="172"/>
      <c r="O827" s="172"/>
      <c r="P827" s="172"/>
      <c r="Q827" s="172"/>
      <c r="R827" s="172"/>
      <c r="S827" s="172"/>
      <c r="T827" s="172"/>
      <c r="U827" s="172"/>
      <c r="V827" s="172"/>
      <c r="W827" s="172"/>
      <c r="X827" s="172"/>
      <c r="Y827" s="172"/>
      <c r="Z827" s="172"/>
    </row>
    <row r="828">
      <c r="A828" s="172"/>
      <c r="B828" s="172"/>
      <c r="C828" s="172"/>
      <c r="D828" s="172"/>
      <c r="E828" s="172"/>
      <c r="F828" s="172"/>
      <c r="G828" s="172"/>
      <c r="H828" s="172"/>
      <c r="I828" s="172"/>
      <c r="J828" s="172"/>
      <c r="K828" s="172"/>
      <c r="L828" s="172"/>
      <c r="M828" s="172"/>
      <c r="N828" s="172"/>
      <c r="O828" s="172"/>
      <c r="P828" s="172"/>
      <c r="Q828" s="172"/>
      <c r="R828" s="172"/>
      <c r="S828" s="172"/>
      <c r="T828" s="172"/>
      <c r="U828" s="172"/>
      <c r="V828" s="172"/>
      <c r="W828" s="172"/>
      <c r="X828" s="172"/>
      <c r="Y828" s="172"/>
      <c r="Z828" s="172"/>
    </row>
    <row r="829">
      <c r="A829" s="172"/>
      <c r="B829" s="172"/>
      <c r="C829" s="172"/>
      <c r="D829" s="172"/>
      <c r="E829" s="172"/>
      <c r="F829" s="172"/>
      <c r="G829" s="172"/>
      <c r="H829" s="172"/>
      <c r="I829" s="172"/>
      <c r="J829" s="172"/>
      <c r="K829" s="172"/>
      <c r="L829" s="172"/>
      <c r="M829" s="172"/>
      <c r="N829" s="172"/>
      <c r="O829" s="172"/>
      <c r="P829" s="172"/>
      <c r="Q829" s="172"/>
      <c r="R829" s="172"/>
      <c r="S829" s="172"/>
      <c r="T829" s="172"/>
      <c r="U829" s="172"/>
      <c r="V829" s="172"/>
      <c r="W829" s="172"/>
      <c r="X829" s="172"/>
      <c r="Y829" s="172"/>
      <c r="Z829" s="172"/>
    </row>
    <row r="830">
      <c r="A830" s="172"/>
      <c r="B830" s="172"/>
      <c r="C830" s="172"/>
      <c r="D830" s="172"/>
      <c r="E830" s="172"/>
      <c r="F830" s="172"/>
      <c r="G830" s="172"/>
      <c r="H830" s="172"/>
      <c r="I830" s="172"/>
      <c r="J830" s="172"/>
      <c r="K830" s="172"/>
      <c r="L830" s="172"/>
      <c r="M830" s="172"/>
      <c r="N830" s="172"/>
      <c r="O830" s="172"/>
      <c r="P830" s="172"/>
      <c r="Q830" s="172"/>
      <c r="R830" s="172"/>
      <c r="S830" s="172"/>
      <c r="T830" s="172"/>
      <c r="U830" s="172"/>
      <c r="V830" s="172"/>
      <c r="W830" s="172"/>
      <c r="X830" s="172"/>
      <c r="Y830" s="172"/>
      <c r="Z830" s="172"/>
    </row>
    <row r="831">
      <c r="A831" s="172"/>
      <c r="B831" s="172"/>
      <c r="C831" s="172"/>
      <c r="D831" s="172"/>
      <c r="E831" s="172"/>
      <c r="F831" s="172"/>
      <c r="G831" s="172"/>
      <c r="H831" s="172"/>
      <c r="I831" s="172"/>
      <c r="J831" s="172"/>
      <c r="K831" s="172"/>
      <c r="L831" s="172"/>
      <c r="M831" s="172"/>
      <c r="N831" s="172"/>
      <c r="O831" s="172"/>
      <c r="P831" s="172"/>
      <c r="Q831" s="172"/>
      <c r="R831" s="172"/>
      <c r="S831" s="172"/>
      <c r="T831" s="172"/>
      <c r="U831" s="172"/>
      <c r="V831" s="172"/>
      <c r="W831" s="172"/>
      <c r="X831" s="172"/>
      <c r="Y831" s="172"/>
      <c r="Z831" s="172"/>
    </row>
    <row r="832">
      <c r="A832" s="172"/>
      <c r="B832" s="172"/>
      <c r="C832" s="172"/>
      <c r="D832" s="172"/>
      <c r="E832" s="172"/>
      <c r="F832" s="172"/>
      <c r="G832" s="172"/>
      <c r="H832" s="172"/>
      <c r="I832" s="172"/>
      <c r="J832" s="172"/>
      <c r="K832" s="172"/>
      <c r="L832" s="172"/>
      <c r="M832" s="172"/>
      <c r="N832" s="172"/>
      <c r="O832" s="172"/>
      <c r="P832" s="172"/>
      <c r="Q832" s="172"/>
      <c r="R832" s="172"/>
      <c r="S832" s="172"/>
      <c r="T832" s="172"/>
      <c r="U832" s="172"/>
      <c r="V832" s="172"/>
      <c r="W832" s="172"/>
      <c r="X832" s="172"/>
      <c r="Y832" s="172"/>
      <c r="Z832" s="172"/>
    </row>
    <row r="833">
      <c r="A833" s="172"/>
      <c r="B833" s="172"/>
      <c r="C833" s="172"/>
      <c r="D833" s="172"/>
      <c r="E833" s="172"/>
      <c r="F833" s="172"/>
      <c r="G833" s="172"/>
      <c r="H833" s="172"/>
      <c r="I833" s="172"/>
      <c r="J833" s="172"/>
      <c r="K833" s="172"/>
      <c r="L833" s="172"/>
      <c r="M833" s="172"/>
      <c r="N833" s="172"/>
      <c r="O833" s="172"/>
      <c r="P833" s="172"/>
      <c r="Q833" s="172"/>
      <c r="R833" s="172"/>
      <c r="S833" s="172"/>
      <c r="T833" s="172"/>
      <c r="U833" s="172"/>
      <c r="V833" s="172"/>
      <c r="W833" s="172"/>
      <c r="X833" s="172"/>
      <c r="Y833" s="172"/>
      <c r="Z833" s="172"/>
    </row>
    <row r="834">
      <c r="A834" s="172"/>
      <c r="B834" s="172"/>
      <c r="C834" s="172"/>
      <c r="D834" s="172"/>
      <c r="E834" s="172"/>
      <c r="F834" s="172"/>
      <c r="G834" s="172"/>
      <c r="H834" s="172"/>
      <c r="I834" s="172"/>
      <c r="J834" s="172"/>
      <c r="K834" s="172"/>
      <c r="L834" s="172"/>
      <c r="M834" s="172"/>
      <c r="N834" s="172"/>
      <c r="O834" s="172"/>
      <c r="P834" s="172"/>
      <c r="Q834" s="172"/>
      <c r="R834" s="172"/>
      <c r="S834" s="172"/>
      <c r="T834" s="172"/>
      <c r="U834" s="172"/>
      <c r="V834" s="172"/>
      <c r="W834" s="172"/>
      <c r="X834" s="172"/>
      <c r="Y834" s="172"/>
      <c r="Z834" s="172"/>
    </row>
    <row r="835">
      <c r="A835" s="172"/>
      <c r="B835" s="172"/>
      <c r="C835" s="172"/>
      <c r="D835" s="172"/>
      <c r="E835" s="172"/>
      <c r="F835" s="172"/>
      <c r="G835" s="172"/>
      <c r="H835" s="172"/>
      <c r="I835" s="172"/>
      <c r="J835" s="172"/>
      <c r="K835" s="172"/>
      <c r="L835" s="172"/>
      <c r="M835" s="172"/>
      <c r="N835" s="172"/>
      <c r="O835" s="172"/>
      <c r="P835" s="172"/>
      <c r="Q835" s="172"/>
      <c r="R835" s="172"/>
      <c r="S835" s="172"/>
      <c r="T835" s="172"/>
      <c r="U835" s="172"/>
      <c r="V835" s="172"/>
      <c r="W835" s="172"/>
      <c r="X835" s="172"/>
      <c r="Y835" s="172"/>
      <c r="Z835" s="172"/>
    </row>
    <row r="836">
      <c r="A836" s="172"/>
      <c r="B836" s="172"/>
      <c r="C836" s="172"/>
      <c r="D836" s="172"/>
      <c r="E836" s="172"/>
      <c r="F836" s="172"/>
      <c r="G836" s="172"/>
      <c r="H836" s="172"/>
      <c r="I836" s="172"/>
      <c r="J836" s="172"/>
      <c r="K836" s="172"/>
      <c r="L836" s="172"/>
      <c r="M836" s="172"/>
      <c r="N836" s="172"/>
      <c r="O836" s="172"/>
      <c r="P836" s="172"/>
      <c r="Q836" s="172"/>
      <c r="R836" s="172"/>
      <c r="S836" s="172"/>
      <c r="T836" s="172"/>
      <c r="U836" s="172"/>
      <c r="V836" s="172"/>
      <c r="W836" s="172"/>
      <c r="X836" s="172"/>
      <c r="Y836" s="172"/>
      <c r="Z836" s="172"/>
    </row>
    <row r="837">
      <c r="A837" s="172"/>
      <c r="B837" s="172"/>
      <c r="C837" s="172"/>
      <c r="D837" s="172"/>
      <c r="E837" s="172"/>
      <c r="F837" s="172"/>
      <c r="G837" s="172"/>
      <c r="H837" s="172"/>
      <c r="I837" s="172"/>
      <c r="J837" s="172"/>
      <c r="K837" s="172"/>
      <c r="L837" s="172"/>
      <c r="M837" s="172"/>
      <c r="N837" s="172"/>
      <c r="O837" s="172"/>
      <c r="P837" s="172"/>
      <c r="Q837" s="172"/>
      <c r="R837" s="172"/>
      <c r="S837" s="172"/>
      <c r="T837" s="172"/>
      <c r="U837" s="172"/>
      <c r="V837" s="172"/>
      <c r="W837" s="172"/>
      <c r="X837" s="172"/>
      <c r="Y837" s="172"/>
      <c r="Z837" s="172"/>
    </row>
    <row r="838">
      <c r="A838" s="172"/>
      <c r="B838" s="172"/>
      <c r="C838" s="172"/>
      <c r="D838" s="172"/>
      <c r="E838" s="172"/>
      <c r="F838" s="172"/>
      <c r="G838" s="172"/>
      <c r="H838" s="172"/>
      <c r="I838" s="172"/>
      <c r="J838" s="172"/>
      <c r="K838" s="172"/>
      <c r="L838" s="172"/>
      <c r="M838" s="172"/>
      <c r="N838" s="172"/>
      <c r="O838" s="172"/>
      <c r="P838" s="172"/>
      <c r="Q838" s="172"/>
      <c r="R838" s="172"/>
      <c r="S838" s="172"/>
      <c r="T838" s="172"/>
      <c r="U838" s="172"/>
      <c r="V838" s="172"/>
      <c r="W838" s="172"/>
      <c r="X838" s="172"/>
      <c r="Y838" s="172"/>
      <c r="Z838" s="172"/>
    </row>
    <row r="839">
      <c r="A839" s="172"/>
      <c r="B839" s="172"/>
      <c r="C839" s="172"/>
      <c r="D839" s="172"/>
      <c r="E839" s="172"/>
      <c r="F839" s="172"/>
      <c r="G839" s="172"/>
      <c r="H839" s="172"/>
      <c r="I839" s="172"/>
      <c r="J839" s="172"/>
      <c r="K839" s="172"/>
      <c r="L839" s="172"/>
      <c r="M839" s="172"/>
      <c r="N839" s="172"/>
      <c r="O839" s="172"/>
      <c r="P839" s="172"/>
      <c r="Q839" s="172"/>
      <c r="R839" s="172"/>
      <c r="S839" s="172"/>
      <c r="T839" s="172"/>
      <c r="U839" s="172"/>
      <c r="V839" s="172"/>
      <c r="W839" s="172"/>
      <c r="X839" s="172"/>
      <c r="Y839" s="172"/>
      <c r="Z839" s="172"/>
    </row>
    <row r="840">
      <c r="A840" s="172"/>
      <c r="B840" s="172"/>
      <c r="C840" s="172"/>
      <c r="D840" s="172"/>
      <c r="E840" s="172"/>
      <c r="F840" s="172"/>
      <c r="G840" s="172"/>
      <c r="H840" s="172"/>
      <c r="I840" s="172"/>
      <c r="J840" s="172"/>
      <c r="K840" s="172"/>
      <c r="L840" s="172"/>
      <c r="M840" s="172"/>
      <c r="N840" s="172"/>
      <c r="O840" s="172"/>
      <c r="P840" s="172"/>
      <c r="Q840" s="172"/>
      <c r="R840" s="172"/>
      <c r="S840" s="172"/>
      <c r="T840" s="172"/>
      <c r="U840" s="172"/>
      <c r="V840" s="172"/>
      <c r="W840" s="172"/>
      <c r="X840" s="172"/>
      <c r="Y840" s="172"/>
      <c r="Z840" s="172"/>
    </row>
    <row r="841">
      <c r="A841" s="172"/>
      <c r="B841" s="172"/>
      <c r="C841" s="172"/>
      <c r="D841" s="172"/>
      <c r="E841" s="172"/>
      <c r="F841" s="172"/>
      <c r="G841" s="172"/>
      <c r="H841" s="172"/>
      <c r="I841" s="172"/>
      <c r="J841" s="172"/>
      <c r="K841" s="172"/>
      <c r="L841" s="172"/>
      <c r="M841" s="172"/>
      <c r="N841" s="172"/>
      <c r="O841" s="172"/>
      <c r="P841" s="172"/>
      <c r="Q841" s="172"/>
      <c r="R841" s="172"/>
      <c r="S841" s="172"/>
      <c r="T841" s="172"/>
      <c r="U841" s="172"/>
      <c r="V841" s="172"/>
      <c r="W841" s="172"/>
      <c r="X841" s="172"/>
      <c r="Y841" s="172"/>
      <c r="Z841" s="172"/>
    </row>
    <row r="842">
      <c r="A842" s="172"/>
      <c r="B842" s="172"/>
      <c r="C842" s="172"/>
      <c r="D842" s="172"/>
      <c r="E842" s="172"/>
      <c r="F842" s="172"/>
      <c r="G842" s="172"/>
      <c r="H842" s="172"/>
      <c r="I842" s="172"/>
      <c r="J842" s="172"/>
      <c r="K842" s="172"/>
      <c r="L842" s="172"/>
      <c r="M842" s="172"/>
      <c r="N842" s="172"/>
      <c r="O842" s="172"/>
      <c r="P842" s="172"/>
      <c r="Q842" s="172"/>
      <c r="R842" s="172"/>
      <c r="S842" s="172"/>
      <c r="T842" s="172"/>
      <c r="U842" s="172"/>
      <c r="V842" s="172"/>
      <c r="W842" s="172"/>
      <c r="X842" s="172"/>
      <c r="Y842" s="172"/>
      <c r="Z842" s="172"/>
    </row>
    <row r="843">
      <c r="A843" s="172"/>
      <c r="B843" s="172"/>
      <c r="C843" s="172"/>
      <c r="D843" s="172"/>
      <c r="E843" s="172"/>
      <c r="F843" s="172"/>
      <c r="G843" s="172"/>
      <c r="H843" s="172"/>
      <c r="I843" s="172"/>
      <c r="J843" s="172"/>
      <c r="K843" s="172"/>
      <c r="L843" s="172"/>
      <c r="M843" s="172"/>
      <c r="N843" s="172"/>
      <c r="O843" s="172"/>
      <c r="P843" s="172"/>
      <c r="Q843" s="172"/>
      <c r="R843" s="172"/>
      <c r="S843" s="172"/>
      <c r="T843" s="172"/>
      <c r="U843" s="172"/>
      <c r="V843" s="172"/>
      <c r="W843" s="172"/>
      <c r="X843" s="172"/>
      <c r="Y843" s="172"/>
      <c r="Z843" s="172"/>
    </row>
    <row r="844">
      <c r="A844" s="172"/>
      <c r="B844" s="172"/>
      <c r="C844" s="172"/>
      <c r="D844" s="172"/>
      <c r="E844" s="172"/>
      <c r="F844" s="172"/>
      <c r="G844" s="172"/>
      <c r="H844" s="172"/>
      <c r="I844" s="172"/>
      <c r="J844" s="172"/>
      <c r="K844" s="172"/>
      <c r="L844" s="172"/>
      <c r="M844" s="172"/>
      <c r="N844" s="172"/>
      <c r="O844" s="172"/>
      <c r="P844" s="172"/>
      <c r="Q844" s="172"/>
      <c r="R844" s="172"/>
      <c r="S844" s="172"/>
      <c r="T844" s="172"/>
      <c r="U844" s="172"/>
      <c r="V844" s="172"/>
      <c r="W844" s="172"/>
      <c r="X844" s="172"/>
      <c r="Y844" s="172"/>
      <c r="Z844" s="172"/>
    </row>
    <row r="845">
      <c r="A845" s="172"/>
      <c r="B845" s="172"/>
      <c r="C845" s="172"/>
      <c r="D845" s="172"/>
      <c r="E845" s="172"/>
      <c r="F845" s="172"/>
      <c r="G845" s="172"/>
      <c r="H845" s="172"/>
      <c r="I845" s="172"/>
      <c r="J845" s="172"/>
      <c r="K845" s="172"/>
      <c r="L845" s="172"/>
      <c r="M845" s="172"/>
      <c r="N845" s="172"/>
      <c r="O845" s="172"/>
      <c r="P845" s="172"/>
      <c r="Q845" s="172"/>
      <c r="R845" s="172"/>
      <c r="S845" s="172"/>
      <c r="T845" s="172"/>
      <c r="U845" s="172"/>
      <c r="V845" s="172"/>
      <c r="W845" s="172"/>
      <c r="X845" s="172"/>
      <c r="Y845" s="172"/>
      <c r="Z845" s="172"/>
    </row>
    <row r="846">
      <c r="A846" s="172"/>
      <c r="B846" s="172"/>
      <c r="C846" s="172"/>
      <c r="D846" s="172"/>
      <c r="E846" s="172"/>
      <c r="F846" s="172"/>
      <c r="G846" s="172"/>
      <c r="H846" s="172"/>
      <c r="I846" s="172"/>
      <c r="J846" s="172"/>
      <c r="K846" s="172"/>
      <c r="L846" s="172"/>
      <c r="M846" s="172"/>
      <c r="N846" s="172"/>
      <c r="O846" s="172"/>
      <c r="P846" s="172"/>
      <c r="Q846" s="172"/>
      <c r="R846" s="172"/>
      <c r="S846" s="172"/>
      <c r="T846" s="172"/>
      <c r="U846" s="172"/>
      <c r="V846" s="172"/>
      <c r="W846" s="172"/>
      <c r="X846" s="172"/>
      <c r="Y846" s="172"/>
      <c r="Z846" s="172"/>
    </row>
    <row r="847">
      <c r="A847" s="172"/>
      <c r="B847" s="172"/>
      <c r="C847" s="172"/>
      <c r="D847" s="172"/>
      <c r="E847" s="172"/>
      <c r="F847" s="172"/>
      <c r="G847" s="172"/>
      <c r="H847" s="172"/>
      <c r="I847" s="172"/>
      <c r="J847" s="172"/>
      <c r="K847" s="172"/>
      <c r="L847" s="172"/>
      <c r="M847" s="172"/>
      <c r="N847" s="172"/>
      <c r="O847" s="172"/>
      <c r="P847" s="172"/>
      <c r="Q847" s="172"/>
      <c r="R847" s="172"/>
      <c r="S847" s="172"/>
      <c r="T847" s="172"/>
      <c r="U847" s="172"/>
      <c r="V847" s="172"/>
      <c r="W847" s="172"/>
      <c r="X847" s="172"/>
      <c r="Y847" s="172"/>
      <c r="Z847" s="172"/>
    </row>
    <row r="848">
      <c r="A848" s="172"/>
      <c r="B848" s="172"/>
      <c r="C848" s="172"/>
      <c r="D848" s="172"/>
      <c r="E848" s="172"/>
      <c r="F848" s="172"/>
      <c r="G848" s="172"/>
      <c r="H848" s="172"/>
      <c r="I848" s="172"/>
      <c r="J848" s="172"/>
      <c r="K848" s="172"/>
      <c r="L848" s="172"/>
      <c r="M848" s="172"/>
      <c r="N848" s="172"/>
      <c r="O848" s="172"/>
      <c r="P848" s="172"/>
      <c r="Q848" s="172"/>
      <c r="R848" s="172"/>
      <c r="S848" s="172"/>
      <c r="T848" s="172"/>
      <c r="U848" s="172"/>
      <c r="V848" s="172"/>
      <c r="W848" s="172"/>
      <c r="X848" s="172"/>
      <c r="Y848" s="172"/>
      <c r="Z848" s="172"/>
    </row>
    <row r="849">
      <c r="A849" s="172"/>
      <c r="B849" s="172"/>
      <c r="C849" s="172"/>
      <c r="D849" s="172"/>
      <c r="E849" s="172"/>
      <c r="F849" s="172"/>
      <c r="G849" s="172"/>
      <c r="H849" s="172"/>
      <c r="I849" s="172"/>
      <c r="J849" s="172"/>
      <c r="K849" s="172"/>
      <c r="L849" s="172"/>
      <c r="M849" s="172"/>
      <c r="N849" s="172"/>
      <c r="O849" s="172"/>
      <c r="P849" s="172"/>
      <c r="Q849" s="172"/>
      <c r="R849" s="172"/>
      <c r="S849" s="172"/>
      <c r="T849" s="172"/>
      <c r="U849" s="172"/>
      <c r="V849" s="172"/>
      <c r="W849" s="172"/>
      <c r="X849" s="172"/>
      <c r="Y849" s="172"/>
      <c r="Z849" s="172"/>
    </row>
    <row r="850">
      <c r="A850" s="172"/>
      <c r="B850" s="172"/>
      <c r="C850" s="172"/>
      <c r="D850" s="172"/>
      <c r="E850" s="172"/>
      <c r="F850" s="172"/>
      <c r="G850" s="172"/>
      <c r="H850" s="172"/>
      <c r="I850" s="172"/>
      <c r="J850" s="172"/>
      <c r="K850" s="172"/>
      <c r="L850" s="172"/>
      <c r="M850" s="172"/>
      <c r="N850" s="172"/>
      <c r="O850" s="172"/>
      <c r="P850" s="172"/>
      <c r="Q850" s="172"/>
      <c r="R850" s="172"/>
      <c r="S850" s="172"/>
      <c r="T850" s="172"/>
      <c r="U850" s="172"/>
      <c r="V850" s="172"/>
      <c r="W850" s="172"/>
      <c r="X850" s="172"/>
      <c r="Y850" s="172"/>
      <c r="Z850" s="172"/>
    </row>
    <row r="851">
      <c r="A851" s="172"/>
      <c r="B851" s="172"/>
      <c r="C851" s="172"/>
      <c r="D851" s="172"/>
      <c r="E851" s="172"/>
      <c r="F851" s="172"/>
      <c r="G851" s="172"/>
      <c r="H851" s="172"/>
      <c r="I851" s="172"/>
      <c r="J851" s="172"/>
      <c r="K851" s="172"/>
      <c r="L851" s="172"/>
      <c r="M851" s="172"/>
      <c r="N851" s="172"/>
      <c r="O851" s="172"/>
      <c r="P851" s="172"/>
      <c r="Q851" s="172"/>
      <c r="R851" s="172"/>
      <c r="S851" s="172"/>
      <c r="T851" s="172"/>
      <c r="U851" s="172"/>
      <c r="V851" s="172"/>
      <c r="W851" s="172"/>
      <c r="X851" s="172"/>
      <c r="Y851" s="172"/>
      <c r="Z851" s="172"/>
    </row>
    <row r="852">
      <c r="A852" s="172"/>
      <c r="B852" s="172"/>
      <c r="C852" s="172"/>
      <c r="D852" s="172"/>
      <c r="E852" s="172"/>
      <c r="F852" s="172"/>
      <c r="G852" s="172"/>
      <c r="H852" s="172"/>
      <c r="I852" s="172"/>
      <c r="J852" s="172"/>
      <c r="K852" s="172"/>
      <c r="L852" s="172"/>
      <c r="M852" s="172"/>
      <c r="N852" s="172"/>
      <c r="O852" s="172"/>
      <c r="P852" s="172"/>
      <c r="Q852" s="172"/>
      <c r="R852" s="172"/>
      <c r="S852" s="172"/>
      <c r="T852" s="172"/>
      <c r="U852" s="172"/>
      <c r="V852" s="172"/>
      <c r="W852" s="172"/>
      <c r="X852" s="172"/>
      <c r="Y852" s="172"/>
      <c r="Z852" s="172"/>
    </row>
    <row r="853">
      <c r="A853" s="172"/>
      <c r="B853" s="172"/>
      <c r="C853" s="172"/>
      <c r="D853" s="172"/>
      <c r="E853" s="172"/>
      <c r="F853" s="172"/>
      <c r="G853" s="172"/>
      <c r="H853" s="172"/>
      <c r="I853" s="172"/>
      <c r="J853" s="172"/>
      <c r="K853" s="172"/>
      <c r="L853" s="172"/>
      <c r="M853" s="172"/>
      <c r="N853" s="172"/>
      <c r="O853" s="172"/>
      <c r="P853" s="172"/>
      <c r="Q853" s="172"/>
      <c r="R853" s="172"/>
      <c r="S853" s="172"/>
      <c r="T853" s="172"/>
      <c r="U853" s="172"/>
      <c r="V853" s="172"/>
      <c r="W853" s="172"/>
      <c r="X853" s="172"/>
      <c r="Y853" s="172"/>
      <c r="Z853" s="172"/>
    </row>
    <row r="854">
      <c r="A854" s="172"/>
      <c r="B854" s="172"/>
      <c r="C854" s="172"/>
      <c r="D854" s="172"/>
      <c r="E854" s="172"/>
      <c r="F854" s="172"/>
      <c r="G854" s="172"/>
      <c r="H854" s="172"/>
      <c r="I854" s="172"/>
      <c r="J854" s="172"/>
      <c r="K854" s="172"/>
      <c r="L854" s="172"/>
      <c r="M854" s="172"/>
      <c r="N854" s="172"/>
      <c r="O854" s="172"/>
      <c r="P854" s="172"/>
      <c r="Q854" s="172"/>
      <c r="R854" s="172"/>
      <c r="S854" s="172"/>
      <c r="T854" s="172"/>
      <c r="U854" s="172"/>
      <c r="V854" s="172"/>
      <c r="W854" s="172"/>
      <c r="X854" s="172"/>
      <c r="Y854" s="172"/>
      <c r="Z854" s="172"/>
    </row>
    <row r="855">
      <c r="A855" s="172"/>
      <c r="B855" s="172"/>
      <c r="C855" s="172"/>
      <c r="D855" s="172"/>
      <c r="E855" s="172"/>
      <c r="F855" s="172"/>
      <c r="G855" s="172"/>
      <c r="H855" s="172"/>
      <c r="I855" s="172"/>
      <c r="J855" s="172"/>
      <c r="K855" s="172"/>
      <c r="L855" s="172"/>
      <c r="M855" s="172"/>
      <c r="N855" s="172"/>
      <c r="O855" s="172"/>
      <c r="P855" s="172"/>
      <c r="Q855" s="172"/>
      <c r="R855" s="172"/>
      <c r="S855" s="172"/>
      <c r="T855" s="172"/>
      <c r="U855" s="172"/>
      <c r="V855" s="172"/>
      <c r="W855" s="172"/>
      <c r="X855" s="172"/>
      <c r="Y855" s="172"/>
      <c r="Z855" s="172"/>
    </row>
    <row r="856">
      <c r="A856" s="172"/>
      <c r="B856" s="172"/>
      <c r="C856" s="172"/>
      <c r="D856" s="172"/>
      <c r="E856" s="172"/>
      <c r="F856" s="172"/>
      <c r="G856" s="172"/>
      <c r="H856" s="172"/>
      <c r="I856" s="172"/>
      <c r="J856" s="172"/>
      <c r="K856" s="172"/>
      <c r="L856" s="172"/>
      <c r="M856" s="172"/>
      <c r="N856" s="172"/>
      <c r="O856" s="172"/>
      <c r="P856" s="172"/>
      <c r="Q856" s="172"/>
      <c r="R856" s="172"/>
      <c r="S856" s="172"/>
      <c r="T856" s="172"/>
      <c r="U856" s="172"/>
      <c r="V856" s="172"/>
      <c r="W856" s="172"/>
      <c r="X856" s="172"/>
      <c r="Y856" s="172"/>
      <c r="Z856" s="172"/>
    </row>
    <row r="857">
      <c r="A857" s="172"/>
      <c r="B857" s="172"/>
      <c r="C857" s="172"/>
      <c r="D857" s="172"/>
      <c r="E857" s="172"/>
      <c r="F857" s="172"/>
      <c r="G857" s="172"/>
      <c r="H857" s="172"/>
      <c r="I857" s="172"/>
      <c r="J857" s="172"/>
      <c r="K857" s="172"/>
      <c r="L857" s="172"/>
      <c r="M857" s="172"/>
      <c r="N857" s="172"/>
      <c r="O857" s="172"/>
      <c r="P857" s="172"/>
      <c r="Q857" s="172"/>
      <c r="R857" s="172"/>
      <c r="S857" s="172"/>
      <c r="T857" s="172"/>
      <c r="U857" s="172"/>
      <c r="V857" s="172"/>
      <c r="W857" s="172"/>
      <c r="X857" s="172"/>
      <c r="Y857" s="172"/>
      <c r="Z857" s="172"/>
    </row>
    <row r="858">
      <c r="A858" s="172"/>
      <c r="B858" s="172"/>
      <c r="C858" s="172"/>
      <c r="D858" s="172"/>
      <c r="E858" s="172"/>
      <c r="F858" s="172"/>
      <c r="G858" s="172"/>
      <c r="H858" s="172"/>
      <c r="I858" s="172"/>
      <c r="J858" s="172"/>
      <c r="K858" s="172"/>
      <c r="L858" s="172"/>
      <c r="M858" s="172"/>
      <c r="N858" s="172"/>
      <c r="O858" s="172"/>
      <c r="P858" s="172"/>
      <c r="Q858" s="172"/>
      <c r="R858" s="172"/>
      <c r="S858" s="172"/>
      <c r="T858" s="172"/>
      <c r="U858" s="172"/>
      <c r="V858" s="172"/>
      <c r="W858" s="172"/>
      <c r="X858" s="172"/>
      <c r="Y858" s="172"/>
      <c r="Z858" s="172"/>
    </row>
    <row r="859">
      <c r="A859" s="172"/>
      <c r="B859" s="172"/>
      <c r="C859" s="172"/>
      <c r="D859" s="172"/>
      <c r="E859" s="172"/>
      <c r="F859" s="172"/>
      <c r="G859" s="172"/>
      <c r="H859" s="172"/>
      <c r="I859" s="172"/>
      <c r="J859" s="172"/>
      <c r="K859" s="172"/>
      <c r="L859" s="172"/>
      <c r="M859" s="172"/>
      <c r="N859" s="172"/>
      <c r="O859" s="172"/>
      <c r="P859" s="172"/>
      <c r="Q859" s="172"/>
      <c r="R859" s="172"/>
      <c r="S859" s="172"/>
      <c r="T859" s="172"/>
      <c r="U859" s="172"/>
      <c r="V859" s="172"/>
      <c r="W859" s="172"/>
      <c r="X859" s="172"/>
      <c r="Y859" s="172"/>
      <c r="Z859" s="172"/>
    </row>
    <row r="860">
      <c r="A860" s="172"/>
      <c r="B860" s="172"/>
      <c r="C860" s="172"/>
      <c r="D860" s="172"/>
      <c r="E860" s="172"/>
      <c r="F860" s="172"/>
      <c r="G860" s="172"/>
      <c r="H860" s="172"/>
      <c r="I860" s="172"/>
      <c r="J860" s="172"/>
      <c r="K860" s="172"/>
      <c r="L860" s="172"/>
      <c r="M860" s="172"/>
      <c r="N860" s="172"/>
      <c r="O860" s="172"/>
      <c r="P860" s="172"/>
      <c r="Q860" s="172"/>
      <c r="R860" s="172"/>
      <c r="S860" s="172"/>
      <c r="T860" s="172"/>
      <c r="U860" s="172"/>
      <c r="V860" s="172"/>
      <c r="W860" s="172"/>
      <c r="X860" s="172"/>
      <c r="Y860" s="172"/>
      <c r="Z860" s="172"/>
    </row>
    <row r="861">
      <c r="A861" s="172"/>
      <c r="B861" s="172"/>
      <c r="C861" s="172"/>
      <c r="D861" s="172"/>
      <c r="E861" s="172"/>
      <c r="F861" s="172"/>
      <c r="G861" s="172"/>
      <c r="H861" s="172"/>
      <c r="I861" s="172"/>
      <c r="J861" s="172"/>
      <c r="K861" s="172"/>
      <c r="L861" s="172"/>
      <c r="M861" s="172"/>
      <c r="N861" s="172"/>
      <c r="O861" s="172"/>
      <c r="P861" s="172"/>
      <c r="Q861" s="172"/>
      <c r="R861" s="172"/>
      <c r="S861" s="172"/>
      <c r="T861" s="172"/>
      <c r="U861" s="172"/>
      <c r="V861" s="172"/>
      <c r="W861" s="172"/>
      <c r="X861" s="172"/>
      <c r="Y861" s="172"/>
      <c r="Z861" s="172"/>
    </row>
    <row r="862">
      <c r="A862" s="172"/>
      <c r="B862" s="172"/>
      <c r="C862" s="172"/>
      <c r="D862" s="172"/>
      <c r="E862" s="172"/>
      <c r="F862" s="172"/>
      <c r="G862" s="172"/>
      <c r="H862" s="172"/>
      <c r="I862" s="172"/>
      <c r="J862" s="172"/>
      <c r="K862" s="172"/>
      <c r="L862" s="172"/>
      <c r="M862" s="172"/>
      <c r="N862" s="172"/>
      <c r="O862" s="172"/>
      <c r="P862" s="172"/>
      <c r="Q862" s="172"/>
      <c r="R862" s="172"/>
      <c r="S862" s="172"/>
      <c r="T862" s="172"/>
      <c r="U862" s="172"/>
      <c r="V862" s="172"/>
      <c r="W862" s="172"/>
      <c r="X862" s="172"/>
      <c r="Y862" s="172"/>
      <c r="Z862" s="172"/>
    </row>
    <row r="863">
      <c r="A863" s="172"/>
      <c r="B863" s="172"/>
      <c r="C863" s="172"/>
      <c r="D863" s="172"/>
      <c r="E863" s="172"/>
      <c r="F863" s="172"/>
      <c r="G863" s="172"/>
      <c r="H863" s="172"/>
      <c r="I863" s="172"/>
      <c r="J863" s="172"/>
      <c r="K863" s="172"/>
      <c r="L863" s="172"/>
      <c r="M863" s="172"/>
      <c r="N863" s="172"/>
      <c r="O863" s="172"/>
      <c r="P863" s="172"/>
      <c r="Q863" s="172"/>
      <c r="R863" s="172"/>
      <c r="S863" s="172"/>
      <c r="T863" s="172"/>
      <c r="U863" s="172"/>
      <c r="V863" s="172"/>
      <c r="W863" s="172"/>
      <c r="X863" s="172"/>
      <c r="Y863" s="172"/>
      <c r="Z863" s="172"/>
    </row>
    <row r="864">
      <c r="A864" s="172"/>
      <c r="B864" s="172"/>
      <c r="C864" s="172"/>
      <c r="D864" s="172"/>
      <c r="E864" s="172"/>
      <c r="F864" s="172"/>
      <c r="G864" s="172"/>
      <c r="H864" s="172"/>
      <c r="I864" s="172"/>
      <c r="J864" s="172"/>
      <c r="K864" s="172"/>
      <c r="L864" s="172"/>
      <c r="M864" s="172"/>
      <c r="N864" s="172"/>
      <c r="O864" s="172"/>
      <c r="P864" s="172"/>
      <c r="Q864" s="172"/>
      <c r="R864" s="172"/>
      <c r="S864" s="172"/>
      <c r="T864" s="172"/>
      <c r="U864" s="172"/>
      <c r="V864" s="172"/>
      <c r="W864" s="172"/>
      <c r="X864" s="172"/>
      <c r="Y864" s="172"/>
      <c r="Z864" s="172"/>
    </row>
    <row r="865">
      <c r="A865" s="172"/>
      <c r="B865" s="172"/>
      <c r="C865" s="172"/>
      <c r="D865" s="172"/>
      <c r="E865" s="172"/>
      <c r="F865" s="172"/>
      <c r="G865" s="172"/>
      <c r="H865" s="172"/>
      <c r="I865" s="172"/>
      <c r="J865" s="172"/>
      <c r="K865" s="172"/>
      <c r="L865" s="172"/>
      <c r="M865" s="172"/>
      <c r="N865" s="172"/>
      <c r="O865" s="172"/>
      <c r="P865" s="172"/>
      <c r="Q865" s="172"/>
      <c r="R865" s="172"/>
      <c r="S865" s="172"/>
      <c r="T865" s="172"/>
      <c r="U865" s="172"/>
      <c r="V865" s="172"/>
      <c r="W865" s="172"/>
      <c r="X865" s="172"/>
      <c r="Y865" s="172"/>
      <c r="Z865" s="172"/>
    </row>
    <row r="866">
      <c r="A866" s="172"/>
      <c r="B866" s="172"/>
      <c r="C866" s="172"/>
      <c r="D866" s="172"/>
      <c r="E866" s="172"/>
      <c r="F866" s="172"/>
      <c r="G866" s="172"/>
      <c r="H866" s="172"/>
      <c r="I866" s="172"/>
      <c r="J866" s="172"/>
      <c r="K866" s="172"/>
      <c r="L866" s="172"/>
      <c r="M866" s="172"/>
      <c r="N866" s="172"/>
      <c r="O866" s="172"/>
      <c r="P866" s="172"/>
      <c r="Q866" s="172"/>
      <c r="R866" s="172"/>
      <c r="S866" s="172"/>
      <c r="T866" s="172"/>
      <c r="U866" s="172"/>
      <c r="V866" s="172"/>
      <c r="W866" s="172"/>
      <c r="X866" s="172"/>
      <c r="Y866" s="172"/>
      <c r="Z866" s="172"/>
    </row>
    <row r="867">
      <c r="A867" s="172"/>
      <c r="B867" s="172"/>
      <c r="C867" s="172"/>
      <c r="D867" s="172"/>
      <c r="E867" s="172"/>
      <c r="F867" s="172"/>
      <c r="G867" s="172"/>
      <c r="H867" s="172"/>
      <c r="I867" s="172"/>
      <c r="J867" s="172"/>
      <c r="K867" s="172"/>
      <c r="L867" s="172"/>
      <c r="M867" s="172"/>
      <c r="N867" s="172"/>
      <c r="O867" s="172"/>
      <c r="P867" s="172"/>
      <c r="Q867" s="172"/>
      <c r="R867" s="172"/>
      <c r="S867" s="172"/>
      <c r="T867" s="172"/>
      <c r="U867" s="172"/>
      <c r="V867" s="172"/>
      <c r="W867" s="172"/>
      <c r="X867" s="172"/>
      <c r="Y867" s="172"/>
      <c r="Z867" s="172"/>
    </row>
    <row r="868">
      <c r="A868" s="172"/>
      <c r="B868" s="172"/>
      <c r="C868" s="172"/>
      <c r="D868" s="172"/>
      <c r="E868" s="172"/>
      <c r="F868" s="172"/>
      <c r="G868" s="172"/>
      <c r="H868" s="172"/>
      <c r="I868" s="172"/>
      <c r="J868" s="172"/>
      <c r="K868" s="172"/>
      <c r="L868" s="172"/>
      <c r="M868" s="172"/>
      <c r="N868" s="172"/>
      <c r="O868" s="172"/>
      <c r="P868" s="172"/>
      <c r="Q868" s="172"/>
      <c r="R868" s="172"/>
      <c r="S868" s="172"/>
      <c r="T868" s="172"/>
      <c r="U868" s="172"/>
      <c r="V868" s="172"/>
      <c r="W868" s="172"/>
      <c r="X868" s="172"/>
      <c r="Y868" s="172"/>
      <c r="Z868" s="172"/>
    </row>
    <row r="869">
      <c r="A869" s="172"/>
      <c r="B869" s="172"/>
      <c r="C869" s="172"/>
      <c r="D869" s="172"/>
      <c r="E869" s="172"/>
      <c r="F869" s="172"/>
      <c r="G869" s="172"/>
      <c r="H869" s="172"/>
      <c r="I869" s="172"/>
      <c r="J869" s="172"/>
      <c r="K869" s="172"/>
      <c r="L869" s="172"/>
      <c r="M869" s="172"/>
      <c r="N869" s="172"/>
      <c r="O869" s="172"/>
      <c r="P869" s="172"/>
      <c r="Q869" s="172"/>
      <c r="R869" s="172"/>
      <c r="S869" s="172"/>
      <c r="T869" s="172"/>
      <c r="U869" s="172"/>
      <c r="V869" s="172"/>
      <c r="W869" s="172"/>
      <c r="X869" s="172"/>
      <c r="Y869" s="172"/>
      <c r="Z869" s="172"/>
    </row>
    <row r="870">
      <c r="A870" s="172"/>
      <c r="B870" s="172"/>
      <c r="C870" s="172"/>
      <c r="D870" s="172"/>
      <c r="E870" s="172"/>
      <c r="F870" s="172"/>
      <c r="G870" s="172"/>
      <c r="H870" s="172"/>
      <c r="I870" s="172"/>
      <c r="J870" s="172"/>
      <c r="K870" s="172"/>
      <c r="L870" s="172"/>
      <c r="M870" s="172"/>
      <c r="N870" s="172"/>
      <c r="O870" s="172"/>
      <c r="P870" s="172"/>
      <c r="Q870" s="172"/>
      <c r="R870" s="172"/>
      <c r="S870" s="172"/>
      <c r="T870" s="172"/>
      <c r="U870" s="172"/>
      <c r="V870" s="172"/>
      <c r="W870" s="172"/>
      <c r="X870" s="172"/>
      <c r="Y870" s="172"/>
      <c r="Z870" s="172"/>
    </row>
    <row r="871">
      <c r="A871" s="172"/>
      <c r="B871" s="172"/>
      <c r="C871" s="172"/>
      <c r="D871" s="172"/>
      <c r="E871" s="172"/>
      <c r="F871" s="172"/>
      <c r="G871" s="172"/>
      <c r="H871" s="172"/>
      <c r="I871" s="172"/>
      <c r="J871" s="172"/>
      <c r="K871" s="172"/>
      <c r="L871" s="172"/>
      <c r="M871" s="172"/>
      <c r="N871" s="172"/>
      <c r="O871" s="172"/>
      <c r="P871" s="172"/>
      <c r="Q871" s="172"/>
      <c r="R871" s="172"/>
      <c r="S871" s="172"/>
      <c r="T871" s="172"/>
      <c r="U871" s="172"/>
      <c r="V871" s="172"/>
      <c r="W871" s="172"/>
      <c r="X871" s="172"/>
      <c r="Y871" s="172"/>
      <c r="Z871" s="172"/>
    </row>
    <row r="872">
      <c r="A872" s="172"/>
      <c r="B872" s="172"/>
      <c r="C872" s="172"/>
      <c r="D872" s="172"/>
      <c r="E872" s="172"/>
      <c r="F872" s="172"/>
      <c r="G872" s="172"/>
      <c r="H872" s="172"/>
      <c r="I872" s="172"/>
      <c r="J872" s="172"/>
      <c r="K872" s="172"/>
      <c r="L872" s="172"/>
      <c r="M872" s="172"/>
      <c r="N872" s="172"/>
      <c r="O872" s="172"/>
      <c r="P872" s="172"/>
      <c r="Q872" s="172"/>
      <c r="R872" s="172"/>
      <c r="S872" s="172"/>
      <c r="T872" s="172"/>
      <c r="U872" s="172"/>
      <c r="V872" s="172"/>
      <c r="W872" s="172"/>
      <c r="X872" s="172"/>
      <c r="Y872" s="172"/>
      <c r="Z872" s="172"/>
    </row>
    <row r="873">
      <c r="A873" s="172"/>
      <c r="B873" s="172"/>
      <c r="C873" s="172"/>
      <c r="D873" s="172"/>
      <c r="E873" s="172"/>
      <c r="F873" s="172"/>
      <c r="G873" s="172"/>
      <c r="H873" s="172"/>
      <c r="I873" s="172"/>
      <c r="J873" s="172"/>
      <c r="K873" s="172"/>
      <c r="L873" s="172"/>
      <c r="M873" s="172"/>
      <c r="N873" s="172"/>
      <c r="O873" s="172"/>
      <c r="P873" s="172"/>
      <c r="Q873" s="172"/>
      <c r="R873" s="172"/>
      <c r="S873" s="172"/>
      <c r="T873" s="172"/>
      <c r="U873" s="172"/>
      <c r="V873" s="172"/>
      <c r="W873" s="172"/>
      <c r="X873" s="172"/>
      <c r="Y873" s="172"/>
      <c r="Z873" s="172"/>
    </row>
    <row r="874">
      <c r="A874" s="172"/>
      <c r="B874" s="172"/>
      <c r="C874" s="172"/>
      <c r="D874" s="172"/>
      <c r="E874" s="172"/>
      <c r="F874" s="172"/>
      <c r="G874" s="172"/>
      <c r="H874" s="172"/>
      <c r="I874" s="172"/>
      <c r="J874" s="172"/>
      <c r="K874" s="172"/>
      <c r="L874" s="172"/>
      <c r="M874" s="172"/>
      <c r="N874" s="172"/>
      <c r="O874" s="172"/>
      <c r="P874" s="172"/>
      <c r="Q874" s="172"/>
      <c r="R874" s="172"/>
      <c r="S874" s="172"/>
      <c r="T874" s="172"/>
      <c r="U874" s="172"/>
      <c r="V874" s="172"/>
      <c r="W874" s="172"/>
      <c r="X874" s="172"/>
      <c r="Y874" s="172"/>
      <c r="Z874" s="172"/>
    </row>
    <row r="875">
      <c r="A875" s="172"/>
      <c r="B875" s="172"/>
      <c r="C875" s="172"/>
      <c r="D875" s="172"/>
      <c r="E875" s="172"/>
      <c r="F875" s="172"/>
      <c r="G875" s="172"/>
      <c r="H875" s="172"/>
      <c r="I875" s="172"/>
      <c r="J875" s="172"/>
      <c r="K875" s="172"/>
      <c r="L875" s="172"/>
      <c r="M875" s="172"/>
      <c r="N875" s="172"/>
      <c r="O875" s="172"/>
      <c r="P875" s="172"/>
      <c r="Q875" s="172"/>
      <c r="R875" s="172"/>
      <c r="S875" s="172"/>
      <c r="T875" s="172"/>
      <c r="U875" s="172"/>
      <c r="V875" s="172"/>
      <c r="W875" s="172"/>
      <c r="X875" s="172"/>
      <c r="Y875" s="172"/>
      <c r="Z875" s="172"/>
    </row>
    <row r="876">
      <c r="A876" s="172"/>
      <c r="B876" s="172"/>
      <c r="C876" s="172"/>
      <c r="D876" s="172"/>
      <c r="E876" s="172"/>
      <c r="F876" s="172"/>
      <c r="G876" s="172"/>
      <c r="H876" s="172"/>
      <c r="I876" s="172"/>
      <c r="J876" s="172"/>
      <c r="K876" s="172"/>
      <c r="L876" s="172"/>
      <c r="M876" s="172"/>
      <c r="N876" s="172"/>
      <c r="O876" s="172"/>
      <c r="P876" s="172"/>
      <c r="Q876" s="172"/>
      <c r="R876" s="172"/>
      <c r="S876" s="172"/>
      <c r="T876" s="172"/>
      <c r="U876" s="172"/>
      <c r="V876" s="172"/>
      <c r="W876" s="172"/>
      <c r="X876" s="172"/>
      <c r="Y876" s="172"/>
      <c r="Z876" s="172"/>
    </row>
    <row r="877">
      <c r="A877" s="172"/>
      <c r="B877" s="172"/>
      <c r="C877" s="172"/>
      <c r="D877" s="172"/>
      <c r="E877" s="172"/>
      <c r="F877" s="172"/>
      <c r="G877" s="172"/>
      <c r="H877" s="172"/>
      <c r="I877" s="172"/>
      <c r="J877" s="172"/>
      <c r="K877" s="172"/>
      <c r="L877" s="172"/>
      <c r="M877" s="172"/>
      <c r="N877" s="172"/>
      <c r="O877" s="172"/>
      <c r="P877" s="172"/>
      <c r="Q877" s="172"/>
      <c r="R877" s="172"/>
      <c r="S877" s="172"/>
      <c r="T877" s="172"/>
      <c r="U877" s="172"/>
      <c r="V877" s="172"/>
      <c r="W877" s="172"/>
      <c r="X877" s="172"/>
      <c r="Y877" s="172"/>
      <c r="Z877" s="172"/>
    </row>
    <row r="878">
      <c r="A878" s="172"/>
      <c r="B878" s="172"/>
      <c r="C878" s="172"/>
      <c r="D878" s="172"/>
      <c r="E878" s="172"/>
      <c r="F878" s="172"/>
      <c r="G878" s="172"/>
      <c r="H878" s="172"/>
      <c r="I878" s="172"/>
      <c r="J878" s="172"/>
      <c r="K878" s="172"/>
      <c r="L878" s="172"/>
      <c r="M878" s="172"/>
      <c r="N878" s="172"/>
      <c r="O878" s="172"/>
      <c r="P878" s="172"/>
      <c r="Q878" s="172"/>
      <c r="R878" s="172"/>
      <c r="S878" s="172"/>
      <c r="T878" s="172"/>
      <c r="U878" s="172"/>
      <c r="V878" s="172"/>
      <c r="W878" s="172"/>
      <c r="X878" s="172"/>
      <c r="Y878" s="172"/>
      <c r="Z878" s="172"/>
    </row>
    <row r="879">
      <c r="A879" s="172"/>
      <c r="B879" s="172"/>
      <c r="C879" s="172"/>
      <c r="D879" s="172"/>
      <c r="E879" s="172"/>
      <c r="F879" s="172"/>
      <c r="G879" s="172"/>
      <c r="H879" s="172"/>
      <c r="I879" s="172"/>
      <c r="J879" s="172"/>
      <c r="K879" s="172"/>
      <c r="L879" s="172"/>
      <c r="M879" s="172"/>
      <c r="N879" s="172"/>
      <c r="O879" s="172"/>
      <c r="P879" s="172"/>
      <c r="Q879" s="172"/>
      <c r="R879" s="172"/>
      <c r="S879" s="172"/>
      <c r="T879" s="172"/>
      <c r="U879" s="172"/>
      <c r="V879" s="172"/>
      <c r="W879" s="172"/>
      <c r="X879" s="172"/>
      <c r="Y879" s="172"/>
      <c r="Z879" s="172"/>
    </row>
    <row r="880">
      <c r="A880" s="172"/>
      <c r="B880" s="172"/>
      <c r="C880" s="172"/>
      <c r="D880" s="172"/>
      <c r="E880" s="172"/>
      <c r="F880" s="172"/>
      <c r="G880" s="172"/>
      <c r="H880" s="172"/>
      <c r="I880" s="172"/>
      <c r="J880" s="172"/>
      <c r="K880" s="172"/>
      <c r="L880" s="172"/>
      <c r="M880" s="172"/>
      <c r="N880" s="172"/>
      <c r="O880" s="172"/>
      <c r="P880" s="172"/>
      <c r="Q880" s="172"/>
      <c r="R880" s="172"/>
      <c r="S880" s="172"/>
      <c r="T880" s="172"/>
      <c r="U880" s="172"/>
      <c r="V880" s="172"/>
      <c r="W880" s="172"/>
      <c r="X880" s="172"/>
      <c r="Y880" s="172"/>
      <c r="Z880" s="172"/>
    </row>
    <row r="881">
      <c r="A881" s="172"/>
      <c r="B881" s="172"/>
      <c r="C881" s="172"/>
      <c r="D881" s="172"/>
      <c r="E881" s="172"/>
      <c r="F881" s="172"/>
      <c r="G881" s="172"/>
      <c r="H881" s="172"/>
      <c r="I881" s="172"/>
      <c r="J881" s="172"/>
      <c r="K881" s="172"/>
      <c r="L881" s="172"/>
      <c r="M881" s="172"/>
      <c r="N881" s="172"/>
      <c r="O881" s="172"/>
      <c r="P881" s="172"/>
      <c r="Q881" s="172"/>
      <c r="R881" s="172"/>
      <c r="S881" s="172"/>
      <c r="T881" s="172"/>
      <c r="U881" s="172"/>
      <c r="V881" s="172"/>
      <c r="W881" s="172"/>
      <c r="X881" s="172"/>
      <c r="Y881" s="172"/>
      <c r="Z881" s="172"/>
    </row>
    <row r="882">
      <c r="A882" s="172"/>
      <c r="B882" s="172"/>
      <c r="C882" s="172"/>
      <c r="D882" s="172"/>
      <c r="E882" s="172"/>
      <c r="F882" s="172"/>
      <c r="G882" s="172"/>
      <c r="H882" s="172"/>
      <c r="I882" s="172"/>
      <c r="J882" s="172"/>
      <c r="K882" s="172"/>
      <c r="L882" s="172"/>
      <c r="M882" s="172"/>
      <c r="N882" s="172"/>
      <c r="O882" s="172"/>
      <c r="P882" s="172"/>
      <c r="Q882" s="172"/>
      <c r="R882" s="172"/>
      <c r="S882" s="172"/>
      <c r="T882" s="172"/>
      <c r="U882" s="172"/>
      <c r="V882" s="172"/>
      <c r="W882" s="172"/>
      <c r="X882" s="172"/>
      <c r="Y882" s="172"/>
      <c r="Z882" s="172"/>
    </row>
    <row r="883">
      <c r="A883" s="172"/>
      <c r="B883" s="172"/>
      <c r="C883" s="172"/>
      <c r="D883" s="172"/>
      <c r="E883" s="172"/>
      <c r="F883" s="172"/>
      <c r="G883" s="172"/>
      <c r="H883" s="172"/>
      <c r="I883" s="172"/>
      <c r="J883" s="172"/>
      <c r="K883" s="172"/>
      <c r="L883" s="172"/>
      <c r="M883" s="172"/>
      <c r="N883" s="172"/>
      <c r="O883" s="172"/>
      <c r="P883" s="172"/>
      <c r="Q883" s="172"/>
      <c r="R883" s="172"/>
      <c r="S883" s="172"/>
      <c r="T883" s="172"/>
      <c r="U883" s="172"/>
      <c r="V883" s="172"/>
      <c r="W883" s="172"/>
      <c r="X883" s="172"/>
      <c r="Y883" s="172"/>
      <c r="Z883" s="172"/>
    </row>
    <row r="884">
      <c r="A884" s="172"/>
      <c r="B884" s="172"/>
      <c r="C884" s="172"/>
      <c r="D884" s="172"/>
      <c r="E884" s="172"/>
      <c r="F884" s="172"/>
      <c r="G884" s="172"/>
      <c r="H884" s="172"/>
      <c r="I884" s="172"/>
      <c r="J884" s="172"/>
      <c r="K884" s="172"/>
      <c r="L884" s="172"/>
      <c r="M884" s="172"/>
      <c r="N884" s="172"/>
      <c r="O884" s="172"/>
      <c r="P884" s="172"/>
      <c r="Q884" s="172"/>
      <c r="R884" s="172"/>
      <c r="S884" s="172"/>
      <c r="T884" s="172"/>
      <c r="U884" s="172"/>
      <c r="V884" s="172"/>
      <c r="W884" s="172"/>
      <c r="X884" s="172"/>
      <c r="Y884" s="172"/>
      <c r="Z884" s="172"/>
    </row>
    <row r="885">
      <c r="A885" s="172"/>
      <c r="B885" s="172"/>
      <c r="C885" s="172"/>
      <c r="D885" s="172"/>
      <c r="E885" s="172"/>
      <c r="F885" s="172"/>
      <c r="G885" s="172"/>
      <c r="H885" s="172"/>
      <c r="I885" s="172"/>
      <c r="J885" s="172"/>
      <c r="K885" s="172"/>
      <c r="L885" s="172"/>
      <c r="M885" s="172"/>
      <c r="N885" s="172"/>
      <c r="O885" s="172"/>
      <c r="P885" s="172"/>
      <c r="Q885" s="172"/>
      <c r="R885" s="172"/>
      <c r="S885" s="172"/>
      <c r="T885" s="172"/>
      <c r="U885" s="172"/>
      <c r="V885" s="172"/>
      <c r="W885" s="172"/>
      <c r="X885" s="172"/>
      <c r="Y885" s="172"/>
      <c r="Z885" s="172"/>
    </row>
    <row r="886">
      <c r="A886" s="172"/>
      <c r="B886" s="172"/>
      <c r="C886" s="172"/>
      <c r="D886" s="172"/>
      <c r="E886" s="172"/>
      <c r="F886" s="172"/>
      <c r="G886" s="172"/>
      <c r="H886" s="172"/>
      <c r="I886" s="172"/>
      <c r="J886" s="172"/>
      <c r="K886" s="172"/>
      <c r="L886" s="172"/>
      <c r="M886" s="172"/>
      <c r="N886" s="172"/>
      <c r="O886" s="172"/>
      <c r="P886" s="172"/>
      <c r="Q886" s="172"/>
      <c r="R886" s="172"/>
      <c r="S886" s="172"/>
      <c r="T886" s="172"/>
      <c r="U886" s="172"/>
      <c r="V886" s="172"/>
      <c r="W886" s="172"/>
      <c r="X886" s="172"/>
      <c r="Y886" s="172"/>
      <c r="Z886" s="172"/>
    </row>
    <row r="887">
      <c r="A887" s="172"/>
      <c r="B887" s="172"/>
      <c r="C887" s="172"/>
      <c r="D887" s="172"/>
      <c r="E887" s="172"/>
      <c r="F887" s="172"/>
      <c r="G887" s="172"/>
      <c r="H887" s="172"/>
      <c r="I887" s="172"/>
      <c r="J887" s="172"/>
      <c r="K887" s="172"/>
      <c r="L887" s="172"/>
      <c r="M887" s="172"/>
      <c r="N887" s="172"/>
      <c r="O887" s="172"/>
      <c r="P887" s="172"/>
      <c r="Q887" s="172"/>
      <c r="R887" s="172"/>
      <c r="S887" s="172"/>
      <c r="T887" s="172"/>
      <c r="U887" s="172"/>
      <c r="V887" s="172"/>
      <c r="W887" s="172"/>
      <c r="X887" s="172"/>
      <c r="Y887" s="172"/>
      <c r="Z887" s="172"/>
    </row>
    <row r="888">
      <c r="A888" s="172"/>
      <c r="B888" s="172"/>
      <c r="C888" s="172"/>
      <c r="D888" s="172"/>
      <c r="E888" s="172"/>
      <c r="F888" s="172"/>
      <c r="G888" s="172"/>
      <c r="H888" s="172"/>
      <c r="I888" s="172"/>
      <c r="J888" s="172"/>
      <c r="K888" s="172"/>
      <c r="L888" s="172"/>
      <c r="M888" s="172"/>
      <c r="N888" s="172"/>
      <c r="O888" s="172"/>
      <c r="P888" s="172"/>
      <c r="Q888" s="172"/>
      <c r="R888" s="172"/>
      <c r="S888" s="172"/>
      <c r="T888" s="172"/>
      <c r="U888" s="172"/>
      <c r="V888" s="172"/>
      <c r="W888" s="172"/>
      <c r="X888" s="172"/>
      <c r="Y888" s="172"/>
      <c r="Z888" s="172"/>
    </row>
    <row r="889">
      <c r="A889" s="172"/>
      <c r="B889" s="172"/>
      <c r="C889" s="172"/>
      <c r="D889" s="172"/>
      <c r="E889" s="172"/>
      <c r="F889" s="172"/>
      <c r="G889" s="172"/>
      <c r="H889" s="172"/>
      <c r="I889" s="172"/>
      <c r="J889" s="172"/>
      <c r="K889" s="172"/>
      <c r="L889" s="172"/>
      <c r="M889" s="172"/>
      <c r="N889" s="172"/>
      <c r="O889" s="172"/>
      <c r="P889" s="172"/>
      <c r="Q889" s="172"/>
      <c r="R889" s="172"/>
      <c r="S889" s="172"/>
      <c r="T889" s="172"/>
      <c r="U889" s="172"/>
      <c r="V889" s="172"/>
      <c r="W889" s="172"/>
      <c r="X889" s="172"/>
      <c r="Y889" s="172"/>
      <c r="Z889" s="172"/>
    </row>
    <row r="890">
      <c r="A890" s="172"/>
      <c r="B890" s="172"/>
      <c r="C890" s="172"/>
      <c r="D890" s="172"/>
      <c r="E890" s="172"/>
      <c r="F890" s="172"/>
      <c r="G890" s="172"/>
      <c r="H890" s="172"/>
      <c r="I890" s="172"/>
      <c r="J890" s="172"/>
      <c r="K890" s="172"/>
      <c r="L890" s="172"/>
      <c r="M890" s="172"/>
      <c r="N890" s="172"/>
      <c r="O890" s="172"/>
      <c r="P890" s="172"/>
      <c r="Q890" s="172"/>
      <c r="R890" s="172"/>
      <c r="S890" s="172"/>
      <c r="T890" s="172"/>
      <c r="U890" s="172"/>
      <c r="V890" s="172"/>
      <c r="W890" s="172"/>
      <c r="X890" s="172"/>
      <c r="Y890" s="172"/>
      <c r="Z890" s="172"/>
    </row>
    <row r="891">
      <c r="A891" s="172"/>
      <c r="B891" s="172"/>
      <c r="C891" s="172"/>
      <c r="D891" s="172"/>
      <c r="E891" s="172"/>
      <c r="F891" s="172"/>
      <c r="G891" s="172"/>
      <c r="H891" s="172"/>
      <c r="I891" s="172"/>
      <c r="J891" s="172"/>
      <c r="K891" s="172"/>
      <c r="L891" s="172"/>
      <c r="M891" s="172"/>
      <c r="N891" s="172"/>
      <c r="O891" s="172"/>
      <c r="P891" s="172"/>
      <c r="Q891" s="172"/>
      <c r="R891" s="172"/>
      <c r="S891" s="172"/>
      <c r="T891" s="172"/>
      <c r="U891" s="172"/>
      <c r="V891" s="172"/>
      <c r="W891" s="172"/>
      <c r="X891" s="172"/>
      <c r="Y891" s="172"/>
      <c r="Z891" s="172"/>
    </row>
    <row r="892">
      <c r="A892" s="172"/>
      <c r="B892" s="172"/>
      <c r="C892" s="172"/>
      <c r="D892" s="172"/>
      <c r="E892" s="172"/>
      <c r="F892" s="172"/>
      <c r="G892" s="172"/>
      <c r="H892" s="172"/>
      <c r="I892" s="172"/>
      <c r="J892" s="172"/>
      <c r="K892" s="172"/>
      <c r="L892" s="172"/>
      <c r="M892" s="172"/>
      <c r="N892" s="172"/>
      <c r="O892" s="172"/>
      <c r="P892" s="172"/>
      <c r="Q892" s="172"/>
      <c r="R892" s="172"/>
      <c r="S892" s="172"/>
      <c r="T892" s="172"/>
      <c r="U892" s="172"/>
      <c r="V892" s="172"/>
      <c r="W892" s="172"/>
      <c r="X892" s="172"/>
      <c r="Y892" s="172"/>
      <c r="Z892" s="172"/>
    </row>
    <row r="893">
      <c r="A893" s="172"/>
      <c r="B893" s="172"/>
      <c r="C893" s="172"/>
      <c r="D893" s="172"/>
      <c r="E893" s="172"/>
      <c r="F893" s="172"/>
      <c r="G893" s="172"/>
      <c r="H893" s="172"/>
      <c r="I893" s="172"/>
      <c r="J893" s="172"/>
      <c r="K893" s="172"/>
      <c r="L893" s="172"/>
      <c r="M893" s="172"/>
      <c r="N893" s="172"/>
      <c r="O893" s="172"/>
      <c r="P893" s="172"/>
      <c r="Q893" s="172"/>
      <c r="R893" s="172"/>
      <c r="S893" s="172"/>
      <c r="T893" s="172"/>
      <c r="U893" s="172"/>
      <c r="V893" s="172"/>
      <c r="W893" s="172"/>
      <c r="X893" s="172"/>
      <c r="Y893" s="172"/>
      <c r="Z893" s="172"/>
    </row>
    <row r="894">
      <c r="A894" s="172"/>
      <c r="B894" s="172"/>
      <c r="C894" s="172"/>
      <c r="D894" s="172"/>
      <c r="E894" s="172"/>
      <c r="F894" s="172"/>
      <c r="G894" s="172"/>
      <c r="H894" s="172"/>
      <c r="I894" s="172"/>
      <c r="J894" s="172"/>
      <c r="K894" s="172"/>
      <c r="L894" s="172"/>
      <c r="M894" s="172"/>
      <c r="N894" s="172"/>
      <c r="O894" s="172"/>
      <c r="P894" s="172"/>
      <c r="Q894" s="172"/>
      <c r="R894" s="172"/>
      <c r="S894" s="172"/>
      <c r="T894" s="172"/>
      <c r="U894" s="172"/>
      <c r="V894" s="172"/>
      <c r="W894" s="172"/>
      <c r="X894" s="172"/>
      <c r="Y894" s="172"/>
      <c r="Z894" s="172"/>
    </row>
    <row r="895">
      <c r="A895" s="172"/>
      <c r="B895" s="172"/>
      <c r="C895" s="172"/>
      <c r="D895" s="172"/>
      <c r="E895" s="172"/>
      <c r="F895" s="172"/>
      <c r="G895" s="172"/>
      <c r="H895" s="172"/>
      <c r="I895" s="172"/>
      <c r="J895" s="172"/>
      <c r="K895" s="172"/>
      <c r="L895" s="172"/>
      <c r="M895" s="172"/>
      <c r="N895" s="172"/>
      <c r="O895" s="172"/>
      <c r="P895" s="172"/>
      <c r="Q895" s="172"/>
      <c r="R895" s="172"/>
      <c r="S895" s="172"/>
      <c r="T895" s="172"/>
      <c r="U895" s="172"/>
      <c r="V895" s="172"/>
      <c r="W895" s="172"/>
      <c r="X895" s="172"/>
      <c r="Y895" s="172"/>
      <c r="Z895" s="172"/>
    </row>
    <row r="896">
      <c r="A896" s="172"/>
      <c r="B896" s="172"/>
      <c r="C896" s="172"/>
      <c r="D896" s="172"/>
      <c r="E896" s="172"/>
      <c r="F896" s="172"/>
      <c r="G896" s="172"/>
      <c r="H896" s="172"/>
      <c r="I896" s="172"/>
      <c r="J896" s="172"/>
      <c r="K896" s="172"/>
      <c r="L896" s="172"/>
      <c r="M896" s="172"/>
      <c r="N896" s="172"/>
      <c r="O896" s="172"/>
      <c r="P896" s="172"/>
      <c r="Q896" s="172"/>
      <c r="R896" s="172"/>
      <c r="S896" s="172"/>
      <c r="T896" s="172"/>
      <c r="U896" s="172"/>
      <c r="V896" s="172"/>
      <c r="W896" s="172"/>
      <c r="X896" s="172"/>
      <c r="Y896" s="172"/>
      <c r="Z896" s="172"/>
    </row>
    <row r="897">
      <c r="A897" s="172"/>
      <c r="B897" s="172"/>
      <c r="C897" s="172"/>
      <c r="D897" s="172"/>
      <c r="E897" s="172"/>
      <c r="F897" s="172"/>
      <c r="G897" s="172"/>
      <c r="H897" s="172"/>
      <c r="I897" s="172"/>
      <c r="J897" s="172"/>
      <c r="K897" s="172"/>
      <c r="L897" s="172"/>
      <c r="M897" s="172"/>
      <c r="N897" s="172"/>
      <c r="O897" s="172"/>
      <c r="P897" s="172"/>
      <c r="Q897" s="172"/>
      <c r="R897" s="172"/>
      <c r="S897" s="172"/>
      <c r="T897" s="172"/>
      <c r="U897" s="172"/>
      <c r="V897" s="172"/>
      <c r="W897" s="172"/>
      <c r="X897" s="172"/>
      <c r="Y897" s="172"/>
      <c r="Z897" s="172"/>
    </row>
    <row r="898">
      <c r="A898" s="172"/>
      <c r="B898" s="172"/>
      <c r="C898" s="172"/>
      <c r="D898" s="172"/>
      <c r="E898" s="172"/>
      <c r="F898" s="172"/>
      <c r="G898" s="172"/>
      <c r="H898" s="172"/>
      <c r="I898" s="172"/>
      <c r="J898" s="172"/>
      <c r="K898" s="172"/>
      <c r="L898" s="172"/>
      <c r="M898" s="172"/>
      <c r="N898" s="172"/>
      <c r="O898" s="172"/>
      <c r="P898" s="172"/>
      <c r="Q898" s="172"/>
      <c r="R898" s="172"/>
      <c r="S898" s="172"/>
      <c r="T898" s="172"/>
      <c r="U898" s="172"/>
      <c r="V898" s="172"/>
      <c r="W898" s="172"/>
      <c r="X898" s="172"/>
      <c r="Y898" s="172"/>
      <c r="Z898" s="172"/>
    </row>
    <row r="899">
      <c r="A899" s="172"/>
      <c r="B899" s="172"/>
      <c r="C899" s="172"/>
      <c r="D899" s="172"/>
      <c r="E899" s="172"/>
      <c r="F899" s="172"/>
      <c r="G899" s="172"/>
      <c r="H899" s="172"/>
      <c r="I899" s="172"/>
      <c r="J899" s="172"/>
      <c r="K899" s="172"/>
      <c r="L899" s="172"/>
      <c r="M899" s="172"/>
      <c r="N899" s="172"/>
      <c r="O899" s="172"/>
      <c r="P899" s="172"/>
      <c r="Q899" s="172"/>
      <c r="R899" s="172"/>
      <c r="S899" s="172"/>
      <c r="T899" s="172"/>
      <c r="U899" s="172"/>
      <c r="V899" s="172"/>
      <c r="W899" s="172"/>
      <c r="X899" s="172"/>
      <c r="Y899" s="172"/>
      <c r="Z899" s="172"/>
    </row>
    <row r="900">
      <c r="A900" s="172"/>
      <c r="B900" s="172"/>
      <c r="C900" s="172"/>
      <c r="D900" s="172"/>
      <c r="E900" s="172"/>
      <c r="F900" s="172"/>
      <c r="G900" s="172"/>
      <c r="H900" s="172"/>
      <c r="I900" s="172"/>
      <c r="J900" s="172"/>
      <c r="K900" s="172"/>
      <c r="L900" s="172"/>
      <c r="M900" s="172"/>
      <c r="N900" s="172"/>
      <c r="O900" s="172"/>
      <c r="P900" s="172"/>
      <c r="Q900" s="172"/>
      <c r="R900" s="172"/>
      <c r="S900" s="172"/>
      <c r="T900" s="172"/>
      <c r="U900" s="172"/>
      <c r="V900" s="172"/>
      <c r="W900" s="172"/>
      <c r="X900" s="172"/>
      <c r="Y900" s="172"/>
      <c r="Z900" s="172"/>
    </row>
    <row r="901">
      <c r="A901" s="172"/>
      <c r="B901" s="172"/>
      <c r="C901" s="172"/>
      <c r="D901" s="172"/>
      <c r="E901" s="172"/>
      <c r="F901" s="172"/>
      <c r="G901" s="172"/>
      <c r="H901" s="172"/>
      <c r="I901" s="172"/>
      <c r="J901" s="172"/>
      <c r="K901" s="172"/>
      <c r="L901" s="172"/>
      <c r="M901" s="172"/>
      <c r="N901" s="172"/>
      <c r="O901" s="172"/>
      <c r="P901" s="172"/>
      <c r="Q901" s="172"/>
      <c r="R901" s="172"/>
      <c r="S901" s="172"/>
      <c r="T901" s="172"/>
      <c r="U901" s="172"/>
      <c r="V901" s="172"/>
      <c r="W901" s="172"/>
      <c r="X901" s="172"/>
      <c r="Y901" s="172"/>
      <c r="Z901" s="172"/>
    </row>
    <row r="902">
      <c r="A902" s="172"/>
      <c r="B902" s="172"/>
      <c r="C902" s="172"/>
      <c r="D902" s="172"/>
      <c r="E902" s="172"/>
      <c r="F902" s="172"/>
      <c r="G902" s="172"/>
      <c r="H902" s="172"/>
      <c r="I902" s="172"/>
      <c r="J902" s="172"/>
      <c r="K902" s="172"/>
      <c r="L902" s="172"/>
      <c r="M902" s="172"/>
      <c r="N902" s="172"/>
      <c r="O902" s="172"/>
      <c r="P902" s="172"/>
      <c r="Q902" s="172"/>
      <c r="R902" s="172"/>
      <c r="S902" s="172"/>
      <c r="T902" s="172"/>
      <c r="U902" s="172"/>
      <c r="V902" s="172"/>
      <c r="W902" s="172"/>
      <c r="X902" s="172"/>
      <c r="Y902" s="172"/>
      <c r="Z902" s="172"/>
    </row>
    <row r="903">
      <c r="A903" s="172"/>
      <c r="B903" s="172"/>
      <c r="C903" s="172"/>
      <c r="D903" s="172"/>
      <c r="E903" s="172"/>
      <c r="F903" s="172"/>
      <c r="G903" s="172"/>
      <c r="H903" s="172"/>
      <c r="I903" s="172"/>
      <c r="J903" s="172"/>
      <c r="K903" s="172"/>
      <c r="L903" s="172"/>
      <c r="M903" s="172"/>
      <c r="N903" s="172"/>
      <c r="O903" s="172"/>
      <c r="P903" s="172"/>
      <c r="Q903" s="172"/>
      <c r="R903" s="172"/>
      <c r="S903" s="172"/>
      <c r="T903" s="172"/>
      <c r="U903" s="172"/>
      <c r="V903" s="172"/>
      <c r="W903" s="172"/>
      <c r="X903" s="172"/>
      <c r="Y903" s="172"/>
      <c r="Z903" s="172"/>
    </row>
    <row r="904">
      <c r="A904" s="172"/>
      <c r="B904" s="172"/>
      <c r="C904" s="172"/>
      <c r="D904" s="172"/>
      <c r="E904" s="172"/>
      <c r="F904" s="172"/>
      <c r="G904" s="172"/>
      <c r="H904" s="172"/>
      <c r="I904" s="172"/>
      <c r="J904" s="172"/>
      <c r="K904" s="172"/>
      <c r="L904" s="172"/>
      <c r="M904" s="172"/>
      <c r="N904" s="172"/>
      <c r="O904" s="172"/>
      <c r="P904" s="172"/>
      <c r="Q904" s="172"/>
      <c r="R904" s="172"/>
      <c r="S904" s="172"/>
      <c r="T904" s="172"/>
      <c r="U904" s="172"/>
      <c r="V904" s="172"/>
      <c r="W904" s="172"/>
      <c r="X904" s="172"/>
      <c r="Y904" s="172"/>
      <c r="Z904" s="172"/>
    </row>
    <row r="905">
      <c r="A905" s="172"/>
      <c r="B905" s="172"/>
      <c r="C905" s="172"/>
      <c r="D905" s="172"/>
      <c r="E905" s="172"/>
      <c r="F905" s="172"/>
      <c r="G905" s="172"/>
      <c r="H905" s="172"/>
      <c r="I905" s="172"/>
      <c r="J905" s="172"/>
      <c r="K905" s="172"/>
      <c r="L905" s="172"/>
      <c r="M905" s="172"/>
      <c r="N905" s="172"/>
      <c r="O905" s="172"/>
      <c r="P905" s="172"/>
      <c r="Q905" s="172"/>
      <c r="R905" s="172"/>
      <c r="S905" s="172"/>
      <c r="T905" s="172"/>
      <c r="U905" s="172"/>
      <c r="V905" s="172"/>
      <c r="W905" s="172"/>
      <c r="X905" s="172"/>
      <c r="Y905" s="172"/>
      <c r="Z905" s="172"/>
    </row>
    <row r="906">
      <c r="A906" s="172"/>
      <c r="B906" s="172"/>
      <c r="C906" s="172"/>
      <c r="D906" s="172"/>
      <c r="E906" s="172"/>
      <c r="F906" s="172"/>
      <c r="G906" s="172"/>
      <c r="H906" s="172"/>
      <c r="I906" s="172"/>
      <c r="J906" s="172"/>
      <c r="K906" s="172"/>
      <c r="L906" s="172"/>
      <c r="M906" s="172"/>
      <c r="N906" s="172"/>
      <c r="O906" s="172"/>
      <c r="P906" s="172"/>
      <c r="Q906" s="172"/>
      <c r="R906" s="172"/>
      <c r="S906" s="172"/>
      <c r="T906" s="172"/>
      <c r="U906" s="172"/>
      <c r="V906" s="172"/>
      <c r="W906" s="172"/>
      <c r="X906" s="172"/>
      <c r="Y906" s="172"/>
      <c r="Z906" s="172"/>
    </row>
    <row r="907">
      <c r="A907" s="172"/>
      <c r="B907" s="172"/>
      <c r="C907" s="172"/>
      <c r="D907" s="172"/>
      <c r="E907" s="172"/>
      <c r="F907" s="172"/>
      <c r="G907" s="172"/>
      <c r="H907" s="172"/>
      <c r="I907" s="172"/>
      <c r="J907" s="172"/>
      <c r="K907" s="172"/>
      <c r="L907" s="172"/>
      <c r="M907" s="172"/>
      <c r="N907" s="172"/>
      <c r="O907" s="172"/>
      <c r="P907" s="172"/>
      <c r="Q907" s="172"/>
      <c r="R907" s="172"/>
      <c r="S907" s="172"/>
      <c r="T907" s="172"/>
      <c r="U907" s="172"/>
      <c r="V907" s="172"/>
      <c r="W907" s="172"/>
      <c r="X907" s="172"/>
      <c r="Y907" s="172"/>
      <c r="Z907" s="172"/>
    </row>
    <row r="908">
      <c r="A908" s="172"/>
      <c r="B908" s="172"/>
      <c r="C908" s="172"/>
      <c r="D908" s="172"/>
      <c r="E908" s="172"/>
      <c r="F908" s="172"/>
      <c r="G908" s="172"/>
      <c r="H908" s="172"/>
      <c r="I908" s="172"/>
      <c r="J908" s="172"/>
      <c r="K908" s="172"/>
      <c r="L908" s="172"/>
      <c r="M908" s="172"/>
      <c r="N908" s="172"/>
      <c r="O908" s="172"/>
      <c r="P908" s="172"/>
      <c r="Q908" s="172"/>
      <c r="R908" s="172"/>
      <c r="S908" s="172"/>
      <c r="T908" s="172"/>
      <c r="U908" s="172"/>
      <c r="V908" s="172"/>
      <c r="W908" s="172"/>
      <c r="X908" s="172"/>
      <c r="Y908" s="172"/>
      <c r="Z908" s="172"/>
    </row>
    <row r="909">
      <c r="A909" s="172"/>
      <c r="B909" s="172"/>
      <c r="C909" s="172"/>
      <c r="D909" s="172"/>
      <c r="E909" s="172"/>
      <c r="F909" s="172"/>
      <c r="G909" s="172"/>
      <c r="H909" s="172"/>
      <c r="I909" s="172"/>
      <c r="J909" s="172"/>
      <c r="K909" s="172"/>
      <c r="L909" s="172"/>
      <c r="M909" s="172"/>
      <c r="N909" s="172"/>
      <c r="O909" s="172"/>
      <c r="P909" s="172"/>
      <c r="Q909" s="172"/>
      <c r="R909" s="172"/>
      <c r="S909" s="172"/>
      <c r="T909" s="172"/>
      <c r="U909" s="172"/>
      <c r="V909" s="172"/>
      <c r="W909" s="172"/>
      <c r="X909" s="172"/>
      <c r="Y909" s="172"/>
      <c r="Z909" s="172"/>
    </row>
    <row r="910">
      <c r="A910" s="172"/>
      <c r="B910" s="172"/>
      <c r="C910" s="172"/>
      <c r="D910" s="172"/>
      <c r="E910" s="172"/>
      <c r="F910" s="172"/>
      <c r="G910" s="172"/>
      <c r="H910" s="172"/>
      <c r="I910" s="172"/>
      <c r="J910" s="172"/>
      <c r="K910" s="172"/>
      <c r="L910" s="172"/>
      <c r="M910" s="172"/>
      <c r="N910" s="172"/>
      <c r="O910" s="172"/>
      <c r="P910" s="172"/>
      <c r="Q910" s="172"/>
      <c r="R910" s="172"/>
      <c r="S910" s="172"/>
      <c r="T910" s="172"/>
      <c r="U910" s="172"/>
      <c r="V910" s="172"/>
      <c r="W910" s="172"/>
      <c r="X910" s="172"/>
      <c r="Y910" s="172"/>
      <c r="Z910" s="172"/>
    </row>
    <row r="911">
      <c r="A911" s="172"/>
      <c r="B911" s="172"/>
      <c r="C911" s="172"/>
      <c r="D911" s="172"/>
      <c r="E911" s="172"/>
      <c r="F911" s="172"/>
      <c r="G911" s="172"/>
      <c r="H911" s="172"/>
      <c r="I911" s="172"/>
      <c r="J911" s="172"/>
      <c r="K911" s="172"/>
      <c r="L911" s="172"/>
      <c r="M911" s="172"/>
      <c r="N911" s="172"/>
      <c r="O911" s="172"/>
      <c r="P911" s="172"/>
      <c r="Q911" s="172"/>
      <c r="R911" s="172"/>
      <c r="S911" s="172"/>
      <c r="T911" s="172"/>
      <c r="U911" s="172"/>
      <c r="V911" s="172"/>
      <c r="W911" s="172"/>
      <c r="X911" s="172"/>
      <c r="Y911" s="172"/>
      <c r="Z911" s="172"/>
    </row>
    <row r="912">
      <c r="A912" s="172"/>
      <c r="B912" s="172"/>
      <c r="C912" s="172"/>
      <c r="D912" s="172"/>
      <c r="E912" s="172"/>
      <c r="F912" s="172"/>
      <c r="G912" s="172"/>
      <c r="H912" s="172"/>
      <c r="I912" s="172"/>
      <c r="J912" s="172"/>
      <c r="K912" s="172"/>
      <c r="L912" s="172"/>
      <c r="M912" s="172"/>
      <c r="N912" s="172"/>
      <c r="O912" s="172"/>
      <c r="P912" s="172"/>
      <c r="Q912" s="172"/>
      <c r="R912" s="172"/>
      <c r="S912" s="172"/>
      <c r="T912" s="172"/>
      <c r="U912" s="172"/>
      <c r="V912" s="172"/>
      <c r="W912" s="172"/>
      <c r="X912" s="172"/>
      <c r="Y912" s="172"/>
      <c r="Z912" s="172"/>
    </row>
    <row r="913">
      <c r="A913" s="172"/>
      <c r="B913" s="172"/>
      <c r="C913" s="172"/>
      <c r="D913" s="172"/>
      <c r="E913" s="172"/>
      <c r="F913" s="172"/>
      <c r="G913" s="172"/>
      <c r="H913" s="172"/>
      <c r="I913" s="172"/>
      <c r="J913" s="172"/>
      <c r="K913" s="172"/>
      <c r="L913" s="172"/>
      <c r="M913" s="172"/>
      <c r="N913" s="172"/>
      <c r="O913" s="172"/>
      <c r="P913" s="172"/>
      <c r="Q913" s="172"/>
      <c r="R913" s="172"/>
      <c r="S913" s="172"/>
      <c r="T913" s="172"/>
      <c r="U913" s="172"/>
      <c r="V913" s="172"/>
      <c r="W913" s="172"/>
      <c r="X913" s="172"/>
      <c r="Y913" s="172"/>
      <c r="Z913" s="172"/>
    </row>
    <row r="914">
      <c r="A914" s="172"/>
      <c r="B914" s="172"/>
      <c r="C914" s="172"/>
      <c r="D914" s="172"/>
      <c r="E914" s="172"/>
      <c r="F914" s="172"/>
      <c r="G914" s="172"/>
      <c r="H914" s="172"/>
      <c r="I914" s="172"/>
      <c r="J914" s="172"/>
      <c r="K914" s="172"/>
      <c r="L914" s="172"/>
      <c r="M914" s="172"/>
      <c r="N914" s="172"/>
      <c r="O914" s="172"/>
      <c r="P914" s="172"/>
      <c r="Q914" s="172"/>
      <c r="R914" s="172"/>
      <c r="S914" s="172"/>
      <c r="T914" s="172"/>
      <c r="U914" s="172"/>
      <c r="V914" s="172"/>
      <c r="W914" s="172"/>
      <c r="X914" s="172"/>
      <c r="Y914" s="172"/>
      <c r="Z914" s="172"/>
    </row>
    <row r="915">
      <c r="A915" s="172"/>
      <c r="B915" s="172"/>
      <c r="C915" s="172"/>
      <c r="D915" s="172"/>
      <c r="E915" s="172"/>
      <c r="F915" s="172"/>
      <c r="G915" s="172"/>
      <c r="H915" s="172"/>
      <c r="I915" s="172"/>
      <c r="J915" s="172"/>
      <c r="K915" s="172"/>
      <c r="L915" s="172"/>
      <c r="M915" s="172"/>
      <c r="N915" s="172"/>
      <c r="O915" s="172"/>
      <c r="P915" s="172"/>
      <c r="Q915" s="172"/>
      <c r="R915" s="172"/>
      <c r="S915" s="172"/>
      <c r="T915" s="172"/>
      <c r="U915" s="172"/>
      <c r="V915" s="172"/>
      <c r="W915" s="172"/>
      <c r="X915" s="172"/>
      <c r="Y915" s="172"/>
      <c r="Z915" s="172"/>
    </row>
    <row r="916">
      <c r="A916" s="172"/>
      <c r="B916" s="172"/>
      <c r="C916" s="172"/>
      <c r="D916" s="172"/>
      <c r="E916" s="172"/>
      <c r="F916" s="172"/>
      <c r="G916" s="172"/>
      <c r="H916" s="172"/>
      <c r="I916" s="172"/>
      <c r="J916" s="172"/>
      <c r="K916" s="172"/>
      <c r="L916" s="172"/>
      <c r="M916" s="172"/>
      <c r="N916" s="172"/>
      <c r="O916" s="172"/>
      <c r="P916" s="172"/>
      <c r="Q916" s="172"/>
      <c r="R916" s="172"/>
      <c r="S916" s="172"/>
      <c r="T916" s="172"/>
      <c r="U916" s="172"/>
      <c r="V916" s="172"/>
      <c r="W916" s="172"/>
      <c r="X916" s="172"/>
      <c r="Y916" s="172"/>
      <c r="Z916" s="172"/>
    </row>
    <row r="917">
      <c r="A917" s="172"/>
      <c r="B917" s="172"/>
      <c r="C917" s="172"/>
      <c r="D917" s="172"/>
      <c r="E917" s="172"/>
      <c r="F917" s="172"/>
      <c r="G917" s="172"/>
      <c r="H917" s="172"/>
      <c r="I917" s="172"/>
      <c r="J917" s="172"/>
      <c r="K917" s="172"/>
      <c r="L917" s="172"/>
      <c r="M917" s="172"/>
      <c r="N917" s="172"/>
      <c r="O917" s="172"/>
      <c r="P917" s="172"/>
      <c r="Q917" s="172"/>
      <c r="R917" s="172"/>
      <c r="S917" s="172"/>
      <c r="T917" s="172"/>
      <c r="U917" s="172"/>
      <c r="V917" s="172"/>
      <c r="W917" s="172"/>
      <c r="X917" s="172"/>
      <c r="Y917" s="172"/>
      <c r="Z917" s="172"/>
    </row>
    <row r="918">
      <c r="A918" s="172"/>
      <c r="B918" s="172"/>
      <c r="C918" s="172"/>
      <c r="D918" s="172"/>
      <c r="E918" s="172"/>
      <c r="F918" s="172"/>
      <c r="G918" s="172"/>
      <c r="H918" s="172"/>
      <c r="I918" s="172"/>
      <c r="J918" s="172"/>
      <c r="K918" s="172"/>
      <c r="L918" s="172"/>
      <c r="M918" s="172"/>
      <c r="N918" s="172"/>
      <c r="O918" s="172"/>
      <c r="P918" s="172"/>
      <c r="Q918" s="172"/>
      <c r="R918" s="172"/>
      <c r="S918" s="172"/>
      <c r="T918" s="172"/>
      <c r="U918" s="172"/>
      <c r="V918" s="172"/>
      <c r="W918" s="172"/>
      <c r="X918" s="172"/>
      <c r="Y918" s="172"/>
      <c r="Z918" s="172"/>
    </row>
    <row r="919">
      <c r="A919" s="172"/>
      <c r="B919" s="172"/>
      <c r="C919" s="172"/>
      <c r="D919" s="172"/>
      <c r="E919" s="172"/>
      <c r="F919" s="172"/>
      <c r="G919" s="172"/>
      <c r="H919" s="172"/>
      <c r="I919" s="172"/>
      <c r="J919" s="172"/>
      <c r="K919" s="172"/>
      <c r="L919" s="172"/>
      <c r="M919" s="172"/>
      <c r="N919" s="172"/>
      <c r="O919" s="172"/>
      <c r="P919" s="172"/>
      <c r="Q919" s="172"/>
      <c r="R919" s="172"/>
      <c r="S919" s="172"/>
      <c r="T919" s="172"/>
      <c r="U919" s="172"/>
      <c r="V919" s="172"/>
      <c r="W919" s="172"/>
      <c r="X919" s="172"/>
      <c r="Y919" s="172"/>
      <c r="Z919" s="172"/>
    </row>
    <row r="920">
      <c r="A920" s="172"/>
      <c r="B920" s="172"/>
      <c r="C920" s="172"/>
      <c r="D920" s="172"/>
      <c r="E920" s="172"/>
      <c r="F920" s="172"/>
      <c r="G920" s="172"/>
      <c r="H920" s="172"/>
      <c r="I920" s="172"/>
      <c r="J920" s="172"/>
      <c r="K920" s="172"/>
      <c r="L920" s="172"/>
      <c r="M920" s="172"/>
      <c r="N920" s="172"/>
      <c r="O920" s="172"/>
      <c r="P920" s="172"/>
      <c r="Q920" s="172"/>
      <c r="R920" s="172"/>
      <c r="S920" s="172"/>
      <c r="T920" s="172"/>
      <c r="U920" s="172"/>
      <c r="V920" s="172"/>
      <c r="W920" s="172"/>
      <c r="X920" s="172"/>
      <c r="Y920" s="172"/>
      <c r="Z920" s="172"/>
    </row>
    <row r="921">
      <c r="A921" s="172"/>
      <c r="B921" s="172"/>
      <c r="C921" s="172"/>
      <c r="D921" s="172"/>
      <c r="E921" s="172"/>
      <c r="F921" s="172"/>
      <c r="G921" s="172"/>
      <c r="H921" s="172"/>
      <c r="I921" s="172"/>
      <c r="J921" s="172"/>
      <c r="K921" s="172"/>
      <c r="L921" s="172"/>
      <c r="M921" s="172"/>
      <c r="N921" s="172"/>
      <c r="O921" s="172"/>
      <c r="P921" s="172"/>
      <c r="Q921" s="172"/>
      <c r="R921" s="172"/>
      <c r="S921" s="172"/>
      <c r="T921" s="172"/>
      <c r="U921" s="172"/>
      <c r="V921" s="172"/>
      <c r="W921" s="172"/>
      <c r="X921" s="172"/>
      <c r="Y921" s="172"/>
      <c r="Z921" s="172"/>
    </row>
    <row r="922">
      <c r="A922" s="172"/>
      <c r="B922" s="172"/>
      <c r="C922" s="172"/>
      <c r="D922" s="172"/>
      <c r="E922" s="172"/>
      <c r="F922" s="172"/>
      <c r="G922" s="172"/>
      <c r="H922" s="172"/>
      <c r="I922" s="172"/>
      <c r="J922" s="172"/>
      <c r="K922" s="172"/>
      <c r="L922" s="172"/>
      <c r="M922" s="172"/>
      <c r="N922" s="172"/>
      <c r="O922" s="172"/>
      <c r="P922" s="172"/>
      <c r="Q922" s="172"/>
      <c r="R922" s="172"/>
      <c r="S922" s="172"/>
      <c r="T922" s="172"/>
      <c r="U922" s="172"/>
      <c r="V922" s="172"/>
      <c r="W922" s="172"/>
      <c r="X922" s="172"/>
      <c r="Y922" s="172"/>
      <c r="Z922" s="172"/>
    </row>
    <row r="923">
      <c r="A923" s="172"/>
      <c r="B923" s="172"/>
      <c r="C923" s="172"/>
      <c r="D923" s="172"/>
      <c r="E923" s="172"/>
      <c r="F923" s="172"/>
      <c r="G923" s="172"/>
      <c r="H923" s="172"/>
      <c r="I923" s="172"/>
      <c r="J923" s="172"/>
      <c r="K923" s="172"/>
      <c r="L923" s="172"/>
      <c r="M923" s="172"/>
      <c r="N923" s="172"/>
      <c r="O923" s="172"/>
      <c r="P923" s="172"/>
      <c r="Q923" s="172"/>
      <c r="R923" s="172"/>
      <c r="S923" s="172"/>
      <c r="T923" s="172"/>
      <c r="U923" s="172"/>
      <c r="V923" s="172"/>
      <c r="W923" s="172"/>
      <c r="X923" s="172"/>
      <c r="Y923" s="172"/>
      <c r="Z923" s="172"/>
    </row>
    <row r="924">
      <c r="A924" s="172"/>
      <c r="B924" s="172"/>
      <c r="C924" s="172"/>
      <c r="D924" s="172"/>
      <c r="E924" s="172"/>
      <c r="F924" s="172"/>
      <c r="G924" s="172"/>
      <c r="H924" s="172"/>
      <c r="I924" s="172"/>
      <c r="J924" s="172"/>
      <c r="K924" s="172"/>
      <c r="L924" s="172"/>
      <c r="M924" s="172"/>
      <c r="N924" s="172"/>
      <c r="O924" s="172"/>
      <c r="P924" s="172"/>
      <c r="Q924" s="172"/>
      <c r="R924" s="172"/>
      <c r="S924" s="172"/>
      <c r="T924" s="172"/>
      <c r="U924" s="172"/>
      <c r="V924" s="172"/>
      <c r="W924" s="172"/>
      <c r="X924" s="172"/>
      <c r="Y924" s="172"/>
      <c r="Z924" s="172"/>
    </row>
    <row r="925">
      <c r="A925" s="172"/>
      <c r="B925" s="172"/>
      <c r="C925" s="172"/>
      <c r="D925" s="172"/>
      <c r="E925" s="172"/>
      <c r="F925" s="172"/>
      <c r="G925" s="172"/>
      <c r="H925" s="172"/>
      <c r="I925" s="172"/>
      <c r="J925" s="172"/>
      <c r="K925" s="172"/>
      <c r="L925" s="172"/>
      <c r="M925" s="172"/>
      <c r="N925" s="172"/>
      <c r="O925" s="172"/>
      <c r="P925" s="172"/>
      <c r="Q925" s="172"/>
      <c r="R925" s="172"/>
      <c r="S925" s="172"/>
      <c r="T925" s="172"/>
      <c r="U925" s="172"/>
      <c r="V925" s="172"/>
      <c r="W925" s="172"/>
      <c r="X925" s="172"/>
      <c r="Y925" s="172"/>
      <c r="Z925" s="172"/>
    </row>
    <row r="926">
      <c r="A926" s="172"/>
      <c r="B926" s="172"/>
      <c r="C926" s="172"/>
      <c r="D926" s="172"/>
      <c r="E926" s="172"/>
      <c r="F926" s="172"/>
      <c r="G926" s="172"/>
      <c r="H926" s="172"/>
      <c r="I926" s="172"/>
      <c r="J926" s="172"/>
      <c r="K926" s="172"/>
      <c r="L926" s="172"/>
      <c r="M926" s="172"/>
      <c r="N926" s="172"/>
      <c r="O926" s="172"/>
      <c r="P926" s="172"/>
      <c r="Q926" s="172"/>
      <c r="R926" s="172"/>
      <c r="S926" s="172"/>
      <c r="T926" s="172"/>
      <c r="U926" s="172"/>
      <c r="V926" s="172"/>
      <c r="W926" s="172"/>
      <c r="X926" s="172"/>
      <c r="Y926" s="172"/>
      <c r="Z926" s="172"/>
    </row>
    <row r="927">
      <c r="A927" s="172"/>
      <c r="B927" s="172"/>
      <c r="C927" s="172"/>
      <c r="D927" s="172"/>
      <c r="E927" s="172"/>
      <c r="F927" s="172"/>
      <c r="G927" s="172"/>
      <c r="H927" s="172"/>
      <c r="I927" s="172"/>
      <c r="J927" s="172"/>
      <c r="K927" s="172"/>
      <c r="L927" s="172"/>
      <c r="M927" s="172"/>
      <c r="N927" s="172"/>
      <c r="O927" s="172"/>
      <c r="P927" s="172"/>
      <c r="Q927" s="172"/>
      <c r="R927" s="172"/>
      <c r="S927" s="172"/>
      <c r="T927" s="172"/>
      <c r="U927" s="172"/>
      <c r="V927" s="172"/>
      <c r="W927" s="172"/>
      <c r="X927" s="172"/>
      <c r="Y927" s="172"/>
      <c r="Z927" s="172"/>
    </row>
    <row r="928">
      <c r="A928" s="172"/>
      <c r="B928" s="172"/>
      <c r="C928" s="172"/>
      <c r="D928" s="172"/>
      <c r="E928" s="172"/>
      <c r="F928" s="172"/>
      <c r="G928" s="172"/>
      <c r="H928" s="172"/>
      <c r="I928" s="172"/>
      <c r="J928" s="172"/>
      <c r="K928" s="172"/>
      <c r="L928" s="172"/>
      <c r="M928" s="172"/>
      <c r="N928" s="172"/>
      <c r="O928" s="172"/>
      <c r="P928" s="172"/>
      <c r="Q928" s="172"/>
      <c r="R928" s="172"/>
      <c r="S928" s="172"/>
      <c r="T928" s="172"/>
      <c r="U928" s="172"/>
      <c r="V928" s="172"/>
      <c r="W928" s="172"/>
      <c r="X928" s="172"/>
      <c r="Y928" s="172"/>
      <c r="Z928" s="172"/>
    </row>
    <row r="929">
      <c r="A929" s="172"/>
      <c r="B929" s="172"/>
      <c r="C929" s="172"/>
      <c r="D929" s="172"/>
      <c r="E929" s="172"/>
      <c r="F929" s="172"/>
      <c r="G929" s="172"/>
      <c r="H929" s="172"/>
      <c r="I929" s="172"/>
      <c r="J929" s="172"/>
      <c r="K929" s="172"/>
      <c r="L929" s="172"/>
      <c r="M929" s="172"/>
      <c r="N929" s="172"/>
      <c r="O929" s="172"/>
      <c r="P929" s="172"/>
      <c r="Q929" s="172"/>
      <c r="R929" s="172"/>
      <c r="S929" s="172"/>
      <c r="T929" s="172"/>
      <c r="U929" s="172"/>
      <c r="V929" s="172"/>
      <c r="W929" s="172"/>
      <c r="X929" s="172"/>
      <c r="Y929" s="172"/>
      <c r="Z929" s="172"/>
    </row>
    <row r="930">
      <c r="A930" s="172"/>
      <c r="B930" s="172"/>
      <c r="C930" s="172"/>
      <c r="D930" s="172"/>
      <c r="E930" s="172"/>
      <c r="F930" s="172"/>
      <c r="G930" s="172"/>
      <c r="H930" s="172"/>
      <c r="I930" s="172"/>
      <c r="J930" s="172"/>
      <c r="K930" s="172"/>
      <c r="L930" s="172"/>
      <c r="M930" s="172"/>
      <c r="N930" s="172"/>
      <c r="O930" s="172"/>
      <c r="P930" s="172"/>
      <c r="Q930" s="172"/>
      <c r="R930" s="172"/>
      <c r="S930" s="172"/>
      <c r="T930" s="172"/>
      <c r="U930" s="172"/>
      <c r="V930" s="172"/>
      <c r="W930" s="172"/>
      <c r="X930" s="172"/>
      <c r="Y930" s="172"/>
      <c r="Z930" s="172"/>
    </row>
    <row r="931">
      <c r="A931" s="172"/>
      <c r="B931" s="172"/>
      <c r="C931" s="172"/>
      <c r="D931" s="172"/>
      <c r="E931" s="172"/>
      <c r="F931" s="172"/>
      <c r="G931" s="172"/>
      <c r="H931" s="172"/>
      <c r="I931" s="172"/>
      <c r="J931" s="172"/>
      <c r="K931" s="172"/>
      <c r="L931" s="172"/>
      <c r="M931" s="172"/>
      <c r="N931" s="172"/>
      <c r="O931" s="172"/>
      <c r="P931" s="172"/>
      <c r="Q931" s="172"/>
      <c r="R931" s="172"/>
      <c r="S931" s="172"/>
      <c r="T931" s="172"/>
      <c r="U931" s="172"/>
      <c r="V931" s="172"/>
      <c r="W931" s="172"/>
      <c r="X931" s="172"/>
      <c r="Y931" s="172"/>
      <c r="Z931" s="172"/>
    </row>
    <row r="932">
      <c r="A932" s="172"/>
      <c r="B932" s="172"/>
      <c r="C932" s="172"/>
      <c r="D932" s="172"/>
      <c r="E932" s="172"/>
      <c r="F932" s="172"/>
      <c r="G932" s="172"/>
      <c r="H932" s="172"/>
      <c r="I932" s="172"/>
      <c r="J932" s="172"/>
      <c r="K932" s="172"/>
      <c r="L932" s="172"/>
      <c r="M932" s="172"/>
      <c r="N932" s="172"/>
      <c r="O932" s="172"/>
      <c r="P932" s="172"/>
      <c r="Q932" s="172"/>
      <c r="R932" s="172"/>
      <c r="S932" s="172"/>
      <c r="T932" s="172"/>
      <c r="U932" s="172"/>
      <c r="V932" s="172"/>
      <c r="W932" s="172"/>
      <c r="X932" s="172"/>
      <c r="Y932" s="172"/>
      <c r="Z932" s="172"/>
    </row>
    <row r="933">
      <c r="A933" s="172"/>
      <c r="B933" s="172"/>
      <c r="C933" s="172"/>
      <c r="D933" s="172"/>
      <c r="E933" s="172"/>
      <c r="F933" s="172"/>
      <c r="G933" s="172"/>
      <c r="H933" s="172"/>
      <c r="I933" s="172"/>
      <c r="J933" s="172"/>
      <c r="K933" s="172"/>
      <c r="L933" s="172"/>
      <c r="M933" s="172"/>
      <c r="N933" s="172"/>
      <c r="O933" s="172"/>
      <c r="P933" s="172"/>
      <c r="Q933" s="172"/>
      <c r="R933" s="172"/>
      <c r="S933" s="172"/>
      <c r="T933" s="172"/>
      <c r="U933" s="172"/>
      <c r="V933" s="172"/>
      <c r="W933" s="172"/>
      <c r="X933" s="172"/>
      <c r="Y933" s="172"/>
      <c r="Z933" s="172"/>
    </row>
    <row r="934">
      <c r="A934" s="172"/>
      <c r="B934" s="172"/>
      <c r="C934" s="172"/>
      <c r="D934" s="172"/>
      <c r="E934" s="172"/>
      <c r="F934" s="172"/>
      <c r="G934" s="172"/>
      <c r="H934" s="172"/>
      <c r="I934" s="172"/>
      <c r="J934" s="172"/>
      <c r="K934" s="172"/>
      <c r="L934" s="172"/>
      <c r="M934" s="172"/>
      <c r="N934" s="172"/>
      <c r="O934" s="172"/>
      <c r="P934" s="172"/>
      <c r="Q934" s="172"/>
      <c r="R934" s="172"/>
      <c r="S934" s="172"/>
      <c r="T934" s="172"/>
      <c r="U934" s="172"/>
      <c r="V934" s="172"/>
      <c r="W934" s="172"/>
      <c r="X934" s="172"/>
      <c r="Y934" s="172"/>
      <c r="Z934" s="172"/>
    </row>
    <row r="935">
      <c r="A935" s="172"/>
      <c r="B935" s="172"/>
      <c r="C935" s="172"/>
      <c r="D935" s="172"/>
      <c r="E935" s="172"/>
      <c r="F935" s="172"/>
      <c r="G935" s="172"/>
      <c r="H935" s="172"/>
      <c r="I935" s="172"/>
      <c r="J935" s="172"/>
      <c r="K935" s="172"/>
      <c r="L935" s="172"/>
      <c r="M935" s="172"/>
      <c r="N935" s="172"/>
      <c r="O935" s="172"/>
      <c r="P935" s="172"/>
      <c r="Q935" s="172"/>
      <c r="R935" s="172"/>
      <c r="S935" s="172"/>
      <c r="T935" s="172"/>
      <c r="U935" s="172"/>
      <c r="V935" s="172"/>
      <c r="W935" s="172"/>
      <c r="X935" s="172"/>
      <c r="Y935" s="172"/>
      <c r="Z935" s="172"/>
    </row>
    <row r="936">
      <c r="A936" s="172"/>
      <c r="B936" s="172"/>
      <c r="C936" s="172"/>
      <c r="D936" s="172"/>
      <c r="E936" s="172"/>
      <c r="F936" s="172"/>
      <c r="G936" s="172"/>
      <c r="H936" s="172"/>
      <c r="I936" s="172"/>
      <c r="J936" s="172"/>
      <c r="K936" s="172"/>
      <c r="L936" s="172"/>
      <c r="M936" s="172"/>
      <c r="N936" s="172"/>
      <c r="O936" s="172"/>
      <c r="P936" s="172"/>
      <c r="Q936" s="172"/>
      <c r="R936" s="172"/>
      <c r="S936" s="172"/>
      <c r="T936" s="172"/>
      <c r="U936" s="172"/>
      <c r="V936" s="172"/>
      <c r="W936" s="172"/>
      <c r="X936" s="172"/>
      <c r="Y936" s="172"/>
      <c r="Z936" s="172"/>
    </row>
    <row r="937">
      <c r="A937" s="172"/>
      <c r="B937" s="172"/>
      <c r="C937" s="172"/>
      <c r="D937" s="172"/>
      <c r="E937" s="172"/>
      <c r="F937" s="172"/>
      <c r="G937" s="172"/>
      <c r="H937" s="172"/>
      <c r="I937" s="172"/>
      <c r="J937" s="172"/>
      <c r="K937" s="172"/>
      <c r="L937" s="172"/>
      <c r="M937" s="172"/>
      <c r="N937" s="172"/>
      <c r="O937" s="172"/>
      <c r="P937" s="172"/>
      <c r="Q937" s="172"/>
      <c r="R937" s="172"/>
      <c r="S937" s="172"/>
      <c r="T937" s="172"/>
      <c r="U937" s="172"/>
      <c r="V937" s="172"/>
      <c r="W937" s="172"/>
      <c r="X937" s="172"/>
      <c r="Y937" s="172"/>
      <c r="Z937" s="172"/>
    </row>
    <row r="938">
      <c r="A938" s="172"/>
      <c r="B938" s="172"/>
      <c r="C938" s="172"/>
      <c r="D938" s="172"/>
      <c r="E938" s="172"/>
      <c r="F938" s="172"/>
      <c r="G938" s="172"/>
      <c r="H938" s="172"/>
      <c r="I938" s="172"/>
      <c r="J938" s="172"/>
      <c r="K938" s="172"/>
      <c r="L938" s="172"/>
      <c r="M938" s="172"/>
      <c r="N938" s="172"/>
      <c r="O938" s="172"/>
      <c r="P938" s="172"/>
      <c r="Q938" s="172"/>
      <c r="R938" s="172"/>
      <c r="S938" s="172"/>
      <c r="T938" s="172"/>
      <c r="U938" s="172"/>
      <c r="V938" s="172"/>
      <c r="W938" s="172"/>
      <c r="X938" s="172"/>
      <c r="Y938" s="172"/>
      <c r="Z938" s="172"/>
    </row>
    <row r="939">
      <c r="A939" s="172"/>
      <c r="B939" s="172"/>
      <c r="C939" s="172"/>
      <c r="D939" s="172"/>
      <c r="E939" s="172"/>
      <c r="F939" s="172"/>
      <c r="G939" s="172"/>
      <c r="H939" s="172"/>
      <c r="I939" s="172"/>
      <c r="J939" s="172"/>
      <c r="K939" s="172"/>
      <c r="L939" s="172"/>
      <c r="M939" s="172"/>
      <c r="N939" s="172"/>
      <c r="O939" s="172"/>
      <c r="P939" s="172"/>
      <c r="Q939" s="172"/>
      <c r="R939" s="172"/>
      <c r="S939" s="172"/>
      <c r="T939" s="172"/>
      <c r="U939" s="172"/>
      <c r="V939" s="172"/>
      <c r="W939" s="172"/>
      <c r="X939" s="172"/>
      <c r="Y939" s="172"/>
      <c r="Z939" s="172"/>
    </row>
    <row r="940">
      <c r="A940" s="172"/>
      <c r="B940" s="172"/>
      <c r="C940" s="172"/>
      <c r="D940" s="172"/>
      <c r="E940" s="172"/>
      <c r="F940" s="172"/>
      <c r="G940" s="172"/>
      <c r="H940" s="172"/>
      <c r="I940" s="172"/>
      <c r="J940" s="172"/>
      <c r="K940" s="172"/>
      <c r="L940" s="172"/>
      <c r="M940" s="172"/>
      <c r="N940" s="172"/>
      <c r="O940" s="172"/>
      <c r="P940" s="172"/>
      <c r="Q940" s="172"/>
      <c r="R940" s="172"/>
      <c r="S940" s="172"/>
      <c r="T940" s="172"/>
      <c r="U940" s="172"/>
      <c r="V940" s="172"/>
      <c r="W940" s="172"/>
      <c r="X940" s="172"/>
      <c r="Y940" s="172"/>
      <c r="Z940" s="172"/>
    </row>
    <row r="941">
      <c r="A941" s="172"/>
      <c r="B941" s="172"/>
      <c r="C941" s="172"/>
      <c r="D941" s="172"/>
      <c r="E941" s="172"/>
      <c r="F941" s="172"/>
      <c r="G941" s="172"/>
      <c r="H941" s="172"/>
      <c r="I941" s="172"/>
      <c r="J941" s="172"/>
      <c r="K941" s="172"/>
      <c r="L941" s="172"/>
      <c r="M941" s="172"/>
      <c r="N941" s="172"/>
      <c r="O941" s="172"/>
      <c r="P941" s="172"/>
      <c r="Q941" s="172"/>
      <c r="R941" s="172"/>
      <c r="S941" s="172"/>
      <c r="T941" s="172"/>
      <c r="U941" s="172"/>
      <c r="V941" s="172"/>
      <c r="W941" s="172"/>
      <c r="X941" s="172"/>
      <c r="Y941" s="172"/>
      <c r="Z941" s="172"/>
    </row>
    <row r="942">
      <c r="A942" s="172"/>
      <c r="B942" s="172"/>
      <c r="C942" s="172"/>
      <c r="D942" s="172"/>
      <c r="E942" s="172"/>
      <c r="F942" s="172"/>
      <c r="G942" s="172"/>
      <c r="H942" s="172"/>
      <c r="I942" s="172"/>
      <c r="J942" s="172"/>
      <c r="K942" s="172"/>
      <c r="L942" s="172"/>
      <c r="M942" s="172"/>
      <c r="N942" s="172"/>
      <c r="O942" s="172"/>
      <c r="P942" s="172"/>
      <c r="Q942" s="172"/>
      <c r="R942" s="172"/>
      <c r="S942" s="172"/>
      <c r="T942" s="172"/>
      <c r="U942" s="172"/>
      <c r="V942" s="172"/>
      <c r="W942" s="172"/>
      <c r="X942" s="172"/>
      <c r="Y942" s="172"/>
      <c r="Z942" s="172"/>
    </row>
    <row r="943">
      <c r="A943" s="172"/>
      <c r="B943" s="172"/>
      <c r="C943" s="172"/>
      <c r="D943" s="172"/>
      <c r="E943" s="172"/>
      <c r="F943" s="172"/>
      <c r="G943" s="172"/>
      <c r="H943" s="172"/>
      <c r="I943" s="172"/>
      <c r="J943" s="172"/>
      <c r="K943" s="172"/>
      <c r="L943" s="172"/>
      <c r="M943" s="172"/>
      <c r="N943" s="172"/>
      <c r="O943" s="172"/>
      <c r="P943" s="172"/>
      <c r="Q943" s="172"/>
      <c r="R943" s="172"/>
      <c r="S943" s="172"/>
      <c r="T943" s="172"/>
      <c r="U943" s="172"/>
      <c r="V943" s="172"/>
      <c r="W943" s="172"/>
      <c r="X943" s="172"/>
      <c r="Y943" s="172"/>
      <c r="Z943" s="172"/>
    </row>
    <row r="944">
      <c r="A944" s="172"/>
      <c r="B944" s="172"/>
      <c r="C944" s="172"/>
      <c r="D944" s="172"/>
      <c r="E944" s="172"/>
      <c r="F944" s="172"/>
      <c r="G944" s="172"/>
      <c r="H944" s="172"/>
      <c r="I944" s="172"/>
      <c r="J944" s="172"/>
      <c r="K944" s="172"/>
      <c r="L944" s="172"/>
      <c r="M944" s="172"/>
      <c r="N944" s="172"/>
      <c r="O944" s="172"/>
      <c r="P944" s="172"/>
      <c r="Q944" s="172"/>
      <c r="R944" s="172"/>
      <c r="S944" s="172"/>
      <c r="T944" s="172"/>
      <c r="U944" s="172"/>
      <c r="V944" s="172"/>
      <c r="W944" s="172"/>
      <c r="X944" s="172"/>
      <c r="Y944" s="172"/>
      <c r="Z944" s="172"/>
    </row>
    <row r="945">
      <c r="A945" s="172"/>
      <c r="B945" s="172"/>
      <c r="C945" s="172"/>
      <c r="D945" s="172"/>
      <c r="E945" s="172"/>
      <c r="F945" s="172"/>
      <c r="G945" s="172"/>
      <c r="H945" s="172"/>
      <c r="I945" s="172"/>
      <c r="J945" s="172"/>
      <c r="K945" s="172"/>
      <c r="L945" s="172"/>
      <c r="M945" s="172"/>
      <c r="N945" s="172"/>
      <c r="O945" s="172"/>
      <c r="P945" s="172"/>
      <c r="Q945" s="172"/>
      <c r="R945" s="172"/>
      <c r="S945" s="172"/>
      <c r="T945" s="172"/>
      <c r="U945" s="172"/>
      <c r="V945" s="172"/>
      <c r="W945" s="172"/>
      <c r="X945" s="172"/>
      <c r="Y945" s="172"/>
      <c r="Z945" s="172"/>
    </row>
    <row r="946">
      <c r="A946" s="172"/>
      <c r="B946" s="172"/>
      <c r="C946" s="172"/>
      <c r="D946" s="172"/>
      <c r="E946" s="172"/>
      <c r="F946" s="172"/>
      <c r="G946" s="172"/>
      <c r="H946" s="172"/>
      <c r="I946" s="172"/>
      <c r="J946" s="172"/>
      <c r="K946" s="172"/>
      <c r="L946" s="172"/>
      <c r="M946" s="172"/>
      <c r="N946" s="172"/>
      <c r="O946" s="172"/>
      <c r="P946" s="172"/>
      <c r="Q946" s="172"/>
      <c r="R946" s="172"/>
      <c r="S946" s="172"/>
      <c r="T946" s="172"/>
      <c r="U946" s="172"/>
      <c r="V946" s="172"/>
      <c r="W946" s="172"/>
      <c r="X946" s="172"/>
      <c r="Y946" s="172"/>
      <c r="Z946" s="172"/>
    </row>
    <row r="947">
      <c r="A947" s="172"/>
      <c r="B947" s="172"/>
      <c r="C947" s="172"/>
      <c r="D947" s="172"/>
      <c r="E947" s="172"/>
      <c r="F947" s="172"/>
      <c r="G947" s="172"/>
      <c r="H947" s="172"/>
      <c r="I947" s="172"/>
      <c r="J947" s="172"/>
      <c r="K947" s="172"/>
      <c r="L947" s="172"/>
      <c r="M947" s="172"/>
      <c r="N947" s="172"/>
      <c r="O947" s="172"/>
      <c r="P947" s="172"/>
      <c r="Q947" s="172"/>
      <c r="R947" s="172"/>
      <c r="S947" s="172"/>
      <c r="T947" s="172"/>
      <c r="U947" s="172"/>
      <c r="V947" s="172"/>
      <c r="W947" s="172"/>
      <c r="X947" s="172"/>
      <c r="Y947" s="172"/>
      <c r="Z947" s="172"/>
    </row>
    <row r="948">
      <c r="A948" s="172"/>
      <c r="B948" s="172"/>
      <c r="C948" s="172"/>
      <c r="D948" s="172"/>
      <c r="E948" s="172"/>
      <c r="F948" s="172"/>
      <c r="G948" s="172"/>
      <c r="H948" s="172"/>
      <c r="I948" s="172"/>
      <c r="J948" s="172"/>
      <c r="K948" s="172"/>
      <c r="L948" s="172"/>
      <c r="M948" s="172"/>
      <c r="N948" s="172"/>
      <c r="O948" s="172"/>
      <c r="P948" s="172"/>
      <c r="Q948" s="172"/>
      <c r="R948" s="172"/>
      <c r="S948" s="172"/>
      <c r="T948" s="172"/>
      <c r="U948" s="172"/>
      <c r="V948" s="172"/>
      <c r="W948" s="172"/>
      <c r="X948" s="172"/>
      <c r="Y948" s="172"/>
      <c r="Z948" s="172"/>
    </row>
    <row r="949">
      <c r="A949" s="172"/>
      <c r="B949" s="172"/>
      <c r="C949" s="172"/>
      <c r="D949" s="172"/>
      <c r="E949" s="172"/>
      <c r="F949" s="172"/>
      <c r="G949" s="172"/>
      <c r="H949" s="172"/>
      <c r="I949" s="172"/>
      <c r="J949" s="172"/>
      <c r="K949" s="172"/>
      <c r="L949" s="172"/>
      <c r="M949" s="172"/>
      <c r="N949" s="172"/>
      <c r="O949" s="172"/>
      <c r="P949" s="172"/>
      <c r="Q949" s="172"/>
      <c r="R949" s="172"/>
      <c r="S949" s="172"/>
      <c r="T949" s="172"/>
      <c r="U949" s="172"/>
      <c r="V949" s="172"/>
      <c r="W949" s="172"/>
      <c r="X949" s="172"/>
      <c r="Y949" s="172"/>
      <c r="Z949" s="172"/>
    </row>
    <row r="950">
      <c r="A950" s="172"/>
      <c r="B950" s="172"/>
      <c r="C950" s="172"/>
      <c r="D950" s="172"/>
      <c r="E950" s="172"/>
      <c r="F950" s="172"/>
      <c r="G950" s="172"/>
      <c r="H950" s="172"/>
      <c r="I950" s="172"/>
      <c r="J950" s="172"/>
      <c r="K950" s="172"/>
      <c r="L950" s="172"/>
      <c r="M950" s="172"/>
      <c r="N950" s="172"/>
      <c r="O950" s="172"/>
      <c r="P950" s="172"/>
      <c r="Q950" s="172"/>
      <c r="R950" s="172"/>
      <c r="S950" s="172"/>
      <c r="T950" s="172"/>
      <c r="U950" s="172"/>
      <c r="V950" s="172"/>
      <c r="W950" s="172"/>
      <c r="X950" s="172"/>
      <c r="Y950" s="172"/>
      <c r="Z950" s="172"/>
    </row>
    <row r="951">
      <c r="A951" s="172"/>
      <c r="B951" s="172"/>
      <c r="C951" s="172"/>
      <c r="D951" s="172"/>
      <c r="E951" s="172"/>
      <c r="F951" s="172"/>
      <c r="G951" s="172"/>
      <c r="H951" s="172"/>
      <c r="I951" s="172"/>
      <c r="J951" s="172"/>
      <c r="K951" s="172"/>
      <c r="L951" s="172"/>
      <c r="M951" s="172"/>
      <c r="N951" s="172"/>
      <c r="O951" s="172"/>
      <c r="P951" s="172"/>
      <c r="Q951" s="172"/>
      <c r="R951" s="172"/>
      <c r="S951" s="172"/>
      <c r="T951" s="172"/>
      <c r="U951" s="172"/>
      <c r="V951" s="172"/>
      <c r="W951" s="172"/>
      <c r="X951" s="172"/>
      <c r="Y951" s="172"/>
      <c r="Z951" s="172"/>
    </row>
    <row r="952">
      <c r="A952" s="172"/>
      <c r="B952" s="172"/>
      <c r="C952" s="172"/>
      <c r="D952" s="172"/>
      <c r="E952" s="172"/>
      <c r="F952" s="172"/>
      <c r="G952" s="172"/>
      <c r="H952" s="172"/>
      <c r="I952" s="172"/>
      <c r="J952" s="172"/>
      <c r="K952" s="172"/>
      <c r="L952" s="172"/>
      <c r="M952" s="172"/>
      <c r="N952" s="172"/>
      <c r="O952" s="172"/>
      <c r="P952" s="172"/>
      <c r="Q952" s="172"/>
      <c r="R952" s="172"/>
      <c r="S952" s="172"/>
      <c r="T952" s="172"/>
      <c r="U952" s="172"/>
      <c r="V952" s="172"/>
      <c r="W952" s="172"/>
      <c r="X952" s="172"/>
      <c r="Y952" s="172"/>
      <c r="Z952" s="172"/>
    </row>
    <row r="953">
      <c r="A953" s="172"/>
      <c r="B953" s="172"/>
      <c r="C953" s="172"/>
      <c r="D953" s="172"/>
      <c r="E953" s="172"/>
      <c r="F953" s="172"/>
      <c r="G953" s="172"/>
      <c r="H953" s="172"/>
      <c r="I953" s="172"/>
      <c r="J953" s="172"/>
      <c r="K953" s="172"/>
      <c r="L953" s="172"/>
      <c r="M953" s="172"/>
      <c r="N953" s="172"/>
      <c r="O953" s="172"/>
      <c r="P953" s="172"/>
      <c r="Q953" s="172"/>
      <c r="R953" s="172"/>
      <c r="S953" s="172"/>
      <c r="T953" s="172"/>
      <c r="U953" s="172"/>
      <c r="V953" s="172"/>
      <c r="W953" s="172"/>
      <c r="X953" s="172"/>
      <c r="Y953" s="172"/>
      <c r="Z953" s="172"/>
    </row>
    <row r="954">
      <c r="A954" s="172"/>
      <c r="B954" s="172"/>
      <c r="C954" s="172"/>
      <c r="D954" s="172"/>
      <c r="E954" s="172"/>
      <c r="F954" s="172"/>
      <c r="G954" s="172"/>
      <c r="H954" s="172"/>
      <c r="I954" s="172"/>
      <c r="J954" s="172"/>
      <c r="K954" s="172"/>
      <c r="L954" s="172"/>
      <c r="M954" s="172"/>
      <c r="N954" s="172"/>
      <c r="O954" s="172"/>
      <c r="P954" s="172"/>
      <c r="Q954" s="172"/>
      <c r="R954" s="172"/>
      <c r="S954" s="172"/>
      <c r="T954" s="172"/>
      <c r="U954" s="172"/>
      <c r="V954" s="172"/>
      <c r="W954" s="172"/>
      <c r="X954" s="172"/>
      <c r="Y954" s="172"/>
      <c r="Z954" s="172"/>
    </row>
    <row r="955">
      <c r="A955" s="172"/>
      <c r="B955" s="172"/>
      <c r="C955" s="172"/>
      <c r="D955" s="172"/>
      <c r="E955" s="172"/>
      <c r="F955" s="172"/>
      <c r="G955" s="172"/>
      <c r="H955" s="172"/>
      <c r="I955" s="172"/>
      <c r="J955" s="172"/>
      <c r="K955" s="172"/>
      <c r="L955" s="172"/>
      <c r="M955" s="172"/>
      <c r="N955" s="172"/>
      <c r="O955" s="172"/>
      <c r="P955" s="172"/>
      <c r="Q955" s="172"/>
      <c r="R955" s="172"/>
      <c r="S955" s="172"/>
      <c r="T955" s="172"/>
      <c r="U955" s="172"/>
      <c r="V955" s="172"/>
      <c r="W955" s="172"/>
      <c r="X955" s="172"/>
      <c r="Y955" s="172"/>
      <c r="Z955" s="172"/>
    </row>
    <row r="956">
      <c r="A956" s="172"/>
      <c r="B956" s="172"/>
      <c r="C956" s="172"/>
      <c r="D956" s="172"/>
      <c r="E956" s="172"/>
      <c r="F956" s="172"/>
      <c r="G956" s="172"/>
      <c r="H956" s="172"/>
      <c r="I956" s="172"/>
      <c r="J956" s="172"/>
      <c r="K956" s="172"/>
      <c r="L956" s="172"/>
      <c r="M956" s="172"/>
      <c r="N956" s="172"/>
      <c r="O956" s="172"/>
      <c r="P956" s="172"/>
      <c r="Q956" s="172"/>
      <c r="R956" s="172"/>
      <c r="S956" s="172"/>
      <c r="T956" s="172"/>
      <c r="U956" s="172"/>
      <c r="V956" s="172"/>
      <c r="W956" s="172"/>
      <c r="X956" s="172"/>
      <c r="Y956" s="172"/>
      <c r="Z956" s="172"/>
    </row>
    <row r="957">
      <c r="A957" s="172"/>
      <c r="B957" s="172"/>
      <c r="C957" s="172"/>
      <c r="D957" s="172"/>
      <c r="E957" s="172"/>
      <c r="F957" s="172"/>
      <c r="G957" s="172"/>
      <c r="H957" s="172"/>
      <c r="I957" s="172"/>
      <c r="J957" s="172"/>
      <c r="K957" s="172"/>
      <c r="L957" s="172"/>
      <c r="M957" s="172"/>
      <c r="N957" s="172"/>
      <c r="O957" s="172"/>
      <c r="P957" s="172"/>
      <c r="Q957" s="172"/>
      <c r="R957" s="172"/>
      <c r="S957" s="172"/>
      <c r="T957" s="172"/>
      <c r="U957" s="172"/>
      <c r="V957" s="172"/>
      <c r="W957" s="172"/>
      <c r="X957" s="172"/>
      <c r="Y957" s="172"/>
      <c r="Z957" s="172"/>
    </row>
    <row r="958">
      <c r="A958" s="172"/>
      <c r="B958" s="172"/>
      <c r="C958" s="172"/>
      <c r="D958" s="172"/>
      <c r="E958" s="172"/>
      <c r="F958" s="172"/>
      <c r="G958" s="172"/>
      <c r="H958" s="172"/>
      <c r="I958" s="172"/>
      <c r="J958" s="172"/>
      <c r="K958" s="172"/>
      <c r="L958" s="172"/>
      <c r="M958" s="172"/>
      <c r="N958" s="172"/>
      <c r="O958" s="172"/>
      <c r="P958" s="172"/>
      <c r="Q958" s="172"/>
      <c r="R958" s="172"/>
      <c r="S958" s="172"/>
      <c r="T958" s="172"/>
      <c r="U958" s="172"/>
      <c r="V958" s="172"/>
      <c r="W958" s="172"/>
      <c r="X958" s="172"/>
      <c r="Y958" s="172"/>
      <c r="Z958" s="172"/>
    </row>
    <row r="959">
      <c r="A959" s="172"/>
      <c r="B959" s="172"/>
      <c r="C959" s="172"/>
      <c r="D959" s="172"/>
      <c r="E959" s="172"/>
      <c r="F959" s="172"/>
      <c r="G959" s="172"/>
      <c r="H959" s="172"/>
      <c r="I959" s="172"/>
      <c r="J959" s="172"/>
      <c r="K959" s="172"/>
      <c r="L959" s="172"/>
      <c r="M959" s="172"/>
      <c r="N959" s="172"/>
      <c r="O959" s="172"/>
      <c r="P959" s="172"/>
      <c r="Q959" s="172"/>
      <c r="R959" s="172"/>
      <c r="S959" s="172"/>
      <c r="T959" s="172"/>
      <c r="U959" s="172"/>
      <c r="V959" s="172"/>
      <c r="W959" s="172"/>
      <c r="X959" s="172"/>
      <c r="Y959" s="172"/>
      <c r="Z959" s="172"/>
    </row>
    <row r="960">
      <c r="A960" s="172"/>
      <c r="B960" s="172"/>
      <c r="C960" s="172"/>
      <c r="D960" s="172"/>
      <c r="E960" s="172"/>
      <c r="F960" s="172"/>
      <c r="G960" s="172"/>
      <c r="H960" s="172"/>
      <c r="I960" s="172"/>
      <c r="J960" s="172"/>
      <c r="K960" s="172"/>
      <c r="L960" s="172"/>
      <c r="M960" s="172"/>
      <c r="N960" s="172"/>
      <c r="O960" s="172"/>
      <c r="P960" s="172"/>
      <c r="Q960" s="172"/>
      <c r="R960" s="172"/>
      <c r="S960" s="172"/>
      <c r="T960" s="172"/>
      <c r="U960" s="172"/>
      <c r="V960" s="172"/>
      <c r="W960" s="172"/>
      <c r="X960" s="172"/>
      <c r="Y960" s="172"/>
      <c r="Z960" s="172"/>
    </row>
    <row r="961">
      <c r="A961" s="172"/>
      <c r="B961" s="172"/>
      <c r="C961" s="172"/>
      <c r="D961" s="172"/>
      <c r="E961" s="172"/>
      <c r="F961" s="172"/>
      <c r="G961" s="172"/>
      <c r="H961" s="172"/>
      <c r="I961" s="172"/>
      <c r="J961" s="172"/>
      <c r="K961" s="172"/>
      <c r="L961" s="172"/>
      <c r="M961" s="172"/>
      <c r="N961" s="172"/>
      <c r="O961" s="172"/>
      <c r="P961" s="172"/>
      <c r="Q961" s="172"/>
      <c r="R961" s="172"/>
      <c r="S961" s="172"/>
      <c r="T961" s="172"/>
      <c r="U961" s="172"/>
      <c r="V961" s="172"/>
      <c r="W961" s="172"/>
      <c r="X961" s="172"/>
      <c r="Y961" s="172"/>
      <c r="Z961" s="172"/>
    </row>
    <row r="962">
      <c r="A962" s="172"/>
      <c r="B962" s="172"/>
      <c r="C962" s="172"/>
      <c r="D962" s="172"/>
      <c r="E962" s="172"/>
      <c r="F962" s="172"/>
      <c r="G962" s="172"/>
      <c r="H962" s="172"/>
      <c r="I962" s="172"/>
      <c r="J962" s="172"/>
      <c r="K962" s="172"/>
      <c r="L962" s="172"/>
      <c r="M962" s="172"/>
      <c r="N962" s="172"/>
      <c r="O962" s="172"/>
      <c r="P962" s="172"/>
      <c r="Q962" s="172"/>
      <c r="R962" s="172"/>
      <c r="S962" s="172"/>
      <c r="T962" s="172"/>
      <c r="U962" s="172"/>
      <c r="V962" s="172"/>
      <c r="W962" s="172"/>
      <c r="X962" s="172"/>
      <c r="Y962" s="172"/>
      <c r="Z962" s="172"/>
    </row>
    <row r="963">
      <c r="A963" s="172"/>
      <c r="B963" s="172"/>
      <c r="C963" s="172"/>
      <c r="D963" s="172"/>
      <c r="E963" s="172"/>
      <c r="F963" s="172"/>
      <c r="G963" s="172"/>
      <c r="H963" s="172"/>
      <c r="I963" s="172"/>
      <c r="J963" s="172"/>
      <c r="K963" s="172"/>
      <c r="L963" s="172"/>
      <c r="M963" s="172"/>
      <c r="N963" s="172"/>
      <c r="O963" s="172"/>
      <c r="P963" s="172"/>
      <c r="Q963" s="172"/>
      <c r="R963" s="172"/>
      <c r="S963" s="172"/>
      <c r="T963" s="172"/>
      <c r="U963" s="172"/>
      <c r="V963" s="172"/>
      <c r="W963" s="172"/>
      <c r="X963" s="172"/>
      <c r="Y963" s="172"/>
      <c r="Z963" s="172"/>
    </row>
    <row r="964">
      <c r="A964" s="172"/>
      <c r="B964" s="172"/>
      <c r="C964" s="172"/>
      <c r="D964" s="172"/>
      <c r="E964" s="172"/>
      <c r="F964" s="172"/>
      <c r="G964" s="172"/>
      <c r="H964" s="172"/>
      <c r="I964" s="172"/>
      <c r="J964" s="172"/>
      <c r="K964" s="172"/>
      <c r="L964" s="172"/>
      <c r="M964" s="172"/>
      <c r="N964" s="172"/>
      <c r="O964" s="172"/>
      <c r="P964" s="172"/>
      <c r="Q964" s="172"/>
      <c r="R964" s="172"/>
      <c r="S964" s="172"/>
      <c r="T964" s="172"/>
      <c r="U964" s="172"/>
      <c r="V964" s="172"/>
      <c r="W964" s="172"/>
      <c r="X964" s="172"/>
      <c r="Y964" s="172"/>
      <c r="Z964" s="172"/>
    </row>
    <row r="965">
      <c r="A965" s="172"/>
      <c r="B965" s="172"/>
      <c r="C965" s="172"/>
      <c r="D965" s="172"/>
      <c r="E965" s="172"/>
      <c r="F965" s="172"/>
      <c r="G965" s="172"/>
      <c r="H965" s="172"/>
      <c r="I965" s="172"/>
      <c r="J965" s="172"/>
      <c r="K965" s="172"/>
      <c r="L965" s="172"/>
      <c r="M965" s="172"/>
      <c r="N965" s="172"/>
      <c r="O965" s="172"/>
      <c r="P965" s="172"/>
      <c r="Q965" s="172"/>
      <c r="R965" s="172"/>
      <c r="S965" s="172"/>
      <c r="T965" s="172"/>
      <c r="U965" s="172"/>
      <c r="V965" s="172"/>
      <c r="W965" s="172"/>
      <c r="X965" s="172"/>
      <c r="Y965" s="172"/>
      <c r="Z965" s="172"/>
    </row>
    <row r="966">
      <c r="A966" s="172"/>
      <c r="B966" s="172"/>
      <c r="C966" s="172"/>
      <c r="D966" s="172"/>
      <c r="E966" s="172"/>
      <c r="F966" s="172"/>
      <c r="G966" s="172"/>
      <c r="H966" s="172"/>
      <c r="I966" s="172"/>
      <c r="J966" s="172"/>
      <c r="K966" s="172"/>
      <c r="L966" s="172"/>
      <c r="M966" s="172"/>
      <c r="N966" s="172"/>
      <c r="O966" s="172"/>
      <c r="P966" s="172"/>
      <c r="Q966" s="172"/>
      <c r="R966" s="172"/>
      <c r="S966" s="172"/>
      <c r="T966" s="172"/>
      <c r="U966" s="172"/>
      <c r="V966" s="172"/>
      <c r="W966" s="172"/>
      <c r="X966" s="172"/>
      <c r="Y966" s="172"/>
      <c r="Z966" s="172"/>
    </row>
    <row r="967">
      <c r="A967" s="172"/>
      <c r="B967" s="172"/>
      <c r="C967" s="172"/>
      <c r="D967" s="172"/>
      <c r="E967" s="172"/>
      <c r="F967" s="172"/>
      <c r="G967" s="172"/>
      <c r="H967" s="172"/>
      <c r="I967" s="172"/>
      <c r="J967" s="172"/>
      <c r="K967" s="172"/>
      <c r="L967" s="172"/>
      <c r="M967" s="172"/>
      <c r="N967" s="172"/>
      <c r="O967" s="172"/>
      <c r="P967" s="172"/>
      <c r="Q967" s="172"/>
      <c r="R967" s="172"/>
      <c r="S967" s="172"/>
      <c r="T967" s="172"/>
      <c r="U967" s="172"/>
      <c r="V967" s="172"/>
      <c r="W967" s="172"/>
      <c r="X967" s="172"/>
      <c r="Y967" s="172"/>
      <c r="Z967" s="172"/>
    </row>
    <row r="968">
      <c r="A968" s="172"/>
      <c r="B968" s="172"/>
      <c r="C968" s="172"/>
      <c r="D968" s="172"/>
      <c r="E968" s="172"/>
      <c r="F968" s="172"/>
      <c r="G968" s="172"/>
      <c r="H968" s="172"/>
      <c r="I968" s="172"/>
      <c r="J968" s="172"/>
      <c r="K968" s="172"/>
      <c r="L968" s="172"/>
      <c r="M968" s="172"/>
      <c r="N968" s="172"/>
      <c r="O968" s="172"/>
      <c r="P968" s="172"/>
      <c r="Q968" s="172"/>
      <c r="R968" s="172"/>
      <c r="S968" s="172"/>
      <c r="T968" s="172"/>
      <c r="U968" s="172"/>
      <c r="V968" s="172"/>
      <c r="W968" s="172"/>
      <c r="X968" s="172"/>
      <c r="Y968" s="172"/>
      <c r="Z968" s="172"/>
    </row>
    <row r="969">
      <c r="A969" s="172"/>
      <c r="B969" s="172"/>
      <c r="C969" s="172"/>
      <c r="D969" s="172"/>
      <c r="E969" s="172"/>
      <c r="F969" s="172"/>
      <c r="G969" s="172"/>
      <c r="H969" s="172"/>
      <c r="I969" s="172"/>
      <c r="J969" s="172"/>
      <c r="K969" s="172"/>
      <c r="L969" s="172"/>
      <c r="M969" s="172"/>
      <c r="N969" s="172"/>
      <c r="O969" s="172"/>
      <c r="P969" s="172"/>
      <c r="Q969" s="172"/>
      <c r="R969" s="172"/>
      <c r="S969" s="172"/>
      <c r="T969" s="172"/>
      <c r="U969" s="172"/>
      <c r="V969" s="172"/>
      <c r="W969" s="172"/>
      <c r="X969" s="172"/>
      <c r="Y969" s="172"/>
      <c r="Z969" s="172"/>
    </row>
    <row r="970">
      <c r="A970" s="172"/>
      <c r="B970" s="172"/>
      <c r="C970" s="172"/>
      <c r="D970" s="172"/>
      <c r="E970" s="172"/>
      <c r="F970" s="172"/>
      <c r="G970" s="172"/>
      <c r="H970" s="172"/>
      <c r="I970" s="172"/>
      <c r="J970" s="172"/>
      <c r="K970" s="172"/>
      <c r="L970" s="172"/>
      <c r="M970" s="172"/>
      <c r="N970" s="172"/>
      <c r="O970" s="172"/>
      <c r="P970" s="172"/>
      <c r="Q970" s="172"/>
      <c r="R970" s="172"/>
      <c r="S970" s="172"/>
      <c r="T970" s="172"/>
      <c r="U970" s="172"/>
      <c r="V970" s="172"/>
      <c r="W970" s="172"/>
      <c r="X970" s="172"/>
      <c r="Y970" s="172"/>
      <c r="Z970" s="172"/>
    </row>
    <row r="971">
      <c r="A971" s="172"/>
      <c r="B971" s="172"/>
      <c r="C971" s="172"/>
      <c r="D971" s="172"/>
      <c r="E971" s="172"/>
      <c r="F971" s="172"/>
      <c r="G971" s="172"/>
      <c r="H971" s="172"/>
      <c r="I971" s="172"/>
      <c r="J971" s="172"/>
      <c r="K971" s="172"/>
      <c r="L971" s="172"/>
      <c r="M971" s="172"/>
      <c r="N971" s="172"/>
      <c r="O971" s="172"/>
      <c r="P971" s="172"/>
      <c r="Q971" s="172"/>
      <c r="R971" s="172"/>
      <c r="S971" s="172"/>
      <c r="T971" s="172"/>
      <c r="U971" s="172"/>
      <c r="V971" s="172"/>
      <c r="W971" s="172"/>
      <c r="X971" s="172"/>
      <c r="Y971" s="172"/>
      <c r="Z971" s="172"/>
    </row>
    <row r="972">
      <c r="A972" s="172"/>
      <c r="B972" s="172"/>
      <c r="C972" s="172"/>
      <c r="D972" s="172"/>
      <c r="E972" s="172"/>
      <c r="F972" s="172"/>
      <c r="G972" s="172"/>
      <c r="H972" s="172"/>
      <c r="I972" s="172"/>
      <c r="J972" s="172"/>
      <c r="K972" s="172"/>
      <c r="L972" s="172"/>
      <c r="M972" s="172"/>
      <c r="N972" s="172"/>
      <c r="O972" s="172"/>
      <c r="P972" s="172"/>
      <c r="Q972" s="172"/>
      <c r="R972" s="172"/>
      <c r="S972" s="172"/>
      <c r="T972" s="172"/>
      <c r="U972" s="172"/>
      <c r="V972" s="172"/>
      <c r="W972" s="172"/>
      <c r="X972" s="172"/>
      <c r="Y972" s="172"/>
      <c r="Z972" s="172"/>
    </row>
    <row r="973">
      <c r="A973" s="172"/>
      <c r="B973" s="172"/>
      <c r="C973" s="172"/>
      <c r="D973" s="172"/>
      <c r="E973" s="172"/>
      <c r="F973" s="172"/>
      <c r="G973" s="172"/>
      <c r="H973" s="172"/>
      <c r="I973" s="172"/>
      <c r="J973" s="172"/>
      <c r="K973" s="172"/>
      <c r="L973" s="172"/>
      <c r="M973" s="172"/>
      <c r="N973" s="172"/>
      <c r="O973" s="172"/>
      <c r="P973" s="172"/>
      <c r="Q973" s="172"/>
      <c r="R973" s="172"/>
      <c r="S973" s="172"/>
      <c r="T973" s="172"/>
      <c r="U973" s="172"/>
      <c r="V973" s="172"/>
      <c r="W973" s="172"/>
      <c r="X973" s="172"/>
      <c r="Y973" s="172"/>
      <c r="Z973" s="172"/>
    </row>
    <row r="974">
      <c r="A974" s="172"/>
      <c r="B974" s="172"/>
      <c r="C974" s="172"/>
      <c r="D974" s="172"/>
      <c r="E974" s="172"/>
      <c r="F974" s="172"/>
      <c r="G974" s="172"/>
      <c r="H974" s="172"/>
      <c r="I974" s="172"/>
      <c r="J974" s="172"/>
      <c r="K974" s="172"/>
      <c r="L974" s="172"/>
      <c r="M974" s="172"/>
      <c r="N974" s="172"/>
      <c r="O974" s="172"/>
      <c r="P974" s="172"/>
      <c r="Q974" s="172"/>
      <c r="R974" s="172"/>
      <c r="S974" s="172"/>
      <c r="T974" s="172"/>
      <c r="U974" s="172"/>
      <c r="V974" s="172"/>
      <c r="W974" s="172"/>
      <c r="X974" s="172"/>
      <c r="Y974" s="172"/>
      <c r="Z974" s="172"/>
    </row>
    <row r="975">
      <c r="A975" s="172"/>
      <c r="B975" s="172"/>
      <c r="C975" s="172"/>
      <c r="D975" s="172"/>
      <c r="E975" s="172"/>
      <c r="F975" s="172"/>
      <c r="G975" s="172"/>
      <c r="H975" s="172"/>
      <c r="I975" s="172"/>
      <c r="J975" s="172"/>
      <c r="K975" s="172"/>
      <c r="L975" s="172"/>
      <c r="M975" s="172"/>
      <c r="N975" s="172"/>
      <c r="O975" s="172"/>
      <c r="P975" s="172"/>
      <c r="Q975" s="172"/>
      <c r="R975" s="172"/>
      <c r="S975" s="172"/>
      <c r="T975" s="172"/>
      <c r="U975" s="172"/>
      <c r="V975" s="172"/>
      <c r="W975" s="172"/>
      <c r="X975" s="172"/>
      <c r="Y975" s="172"/>
      <c r="Z975" s="172"/>
    </row>
    <row r="976">
      <c r="A976" s="172"/>
      <c r="B976" s="172"/>
      <c r="C976" s="172"/>
      <c r="D976" s="172"/>
      <c r="E976" s="172"/>
      <c r="F976" s="172"/>
      <c r="G976" s="172"/>
      <c r="H976" s="172"/>
      <c r="I976" s="172"/>
      <c r="J976" s="172"/>
      <c r="K976" s="172"/>
      <c r="L976" s="172"/>
      <c r="M976" s="172"/>
      <c r="N976" s="172"/>
      <c r="O976" s="172"/>
      <c r="P976" s="172"/>
      <c r="Q976" s="172"/>
      <c r="R976" s="172"/>
      <c r="S976" s="172"/>
      <c r="T976" s="172"/>
      <c r="U976" s="172"/>
      <c r="V976" s="172"/>
      <c r="W976" s="172"/>
      <c r="X976" s="172"/>
      <c r="Y976" s="172"/>
      <c r="Z976" s="172"/>
    </row>
    <row r="977">
      <c r="A977" s="172"/>
      <c r="B977" s="172"/>
      <c r="C977" s="172"/>
      <c r="D977" s="172"/>
      <c r="E977" s="172"/>
      <c r="F977" s="172"/>
      <c r="G977" s="172"/>
      <c r="H977" s="172"/>
      <c r="I977" s="172"/>
      <c r="J977" s="172"/>
      <c r="K977" s="172"/>
      <c r="L977" s="172"/>
      <c r="M977" s="172"/>
      <c r="N977" s="172"/>
      <c r="O977" s="172"/>
      <c r="P977" s="172"/>
      <c r="Q977" s="172"/>
      <c r="R977" s="172"/>
      <c r="S977" s="172"/>
      <c r="T977" s="172"/>
      <c r="U977" s="172"/>
      <c r="V977" s="172"/>
      <c r="W977" s="172"/>
      <c r="X977" s="172"/>
      <c r="Y977" s="172"/>
      <c r="Z977" s="172"/>
    </row>
    <row r="978">
      <c r="A978" s="172"/>
      <c r="B978" s="172"/>
      <c r="C978" s="172"/>
      <c r="D978" s="172"/>
      <c r="E978" s="172"/>
      <c r="F978" s="172"/>
      <c r="G978" s="172"/>
      <c r="H978" s="172"/>
      <c r="I978" s="172"/>
      <c r="J978" s="172"/>
      <c r="K978" s="172"/>
      <c r="L978" s="172"/>
      <c r="M978" s="172"/>
      <c r="N978" s="172"/>
      <c r="O978" s="172"/>
      <c r="P978" s="172"/>
      <c r="Q978" s="172"/>
      <c r="R978" s="172"/>
      <c r="S978" s="172"/>
      <c r="T978" s="172"/>
      <c r="U978" s="172"/>
      <c r="V978" s="172"/>
      <c r="W978" s="172"/>
      <c r="X978" s="172"/>
      <c r="Y978" s="172"/>
      <c r="Z978" s="172"/>
    </row>
    <row r="979">
      <c r="A979" s="172"/>
      <c r="B979" s="172"/>
      <c r="C979" s="172"/>
      <c r="D979" s="172"/>
      <c r="E979" s="172"/>
      <c r="F979" s="172"/>
      <c r="G979" s="172"/>
      <c r="H979" s="172"/>
      <c r="I979" s="172"/>
      <c r="J979" s="172"/>
      <c r="K979" s="172"/>
      <c r="L979" s="172"/>
      <c r="M979" s="172"/>
      <c r="N979" s="172"/>
      <c r="O979" s="172"/>
      <c r="P979" s="172"/>
      <c r="Q979" s="172"/>
      <c r="R979" s="172"/>
      <c r="S979" s="172"/>
      <c r="T979" s="172"/>
      <c r="U979" s="172"/>
      <c r="V979" s="172"/>
      <c r="W979" s="172"/>
      <c r="X979" s="172"/>
      <c r="Y979" s="172"/>
      <c r="Z979" s="172"/>
    </row>
    <row r="980">
      <c r="A980" s="172"/>
      <c r="B980" s="172"/>
      <c r="C980" s="172"/>
      <c r="D980" s="172"/>
      <c r="E980" s="172"/>
      <c r="F980" s="172"/>
      <c r="G980" s="172"/>
      <c r="H980" s="172"/>
      <c r="I980" s="172"/>
      <c r="J980" s="172"/>
      <c r="K980" s="172"/>
      <c r="L980" s="172"/>
      <c r="M980" s="172"/>
      <c r="N980" s="172"/>
      <c r="O980" s="172"/>
      <c r="P980" s="172"/>
      <c r="Q980" s="172"/>
      <c r="R980" s="172"/>
      <c r="S980" s="172"/>
      <c r="T980" s="172"/>
      <c r="U980" s="172"/>
      <c r="V980" s="172"/>
      <c r="W980" s="172"/>
      <c r="X980" s="172"/>
      <c r="Y980" s="172"/>
      <c r="Z980" s="172"/>
    </row>
    <row r="981">
      <c r="A981" s="172"/>
      <c r="B981" s="172"/>
      <c r="C981" s="172"/>
      <c r="D981" s="172"/>
      <c r="E981" s="172"/>
      <c r="F981" s="172"/>
      <c r="G981" s="172"/>
      <c r="H981" s="172"/>
      <c r="I981" s="172"/>
      <c r="J981" s="172"/>
      <c r="K981" s="172"/>
      <c r="L981" s="172"/>
      <c r="M981" s="172"/>
      <c r="N981" s="172"/>
      <c r="O981" s="172"/>
      <c r="P981" s="172"/>
      <c r="Q981" s="172"/>
      <c r="R981" s="172"/>
      <c r="S981" s="172"/>
      <c r="T981" s="172"/>
      <c r="U981" s="172"/>
      <c r="V981" s="172"/>
      <c r="W981" s="172"/>
      <c r="X981" s="172"/>
      <c r="Y981" s="172"/>
      <c r="Z981" s="172"/>
    </row>
    <row r="982">
      <c r="A982" s="172"/>
      <c r="B982" s="172"/>
      <c r="C982" s="172"/>
      <c r="D982" s="172"/>
      <c r="E982" s="172"/>
      <c r="F982" s="172"/>
      <c r="G982" s="172"/>
      <c r="H982" s="172"/>
      <c r="I982" s="172"/>
      <c r="J982" s="172"/>
      <c r="K982" s="172"/>
      <c r="L982" s="172"/>
      <c r="M982" s="172"/>
      <c r="N982" s="172"/>
      <c r="O982" s="172"/>
      <c r="P982" s="172"/>
      <c r="Q982" s="172"/>
      <c r="R982" s="172"/>
      <c r="S982" s="172"/>
      <c r="T982" s="172"/>
      <c r="U982" s="172"/>
      <c r="V982" s="172"/>
      <c r="W982" s="172"/>
      <c r="X982" s="172"/>
      <c r="Y982" s="172"/>
      <c r="Z982" s="172"/>
    </row>
    <row r="983">
      <c r="A983" s="172"/>
      <c r="B983" s="172"/>
      <c r="C983" s="172"/>
      <c r="D983" s="172"/>
      <c r="E983" s="172"/>
      <c r="F983" s="172"/>
      <c r="G983" s="172"/>
      <c r="H983" s="172"/>
      <c r="I983" s="172"/>
      <c r="J983" s="172"/>
      <c r="K983" s="172"/>
      <c r="L983" s="172"/>
      <c r="M983" s="172"/>
      <c r="N983" s="172"/>
      <c r="O983" s="172"/>
      <c r="P983" s="172"/>
      <c r="Q983" s="172"/>
      <c r="R983" s="172"/>
      <c r="S983" s="172"/>
      <c r="T983" s="172"/>
      <c r="U983" s="172"/>
      <c r="V983" s="172"/>
      <c r="W983" s="172"/>
      <c r="X983" s="172"/>
      <c r="Y983" s="172"/>
      <c r="Z983" s="172"/>
    </row>
    <row r="984">
      <c r="A984" s="172"/>
      <c r="B984" s="172"/>
      <c r="C984" s="172"/>
      <c r="D984" s="172"/>
      <c r="E984" s="172"/>
      <c r="F984" s="172"/>
      <c r="G984" s="172"/>
      <c r="H984" s="172"/>
      <c r="I984" s="172"/>
      <c r="J984" s="172"/>
      <c r="K984" s="172"/>
      <c r="L984" s="172"/>
      <c r="M984" s="172"/>
      <c r="N984" s="172"/>
      <c r="O984" s="172"/>
      <c r="P984" s="172"/>
      <c r="Q984" s="172"/>
      <c r="R984" s="172"/>
      <c r="S984" s="172"/>
      <c r="T984" s="172"/>
      <c r="U984" s="172"/>
      <c r="V984" s="172"/>
      <c r="W984" s="172"/>
      <c r="X984" s="172"/>
      <c r="Y984" s="172"/>
      <c r="Z984" s="172"/>
    </row>
    <row r="985">
      <c r="A985" s="172"/>
      <c r="B985" s="172"/>
      <c r="C985" s="172"/>
      <c r="D985" s="172"/>
      <c r="E985" s="172"/>
      <c r="F985" s="172"/>
      <c r="G985" s="172"/>
      <c r="H985" s="172"/>
      <c r="I985" s="172"/>
      <c r="J985" s="172"/>
      <c r="K985" s="172"/>
      <c r="L985" s="172"/>
      <c r="M985" s="172"/>
      <c r="N985" s="172"/>
      <c r="O985" s="172"/>
      <c r="P985" s="172"/>
      <c r="Q985" s="172"/>
      <c r="R985" s="172"/>
      <c r="S985" s="172"/>
      <c r="T985" s="172"/>
      <c r="U985" s="172"/>
      <c r="V985" s="172"/>
      <c r="W985" s="172"/>
      <c r="X985" s="172"/>
      <c r="Y985" s="172"/>
      <c r="Z985" s="172"/>
    </row>
    <row r="986">
      <c r="A986" s="172"/>
      <c r="B986" s="172"/>
      <c r="C986" s="172"/>
      <c r="D986" s="172"/>
      <c r="E986" s="172"/>
      <c r="F986" s="172"/>
      <c r="G986" s="172"/>
      <c r="H986" s="172"/>
      <c r="I986" s="172"/>
      <c r="J986" s="172"/>
      <c r="K986" s="172"/>
      <c r="L986" s="172"/>
      <c r="M986" s="172"/>
      <c r="N986" s="172"/>
      <c r="O986" s="172"/>
      <c r="P986" s="172"/>
      <c r="Q986" s="172"/>
      <c r="R986" s="172"/>
      <c r="S986" s="172"/>
      <c r="T986" s="172"/>
      <c r="U986" s="172"/>
      <c r="V986" s="172"/>
      <c r="W986" s="172"/>
      <c r="X986" s="172"/>
      <c r="Y986" s="172"/>
      <c r="Z986" s="172"/>
    </row>
    <row r="987">
      <c r="A987" s="172"/>
      <c r="B987" s="172"/>
      <c r="C987" s="172"/>
      <c r="D987" s="172"/>
      <c r="E987" s="172"/>
      <c r="F987" s="172"/>
      <c r="G987" s="172"/>
      <c r="H987" s="172"/>
      <c r="I987" s="172"/>
      <c r="J987" s="172"/>
      <c r="K987" s="172"/>
      <c r="L987" s="172"/>
      <c r="M987" s="172"/>
      <c r="N987" s="172"/>
      <c r="O987" s="172"/>
      <c r="P987" s="172"/>
      <c r="Q987" s="172"/>
      <c r="R987" s="172"/>
      <c r="S987" s="172"/>
      <c r="T987" s="172"/>
      <c r="U987" s="172"/>
      <c r="V987" s="172"/>
      <c r="W987" s="172"/>
      <c r="X987" s="172"/>
      <c r="Y987" s="172"/>
      <c r="Z987" s="172"/>
    </row>
    <row r="988">
      <c r="A988" s="172"/>
      <c r="B988" s="172"/>
      <c r="C988" s="172"/>
      <c r="D988" s="172"/>
      <c r="E988" s="172"/>
      <c r="F988" s="172"/>
      <c r="G988" s="172"/>
      <c r="H988" s="172"/>
      <c r="I988" s="172"/>
      <c r="J988" s="172"/>
      <c r="K988" s="172"/>
      <c r="L988" s="172"/>
      <c r="M988" s="172"/>
      <c r="N988" s="172"/>
      <c r="O988" s="172"/>
      <c r="P988" s="172"/>
      <c r="Q988" s="172"/>
      <c r="R988" s="172"/>
      <c r="S988" s="172"/>
      <c r="T988" s="172"/>
      <c r="U988" s="172"/>
      <c r="V988" s="172"/>
      <c r="W988" s="172"/>
      <c r="X988" s="172"/>
      <c r="Y988" s="172"/>
      <c r="Z988" s="172"/>
    </row>
    <row r="989">
      <c r="A989" s="172"/>
      <c r="B989" s="172"/>
      <c r="C989" s="172"/>
      <c r="D989" s="172"/>
      <c r="E989" s="172"/>
      <c r="F989" s="172"/>
      <c r="G989" s="172"/>
      <c r="H989" s="172"/>
      <c r="I989" s="172"/>
      <c r="J989" s="172"/>
      <c r="K989" s="172"/>
      <c r="L989" s="172"/>
      <c r="M989" s="172"/>
      <c r="N989" s="172"/>
      <c r="O989" s="172"/>
      <c r="P989" s="172"/>
      <c r="Q989" s="172"/>
      <c r="R989" s="172"/>
      <c r="S989" s="172"/>
      <c r="T989" s="172"/>
      <c r="U989" s="172"/>
      <c r="V989" s="172"/>
      <c r="W989" s="172"/>
      <c r="X989" s="172"/>
      <c r="Y989" s="172"/>
      <c r="Z989" s="172"/>
    </row>
    <row r="990">
      <c r="A990" s="172"/>
      <c r="B990" s="172"/>
      <c r="C990" s="172"/>
      <c r="D990" s="172"/>
      <c r="E990" s="172"/>
      <c r="F990" s="172"/>
      <c r="G990" s="172"/>
      <c r="H990" s="172"/>
      <c r="I990" s="172"/>
      <c r="J990" s="172"/>
      <c r="K990" s="172"/>
      <c r="L990" s="172"/>
      <c r="M990" s="172"/>
      <c r="N990" s="172"/>
      <c r="O990" s="172"/>
      <c r="P990" s="172"/>
      <c r="Q990" s="172"/>
      <c r="R990" s="172"/>
      <c r="S990" s="172"/>
      <c r="T990" s="172"/>
      <c r="U990" s="172"/>
      <c r="V990" s="172"/>
      <c r="W990" s="172"/>
      <c r="X990" s="172"/>
      <c r="Y990" s="172"/>
      <c r="Z990" s="172"/>
    </row>
    <row r="991">
      <c r="A991" s="172"/>
      <c r="B991" s="172"/>
      <c r="C991" s="172"/>
      <c r="D991" s="172"/>
      <c r="E991" s="172"/>
      <c r="F991" s="172"/>
      <c r="G991" s="172"/>
      <c r="H991" s="172"/>
      <c r="I991" s="172"/>
      <c r="J991" s="172"/>
      <c r="K991" s="172"/>
      <c r="L991" s="172"/>
      <c r="M991" s="172"/>
      <c r="N991" s="172"/>
      <c r="O991" s="172"/>
      <c r="P991" s="172"/>
      <c r="Q991" s="172"/>
      <c r="R991" s="172"/>
      <c r="S991" s="172"/>
      <c r="T991" s="172"/>
      <c r="U991" s="172"/>
      <c r="V991" s="172"/>
      <c r="W991" s="172"/>
      <c r="X991" s="172"/>
      <c r="Y991" s="172"/>
      <c r="Z991" s="172"/>
    </row>
    <row r="992">
      <c r="A992" s="172"/>
      <c r="B992" s="172"/>
      <c r="C992" s="172"/>
      <c r="D992" s="172"/>
      <c r="E992" s="172"/>
      <c r="F992" s="172"/>
      <c r="G992" s="172"/>
      <c r="H992" s="172"/>
      <c r="I992" s="172"/>
      <c r="J992" s="172"/>
      <c r="K992" s="172"/>
      <c r="L992" s="172"/>
      <c r="M992" s="172"/>
      <c r="N992" s="172"/>
      <c r="O992" s="172"/>
      <c r="P992" s="172"/>
      <c r="Q992" s="172"/>
      <c r="R992" s="172"/>
      <c r="S992" s="172"/>
      <c r="T992" s="172"/>
      <c r="U992" s="172"/>
      <c r="V992" s="172"/>
      <c r="W992" s="172"/>
      <c r="X992" s="172"/>
      <c r="Y992" s="172"/>
      <c r="Z992" s="172"/>
    </row>
    <row r="993">
      <c r="A993" s="172"/>
      <c r="B993" s="172"/>
      <c r="C993" s="172"/>
      <c r="D993" s="172"/>
      <c r="E993" s="172"/>
      <c r="F993" s="172"/>
      <c r="G993" s="172"/>
      <c r="H993" s="172"/>
      <c r="I993" s="172"/>
      <c r="J993" s="172"/>
      <c r="K993" s="172"/>
      <c r="L993" s="172"/>
      <c r="M993" s="172"/>
      <c r="N993" s="172"/>
      <c r="O993" s="172"/>
      <c r="P993" s="172"/>
      <c r="Q993" s="172"/>
      <c r="R993" s="172"/>
      <c r="S993" s="172"/>
      <c r="T993" s="172"/>
      <c r="U993" s="172"/>
      <c r="V993" s="172"/>
      <c r="W993" s="172"/>
      <c r="X993" s="172"/>
      <c r="Y993" s="172"/>
      <c r="Z993" s="172"/>
    </row>
  </sheetData>
  <dataValidations>
    <dataValidation type="list" allowBlank="1" sqref="H4:H26">
      <formula1>"Activo,Vendido"</formula1>
    </dataValidation>
    <dataValidation type="custom" allowBlank="1" showDropDown="1" sqref="G4:G26">
      <formula1>AND(ISNUMBER(G4),(NOT(OR(NOT(ISERROR(DATEVALUE(G4))), AND(ISNUMBER(G4), LEFT(CELL("format", G4))="D")))))</formula1>
    </dataValidation>
  </dataValidations>
  <hyperlinks>
    <hyperlink r:id="rId1" ref="C9"/>
    <hyperlink r:id="rId2" ref="C11"/>
  </hyperlinks>
  <drawing r:id="rId3"/>
  <tableParts count="1">
    <tablePart r:id="rId5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5.0"/>
    <col customWidth="1" min="11" max="11" width="23.88"/>
  </cols>
  <sheetData>
    <row r="4">
      <c r="F4" s="4" t="s">
        <v>2816</v>
      </c>
      <c r="H4" s="4" t="s">
        <v>2817</v>
      </c>
      <c r="K4" s="178" t="s">
        <v>2818</v>
      </c>
      <c r="N4" s="179" t="s">
        <v>2819</v>
      </c>
    </row>
    <row r="5">
      <c r="E5" s="4" t="s">
        <v>2820</v>
      </c>
      <c r="F5" s="7">
        <f>4216*12</f>
        <v>50592</v>
      </c>
      <c r="H5" s="7">
        <f>6300*11</f>
        <v>69300</v>
      </c>
      <c r="O5" s="4">
        <v>2024.0</v>
      </c>
    </row>
    <row r="6">
      <c r="E6" s="4" t="s">
        <v>2822</v>
      </c>
      <c r="F6" s="4">
        <v>1900.0</v>
      </c>
      <c r="N6" s="4" t="s">
        <v>2823</v>
      </c>
      <c r="O6" s="7">
        <f>5572.52+7373.87</f>
        <v>12946.39</v>
      </c>
    </row>
    <row r="7">
      <c r="E7" s="4" t="s">
        <v>2824</v>
      </c>
      <c r="F7" s="4">
        <f>565*12</f>
        <v>6780</v>
      </c>
      <c r="K7" s="4" t="s">
        <v>2825</v>
      </c>
      <c r="L7" s="4">
        <v>35.0</v>
      </c>
      <c r="N7" s="4" t="s">
        <v>2826</v>
      </c>
      <c r="O7" s="7">
        <f>2405.04+5578.41</f>
        <v>7983.45</v>
      </c>
    </row>
    <row r="8">
      <c r="E8" s="4" t="s">
        <v>2827</v>
      </c>
      <c r="F8" s="4">
        <v>0.0</v>
      </c>
      <c r="K8" s="4" t="s">
        <v>2828</v>
      </c>
      <c r="L8" s="4">
        <v>79.08</v>
      </c>
    </row>
    <row r="9">
      <c r="K9" s="4" t="s">
        <v>2830</v>
      </c>
      <c r="L9" s="4">
        <v>39.5</v>
      </c>
      <c r="N9" s="4" t="s">
        <v>4</v>
      </c>
      <c r="O9" s="7">
        <f>SUM(O6:O7)</f>
        <v>20929.84</v>
      </c>
    </row>
    <row r="10">
      <c r="E10" s="4" t="s">
        <v>4</v>
      </c>
      <c r="F10" s="7">
        <f t="shared" ref="F10:H10" si="1">SUM(F5:F8)</f>
        <v>59272</v>
      </c>
      <c r="G10" s="7">
        <f t="shared" si="1"/>
        <v>0</v>
      </c>
      <c r="H10" s="7">
        <f t="shared" si="1"/>
        <v>69300</v>
      </c>
      <c r="I10" s="7">
        <f>H10-F10</f>
        <v>10028</v>
      </c>
      <c r="K10" s="4" t="s">
        <v>2832</v>
      </c>
      <c r="L10" s="4">
        <v>103.67</v>
      </c>
    </row>
    <row r="11">
      <c r="K11" s="4" t="s">
        <v>2833</v>
      </c>
      <c r="L11" s="4">
        <v>37.79</v>
      </c>
    </row>
    <row r="12">
      <c r="E12" s="4" t="s">
        <v>2834</v>
      </c>
      <c r="F12" s="7">
        <f>I10/12</f>
        <v>835.6666667</v>
      </c>
      <c r="K12" s="4" t="s">
        <v>2837</v>
      </c>
      <c r="L12" s="4">
        <v>180.0</v>
      </c>
    </row>
    <row r="13">
      <c r="K13" s="4" t="s">
        <v>2838</v>
      </c>
      <c r="L13" s="4">
        <v>50.0</v>
      </c>
    </row>
    <row r="14">
      <c r="K14" s="4" t="s">
        <v>2839</v>
      </c>
      <c r="L14" s="4">
        <v>150.45</v>
      </c>
    </row>
    <row r="15">
      <c r="K15" s="4" t="s">
        <v>2841</v>
      </c>
      <c r="L15" s="4">
        <v>345.0</v>
      </c>
    </row>
    <row r="16">
      <c r="K16" s="4" t="s">
        <v>2842</v>
      </c>
      <c r="L16" s="4">
        <v>100.0</v>
      </c>
    </row>
    <row r="17">
      <c r="K17" s="4" t="s">
        <v>2844</v>
      </c>
      <c r="L17" s="4">
        <v>96.1</v>
      </c>
    </row>
    <row r="19">
      <c r="K19" s="4" t="s">
        <v>4</v>
      </c>
      <c r="L19" s="81">
        <f>SUM(L7:L17)</f>
        <v>1216.59</v>
      </c>
    </row>
    <row r="24">
      <c r="K24" s="184"/>
      <c r="L24" s="184"/>
      <c r="M24" s="185" t="s">
        <v>2849</v>
      </c>
      <c r="N24" s="184"/>
    </row>
    <row r="25">
      <c r="D25" s="4" t="s">
        <v>2850</v>
      </c>
      <c r="F25" s="4">
        <v>59900.0</v>
      </c>
      <c r="K25" s="186" t="s">
        <v>2852</v>
      </c>
      <c r="L25" s="187">
        <f>SUM(L26:L42)</f>
        <v>21020.6</v>
      </c>
      <c r="M25" s="187">
        <f>SUM(M26:M41)</f>
        <v>7755</v>
      </c>
      <c r="N25" s="184"/>
      <c r="P25" s="186" t="s">
        <v>2854</v>
      </c>
    </row>
    <row r="26">
      <c r="K26" s="184"/>
      <c r="L26" s="187">
        <v>1100.0</v>
      </c>
      <c r="M26" s="184"/>
      <c r="N26" s="184"/>
      <c r="P26" s="4" t="s">
        <v>2855</v>
      </c>
      <c r="Q26" s="4">
        <v>690.0</v>
      </c>
    </row>
    <row r="27">
      <c r="D27" s="4" t="s">
        <v>209</v>
      </c>
      <c r="E27" s="4" t="s">
        <v>2856</v>
      </c>
      <c r="F27" s="4" t="s">
        <v>2857</v>
      </c>
      <c r="I27" s="4" t="s">
        <v>2858</v>
      </c>
      <c r="K27" s="188">
        <v>45545.0</v>
      </c>
      <c r="L27" s="187">
        <v>500.0</v>
      </c>
      <c r="M27" s="184"/>
      <c r="N27" s="184"/>
      <c r="Q27" s="4">
        <v>200.0</v>
      </c>
      <c r="R27" s="4" t="s">
        <v>2859</v>
      </c>
    </row>
    <row r="28">
      <c r="D28" s="4" t="s">
        <v>2860</v>
      </c>
      <c r="E28" s="4">
        <v>613.82</v>
      </c>
      <c r="F28" s="4">
        <v>65114.0</v>
      </c>
      <c r="G28" s="4" t="s">
        <v>2862</v>
      </c>
      <c r="I28" s="7">
        <f t="shared" ref="I28:I32" si="2">F28-$F$25</f>
        <v>5214</v>
      </c>
      <c r="K28" s="190">
        <v>45972.0</v>
      </c>
      <c r="L28" s="187">
        <v>900.0</v>
      </c>
      <c r="M28" s="184"/>
      <c r="N28" s="184"/>
      <c r="Q28" s="4">
        <v>75.0</v>
      </c>
      <c r="R28" s="4" t="s">
        <v>2859</v>
      </c>
    </row>
    <row r="29">
      <c r="D29" s="4" t="s">
        <v>2860</v>
      </c>
      <c r="E29" s="4">
        <v>639.67</v>
      </c>
      <c r="F29" s="4">
        <v>66949.0</v>
      </c>
      <c r="G29" s="4" t="s">
        <v>2863</v>
      </c>
      <c r="H29" s="7">
        <f>F29-F28</f>
        <v>1835</v>
      </c>
      <c r="I29" s="7">
        <f t="shared" si="2"/>
        <v>7049</v>
      </c>
      <c r="K29" s="190">
        <v>45980.0</v>
      </c>
      <c r="L29" s="187">
        <v>900.0</v>
      </c>
      <c r="M29" s="184"/>
      <c r="N29" s="184"/>
      <c r="Q29" s="4">
        <v>5.0</v>
      </c>
      <c r="R29" s="4" t="s">
        <v>2859</v>
      </c>
    </row>
    <row r="30">
      <c r="D30" s="4" t="s">
        <v>2864</v>
      </c>
      <c r="E30" s="4">
        <v>557.71</v>
      </c>
      <c r="F30" s="4">
        <v>66130.0</v>
      </c>
      <c r="G30" s="4" t="s">
        <v>2863</v>
      </c>
      <c r="H30" s="7">
        <f>F30-F28</f>
        <v>1016</v>
      </c>
      <c r="I30" s="7">
        <f t="shared" si="2"/>
        <v>6230</v>
      </c>
      <c r="K30" s="190">
        <v>45989.0</v>
      </c>
      <c r="L30" s="187">
        <v>900.0</v>
      </c>
      <c r="M30" s="184"/>
      <c r="N30" s="184"/>
      <c r="Q30" s="4">
        <v>5.0</v>
      </c>
      <c r="R30" s="4" t="s">
        <v>2859</v>
      </c>
    </row>
    <row r="31">
      <c r="D31" s="4" t="s">
        <v>2866</v>
      </c>
      <c r="E31" s="4">
        <v>475.75</v>
      </c>
      <c r="F31" s="4">
        <v>65311.0</v>
      </c>
      <c r="G31" s="4" t="s">
        <v>2863</v>
      </c>
      <c r="H31" s="7">
        <f>F31-F28</f>
        <v>197</v>
      </c>
      <c r="I31" s="7">
        <f t="shared" si="2"/>
        <v>5411</v>
      </c>
      <c r="K31" s="187" t="s">
        <v>2867</v>
      </c>
      <c r="L31" s="187">
        <v>900.0</v>
      </c>
      <c r="M31" s="184"/>
      <c r="N31" s="184"/>
      <c r="Q31" s="4">
        <v>5.0</v>
      </c>
      <c r="R31" s="4" t="s">
        <v>2859</v>
      </c>
    </row>
    <row r="32">
      <c r="D32" s="4" t="s">
        <v>2869</v>
      </c>
      <c r="E32" s="4">
        <v>393.78</v>
      </c>
      <c r="F32" s="4">
        <v>64491.0</v>
      </c>
      <c r="G32" s="4" t="s">
        <v>2870</v>
      </c>
      <c r="H32" s="7">
        <f>F32-F28</f>
        <v>-623</v>
      </c>
      <c r="I32" s="7">
        <f t="shared" si="2"/>
        <v>4591</v>
      </c>
      <c r="K32" s="187" t="s">
        <v>2872</v>
      </c>
      <c r="L32" s="187">
        <v>900.0</v>
      </c>
      <c r="M32" s="184"/>
      <c r="N32" s="184"/>
    </row>
    <row r="33">
      <c r="K33" s="187" t="s">
        <v>2874</v>
      </c>
      <c r="L33" s="187">
        <v>900.0</v>
      </c>
      <c r="M33" s="184"/>
      <c r="N33" s="184"/>
    </row>
    <row r="34">
      <c r="K34" s="187" t="s">
        <v>2876</v>
      </c>
      <c r="L34" s="187">
        <v>900.0</v>
      </c>
      <c r="M34" s="184"/>
      <c r="N34" s="184"/>
    </row>
    <row r="35">
      <c r="K35" s="187" t="s">
        <v>2877</v>
      </c>
      <c r="L35" s="187">
        <v>2822.0</v>
      </c>
      <c r="M35" s="184"/>
      <c r="N35" s="184"/>
    </row>
    <row r="36">
      <c r="K36" s="187" t="s">
        <v>2880</v>
      </c>
      <c r="L36" s="187">
        <v>-311.4</v>
      </c>
      <c r="M36" s="185" t="s">
        <v>2881</v>
      </c>
    </row>
    <row r="37">
      <c r="K37" s="187" t="s">
        <v>2883</v>
      </c>
      <c r="L37" s="187">
        <v>-140.0</v>
      </c>
      <c r="M37" s="184"/>
      <c r="N37" s="184"/>
    </row>
    <row r="38">
      <c r="K38" s="188">
        <v>45692.0</v>
      </c>
      <c r="L38" s="187">
        <v>750.0</v>
      </c>
      <c r="M38" s="184"/>
      <c r="N38" s="184"/>
    </row>
    <row r="39">
      <c r="K39" s="188">
        <v>45720.0</v>
      </c>
      <c r="L39" s="184"/>
      <c r="M39" s="187">
        <v>4000.0</v>
      </c>
      <c r="N39" s="184"/>
    </row>
    <row r="40">
      <c r="K40" s="187" t="s">
        <v>2886</v>
      </c>
      <c r="L40" s="184"/>
      <c r="M40" s="187">
        <v>1225.0</v>
      </c>
      <c r="N40" s="184"/>
    </row>
    <row r="41">
      <c r="K41" s="188">
        <v>45905.0</v>
      </c>
      <c r="L41" s="184"/>
      <c r="M41" s="187">
        <v>2530.0</v>
      </c>
      <c r="N41" s="184"/>
    </row>
    <row r="42">
      <c r="K42" s="4" t="s">
        <v>2888</v>
      </c>
      <c r="L42" s="4">
        <v>10000.0</v>
      </c>
    </row>
    <row r="45">
      <c r="N45" s="7">
        <f>L25+6799</f>
        <v>27819.6</v>
      </c>
    </row>
    <row r="51">
      <c r="K51" s="186" t="s">
        <v>2890</v>
      </c>
      <c r="L51" s="4">
        <v>8000.0</v>
      </c>
    </row>
    <row r="52">
      <c r="K52" s="4" t="s">
        <v>2891</v>
      </c>
      <c r="L52" s="4">
        <v>1000.0</v>
      </c>
    </row>
    <row r="53">
      <c r="K53" s="4" t="s">
        <v>2892</v>
      </c>
      <c r="L53" s="4">
        <v>1000.0</v>
      </c>
    </row>
    <row r="59">
      <c r="K59" s="4" t="s">
        <v>4</v>
      </c>
      <c r="L59" s="7">
        <f>L51-L52-L53</f>
        <v>6000</v>
      </c>
    </row>
  </sheetData>
  <mergeCells count="1">
    <mergeCell ref="M36:N36"/>
  </mergeCell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8.0" topLeftCell="I1" activePane="topRight" state="frozen"/>
      <selection activeCell="J2" sqref="J2" pane="topRight"/>
    </sheetView>
  </sheetViews>
  <sheetFormatPr customHeight="1" defaultColWidth="12.63" defaultRowHeight="15.75"/>
  <sheetData>
    <row r="2">
      <c r="A2" s="194"/>
      <c r="B2" s="194"/>
      <c r="C2" s="194"/>
      <c r="D2" s="194"/>
      <c r="E2" s="194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</row>
    <row r="3">
      <c r="A3" s="194"/>
      <c r="B3" s="194"/>
      <c r="C3" s="194"/>
      <c r="D3" s="194"/>
      <c r="E3" s="194"/>
      <c r="F3" s="194"/>
      <c r="G3" s="194"/>
      <c r="H3" s="194"/>
      <c r="I3" s="194"/>
      <c r="J3" s="194"/>
      <c r="K3" s="194"/>
      <c r="L3" s="194"/>
      <c r="M3" s="194"/>
      <c r="N3" s="194"/>
      <c r="O3" s="194"/>
      <c r="P3" s="194"/>
      <c r="Q3" s="194"/>
      <c r="R3" s="194"/>
      <c r="S3" s="194"/>
      <c r="T3" s="194"/>
    </row>
    <row r="4">
      <c r="A4" s="194"/>
      <c r="B4" s="194"/>
      <c r="C4" s="194"/>
      <c r="D4" s="194"/>
      <c r="E4" s="194"/>
      <c r="F4" s="194"/>
      <c r="G4" s="194"/>
      <c r="H4" s="194"/>
      <c r="I4" s="194"/>
      <c r="J4" s="194"/>
      <c r="K4" s="194"/>
      <c r="L4" s="194"/>
      <c r="M4" s="194"/>
      <c r="N4" s="194"/>
      <c r="O4" s="194"/>
      <c r="P4" s="194"/>
      <c r="Q4" s="194"/>
      <c r="R4" s="194"/>
      <c r="S4" s="194"/>
      <c r="T4" s="194"/>
    </row>
    <row r="5">
      <c r="A5" s="194"/>
      <c r="B5" s="194"/>
      <c r="C5" s="194"/>
      <c r="D5" s="194"/>
      <c r="E5" s="194"/>
      <c r="F5" s="194"/>
      <c r="G5" s="194"/>
      <c r="H5" s="194"/>
      <c r="I5" s="194"/>
      <c r="J5" s="194"/>
      <c r="K5" s="194"/>
      <c r="L5" s="194"/>
      <c r="M5" s="194"/>
      <c r="N5" s="194"/>
      <c r="O5" s="194"/>
      <c r="P5" s="194"/>
      <c r="Q5" s="194"/>
      <c r="R5" s="194"/>
      <c r="S5" s="194"/>
      <c r="T5" s="194"/>
    </row>
    <row r="6">
      <c r="A6" s="194"/>
      <c r="B6" s="195" t="s">
        <v>2931</v>
      </c>
      <c r="C6" s="194"/>
      <c r="D6" s="194"/>
      <c r="E6" s="194"/>
      <c r="F6" s="194"/>
      <c r="G6" s="194"/>
      <c r="H6" s="194"/>
      <c r="I6" s="196"/>
      <c r="J6" s="196"/>
      <c r="K6" s="196"/>
      <c r="L6" s="196"/>
      <c r="M6" s="196"/>
      <c r="N6" s="196"/>
      <c r="O6" s="196"/>
      <c r="P6" s="196"/>
      <c r="Q6" s="196"/>
      <c r="R6" s="196"/>
      <c r="S6" s="196"/>
      <c r="T6" s="196"/>
    </row>
    <row r="7">
      <c r="A7" s="194"/>
      <c r="B7" s="197" t="s">
        <v>2933</v>
      </c>
      <c r="C7" s="198">
        <v>9.3216477E8</v>
      </c>
      <c r="D7" s="194"/>
      <c r="E7" s="194"/>
      <c r="F7" s="194"/>
      <c r="G7" s="194"/>
      <c r="H7" s="194"/>
      <c r="I7" s="194"/>
      <c r="J7" s="194"/>
      <c r="K7" s="194"/>
      <c r="L7" s="194"/>
      <c r="M7" s="194"/>
      <c r="N7" s="194"/>
      <c r="O7" s="194"/>
      <c r="P7" s="194"/>
      <c r="Q7" s="194"/>
      <c r="R7" s="194"/>
      <c r="S7" s="194"/>
      <c r="T7" s="194"/>
    </row>
    <row r="8">
      <c r="A8" s="194"/>
      <c r="B8" s="194"/>
      <c r="C8" s="194"/>
      <c r="D8" s="194"/>
      <c r="E8" s="194"/>
      <c r="F8" s="194"/>
      <c r="G8" s="194"/>
      <c r="H8" s="194"/>
      <c r="I8" s="194"/>
      <c r="J8" s="194"/>
      <c r="K8" s="194"/>
      <c r="L8" s="194"/>
      <c r="M8" s="194"/>
      <c r="N8" s="194"/>
      <c r="O8" s="194"/>
      <c r="P8" s="194"/>
      <c r="Q8" s="194"/>
      <c r="R8" s="194"/>
      <c r="S8" s="194"/>
      <c r="T8" s="194"/>
    </row>
    <row r="9">
      <c r="A9" s="194"/>
      <c r="B9" s="194"/>
      <c r="C9" s="194"/>
      <c r="D9" s="194"/>
      <c r="E9" s="194"/>
      <c r="F9" s="194"/>
      <c r="G9" s="194"/>
      <c r="H9" s="194"/>
      <c r="I9" s="194"/>
      <c r="J9" s="194"/>
      <c r="K9" s="194"/>
      <c r="L9" s="194"/>
      <c r="M9" s="194"/>
      <c r="N9" s="194"/>
      <c r="O9" s="194"/>
      <c r="P9" s="194"/>
      <c r="Q9" s="194"/>
      <c r="R9" s="194"/>
      <c r="S9" s="194"/>
      <c r="T9" s="194"/>
    </row>
    <row r="10">
      <c r="A10" s="194"/>
      <c r="B10" s="194"/>
      <c r="C10" s="194"/>
      <c r="D10" s="194"/>
      <c r="E10" s="194"/>
      <c r="F10" s="194"/>
      <c r="G10" s="194"/>
      <c r="H10" s="198">
        <v>2022.0</v>
      </c>
      <c r="I10" s="194"/>
      <c r="J10" s="194"/>
      <c r="K10" s="194"/>
      <c r="L10" s="194"/>
      <c r="M10" s="194"/>
      <c r="N10" s="194"/>
      <c r="O10" s="194"/>
      <c r="P10" s="194"/>
      <c r="Q10" s="194"/>
      <c r="R10" s="194"/>
      <c r="S10" s="194"/>
      <c r="T10" s="194"/>
    </row>
    <row r="11">
      <c r="A11" s="194"/>
      <c r="B11" s="194"/>
      <c r="C11" s="194"/>
      <c r="D11" s="194"/>
      <c r="E11" s="194"/>
      <c r="F11" s="194"/>
      <c r="G11" s="194"/>
      <c r="H11" s="194"/>
      <c r="I11" s="201" t="s">
        <v>2936</v>
      </c>
      <c r="J11" s="201" t="s">
        <v>2937</v>
      </c>
      <c r="K11" s="201" t="s">
        <v>2938</v>
      </c>
      <c r="L11" s="201" t="s">
        <v>2939</v>
      </c>
      <c r="M11" s="201" t="s">
        <v>2940</v>
      </c>
      <c r="N11" s="201" t="s">
        <v>2941</v>
      </c>
      <c r="O11" s="201" t="s">
        <v>2942</v>
      </c>
      <c r="P11" s="201" t="s">
        <v>2943</v>
      </c>
      <c r="Q11" s="201" t="s">
        <v>2944</v>
      </c>
      <c r="R11" s="201" t="s">
        <v>2945</v>
      </c>
      <c r="S11" s="201" t="s">
        <v>2946</v>
      </c>
      <c r="T11" s="201" t="s">
        <v>2947</v>
      </c>
    </row>
    <row r="12">
      <c r="A12" s="194"/>
      <c r="B12" s="194"/>
      <c r="C12" s="194"/>
      <c r="D12" s="194"/>
      <c r="E12" s="194"/>
      <c r="F12" s="194"/>
      <c r="G12" s="194"/>
      <c r="H12" s="202" t="s">
        <v>2948</v>
      </c>
      <c r="I12" s="198">
        <v>0.0</v>
      </c>
      <c r="J12" s="194"/>
      <c r="K12" s="194"/>
      <c r="L12" s="194"/>
      <c r="M12" s="198" t="s">
        <v>2949</v>
      </c>
      <c r="N12" s="198" t="s">
        <v>2950</v>
      </c>
      <c r="O12" s="198" t="s">
        <v>2951</v>
      </c>
      <c r="P12" s="198" t="s">
        <v>2952</v>
      </c>
      <c r="Q12" s="198" t="s">
        <v>2953</v>
      </c>
      <c r="R12" s="198" t="s">
        <v>2954</v>
      </c>
      <c r="S12" s="198" t="s">
        <v>2955</v>
      </c>
      <c r="T12" s="198" t="s">
        <v>2956</v>
      </c>
    </row>
    <row r="13">
      <c r="A13" s="194"/>
      <c r="B13" s="194"/>
      <c r="C13" s="194"/>
      <c r="D13" s="194"/>
      <c r="E13" s="194"/>
      <c r="F13" s="194"/>
      <c r="G13" s="194"/>
      <c r="H13" s="203" t="s">
        <v>2957</v>
      </c>
      <c r="I13" s="198">
        <v>0.0</v>
      </c>
      <c r="J13" s="194"/>
      <c r="K13" s="194"/>
      <c r="L13" s="194"/>
      <c r="M13" s="198" t="s">
        <v>2958</v>
      </c>
      <c r="N13" s="198" t="s">
        <v>2959</v>
      </c>
      <c r="O13" s="198" t="s">
        <v>2960</v>
      </c>
      <c r="P13" s="198" t="s">
        <v>2961</v>
      </c>
      <c r="Q13" s="198" t="s">
        <v>2962</v>
      </c>
      <c r="R13" s="198" t="s">
        <v>2963</v>
      </c>
      <c r="S13" s="198" t="s">
        <v>2964</v>
      </c>
      <c r="T13" s="198" t="s">
        <v>2965</v>
      </c>
    </row>
    <row r="14">
      <c r="A14" s="194"/>
      <c r="B14" s="194"/>
      <c r="C14" s="194"/>
      <c r="D14" s="194"/>
      <c r="E14" s="194"/>
      <c r="F14" s="194"/>
      <c r="G14" s="194"/>
      <c r="H14" s="204" t="s">
        <v>2966</v>
      </c>
      <c r="I14" s="194"/>
      <c r="J14" s="194"/>
      <c r="K14" s="198">
        <v>16.0</v>
      </c>
      <c r="L14" s="198">
        <v>16.0</v>
      </c>
      <c r="M14" s="198">
        <v>16.0</v>
      </c>
      <c r="N14" s="198">
        <v>16.0</v>
      </c>
      <c r="O14" s="198">
        <v>16.0</v>
      </c>
      <c r="P14" s="198">
        <v>16.0</v>
      </c>
      <c r="Q14" s="198">
        <v>16.0</v>
      </c>
      <c r="R14" s="198">
        <v>16.0</v>
      </c>
      <c r="S14" s="198">
        <v>16.0</v>
      </c>
      <c r="T14" s="198">
        <v>16.0</v>
      </c>
    </row>
    <row r="15">
      <c r="A15" s="194"/>
      <c r="B15" s="194"/>
      <c r="C15" s="194"/>
      <c r="D15" s="195" t="s">
        <v>4</v>
      </c>
      <c r="E15" s="198">
        <v>0.0</v>
      </c>
      <c r="F15" s="194"/>
      <c r="G15" s="194"/>
      <c r="H15" s="195" t="s">
        <v>4</v>
      </c>
      <c r="I15" s="205">
        <v>0.0</v>
      </c>
      <c r="J15" s="205">
        <v>0.0</v>
      </c>
      <c r="K15" s="205">
        <v>16.0</v>
      </c>
      <c r="L15" s="205">
        <v>16.0</v>
      </c>
      <c r="M15" s="205" t="s">
        <v>2967</v>
      </c>
      <c r="N15" s="205" t="s">
        <v>2968</v>
      </c>
      <c r="O15" s="205" t="s">
        <v>2969</v>
      </c>
      <c r="P15" s="205" t="s">
        <v>2970</v>
      </c>
      <c r="Q15" s="205" t="s">
        <v>2971</v>
      </c>
      <c r="R15" s="205" t="s">
        <v>2972</v>
      </c>
      <c r="S15" s="205" t="s">
        <v>2973</v>
      </c>
      <c r="T15" s="205" t="s">
        <v>2974</v>
      </c>
    </row>
    <row r="16">
      <c r="A16" s="194"/>
      <c r="B16" s="194"/>
      <c r="C16" s="194"/>
      <c r="D16" s="194"/>
      <c r="E16" s="194"/>
      <c r="F16" s="194"/>
      <c r="G16" s="194"/>
      <c r="H16" s="194"/>
      <c r="I16" s="194"/>
      <c r="J16" s="194"/>
      <c r="K16" s="194"/>
      <c r="L16" s="194"/>
      <c r="M16" s="194"/>
      <c r="N16" s="194"/>
      <c r="O16" s="194"/>
      <c r="P16" s="194"/>
      <c r="Q16" s="194"/>
      <c r="R16" s="194"/>
      <c r="S16" s="194"/>
      <c r="T16" s="194"/>
    </row>
    <row r="17">
      <c r="A17" s="194"/>
      <c r="B17" s="194"/>
      <c r="C17" s="195" t="s">
        <v>2975</v>
      </c>
      <c r="D17" s="197" t="s">
        <v>9</v>
      </c>
      <c r="E17" s="197" t="s">
        <v>2976</v>
      </c>
      <c r="F17" s="194"/>
      <c r="G17" s="194"/>
      <c r="H17" s="194"/>
      <c r="I17" s="194"/>
      <c r="J17" s="194"/>
      <c r="K17" s="194"/>
      <c r="L17" s="194"/>
      <c r="M17" s="194"/>
      <c r="N17" s="194"/>
      <c r="O17" s="194"/>
      <c r="P17" s="194"/>
      <c r="Q17" s="194"/>
      <c r="R17" s="194"/>
      <c r="S17" s="194"/>
      <c r="T17" s="194"/>
    </row>
    <row r="18">
      <c r="A18" s="194"/>
      <c r="B18" s="194"/>
      <c r="C18" s="197" t="s">
        <v>2977</v>
      </c>
      <c r="D18" s="206">
        <v>44411.0</v>
      </c>
      <c r="E18" s="194"/>
      <c r="F18" s="194"/>
      <c r="G18" s="194"/>
      <c r="H18" s="194"/>
      <c r="I18" s="194"/>
      <c r="J18" s="194"/>
      <c r="K18" s="194"/>
      <c r="L18" s="194"/>
      <c r="M18" s="194"/>
      <c r="N18" s="194"/>
      <c r="O18" s="194"/>
      <c r="P18" s="194"/>
      <c r="Q18" s="194"/>
      <c r="R18" s="194"/>
      <c r="S18" s="194"/>
      <c r="T18" s="194"/>
    </row>
    <row r="19">
      <c r="A19" s="194"/>
      <c r="B19" s="194"/>
      <c r="C19" s="194"/>
      <c r="D19" s="194"/>
      <c r="E19" s="194"/>
      <c r="F19" s="194"/>
      <c r="G19" s="194"/>
      <c r="H19" s="198">
        <v>2023.0</v>
      </c>
      <c r="I19" s="194"/>
      <c r="J19" s="194"/>
      <c r="K19" s="194"/>
      <c r="L19" s="194"/>
      <c r="M19" s="194"/>
      <c r="N19" s="194"/>
      <c r="O19" s="194"/>
      <c r="P19" s="194"/>
      <c r="Q19" s="194"/>
      <c r="R19" s="194"/>
      <c r="S19" s="194"/>
      <c r="T19" s="194"/>
    </row>
    <row r="20">
      <c r="A20" s="194"/>
      <c r="B20" s="194"/>
      <c r="C20" s="194"/>
      <c r="D20" s="194"/>
      <c r="E20" s="194"/>
      <c r="F20" s="194"/>
      <c r="G20" s="194"/>
      <c r="H20" s="194"/>
      <c r="I20" s="201" t="s">
        <v>2936</v>
      </c>
      <c r="J20" s="201" t="s">
        <v>2937</v>
      </c>
      <c r="K20" s="201" t="s">
        <v>2938</v>
      </c>
      <c r="L20" s="201" t="s">
        <v>2939</v>
      </c>
      <c r="M20" s="201" t="s">
        <v>2940</v>
      </c>
      <c r="N20" s="201" t="s">
        <v>2941</v>
      </c>
      <c r="O20" s="201" t="s">
        <v>2942</v>
      </c>
      <c r="P20" s="201" t="s">
        <v>2943</v>
      </c>
      <c r="Q20" s="201" t="s">
        <v>2944</v>
      </c>
      <c r="R20" s="201" t="s">
        <v>2945</v>
      </c>
      <c r="S20" s="201" t="s">
        <v>2946</v>
      </c>
      <c r="T20" s="201" t="s">
        <v>2947</v>
      </c>
    </row>
    <row r="21">
      <c r="A21" s="194"/>
      <c r="B21" s="194"/>
      <c r="C21" s="194"/>
      <c r="D21" s="194"/>
      <c r="E21" s="194"/>
      <c r="F21" s="194"/>
      <c r="G21" s="194"/>
      <c r="H21" s="202" t="s">
        <v>2948</v>
      </c>
      <c r="I21" s="198" t="s">
        <v>2978</v>
      </c>
      <c r="J21" s="198" t="s">
        <v>2979</v>
      </c>
      <c r="K21" s="198" t="s">
        <v>2980</v>
      </c>
      <c r="L21" s="198" t="s">
        <v>2981</v>
      </c>
      <c r="M21" s="198" t="s">
        <v>2982</v>
      </c>
      <c r="N21" s="198" t="s">
        <v>2983</v>
      </c>
      <c r="O21" s="198" t="s">
        <v>2984</v>
      </c>
      <c r="P21" s="198" t="s">
        <v>2985</v>
      </c>
      <c r="Q21" s="198" t="s">
        <v>2986</v>
      </c>
      <c r="R21" s="198" t="s">
        <v>2987</v>
      </c>
      <c r="S21" s="198" t="s">
        <v>2988</v>
      </c>
      <c r="T21" s="198" t="s">
        <v>2989</v>
      </c>
    </row>
    <row r="22">
      <c r="A22" s="194"/>
      <c r="B22" s="194"/>
      <c r="C22" s="197" t="s">
        <v>2990</v>
      </c>
      <c r="D22" s="198">
        <v>2550.0</v>
      </c>
      <c r="E22" s="194"/>
      <c r="F22" s="194"/>
      <c r="G22" s="194"/>
      <c r="H22" s="203" t="s">
        <v>2957</v>
      </c>
      <c r="I22" s="198" t="s">
        <v>2991</v>
      </c>
      <c r="J22" s="198" t="s">
        <v>2992</v>
      </c>
      <c r="K22" s="198" t="s">
        <v>2993</v>
      </c>
      <c r="L22" s="198" t="s">
        <v>2994</v>
      </c>
      <c r="M22" s="198" t="s">
        <v>2995</v>
      </c>
      <c r="N22" s="198" t="s">
        <v>2996</v>
      </c>
      <c r="O22" s="198" t="s">
        <v>2997</v>
      </c>
      <c r="P22" s="198" t="s">
        <v>2968</v>
      </c>
      <c r="Q22" s="198" t="s">
        <v>2996</v>
      </c>
      <c r="R22" s="198" t="s">
        <v>2998</v>
      </c>
      <c r="S22" s="198" t="s">
        <v>2999</v>
      </c>
      <c r="T22" s="198" t="s">
        <v>3000</v>
      </c>
    </row>
    <row r="23">
      <c r="A23" s="194"/>
      <c r="B23" s="194"/>
      <c r="C23" s="194"/>
      <c r="D23" s="194"/>
      <c r="E23" s="194"/>
      <c r="F23" s="194"/>
      <c r="G23" s="194"/>
      <c r="H23" s="204" t="s">
        <v>2966</v>
      </c>
      <c r="I23" s="198">
        <v>16.0</v>
      </c>
      <c r="J23" s="198">
        <v>16.0</v>
      </c>
      <c r="K23" s="198">
        <v>16.0</v>
      </c>
      <c r="L23" s="198">
        <v>16.0</v>
      </c>
      <c r="M23" s="198">
        <v>16.0</v>
      </c>
      <c r="N23" s="198">
        <v>16.0</v>
      </c>
      <c r="O23" s="198">
        <v>16.0</v>
      </c>
      <c r="P23" s="198">
        <v>16.0</v>
      </c>
      <c r="Q23" s="198">
        <v>16.0</v>
      </c>
      <c r="R23" s="198">
        <v>16.0</v>
      </c>
      <c r="S23" s="198">
        <v>16.0</v>
      </c>
      <c r="T23" s="198">
        <v>16.0</v>
      </c>
    </row>
    <row r="24">
      <c r="A24" s="194"/>
      <c r="B24" s="194"/>
      <c r="C24" s="194"/>
      <c r="D24" s="194"/>
      <c r="E24" s="194"/>
      <c r="F24" s="194"/>
      <c r="G24" s="194"/>
      <c r="H24" s="195" t="s">
        <v>4</v>
      </c>
      <c r="I24" s="205" t="s">
        <v>3001</v>
      </c>
      <c r="J24" s="205" t="s">
        <v>3002</v>
      </c>
      <c r="K24" s="205" t="s">
        <v>3003</v>
      </c>
      <c r="L24" s="205" t="s">
        <v>3004</v>
      </c>
      <c r="M24" s="205" t="s">
        <v>3005</v>
      </c>
      <c r="N24" s="205" t="s">
        <v>3006</v>
      </c>
      <c r="O24" s="205" t="s">
        <v>3007</v>
      </c>
      <c r="P24" s="205" t="s">
        <v>3008</v>
      </c>
      <c r="Q24" s="205" t="s">
        <v>3009</v>
      </c>
      <c r="R24" s="205" t="s">
        <v>3010</v>
      </c>
      <c r="S24" s="205" t="s">
        <v>3011</v>
      </c>
      <c r="T24" s="205" t="s">
        <v>3012</v>
      </c>
    </row>
    <row r="25">
      <c r="A25" s="194"/>
      <c r="B25" s="194"/>
      <c r="C25" s="194"/>
      <c r="D25" s="194"/>
      <c r="E25" s="194"/>
      <c r="F25" s="194"/>
      <c r="G25" s="194"/>
      <c r="H25" s="194"/>
      <c r="I25" s="194"/>
      <c r="J25" s="194"/>
      <c r="K25" s="194"/>
      <c r="L25" s="194"/>
      <c r="M25" s="194"/>
      <c r="N25" s="194"/>
      <c r="O25" s="194"/>
      <c r="P25" s="194"/>
      <c r="Q25" s="194"/>
      <c r="R25" s="194"/>
      <c r="S25" s="194"/>
      <c r="T25" s="194"/>
    </row>
    <row r="26">
      <c r="A26" s="194"/>
      <c r="B26" s="194"/>
      <c r="C26" s="197" t="s">
        <v>3013</v>
      </c>
      <c r="D26" s="197">
        <v>9.65567538E8</v>
      </c>
      <c r="E26" s="194"/>
      <c r="F26" s="194"/>
      <c r="G26" s="194"/>
      <c r="H26" s="194"/>
      <c r="I26" s="194"/>
      <c r="J26" s="194"/>
      <c r="K26" s="194"/>
      <c r="L26" s="194"/>
      <c r="M26" s="194"/>
      <c r="N26" s="194"/>
      <c r="O26" s="194"/>
      <c r="P26" s="194"/>
      <c r="Q26" s="194"/>
      <c r="R26" s="194"/>
      <c r="S26" s="194"/>
      <c r="T26" s="194"/>
    </row>
    <row r="27">
      <c r="A27" s="194"/>
      <c r="B27" s="194"/>
      <c r="C27" s="197" t="s">
        <v>3015</v>
      </c>
      <c r="D27" s="198">
        <v>9.17615784E8</v>
      </c>
      <c r="E27" s="194"/>
      <c r="F27" s="194"/>
      <c r="G27" s="194"/>
      <c r="H27" s="198">
        <v>2024.0</v>
      </c>
      <c r="I27" s="194"/>
      <c r="J27" s="194"/>
      <c r="K27" s="194"/>
      <c r="L27" s="194"/>
      <c r="M27" s="194"/>
      <c r="N27" s="194"/>
      <c r="O27" s="194"/>
      <c r="P27" s="194"/>
      <c r="Q27" s="194"/>
      <c r="R27" s="194"/>
      <c r="S27" s="194"/>
      <c r="T27" s="194"/>
    </row>
    <row r="28">
      <c r="A28" s="194"/>
      <c r="B28" s="194"/>
      <c r="C28" s="194"/>
      <c r="D28" s="194"/>
      <c r="E28" s="194"/>
      <c r="F28" s="194"/>
      <c r="G28" s="194"/>
      <c r="H28" s="194"/>
      <c r="I28" s="201" t="s">
        <v>2936</v>
      </c>
      <c r="J28" s="201" t="s">
        <v>2937</v>
      </c>
      <c r="K28" s="201" t="s">
        <v>2938</v>
      </c>
      <c r="L28" s="201" t="s">
        <v>2939</v>
      </c>
      <c r="M28" s="201" t="s">
        <v>2940</v>
      </c>
      <c r="N28" s="201" t="s">
        <v>2941</v>
      </c>
      <c r="O28" s="201" t="s">
        <v>2942</v>
      </c>
      <c r="P28" s="201" t="s">
        <v>2943</v>
      </c>
      <c r="Q28" s="201" t="s">
        <v>2944</v>
      </c>
      <c r="R28" s="201" t="s">
        <v>2945</v>
      </c>
      <c r="S28" s="201" t="s">
        <v>2946</v>
      </c>
      <c r="T28" s="201" t="s">
        <v>2947</v>
      </c>
    </row>
    <row r="29">
      <c r="A29" s="194"/>
      <c r="B29" s="194"/>
      <c r="C29" s="194"/>
      <c r="D29" s="194"/>
      <c r="E29" s="194"/>
      <c r="F29" s="194"/>
      <c r="G29" s="194"/>
      <c r="H29" s="202" t="s">
        <v>2948</v>
      </c>
      <c r="I29" s="198" t="s">
        <v>3016</v>
      </c>
      <c r="J29" s="198" t="s">
        <v>3018</v>
      </c>
      <c r="K29" s="198" t="s">
        <v>3019</v>
      </c>
      <c r="L29" s="198" t="s">
        <v>3020</v>
      </c>
      <c r="M29" s="198" t="s">
        <v>3021</v>
      </c>
      <c r="N29" s="198" t="s">
        <v>3022</v>
      </c>
      <c r="O29" s="198" t="s">
        <v>3023</v>
      </c>
      <c r="P29" s="198" t="s">
        <v>3024</v>
      </c>
      <c r="Q29" s="198" t="s">
        <v>3025</v>
      </c>
      <c r="R29" s="198" t="s">
        <v>3026</v>
      </c>
      <c r="S29" s="198" t="s">
        <v>3027</v>
      </c>
      <c r="T29" s="198" t="s">
        <v>3028</v>
      </c>
    </row>
    <row r="30">
      <c r="A30" s="194"/>
      <c r="B30" s="194"/>
      <c r="C30" s="197" t="s">
        <v>3029</v>
      </c>
      <c r="D30" s="197">
        <v>95.99</v>
      </c>
      <c r="E30" s="206">
        <v>45420.0</v>
      </c>
      <c r="F30" s="194"/>
      <c r="G30" s="194"/>
      <c r="H30" s="203" t="s">
        <v>2957</v>
      </c>
      <c r="I30" s="198" t="s">
        <v>2999</v>
      </c>
      <c r="J30" s="198" t="s">
        <v>3031</v>
      </c>
      <c r="K30" s="198" t="s">
        <v>3032</v>
      </c>
      <c r="L30" s="198" t="s">
        <v>3033</v>
      </c>
      <c r="M30" s="198" t="s">
        <v>3033</v>
      </c>
      <c r="N30" s="198" t="s">
        <v>3034</v>
      </c>
      <c r="O30" s="198" t="s">
        <v>3035</v>
      </c>
      <c r="P30" s="198" t="s">
        <v>3035</v>
      </c>
      <c r="Q30" s="198" t="s">
        <v>3036</v>
      </c>
      <c r="R30" s="198" t="s">
        <v>3037</v>
      </c>
      <c r="S30" s="198" t="s">
        <v>3038</v>
      </c>
      <c r="T30" s="198" t="s">
        <v>3034</v>
      </c>
    </row>
    <row r="31">
      <c r="A31" s="194"/>
      <c r="B31" s="194"/>
      <c r="C31" s="197" t="s">
        <v>3040</v>
      </c>
      <c r="D31" s="197">
        <v>43.18</v>
      </c>
      <c r="E31" s="197" t="s">
        <v>3041</v>
      </c>
      <c r="F31" s="194"/>
      <c r="G31" s="194"/>
      <c r="H31" s="204" t="s">
        <v>2966</v>
      </c>
      <c r="I31" s="198">
        <v>16.0</v>
      </c>
      <c r="J31" s="198">
        <v>16.0</v>
      </c>
      <c r="K31" s="198">
        <v>16.0</v>
      </c>
      <c r="L31" s="198">
        <v>16.0</v>
      </c>
      <c r="M31" s="198">
        <v>16.0</v>
      </c>
      <c r="N31" s="198">
        <v>16.0</v>
      </c>
      <c r="O31" s="198">
        <v>16.0</v>
      </c>
      <c r="P31" s="198">
        <v>16.0</v>
      </c>
      <c r="Q31" s="198">
        <v>16.0</v>
      </c>
      <c r="R31" s="198">
        <v>16.0</v>
      </c>
      <c r="S31" s="198">
        <v>16.0</v>
      </c>
      <c r="T31" s="198">
        <v>16.0</v>
      </c>
    </row>
    <row r="32">
      <c r="A32" s="194"/>
      <c r="B32" s="194"/>
      <c r="C32" s="194"/>
      <c r="D32" s="194"/>
      <c r="E32" s="194"/>
      <c r="F32" s="194"/>
      <c r="G32" s="194"/>
      <c r="H32" s="195" t="s">
        <v>4</v>
      </c>
      <c r="I32" s="205" t="s">
        <v>3043</v>
      </c>
      <c r="J32" s="205" t="s">
        <v>3044</v>
      </c>
      <c r="K32" s="205" t="s">
        <v>3045</v>
      </c>
      <c r="L32" s="205" t="s">
        <v>3046</v>
      </c>
      <c r="M32" s="205" t="s">
        <v>3047</v>
      </c>
      <c r="N32" s="205" t="s">
        <v>3048</v>
      </c>
      <c r="O32" s="205" t="s">
        <v>3050</v>
      </c>
      <c r="P32" s="205" t="s">
        <v>3051</v>
      </c>
      <c r="Q32" s="205" t="s">
        <v>3052</v>
      </c>
      <c r="R32" s="205" t="s">
        <v>3053</v>
      </c>
      <c r="S32" s="205" t="s">
        <v>3054</v>
      </c>
      <c r="T32" s="205" t="s">
        <v>3055</v>
      </c>
    </row>
    <row r="33">
      <c r="A33" s="194"/>
      <c r="B33" s="194"/>
      <c r="C33" s="194"/>
      <c r="D33" s="194"/>
      <c r="E33" s="194"/>
      <c r="F33" s="194"/>
      <c r="G33" s="194"/>
      <c r="H33" s="194"/>
      <c r="I33" s="194"/>
      <c r="J33" s="194"/>
      <c r="K33" s="194"/>
      <c r="L33" s="194"/>
      <c r="M33" s="194"/>
      <c r="N33" s="194"/>
      <c r="O33" s="194"/>
      <c r="P33" s="194"/>
      <c r="Q33" s="194"/>
      <c r="R33" s="194"/>
      <c r="S33" s="194"/>
      <c r="T33" s="194"/>
    </row>
    <row r="34">
      <c r="A34" s="194"/>
      <c r="B34" s="194"/>
      <c r="C34" s="194"/>
      <c r="D34" s="194"/>
      <c r="E34" s="194"/>
      <c r="F34" s="194"/>
      <c r="G34" s="194"/>
      <c r="H34" s="194"/>
      <c r="I34" s="194"/>
      <c r="J34" s="194"/>
      <c r="K34" s="194"/>
      <c r="L34" s="194"/>
      <c r="M34" s="194"/>
      <c r="N34" s="194"/>
      <c r="O34" s="194"/>
      <c r="P34" s="194"/>
      <c r="Q34" s="194"/>
      <c r="R34" s="194"/>
      <c r="S34" s="194"/>
      <c r="T34" s="194"/>
    </row>
    <row r="35">
      <c r="A35" s="194"/>
      <c r="B35" s="194"/>
      <c r="C35" s="194"/>
      <c r="D35" s="194"/>
      <c r="E35" s="194"/>
      <c r="F35" s="194"/>
      <c r="G35" s="194"/>
      <c r="H35" s="198">
        <v>2025.0</v>
      </c>
      <c r="I35" s="194"/>
      <c r="J35" s="194"/>
      <c r="K35" s="194"/>
      <c r="L35" s="194"/>
      <c r="M35" s="194"/>
      <c r="N35" s="194"/>
      <c r="O35" s="194"/>
      <c r="P35" s="194"/>
      <c r="Q35" s="194"/>
      <c r="R35" s="194"/>
      <c r="S35" s="194"/>
      <c r="T35" s="194"/>
    </row>
    <row r="36">
      <c r="A36" s="194"/>
      <c r="B36" s="194"/>
      <c r="C36" s="194"/>
      <c r="D36" s="194"/>
      <c r="E36" s="194"/>
      <c r="F36" s="194"/>
      <c r="G36" s="194"/>
      <c r="H36" s="194"/>
      <c r="I36" s="201" t="s">
        <v>2936</v>
      </c>
      <c r="J36" s="201" t="s">
        <v>2937</v>
      </c>
      <c r="K36" s="201" t="s">
        <v>2938</v>
      </c>
      <c r="L36" s="201" t="s">
        <v>2939</v>
      </c>
      <c r="M36" s="201" t="s">
        <v>2940</v>
      </c>
      <c r="N36" s="201" t="s">
        <v>2941</v>
      </c>
      <c r="O36" s="201" t="s">
        <v>2942</v>
      </c>
      <c r="P36" s="201" t="s">
        <v>2943</v>
      </c>
      <c r="Q36" s="201" t="s">
        <v>2944</v>
      </c>
      <c r="R36" s="201" t="s">
        <v>2945</v>
      </c>
      <c r="S36" s="201" t="s">
        <v>2946</v>
      </c>
      <c r="T36" s="201" t="s">
        <v>2947</v>
      </c>
    </row>
    <row r="37">
      <c r="A37" s="194"/>
      <c r="B37" s="194"/>
      <c r="C37" s="194"/>
      <c r="D37" s="194"/>
      <c r="E37" s="194"/>
      <c r="F37" s="194"/>
      <c r="G37" s="194"/>
      <c r="H37" s="202" t="s">
        <v>2948</v>
      </c>
      <c r="I37" s="198" t="s">
        <v>3059</v>
      </c>
      <c r="J37" s="198" t="s">
        <v>3060</v>
      </c>
      <c r="K37" s="198" t="s">
        <v>3061</v>
      </c>
      <c r="L37" s="198" t="s">
        <v>3062</v>
      </c>
      <c r="M37" s="198" t="s">
        <v>3063</v>
      </c>
      <c r="N37" s="197">
        <v>23.28</v>
      </c>
      <c r="O37" s="197">
        <v>24.6</v>
      </c>
      <c r="P37" s="194"/>
      <c r="Q37" s="194"/>
      <c r="R37" s="194"/>
      <c r="S37" s="194"/>
      <c r="T37" s="194"/>
    </row>
    <row r="38">
      <c r="A38" s="194"/>
      <c r="B38" s="194"/>
      <c r="C38" s="194"/>
      <c r="D38" s="194"/>
      <c r="E38" s="194"/>
      <c r="F38" s="194"/>
      <c r="G38" s="194"/>
      <c r="H38" s="203" t="s">
        <v>2957</v>
      </c>
      <c r="I38" s="198" t="s">
        <v>3065</v>
      </c>
      <c r="J38" s="198" t="s">
        <v>3066</v>
      </c>
      <c r="K38" s="198" t="s">
        <v>3067</v>
      </c>
      <c r="L38" s="198" t="s">
        <v>3068</v>
      </c>
      <c r="M38" s="198" t="s">
        <v>3069</v>
      </c>
      <c r="N38" s="197">
        <v>21.8</v>
      </c>
      <c r="O38" s="197">
        <v>21.18</v>
      </c>
      <c r="P38" s="194"/>
      <c r="Q38" s="194"/>
      <c r="R38" s="194"/>
      <c r="S38" s="194"/>
      <c r="T38" s="194"/>
    </row>
    <row r="39">
      <c r="A39" s="194"/>
      <c r="B39" s="194"/>
      <c r="C39" s="194"/>
      <c r="D39" s="194"/>
      <c r="E39" s="194"/>
      <c r="F39" s="194"/>
      <c r="G39" s="194"/>
      <c r="H39" s="204" t="s">
        <v>2966</v>
      </c>
      <c r="I39" s="198">
        <v>20.0</v>
      </c>
      <c r="J39" s="198">
        <v>20.0</v>
      </c>
      <c r="K39" s="198">
        <v>20.0</v>
      </c>
      <c r="L39" s="198">
        <v>20.0</v>
      </c>
      <c r="M39" s="198">
        <v>20.0</v>
      </c>
      <c r="N39" s="198">
        <v>20.0</v>
      </c>
      <c r="O39" s="198">
        <v>20.0</v>
      </c>
      <c r="P39" s="198">
        <v>20.0</v>
      </c>
      <c r="Q39" s="198">
        <v>20.0</v>
      </c>
      <c r="R39" s="198">
        <v>20.0</v>
      </c>
      <c r="S39" s="198">
        <v>20.0</v>
      </c>
      <c r="T39" s="198">
        <v>20.0</v>
      </c>
    </row>
    <row r="40">
      <c r="A40" s="194"/>
      <c r="B40" s="194"/>
      <c r="C40" s="194"/>
      <c r="D40" s="194"/>
      <c r="E40" s="194"/>
      <c r="F40" s="194"/>
      <c r="G40" s="194"/>
      <c r="H40" s="195" t="s">
        <v>4</v>
      </c>
      <c r="I40" s="205" t="s">
        <v>3070</v>
      </c>
      <c r="J40" s="205" t="s">
        <v>3071</v>
      </c>
      <c r="K40" s="205" t="s">
        <v>3072</v>
      </c>
      <c r="L40" s="205" t="s">
        <v>3073</v>
      </c>
      <c r="M40" s="205" t="s">
        <v>3074</v>
      </c>
      <c r="N40" s="205">
        <f t="shared" ref="N40:T40" si="1">sum(N37:N39)</f>
        <v>65.08</v>
      </c>
      <c r="O40" s="205">
        <f t="shared" si="1"/>
        <v>65.78</v>
      </c>
      <c r="P40" s="205">
        <f t="shared" si="1"/>
        <v>20</v>
      </c>
      <c r="Q40" s="205">
        <f t="shared" si="1"/>
        <v>20</v>
      </c>
      <c r="R40" s="205">
        <f t="shared" si="1"/>
        <v>20</v>
      </c>
      <c r="S40" s="205">
        <f t="shared" si="1"/>
        <v>20</v>
      </c>
      <c r="T40" s="205">
        <f t="shared" si="1"/>
        <v>20</v>
      </c>
    </row>
    <row r="44">
      <c r="B44" s="194"/>
      <c r="C44" s="194"/>
      <c r="D44" s="197" t="s">
        <v>2856</v>
      </c>
      <c r="E44" s="198">
        <v>100.0</v>
      </c>
      <c r="F44" s="198">
        <v>900.0</v>
      </c>
      <c r="G44" s="194"/>
      <c r="I44" s="172"/>
      <c r="J44" s="172"/>
      <c r="K44" s="172"/>
      <c r="L44" s="172"/>
      <c r="M44" s="172"/>
      <c r="N44" s="172"/>
      <c r="O44" s="172"/>
      <c r="P44" s="172"/>
      <c r="Q44" s="172"/>
      <c r="R44" s="172"/>
      <c r="S44" s="172"/>
      <c r="T44" s="172"/>
      <c r="U44" s="172"/>
      <c r="V44" s="172"/>
    </row>
    <row r="45">
      <c r="B45" s="194"/>
      <c r="C45" s="194"/>
      <c r="D45" s="197" t="s">
        <v>2948</v>
      </c>
      <c r="E45" s="198">
        <v>12.3</v>
      </c>
      <c r="F45" s="198">
        <v>0.0</v>
      </c>
      <c r="G45" s="194"/>
      <c r="I45" s="172"/>
      <c r="J45" s="172"/>
      <c r="K45" s="172"/>
      <c r="L45" s="172"/>
      <c r="M45" s="172"/>
      <c r="N45" s="172"/>
      <c r="O45" s="172"/>
      <c r="P45" s="172"/>
      <c r="Q45" s="172"/>
      <c r="R45" s="172"/>
      <c r="S45" s="172"/>
      <c r="T45" s="172"/>
      <c r="U45" s="172"/>
      <c r="V45" s="172"/>
    </row>
    <row r="46">
      <c r="B46" s="194"/>
      <c r="C46" s="194"/>
      <c r="D46" s="197" t="s">
        <v>2957</v>
      </c>
      <c r="E46" s="198">
        <v>10.59</v>
      </c>
      <c r="F46" s="198">
        <v>0.0</v>
      </c>
      <c r="G46" s="194"/>
      <c r="I46" s="172"/>
      <c r="J46" s="172"/>
      <c r="K46" s="172"/>
      <c r="L46" s="172"/>
      <c r="M46" s="172"/>
      <c r="N46" s="172"/>
      <c r="O46" s="172"/>
      <c r="P46" s="172"/>
      <c r="Q46" s="172"/>
      <c r="R46" s="172"/>
      <c r="S46" s="172"/>
      <c r="T46" s="172"/>
      <c r="U46" s="172"/>
      <c r="V46" s="172"/>
    </row>
    <row r="47">
      <c r="B47" s="194"/>
      <c r="C47" s="194"/>
      <c r="D47" s="197" t="s">
        <v>3077</v>
      </c>
      <c r="E47" s="198">
        <v>30.0</v>
      </c>
      <c r="F47" s="198">
        <v>0.0</v>
      </c>
      <c r="G47" s="194"/>
      <c r="I47" s="172"/>
      <c r="J47" s="172"/>
      <c r="K47" s="172"/>
      <c r="L47" s="172"/>
      <c r="M47" s="172"/>
      <c r="N47" s="172"/>
      <c r="O47" s="172"/>
      <c r="P47" s="172"/>
      <c r="Q47" s="172"/>
      <c r="R47" s="172"/>
      <c r="S47" s="172"/>
      <c r="T47" s="172"/>
      <c r="U47" s="172"/>
      <c r="V47" s="172"/>
    </row>
    <row r="48">
      <c r="B48" s="194"/>
      <c r="C48" s="194"/>
      <c r="D48" s="197" t="s">
        <v>3078</v>
      </c>
      <c r="E48" s="198">
        <v>60.0</v>
      </c>
      <c r="F48" s="198">
        <v>0.0</v>
      </c>
      <c r="G48" s="194"/>
      <c r="I48" s="172"/>
      <c r="J48" s="172"/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V48" s="172"/>
    </row>
    <row r="49">
      <c r="B49" s="194"/>
      <c r="C49" s="194"/>
      <c r="D49" s="197" t="s">
        <v>3079</v>
      </c>
      <c r="E49" s="198">
        <v>280.0</v>
      </c>
      <c r="F49" s="194"/>
      <c r="G49" s="194"/>
      <c r="I49" s="172"/>
      <c r="J49" s="172"/>
      <c r="K49" s="172"/>
      <c r="L49" s="172"/>
      <c r="M49" s="172"/>
      <c r="N49" s="172"/>
      <c r="O49" s="172"/>
      <c r="P49" s="172"/>
      <c r="Q49" s="172"/>
      <c r="R49" s="172"/>
      <c r="S49" s="172"/>
      <c r="T49" s="172"/>
      <c r="U49" s="172"/>
      <c r="V49" s="172"/>
    </row>
    <row r="50">
      <c r="B50" s="194"/>
      <c r="C50" s="194"/>
      <c r="D50" s="197" t="s">
        <v>3080</v>
      </c>
      <c r="E50" s="198">
        <v>20.0</v>
      </c>
      <c r="F50" s="194"/>
      <c r="G50" s="194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</row>
    <row r="51">
      <c r="B51" s="194"/>
      <c r="C51" s="194"/>
      <c r="D51" s="197" t="s">
        <v>3081</v>
      </c>
      <c r="E51" s="198">
        <v>80.0</v>
      </c>
      <c r="F51" s="194"/>
      <c r="G51" s="194"/>
      <c r="I51" s="172"/>
      <c r="J51" s="172"/>
      <c r="K51" s="172"/>
      <c r="L51" s="172"/>
      <c r="M51" s="172"/>
      <c r="N51" s="172"/>
      <c r="O51" s="172"/>
      <c r="P51" s="172"/>
      <c r="Q51" s="172"/>
      <c r="R51" s="172"/>
      <c r="S51" s="172"/>
      <c r="T51" s="172"/>
      <c r="U51" s="172"/>
      <c r="V51" s="172"/>
    </row>
    <row r="52">
      <c r="B52" s="194"/>
      <c r="C52" s="194"/>
      <c r="D52" s="197" t="s">
        <v>4</v>
      </c>
      <c r="E52" s="198">
        <f>SUM(E44:E51)</f>
        <v>592.89</v>
      </c>
      <c r="F52" s="198">
        <v>900.0</v>
      </c>
      <c r="G52" s="198">
        <v>307.11</v>
      </c>
      <c r="I52" s="172"/>
      <c r="J52" s="172"/>
      <c r="K52" s="172"/>
      <c r="L52" s="172"/>
      <c r="M52" s="172"/>
      <c r="N52" s="172"/>
      <c r="O52" s="172"/>
      <c r="P52" s="172"/>
      <c r="Q52" s="172"/>
      <c r="R52" s="172"/>
      <c r="S52" s="172"/>
      <c r="T52" s="172"/>
      <c r="U52" s="172"/>
      <c r="V52" s="172"/>
    </row>
    <row r="53">
      <c r="B53" s="194"/>
      <c r="C53" s="194"/>
      <c r="D53" s="194"/>
      <c r="E53" s="194"/>
      <c r="F53" s="194"/>
      <c r="G53" s="194"/>
      <c r="I53" s="172"/>
      <c r="J53" s="31" t="s">
        <v>3083</v>
      </c>
      <c r="K53" s="172"/>
      <c r="L53" s="172"/>
      <c r="M53" s="172"/>
      <c r="N53" s="172"/>
      <c r="O53" s="172"/>
      <c r="P53" s="172"/>
      <c r="Q53" s="172"/>
      <c r="R53" s="172"/>
      <c r="S53" s="172"/>
      <c r="T53" s="172"/>
      <c r="U53" s="172"/>
      <c r="V53" s="172"/>
    </row>
    <row r="54">
      <c r="B54" s="194"/>
      <c r="C54" s="194"/>
      <c r="D54" s="194"/>
      <c r="E54" s="194"/>
      <c r="F54" s="194"/>
      <c r="G54" s="194"/>
      <c r="I54" s="172"/>
      <c r="J54" s="172"/>
      <c r="K54" s="172"/>
      <c r="L54" s="172"/>
      <c r="M54" s="172"/>
      <c r="N54" s="172"/>
      <c r="O54" s="172"/>
      <c r="P54" s="172"/>
      <c r="Q54" s="172"/>
      <c r="R54" s="172"/>
      <c r="S54" s="172"/>
      <c r="T54" s="172"/>
      <c r="U54" s="172"/>
      <c r="V54" s="172"/>
    </row>
    <row r="55">
      <c r="B55" s="197" t="s">
        <v>2931</v>
      </c>
      <c r="C55" s="194"/>
      <c r="D55" s="194"/>
      <c r="E55" s="194"/>
      <c r="F55" s="194"/>
      <c r="G55" s="194"/>
      <c r="I55" s="172"/>
      <c r="J55" s="172"/>
      <c r="K55" s="172"/>
      <c r="L55" s="172"/>
      <c r="M55" s="172"/>
      <c r="N55" s="172"/>
      <c r="O55" s="172"/>
      <c r="P55" s="172"/>
      <c r="Q55" s="172"/>
      <c r="R55" s="172"/>
      <c r="S55" s="172"/>
      <c r="T55" s="172"/>
      <c r="U55" s="172"/>
      <c r="V55" s="172"/>
    </row>
    <row r="56">
      <c r="B56" s="194"/>
      <c r="C56" s="197"/>
      <c r="D56" s="198"/>
      <c r="E56" s="198"/>
      <c r="F56" s="197"/>
      <c r="G56" s="194"/>
      <c r="I56" s="172"/>
      <c r="J56" s="60" t="s">
        <v>2944</v>
      </c>
      <c r="K56" s="172"/>
      <c r="L56" s="31" t="s">
        <v>9</v>
      </c>
      <c r="N56" s="60" t="s">
        <v>2945</v>
      </c>
      <c r="O56" s="172"/>
      <c r="P56" s="172"/>
      <c r="Q56" s="172"/>
      <c r="R56" s="172"/>
      <c r="S56" s="172"/>
      <c r="T56" s="172"/>
      <c r="U56" s="172"/>
      <c r="V56" s="172"/>
    </row>
    <row r="57">
      <c r="B57" s="194"/>
      <c r="C57" s="197"/>
      <c r="D57" s="198"/>
      <c r="E57" s="198"/>
      <c r="F57" s="194"/>
      <c r="G57" s="194"/>
      <c r="I57" s="172"/>
      <c r="J57" s="31" t="s">
        <v>3088</v>
      </c>
      <c r="K57" s="31">
        <v>8.67</v>
      </c>
      <c r="L57" s="172"/>
      <c r="M57" s="4" t="s">
        <v>3089</v>
      </c>
      <c r="N57" s="31">
        <v>26.95</v>
      </c>
      <c r="O57" s="172"/>
      <c r="P57" s="172"/>
      <c r="Q57" s="172"/>
      <c r="R57" s="172"/>
      <c r="S57" s="172"/>
      <c r="T57" s="172"/>
      <c r="U57" s="172"/>
      <c r="V57" s="172"/>
    </row>
    <row r="58">
      <c r="B58" s="194"/>
      <c r="C58" s="197" t="s">
        <v>3091</v>
      </c>
      <c r="D58" s="198" t="s">
        <v>3092</v>
      </c>
      <c r="E58" s="198">
        <v>497.9</v>
      </c>
      <c r="F58" s="194"/>
      <c r="G58" s="194"/>
      <c r="I58" s="172"/>
      <c r="J58" s="31" t="s">
        <v>3093</v>
      </c>
      <c r="K58" s="31">
        <v>2.77</v>
      </c>
      <c r="L58" s="172"/>
      <c r="N58" s="172"/>
      <c r="O58" s="172"/>
      <c r="P58" s="172"/>
      <c r="Q58" s="172"/>
      <c r="R58" s="172"/>
      <c r="S58" s="172"/>
      <c r="T58" s="172"/>
      <c r="U58" s="172"/>
      <c r="V58" s="172"/>
    </row>
    <row r="59">
      <c r="B59" s="194"/>
      <c r="C59" s="197" t="s">
        <v>3091</v>
      </c>
      <c r="D59" s="198" t="s">
        <v>3095</v>
      </c>
      <c r="E59" s="198">
        <v>199.0</v>
      </c>
      <c r="F59" s="194"/>
      <c r="G59" s="194"/>
      <c r="I59" s="172"/>
      <c r="J59" s="31" t="s">
        <v>3096</v>
      </c>
      <c r="K59" s="31">
        <v>21.95</v>
      </c>
      <c r="L59" s="172"/>
      <c r="N59" s="172"/>
      <c r="O59" s="172"/>
      <c r="P59" s="172"/>
      <c r="Q59" s="172"/>
      <c r="R59" s="172"/>
      <c r="S59" s="172"/>
      <c r="T59" s="172"/>
      <c r="U59" s="172"/>
      <c r="V59" s="172"/>
    </row>
    <row r="60">
      <c r="B60" s="194"/>
      <c r="C60" s="197" t="s">
        <v>3091</v>
      </c>
      <c r="D60" s="198" t="s">
        <v>3095</v>
      </c>
      <c r="E60" s="198">
        <v>334.99</v>
      </c>
      <c r="F60" s="194"/>
      <c r="G60" s="194"/>
      <c r="I60" s="172"/>
      <c r="J60" s="31" t="s">
        <v>3097</v>
      </c>
      <c r="K60" s="31">
        <v>19.9</v>
      </c>
      <c r="L60" s="172"/>
      <c r="N60" s="172"/>
      <c r="O60" s="172"/>
      <c r="P60" s="172"/>
      <c r="Q60" s="172"/>
      <c r="R60" s="172"/>
      <c r="S60" s="172"/>
      <c r="T60" s="172"/>
      <c r="U60" s="172"/>
      <c r="V60" s="172"/>
    </row>
    <row r="61">
      <c r="B61" s="194"/>
      <c r="C61" s="197" t="s">
        <v>3099</v>
      </c>
      <c r="D61" s="198" t="s">
        <v>3100</v>
      </c>
      <c r="E61" s="198">
        <v>58.2</v>
      </c>
      <c r="F61" s="194"/>
      <c r="G61" s="194"/>
      <c r="I61" s="172"/>
      <c r="J61" s="31" t="s">
        <v>3088</v>
      </c>
      <c r="K61" s="31">
        <v>21.1</v>
      </c>
      <c r="L61" s="31" t="s">
        <v>3102</v>
      </c>
      <c r="N61" s="172"/>
      <c r="O61" s="172"/>
      <c r="P61" s="172"/>
      <c r="Q61" s="172"/>
      <c r="R61" s="172"/>
      <c r="S61" s="172"/>
      <c r="T61" s="172"/>
      <c r="U61" s="172"/>
      <c r="V61" s="172"/>
    </row>
    <row r="62">
      <c r="B62" s="194"/>
      <c r="C62" s="197" t="s">
        <v>3091</v>
      </c>
      <c r="D62" s="198" t="s">
        <v>3103</v>
      </c>
      <c r="E62" s="198">
        <v>43.5</v>
      </c>
      <c r="F62" s="194"/>
      <c r="G62" s="194"/>
      <c r="I62" s="172"/>
      <c r="J62" s="31" t="s">
        <v>3105</v>
      </c>
      <c r="K62" s="31">
        <v>5.0</v>
      </c>
      <c r="L62" s="172"/>
      <c r="N62" s="172"/>
      <c r="O62" s="172"/>
      <c r="P62" s="172"/>
      <c r="Q62" s="172"/>
      <c r="R62" s="172"/>
      <c r="S62" s="172"/>
      <c r="T62" s="172"/>
      <c r="U62" s="172"/>
      <c r="V62" s="172"/>
    </row>
    <row r="63">
      <c r="B63" s="194"/>
      <c r="C63" s="197"/>
      <c r="D63" s="194"/>
      <c r="E63" s="198">
        <f>-39.99</f>
        <v>-39.99</v>
      </c>
      <c r="F63" s="197"/>
      <c r="G63" s="194"/>
      <c r="I63" s="172"/>
      <c r="J63" s="31" t="s">
        <v>3088</v>
      </c>
      <c r="K63" s="31">
        <v>20.81</v>
      </c>
      <c r="L63" s="172"/>
      <c r="N63" s="172"/>
      <c r="O63" s="172"/>
      <c r="P63" s="172"/>
      <c r="Q63" s="172"/>
      <c r="R63" s="172"/>
      <c r="S63" s="172"/>
      <c r="T63" s="172"/>
      <c r="U63" s="172"/>
      <c r="V63" s="172"/>
    </row>
    <row r="64">
      <c r="B64" s="194"/>
      <c r="C64" s="197" t="s">
        <v>3106</v>
      </c>
      <c r="D64" s="198" t="s">
        <v>3092</v>
      </c>
      <c r="E64" s="198">
        <v>100.0</v>
      </c>
      <c r="F64" s="194"/>
      <c r="G64" s="194"/>
      <c r="I64" s="172"/>
      <c r="J64" s="31" t="s">
        <v>3107</v>
      </c>
      <c r="K64" s="31">
        <v>22.0</v>
      </c>
      <c r="L64" s="172"/>
      <c r="N64" s="172"/>
      <c r="O64" s="172"/>
      <c r="P64" s="172"/>
      <c r="Q64" s="172"/>
      <c r="R64" s="172"/>
      <c r="S64" s="172"/>
      <c r="T64" s="172"/>
      <c r="U64" s="172"/>
      <c r="V64" s="172"/>
    </row>
    <row r="65">
      <c r="B65" s="194"/>
      <c r="C65" s="194"/>
      <c r="D65" s="194"/>
      <c r="E65" s="194"/>
      <c r="F65" s="194"/>
      <c r="G65" s="194"/>
      <c r="I65" s="172"/>
      <c r="J65" s="172"/>
      <c r="K65" s="172"/>
      <c r="L65" s="172"/>
      <c r="M65" s="172"/>
      <c r="N65" s="172"/>
      <c r="O65" s="172"/>
      <c r="P65" s="172"/>
      <c r="Q65" s="172"/>
      <c r="R65" s="172"/>
      <c r="S65" s="172"/>
      <c r="T65" s="172"/>
      <c r="U65" s="172"/>
      <c r="V65" s="172"/>
    </row>
    <row r="66">
      <c r="B66" s="194"/>
      <c r="C66" s="194"/>
      <c r="D66" s="197" t="s">
        <v>4</v>
      </c>
      <c r="E66" s="198">
        <f>SUM(E56:E64)</f>
        <v>1193.6</v>
      </c>
      <c r="F66" s="194"/>
      <c r="G66" s="194"/>
      <c r="I66" s="172"/>
      <c r="J66" s="172"/>
      <c r="K66" s="172"/>
      <c r="L66" s="172"/>
      <c r="M66" s="172"/>
      <c r="N66" s="172"/>
      <c r="O66" s="172"/>
      <c r="P66" s="172"/>
      <c r="Q66" s="172"/>
      <c r="R66" s="172"/>
      <c r="S66" s="172"/>
      <c r="T66" s="172"/>
      <c r="U66" s="172"/>
      <c r="V66" s="172"/>
    </row>
    <row r="67">
      <c r="B67" s="194"/>
      <c r="C67" s="194"/>
      <c r="D67" s="194"/>
      <c r="E67" s="194"/>
      <c r="F67" s="194"/>
      <c r="G67" s="194"/>
      <c r="I67" s="172"/>
      <c r="J67" s="172"/>
      <c r="K67" s="172"/>
      <c r="L67" s="172"/>
      <c r="M67" s="172"/>
      <c r="N67" s="172"/>
      <c r="O67" s="172"/>
      <c r="P67" s="172"/>
      <c r="Q67" s="172"/>
      <c r="R67" s="172"/>
      <c r="S67" s="172"/>
      <c r="T67" s="172"/>
      <c r="U67" s="172"/>
      <c r="V67" s="172"/>
    </row>
    <row r="68">
      <c r="I68" s="172"/>
      <c r="J68" s="172"/>
      <c r="K68" s="172"/>
      <c r="L68" s="172"/>
      <c r="M68" s="172"/>
      <c r="N68" s="172"/>
      <c r="O68" s="172"/>
      <c r="P68" s="172"/>
      <c r="Q68" s="172"/>
      <c r="R68" s="172"/>
      <c r="S68" s="172"/>
      <c r="T68" s="172"/>
      <c r="U68" s="172"/>
      <c r="V68" s="172"/>
    </row>
    <row r="69"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</row>
    <row r="70">
      <c r="I70" s="172"/>
      <c r="J70" s="172"/>
      <c r="K70" s="172"/>
      <c r="L70" s="172"/>
      <c r="M70" s="172"/>
      <c r="N70" s="172"/>
      <c r="O70" s="172"/>
      <c r="P70" s="172"/>
      <c r="Q70" s="172"/>
      <c r="R70" s="172"/>
      <c r="S70" s="172"/>
      <c r="T70" s="172"/>
      <c r="U70" s="172"/>
      <c r="V70" s="172"/>
    </row>
    <row r="71">
      <c r="I71" s="172"/>
      <c r="J71" s="31" t="s">
        <v>4</v>
      </c>
      <c r="K71" s="172">
        <f>sum(K57:K70)</f>
        <v>122.2</v>
      </c>
      <c r="L71" s="172"/>
      <c r="M71" s="172"/>
      <c r="N71" s="172">
        <f>sum(N57:N70)</f>
        <v>26.95</v>
      </c>
      <c r="O71" s="172"/>
      <c r="P71" s="172"/>
      <c r="Q71" s="172"/>
      <c r="R71" s="172"/>
      <c r="S71" s="172"/>
      <c r="T71" s="172"/>
      <c r="U71" s="172"/>
      <c r="V71" s="172"/>
    </row>
    <row r="72">
      <c r="I72" s="172"/>
      <c r="J72" s="31" t="s">
        <v>3110</v>
      </c>
      <c r="K72" s="31">
        <v>87.2</v>
      </c>
      <c r="L72" s="172"/>
      <c r="M72" s="172"/>
      <c r="N72" s="172"/>
      <c r="O72" s="172"/>
      <c r="P72" s="172"/>
      <c r="Q72" s="172"/>
      <c r="R72" s="172"/>
      <c r="S72" s="172"/>
      <c r="T72" s="172"/>
      <c r="U72" s="172"/>
      <c r="V72" s="172"/>
    </row>
    <row r="73">
      <c r="I73" s="172"/>
      <c r="J73" s="172"/>
      <c r="K73" s="172"/>
      <c r="L73" s="172"/>
      <c r="M73" s="172"/>
      <c r="N73" s="172"/>
      <c r="O73" s="172"/>
      <c r="P73" s="172"/>
      <c r="Q73" s="172"/>
      <c r="R73" s="172"/>
      <c r="S73" s="172"/>
      <c r="T73" s="172"/>
      <c r="U73" s="172"/>
      <c r="V73" s="172"/>
    </row>
    <row r="74">
      <c r="I74" s="172"/>
      <c r="J74" s="172"/>
      <c r="K74" s="172"/>
      <c r="L74" s="172"/>
      <c r="M74" s="172"/>
      <c r="N74" s="172"/>
      <c r="O74" s="172"/>
      <c r="P74" s="172"/>
      <c r="Q74" s="172"/>
      <c r="R74" s="172"/>
      <c r="S74" s="172"/>
      <c r="T74" s="172"/>
      <c r="U74" s="172"/>
      <c r="V74" s="172"/>
    </row>
    <row r="75">
      <c r="I75" s="172"/>
      <c r="J75" s="172"/>
      <c r="K75" s="172"/>
      <c r="L75" s="172"/>
      <c r="M75" s="172"/>
      <c r="N75" s="172"/>
      <c r="O75" s="172"/>
      <c r="P75" s="172"/>
      <c r="Q75" s="172"/>
      <c r="R75" s="172"/>
      <c r="S75" s="172"/>
      <c r="T75" s="172"/>
      <c r="U75" s="172"/>
      <c r="V75" s="172"/>
    </row>
    <row r="76">
      <c r="I76" s="172"/>
      <c r="J76" s="172"/>
      <c r="K76" s="172"/>
      <c r="L76" s="172"/>
      <c r="M76" s="172"/>
      <c r="N76" s="172"/>
      <c r="O76" s="172"/>
      <c r="P76" s="172"/>
      <c r="Q76" s="172"/>
      <c r="R76" s="172"/>
      <c r="S76" s="172"/>
      <c r="T76" s="172"/>
      <c r="U76" s="172"/>
      <c r="V76" s="172"/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06.75"/>
  </cols>
  <sheetData>
    <row r="4">
      <c r="B4" s="7" t="s">
        <v>3139</v>
      </c>
    </row>
    <row r="5">
      <c r="B5" s="7" t="s">
        <v>3140</v>
      </c>
    </row>
    <row r="8">
      <c r="A8" s="4" t="s">
        <v>1057</v>
      </c>
      <c r="B8" s="4" t="s">
        <v>3141</v>
      </c>
    </row>
    <row r="9">
      <c r="B9" s="4" t="s">
        <v>3142</v>
      </c>
    </row>
    <row r="10">
      <c r="B10" s="4" t="s">
        <v>3144</v>
      </c>
    </row>
    <row r="11">
      <c r="B11" s="4" t="s">
        <v>3145</v>
      </c>
    </row>
    <row r="12">
      <c r="B12" s="4" t="s">
        <v>3146</v>
      </c>
    </row>
    <row r="13">
      <c r="B13" s="4" t="s">
        <v>3145</v>
      </c>
    </row>
    <row r="14">
      <c r="B14" s="4" t="s">
        <v>3147</v>
      </c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31412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.63"/>
    <col customWidth="1" min="2" max="2" width="4.13"/>
    <col customWidth="1" min="3" max="3" width="3.25"/>
    <col customWidth="1" min="4" max="4" width="3.63"/>
    <col customWidth="1" min="5" max="5" width="17.38"/>
    <col customWidth="1" min="6" max="6" width="20.13"/>
    <col customWidth="1" min="7" max="7" width="14.88"/>
    <col customWidth="1" min="8" max="8" width="7.38"/>
    <col customWidth="1" min="9" max="9" width="6.75"/>
    <col customWidth="1" min="11" max="11" width="14.88"/>
    <col customWidth="1" min="17" max="17" width="20.5"/>
    <col customWidth="1" min="18" max="18" width="16.5"/>
    <col customWidth="1" min="19" max="19" width="74.5"/>
    <col customWidth="1" min="20" max="20" width="18.0"/>
    <col customWidth="1" min="29" max="29" width="18.0"/>
    <col customWidth="1" min="30" max="30" width="32.25"/>
  </cols>
  <sheetData>
    <row r="1">
      <c r="A1" s="72"/>
      <c r="D1" s="73"/>
      <c r="E1" s="72"/>
      <c r="F1" s="72"/>
      <c r="G1" s="72"/>
      <c r="H1" s="72"/>
      <c r="I1" s="72"/>
      <c r="J1" s="72"/>
      <c r="K1" s="74"/>
      <c r="L1" s="74"/>
      <c r="M1" s="74"/>
      <c r="N1" s="75"/>
      <c r="O1" s="72"/>
      <c r="P1" s="72"/>
      <c r="Q1" s="72"/>
      <c r="R1" s="73"/>
      <c r="S1" s="73"/>
      <c r="T1" s="73"/>
      <c r="U1" s="73"/>
      <c r="V1" s="73"/>
      <c r="Y1" s="73"/>
      <c r="Z1" s="73"/>
      <c r="AA1" s="73"/>
      <c r="AB1" s="73"/>
      <c r="AC1" s="73"/>
      <c r="AD1" s="73"/>
      <c r="AE1" s="73"/>
      <c r="AF1" s="73"/>
      <c r="AG1" s="73"/>
      <c r="AH1" s="73"/>
    </row>
    <row r="2" ht="22.5" customHeight="1">
      <c r="A2" s="73"/>
      <c r="D2" s="73"/>
      <c r="E2" s="79" t="s">
        <v>116</v>
      </c>
      <c r="F2" s="80" t="s">
        <v>118</v>
      </c>
      <c r="G2" s="80" t="s">
        <v>119</v>
      </c>
      <c r="H2" s="80" t="s">
        <v>120</v>
      </c>
      <c r="I2" s="80" t="s">
        <v>121</v>
      </c>
      <c r="J2" s="79" t="s">
        <v>122</v>
      </c>
      <c r="K2" s="82" t="s">
        <v>123</v>
      </c>
      <c r="L2" s="82" t="s">
        <v>124</v>
      </c>
      <c r="M2" s="82" t="s">
        <v>125</v>
      </c>
      <c r="N2" s="85" t="s">
        <v>126</v>
      </c>
      <c r="O2" s="86" t="s">
        <v>127</v>
      </c>
      <c r="P2" s="79" t="s">
        <v>128</v>
      </c>
      <c r="Q2" s="79" t="s">
        <v>129</v>
      </c>
      <c r="R2" s="87" t="s">
        <v>130</v>
      </c>
      <c r="S2" s="89" t="s">
        <v>145</v>
      </c>
      <c r="T2" s="87" t="s">
        <v>149</v>
      </c>
      <c r="U2" s="89" t="s">
        <v>151</v>
      </c>
      <c r="V2" s="89" t="s">
        <v>152</v>
      </c>
      <c r="W2" s="89" t="s">
        <v>153</v>
      </c>
      <c r="X2" s="89" t="s">
        <v>154</v>
      </c>
      <c r="Y2" s="89" t="s">
        <v>155</v>
      </c>
      <c r="Z2" s="89" t="s">
        <v>159</v>
      </c>
      <c r="AA2" s="89" t="s">
        <v>163</v>
      </c>
      <c r="AB2" s="89" t="s">
        <v>165</v>
      </c>
      <c r="AC2" s="89" t="s">
        <v>168</v>
      </c>
      <c r="AD2" s="89" t="s">
        <v>171</v>
      </c>
      <c r="AE2" s="89" t="s">
        <v>174</v>
      </c>
      <c r="AF2" s="89" t="s">
        <v>178</v>
      </c>
      <c r="AG2" s="89" t="s">
        <v>181</v>
      </c>
      <c r="AH2" s="89" t="s">
        <v>186</v>
      </c>
    </row>
    <row r="3" ht="22.5" customHeight="1">
      <c r="A3" s="73"/>
      <c r="D3" s="73"/>
      <c r="E3" s="93" t="s">
        <v>193</v>
      </c>
      <c r="F3" s="95" t="s">
        <v>199</v>
      </c>
      <c r="G3" s="96">
        <f>IFERROR(__xludf.DUMMYFUNCTION("GOOGLEFINANCE(E3, ""price"")"),336.89)</f>
        <v>336.89</v>
      </c>
      <c r="H3" s="97">
        <f>IFERROR(__xludf.DUMMYFUNCTION("GOOGLEFINANCE(E3, ""low"")"),335.91)</f>
        <v>335.91</v>
      </c>
      <c r="I3" s="99">
        <f>IFERROR(__xludf.DUMMYFUNCTION("GOOGLEFINANCE(E3, ""high"")"),341.8)</f>
        <v>341.8</v>
      </c>
      <c r="J3" s="100"/>
      <c r="K3" s="102">
        <v>11.27</v>
      </c>
      <c r="L3" s="104">
        <v>59.69</v>
      </c>
      <c r="M3" s="104">
        <v>19.99</v>
      </c>
      <c r="N3" s="104">
        <v>5.47</v>
      </c>
      <c r="O3" s="105" t="s">
        <v>245</v>
      </c>
      <c r="P3" s="106">
        <v>205.2</v>
      </c>
      <c r="Q3" s="108">
        <v>45761.64357159722</v>
      </c>
      <c r="R3" s="109" t="b">
        <v>1</v>
      </c>
      <c r="S3" s="110" t="s">
        <v>3180</v>
      </c>
      <c r="T3" s="110">
        <v>0.0</v>
      </c>
      <c r="U3" s="111" t="s">
        <v>193</v>
      </c>
      <c r="V3" s="111" t="s">
        <v>274</v>
      </c>
      <c r="W3" s="111" t="s">
        <v>278</v>
      </c>
      <c r="X3" s="111" t="s">
        <v>281</v>
      </c>
      <c r="Y3" s="111" t="s">
        <v>285</v>
      </c>
      <c r="Z3" s="111" t="s">
        <v>287</v>
      </c>
      <c r="AA3" s="111" t="s">
        <v>291</v>
      </c>
      <c r="AB3" s="111" t="s">
        <v>295</v>
      </c>
      <c r="AC3" s="111" t="s">
        <v>298</v>
      </c>
      <c r="AD3" s="112">
        <v>46030.37144675926</v>
      </c>
      <c r="AE3" s="111" t="s">
        <v>307</v>
      </c>
      <c r="AF3" s="111"/>
      <c r="AG3" s="111"/>
      <c r="AH3" s="111"/>
    </row>
    <row r="4" ht="22.5" customHeight="1">
      <c r="A4" s="73"/>
      <c r="D4" s="73"/>
      <c r="E4" s="117" t="s">
        <v>334</v>
      </c>
      <c r="F4" s="111" t="s">
        <v>339</v>
      </c>
      <c r="G4" s="96">
        <f>IFERROR(__xludf.DUMMYFUNCTION("GOOGLEFINANCE(E4, ""price"")"),152.37)</f>
        <v>152.37</v>
      </c>
      <c r="H4" s="118"/>
      <c r="I4" s="118"/>
      <c r="J4" s="119"/>
      <c r="K4" s="120"/>
      <c r="L4" s="120"/>
      <c r="M4" s="120"/>
      <c r="N4" s="120"/>
      <c r="O4" s="118"/>
      <c r="P4" s="120"/>
      <c r="Q4" s="121"/>
      <c r="R4" s="109" t="b">
        <v>1</v>
      </c>
      <c r="S4" s="110" t="s">
        <v>3194</v>
      </c>
      <c r="T4" s="110">
        <v>0.0</v>
      </c>
      <c r="U4" s="111" t="s">
        <v>334</v>
      </c>
      <c r="V4" s="111" t="s">
        <v>384</v>
      </c>
      <c r="W4" s="111" t="s">
        <v>387</v>
      </c>
      <c r="X4" s="111" t="s">
        <v>390</v>
      </c>
      <c r="Y4" s="111" t="s">
        <v>393</v>
      </c>
      <c r="Z4" s="111" t="s">
        <v>396</v>
      </c>
      <c r="AA4" s="111" t="s">
        <v>399</v>
      </c>
      <c r="AB4" s="111" t="s">
        <v>403</v>
      </c>
      <c r="AC4" s="111" t="s">
        <v>405</v>
      </c>
      <c r="AD4" s="112">
        <v>46030.37144675926</v>
      </c>
      <c r="AE4" s="111" t="s">
        <v>408</v>
      </c>
      <c r="AF4" s="122"/>
      <c r="AG4" s="122"/>
      <c r="AH4" s="122"/>
    </row>
    <row r="5" ht="22.5" customHeight="1">
      <c r="A5" s="73"/>
      <c r="B5" s="115" t="s">
        <v>327</v>
      </c>
      <c r="C5" s="116">
        <f>now()</f>
        <v>46288.71545</v>
      </c>
      <c r="D5" s="73"/>
      <c r="E5" s="124" t="s">
        <v>364</v>
      </c>
      <c r="F5" s="125" t="s">
        <v>365</v>
      </c>
      <c r="G5" s="96">
        <f>IFERROR(__xludf.DUMMYFUNCTION("GOOGLEFINANCE(E5, ""price"")"),104.05)</f>
        <v>104.05</v>
      </c>
      <c r="H5" s="97">
        <f>IFERROR(__xludf.DUMMYFUNCTION("GOOGLEFINANCE(E5, ""low"")"),102.85)</f>
        <v>102.85</v>
      </c>
      <c r="I5" s="99">
        <f>IFERROR(__xludf.DUMMYFUNCTION("GOOGLEFINANCE(E5, ""high"")"),104.29)</f>
        <v>104.29</v>
      </c>
      <c r="J5" s="126"/>
      <c r="K5" s="104">
        <v>7.93</v>
      </c>
      <c r="L5" s="104">
        <v>0.0</v>
      </c>
      <c r="M5" s="104">
        <v>21.44</v>
      </c>
      <c r="N5" s="104">
        <v>3.13</v>
      </c>
      <c r="O5" s="105"/>
      <c r="P5" s="106"/>
      <c r="Q5" s="108"/>
      <c r="R5" s="109" t="b">
        <v>1</v>
      </c>
      <c r="S5" s="110" t="s">
        <v>3212</v>
      </c>
      <c r="T5" s="110">
        <v>0.0</v>
      </c>
      <c r="U5" s="111" t="s">
        <v>364</v>
      </c>
      <c r="V5" s="111" t="s">
        <v>479</v>
      </c>
      <c r="W5" s="111" t="s">
        <v>480</v>
      </c>
      <c r="X5" s="111" t="s">
        <v>484</v>
      </c>
      <c r="Y5" s="111" t="s">
        <v>487</v>
      </c>
      <c r="Z5" s="111" t="s">
        <v>490</v>
      </c>
      <c r="AA5" s="111" t="s">
        <v>492</v>
      </c>
      <c r="AB5" s="111" t="s">
        <v>495</v>
      </c>
      <c r="AC5" s="111" t="s">
        <v>498</v>
      </c>
      <c r="AD5" s="112">
        <v>46030.37144675926</v>
      </c>
      <c r="AE5" s="111" t="s">
        <v>503</v>
      </c>
      <c r="AF5" s="122"/>
      <c r="AG5" s="122"/>
      <c r="AH5" s="122"/>
    </row>
    <row r="6" ht="22.5" customHeight="1">
      <c r="A6" s="73"/>
      <c r="B6" s="123"/>
      <c r="C6" s="73"/>
      <c r="D6" s="73"/>
      <c r="E6" s="127" t="s">
        <v>519</v>
      </c>
      <c r="F6" s="110" t="s">
        <v>524</v>
      </c>
      <c r="G6" s="96">
        <f>IFERROR(__xludf.DUMMYFUNCTION("GOOGLEFINANCE(E6, ""price"")"),185.3)</f>
        <v>185.3</v>
      </c>
      <c r="H6" s="97">
        <f>IFERROR(__xludf.DUMMYFUNCTION("GOOGLEFINANCE(E6, ""low"")"),182.56)</f>
        <v>182.56</v>
      </c>
      <c r="I6" s="99">
        <f>IFERROR(__xludf.DUMMYFUNCTION("GOOGLEFINANCE(E6, ""high"")"),188.28)</f>
        <v>188.28</v>
      </c>
      <c r="J6" s="128"/>
      <c r="K6" s="129">
        <v>-4.31</v>
      </c>
      <c r="L6" s="129">
        <v>47.14</v>
      </c>
      <c r="M6" s="129">
        <v>13.93</v>
      </c>
      <c r="N6" s="129">
        <v>5.42</v>
      </c>
      <c r="O6" s="110" t="s">
        <v>197</v>
      </c>
      <c r="P6" s="129">
        <v>311.07</v>
      </c>
      <c r="Q6" s="130">
        <v>45828.33428734954</v>
      </c>
      <c r="R6" s="131" t="b">
        <v>1</v>
      </c>
      <c r="S6" s="110" t="s">
        <v>3227</v>
      </c>
      <c r="T6" s="110">
        <v>0.0</v>
      </c>
      <c r="U6" s="110" t="s">
        <v>519</v>
      </c>
      <c r="V6" s="110" t="s">
        <v>552</v>
      </c>
      <c r="W6" s="110" t="s">
        <v>554</v>
      </c>
      <c r="X6" s="110" t="s">
        <v>556</v>
      </c>
      <c r="Y6" s="110" t="s">
        <v>559</v>
      </c>
      <c r="Z6" s="110" t="s">
        <v>561</v>
      </c>
      <c r="AA6" s="110" t="s">
        <v>564</v>
      </c>
      <c r="AB6" s="110" t="s">
        <v>569</v>
      </c>
      <c r="AC6" s="110" t="s">
        <v>576</v>
      </c>
      <c r="AD6" s="132">
        <v>46030.37144675926</v>
      </c>
      <c r="AE6" s="110" t="s">
        <v>582</v>
      </c>
      <c r="AF6" s="133"/>
      <c r="AG6" s="133"/>
      <c r="AH6" s="133"/>
    </row>
    <row r="7" ht="22.5" customHeight="1">
      <c r="A7" s="73"/>
      <c r="B7" s="123"/>
      <c r="C7" s="73"/>
      <c r="D7" s="73"/>
      <c r="E7" s="134" t="s">
        <v>424</v>
      </c>
      <c r="F7" s="125" t="s">
        <v>425</v>
      </c>
      <c r="G7" s="96">
        <f>IFERROR(__xludf.DUMMYFUNCTION("GOOGLEFINANCE(E7, ""price"")"),240.71)</f>
        <v>240.71</v>
      </c>
      <c r="H7" s="97">
        <f>IFERROR(__xludf.DUMMYFUNCTION("GOOGLEFINANCE(E7, ""low"")"),237.51)</f>
        <v>237.51</v>
      </c>
      <c r="I7" s="99">
        <f>IFERROR(__xludf.DUMMYFUNCTION("GOOGLEFINANCE(E7, ""high"")"),241.69)</f>
        <v>241.69</v>
      </c>
      <c r="J7" s="126"/>
      <c r="K7" s="106"/>
      <c r="L7" s="106"/>
      <c r="M7" s="106"/>
      <c r="N7" s="106"/>
      <c r="O7" s="105"/>
      <c r="P7" s="106"/>
      <c r="Q7" s="108"/>
      <c r="R7" s="109" t="b">
        <v>1</v>
      </c>
      <c r="S7" s="110" t="s">
        <v>3252</v>
      </c>
      <c r="T7" s="110">
        <v>0.0</v>
      </c>
      <c r="U7" s="111" t="s">
        <v>424</v>
      </c>
      <c r="V7" s="111" t="s">
        <v>625</v>
      </c>
      <c r="W7" s="111" t="s">
        <v>628</v>
      </c>
      <c r="X7" s="111" t="s">
        <v>630</v>
      </c>
      <c r="Y7" s="111" t="s">
        <v>633</v>
      </c>
      <c r="Z7" s="111" t="s">
        <v>636</v>
      </c>
      <c r="AA7" s="111" t="s">
        <v>639</v>
      </c>
      <c r="AB7" s="111" t="s">
        <v>641</v>
      </c>
      <c r="AC7" s="111" t="s">
        <v>644</v>
      </c>
      <c r="AD7" s="112">
        <v>46030.37144675926</v>
      </c>
      <c r="AE7" s="111" t="s">
        <v>649</v>
      </c>
      <c r="AF7" s="122"/>
      <c r="AG7" s="122"/>
      <c r="AH7" s="122"/>
    </row>
    <row r="8" ht="22.5" customHeight="1">
      <c r="A8" s="73"/>
      <c r="B8" s="123"/>
      <c r="C8" s="73"/>
      <c r="D8" s="73"/>
      <c r="E8" s="117" t="s">
        <v>324</v>
      </c>
      <c r="F8" s="111" t="s">
        <v>325</v>
      </c>
      <c r="G8" s="96">
        <f>IFERROR(__xludf.DUMMYFUNCTION("GOOGLEFINANCE(E8, ""price"")"),267.39)</f>
        <v>267.39</v>
      </c>
      <c r="H8" s="118"/>
      <c r="I8" s="118"/>
      <c r="J8" s="135"/>
      <c r="K8" s="120"/>
      <c r="L8" s="120"/>
      <c r="M8" s="120"/>
      <c r="N8" s="120"/>
      <c r="O8" s="118"/>
      <c r="P8" s="120"/>
      <c r="Q8" s="121"/>
      <c r="R8" s="109" t="b">
        <v>1</v>
      </c>
      <c r="S8" s="110" t="s">
        <v>326</v>
      </c>
      <c r="T8" s="110">
        <v>0.0</v>
      </c>
      <c r="U8" s="111" t="s">
        <v>324</v>
      </c>
      <c r="V8" s="111" t="s">
        <v>697</v>
      </c>
      <c r="W8" s="111" t="s">
        <v>699</v>
      </c>
      <c r="X8" s="111" t="s">
        <v>701</v>
      </c>
      <c r="Y8" s="111" t="s">
        <v>706</v>
      </c>
      <c r="Z8" s="111" t="s">
        <v>707</v>
      </c>
      <c r="AA8" s="111" t="s">
        <v>711</v>
      </c>
      <c r="AB8" s="111" t="s">
        <v>714</v>
      </c>
      <c r="AC8" s="111" t="s">
        <v>716</v>
      </c>
      <c r="AD8" s="112">
        <v>46150.444386574076</v>
      </c>
      <c r="AE8" s="111" t="s">
        <v>721</v>
      </c>
      <c r="AF8" s="122"/>
      <c r="AG8" s="122"/>
      <c r="AH8" s="122"/>
    </row>
    <row r="9" ht="22.5" customHeight="1">
      <c r="A9" s="73"/>
      <c r="B9" s="123"/>
      <c r="C9" s="73"/>
      <c r="D9" s="73"/>
      <c r="E9" s="125" t="s">
        <v>1201</v>
      </c>
      <c r="F9" s="125" t="s">
        <v>1202</v>
      </c>
      <c r="G9" s="96">
        <f>IFERROR(__xludf.DUMMYFUNCTION("GOOGLEFINANCE(E9, ""price"")"),144.45)</f>
        <v>144.45</v>
      </c>
      <c r="H9" s="97">
        <f>IFERROR(__xludf.DUMMYFUNCTION("GOOGLEFINANCE(E9, ""low"")"),143.75)</f>
        <v>143.75</v>
      </c>
      <c r="I9" s="99">
        <f>IFERROR(__xludf.DUMMYFUNCTION("GOOGLEFINANCE(E9, ""high"")"),147.2)</f>
        <v>147.2</v>
      </c>
      <c r="J9" s="152"/>
      <c r="K9" s="104">
        <v>-17.08</v>
      </c>
      <c r="L9" s="104">
        <v>27.68</v>
      </c>
      <c r="M9" s="104">
        <v>16.91</v>
      </c>
      <c r="N9" s="104">
        <v>4.95</v>
      </c>
      <c r="O9" s="104" t="s">
        <v>1204</v>
      </c>
      <c r="P9" s="104">
        <v>194.44</v>
      </c>
      <c r="Q9" s="108">
        <v>45827.34319833333</v>
      </c>
      <c r="R9" s="109" t="b">
        <v>1</v>
      </c>
      <c r="S9" s="110" t="s">
        <v>3274</v>
      </c>
      <c r="T9" s="110">
        <v>0.0</v>
      </c>
      <c r="U9" s="111" t="s">
        <v>1201</v>
      </c>
      <c r="V9" s="111" t="s">
        <v>3276</v>
      </c>
      <c r="W9" s="111" t="s">
        <v>3278</v>
      </c>
      <c r="X9" s="111" t="s">
        <v>3281</v>
      </c>
      <c r="Y9" s="111" t="s">
        <v>3284</v>
      </c>
      <c r="Z9" s="111" t="s">
        <v>3285</v>
      </c>
      <c r="AA9" s="111" t="s">
        <v>3287</v>
      </c>
      <c r="AB9" s="111" t="s">
        <v>3288</v>
      </c>
      <c r="AC9" s="111" t="s">
        <v>3290</v>
      </c>
      <c r="AD9" s="112">
        <v>46030.37144675926</v>
      </c>
      <c r="AE9" s="111" t="s">
        <v>3293</v>
      </c>
      <c r="AF9" s="122"/>
      <c r="AG9" s="122"/>
      <c r="AH9" s="122"/>
    </row>
    <row r="10" ht="22.5" customHeight="1">
      <c r="A10" s="73"/>
      <c r="B10" s="123"/>
      <c r="C10" s="73"/>
      <c r="D10" s="73"/>
      <c r="E10" s="117" t="s">
        <v>342</v>
      </c>
      <c r="F10" s="111" t="s">
        <v>483</v>
      </c>
      <c r="G10" s="96">
        <f>IFERROR(__xludf.DUMMYFUNCTION("GOOGLEFINANCE(E10, ""price"")"),219.03)</f>
        <v>219.03</v>
      </c>
      <c r="H10" s="96" t="str">
        <f>IFERROR(__xludf.DUMMYFUNCTION("GOOGLEFINANCE(F10, ""price"")"),"#N/A")</f>
        <v>#N/A</v>
      </c>
      <c r="I10" s="96" t="str">
        <f>IFERROR(__xludf.DUMMYFUNCTION("GOOGLEFINANCE(G10, ""price"")"),"#N/A")</f>
        <v>#N/A</v>
      </c>
      <c r="J10" s="135" t="s">
        <v>282</v>
      </c>
      <c r="K10" s="120"/>
      <c r="L10" s="120"/>
      <c r="M10" s="120"/>
      <c r="N10" s="120"/>
      <c r="O10" s="118"/>
      <c r="P10" s="120"/>
      <c r="Q10" s="121"/>
      <c r="R10" s="109" t="b">
        <v>1</v>
      </c>
      <c r="S10" s="110" t="s">
        <v>3327</v>
      </c>
      <c r="T10" s="110">
        <v>0.0</v>
      </c>
      <c r="U10" s="111" t="s">
        <v>342</v>
      </c>
      <c r="V10" s="111" t="s">
        <v>769</v>
      </c>
      <c r="W10" s="111" t="s">
        <v>771</v>
      </c>
      <c r="X10" s="111" t="s">
        <v>775</v>
      </c>
      <c r="Y10" s="111" t="s">
        <v>777</v>
      </c>
      <c r="Z10" s="111" t="s">
        <v>636</v>
      </c>
      <c r="AA10" s="111" t="s">
        <v>781</v>
      </c>
      <c r="AB10" s="111" t="s">
        <v>783</v>
      </c>
      <c r="AC10" s="111" t="s">
        <v>786</v>
      </c>
      <c r="AD10" s="112">
        <v>46030.37144675926</v>
      </c>
      <c r="AE10" s="111" t="s">
        <v>788</v>
      </c>
      <c r="AF10" s="122"/>
      <c r="AG10" s="122"/>
      <c r="AH10" s="122"/>
    </row>
    <row r="11" ht="22.5" customHeight="1">
      <c r="A11" s="73"/>
      <c r="B11" s="123"/>
      <c r="C11" s="73"/>
      <c r="D11" s="73"/>
      <c r="E11" s="139" t="s">
        <v>808</v>
      </c>
      <c r="F11" s="95" t="s">
        <v>811</v>
      </c>
      <c r="G11" s="96">
        <f>IFERROR(__xludf.DUMMYFUNCTION("GOOGLEFINANCE(E11, ""price"")"),860.1)</f>
        <v>860.1</v>
      </c>
      <c r="H11" s="97">
        <f>IFERROR(__xludf.DUMMYFUNCTION("GOOGLEFINANCE(E11, ""low"")"),856.0)</f>
        <v>856</v>
      </c>
      <c r="I11" s="99">
        <f>IFERROR(__xludf.DUMMYFUNCTION("GOOGLEFINANCE(E11, ""high"")"),899.6)</f>
        <v>899.6</v>
      </c>
      <c r="J11" s="140"/>
      <c r="K11" s="104">
        <v>246.4</v>
      </c>
      <c r="L11" s="104">
        <v>80.15</v>
      </c>
      <c r="M11" s="104">
        <v>24.54</v>
      </c>
      <c r="N11" s="104">
        <v>51.6</v>
      </c>
      <c r="O11" s="105" t="s">
        <v>213</v>
      </c>
      <c r="P11" s="104">
        <v>1835.8</v>
      </c>
      <c r="Q11" s="108">
        <v>45707.81391524305</v>
      </c>
      <c r="R11" s="109" t="b">
        <v>1</v>
      </c>
      <c r="S11" s="110" t="s">
        <v>3377</v>
      </c>
      <c r="T11" s="110">
        <v>0.0</v>
      </c>
      <c r="U11" s="111" t="s">
        <v>808</v>
      </c>
      <c r="V11" s="111" t="s">
        <v>842</v>
      </c>
      <c r="W11" s="111" t="s">
        <v>843</v>
      </c>
      <c r="X11" s="111" t="s">
        <v>845</v>
      </c>
      <c r="Y11" s="111" t="s">
        <v>848</v>
      </c>
      <c r="Z11" s="111" t="s">
        <v>849</v>
      </c>
      <c r="AA11" s="111" t="s">
        <v>851</v>
      </c>
      <c r="AB11" s="111" t="s">
        <v>429</v>
      </c>
      <c r="AC11" s="111" t="s">
        <v>852</v>
      </c>
      <c r="AD11" s="112">
        <v>46030.37144675926</v>
      </c>
      <c r="AE11" s="111" t="s">
        <v>857</v>
      </c>
      <c r="AF11" s="122"/>
      <c r="AG11" s="122"/>
      <c r="AH11" s="122"/>
    </row>
    <row r="12" ht="22.5" customHeight="1">
      <c r="A12" s="73"/>
      <c r="B12" s="73"/>
      <c r="C12" s="73"/>
      <c r="D12" s="73"/>
      <c r="E12" s="117" t="s">
        <v>867</v>
      </c>
      <c r="F12" s="111" t="s">
        <v>870</v>
      </c>
      <c r="G12" s="96">
        <f>IFERROR(__xludf.DUMMYFUNCTION("GOOGLEFINANCE(E12, ""price"")"),118.06)</f>
        <v>118.06</v>
      </c>
      <c r="H12" s="118"/>
      <c r="I12" s="118"/>
      <c r="J12" s="119"/>
      <c r="K12" s="120"/>
      <c r="L12" s="120"/>
      <c r="M12" s="120"/>
      <c r="N12" s="120"/>
      <c r="O12" s="118"/>
      <c r="P12" s="120"/>
      <c r="Q12" s="121"/>
      <c r="R12" s="109" t="b">
        <v>1</v>
      </c>
      <c r="S12" s="110" t="s">
        <v>3416</v>
      </c>
      <c r="T12" s="110">
        <v>0.0</v>
      </c>
      <c r="U12" s="111" t="s">
        <v>867</v>
      </c>
      <c r="V12" s="111" t="s">
        <v>891</v>
      </c>
      <c r="W12" s="111" t="s">
        <v>894</v>
      </c>
      <c r="X12" s="111" t="s">
        <v>897</v>
      </c>
      <c r="Y12" s="111" t="s">
        <v>899</v>
      </c>
      <c r="Z12" s="111" t="s">
        <v>900</v>
      </c>
      <c r="AA12" s="111" t="s">
        <v>902</v>
      </c>
      <c r="AB12" s="111" t="s">
        <v>905</v>
      </c>
      <c r="AC12" s="111" t="s">
        <v>907</v>
      </c>
      <c r="AD12" s="112">
        <v>46030.37144675926</v>
      </c>
      <c r="AE12" s="111" t="s">
        <v>910</v>
      </c>
      <c r="AF12" s="122"/>
      <c r="AG12" s="122"/>
      <c r="AH12" s="122"/>
    </row>
    <row r="13" ht="22.5" customHeight="1">
      <c r="A13" s="73"/>
      <c r="B13" s="73"/>
      <c r="C13" s="73"/>
      <c r="D13" s="73"/>
      <c r="E13" s="117" t="s">
        <v>924</v>
      </c>
      <c r="F13" s="111" t="s">
        <v>928</v>
      </c>
      <c r="G13" s="96">
        <f>IFERROR(__xludf.DUMMYFUNCTION("GOOGLEFINANCE(E13, ""price"")"),9.95)</f>
        <v>9.95</v>
      </c>
      <c r="H13" s="118"/>
      <c r="I13" s="118"/>
      <c r="J13" s="119"/>
      <c r="K13" s="120"/>
      <c r="L13" s="120"/>
      <c r="M13" s="120"/>
      <c r="N13" s="120"/>
      <c r="O13" s="118"/>
      <c r="P13" s="120"/>
      <c r="Q13" s="121"/>
      <c r="R13" s="109" t="b">
        <v>1</v>
      </c>
      <c r="S13" s="110" t="s">
        <v>3464</v>
      </c>
      <c r="T13" s="110">
        <v>0.0</v>
      </c>
      <c r="U13" s="111" t="s">
        <v>924</v>
      </c>
      <c r="V13" s="111" t="s">
        <v>959</v>
      </c>
      <c r="W13" s="111" t="s">
        <v>962</v>
      </c>
      <c r="X13" s="111" t="s">
        <v>964</v>
      </c>
      <c r="Y13" s="111" t="s">
        <v>967</v>
      </c>
      <c r="Z13" s="111" t="s">
        <v>970</v>
      </c>
      <c r="AA13" s="111" t="s">
        <v>973</v>
      </c>
      <c r="AB13" s="111" t="s">
        <v>468</v>
      </c>
      <c r="AC13" s="111" t="s">
        <v>979</v>
      </c>
      <c r="AD13" s="112">
        <v>46150.444386574076</v>
      </c>
      <c r="AE13" s="111" t="s">
        <v>983</v>
      </c>
      <c r="AF13" s="122"/>
      <c r="AG13" s="122"/>
      <c r="AH13" s="122"/>
    </row>
    <row r="14" ht="22.5" customHeight="1">
      <c r="A14" s="73"/>
      <c r="B14" s="73"/>
      <c r="C14" s="73"/>
      <c r="D14" s="73"/>
      <c r="E14" s="127" t="s">
        <v>665</v>
      </c>
      <c r="F14" s="141" t="s">
        <v>1009</v>
      </c>
      <c r="G14" s="96">
        <f>IFERROR(__xludf.DUMMYFUNCTION("GOOGLEFINANCE(E14, ""price"")"),10.89)</f>
        <v>10.89</v>
      </c>
      <c r="H14" s="143"/>
      <c r="I14" s="143"/>
      <c r="J14" s="128"/>
      <c r="K14" s="129">
        <v>2.45</v>
      </c>
      <c r="L14" s="129">
        <v>58.0</v>
      </c>
      <c r="M14" s="129">
        <v>27.5</v>
      </c>
      <c r="N14" s="129">
        <v>1.61</v>
      </c>
      <c r="O14" s="110" t="s">
        <v>197</v>
      </c>
      <c r="P14" s="129">
        <v>25.85</v>
      </c>
      <c r="Q14" s="130">
        <v>45812.51162340278</v>
      </c>
      <c r="R14" s="131" t="b">
        <v>1</v>
      </c>
      <c r="S14" s="110" t="s">
        <v>3504</v>
      </c>
      <c r="T14" s="110">
        <v>0.0</v>
      </c>
      <c r="U14" s="110" t="s">
        <v>665</v>
      </c>
      <c r="V14" s="110" t="s">
        <v>1061</v>
      </c>
      <c r="W14" s="110" t="s">
        <v>1063</v>
      </c>
      <c r="X14" s="110" t="s">
        <v>1068</v>
      </c>
      <c r="Y14" s="110" t="s">
        <v>1071</v>
      </c>
      <c r="Z14" s="110" t="s">
        <v>1074</v>
      </c>
      <c r="AA14" s="110" t="s">
        <v>1078</v>
      </c>
      <c r="AB14" s="110" t="s">
        <v>1081</v>
      </c>
      <c r="AC14" s="110" t="s">
        <v>1084</v>
      </c>
      <c r="AD14" s="132">
        <v>46030.37144675926</v>
      </c>
      <c r="AE14" s="110" t="s">
        <v>1087</v>
      </c>
      <c r="AF14" s="133"/>
      <c r="AG14" s="133"/>
      <c r="AH14" s="133"/>
    </row>
    <row r="15" ht="22.5" customHeight="1">
      <c r="A15" s="73"/>
      <c r="B15" s="73"/>
      <c r="C15" s="73"/>
      <c r="D15" s="73"/>
      <c r="E15" s="117" t="s">
        <v>626</v>
      </c>
      <c r="F15" s="111" t="s">
        <v>1103</v>
      </c>
      <c r="G15" s="96">
        <f>IFERROR(__xludf.DUMMYFUNCTION("GOOGLEFINANCE(E15, ""price"")"),6.19)</f>
        <v>6.19</v>
      </c>
      <c r="H15" s="118"/>
      <c r="I15" s="118"/>
      <c r="J15" s="119"/>
      <c r="K15" s="120"/>
      <c r="L15" s="120"/>
      <c r="M15" s="120"/>
      <c r="N15" s="120"/>
      <c r="O15" s="118"/>
      <c r="P15" s="120"/>
      <c r="Q15" s="121"/>
      <c r="R15" s="109" t="b">
        <v>1</v>
      </c>
      <c r="S15" s="110" t="s">
        <v>3542</v>
      </c>
      <c r="T15" s="110">
        <v>0.0</v>
      </c>
      <c r="U15" s="111" t="s">
        <v>626</v>
      </c>
      <c r="V15" s="111" t="s">
        <v>1137</v>
      </c>
      <c r="W15" s="111" t="s">
        <v>1139</v>
      </c>
      <c r="X15" s="111" t="s">
        <v>1141</v>
      </c>
      <c r="Y15" s="111" t="s">
        <v>1144</v>
      </c>
      <c r="Z15" s="111" t="s">
        <v>1148</v>
      </c>
      <c r="AA15" s="111" t="s">
        <v>1149</v>
      </c>
      <c r="AB15" s="111" t="s">
        <v>1154</v>
      </c>
      <c r="AC15" s="111" t="s">
        <v>1157</v>
      </c>
      <c r="AD15" s="112">
        <v>46030.37144675926</v>
      </c>
      <c r="AE15" s="111" t="s">
        <v>1162</v>
      </c>
      <c r="AF15" s="122"/>
      <c r="AG15" s="122"/>
      <c r="AH15" s="122"/>
    </row>
    <row r="16" ht="22.5" customHeight="1">
      <c r="A16" s="73"/>
      <c r="B16" s="73"/>
      <c r="C16" s="73"/>
      <c r="D16" s="73"/>
      <c r="E16" s="242" t="s">
        <v>3558</v>
      </c>
      <c r="F16" s="95" t="s">
        <v>3559</v>
      </c>
      <c r="G16" s="96">
        <f>IFERROR(__xludf.DUMMYFUNCTION("GOOGLEFINANCE(E16, ""price"")"),413.1)</f>
        <v>413.1</v>
      </c>
      <c r="H16" s="97">
        <f>IFERROR(__xludf.DUMMYFUNCTION("GOOGLEFINANCE(E16, ""low"")"),412.9)</f>
        <v>412.9</v>
      </c>
      <c r="I16" s="99">
        <f>IFERROR(__xludf.DUMMYFUNCTION("GOOGLEFINANCE(E16, ""high"")"),432.0)</f>
        <v>432</v>
      </c>
      <c r="J16" s="100"/>
      <c r="K16" s="104">
        <v>13.1</v>
      </c>
      <c r="L16" s="104">
        <v>65.84</v>
      </c>
      <c r="M16" s="104">
        <v>28.57</v>
      </c>
      <c r="N16" s="104">
        <v>4.6</v>
      </c>
      <c r="O16" s="125" t="s">
        <v>245</v>
      </c>
      <c r="P16" s="104">
        <v>337.7</v>
      </c>
      <c r="Q16" s="108">
        <v>45827.3108494676</v>
      </c>
      <c r="R16" s="109" t="b">
        <v>1</v>
      </c>
      <c r="S16" s="110" t="s">
        <v>3564</v>
      </c>
      <c r="T16" s="110">
        <v>0.0</v>
      </c>
      <c r="U16" s="111" t="s">
        <v>3558</v>
      </c>
      <c r="V16" s="111" t="s">
        <v>3566</v>
      </c>
      <c r="W16" s="111" t="s">
        <v>3569</v>
      </c>
      <c r="X16" s="111" t="s">
        <v>3571</v>
      </c>
      <c r="Y16" s="111" t="s">
        <v>3575</v>
      </c>
      <c r="Z16" s="111" t="s">
        <v>3577</v>
      </c>
      <c r="AA16" s="111" t="s">
        <v>3118</v>
      </c>
      <c r="AB16" s="111" t="s">
        <v>3581</v>
      </c>
      <c r="AC16" s="111" t="s">
        <v>3583</v>
      </c>
      <c r="AD16" s="112">
        <v>46030.37144675926</v>
      </c>
      <c r="AE16" s="111" t="s">
        <v>3585</v>
      </c>
      <c r="AF16" s="122"/>
      <c r="AG16" s="122"/>
      <c r="AH16" s="122"/>
    </row>
    <row r="17" ht="22.5" customHeight="1">
      <c r="A17" s="73"/>
      <c r="B17" s="73"/>
      <c r="C17" s="73"/>
      <c r="D17" s="73"/>
      <c r="E17" s="125" t="s">
        <v>1180</v>
      </c>
      <c r="F17" s="125" t="s">
        <v>1182</v>
      </c>
      <c r="G17" s="96">
        <f>IFERROR(__xludf.DUMMYFUNCTION("GOOGLEFINANCE(E17, ""price"")"),612.95)</f>
        <v>612.95</v>
      </c>
      <c r="H17" s="97">
        <f>IFERROR(__xludf.DUMMYFUNCTION("GOOGLEFINANCE(E17, ""low"")"),608.08)</f>
        <v>608.08</v>
      </c>
      <c r="I17" s="99">
        <f>IFERROR(__xludf.DUMMYFUNCTION("GOOGLEFINANCE(E17, ""high"")"),624.69)</f>
        <v>624.69</v>
      </c>
      <c r="J17" s="126"/>
      <c r="K17" s="106"/>
      <c r="L17" s="106"/>
      <c r="M17" s="106"/>
      <c r="N17" s="106"/>
      <c r="O17" s="105"/>
      <c r="P17" s="106"/>
      <c r="Q17" s="108"/>
      <c r="R17" s="109" t="b">
        <v>1</v>
      </c>
      <c r="S17" s="110" t="s">
        <v>3597</v>
      </c>
      <c r="T17" s="110">
        <v>0.0</v>
      </c>
      <c r="U17" s="111" t="s">
        <v>1180</v>
      </c>
      <c r="V17" s="111" t="s">
        <v>1215</v>
      </c>
      <c r="W17" s="111" t="s">
        <v>1219</v>
      </c>
      <c r="X17" s="111" t="s">
        <v>1221</v>
      </c>
      <c r="Y17" s="111" t="s">
        <v>1225</v>
      </c>
      <c r="Z17" s="111" t="s">
        <v>1228</v>
      </c>
      <c r="AA17" s="111" t="s">
        <v>1232</v>
      </c>
      <c r="AB17" s="111" t="s">
        <v>1235</v>
      </c>
      <c r="AC17" s="111" t="s">
        <v>1237</v>
      </c>
      <c r="AD17" s="112">
        <v>46030.37144675926</v>
      </c>
      <c r="AE17" s="111" t="s">
        <v>1242</v>
      </c>
      <c r="AF17" s="122"/>
      <c r="AG17" s="122"/>
      <c r="AH17" s="122"/>
    </row>
    <row r="18" ht="22.5" customHeight="1">
      <c r="A18" s="73"/>
      <c r="B18" s="115" t="s">
        <v>327</v>
      </c>
      <c r="C18" s="116">
        <f>now()</f>
        <v>46288.71545</v>
      </c>
      <c r="D18" s="73"/>
      <c r="E18" s="127" t="s">
        <v>259</v>
      </c>
      <c r="F18" s="110" t="s">
        <v>827</v>
      </c>
      <c r="G18" s="96">
        <f>IFERROR(__xludf.DUMMYFUNCTION("GOOGLEFINANCE(E18, ""price"")"),13.68)</f>
        <v>13.68</v>
      </c>
      <c r="H18" s="97">
        <f>IFERROR(__xludf.DUMMYFUNCTION("GOOGLEFINANCE(E18, ""low"")"),12.84)</f>
        <v>12.84</v>
      </c>
      <c r="I18" s="99">
        <f>IFERROR(__xludf.DUMMYFUNCTION("GOOGLEFINANCE(E18, ""high"")"),13.71)</f>
        <v>13.71</v>
      </c>
      <c r="J18" s="144"/>
      <c r="K18" s="145"/>
      <c r="L18" s="145"/>
      <c r="M18" s="145"/>
      <c r="N18" s="145"/>
      <c r="O18" s="145"/>
      <c r="P18" s="145"/>
      <c r="Q18" s="130"/>
      <c r="R18" s="131" t="b">
        <v>1</v>
      </c>
      <c r="S18" s="110" t="s">
        <v>3642</v>
      </c>
      <c r="T18" s="110">
        <v>0.0</v>
      </c>
      <c r="U18" s="110" t="s">
        <v>259</v>
      </c>
      <c r="V18" s="110" t="s">
        <v>1299</v>
      </c>
      <c r="W18" s="110" t="s">
        <v>1301</v>
      </c>
      <c r="X18" s="110" t="s">
        <v>1303</v>
      </c>
      <c r="Y18" s="110" t="s">
        <v>1304</v>
      </c>
      <c r="Z18" s="110" t="s">
        <v>1306</v>
      </c>
      <c r="AA18" s="110" t="s">
        <v>1307</v>
      </c>
      <c r="AB18" s="110" t="s">
        <v>1309</v>
      </c>
      <c r="AC18" s="110" t="s">
        <v>1311</v>
      </c>
      <c r="AD18" s="132">
        <v>46030.37144675926</v>
      </c>
      <c r="AE18" s="110" t="s">
        <v>1318</v>
      </c>
      <c r="AF18" s="133"/>
      <c r="AG18" s="133"/>
      <c r="AH18" s="133"/>
    </row>
    <row r="19" ht="22.5" customHeight="1">
      <c r="A19" s="73"/>
      <c r="B19" s="73"/>
      <c r="C19" s="73"/>
      <c r="D19" s="73"/>
      <c r="E19" s="127" t="s">
        <v>1106</v>
      </c>
      <c r="F19" s="110" t="s">
        <v>1107</v>
      </c>
      <c r="G19" s="96">
        <f>IFERROR(__xludf.DUMMYFUNCTION("GOOGLEFINANCE(E19, ""price"")"),250.45)</f>
        <v>250.45</v>
      </c>
      <c r="H19" s="97">
        <f>IFERROR(__xludf.DUMMYFUNCTION("GOOGLEFINANCE(E19, ""low"")"),248.19)</f>
        <v>248.19</v>
      </c>
      <c r="I19" s="99">
        <f>IFERROR(__xludf.DUMMYFUNCTION("GOOGLEFINANCE(E19, ""high"")"),253.99)</f>
        <v>253.99</v>
      </c>
      <c r="J19" s="128"/>
      <c r="K19" s="129">
        <v>1.93</v>
      </c>
      <c r="L19" s="129">
        <v>58.43</v>
      </c>
      <c r="M19" s="129">
        <v>18.49</v>
      </c>
      <c r="N19" s="129">
        <v>5.28</v>
      </c>
      <c r="O19" s="110" t="s">
        <v>170</v>
      </c>
      <c r="P19" s="129">
        <v>206.0</v>
      </c>
      <c r="Q19" s="130">
        <v>45812.240284687505</v>
      </c>
      <c r="R19" s="131" t="b">
        <v>1</v>
      </c>
      <c r="S19" s="110" t="s">
        <v>3670</v>
      </c>
      <c r="T19" s="110">
        <v>0.0</v>
      </c>
      <c r="U19" s="110" t="s">
        <v>1106</v>
      </c>
      <c r="V19" s="110" t="s">
        <v>1379</v>
      </c>
      <c r="W19" s="110" t="s">
        <v>1382</v>
      </c>
      <c r="X19" s="110" t="s">
        <v>1383</v>
      </c>
      <c r="Y19" s="110" t="s">
        <v>1387</v>
      </c>
      <c r="Z19" s="110" t="s">
        <v>1390</v>
      </c>
      <c r="AA19" s="110" t="s">
        <v>1392</v>
      </c>
      <c r="AB19" s="110" t="s">
        <v>1394</v>
      </c>
      <c r="AC19" s="110" t="s">
        <v>1400</v>
      </c>
      <c r="AD19" s="132">
        <v>46030.37144675926</v>
      </c>
      <c r="AE19" s="110" t="s">
        <v>1404</v>
      </c>
      <c r="AF19" s="133"/>
      <c r="AG19" s="133"/>
      <c r="AH19" s="133"/>
    </row>
    <row r="20" ht="22.5" customHeight="1">
      <c r="A20" s="73"/>
      <c r="B20" s="73"/>
      <c r="C20" s="73"/>
      <c r="D20" s="73"/>
      <c r="E20" s="127" t="s">
        <v>1416</v>
      </c>
      <c r="F20" s="110" t="s">
        <v>1419</v>
      </c>
      <c r="G20" s="96">
        <f>IFERROR(__xludf.DUMMYFUNCTION("GOOGLEFINANCE(E20, ""price"")"),201.68)</f>
        <v>201.68</v>
      </c>
      <c r="H20" s="143"/>
      <c r="I20" s="143"/>
      <c r="J20" s="128"/>
      <c r="K20" s="129">
        <v>19.88</v>
      </c>
      <c r="L20" s="129">
        <v>75.4</v>
      </c>
      <c r="M20" s="129">
        <v>28.09</v>
      </c>
      <c r="N20" s="129">
        <v>4.4</v>
      </c>
      <c r="O20" s="110" t="s">
        <v>998</v>
      </c>
      <c r="P20" s="129">
        <v>145.81</v>
      </c>
      <c r="Q20" s="130">
        <v>45918.4844130787</v>
      </c>
      <c r="R20" s="131" t="b">
        <v>1</v>
      </c>
      <c r="S20" s="110" t="s">
        <v>3693</v>
      </c>
      <c r="T20" s="110">
        <v>0.0</v>
      </c>
      <c r="U20" s="110" t="s">
        <v>1416</v>
      </c>
      <c r="V20" s="110" t="s">
        <v>1458</v>
      </c>
      <c r="W20" s="110" t="s">
        <v>1461</v>
      </c>
      <c r="X20" s="110" t="s">
        <v>1465</v>
      </c>
      <c r="Y20" s="110" t="s">
        <v>1468</v>
      </c>
      <c r="Z20" s="110" t="s">
        <v>1470</v>
      </c>
      <c r="AA20" s="110" t="s">
        <v>1471</v>
      </c>
      <c r="AB20" s="110" t="s">
        <v>1473</v>
      </c>
      <c r="AC20" s="110" t="s">
        <v>1474</v>
      </c>
      <c r="AD20" s="132">
        <v>46030.37144675926</v>
      </c>
      <c r="AE20" s="110" t="s">
        <v>1478</v>
      </c>
      <c r="AF20" s="133"/>
      <c r="AG20" s="133"/>
      <c r="AH20" s="133"/>
    </row>
    <row r="21" ht="22.5" customHeight="1">
      <c r="A21" s="73"/>
      <c r="B21" s="73"/>
      <c r="C21" s="73"/>
      <c r="D21" s="73"/>
      <c r="E21" s="127" t="s">
        <v>457</v>
      </c>
      <c r="F21" s="110" t="s">
        <v>458</v>
      </c>
      <c r="G21" s="96">
        <f>IFERROR(__xludf.DUMMYFUNCTION("GOOGLEFINANCE(E21, ""price"")"),132.25)</f>
        <v>132.25</v>
      </c>
      <c r="H21" s="97">
        <f>IFERROR(__xludf.DUMMYFUNCTION("GOOGLEFINANCE(E21, ""low"")"),130.81)</f>
        <v>130.81</v>
      </c>
      <c r="I21" s="99">
        <f>IFERROR(__xludf.DUMMYFUNCTION("GOOGLEFINANCE(E21, ""high"")"),141.74)</f>
        <v>141.74</v>
      </c>
      <c r="J21" s="144"/>
      <c r="K21" s="145"/>
      <c r="L21" s="145"/>
      <c r="M21" s="145"/>
      <c r="N21" s="145"/>
      <c r="O21" s="143"/>
      <c r="P21" s="129">
        <v>90.18</v>
      </c>
      <c r="Q21" s="130">
        <v>45805.76461986111</v>
      </c>
      <c r="R21" s="131" t="b">
        <v>1</v>
      </c>
      <c r="S21" s="110" t="s">
        <v>3729</v>
      </c>
      <c r="T21" s="110">
        <v>0.0</v>
      </c>
      <c r="U21" s="110" t="s">
        <v>457</v>
      </c>
      <c r="V21" s="110" t="s">
        <v>1526</v>
      </c>
      <c r="W21" s="110" t="s">
        <v>1531</v>
      </c>
      <c r="X21" s="110" t="s">
        <v>1533</v>
      </c>
      <c r="Y21" s="110" t="s">
        <v>1536</v>
      </c>
      <c r="Z21" s="110" t="s">
        <v>1539</v>
      </c>
      <c r="AA21" s="110" t="s">
        <v>1540</v>
      </c>
      <c r="AB21" s="110" t="s">
        <v>1542</v>
      </c>
      <c r="AC21" s="110" t="s">
        <v>1545</v>
      </c>
      <c r="AD21" s="132">
        <v>46030.37144675926</v>
      </c>
      <c r="AE21" s="110" t="s">
        <v>1546</v>
      </c>
      <c r="AF21" s="133"/>
      <c r="AG21" s="133"/>
      <c r="AH21" s="133"/>
    </row>
    <row r="22" ht="22.5" customHeight="1">
      <c r="A22" s="73"/>
      <c r="B22" s="73"/>
      <c r="C22" s="73"/>
      <c r="D22" s="73"/>
      <c r="E22" s="127" t="s">
        <v>913</v>
      </c>
      <c r="F22" s="110" t="s">
        <v>1094</v>
      </c>
      <c r="G22" s="96">
        <f>IFERROR(__xludf.DUMMYFUNCTION("GOOGLEFINANCE(E22, ""price"")"),312.02)</f>
        <v>312.02</v>
      </c>
      <c r="H22" s="97">
        <f>IFERROR(__xludf.DUMMYFUNCTION("GOOGLEFINANCE(E22, ""low"")"),304.77)</f>
        <v>304.77</v>
      </c>
      <c r="I22" s="99">
        <f>IFERROR(__xludf.DUMMYFUNCTION("GOOGLEFINANCE(E22, ""high"")"),316.0)</f>
        <v>316</v>
      </c>
      <c r="J22" s="144"/>
      <c r="K22" s="145"/>
      <c r="L22" s="145"/>
      <c r="M22" s="145"/>
      <c r="N22" s="145"/>
      <c r="O22" s="143"/>
      <c r="P22" s="145"/>
      <c r="Q22" s="130"/>
      <c r="R22" s="131" t="b">
        <v>1</v>
      </c>
      <c r="S22" s="110" t="s">
        <v>3773</v>
      </c>
      <c r="T22" s="110">
        <v>0.0</v>
      </c>
      <c r="U22" s="110" t="s">
        <v>913</v>
      </c>
      <c r="V22" s="110" t="s">
        <v>1575</v>
      </c>
      <c r="W22" s="110" t="s">
        <v>1577</v>
      </c>
      <c r="X22" s="110" t="s">
        <v>1578</v>
      </c>
      <c r="Y22" s="110" t="s">
        <v>1580</v>
      </c>
      <c r="Z22" s="110" t="s">
        <v>1585</v>
      </c>
      <c r="AA22" s="110" t="s">
        <v>1588</v>
      </c>
      <c r="AB22" s="110" t="s">
        <v>854</v>
      </c>
      <c r="AC22" s="110" t="s">
        <v>1592</v>
      </c>
      <c r="AD22" s="132">
        <v>46030.37144675926</v>
      </c>
      <c r="AE22" s="110" t="s">
        <v>1597</v>
      </c>
      <c r="AF22" s="133"/>
      <c r="AG22" s="133"/>
      <c r="AH22" s="133"/>
    </row>
    <row r="23" ht="22.5" customHeight="1">
      <c r="A23" s="73"/>
      <c r="B23" s="73"/>
      <c r="C23" s="73"/>
      <c r="D23" s="73"/>
      <c r="E23" s="127" t="s">
        <v>580</v>
      </c>
      <c r="F23" s="110" t="s">
        <v>581</v>
      </c>
      <c r="G23" s="96">
        <f>IFERROR(__xludf.DUMMYFUNCTION("GOOGLEFINANCE(E23, ""price"")"),122.54)</f>
        <v>122.54</v>
      </c>
      <c r="H23" s="97">
        <f>IFERROR(__xludf.DUMMYFUNCTION("GOOGLEFINANCE(E23, ""low"")"),121.21)</f>
        <v>121.21</v>
      </c>
      <c r="I23" s="99">
        <f>IFERROR(__xludf.DUMMYFUNCTION("GOOGLEFINANCE(E23, ""high"")"),123.96)</f>
        <v>123.96</v>
      </c>
      <c r="J23" s="144"/>
      <c r="K23" s="145"/>
      <c r="L23" s="145"/>
      <c r="M23" s="145"/>
      <c r="N23" s="145"/>
      <c r="O23" s="143"/>
      <c r="P23" s="145"/>
      <c r="Q23" s="130"/>
      <c r="R23" s="131" t="b">
        <v>1</v>
      </c>
      <c r="S23" s="110" t="s">
        <v>3802</v>
      </c>
      <c r="T23" s="110">
        <v>0.0</v>
      </c>
      <c r="U23" s="110" t="s">
        <v>580</v>
      </c>
      <c r="V23" s="110" t="s">
        <v>1640</v>
      </c>
      <c r="W23" s="110" t="s">
        <v>1644</v>
      </c>
      <c r="X23" s="110" t="s">
        <v>1648</v>
      </c>
      <c r="Y23" s="110" t="s">
        <v>1652</v>
      </c>
      <c r="Z23" s="110" t="s">
        <v>1656</v>
      </c>
      <c r="AA23" s="110" t="s">
        <v>1657</v>
      </c>
      <c r="AB23" s="110" t="s">
        <v>1662</v>
      </c>
      <c r="AC23" s="110" t="s">
        <v>1666</v>
      </c>
      <c r="AD23" s="132">
        <v>46030.37144675926</v>
      </c>
      <c r="AE23" s="110" t="s">
        <v>1674</v>
      </c>
      <c r="AF23" s="133"/>
      <c r="AG23" s="133"/>
      <c r="AH23" s="133"/>
    </row>
    <row r="24" ht="22.5" customHeight="1">
      <c r="A24" s="73"/>
      <c r="B24" s="73"/>
      <c r="C24" s="73"/>
      <c r="D24" s="73"/>
      <c r="E24" s="127" t="s">
        <v>1694</v>
      </c>
      <c r="F24" s="110" t="s">
        <v>1700</v>
      </c>
      <c r="G24" s="96">
        <f>IFERROR(__xludf.DUMMYFUNCTION("GOOGLEFINANCE(E24, ""price"")"),27.17)</f>
        <v>27.17</v>
      </c>
      <c r="H24" s="97">
        <f>IFERROR(__xludf.DUMMYFUNCTION("GOOGLEFINANCE(E24, ""low"")"),26.91)</f>
        <v>26.91</v>
      </c>
      <c r="I24" s="99">
        <f>IFERROR(__xludf.DUMMYFUNCTION("GOOGLEFINANCE(E24, ""high"")"),27.63)</f>
        <v>27.63</v>
      </c>
      <c r="J24" s="128"/>
      <c r="K24" s="129">
        <v>6.06</v>
      </c>
      <c r="L24" s="129">
        <v>72.57</v>
      </c>
      <c r="M24" s="129">
        <v>22.0</v>
      </c>
      <c r="N24" s="129">
        <v>1.48</v>
      </c>
      <c r="O24" s="110" t="s">
        <v>170</v>
      </c>
      <c r="P24" s="129">
        <v>30.5</v>
      </c>
      <c r="Q24" s="130">
        <v>45796.32851384259</v>
      </c>
      <c r="R24" s="131" t="b">
        <v>1</v>
      </c>
      <c r="S24" s="110" t="s">
        <v>3831</v>
      </c>
      <c r="T24" s="110">
        <v>0.0</v>
      </c>
      <c r="U24" s="110" t="s">
        <v>1694</v>
      </c>
      <c r="V24" s="110" t="s">
        <v>1733</v>
      </c>
      <c r="W24" s="110" t="s">
        <v>1735</v>
      </c>
      <c r="X24" s="110" t="s">
        <v>1738</v>
      </c>
      <c r="Y24" s="110" t="s">
        <v>1741</v>
      </c>
      <c r="Z24" s="110" t="s">
        <v>1744</v>
      </c>
      <c r="AA24" s="110" t="s">
        <v>1746</v>
      </c>
      <c r="AB24" s="110" t="s">
        <v>386</v>
      </c>
      <c r="AC24" s="110" t="s">
        <v>1754</v>
      </c>
      <c r="AD24" s="132">
        <v>46030.37144675926</v>
      </c>
      <c r="AE24" s="110" t="s">
        <v>1758</v>
      </c>
      <c r="AF24" s="110"/>
      <c r="AG24" s="110"/>
      <c r="AH24" s="110"/>
    </row>
    <row r="25" ht="22.5" customHeight="1">
      <c r="A25" s="73"/>
      <c r="B25" s="73"/>
      <c r="C25" s="73"/>
      <c r="D25" s="73"/>
      <c r="E25" s="125" t="s">
        <v>3847</v>
      </c>
      <c r="F25" s="125" t="s">
        <v>3847</v>
      </c>
      <c r="G25" s="96">
        <f>IFERROR(__xludf.DUMMYFUNCTION("GOOGLEFINANCE(E25, ""price"")"),1727.08)</f>
        <v>1727.08</v>
      </c>
      <c r="H25" s="97">
        <f>IFERROR(__xludf.DUMMYFUNCTION("GOOGLEFINANCE(E25, ""low"")"),1704.3)</f>
        <v>1704.3</v>
      </c>
      <c r="I25" s="99">
        <f>IFERROR(__xludf.DUMMYFUNCTION("GOOGLEFINANCE(E25, ""high"")"),1738.55)</f>
        <v>1738.55</v>
      </c>
      <c r="J25" s="152"/>
      <c r="K25" s="106"/>
      <c r="L25" s="106"/>
      <c r="M25" s="106"/>
      <c r="N25" s="106"/>
      <c r="O25" s="105"/>
      <c r="P25" s="104">
        <v>746.09</v>
      </c>
      <c r="Q25" s="108">
        <v>45709.47920290509</v>
      </c>
      <c r="R25" s="109" t="b">
        <v>1</v>
      </c>
      <c r="S25" s="110" t="s">
        <v>3855</v>
      </c>
      <c r="T25" s="110">
        <v>0.0</v>
      </c>
      <c r="U25" s="111" t="s">
        <v>3847</v>
      </c>
      <c r="V25" s="111" t="s">
        <v>3857</v>
      </c>
      <c r="W25" s="111" t="s">
        <v>3860</v>
      </c>
      <c r="X25" s="111" t="s">
        <v>3862</v>
      </c>
      <c r="Y25" s="111" t="s">
        <v>3459</v>
      </c>
      <c r="Z25" s="111" t="s">
        <v>3866</v>
      </c>
      <c r="AA25" s="111" t="s">
        <v>3868</v>
      </c>
      <c r="AB25" s="111" t="s">
        <v>569</v>
      </c>
      <c r="AC25" s="111" t="s">
        <v>3874</v>
      </c>
      <c r="AD25" s="112">
        <v>46030.37144675926</v>
      </c>
      <c r="AE25" s="111" t="s">
        <v>3877</v>
      </c>
      <c r="AF25" s="122"/>
      <c r="AG25" s="122"/>
      <c r="AH25" s="122"/>
    </row>
    <row r="26" ht="22.5" customHeight="1">
      <c r="A26" s="73"/>
      <c r="B26" s="73"/>
      <c r="C26" s="73"/>
      <c r="D26" s="73"/>
      <c r="E26" s="151" t="s">
        <v>1782</v>
      </c>
      <c r="F26" s="125" t="s">
        <v>1789</v>
      </c>
      <c r="G26" s="96">
        <f>IFERROR(__xludf.DUMMYFUNCTION("GOOGLEFINANCE(E26, ""price"")"),61.7)</f>
        <v>61.7</v>
      </c>
      <c r="H26" s="97">
        <f>IFERROR(__xludf.DUMMYFUNCTION("GOOGLEFINANCE(E26, ""low"")"),61.38)</f>
        <v>61.38</v>
      </c>
      <c r="I26" s="99">
        <f>IFERROR(__xludf.DUMMYFUNCTION("GOOGLEFINANCE(E26, ""high"")"),63.79)</f>
        <v>63.79</v>
      </c>
      <c r="J26" s="152"/>
      <c r="K26" s="104">
        <v>-25.79</v>
      </c>
      <c r="L26" s="104">
        <v>34.66</v>
      </c>
      <c r="M26" s="104">
        <v>17.28</v>
      </c>
      <c r="N26" s="104">
        <v>7.47</v>
      </c>
      <c r="O26" s="104" t="s">
        <v>170</v>
      </c>
      <c r="P26" s="104">
        <v>60.53</v>
      </c>
      <c r="Q26" s="153">
        <v>46219.377022280096</v>
      </c>
      <c r="R26" s="109" t="b">
        <v>1</v>
      </c>
      <c r="S26" s="110" t="s">
        <v>3886</v>
      </c>
      <c r="T26" s="110">
        <v>0.0</v>
      </c>
      <c r="U26" s="111" t="s">
        <v>1782</v>
      </c>
      <c r="V26" s="111" t="s">
        <v>1822</v>
      </c>
      <c r="W26" s="111" t="s">
        <v>1824</v>
      </c>
      <c r="X26" s="111" t="s">
        <v>1827</v>
      </c>
      <c r="Y26" s="111" t="s">
        <v>1831</v>
      </c>
      <c r="Z26" s="111" t="s">
        <v>1833</v>
      </c>
      <c r="AA26" s="111" t="s">
        <v>1835</v>
      </c>
      <c r="AB26" s="111" t="s">
        <v>1837</v>
      </c>
      <c r="AC26" s="111" t="s">
        <v>1841</v>
      </c>
      <c r="AD26" s="112">
        <v>46030.37144675926</v>
      </c>
      <c r="AE26" s="111" t="s">
        <v>1846</v>
      </c>
      <c r="AF26" s="122"/>
      <c r="AG26" s="122"/>
      <c r="AH26" s="122"/>
    </row>
    <row r="27" ht="22.5" customHeight="1">
      <c r="A27" s="73"/>
      <c r="B27" s="149" t="s">
        <v>327</v>
      </c>
      <c r="C27" s="150">
        <f>now()</f>
        <v>46288.71545</v>
      </c>
      <c r="D27" s="73"/>
      <c r="E27" s="154" t="s">
        <v>219</v>
      </c>
      <c r="F27" s="110" t="s">
        <v>221</v>
      </c>
      <c r="G27" s="96">
        <f>IFERROR(__xludf.DUMMYFUNCTION("GOOGLEFINANCE(E27, ""price"")"),356.26)</f>
        <v>356.26</v>
      </c>
      <c r="H27" s="97">
        <f>IFERROR(__xludf.DUMMYFUNCTION("GOOGLEFINANCE(E27, ""low"")"),354.8)</f>
        <v>354.8</v>
      </c>
      <c r="I27" s="99">
        <f>IFERROR(__xludf.DUMMYFUNCTION("GOOGLEFINANCE(E27, ""high"")"),362.9)</f>
        <v>362.9</v>
      </c>
      <c r="J27" s="128"/>
      <c r="K27" s="129">
        <v>26.17</v>
      </c>
      <c r="L27" s="129">
        <v>81.35</v>
      </c>
      <c r="M27" s="129">
        <v>35.38</v>
      </c>
      <c r="N27" s="129">
        <v>7.33</v>
      </c>
      <c r="O27" s="129" t="s">
        <v>170</v>
      </c>
      <c r="P27" s="129">
        <v>248.89</v>
      </c>
      <c r="Q27" s="130">
        <v>45814.12637445602</v>
      </c>
      <c r="R27" s="131" t="b">
        <v>1</v>
      </c>
      <c r="S27" s="110" t="s">
        <v>3931</v>
      </c>
      <c r="T27" s="110">
        <v>0.0</v>
      </c>
      <c r="U27" s="110" t="s">
        <v>219</v>
      </c>
      <c r="V27" s="110" t="s">
        <v>1904</v>
      </c>
      <c r="W27" s="110" t="s">
        <v>1907</v>
      </c>
      <c r="X27" s="110" t="s">
        <v>1911</v>
      </c>
      <c r="Y27" s="110" t="s">
        <v>1913</v>
      </c>
      <c r="Z27" s="110" t="s">
        <v>1916</v>
      </c>
      <c r="AA27" s="110" t="s">
        <v>1919</v>
      </c>
      <c r="AB27" s="110" t="s">
        <v>1922</v>
      </c>
      <c r="AC27" s="110" t="s">
        <v>1924</v>
      </c>
      <c r="AD27" s="132">
        <v>46030.37144675926</v>
      </c>
      <c r="AE27" s="110" t="s">
        <v>1928</v>
      </c>
      <c r="AF27" s="133"/>
      <c r="AG27" s="133"/>
      <c r="AH27" s="133"/>
    </row>
    <row r="28" ht="22.5" customHeight="1">
      <c r="A28" s="73"/>
      <c r="B28" s="73"/>
      <c r="C28" s="73"/>
      <c r="D28" s="73"/>
      <c r="E28" s="127" t="s">
        <v>2024</v>
      </c>
      <c r="F28" s="110" t="s">
        <v>2027</v>
      </c>
      <c r="G28" s="96">
        <f>IFERROR(__xludf.DUMMYFUNCTION("GOOGLEFINANCE(E28, ""price"")"),201.51)</f>
        <v>201.51</v>
      </c>
      <c r="H28" s="97">
        <f>IFERROR(__xludf.DUMMYFUNCTION("GOOGLEFINANCE(E28, ""low"")"),197.98)</f>
        <v>197.98</v>
      </c>
      <c r="I28" s="99">
        <f>IFERROR(__xludf.DUMMYFUNCTION("GOOGLEFINANCE(E28, ""high"")"),204.07)</f>
        <v>204.07</v>
      </c>
      <c r="J28" s="144"/>
      <c r="K28" s="145"/>
      <c r="L28" s="129">
        <v>45.52</v>
      </c>
      <c r="M28" s="129">
        <v>35.64</v>
      </c>
      <c r="N28" s="129">
        <v>5.79</v>
      </c>
      <c r="O28" s="110" t="s">
        <v>245</v>
      </c>
      <c r="P28" s="129">
        <v>198.22</v>
      </c>
      <c r="Q28" s="130">
        <v>45821.67355234954</v>
      </c>
      <c r="R28" s="131" t="b">
        <v>1</v>
      </c>
      <c r="S28" s="110" t="s">
        <v>3963</v>
      </c>
      <c r="T28" s="110">
        <v>0.0</v>
      </c>
      <c r="U28" s="110" t="s">
        <v>2024</v>
      </c>
      <c r="V28" s="110" t="s">
        <v>2068</v>
      </c>
      <c r="W28" s="110" t="s">
        <v>2071</v>
      </c>
      <c r="X28" s="110" t="s">
        <v>2075</v>
      </c>
      <c r="Y28" s="110" t="s">
        <v>2079</v>
      </c>
      <c r="Z28" s="110" t="s">
        <v>2083</v>
      </c>
      <c r="AA28" s="110" t="s">
        <v>2084</v>
      </c>
      <c r="AB28" s="110" t="s">
        <v>2087</v>
      </c>
      <c r="AC28" s="110" t="s">
        <v>2090</v>
      </c>
      <c r="AD28" s="132">
        <v>46030.37144675926</v>
      </c>
      <c r="AE28" s="110" t="s">
        <v>2094</v>
      </c>
      <c r="AF28" s="133"/>
      <c r="AG28" s="133"/>
      <c r="AH28" s="133"/>
    </row>
    <row r="29" ht="22.5" customHeight="1">
      <c r="A29" s="73"/>
      <c r="B29" s="73"/>
      <c r="C29" s="73"/>
      <c r="D29" s="73"/>
      <c r="E29" s="155" t="s">
        <v>211</v>
      </c>
      <c r="F29" s="125" t="s">
        <v>212</v>
      </c>
      <c r="G29" s="96">
        <f>IFERROR(__xludf.DUMMYFUNCTION("GOOGLEFINANCE(E29, ""price"")"),110.98)</f>
        <v>110.98</v>
      </c>
      <c r="H29" s="97">
        <f>IFERROR(__xludf.DUMMYFUNCTION("GOOGLEFINANCE(E29, ""low"")"),110.87)</f>
        <v>110.87</v>
      </c>
      <c r="I29" s="99">
        <f>IFERROR(__xludf.DUMMYFUNCTION("GOOGLEFINANCE(E29, ""high"")"),112.28)</f>
        <v>112.28</v>
      </c>
      <c r="J29" s="126"/>
      <c r="K29" s="106"/>
      <c r="L29" s="106"/>
      <c r="M29" s="106"/>
      <c r="N29" s="106"/>
      <c r="O29" s="125" t="s">
        <v>213</v>
      </c>
      <c r="P29" s="104">
        <v>117.11</v>
      </c>
      <c r="Q29" s="108">
        <v>45856.30512809027</v>
      </c>
      <c r="R29" s="109" t="b">
        <v>1</v>
      </c>
      <c r="S29" s="110" t="s">
        <v>3983</v>
      </c>
      <c r="T29" s="110">
        <v>0.0</v>
      </c>
      <c r="U29" s="111" t="s">
        <v>211</v>
      </c>
      <c r="V29" s="111" t="s">
        <v>2138</v>
      </c>
      <c r="W29" s="111" t="s">
        <v>2143</v>
      </c>
      <c r="X29" s="111" t="s">
        <v>2145</v>
      </c>
      <c r="Y29" s="111" t="s">
        <v>2147</v>
      </c>
      <c r="Z29" s="111" t="s">
        <v>2149</v>
      </c>
      <c r="AA29" s="111" t="s">
        <v>2153</v>
      </c>
      <c r="AB29" s="111" t="s">
        <v>2156</v>
      </c>
      <c r="AC29" s="111" t="s">
        <v>2157</v>
      </c>
      <c r="AD29" s="112">
        <v>46030.37144675926</v>
      </c>
      <c r="AE29" s="111" t="s">
        <v>2162</v>
      </c>
      <c r="AF29" s="111"/>
      <c r="AG29" s="111"/>
      <c r="AH29" s="111"/>
    </row>
    <row r="30" ht="22.5" customHeight="1">
      <c r="A30" s="73"/>
      <c r="B30" s="73"/>
      <c r="C30" s="73"/>
      <c r="D30" s="73"/>
      <c r="E30" s="157" t="s">
        <v>1450</v>
      </c>
      <c r="F30" s="95" t="s">
        <v>1451</v>
      </c>
      <c r="G30" s="96">
        <f>IFERROR(__xludf.DUMMYFUNCTION("GOOGLEFINANCE(E30, ""price"")"),2.89)</f>
        <v>2.89</v>
      </c>
      <c r="H30" s="97">
        <f>IFERROR(__xludf.DUMMYFUNCTION("GOOGLEFINANCE(E30, ""low"")"),2.84)</f>
        <v>2.84</v>
      </c>
      <c r="I30" s="99">
        <f>IFERROR(__xludf.DUMMYFUNCTION("GOOGLEFINANCE(E30, ""high"")"),2.9)</f>
        <v>2.9</v>
      </c>
      <c r="J30" s="100"/>
      <c r="K30" s="104">
        <v>-0.46</v>
      </c>
      <c r="L30" s="104">
        <v>63.98</v>
      </c>
      <c r="M30" s="104">
        <v>47.18</v>
      </c>
      <c r="N30" s="104">
        <v>0.71</v>
      </c>
      <c r="O30" s="125" t="s">
        <v>998</v>
      </c>
      <c r="P30" s="104">
        <v>7.1</v>
      </c>
      <c r="Q30" s="108">
        <v>45855.328992083334</v>
      </c>
      <c r="R30" s="109" t="b">
        <v>1</v>
      </c>
      <c r="S30" s="110" t="s">
        <v>4022</v>
      </c>
      <c r="T30" s="110">
        <v>0.0</v>
      </c>
      <c r="U30" s="111" t="s">
        <v>1450</v>
      </c>
      <c r="V30" s="111" t="s">
        <v>2209</v>
      </c>
      <c r="W30" s="111" t="s">
        <v>2210</v>
      </c>
      <c r="X30" s="111" t="s">
        <v>2212</v>
      </c>
      <c r="Y30" s="111" t="s">
        <v>2215</v>
      </c>
      <c r="Z30" s="111" t="s">
        <v>2217</v>
      </c>
      <c r="AA30" s="111" t="s">
        <v>2219</v>
      </c>
      <c r="AB30" s="111" t="s">
        <v>1905</v>
      </c>
      <c r="AC30" s="111" t="s">
        <v>2222</v>
      </c>
      <c r="AD30" s="112">
        <v>46030.37144675926</v>
      </c>
      <c r="AE30" s="111" t="s">
        <v>1941</v>
      </c>
      <c r="AF30" s="122"/>
      <c r="AG30" s="122"/>
      <c r="AH30" s="122"/>
    </row>
    <row r="31" ht="22.5" customHeight="1">
      <c r="A31" s="73"/>
      <c r="B31" s="73"/>
      <c r="C31" s="73"/>
      <c r="D31" s="73"/>
      <c r="E31" s="117" t="s">
        <v>467</v>
      </c>
      <c r="F31" s="111" t="s">
        <v>935</v>
      </c>
      <c r="G31" s="96">
        <f>IFERROR(__xludf.DUMMYFUNCTION("GOOGLEFINANCE(E31, ""price"")"),1066.03)</f>
        <v>1066.03</v>
      </c>
      <c r="H31" s="118"/>
      <c r="I31" s="118"/>
      <c r="J31" s="119"/>
      <c r="K31" s="120"/>
      <c r="L31" s="120"/>
      <c r="M31" s="120"/>
      <c r="N31" s="120"/>
      <c r="O31" s="118"/>
      <c r="P31" s="120"/>
      <c r="Q31" s="121"/>
      <c r="R31" s="109" t="b">
        <v>1</v>
      </c>
      <c r="S31" s="110" t="s">
        <v>4048</v>
      </c>
      <c r="T31" s="110">
        <v>0.0</v>
      </c>
      <c r="U31" s="111" t="s">
        <v>467</v>
      </c>
      <c r="V31" s="111" t="s">
        <v>2260</v>
      </c>
      <c r="W31" s="111" t="s">
        <v>2263</v>
      </c>
      <c r="X31" s="111" t="s">
        <v>2266</v>
      </c>
      <c r="Y31" s="111" t="s">
        <v>2269</v>
      </c>
      <c r="Z31" s="111" t="s">
        <v>2271</v>
      </c>
      <c r="AA31" s="111" t="s">
        <v>2274</v>
      </c>
      <c r="AB31" s="111" t="s">
        <v>2278</v>
      </c>
      <c r="AC31" s="111" t="s">
        <v>2279</v>
      </c>
      <c r="AD31" s="112">
        <v>46150.444386574076</v>
      </c>
      <c r="AE31" s="111" t="s">
        <v>2284</v>
      </c>
      <c r="AF31" s="122"/>
      <c r="AG31" s="122"/>
      <c r="AH31" s="122"/>
    </row>
    <row r="32" ht="22.5" customHeight="1">
      <c r="A32" s="73"/>
      <c r="B32" s="73"/>
      <c r="C32" s="73"/>
      <c r="D32" s="73"/>
      <c r="E32" s="127" t="s">
        <v>2297</v>
      </c>
      <c r="F32" s="110" t="s">
        <v>2300</v>
      </c>
      <c r="G32" s="96">
        <f>IFERROR(__xludf.DUMMYFUNCTION("GOOGLEFINANCE(E32, ""price"")"),133.4)</f>
        <v>133.4</v>
      </c>
      <c r="H32" s="97">
        <f>IFERROR(__xludf.DUMMYFUNCTION("GOOGLEFINANCE(E32, ""low"")"),131.89)</f>
        <v>131.89</v>
      </c>
      <c r="I32" s="99">
        <f>IFERROR(__xludf.DUMMYFUNCTION("GOOGLEFINANCE(E32, ""high"")"),134.29)</f>
        <v>134.29</v>
      </c>
      <c r="J32" s="128"/>
      <c r="K32" s="129">
        <v>10.75</v>
      </c>
      <c r="L32" s="129">
        <v>48.28</v>
      </c>
      <c r="M32" s="129">
        <v>28.46</v>
      </c>
      <c r="N32" s="129" t="s">
        <v>2319</v>
      </c>
      <c r="O32" s="110" t="s">
        <v>245</v>
      </c>
      <c r="P32" s="129">
        <v>158.18</v>
      </c>
      <c r="Q32" s="130">
        <v>46072.14340472222</v>
      </c>
      <c r="R32" s="131" t="b">
        <v>1</v>
      </c>
      <c r="S32" s="110" t="s">
        <v>4077</v>
      </c>
      <c r="T32" s="110">
        <v>0.0</v>
      </c>
      <c r="U32" s="110" t="s">
        <v>2297</v>
      </c>
      <c r="V32" s="110" t="s">
        <v>2333</v>
      </c>
      <c r="W32" s="110" t="s">
        <v>2334</v>
      </c>
      <c r="X32" s="110" t="s">
        <v>2336</v>
      </c>
      <c r="Y32" s="110" t="s">
        <v>2338</v>
      </c>
      <c r="Z32" s="110" t="s">
        <v>2339</v>
      </c>
      <c r="AA32" s="110" t="s">
        <v>2340</v>
      </c>
      <c r="AB32" s="110" t="s">
        <v>1309</v>
      </c>
      <c r="AC32" s="110" t="s">
        <v>2344</v>
      </c>
      <c r="AD32" s="132">
        <v>46030.37144675926</v>
      </c>
      <c r="AE32" s="110" t="s">
        <v>2347</v>
      </c>
      <c r="AF32" s="133"/>
      <c r="AG32" s="133"/>
      <c r="AH32" s="133"/>
    </row>
    <row r="33" ht="22.5" customHeight="1">
      <c r="A33" s="73"/>
      <c r="B33" s="73"/>
      <c r="C33" s="73"/>
      <c r="D33" s="73"/>
      <c r="E33" s="117" t="s">
        <v>289</v>
      </c>
      <c r="F33" s="111" t="s">
        <v>290</v>
      </c>
      <c r="G33" s="96">
        <f>IFERROR(__xludf.DUMMYFUNCTION("GOOGLEFINANCE(E33, ""price"")"),27.53)</f>
        <v>27.53</v>
      </c>
      <c r="H33" s="118"/>
      <c r="I33" s="118"/>
      <c r="J33" s="135"/>
      <c r="K33" s="120"/>
      <c r="L33" s="120"/>
      <c r="M33" s="120"/>
      <c r="N33" s="120"/>
      <c r="O33" s="118"/>
      <c r="P33" s="120"/>
      <c r="Q33" s="121"/>
      <c r="R33" s="109" t="b">
        <v>1</v>
      </c>
      <c r="S33" s="110" t="s">
        <v>319</v>
      </c>
      <c r="T33" s="110">
        <v>0.0</v>
      </c>
      <c r="U33" s="111" t="s">
        <v>289</v>
      </c>
      <c r="V33" s="111" t="s">
        <v>2383</v>
      </c>
      <c r="W33" s="111" t="s">
        <v>2385</v>
      </c>
      <c r="X33" s="111" t="s">
        <v>2388</v>
      </c>
      <c r="Y33" s="111" t="s">
        <v>2390</v>
      </c>
      <c r="Z33" s="111" t="s">
        <v>2392</v>
      </c>
      <c r="AA33" s="111" t="s">
        <v>2395</v>
      </c>
      <c r="AB33" s="111" t="s">
        <v>2156</v>
      </c>
      <c r="AC33" s="111" t="s">
        <v>2400</v>
      </c>
      <c r="AD33" s="112">
        <v>46303.94436342592</v>
      </c>
      <c r="AE33" s="111" t="s">
        <v>2403</v>
      </c>
      <c r="AF33" s="122"/>
      <c r="AG33" s="122"/>
      <c r="AH33" s="122"/>
    </row>
    <row r="34" ht="22.5" customHeight="1">
      <c r="A34" s="73"/>
      <c r="B34" s="73"/>
      <c r="C34" s="73"/>
      <c r="D34" s="73"/>
      <c r="E34" s="117" t="s">
        <v>2412</v>
      </c>
      <c r="F34" s="111" t="s">
        <v>2414</v>
      </c>
      <c r="G34" s="96">
        <f>IFERROR(__xludf.DUMMYFUNCTION("GOOGLEFINANCE(E34, ""price"")"),3.9)</f>
        <v>3.9</v>
      </c>
      <c r="H34" s="118"/>
      <c r="I34" s="118"/>
      <c r="J34" s="119"/>
      <c r="K34" s="120"/>
      <c r="L34" s="120"/>
      <c r="M34" s="120"/>
      <c r="N34" s="120"/>
      <c r="O34" s="118"/>
      <c r="P34" s="120"/>
      <c r="Q34" s="121"/>
      <c r="R34" s="109" t="b">
        <v>1</v>
      </c>
      <c r="S34" s="110" t="s">
        <v>4164</v>
      </c>
      <c r="T34" s="110">
        <v>0.0</v>
      </c>
      <c r="U34" s="111" t="s">
        <v>2412</v>
      </c>
      <c r="V34" s="111" t="s">
        <v>2425</v>
      </c>
      <c r="W34" s="111" t="s">
        <v>2426</v>
      </c>
      <c r="X34" s="111" t="s">
        <v>2428</v>
      </c>
      <c r="Y34" s="111" t="s">
        <v>2429</v>
      </c>
      <c r="Z34" s="111" t="s">
        <v>2432</v>
      </c>
      <c r="AA34" s="111" t="s">
        <v>2434</v>
      </c>
      <c r="AB34" s="111" t="s">
        <v>2278</v>
      </c>
      <c r="AC34" s="111" t="s">
        <v>2436</v>
      </c>
      <c r="AD34" s="112">
        <v>46030.37144675926</v>
      </c>
      <c r="AE34" s="111" t="s">
        <v>2438</v>
      </c>
      <c r="AF34" s="122"/>
      <c r="AG34" s="122"/>
      <c r="AH34" s="122"/>
    </row>
    <row r="35" ht="22.5" customHeight="1">
      <c r="A35" s="73"/>
      <c r="B35" s="73"/>
      <c r="C35" s="73"/>
      <c r="D35" s="73"/>
      <c r="E35" s="127" t="s">
        <v>882</v>
      </c>
      <c r="F35" s="110" t="s">
        <v>883</v>
      </c>
      <c r="G35" s="96">
        <f>IFERROR(__xludf.DUMMYFUNCTION("GOOGLEFINANCE(E35, ""price"")"),508.51)</f>
        <v>508.51</v>
      </c>
      <c r="H35" s="97">
        <f>IFERROR(__xludf.DUMMYFUNCTION("GOOGLEFINANCE(E35, ""low"")"),502.81)</f>
        <v>502.81</v>
      </c>
      <c r="I35" s="99">
        <f>IFERROR(__xludf.DUMMYFUNCTION("GOOGLEFINANCE(E35, ""high"")"),509.85)</f>
        <v>509.85</v>
      </c>
      <c r="J35" s="128"/>
      <c r="K35" s="129">
        <v>3.53</v>
      </c>
      <c r="L35" s="129">
        <v>60.7</v>
      </c>
      <c r="M35" s="129">
        <v>12.67</v>
      </c>
      <c r="N35" s="129">
        <v>6.13</v>
      </c>
      <c r="O35" s="143"/>
      <c r="P35" s="106">
        <v>480.42</v>
      </c>
      <c r="Q35" s="130">
        <v>45709.677997314815</v>
      </c>
      <c r="R35" s="131" t="b">
        <v>1</v>
      </c>
      <c r="S35" s="110" t="s">
        <v>4208</v>
      </c>
      <c r="T35" s="110">
        <v>0.0</v>
      </c>
      <c r="U35" s="110" t="s">
        <v>882</v>
      </c>
      <c r="V35" s="110" t="s">
        <v>2454</v>
      </c>
      <c r="W35" s="110" t="s">
        <v>2455</v>
      </c>
      <c r="X35" s="110" t="s">
        <v>2456</v>
      </c>
      <c r="Y35" s="110" t="s">
        <v>2457</v>
      </c>
      <c r="Z35" s="110" t="s">
        <v>2458</v>
      </c>
      <c r="AA35" s="110" t="s">
        <v>2459</v>
      </c>
      <c r="AB35" s="110" t="s">
        <v>2460</v>
      </c>
      <c r="AC35" s="110" t="s">
        <v>2461</v>
      </c>
      <c r="AD35" s="132">
        <v>46030.37144675926</v>
      </c>
      <c r="AE35" s="110" t="s">
        <v>2462</v>
      </c>
      <c r="AF35" s="110"/>
      <c r="AG35" s="110"/>
      <c r="AH35" s="110"/>
    </row>
    <row r="36" ht="22.5" customHeight="1">
      <c r="A36" s="73"/>
      <c r="B36" s="73"/>
      <c r="C36" s="73"/>
      <c r="D36" s="73"/>
      <c r="E36" s="160" t="s">
        <v>2468</v>
      </c>
      <c r="F36" s="125" t="s">
        <v>2471</v>
      </c>
      <c r="G36" s="96">
        <f>IFERROR(__xludf.DUMMYFUNCTION("GOOGLEFINANCE(E36, ""price"")"),38.6)</f>
        <v>38.6</v>
      </c>
      <c r="H36" s="97">
        <f>IFERROR(__xludf.DUMMYFUNCTION("GOOGLEFINANCE(E36, ""low"")"),37.72)</f>
        <v>37.72</v>
      </c>
      <c r="I36" s="99">
        <f>IFERROR(__xludf.DUMMYFUNCTION("GOOGLEFINANCE(E36, ""high"")"),38.94)</f>
        <v>38.94</v>
      </c>
      <c r="J36" s="161"/>
      <c r="K36" s="104">
        <v>21.88</v>
      </c>
      <c r="L36" s="104">
        <v>82.05</v>
      </c>
      <c r="M36" s="104">
        <v>37.66</v>
      </c>
      <c r="N36" s="104">
        <v>3.53</v>
      </c>
      <c r="O36" s="105" t="s">
        <v>2478</v>
      </c>
      <c r="P36" s="104">
        <v>86.5</v>
      </c>
      <c r="Q36" s="108">
        <v>45707.21796927083</v>
      </c>
      <c r="R36" s="109" t="b">
        <v>1</v>
      </c>
      <c r="S36" s="110" t="s">
        <v>4242</v>
      </c>
      <c r="T36" s="110">
        <v>0.0</v>
      </c>
      <c r="U36" s="111" t="s">
        <v>2468</v>
      </c>
      <c r="V36" s="111" t="s">
        <v>2483</v>
      </c>
      <c r="W36" s="111" t="s">
        <v>796</v>
      </c>
      <c r="X36" s="111" t="s">
        <v>2487</v>
      </c>
      <c r="Y36" s="111" t="s">
        <v>2489</v>
      </c>
      <c r="Z36" s="111" t="s">
        <v>2491</v>
      </c>
      <c r="AA36" s="111" t="s">
        <v>2493</v>
      </c>
      <c r="AB36" s="111" t="s">
        <v>1837</v>
      </c>
      <c r="AC36" s="111" t="s">
        <v>2495</v>
      </c>
      <c r="AD36" s="112">
        <v>46030.37144675926</v>
      </c>
      <c r="AE36" s="111" t="s">
        <v>2497</v>
      </c>
      <c r="AF36" s="122"/>
      <c r="AG36" s="122"/>
      <c r="AH36" s="122"/>
    </row>
    <row r="37" ht="22.5" customHeight="1">
      <c r="A37" s="73"/>
      <c r="B37" s="73"/>
      <c r="C37" s="73"/>
      <c r="D37" s="73"/>
      <c r="E37" s="127" t="s">
        <v>2506</v>
      </c>
      <c r="F37" s="110" t="s">
        <v>2508</v>
      </c>
      <c r="G37" s="96">
        <f>IFERROR(__xludf.DUMMYFUNCTION("GOOGLEFINANCE(E37, ""price"")"),10.14)</f>
        <v>10.14</v>
      </c>
      <c r="H37" s="97">
        <f>IFERROR(__xludf.DUMMYFUNCTION("GOOGLEFINANCE(E37, ""low"")"),10.13)</f>
        <v>10.13</v>
      </c>
      <c r="I37" s="99">
        <f>IFERROR(__xludf.DUMMYFUNCTION("GOOGLEFINANCE(E37, ""high"")"),10.22)</f>
        <v>10.22</v>
      </c>
      <c r="J37" s="144"/>
      <c r="K37" s="145"/>
      <c r="L37" s="145"/>
      <c r="M37" s="145"/>
      <c r="N37" s="145"/>
      <c r="O37" s="143"/>
      <c r="P37" s="129">
        <v>99.11</v>
      </c>
      <c r="Q37" s="130">
        <v>45769.732814953706</v>
      </c>
      <c r="R37" s="131" t="b">
        <v>1</v>
      </c>
      <c r="S37" s="110" t="s">
        <v>4285</v>
      </c>
      <c r="T37" s="110">
        <v>0.0</v>
      </c>
      <c r="U37" s="110" t="s">
        <v>2506</v>
      </c>
      <c r="V37" s="110" t="s">
        <v>2519</v>
      </c>
      <c r="W37" s="110" t="s">
        <v>2521</v>
      </c>
      <c r="X37" s="110" t="s">
        <v>2522</v>
      </c>
      <c r="Y37" s="110" t="s">
        <v>2524</v>
      </c>
      <c r="Z37" s="110" t="s">
        <v>2525</v>
      </c>
      <c r="AA37" s="110" t="s">
        <v>2527</v>
      </c>
      <c r="AB37" s="110" t="s">
        <v>1154</v>
      </c>
      <c r="AC37" s="110" t="s">
        <v>2528</v>
      </c>
      <c r="AD37" s="132">
        <v>46030.37144675926</v>
      </c>
      <c r="AE37" s="110" t="s">
        <v>2530</v>
      </c>
      <c r="AF37" s="133"/>
      <c r="AG37" s="133"/>
      <c r="AH37" s="133"/>
    </row>
    <row r="38" ht="22.5" customHeight="1">
      <c r="A38" s="73"/>
      <c r="B38" s="149" t="s">
        <v>327</v>
      </c>
      <c r="C38" s="150">
        <f>now()</f>
        <v>46288.71545</v>
      </c>
      <c r="D38" s="73"/>
      <c r="E38" s="125" t="s">
        <v>2536</v>
      </c>
      <c r="F38" s="125" t="s">
        <v>2537</v>
      </c>
      <c r="G38" s="96">
        <f>IFERROR(__xludf.DUMMYFUNCTION("GOOGLEFINANCE(E38, ""price"")"),106.1)</f>
        <v>106.1</v>
      </c>
      <c r="H38" s="97">
        <f>IFERROR(__xludf.DUMMYFUNCTION("GOOGLEFINANCE(E38, ""low"")"),104.65)</f>
        <v>104.65</v>
      </c>
      <c r="I38" s="99">
        <f>IFERROR(__xludf.DUMMYFUNCTION("GOOGLEFINANCE(E38, ""high"")"),107.5)</f>
        <v>107.5</v>
      </c>
      <c r="J38" s="152"/>
      <c r="K38" s="106"/>
      <c r="L38" s="106"/>
      <c r="M38" s="106"/>
      <c r="N38" s="106"/>
      <c r="O38" s="105"/>
      <c r="P38" s="106">
        <v>161.7</v>
      </c>
      <c r="Q38" s="108"/>
      <c r="R38" s="109" t="b">
        <v>1</v>
      </c>
      <c r="S38" s="110" t="s">
        <v>4331</v>
      </c>
      <c r="T38" s="110">
        <v>0.0</v>
      </c>
      <c r="U38" s="111" t="s">
        <v>2536</v>
      </c>
      <c r="V38" s="111" t="s">
        <v>2549</v>
      </c>
      <c r="W38" s="111" t="s">
        <v>2551</v>
      </c>
      <c r="X38" s="111" t="s">
        <v>2553</v>
      </c>
      <c r="Y38" s="111" t="s">
        <v>2555</v>
      </c>
      <c r="Z38" s="111" t="s">
        <v>2557</v>
      </c>
      <c r="AA38" s="111" t="s">
        <v>2559</v>
      </c>
      <c r="AB38" s="111" t="s">
        <v>2560</v>
      </c>
      <c r="AC38" s="111" t="s">
        <v>2562</v>
      </c>
      <c r="AD38" s="112">
        <v>46030.37144675926</v>
      </c>
      <c r="AE38" s="111" t="s">
        <v>2563</v>
      </c>
      <c r="AF38" s="122"/>
      <c r="AG38" s="122"/>
      <c r="AH38" s="122"/>
    </row>
    <row r="39" ht="22.5" customHeight="1">
      <c r="A39" s="73"/>
      <c r="B39" s="73"/>
      <c r="C39" s="73"/>
      <c r="D39" s="73"/>
      <c r="E39" s="117" t="s">
        <v>2570</v>
      </c>
      <c r="F39" s="111" t="s">
        <v>2572</v>
      </c>
      <c r="G39" s="96">
        <f>IFERROR(__xludf.DUMMYFUNCTION("GOOGLEFINANCE(E39, ""price"")"),110.15)</f>
        <v>110.15</v>
      </c>
      <c r="H39" s="118"/>
      <c r="I39" s="118"/>
      <c r="J39" s="119"/>
      <c r="K39" s="120"/>
      <c r="L39" s="120"/>
      <c r="M39" s="120"/>
      <c r="N39" s="120"/>
      <c r="O39" s="118"/>
      <c r="P39" s="120"/>
      <c r="Q39" s="121"/>
      <c r="R39" s="109" t="b">
        <v>1</v>
      </c>
      <c r="S39" s="110" t="s">
        <v>4359</v>
      </c>
      <c r="T39" s="110">
        <v>0.0</v>
      </c>
      <c r="U39" s="111" t="s">
        <v>2570</v>
      </c>
      <c r="V39" s="111" t="s">
        <v>2589</v>
      </c>
      <c r="W39" s="111" t="s">
        <v>894</v>
      </c>
      <c r="X39" s="111" t="s">
        <v>2590</v>
      </c>
      <c r="Y39" s="111" t="s">
        <v>2591</v>
      </c>
      <c r="Z39" s="111" t="s">
        <v>2593</v>
      </c>
      <c r="AA39" s="111" t="s">
        <v>2595</v>
      </c>
      <c r="AB39" s="111" t="s">
        <v>2597</v>
      </c>
      <c r="AC39" s="111" t="s">
        <v>2599</v>
      </c>
      <c r="AD39" s="112">
        <v>46030.37144675926</v>
      </c>
      <c r="AE39" s="111" t="s">
        <v>2602</v>
      </c>
      <c r="AF39" s="122"/>
      <c r="AG39" s="122"/>
      <c r="AH39" s="122"/>
    </row>
    <row r="40" ht="22.5" customHeight="1">
      <c r="A40" s="73"/>
      <c r="B40" s="73"/>
      <c r="C40" s="73"/>
      <c r="D40" s="73"/>
      <c r="E40" s="117" t="s">
        <v>2605</v>
      </c>
      <c r="F40" s="111" t="s">
        <v>2606</v>
      </c>
      <c r="G40" s="96">
        <f>IFERROR(__xludf.DUMMYFUNCTION("GOOGLEFINANCE(E40, ""price"")"),336.84)</f>
        <v>336.84</v>
      </c>
      <c r="H40" s="118"/>
      <c r="I40" s="118"/>
      <c r="J40" s="119"/>
      <c r="K40" s="120"/>
      <c r="L40" s="120"/>
      <c r="M40" s="120"/>
      <c r="N40" s="120"/>
      <c r="O40" s="118"/>
      <c r="P40" s="120"/>
      <c r="Q40" s="121"/>
      <c r="R40" s="109" t="b">
        <v>1</v>
      </c>
      <c r="S40" s="110" t="s">
        <v>4389</v>
      </c>
      <c r="T40" s="110">
        <v>0.0</v>
      </c>
      <c r="U40" s="111" t="s">
        <v>2605</v>
      </c>
      <c r="V40" s="111" t="s">
        <v>2616</v>
      </c>
      <c r="W40" s="111" t="s">
        <v>2618</v>
      </c>
      <c r="X40" s="111" t="s">
        <v>2619</v>
      </c>
      <c r="Y40" s="111" t="s">
        <v>2621</v>
      </c>
      <c r="Z40" s="111" t="s">
        <v>2622</v>
      </c>
      <c r="AA40" s="111" t="s">
        <v>2624</v>
      </c>
      <c r="AB40" s="111" t="s">
        <v>2625</v>
      </c>
      <c r="AC40" s="111" t="s">
        <v>2627</v>
      </c>
      <c r="AD40" s="112">
        <v>46150.444386574076</v>
      </c>
      <c r="AE40" s="111" t="s">
        <v>2629</v>
      </c>
      <c r="AF40" s="122"/>
      <c r="AG40" s="122"/>
      <c r="AH40" s="122"/>
    </row>
    <row r="41" ht="22.5" customHeight="1">
      <c r="A41" s="73"/>
      <c r="B41" s="73"/>
      <c r="C41" s="73"/>
      <c r="D41" s="73"/>
      <c r="E41" s="127" t="s">
        <v>2631</v>
      </c>
      <c r="F41" s="110" t="s">
        <v>2633</v>
      </c>
      <c r="G41" s="96">
        <f>IFERROR(__xludf.DUMMYFUNCTION("GOOGLEFINANCE(E41, ""price"")"),29.05)</f>
        <v>29.05</v>
      </c>
      <c r="H41" s="97">
        <f>IFERROR(__xludf.DUMMYFUNCTION("GOOGLEFINANCE(E41, ""low"")"),28.7)</f>
        <v>28.7</v>
      </c>
      <c r="I41" s="99">
        <f>IFERROR(__xludf.DUMMYFUNCTION("GOOGLEFINANCE(E41, ""high"")"),29.46)</f>
        <v>29.46</v>
      </c>
      <c r="J41" s="144"/>
      <c r="K41" s="145"/>
      <c r="L41" s="145"/>
      <c r="M41" s="145"/>
      <c r="N41" s="145"/>
      <c r="O41" s="110" t="s">
        <v>998</v>
      </c>
      <c r="P41" s="129">
        <v>57.5</v>
      </c>
      <c r="Q41" s="162">
        <v>45918.477911574075</v>
      </c>
      <c r="R41" s="131" t="b">
        <v>1</v>
      </c>
      <c r="S41" s="110" t="s">
        <v>4412</v>
      </c>
      <c r="T41" s="110">
        <v>0.0</v>
      </c>
      <c r="U41" s="110" t="s">
        <v>2631</v>
      </c>
      <c r="V41" s="110" t="s">
        <v>2641</v>
      </c>
      <c r="W41" s="110" t="s">
        <v>2643</v>
      </c>
      <c r="X41" s="110" t="s">
        <v>2645</v>
      </c>
      <c r="Y41" s="110" t="s">
        <v>2646</v>
      </c>
      <c r="Z41" s="110" t="s">
        <v>2648</v>
      </c>
      <c r="AA41" s="110" t="s">
        <v>2650</v>
      </c>
      <c r="AB41" s="110" t="s">
        <v>1154</v>
      </c>
      <c r="AC41" s="110" t="s">
        <v>2652</v>
      </c>
      <c r="AD41" s="132">
        <v>46030.37144675926</v>
      </c>
      <c r="AE41" s="110" t="s">
        <v>2653</v>
      </c>
      <c r="AF41" s="133"/>
      <c r="AG41" s="133"/>
      <c r="AH41" s="133"/>
    </row>
    <row r="42" ht="22.5" customHeight="1">
      <c r="A42" s="73"/>
      <c r="B42" s="73"/>
      <c r="C42" s="73"/>
      <c r="D42" s="73"/>
      <c r="E42" s="110" t="s">
        <v>2657</v>
      </c>
      <c r="F42" s="110" t="s">
        <v>2659</v>
      </c>
      <c r="G42" s="96">
        <f>IFERROR(__xludf.DUMMYFUNCTION("GOOGLEFINANCE(E42, ""price"")"),14.81)</f>
        <v>14.81</v>
      </c>
      <c r="H42" s="97">
        <f>IFERROR(__xludf.DUMMYFUNCTION("GOOGLEFINANCE(E42, ""low"")"),14.7)</f>
        <v>14.7</v>
      </c>
      <c r="I42" s="99">
        <f>IFERROR(__xludf.DUMMYFUNCTION("GOOGLEFINANCE(E42, ""high"")"),15.22)</f>
        <v>15.22</v>
      </c>
      <c r="J42" s="144"/>
      <c r="K42" s="145"/>
      <c r="L42" s="145"/>
      <c r="M42" s="145"/>
      <c r="N42" s="145"/>
      <c r="O42" s="129"/>
      <c r="P42" s="129">
        <v>9.16</v>
      </c>
      <c r="Q42" s="130">
        <v>45812.25111438657</v>
      </c>
      <c r="R42" s="131" t="b">
        <v>1</v>
      </c>
      <c r="S42" s="110" t="s">
        <v>4439</v>
      </c>
      <c r="T42" s="110">
        <v>0.0</v>
      </c>
      <c r="U42" s="110" t="s">
        <v>2657</v>
      </c>
      <c r="V42" s="110" t="s">
        <v>2669</v>
      </c>
      <c r="W42" s="110" t="s">
        <v>2670</v>
      </c>
      <c r="X42" s="110" t="s">
        <v>2672</v>
      </c>
      <c r="Y42" s="110" t="s">
        <v>2673</v>
      </c>
      <c r="Z42" s="110" t="s">
        <v>2675</v>
      </c>
      <c r="AA42" s="110" t="s">
        <v>2676</v>
      </c>
      <c r="AB42" s="110" t="s">
        <v>468</v>
      </c>
      <c r="AC42" s="110" t="s">
        <v>2678</v>
      </c>
      <c r="AD42" s="132">
        <v>46030.37144675926</v>
      </c>
      <c r="AE42" s="110" t="s">
        <v>2679</v>
      </c>
      <c r="AF42" s="133"/>
      <c r="AG42" s="133"/>
      <c r="AH42" s="133"/>
    </row>
    <row r="43" ht="22.5" customHeight="1">
      <c r="A43" s="73"/>
      <c r="B43" s="73"/>
      <c r="C43" s="73"/>
      <c r="D43" s="73"/>
      <c r="E43" s="127" t="s">
        <v>1189</v>
      </c>
      <c r="F43" s="110" t="s">
        <v>1190</v>
      </c>
      <c r="G43" s="96">
        <f>IFERROR(__xludf.DUMMYFUNCTION("GOOGLEFINANCE(E43, ""price"")"),148.75)</f>
        <v>148.75</v>
      </c>
      <c r="H43" s="97">
        <f>IFERROR(__xludf.DUMMYFUNCTION("GOOGLEFINANCE(E43, ""low"")"),147.95)</f>
        <v>147.95</v>
      </c>
      <c r="I43" s="99">
        <f>IFERROR(__xludf.DUMMYFUNCTION("GOOGLEFINANCE(E43, ""high"")"),150.95)</f>
        <v>150.95</v>
      </c>
      <c r="J43" s="144"/>
      <c r="K43" s="145"/>
      <c r="L43" s="145"/>
      <c r="M43" s="145"/>
      <c r="N43" s="145"/>
      <c r="O43" s="145"/>
      <c r="P43" s="145"/>
      <c r="Q43" s="130"/>
      <c r="R43" s="131" t="b">
        <v>1</v>
      </c>
      <c r="S43" s="110" t="s">
        <v>4496</v>
      </c>
      <c r="T43" s="110">
        <v>0.0</v>
      </c>
      <c r="U43" s="110" t="s">
        <v>1189</v>
      </c>
      <c r="V43" s="110" t="s">
        <v>2713</v>
      </c>
      <c r="W43" s="110" t="s">
        <v>2718</v>
      </c>
      <c r="X43" s="110" t="s">
        <v>2720</v>
      </c>
      <c r="Y43" s="110" t="s">
        <v>2722</v>
      </c>
      <c r="Z43" s="110" t="s">
        <v>2726</v>
      </c>
      <c r="AA43" s="110" t="s">
        <v>2729</v>
      </c>
      <c r="AB43" s="110" t="s">
        <v>2730</v>
      </c>
      <c r="AC43" s="110" t="s">
        <v>2732</v>
      </c>
      <c r="AD43" s="132">
        <v>46030.37144675926</v>
      </c>
      <c r="AE43" s="110" t="s">
        <v>2738</v>
      </c>
      <c r="AF43" s="133"/>
      <c r="AG43" s="133"/>
      <c r="AH43" s="133"/>
    </row>
    <row r="44" ht="22.5" customHeight="1">
      <c r="A44" s="73"/>
      <c r="B44" s="73"/>
      <c r="C44" s="73"/>
      <c r="D44" s="73"/>
      <c r="E44" s="127" t="s">
        <v>2746</v>
      </c>
      <c r="F44" s="110" t="s">
        <v>2747</v>
      </c>
      <c r="G44" s="96">
        <f>IFERROR(__xludf.DUMMYFUNCTION("GOOGLEFINANCE(E44, ""price"")"),30.25)</f>
        <v>30.25</v>
      </c>
      <c r="H44" s="97">
        <f>IFERROR(__xludf.DUMMYFUNCTION("GOOGLEFINANCE(E44, ""low"")"),28.84)</f>
        <v>28.84</v>
      </c>
      <c r="I44" s="99">
        <f>IFERROR(__xludf.DUMMYFUNCTION("GOOGLEFINANCE(E44, ""high"")"),31.26)</f>
        <v>31.26</v>
      </c>
      <c r="J44" s="128"/>
      <c r="K44" s="129">
        <v>4.27</v>
      </c>
      <c r="L44" s="129">
        <v>56.4</v>
      </c>
      <c r="M44" s="129">
        <v>14.94</v>
      </c>
      <c r="N44" s="129">
        <v>2.25</v>
      </c>
      <c r="O44" s="110" t="s">
        <v>2752</v>
      </c>
      <c r="P44" s="129">
        <v>57.43</v>
      </c>
      <c r="Q44" s="130">
        <v>45841.42246173611</v>
      </c>
      <c r="R44" s="131" t="b">
        <v>1</v>
      </c>
      <c r="S44" s="110" t="s">
        <v>4526</v>
      </c>
      <c r="T44" s="110">
        <v>0.0</v>
      </c>
      <c r="U44" s="110" t="s">
        <v>2746</v>
      </c>
      <c r="V44" s="110" t="s">
        <v>2755</v>
      </c>
      <c r="W44" s="110" t="s">
        <v>2757</v>
      </c>
      <c r="X44" s="110" t="s">
        <v>2758</v>
      </c>
      <c r="Y44" s="110" t="s">
        <v>2759</v>
      </c>
      <c r="Z44" s="110" t="s">
        <v>2761</v>
      </c>
      <c r="AA44" s="110" t="s">
        <v>2762</v>
      </c>
      <c r="AB44" s="110" t="s">
        <v>1154</v>
      </c>
      <c r="AC44" s="110" t="s">
        <v>2764</v>
      </c>
      <c r="AD44" s="132">
        <v>46030.37144675926</v>
      </c>
      <c r="AE44" s="110" t="s">
        <v>2765</v>
      </c>
      <c r="AF44" s="133"/>
      <c r="AG44" s="133"/>
      <c r="AH44" s="133"/>
    </row>
    <row r="45" ht="22.5" customHeight="1">
      <c r="A45" s="73"/>
      <c r="B45" s="149" t="s">
        <v>327</v>
      </c>
      <c r="C45" s="150">
        <f>now()</f>
        <v>46288.71545</v>
      </c>
      <c r="D45" s="73"/>
      <c r="E45" s="125" t="s">
        <v>416</v>
      </c>
      <c r="F45" s="125" t="s">
        <v>417</v>
      </c>
      <c r="G45" s="96">
        <f>IFERROR(__xludf.DUMMYFUNCTION("GOOGLEFINANCE(E45, ""price"")"),238.9)</f>
        <v>238.9</v>
      </c>
      <c r="H45" s="97">
        <f>IFERROR(__xludf.DUMMYFUNCTION("GOOGLEFINANCE(E45, ""low"")"),234.24)</f>
        <v>234.24</v>
      </c>
      <c r="I45" s="99">
        <f>IFERROR(__xludf.DUMMYFUNCTION("GOOGLEFINANCE(E45, ""high"")"),239.14)</f>
        <v>239.14</v>
      </c>
      <c r="J45" s="126"/>
      <c r="K45" s="106"/>
      <c r="L45" s="106"/>
      <c r="M45" s="106"/>
      <c r="N45" s="106"/>
      <c r="O45" s="105"/>
      <c r="P45" s="106"/>
      <c r="Q45" s="108"/>
      <c r="R45" s="109" t="b">
        <v>1</v>
      </c>
      <c r="S45" s="110" t="s">
        <v>4563</v>
      </c>
      <c r="T45" s="110">
        <v>0.0</v>
      </c>
      <c r="U45" s="111" t="s">
        <v>416</v>
      </c>
      <c r="V45" s="111" t="s">
        <v>2781</v>
      </c>
      <c r="W45" s="111" t="s">
        <v>2782</v>
      </c>
      <c r="X45" s="111" t="s">
        <v>2783</v>
      </c>
      <c r="Y45" s="111" t="s">
        <v>2784</v>
      </c>
      <c r="Z45" s="111" t="s">
        <v>2785</v>
      </c>
      <c r="AA45" s="111" t="s">
        <v>2786</v>
      </c>
      <c r="AB45" s="111" t="s">
        <v>2787</v>
      </c>
      <c r="AC45" s="111" t="s">
        <v>2788</v>
      </c>
      <c r="AD45" s="112">
        <v>46030.37144675926</v>
      </c>
      <c r="AE45" s="111" t="s">
        <v>2789</v>
      </c>
      <c r="AF45" s="122"/>
      <c r="AG45" s="122"/>
      <c r="AH45" s="122"/>
    </row>
    <row r="46" ht="22.5" customHeight="1">
      <c r="A46" s="73"/>
      <c r="B46" s="73"/>
      <c r="C46" s="73"/>
      <c r="D46" s="73"/>
      <c r="E46" s="171" t="s">
        <v>183</v>
      </c>
      <c r="F46" s="95" t="s">
        <v>184</v>
      </c>
      <c r="G46" s="96">
        <f>IFERROR(__xludf.DUMMYFUNCTION("GOOGLEFINANCE(E46, ""price"")"),106.16)</f>
        <v>106.16</v>
      </c>
      <c r="H46" s="97">
        <f>IFERROR(__xludf.DUMMYFUNCTION("GOOGLEFINANCE(E46, ""low"")"),105.95)</f>
        <v>105.95</v>
      </c>
      <c r="I46" s="99">
        <f>IFERROR(__xludf.DUMMYFUNCTION("GOOGLEFINANCE(E46, ""high"")"),106.88)</f>
        <v>106.88</v>
      </c>
      <c r="J46" s="140"/>
      <c r="K46" s="106"/>
      <c r="L46" s="106"/>
      <c r="M46" s="106"/>
      <c r="N46" s="106"/>
      <c r="O46" s="105"/>
      <c r="P46" s="104">
        <v>57.13</v>
      </c>
      <c r="Q46" s="108">
        <v>45827.33328304398</v>
      </c>
      <c r="R46" s="109" t="b">
        <v>1</v>
      </c>
      <c r="S46" s="110" t="s">
        <v>4595</v>
      </c>
      <c r="T46" s="110">
        <v>0.0</v>
      </c>
      <c r="U46" s="111" t="s">
        <v>183</v>
      </c>
      <c r="V46" s="111" t="s">
        <v>2794</v>
      </c>
      <c r="W46" s="111" t="s">
        <v>2796</v>
      </c>
      <c r="X46" s="111" t="s">
        <v>2798</v>
      </c>
      <c r="Y46" s="111" t="s">
        <v>2800</v>
      </c>
      <c r="Z46" s="111" t="s">
        <v>2801</v>
      </c>
      <c r="AA46" s="111" t="s">
        <v>2802</v>
      </c>
      <c r="AB46" s="111" t="s">
        <v>933</v>
      </c>
      <c r="AC46" s="111" t="s">
        <v>2803</v>
      </c>
      <c r="AD46" s="112">
        <v>46030.37144675926</v>
      </c>
      <c r="AE46" s="111" t="s">
        <v>2804</v>
      </c>
      <c r="AF46" s="122"/>
      <c r="AG46" s="122"/>
      <c r="AH46" s="122"/>
    </row>
    <row r="47" ht="22.5" customHeight="1">
      <c r="A47" s="73"/>
      <c r="E47" s="117" t="s">
        <v>238</v>
      </c>
      <c r="F47" s="111" t="s">
        <v>239</v>
      </c>
      <c r="G47" s="96">
        <f>IFERROR(__xludf.DUMMYFUNCTION("GOOGLEFINANCE(E47, ""price"")"),206.33)</f>
        <v>206.33</v>
      </c>
      <c r="H47" s="118"/>
      <c r="I47" s="118"/>
      <c r="J47" s="119"/>
      <c r="K47" s="120"/>
      <c r="L47" s="120"/>
      <c r="M47" s="120"/>
      <c r="N47" s="120"/>
      <c r="O47" s="118"/>
      <c r="P47" s="120"/>
      <c r="Q47" s="121"/>
      <c r="R47" s="109" t="b">
        <v>1</v>
      </c>
      <c r="S47" s="110" t="s">
        <v>4624</v>
      </c>
      <c r="T47" s="110">
        <v>0.0</v>
      </c>
      <c r="U47" s="111" t="s">
        <v>238</v>
      </c>
      <c r="V47" s="111" t="s">
        <v>2808</v>
      </c>
      <c r="W47" s="111" t="s">
        <v>2809</v>
      </c>
      <c r="X47" s="111" t="s">
        <v>2810</v>
      </c>
      <c r="Y47" s="111" t="s">
        <v>2811</v>
      </c>
      <c r="Z47" s="111" t="s">
        <v>2812</v>
      </c>
      <c r="AA47" s="111" t="s">
        <v>2813</v>
      </c>
      <c r="AB47" s="111" t="s">
        <v>1405</v>
      </c>
      <c r="AC47" s="111" t="s">
        <v>2814</v>
      </c>
      <c r="AD47" s="112">
        <v>46150.444386574076</v>
      </c>
      <c r="AE47" s="111" t="s">
        <v>2815</v>
      </c>
      <c r="AF47" s="122"/>
      <c r="AG47" s="122"/>
      <c r="AH47" s="122"/>
    </row>
    <row r="48" ht="22.5" customHeight="1">
      <c r="A48" s="73"/>
      <c r="E48" s="124" t="s">
        <v>549</v>
      </c>
      <c r="F48" s="125" t="s">
        <v>550</v>
      </c>
      <c r="G48" s="96">
        <f>IFERROR(__xludf.DUMMYFUNCTION("GOOGLEFINANCE(E48, ""price"")"),186.54)</f>
        <v>186.54</v>
      </c>
      <c r="H48" s="97">
        <f>IFERROR(__xludf.DUMMYFUNCTION("GOOGLEFINANCE(E48, ""low"")"),184.85)</f>
        <v>184.85</v>
      </c>
      <c r="I48" s="99">
        <f>IFERROR(__xludf.DUMMYFUNCTION("GOOGLEFINANCE(E48, ""high"")"),200.59)</f>
        <v>200.59</v>
      </c>
      <c r="J48" s="126"/>
      <c r="K48" s="106"/>
      <c r="L48" s="106"/>
      <c r="M48" s="106"/>
      <c r="N48" s="106"/>
      <c r="O48" s="105"/>
      <c r="P48" s="106"/>
      <c r="Q48" s="108"/>
      <c r="R48" s="109" t="b">
        <v>1</v>
      </c>
      <c r="S48" s="110" t="s">
        <v>4661</v>
      </c>
      <c r="T48" s="110">
        <v>0.0</v>
      </c>
      <c r="U48" s="111" t="s">
        <v>549</v>
      </c>
      <c r="V48" s="111" t="s">
        <v>2835</v>
      </c>
      <c r="W48" s="111" t="s">
        <v>2385</v>
      </c>
      <c r="X48" s="111" t="s">
        <v>2840</v>
      </c>
      <c r="Y48" s="111" t="s">
        <v>2843</v>
      </c>
      <c r="Z48" s="111" t="s">
        <v>2845</v>
      </c>
      <c r="AA48" s="111" t="s">
        <v>2846</v>
      </c>
      <c r="AB48" s="111" t="s">
        <v>2847</v>
      </c>
      <c r="AC48" s="111" t="s">
        <v>2848</v>
      </c>
      <c r="AD48" s="112">
        <v>46030.37144675926</v>
      </c>
      <c r="AE48" s="111" t="s">
        <v>2851</v>
      </c>
      <c r="AF48" s="111"/>
      <c r="AG48" s="111"/>
      <c r="AH48" s="111"/>
    </row>
    <row r="49" ht="22.5" customHeight="1">
      <c r="A49" s="73"/>
      <c r="E49" s="189" t="s">
        <v>367</v>
      </c>
      <c r="F49" s="110" t="s">
        <v>2861</v>
      </c>
      <c r="G49" s="96">
        <f>IFERROR(__xludf.DUMMYFUNCTION("GOOGLEFINANCE(E49, ""price"")"),34.09)</f>
        <v>34.09</v>
      </c>
      <c r="H49" s="97">
        <f>IFERROR(__xludf.DUMMYFUNCTION("GOOGLEFINANCE(E49, ""low"")"),33.3)</f>
        <v>33.3</v>
      </c>
      <c r="I49" s="99">
        <f>IFERROR(__xludf.DUMMYFUNCTION("GOOGLEFINANCE(E49, ""high"")"),34.12)</f>
        <v>34.12</v>
      </c>
      <c r="J49" s="128"/>
      <c r="K49" s="145"/>
      <c r="L49" s="145"/>
      <c r="M49" s="145"/>
      <c r="N49" s="145"/>
      <c r="O49" s="110" t="s">
        <v>245</v>
      </c>
      <c r="P49" s="129">
        <v>31.77</v>
      </c>
      <c r="Q49" s="130">
        <v>45708.792570046295</v>
      </c>
      <c r="R49" s="131" t="b">
        <v>1</v>
      </c>
      <c r="S49" s="110" t="s">
        <v>4687</v>
      </c>
      <c r="T49" s="110">
        <v>0.0</v>
      </c>
      <c r="U49" s="110" t="s">
        <v>367</v>
      </c>
      <c r="V49" s="110" t="s">
        <v>2871</v>
      </c>
      <c r="W49" s="110" t="s">
        <v>2873</v>
      </c>
      <c r="X49" s="110" t="s">
        <v>2875</v>
      </c>
      <c r="Y49" s="110" t="s">
        <v>2878</v>
      </c>
      <c r="Z49" s="110" t="s">
        <v>2882</v>
      </c>
      <c r="AA49" s="110" t="s">
        <v>2885</v>
      </c>
      <c r="AB49" s="110" t="s">
        <v>1337</v>
      </c>
      <c r="AC49" s="110" t="s">
        <v>2887</v>
      </c>
      <c r="AD49" s="132">
        <v>46030.37144675926</v>
      </c>
      <c r="AE49" s="110" t="s">
        <v>2889</v>
      </c>
      <c r="AF49" s="133"/>
      <c r="AG49" s="133"/>
      <c r="AH49" s="133"/>
    </row>
    <row r="50" ht="22.5" customHeight="1">
      <c r="A50" s="73"/>
      <c r="B50" s="73"/>
      <c r="C50" s="73"/>
      <c r="D50" s="73"/>
      <c r="E50" s="124" t="s">
        <v>2893</v>
      </c>
      <c r="F50" s="125" t="s">
        <v>2894</v>
      </c>
      <c r="G50" s="96">
        <f>IFERROR(__xludf.DUMMYFUNCTION("GOOGLEFINANCE(E50, ""price"")"),254.25)</f>
        <v>254.25</v>
      </c>
      <c r="H50" s="97">
        <f>IFERROR(__xludf.DUMMYFUNCTION("GOOGLEFINANCE(E50, ""low"")"),247.6)</f>
        <v>247.6</v>
      </c>
      <c r="I50" s="99">
        <f>IFERROR(__xludf.DUMMYFUNCTION("GOOGLEFINANCE(E50, ""high"")"),256.71)</f>
        <v>256.71</v>
      </c>
      <c r="J50" s="126"/>
      <c r="K50" s="104">
        <v>-15.0</v>
      </c>
      <c r="L50" s="104">
        <v>39.43</v>
      </c>
      <c r="M50" s="104">
        <v>19.3</v>
      </c>
      <c r="N50" s="104">
        <v>7.31</v>
      </c>
      <c r="O50" s="125" t="s">
        <v>197</v>
      </c>
      <c r="P50" s="104">
        <v>107.37</v>
      </c>
      <c r="Q50" s="108">
        <v>46084.659835555554</v>
      </c>
      <c r="R50" s="109" t="b">
        <v>1</v>
      </c>
      <c r="S50" s="110" t="s">
        <v>4718</v>
      </c>
      <c r="T50" s="110">
        <v>0.0</v>
      </c>
      <c r="U50" s="111" t="s">
        <v>2893</v>
      </c>
      <c r="V50" s="111" t="s">
        <v>2897</v>
      </c>
      <c r="W50" s="111" t="s">
        <v>2898</v>
      </c>
      <c r="X50" s="111" t="s">
        <v>2899</v>
      </c>
      <c r="Y50" s="111" t="s">
        <v>2900</v>
      </c>
      <c r="Z50" s="111" t="s">
        <v>2902</v>
      </c>
      <c r="AA50" s="111" t="s">
        <v>2903</v>
      </c>
      <c r="AB50" s="111" t="s">
        <v>1612</v>
      </c>
      <c r="AC50" s="111" t="s">
        <v>2905</v>
      </c>
      <c r="AD50" s="112">
        <v>46030.37144675926</v>
      </c>
      <c r="AE50" s="111" t="s">
        <v>2906</v>
      </c>
      <c r="AF50" s="111"/>
      <c r="AG50" s="111"/>
      <c r="AH50" s="111"/>
    </row>
    <row r="51" ht="22.5" customHeight="1">
      <c r="A51" s="73"/>
      <c r="E51" s="117" t="s">
        <v>2907</v>
      </c>
      <c r="F51" s="111" t="s">
        <v>2908</v>
      </c>
      <c r="G51" s="96">
        <f>IFERROR(__xludf.DUMMYFUNCTION("GOOGLEFINANCE(E51, ""price"")"),79.69)</f>
        <v>79.69</v>
      </c>
      <c r="H51" s="118"/>
      <c r="I51" s="118"/>
      <c r="J51" s="119"/>
      <c r="K51" s="120"/>
      <c r="L51" s="120"/>
      <c r="M51" s="120"/>
      <c r="N51" s="120"/>
      <c r="O51" s="118"/>
      <c r="P51" s="120"/>
      <c r="Q51" s="121"/>
      <c r="R51" s="109" t="b">
        <v>1</v>
      </c>
      <c r="S51" s="110" t="s">
        <v>4751</v>
      </c>
      <c r="T51" s="110">
        <v>0.0</v>
      </c>
      <c r="U51" s="111" t="s">
        <v>2907</v>
      </c>
      <c r="V51" s="111" t="s">
        <v>2912</v>
      </c>
      <c r="W51" s="111" t="s">
        <v>2913</v>
      </c>
      <c r="X51" s="111" t="s">
        <v>2914</v>
      </c>
      <c r="Y51" s="111" t="s">
        <v>2915</v>
      </c>
      <c r="Z51" s="111" t="s">
        <v>2916</v>
      </c>
      <c r="AA51" s="111" t="s">
        <v>2918</v>
      </c>
      <c r="AB51" s="111" t="s">
        <v>2919</v>
      </c>
      <c r="AC51" s="111" t="s">
        <v>2920</v>
      </c>
      <c r="AD51" s="112">
        <v>46030.37144675926</v>
      </c>
      <c r="AE51" s="111" t="s">
        <v>2921</v>
      </c>
      <c r="AF51" s="122"/>
      <c r="AG51" s="122"/>
      <c r="AH51" s="122"/>
    </row>
    <row r="52" ht="22.5" customHeight="1">
      <c r="A52" s="73"/>
      <c r="B52" s="73"/>
      <c r="C52" s="73"/>
      <c r="D52" s="73"/>
      <c r="E52" s="125" t="s">
        <v>2922</v>
      </c>
      <c r="F52" s="193"/>
      <c r="G52" s="96">
        <f>IFERROR(__xludf.DUMMYFUNCTION("GOOGLEFINANCE(E52, ""price"")"),552.03)</f>
        <v>552.03</v>
      </c>
      <c r="H52" s="97">
        <f>IFERROR(__xludf.DUMMYFUNCTION("GOOGLEFINANCE(E52, ""low"")"),548.55)</f>
        <v>548.55</v>
      </c>
      <c r="I52" s="99">
        <f>IFERROR(__xludf.DUMMYFUNCTION("GOOGLEFINANCE(E52, ""high"")"),570.72)</f>
        <v>570.72</v>
      </c>
      <c r="J52" s="161"/>
      <c r="K52" s="106"/>
      <c r="L52" s="106"/>
      <c r="M52" s="106"/>
      <c r="N52" s="106"/>
      <c r="O52" s="105"/>
      <c r="P52" s="106">
        <v>120.96</v>
      </c>
      <c r="Q52" s="108"/>
      <c r="R52" s="109" t="b">
        <v>1</v>
      </c>
      <c r="S52" s="110" t="s">
        <v>4790</v>
      </c>
      <c r="T52" s="110">
        <v>0.0</v>
      </c>
      <c r="U52" s="111" t="s">
        <v>2922</v>
      </c>
      <c r="V52" s="111" t="s">
        <v>2926</v>
      </c>
      <c r="W52" s="111" t="s">
        <v>2927</v>
      </c>
      <c r="X52" s="111" t="s">
        <v>2928</v>
      </c>
      <c r="Y52" s="111" t="s">
        <v>2929</v>
      </c>
      <c r="Z52" s="111" t="s">
        <v>2930</v>
      </c>
      <c r="AA52" s="111" t="s">
        <v>2932</v>
      </c>
      <c r="AB52" s="111" t="s">
        <v>2625</v>
      </c>
      <c r="AC52" s="111" t="s">
        <v>2934</v>
      </c>
      <c r="AD52" s="112">
        <v>46030.37144675926</v>
      </c>
      <c r="AE52" s="111" t="s">
        <v>2935</v>
      </c>
      <c r="AF52" s="122"/>
      <c r="AG52" s="122"/>
      <c r="AH52" s="122"/>
    </row>
    <row r="53" ht="22.5" customHeight="1">
      <c r="A53" s="73"/>
      <c r="B53" s="73"/>
      <c r="C53" s="73"/>
      <c r="D53" s="73"/>
      <c r="E53" s="117" t="s">
        <v>1289</v>
      </c>
      <c r="F53" s="111" t="s">
        <v>1290</v>
      </c>
      <c r="G53" s="96">
        <f>IFERROR(__xludf.DUMMYFUNCTION("GOOGLEFINANCE(E53, ""price"")"),291.9)</f>
        <v>291.9</v>
      </c>
      <c r="H53" s="118"/>
      <c r="I53" s="118"/>
      <c r="J53" s="119"/>
      <c r="K53" s="120"/>
      <c r="L53" s="120"/>
      <c r="M53" s="120"/>
      <c r="N53" s="120"/>
      <c r="O53" s="118"/>
      <c r="P53" s="120"/>
      <c r="Q53" s="121"/>
      <c r="R53" s="109" t="b">
        <v>1</v>
      </c>
      <c r="S53" s="110" t="s">
        <v>4830</v>
      </c>
      <c r="T53" s="110">
        <v>0.0</v>
      </c>
      <c r="U53" s="111" t="s">
        <v>1289</v>
      </c>
      <c r="V53" s="111" t="s">
        <v>3017</v>
      </c>
      <c r="W53" s="111" t="s">
        <v>3030</v>
      </c>
      <c r="X53" s="111" t="s">
        <v>3039</v>
      </c>
      <c r="Y53" s="111" t="s">
        <v>3042</v>
      </c>
      <c r="Z53" s="111" t="s">
        <v>3049</v>
      </c>
      <c r="AA53" s="111" t="s">
        <v>3056</v>
      </c>
      <c r="AB53" s="111" t="s">
        <v>3057</v>
      </c>
      <c r="AC53" s="111" t="s">
        <v>3058</v>
      </c>
      <c r="AD53" s="112">
        <v>46030.37144675926</v>
      </c>
      <c r="AE53" s="111" t="s">
        <v>3064</v>
      </c>
      <c r="AF53" s="122"/>
      <c r="AG53" s="122"/>
      <c r="AH53" s="122"/>
    </row>
    <row r="54" ht="22.5" customHeight="1">
      <c r="A54" s="73"/>
      <c r="B54" s="73"/>
      <c r="C54" s="73"/>
      <c r="D54" s="73"/>
      <c r="E54" s="127" t="s">
        <v>4846</v>
      </c>
      <c r="F54" s="256" t="s">
        <v>4848</v>
      </c>
      <c r="G54" s="96">
        <f>IFERROR(__xludf.DUMMYFUNCTION("GOOGLEFINANCE(E54, ""price"")"),42.58)</f>
        <v>42.58</v>
      </c>
      <c r="H54" s="97">
        <f>IFERROR(__xludf.DUMMYFUNCTION("GOOGLEFINANCE(E54, ""low"")"),42.38)</f>
        <v>42.38</v>
      </c>
      <c r="I54" s="99">
        <f>IFERROR(__xludf.DUMMYFUNCTION("GOOGLEFINANCE(E54, ""high"")"),43.61)</f>
        <v>43.61</v>
      </c>
      <c r="J54" s="144"/>
      <c r="K54" s="145"/>
      <c r="L54" s="145"/>
      <c r="M54" s="145"/>
      <c r="N54" s="145"/>
      <c r="O54" s="143"/>
      <c r="P54" s="129">
        <v>38.93</v>
      </c>
      <c r="Q54" s="130">
        <v>45825.42386123842</v>
      </c>
      <c r="R54" s="131" t="b">
        <v>1</v>
      </c>
      <c r="S54" s="110" t="s">
        <v>4860</v>
      </c>
      <c r="T54" s="110">
        <v>0.0</v>
      </c>
      <c r="U54" s="110" t="s">
        <v>4846</v>
      </c>
      <c r="V54" s="110" t="s">
        <v>4867</v>
      </c>
      <c r="W54" s="110" t="s">
        <v>4869</v>
      </c>
      <c r="X54" s="110" t="s">
        <v>2553</v>
      </c>
      <c r="Y54" s="110" t="s">
        <v>4875</v>
      </c>
      <c r="Z54" s="110" t="s">
        <v>4878</v>
      </c>
      <c r="AA54" s="110" t="s">
        <v>3640</v>
      </c>
      <c r="AB54" s="110" t="s">
        <v>1352</v>
      </c>
      <c r="AC54" s="110" t="s">
        <v>4879</v>
      </c>
      <c r="AD54" s="132">
        <v>46030.37144675926</v>
      </c>
      <c r="AE54" s="110" t="s">
        <v>4881</v>
      </c>
      <c r="AF54" s="133"/>
      <c r="AG54" s="133"/>
      <c r="AH54" s="133"/>
    </row>
    <row r="55" ht="22.5" customHeight="1">
      <c r="A55" s="73"/>
      <c r="B55" s="73"/>
      <c r="C55" s="73"/>
      <c r="D55" s="73"/>
      <c r="E55" s="127" t="s">
        <v>3108</v>
      </c>
      <c r="F55" s="110" t="s">
        <v>3109</v>
      </c>
      <c r="G55" s="96">
        <f>IFERROR(__xludf.DUMMYFUNCTION("GOOGLEFINANCE(E55, ""price"")"),108.43)</f>
        <v>108.43</v>
      </c>
      <c r="H55" s="97">
        <f>IFERROR(__xludf.DUMMYFUNCTION("GOOGLEFINANCE(E55, ""low"")"),106.44)</f>
        <v>106.44</v>
      </c>
      <c r="I55" s="99">
        <f>IFERROR(__xludf.DUMMYFUNCTION("GOOGLEFINANCE(E55, ""high"")"),110.52)</f>
        <v>110.52</v>
      </c>
      <c r="J55" s="128"/>
      <c r="K55" s="129">
        <v>12.86</v>
      </c>
      <c r="L55" s="129">
        <v>75.08</v>
      </c>
      <c r="M55" s="129">
        <v>34.62</v>
      </c>
      <c r="N55" s="129">
        <v>2.43</v>
      </c>
      <c r="O55" s="110" t="s">
        <v>3111</v>
      </c>
      <c r="P55" s="129">
        <v>91.0</v>
      </c>
      <c r="Q55" s="207">
        <v>45870.40808241898</v>
      </c>
      <c r="R55" s="208" t="b">
        <v>1</v>
      </c>
      <c r="S55" s="110" t="s">
        <v>4912</v>
      </c>
      <c r="T55" s="110">
        <v>0.0</v>
      </c>
      <c r="U55" s="209" t="s">
        <v>3108</v>
      </c>
      <c r="V55" s="209" t="s">
        <v>3113</v>
      </c>
      <c r="W55" s="209" t="s">
        <v>3114</v>
      </c>
      <c r="X55" s="209" t="s">
        <v>3115</v>
      </c>
      <c r="Y55" s="209" t="s">
        <v>3116</v>
      </c>
      <c r="Z55" s="209" t="s">
        <v>3117</v>
      </c>
      <c r="AA55" s="209" t="s">
        <v>3118</v>
      </c>
      <c r="AB55" s="209" t="s">
        <v>2460</v>
      </c>
      <c r="AC55" s="209" t="s">
        <v>3119</v>
      </c>
      <c r="AD55" s="210">
        <v>46030.37144675926</v>
      </c>
      <c r="AE55" s="209" t="s">
        <v>3120</v>
      </c>
      <c r="AF55" s="211"/>
      <c r="AG55" s="211"/>
      <c r="AH55" s="211"/>
    </row>
    <row r="56" ht="22.5" customHeight="1">
      <c r="A56" s="73"/>
      <c r="B56" s="73"/>
      <c r="C56" s="73"/>
      <c r="D56" s="73"/>
      <c r="E56" s="117" t="s">
        <v>3121</v>
      </c>
      <c r="F56" s="111" t="s">
        <v>3122</v>
      </c>
      <c r="G56" s="96">
        <f>IFERROR(__xludf.DUMMYFUNCTION("GOOGLEFINANCE(E56, ""price"")"),275.8)</f>
        <v>275.8</v>
      </c>
      <c r="H56" s="118"/>
      <c r="I56" s="118"/>
      <c r="J56" s="119"/>
      <c r="K56" s="120"/>
      <c r="L56" s="120"/>
      <c r="M56" s="120"/>
      <c r="N56" s="120"/>
      <c r="O56" s="118"/>
      <c r="P56" s="120"/>
      <c r="Q56" s="121"/>
      <c r="R56" s="109" t="b">
        <v>1</v>
      </c>
      <c r="S56" s="110" t="s">
        <v>4934</v>
      </c>
      <c r="T56" s="110">
        <v>0.0</v>
      </c>
      <c r="U56" s="111" t="s">
        <v>3121</v>
      </c>
      <c r="V56" s="111" t="s">
        <v>3124</v>
      </c>
      <c r="W56" s="111" t="s">
        <v>3125</v>
      </c>
      <c r="X56" s="111" t="s">
        <v>3126</v>
      </c>
      <c r="Y56" s="111" t="s">
        <v>3127</v>
      </c>
      <c r="Z56" s="111" t="s">
        <v>3128</v>
      </c>
      <c r="AA56" s="111" t="s">
        <v>3129</v>
      </c>
      <c r="AB56" s="111" t="s">
        <v>2278</v>
      </c>
      <c r="AC56" s="111" t="s">
        <v>3130</v>
      </c>
      <c r="AD56" s="112">
        <v>46181.26729166666</v>
      </c>
      <c r="AE56" s="111" t="s">
        <v>3131</v>
      </c>
      <c r="AF56" s="122"/>
      <c r="AG56" s="122"/>
      <c r="AH56" s="122"/>
    </row>
    <row r="57" ht="22.5" customHeight="1">
      <c r="A57" s="73"/>
      <c r="B57" s="73"/>
      <c r="C57" s="73"/>
      <c r="D57" s="73"/>
      <c r="E57" s="125" t="s">
        <v>313</v>
      </c>
      <c r="F57" s="125" t="s">
        <v>540</v>
      </c>
      <c r="G57" s="96">
        <f>IFERROR(__xludf.DUMMYFUNCTION("GOOGLEFINANCE(E57, ""price"")"),149.95)</f>
        <v>149.95</v>
      </c>
      <c r="H57" s="97">
        <f>IFERROR(__xludf.DUMMYFUNCTION("GOOGLEFINANCE(E57, ""low"")"),144.55)</f>
        <v>144.55</v>
      </c>
      <c r="I57" s="99">
        <f>IFERROR(__xludf.DUMMYFUNCTION("GOOGLEFINANCE(E57, ""high"")"),149.95)</f>
        <v>149.95</v>
      </c>
      <c r="J57" s="161"/>
      <c r="K57" s="104">
        <v>23.4</v>
      </c>
      <c r="L57" s="104">
        <v>82.38</v>
      </c>
      <c r="M57" s="104">
        <v>60.69</v>
      </c>
      <c r="N57" s="104">
        <v>5.4</v>
      </c>
      <c r="O57" s="105" t="s">
        <v>542</v>
      </c>
      <c r="P57" s="104">
        <v>292.0</v>
      </c>
      <c r="Q57" s="108">
        <v>45706.404897939814</v>
      </c>
      <c r="R57" s="109" t="b">
        <v>1</v>
      </c>
      <c r="S57" s="110" t="s">
        <v>4975</v>
      </c>
      <c r="T57" s="110">
        <v>0.0</v>
      </c>
      <c r="U57" s="111" t="s">
        <v>313</v>
      </c>
      <c r="V57" s="111" t="s">
        <v>3132</v>
      </c>
      <c r="W57" s="111" t="s">
        <v>3133</v>
      </c>
      <c r="X57" s="111" t="s">
        <v>3134</v>
      </c>
      <c r="Y57" s="111" t="s">
        <v>3135</v>
      </c>
      <c r="Z57" s="111" t="s">
        <v>3136</v>
      </c>
      <c r="AA57" s="111" t="s">
        <v>3137</v>
      </c>
      <c r="AB57" s="111" t="s">
        <v>1513</v>
      </c>
      <c r="AC57" s="111" t="s">
        <v>3138</v>
      </c>
      <c r="AD57" s="112">
        <v>46030.37144675926</v>
      </c>
      <c r="AE57" s="111" t="s">
        <v>3143</v>
      </c>
      <c r="AF57" s="122"/>
      <c r="AG57" s="122"/>
      <c r="AH57" s="122"/>
    </row>
    <row r="58" ht="22.5" customHeight="1">
      <c r="A58" s="73"/>
      <c r="B58" s="73"/>
      <c r="C58" s="73"/>
      <c r="D58" s="73"/>
      <c r="E58" s="117" t="s">
        <v>189</v>
      </c>
      <c r="F58" s="111" t="s">
        <v>190</v>
      </c>
      <c r="G58" s="96">
        <f>IFERROR(__xludf.DUMMYFUNCTION("GOOGLEFINANCE(E58, ""price"")"),155.25)</f>
        <v>155.25</v>
      </c>
      <c r="H58" s="118"/>
      <c r="I58" s="118"/>
      <c r="J58" s="119"/>
      <c r="K58" s="120"/>
      <c r="L58" s="120"/>
      <c r="M58" s="120"/>
      <c r="N58" s="120"/>
      <c r="O58" s="118"/>
      <c r="P58" s="120"/>
      <c r="Q58" s="121"/>
      <c r="R58" s="109" t="b">
        <v>1</v>
      </c>
      <c r="S58" s="110" t="s">
        <v>5018</v>
      </c>
      <c r="T58" s="110">
        <v>0.0</v>
      </c>
      <c r="U58" s="111" t="s">
        <v>189</v>
      </c>
      <c r="V58" s="111" t="s">
        <v>3149</v>
      </c>
      <c r="W58" s="111" t="s">
        <v>3150</v>
      </c>
      <c r="X58" s="111" t="s">
        <v>3151</v>
      </c>
      <c r="Y58" s="111" t="s">
        <v>3152</v>
      </c>
      <c r="Z58" s="111" t="s">
        <v>3153</v>
      </c>
      <c r="AA58" s="111" t="s">
        <v>3154</v>
      </c>
      <c r="AB58" s="111" t="s">
        <v>3155</v>
      </c>
      <c r="AC58" s="111" t="s">
        <v>3156</v>
      </c>
      <c r="AD58" s="112">
        <v>46150.45479166666</v>
      </c>
      <c r="AE58" s="111" t="s">
        <v>3157</v>
      </c>
      <c r="AF58" s="122"/>
      <c r="AG58" s="122"/>
      <c r="AH58" s="122"/>
    </row>
    <row r="59" ht="22.5" customHeight="1">
      <c r="A59" s="73"/>
      <c r="B59" s="73"/>
      <c r="C59" s="73"/>
      <c r="D59" s="73"/>
      <c r="E59" s="127" t="s">
        <v>1077</v>
      </c>
      <c r="F59" s="110" t="s">
        <v>1079</v>
      </c>
      <c r="G59" s="96">
        <f>IFERROR(__xludf.DUMMYFUNCTION("GOOGLEFINANCE(E59, ""price"")"),2.98)</f>
        <v>2.98</v>
      </c>
      <c r="H59" s="97">
        <f>IFERROR(__xludf.DUMMYFUNCTION("GOOGLEFINANCE(E59, ""low"")"),2.93)</f>
        <v>2.93</v>
      </c>
      <c r="I59" s="99">
        <f>IFERROR(__xludf.DUMMYFUNCTION("GOOGLEFINANCE(E59, ""high"")"),3.05)</f>
        <v>3.05</v>
      </c>
      <c r="J59" s="128"/>
      <c r="K59" s="145"/>
      <c r="L59" s="145"/>
      <c r="M59" s="145"/>
      <c r="N59" s="145"/>
      <c r="O59" s="110" t="s">
        <v>588</v>
      </c>
      <c r="P59" s="129">
        <v>14.62</v>
      </c>
      <c r="Q59" s="130">
        <v>45852.921677280094</v>
      </c>
      <c r="R59" s="131" t="b">
        <v>1</v>
      </c>
      <c r="S59" s="110" t="s">
        <v>5046</v>
      </c>
      <c r="T59" s="110">
        <v>0.0</v>
      </c>
      <c r="U59" s="110" t="s">
        <v>1077</v>
      </c>
      <c r="V59" s="110" t="s">
        <v>3159</v>
      </c>
      <c r="W59" s="110" t="s">
        <v>3160</v>
      </c>
      <c r="X59" s="110" t="s">
        <v>3161</v>
      </c>
      <c r="Y59" s="110" t="s">
        <v>3162</v>
      </c>
      <c r="Z59" s="110" t="s">
        <v>3163</v>
      </c>
      <c r="AA59" s="110" t="s">
        <v>3164</v>
      </c>
      <c r="AB59" s="110" t="s">
        <v>468</v>
      </c>
      <c r="AC59" s="110" t="s">
        <v>3165</v>
      </c>
      <c r="AD59" s="132">
        <v>46030.37144675926</v>
      </c>
      <c r="AE59" s="110" t="s">
        <v>1936</v>
      </c>
      <c r="AF59" s="133"/>
      <c r="AG59" s="133"/>
      <c r="AH59" s="133"/>
    </row>
    <row r="60" ht="22.5" customHeight="1">
      <c r="A60" s="73"/>
      <c r="B60" s="73"/>
      <c r="C60" s="73"/>
      <c r="D60" s="73"/>
      <c r="E60" s="124" t="s">
        <v>3178</v>
      </c>
      <c r="F60" s="125" t="s">
        <v>3179</v>
      </c>
      <c r="G60" s="96">
        <f>IFERROR(__xludf.DUMMYFUNCTION("GOOGLEFINANCE(E60, ""price"")"),50.76)</f>
        <v>50.76</v>
      </c>
      <c r="H60" s="105"/>
      <c r="I60" s="105"/>
      <c r="J60" s="152"/>
      <c r="K60" s="106"/>
      <c r="L60" s="106"/>
      <c r="M60" s="106"/>
      <c r="N60" s="106"/>
      <c r="O60" s="105"/>
      <c r="P60" s="106"/>
      <c r="Q60" s="108"/>
      <c r="R60" s="109" t="b">
        <v>1</v>
      </c>
      <c r="S60" s="110" t="s">
        <v>5083</v>
      </c>
      <c r="T60" s="110">
        <v>0.0</v>
      </c>
      <c r="U60" s="111" t="s">
        <v>3178</v>
      </c>
      <c r="V60" s="111" t="s">
        <v>3182</v>
      </c>
      <c r="W60" s="111" t="s">
        <v>3183</v>
      </c>
      <c r="X60" s="111" t="s">
        <v>3184</v>
      </c>
      <c r="Y60" s="111" t="s">
        <v>3185</v>
      </c>
      <c r="Z60" s="111" t="s">
        <v>3186</v>
      </c>
      <c r="AA60" s="111" t="s">
        <v>3187</v>
      </c>
      <c r="AB60" s="111" t="s">
        <v>2847</v>
      </c>
      <c r="AC60" s="111" t="s">
        <v>3188</v>
      </c>
      <c r="AD60" s="112">
        <v>46030.37144675926</v>
      </c>
      <c r="AE60" s="111" t="s">
        <v>3189</v>
      </c>
      <c r="AF60" s="122"/>
      <c r="AG60" s="122"/>
      <c r="AH60" s="122"/>
    </row>
    <row r="61" ht="22.5" customHeight="1">
      <c r="A61" s="73"/>
      <c r="B61" s="149" t="s">
        <v>327</v>
      </c>
      <c r="C61" s="150">
        <f>now()</f>
        <v>46288.71545</v>
      </c>
      <c r="D61" s="73"/>
      <c r="E61" s="124" t="s">
        <v>3190</v>
      </c>
      <c r="F61" s="125" t="s">
        <v>3191</v>
      </c>
      <c r="G61" s="96">
        <f>IFERROR(__xludf.DUMMYFUNCTION("GOOGLEFINANCE(E61, ""price"")"),21.94)</f>
        <v>21.94</v>
      </c>
      <c r="H61" s="97">
        <f>IFERROR(__xludf.DUMMYFUNCTION("GOOGLEFINANCE(E61, ""low"")"),21.67)</f>
        <v>21.67</v>
      </c>
      <c r="I61" s="99">
        <f>IFERROR(__xludf.DUMMYFUNCTION("GOOGLEFINANCE(E61, ""high"")"),22.48)</f>
        <v>22.48</v>
      </c>
      <c r="J61" s="126"/>
      <c r="K61" s="104">
        <v>8.57</v>
      </c>
      <c r="L61" s="104">
        <v>62.05</v>
      </c>
      <c r="M61" s="104">
        <v>30.49</v>
      </c>
      <c r="N61" s="104">
        <v>2.2</v>
      </c>
      <c r="O61" s="125" t="s">
        <v>998</v>
      </c>
      <c r="P61" s="104">
        <v>31.14</v>
      </c>
      <c r="Q61" s="108">
        <v>46079.31358994213</v>
      </c>
      <c r="R61" s="109" t="b">
        <v>1</v>
      </c>
      <c r="S61" s="110" t="s">
        <v>5100</v>
      </c>
      <c r="T61" s="110">
        <v>0.0</v>
      </c>
      <c r="U61" s="111" t="s">
        <v>3190</v>
      </c>
      <c r="V61" s="111" t="s">
        <v>3193</v>
      </c>
      <c r="W61" s="111" t="s">
        <v>3195</v>
      </c>
      <c r="X61" s="111" t="s">
        <v>3196</v>
      </c>
      <c r="Y61" s="111" t="s">
        <v>3197</v>
      </c>
      <c r="Z61" s="111" t="s">
        <v>3198</v>
      </c>
      <c r="AA61" s="111" t="s">
        <v>3199</v>
      </c>
      <c r="AB61" s="111" t="s">
        <v>783</v>
      </c>
      <c r="AC61" s="111" t="s">
        <v>3200</v>
      </c>
      <c r="AD61" s="112">
        <v>46030.37144675926</v>
      </c>
      <c r="AE61" s="111" t="s">
        <v>3201</v>
      </c>
      <c r="AF61" s="122"/>
      <c r="AG61" s="122"/>
      <c r="AH61" s="122"/>
    </row>
    <row r="62" ht="22.5" customHeight="1">
      <c r="A62" s="73"/>
      <c r="B62" s="73"/>
      <c r="C62" s="73"/>
      <c r="D62" s="73"/>
      <c r="E62" s="127" t="s">
        <v>3202</v>
      </c>
      <c r="F62" s="110" t="s">
        <v>3203</v>
      </c>
      <c r="G62" s="96" t="str">
        <f>IFERROR(__xludf.DUMMYFUNCTION("GOOGLEFINANCE(E62, ""price"")"),"#N/A")</f>
        <v>#N/A</v>
      </c>
      <c r="H62" s="97" t="str">
        <f>IFERROR(__xludf.DUMMYFUNCTION("GOOGLEFINANCE(E62, ""low"")"),"#N/A")</f>
        <v>#N/A</v>
      </c>
      <c r="I62" s="99" t="str">
        <f>IFERROR(__xludf.DUMMYFUNCTION("GOOGLEFINANCE(E62, ""high"")"),"#N/A")</f>
        <v>#N/A</v>
      </c>
      <c r="J62" s="128"/>
      <c r="K62" s="129">
        <v>0.69</v>
      </c>
      <c r="L62" s="129">
        <v>54.18</v>
      </c>
      <c r="M62" s="129">
        <v>22.72</v>
      </c>
      <c r="N62" s="129">
        <v>0.97</v>
      </c>
      <c r="O62" s="110" t="s">
        <v>998</v>
      </c>
      <c r="P62" s="129">
        <v>43.14</v>
      </c>
      <c r="Q62" s="130">
        <v>45972.325234131946</v>
      </c>
      <c r="R62" s="131" t="b">
        <v>1</v>
      </c>
      <c r="S62" s="110" t="s">
        <v>5116</v>
      </c>
      <c r="T62" s="110">
        <v>0.0</v>
      </c>
      <c r="U62" s="110" t="s">
        <v>3202</v>
      </c>
      <c r="V62" s="110" t="s">
        <v>3205</v>
      </c>
      <c r="W62" s="110" t="s">
        <v>3206</v>
      </c>
      <c r="X62" s="110" t="s">
        <v>3207</v>
      </c>
      <c r="Y62" s="110" t="s">
        <v>3208</v>
      </c>
      <c r="Z62" s="110" t="s">
        <v>3209</v>
      </c>
      <c r="AA62" s="110" t="s">
        <v>2676</v>
      </c>
      <c r="AB62" s="110" t="s">
        <v>2001</v>
      </c>
      <c r="AC62" s="110" t="s">
        <v>3210</v>
      </c>
      <c r="AD62" s="132">
        <v>46030.37144675926</v>
      </c>
      <c r="AE62" s="110" t="s">
        <v>3211</v>
      </c>
      <c r="AF62" s="133"/>
      <c r="AG62" s="133"/>
      <c r="AH62" s="133"/>
    </row>
    <row r="63" ht="22.5" customHeight="1">
      <c r="A63" s="73"/>
      <c r="B63" s="73"/>
      <c r="C63" s="73"/>
      <c r="D63" s="73"/>
      <c r="E63" s="117" t="s">
        <v>3213</v>
      </c>
      <c r="F63" s="111" t="s">
        <v>3214</v>
      </c>
      <c r="G63" s="96">
        <f>IFERROR(__xludf.DUMMYFUNCTION("GOOGLEFINANCE(E63, ""price"")"),114.86)</f>
        <v>114.86</v>
      </c>
      <c r="H63" s="118"/>
      <c r="I63" s="118"/>
      <c r="J63" s="119"/>
      <c r="K63" s="120"/>
      <c r="L63" s="120"/>
      <c r="M63" s="120"/>
      <c r="N63" s="120"/>
      <c r="O63" s="118"/>
      <c r="P63" s="120"/>
      <c r="Q63" s="121"/>
      <c r="R63" s="109" t="b">
        <v>1</v>
      </c>
      <c r="S63" s="110" t="s">
        <v>3224</v>
      </c>
      <c r="T63" s="110">
        <v>0.0</v>
      </c>
      <c r="U63" s="111" t="s">
        <v>3213</v>
      </c>
      <c r="V63" s="111" t="s">
        <v>3216</v>
      </c>
      <c r="W63" s="111" t="s">
        <v>3217</v>
      </c>
      <c r="X63" s="111" t="s">
        <v>2645</v>
      </c>
      <c r="Y63" s="111" t="s">
        <v>3218</v>
      </c>
      <c r="Z63" s="111" t="s">
        <v>3219</v>
      </c>
      <c r="AA63" s="111" t="s">
        <v>3220</v>
      </c>
      <c r="AB63" s="111" t="s">
        <v>3221</v>
      </c>
      <c r="AC63" s="111" t="s">
        <v>3222</v>
      </c>
      <c r="AD63" s="111" t="s">
        <v>3223</v>
      </c>
      <c r="AE63" s="111" t="s">
        <v>3224</v>
      </c>
      <c r="AF63" s="122"/>
      <c r="AG63" s="122"/>
      <c r="AH63" s="122"/>
    </row>
    <row r="64" ht="22.5" customHeight="1">
      <c r="A64" s="73"/>
      <c r="B64" s="73"/>
      <c r="C64" s="73"/>
      <c r="D64" s="73"/>
      <c r="E64" s="117" t="s">
        <v>3225</v>
      </c>
      <c r="F64" s="111" t="s">
        <v>3226</v>
      </c>
      <c r="G64" s="96">
        <f>IFERROR(__xludf.DUMMYFUNCTION("GOOGLEFINANCE(E64, ""price"")"),53.64)</f>
        <v>53.64</v>
      </c>
      <c r="H64" s="118"/>
      <c r="I64" s="118"/>
      <c r="J64" s="119"/>
      <c r="K64" s="120"/>
      <c r="L64" s="120"/>
      <c r="M64" s="120"/>
      <c r="N64" s="120"/>
      <c r="O64" s="118"/>
      <c r="P64" s="120"/>
      <c r="Q64" s="121"/>
      <c r="R64" s="109" t="b">
        <v>1</v>
      </c>
      <c r="S64" s="110" t="s">
        <v>5163</v>
      </c>
      <c r="T64" s="110">
        <v>0.0</v>
      </c>
      <c r="U64" s="111" t="s">
        <v>3225</v>
      </c>
      <c r="V64" s="111" t="s">
        <v>3229</v>
      </c>
      <c r="W64" s="111" t="s">
        <v>3230</v>
      </c>
      <c r="X64" s="111" t="s">
        <v>3231</v>
      </c>
      <c r="Y64" s="111" t="s">
        <v>3232</v>
      </c>
      <c r="Z64" s="111" t="s">
        <v>3233</v>
      </c>
      <c r="AA64" s="111" t="s">
        <v>3234</v>
      </c>
      <c r="AB64" s="111" t="s">
        <v>3235</v>
      </c>
      <c r="AC64" s="111" t="s">
        <v>3236</v>
      </c>
      <c r="AD64" s="111" t="s">
        <v>3237</v>
      </c>
      <c r="AE64" s="111" t="s">
        <v>3238</v>
      </c>
      <c r="AF64" s="122"/>
      <c r="AG64" s="122"/>
      <c r="AH64" s="122"/>
    </row>
    <row r="65" ht="22.5" customHeight="1">
      <c r="A65" s="73"/>
      <c r="B65" s="73"/>
      <c r="C65" s="73"/>
      <c r="D65" s="73"/>
      <c r="E65" s="124" t="s">
        <v>5177</v>
      </c>
      <c r="F65" s="125" t="s">
        <v>5178</v>
      </c>
      <c r="G65" s="96">
        <f>IFERROR(__xludf.DUMMYFUNCTION("GOOGLEFINANCE(E65, ""price"")"),209.55)</f>
        <v>209.55</v>
      </c>
      <c r="H65" s="97">
        <f>IFERROR(__xludf.DUMMYFUNCTION("GOOGLEFINANCE(E65, ""low"")"),204.8)</f>
        <v>204.8</v>
      </c>
      <c r="I65" s="99">
        <f>IFERROR(__xludf.DUMMYFUNCTION("GOOGLEFINANCE(E65, ""high"")"),209.55)</f>
        <v>209.55</v>
      </c>
      <c r="J65" s="161"/>
      <c r="K65" s="106"/>
      <c r="L65" s="106"/>
      <c r="M65" s="106"/>
      <c r="N65" s="106"/>
      <c r="O65" s="105"/>
      <c r="P65" s="106"/>
      <c r="Q65" s="108"/>
      <c r="R65" s="109" t="b">
        <v>0</v>
      </c>
      <c r="S65" s="110" t="s">
        <v>145</v>
      </c>
      <c r="T65" s="110">
        <v>0.0</v>
      </c>
      <c r="U65" s="111" t="s">
        <v>5177</v>
      </c>
      <c r="V65" s="111" t="s">
        <v>5183</v>
      </c>
      <c r="W65" s="111" t="s">
        <v>5184</v>
      </c>
      <c r="X65" s="118"/>
      <c r="Y65" s="118"/>
      <c r="Z65" s="118"/>
      <c r="AA65" s="118"/>
      <c r="AB65" s="118"/>
      <c r="AC65" s="111"/>
      <c r="AD65" s="112">
        <v>46030.37144675926</v>
      </c>
      <c r="AE65" s="111" t="s">
        <v>5185</v>
      </c>
      <c r="AF65" s="122"/>
      <c r="AG65" s="122"/>
      <c r="AH65" s="122"/>
    </row>
    <row r="66" ht="22.5" customHeight="1">
      <c r="A66" s="73"/>
      <c r="B66" s="73"/>
      <c r="C66" s="73"/>
      <c r="D66" s="73"/>
      <c r="E66" s="258" t="s">
        <v>5188</v>
      </c>
      <c r="F66" s="110" t="s">
        <v>5130</v>
      </c>
      <c r="G66" s="96">
        <f>IFERROR(__xludf.DUMMYFUNCTION("GOOGLEFINANCE(E66, ""price"")"),22.45)</f>
        <v>22.45</v>
      </c>
      <c r="H66" s="97">
        <f>IFERROR(__xludf.DUMMYFUNCTION("GOOGLEFINANCE(E66, ""low"")"),21.65)</f>
        <v>21.65</v>
      </c>
      <c r="I66" s="99">
        <f>IFERROR(__xludf.DUMMYFUNCTION("GOOGLEFINANCE(E66, ""high"")"),22.46)</f>
        <v>22.46</v>
      </c>
      <c r="J66" s="128"/>
      <c r="K66" s="145"/>
      <c r="L66" s="145"/>
      <c r="M66" s="145"/>
      <c r="N66" s="145"/>
      <c r="O66" s="143"/>
      <c r="P66" s="129">
        <v>15.3</v>
      </c>
      <c r="Q66" s="130">
        <v>45709.4618458912</v>
      </c>
      <c r="R66" s="131" t="b">
        <v>0</v>
      </c>
      <c r="S66" s="110" t="s">
        <v>145</v>
      </c>
      <c r="T66" s="110">
        <v>0.0</v>
      </c>
      <c r="U66" s="110" t="s">
        <v>5188</v>
      </c>
      <c r="V66" s="110" t="s">
        <v>5183</v>
      </c>
      <c r="W66" s="110" t="s">
        <v>5184</v>
      </c>
      <c r="X66" s="143"/>
      <c r="Y66" s="143"/>
      <c r="Z66" s="143"/>
      <c r="AA66" s="143"/>
      <c r="AB66" s="143"/>
      <c r="AC66" s="110"/>
      <c r="AD66" s="132">
        <v>46030.37144675926</v>
      </c>
      <c r="AE66" s="110" t="s">
        <v>5196</v>
      </c>
      <c r="AF66" s="133"/>
      <c r="AG66" s="133"/>
      <c r="AH66" s="133"/>
    </row>
    <row r="67" ht="22.5" customHeight="1">
      <c r="A67" s="73"/>
      <c r="B67" s="73"/>
      <c r="C67" s="73"/>
      <c r="D67" s="73"/>
      <c r="E67" s="117" t="s">
        <v>3239</v>
      </c>
      <c r="F67" s="111" t="s">
        <v>3240</v>
      </c>
      <c r="G67" s="96">
        <f>IFERROR(__xludf.DUMMYFUNCTION("GOOGLEFINANCE(E67, ""price"")"),344.86)</f>
        <v>344.86</v>
      </c>
      <c r="H67" s="118"/>
      <c r="I67" s="118"/>
      <c r="J67" s="119"/>
      <c r="K67" s="120"/>
      <c r="L67" s="120"/>
      <c r="M67" s="120"/>
      <c r="N67" s="120"/>
      <c r="O67" s="118"/>
      <c r="P67" s="120"/>
      <c r="Q67" s="121"/>
      <c r="R67" s="109" t="b">
        <v>1</v>
      </c>
      <c r="S67" s="110" t="s">
        <v>5206</v>
      </c>
      <c r="T67" s="110">
        <v>0.0</v>
      </c>
      <c r="U67" s="111" t="s">
        <v>3239</v>
      </c>
      <c r="V67" s="111" t="s">
        <v>3242</v>
      </c>
      <c r="W67" s="111" t="s">
        <v>3243</v>
      </c>
      <c r="X67" s="111" t="s">
        <v>3244</v>
      </c>
      <c r="Y67" s="111" t="s">
        <v>3245</v>
      </c>
      <c r="Z67" s="111" t="s">
        <v>3246</v>
      </c>
      <c r="AA67" s="111" t="s">
        <v>3247</v>
      </c>
      <c r="AB67" s="111" t="s">
        <v>3221</v>
      </c>
      <c r="AC67" s="111" t="s">
        <v>3248</v>
      </c>
      <c r="AD67" s="112">
        <v>46150.444386574076</v>
      </c>
      <c r="AE67" s="111" t="s">
        <v>3249</v>
      </c>
      <c r="AF67" s="122"/>
      <c r="AG67" s="122"/>
      <c r="AH67" s="122"/>
    </row>
    <row r="68" ht="22.5" customHeight="1">
      <c r="A68" s="73"/>
      <c r="B68" s="73"/>
      <c r="C68" s="73"/>
      <c r="D68" s="73"/>
      <c r="E68" s="110" t="s">
        <v>1749</v>
      </c>
      <c r="F68" s="110" t="s">
        <v>1750</v>
      </c>
      <c r="G68" s="96">
        <f>IFERROR(__xludf.DUMMYFUNCTION("GOOGLEFINANCE(E68, ""price"")"),72.25)</f>
        <v>72.25</v>
      </c>
      <c r="H68" s="97">
        <f>IFERROR(__xludf.DUMMYFUNCTION("GOOGLEFINANCE(E68, ""low"")"),71.97)</f>
        <v>71.97</v>
      </c>
      <c r="I68" s="99">
        <f>IFERROR(__xludf.DUMMYFUNCTION("GOOGLEFINANCE(E68, ""high"")"),73.78)</f>
        <v>73.78</v>
      </c>
      <c r="J68" s="144"/>
      <c r="K68" s="145"/>
      <c r="L68" s="145"/>
      <c r="M68" s="145"/>
      <c r="N68" s="145"/>
      <c r="O68" s="129"/>
      <c r="P68" s="129">
        <v>37.937</v>
      </c>
      <c r="Q68" s="130">
        <v>45707.365755555555</v>
      </c>
      <c r="R68" s="131" t="b">
        <v>1</v>
      </c>
      <c r="S68" s="110" t="s">
        <v>5216</v>
      </c>
      <c r="T68" s="110">
        <v>0.0</v>
      </c>
      <c r="U68" s="110" t="s">
        <v>1749</v>
      </c>
      <c r="V68" s="110" t="s">
        <v>5217</v>
      </c>
      <c r="W68" s="110" t="s">
        <v>5218</v>
      </c>
      <c r="X68" s="110" t="s">
        <v>5219</v>
      </c>
      <c r="Y68" s="110" t="s">
        <v>5220</v>
      </c>
      <c r="Z68" s="110" t="s">
        <v>5221</v>
      </c>
      <c r="AA68" s="110" t="s">
        <v>5222</v>
      </c>
      <c r="AB68" s="110" t="s">
        <v>5223</v>
      </c>
      <c r="AC68" s="110" t="s">
        <v>5224</v>
      </c>
      <c r="AD68" s="132">
        <v>46030.37144675926</v>
      </c>
      <c r="AE68" s="110" t="s">
        <v>5226</v>
      </c>
      <c r="AF68" s="133"/>
      <c r="AG68" s="133"/>
      <c r="AH68" s="133"/>
    </row>
    <row r="69" ht="22.5" customHeight="1">
      <c r="A69" s="73"/>
      <c r="B69" s="73"/>
      <c r="C69" s="73"/>
      <c r="D69" s="73"/>
      <c r="E69" s="212" t="s">
        <v>3250</v>
      </c>
      <c r="F69" s="212" t="s">
        <v>3251</v>
      </c>
      <c r="G69" s="96">
        <f>IFERROR(__xludf.DUMMYFUNCTION("GOOGLEFINANCE(E69, ""price"")"),340.63)</f>
        <v>340.63</v>
      </c>
      <c r="H69" s="97">
        <f>IFERROR(__xludf.DUMMYFUNCTION("GOOGLEFINANCE(E69, ""low"")"),340.14)</f>
        <v>340.14</v>
      </c>
      <c r="I69" s="99">
        <f>IFERROR(__xludf.DUMMYFUNCTION("GOOGLEFINANCE(E69, ""high"")"),350.0)</f>
        <v>350</v>
      </c>
      <c r="J69" s="128"/>
      <c r="K69" s="145"/>
      <c r="L69" s="145"/>
      <c r="M69" s="145"/>
      <c r="N69" s="145"/>
      <c r="O69" s="105" t="s">
        <v>3253</v>
      </c>
      <c r="P69" s="129">
        <v>213.56</v>
      </c>
      <c r="Q69" s="130">
        <v>45898.83263488426</v>
      </c>
      <c r="R69" s="131" t="b">
        <v>1</v>
      </c>
      <c r="S69" s="110" t="s">
        <v>5228</v>
      </c>
      <c r="T69" s="110">
        <v>0.0</v>
      </c>
      <c r="U69" s="110" t="s">
        <v>3250</v>
      </c>
      <c r="V69" s="110" t="s">
        <v>3255</v>
      </c>
      <c r="W69" s="110" t="s">
        <v>3256</v>
      </c>
      <c r="X69" s="110" t="s">
        <v>3257</v>
      </c>
      <c r="Y69" s="110" t="s">
        <v>3258</v>
      </c>
      <c r="Z69" s="110" t="s">
        <v>3259</v>
      </c>
      <c r="AA69" s="110" t="s">
        <v>3260</v>
      </c>
      <c r="AB69" s="110" t="s">
        <v>714</v>
      </c>
      <c r="AC69" s="110" t="s">
        <v>3261</v>
      </c>
      <c r="AD69" s="132">
        <v>46030.37144675926</v>
      </c>
      <c r="AE69" s="110" t="s">
        <v>3262</v>
      </c>
      <c r="AF69" s="133"/>
      <c r="AG69" s="133"/>
      <c r="AH69" s="133"/>
    </row>
    <row r="70" ht="22.5" customHeight="1">
      <c r="A70" s="73"/>
      <c r="B70" s="73"/>
      <c r="C70" s="73"/>
      <c r="D70" s="73"/>
      <c r="E70" s="213" t="s">
        <v>1065</v>
      </c>
      <c r="F70" s="125" t="s">
        <v>1066</v>
      </c>
      <c r="G70" s="96">
        <f>IFERROR(__xludf.DUMMYFUNCTION("GOOGLEFINANCE(E70, ""price"")"),285.19)</f>
        <v>285.19</v>
      </c>
      <c r="H70" s="97">
        <f>IFERROR(__xludf.DUMMYFUNCTION("GOOGLEFINANCE(E70, ""low"")"),283.09)</f>
        <v>283.09</v>
      </c>
      <c r="I70" s="99">
        <f>IFERROR(__xludf.DUMMYFUNCTION("GOOGLEFINANCE(E70, ""high"")"),286.25)</f>
        <v>286.25</v>
      </c>
      <c r="J70" s="126"/>
      <c r="K70" s="104">
        <v>18.32</v>
      </c>
      <c r="L70" s="104">
        <v>70.4</v>
      </c>
      <c r="M70" s="104">
        <v>21.06</v>
      </c>
      <c r="N70" s="104">
        <v>6.57</v>
      </c>
      <c r="O70" s="105" t="s">
        <v>542</v>
      </c>
      <c r="P70" s="104">
        <v>238.54</v>
      </c>
      <c r="Q70" s="108">
        <v>45708.6095084375</v>
      </c>
      <c r="R70" s="109" t="b">
        <v>1</v>
      </c>
      <c r="S70" s="110" t="s">
        <v>5238</v>
      </c>
      <c r="T70" s="110">
        <v>0.0</v>
      </c>
      <c r="U70" s="111" t="s">
        <v>1065</v>
      </c>
      <c r="V70" s="111" t="s">
        <v>3264</v>
      </c>
      <c r="W70" s="111" t="s">
        <v>3265</v>
      </c>
      <c r="X70" s="111" t="s">
        <v>3266</v>
      </c>
      <c r="Y70" s="111" t="s">
        <v>3267</v>
      </c>
      <c r="Z70" s="111" t="s">
        <v>3246</v>
      </c>
      <c r="AA70" s="111" t="s">
        <v>3268</v>
      </c>
      <c r="AB70" s="111" t="s">
        <v>292</v>
      </c>
      <c r="AC70" s="111" t="s">
        <v>3269</v>
      </c>
      <c r="AD70" s="112">
        <v>46030.37144675926</v>
      </c>
      <c r="AE70" s="111" t="s">
        <v>3270</v>
      </c>
      <c r="AF70" s="122"/>
      <c r="AG70" s="122"/>
      <c r="AH70" s="122"/>
    </row>
    <row r="71" ht="22.5" customHeight="1">
      <c r="A71" s="73"/>
      <c r="B71" s="73"/>
      <c r="C71" s="73"/>
      <c r="D71" s="73"/>
      <c r="E71" s="127" t="s">
        <v>5240</v>
      </c>
      <c r="F71" s="110" t="s">
        <v>5243</v>
      </c>
      <c r="G71" s="96">
        <f>IFERROR(__xludf.DUMMYFUNCTION("GOOGLEFINANCE(E71, ""price"")"),74.26)</f>
        <v>74.26</v>
      </c>
      <c r="H71" s="97">
        <f>IFERROR(__xludf.DUMMYFUNCTION("GOOGLEFINANCE(E71, ""low"")"),74.26)</f>
        <v>74.26</v>
      </c>
      <c r="I71" s="99">
        <f>IFERROR(__xludf.DUMMYFUNCTION("GOOGLEFINANCE(E71, ""high"")"),75.18)</f>
        <v>75.18</v>
      </c>
      <c r="J71" s="128"/>
      <c r="K71" s="129">
        <v>1.16</v>
      </c>
      <c r="L71" s="129">
        <v>50.82</v>
      </c>
      <c r="M71" s="129">
        <v>21.75</v>
      </c>
      <c r="N71" s="129">
        <v>1.35</v>
      </c>
      <c r="O71" s="110" t="s">
        <v>998</v>
      </c>
      <c r="P71" s="129">
        <v>70.2</v>
      </c>
      <c r="Q71" s="130">
        <v>45796.34033175926</v>
      </c>
      <c r="R71" s="131" t="b">
        <v>0</v>
      </c>
      <c r="S71" s="110" t="s">
        <v>145</v>
      </c>
      <c r="T71" s="110">
        <v>0.0</v>
      </c>
      <c r="U71" s="110" t="s">
        <v>5240</v>
      </c>
      <c r="V71" s="110" t="s">
        <v>5183</v>
      </c>
      <c r="W71" s="110" t="s">
        <v>5184</v>
      </c>
      <c r="X71" s="143"/>
      <c r="Y71" s="143"/>
      <c r="Z71" s="143"/>
      <c r="AA71" s="143"/>
      <c r="AB71" s="143"/>
      <c r="AC71" s="110"/>
      <c r="AD71" s="132">
        <v>46030.37144675926</v>
      </c>
      <c r="AE71" s="110" t="s">
        <v>5252</v>
      </c>
      <c r="AF71" s="133"/>
      <c r="AG71" s="133"/>
      <c r="AH71" s="133"/>
    </row>
    <row r="72" ht="22.5" customHeight="1">
      <c r="A72" s="73"/>
      <c r="B72" s="73"/>
      <c r="C72" s="73"/>
      <c r="D72" s="73"/>
      <c r="E72" s="127" t="s">
        <v>3271</v>
      </c>
      <c r="F72" s="110" t="s">
        <v>3272</v>
      </c>
      <c r="G72" s="96">
        <f>IFERROR(__xludf.DUMMYFUNCTION("GOOGLEFINANCE(E72, ""price"")"),125.32)</f>
        <v>125.32</v>
      </c>
      <c r="H72" s="97">
        <f>IFERROR(__xludf.DUMMYFUNCTION("GOOGLEFINANCE(E72, ""low"")"),122.55)</f>
        <v>122.55</v>
      </c>
      <c r="I72" s="99">
        <f>IFERROR(__xludf.DUMMYFUNCTION("GOOGLEFINANCE(E72, ""high"")"),126.74)</f>
        <v>126.74</v>
      </c>
      <c r="J72" s="144"/>
      <c r="K72" s="129">
        <v>24.88</v>
      </c>
      <c r="L72" s="129">
        <v>80.67</v>
      </c>
      <c r="M72" s="129">
        <v>45.07</v>
      </c>
      <c r="N72" s="129">
        <v>4.98</v>
      </c>
      <c r="O72" s="110" t="s">
        <v>998</v>
      </c>
      <c r="P72" s="129">
        <v>99.83</v>
      </c>
      <c r="Q72" s="130">
        <v>45840.7610403125</v>
      </c>
      <c r="R72" s="131" t="b">
        <v>1</v>
      </c>
      <c r="S72" s="110" t="s">
        <v>5254</v>
      </c>
      <c r="T72" s="110">
        <v>0.0</v>
      </c>
      <c r="U72" s="110" t="s">
        <v>3271</v>
      </c>
      <c r="V72" s="110" t="s">
        <v>3275</v>
      </c>
      <c r="W72" s="110" t="s">
        <v>3277</v>
      </c>
      <c r="X72" s="110" t="s">
        <v>3279</v>
      </c>
      <c r="Y72" s="110" t="s">
        <v>3280</v>
      </c>
      <c r="Z72" s="110" t="s">
        <v>3282</v>
      </c>
      <c r="AA72" s="110" t="s">
        <v>3283</v>
      </c>
      <c r="AB72" s="110" t="s">
        <v>854</v>
      </c>
      <c r="AC72" s="110" t="s">
        <v>3286</v>
      </c>
      <c r="AD72" s="132">
        <v>46030.37144675926</v>
      </c>
      <c r="AE72" s="110" t="s">
        <v>3289</v>
      </c>
      <c r="AF72" s="133"/>
      <c r="AG72" s="133"/>
      <c r="AH72" s="133"/>
    </row>
    <row r="73" ht="22.5" customHeight="1">
      <c r="A73" s="73"/>
      <c r="B73" s="73"/>
      <c r="C73" s="73"/>
      <c r="D73" s="73"/>
      <c r="E73" s="117" t="s">
        <v>3299</v>
      </c>
      <c r="F73" s="111" t="s">
        <v>3302</v>
      </c>
      <c r="G73" s="118"/>
      <c r="H73" s="118"/>
      <c r="I73" s="118"/>
      <c r="J73" s="119"/>
      <c r="K73" s="120"/>
      <c r="L73" s="120"/>
      <c r="M73" s="120"/>
      <c r="N73" s="120"/>
      <c r="O73" s="118"/>
      <c r="P73" s="120"/>
      <c r="Q73" s="121"/>
      <c r="R73" s="109" t="b">
        <v>1</v>
      </c>
      <c r="S73" s="110" t="s">
        <v>5265</v>
      </c>
      <c r="T73" s="110">
        <v>0.0</v>
      </c>
      <c r="U73" s="111" t="s">
        <v>3299</v>
      </c>
      <c r="V73" s="111" t="s">
        <v>3306</v>
      </c>
      <c r="W73" s="111" t="s">
        <v>3307</v>
      </c>
      <c r="X73" s="111" t="s">
        <v>3308</v>
      </c>
      <c r="Y73" s="111" t="s">
        <v>3309</v>
      </c>
      <c r="Z73" s="111" t="s">
        <v>3310</v>
      </c>
      <c r="AA73" s="111" t="s">
        <v>3311</v>
      </c>
      <c r="AB73" s="111" t="s">
        <v>3314</v>
      </c>
      <c r="AC73" s="111" t="s">
        <v>3318</v>
      </c>
      <c r="AD73" s="112">
        <v>46090.47561342592</v>
      </c>
      <c r="AE73" s="111" t="s">
        <v>3326</v>
      </c>
      <c r="AF73" s="122"/>
      <c r="AG73" s="122"/>
      <c r="AH73" s="122"/>
    </row>
    <row r="74" ht="22.5" customHeight="1">
      <c r="A74" s="73"/>
      <c r="B74" s="73"/>
      <c r="C74" s="73"/>
      <c r="D74" s="73"/>
      <c r="E74" s="281" t="s">
        <v>5268</v>
      </c>
      <c r="F74" s="281" t="s">
        <v>5269</v>
      </c>
      <c r="G74" s="96">
        <f>IFERROR(__xludf.DUMMYFUNCTION("GOOGLEFINANCE(E74, ""price"")"),1518.44)</f>
        <v>1518.44</v>
      </c>
      <c r="H74" s="97">
        <f>IFERROR(__xludf.DUMMYFUNCTION("GOOGLEFINANCE(E74, ""low"")"),1511.0)</f>
        <v>1511</v>
      </c>
      <c r="I74" s="99">
        <f>IFERROR(__xludf.DUMMYFUNCTION("GOOGLEFINANCE(E74, ""high"")"),1529.0)</f>
        <v>1529</v>
      </c>
      <c r="J74" s="126"/>
      <c r="K74" s="104">
        <v>75.8</v>
      </c>
      <c r="L74" s="104">
        <v>76.61</v>
      </c>
      <c r="M74" s="104">
        <v>42.39</v>
      </c>
      <c r="N74" s="104">
        <v>13.7</v>
      </c>
      <c r="O74" s="105" t="s">
        <v>170</v>
      </c>
      <c r="P74" s="104">
        <v>902.2</v>
      </c>
      <c r="Q74" s="108">
        <v>45707.4297869213</v>
      </c>
      <c r="R74" s="109" t="b">
        <v>0</v>
      </c>
      <c r="S74" s="110" t="s">
        <v>145</v>
      </c>
      <c r="T74" s="110">
        <v>0.0</v>
      </c>
      <c r="U74" s="111" t="s">
        <v>5268</v>
      </c>
      <c r="V74" s="111" t="s">
        <v>5183</v>
      </c>
      <c r="W74" s="111" t="s">
        <v>5184</v>
      </c>
      <c r="X74" s="118"/>
      <c r="Y74" s="118"/>
      <c r="Z74" s="118"/>
      <c r="AA74" s="118"/>
      <c r="AB74" s="118"/>
      <c r="AC74" s="111"/>
      <c r="AD74" s="112">
        <v>46030.37144675926</v>
      </c>
      <c r="AE74" s="111" t="s">
        <v>5280</v>
      </c>
      <c r="AF74" s="122"/>
      <c r="AG74" s="122"/>
      <c r="AH74" s="122"/>
    </row>
    <row r="75" ht="22.5" customHeight="1">
      <c r="A75" s="73"/>
      <c r="B75" s="73"/>
      <c r="C75" s="73"/>
      <c r="D75" s="73"/>
      <c r="E75" s="281" t="s">
        <v>5281</v>
      </c>
      <c r="F75" s="281" t="s">
        <v>5283</v>
      </c>
      <c r="G75" s="96">
        <f>IFERROR(__xludf.DUMMYFUNCTION("GOOGLEFINANCE(E75, ""price"")"),100.59)</f>
        <v>100.59</v>
      </c>
      <c r="H75" s="97">
        <f>IFERROR(__xludf.DUMMYFUNCTION("GOOGLEFINANCE(E75, ""low"")"),100.51)</f>
        <v>100.51</v>
      </c>
      <c r="I75" s="99">
        <f>IFERROR(__xludf.DUMMYFUNCTION("GOOGLEFINANCE(E75, ""high"")"),101.51)</f>
        <v>101.51</v>
      </c>
      <c r="J75" s="161"/>
      <c r="K75" s="104">
        <v>5.94</v>
      </c>
      <c r="L75" s="104">
        <v>84.12</v>
      </c>
      <c r="M75" s="104">
        <v>36.27</v>
      </c>
      <c r="N75" s="104">
        <v>0.83</v>
      </c>
      <c r="O75" s="105" t="s">
        <v>588</v>
      </c>
      <c r="P75" s="104">
        <v>57.02</v>
      </c>
      <c r="Q75" s="108">
        <v>45707.4297869213</v>
      </c>
      <c r="R75" s="109" t="b">
        <v>1</v>
      </c>
      <c r="S75" s="110" t="s">
        <v>5285</v>
      </c>
      <c r="T75" s="110">
        <v>0.0</v>
      </c>
      <c r="U75" s="111" t="s">
        <v>5281</v>
      </c>
      <c r="V75" s="111" t="s">
        <v>5287</v>
      </c>
      <c r="W75" s="111" t="s">
        <v>5288</v>
      </c>
      <c r="X75" s="111" t="s">
        <v>5289</v>
      </c>
      <c r="Y75" s="111" t="s">
        <v>5290</v>
      </c>
      <c r="Z75" s="111" t="s">
        <v>5292</v>
      </c>
      <c r="AA75" s="111" t="s">
        <v>4708</v>
      </c>
      <c r="AB75" s="111" t="s">
        <v>3840</v>
      </c>
      <c r="AC75" s="111" t="s">
        <v>5295</v>
      </c>
      <c r="AD75" s="112">
        <v>46030.37144675926</v>
      </c>
      <c r="AE75" s="111" t="s">
        <v>5297</v>
      </c>
      <c r="AF75" s="122"/>
      <c r="AG75" s="122"/>
      <c r="AH75" s="122"/>
    </row>
    <row r="76" ht="22.5" customHeight="1">
      <c r="A76" s="73"/>
      <c r="B76" s="149" t="s">
        <v>327</v>
      </c>
      <c r="C76" s="150">
        <f>now()</f>
        <v>46288.71545</v>
      </c>
      <c r="D76" s="73"/>
      <c r="E76" s="124" t="s">
        <v>818</v>
      </c>
      <c r="F76" s="125" t="s">
        <v>968</v>
      </c>
      <c r="G76" s="96">
        <f>IFERROR(__xludf.DUMMYFUNCTION("GOOGLEFINANCE(E76, ""price"")"),375.17)</f>
        <v>375.17</v>
      </c>
      <c r="H76" s="97">
        <f>IFERROR(__xludf.DUMMYFUNCTION("GOOGLEFINANCE(E76, ""low"")"),369.13)</f>
        <v>369.13</v>
      </c>
      <c r="I76" s="99">
        <f>IFERROR(__xludf.DUMMYFUNCTION("GOOGLEFINANCE(E76, ""high"")"),377.68)</f>
        <v>377.68</v>
      </c>
      <c r="J76" s="126"/>
      <c r="K76" s="104">
        <v>0.47</v>
      </c>
      <c r="L76" s="104">
        <v>28.9</v>
      </c>
      <c r="M76" s="104">
        <v>47.68</v>
      </c>
      <c r="N76" s="104">
        <v>7.69</v>
      </c>
      <c r="O76" s="125" t="s">
        <v>197</v>
      </c>
      <c r="P76" s="104">
        <v>175.87</v>
      </c>
      <c r="Q76" s="108">
        <v>46079.320398587966</v>
      </c>
      <c r="R76" s="109" t="b">
        <v>1</v>
      </c>
      <c r="S76" s="110" t="s">
        <v>1294</v>
      </c>
      <c r="T76" s="110">
        <v>0.0</v>
      </c>
      <c r="U76" s="111" t="s">
        <v>818</v>
      </c>
      <c r="V76" s="111" t="s">
        <v>3360</v>
      </c>
      <c r="W76" s="111" t="s">
        <v>3361</v>
      </c>
      <c r="X76" s="111" t="s">
        <v>3365</v>
      </c>
      <c r="Y76" s="111" t="s">
        <v>3367</v>
      </c>
      <c r="Z76" s="111" t="s">
        <v>3369</v>
      </c>
      <c r="AA76" s="111" t="s">
        <v>3371</v>
      </c>
      <c r="AB76" s="111" t="s">
        <v>295</v>
      </c>
      <c r="AC76" s="111" t="s">
        <v>3375</v>
      </c>
      <c r="AD76" s="112">
        <v>46030.37144675926</v>
      </c>
      <c r="AE76" s="111" t="s">
        <v>1955</v>
      </c>
      <c r="AF76" s="122"/>
      <c r="AG76" s="122"/>
      <c r="AH76" s="122"/>
    </row>
    <row r="77" ht="22.5" customHeight="1">
      <c r="A77" s="73"/>
      <c r="B77" s="73"/>
      <c r="C77" s="73"/>
      <c r="D77" s="73"/>
      <c r="E77" s="124" t="s">
        <v>1230</v>
      </c>
      <c r="F77" s="125" t="s">
        <v>1230</v>
      </c>
      <c r="G77" s="96">
        <f>IFERROR(__xludf.DUMMYFUNCTION("GOOGLEFINANCE(E77, ""price"")"),236.23)</f>
        <v>236.23</v>
      </c>
      <c r="H77" s="97">
        <f>IFERROR(__xludf.DUMMYFUNCTION("GOOGLEFINANCE(E77, ""low"")"),233.1)</f>
        <v>233.1</v>
      </c>
      <c r="I77" s="99">
        <f>IFERROR(__xludf.DUMMYFUNCTION("GOOGLEFINANCE(E77, ""high"")"),237.86)</f>
        <v>237.86</v>
      </c>
      <c r="J77" s="152"/>
      <c r="K77" s="106"/>
      <c r="L77" s="106"/>
      <c r="M77" s="106"/>
      <c r="N77" s="106"/>
      <c r="O77" s="105"/>
      <c r="P77" s="106"/>
      <c r="Q77" s="108"/>
      <c r="R77" s="109" t="b">
        <v>1</v>
      </c>
      <c r="S77" s="110" t="s">
        <v>5311</v>
      </c>
      <c r="T77" s="110">
        <v>0.0</v>
      </c>
      <c r="U77" s="111" t="s">
        <v>1230</v>
      </c>
      <c r="V77" s="111" t="s">
        <v>3404</v>
      </c>
      <c r="W77" s="111" t="s">
        <v>3406</v>
      </c>
      <c r="X77" s="111" t="s">
        <v>3408</v>
      </c>
      <c r="Y77" s="111" t="s">
        <v>3411</v>
      </c>
      <c r="Z77" s="111" t="s">
        <v>3413</v>
      </c>
      <c r="AA77" s="111" t="s">
        <v>3415</v>
      </c>
      <c r="AB77" s="111" t="s">
        <v>3418</v>
      </c>
      <c r="AC77" s="111" t="s">
        <v>3420</v>
      </c>
      <c r="AD77" s="112">
        <v>46030.37144675926</v>
      </c>
      <c r="AE77" s="111" t="s">
        <v>3423</v>
      </c>
      <c r="AF77" s="122"/>
      <c r="AG77" s="122"/>
      <c r="AH77" s="122"/>
    </row>
    <row r="78" ht="22.5" customHeight="1">
      <c r="A78" s="73"/>
      <c r="B78" s="73"/>
      <c r="C78" s="73"/>
      <c r="D78" s="73"/>
      <c r="E78" s="127" t="s">
        <v>3435</v>
      </c>
      <c r="F78" s="110" t="s">
        <v>3437</v>
      </c>
      <c r="G78" s="96">
        <f>IFERROR(__xludf.DUMMYFUNCTION("GOOGLEFINANCE(E78, ""price"")"),62.24)</f>
        <v>62.24</v>
      </c>
      <c r="H78" s="97">
        <f>IFERROR(__xludf.DUMMYFUNCTION("GOOGLEFINANCE(E78, ""low"")"),61.32)</f>
        <v>61.32</v>
      </c>
      <c r="I78" s="99">
        <f>IFERROR(__xludf.DUMMYFUNCTION("GOOGLEFINANCE(E78, ""high"")"),62.72)</f>
        <v>62.72</v>
      </c>
      <c r="J78" s="144"/>
      <c r="K78" s="129">
        <v>-0.16</v>
      </c>
      <c r="L78" s="129">
        <v>60.8</v>
      </c>
      <c r="M78" s="129">
        <v>29.38</v>
      </c>
      <c r="N78" s="129">
        <v>1.12</v>
      </c>
      <c r="O78" s="110" t="s">
        <v>245</v>
      </c>
      <c r="P78" s="129">
        <v>36.12</v>
      </c>
      <c r="Q78" s="130">
        <v>45827.35339923611</v>
      </c>
      <c r="R78" s="131" t="b">
        <v>1</v>
      </c>
      <c r="S78" s="110" t="s">
        <v>5323</v>
      </c>
      <c r="T78" s="110">
        <v>0.0</v>
      </c>
      <c r="U78" s="110" t="s">
        <v>3435</v>
      </c>
      <c r="V78" s="110" t="s">
        <v>3453</v>
      </c>
      <c r="W78" s="110" t="s">
        <v>3455</v>
      </c>
      <c r="X78" s="110" t="s">
        <v>3457</v>
      </c>
      <c r="Y78" s="110" t="s">
        <v>3459</v>
      </c>
      <c r="Z78" s="110" t="s">
        <v>3461</v>
      </c>
      <c r="AA78" s="110" t="s">
        <v>3462</v>
      </c>
      <c r="AB78" s="110" t="s">
        <v>332</v>
      </c>
      <c r="AC78" s="110" t="s">
        <v>3465</v>
      </c>
      <c r="AD78" s="132">
        <v>46030.37144675926</v>
      </c>
      <c r="AE78" s="110" t="s">
        <v>3468</v>
      </c>
      <c r="AF78" s="133"/>
      <c r="AG78" s="133"/>
      <c r="AH78" s="133"/>
    </row>
    <row r="79" ht="22.5" customHeight="1">
      <c r="A79" s="73"/>
      <c r="B79" s="73"/>
      <c r="C79" s="73"/>
      <c r="D79" s="73"/>
      <c r="E79" s="127" t="s">
        <v>5336</v>
      </c>
      <c r="F79" s="110" t="s">
        <v>5338</v>
      </c>
      <c r="G79" s="96">
        <f>IFERROR(__xludf.DUMMYFUNCTION("GOOGLEFINANCE(E79, ""price"")"),58.57)</f>
        <v>58.57</v>
      </c>
      <c r="H79" s="97">
        <f>IFERROR(__xludf.DUMMYFUNCTION("GOOGLEFINANCE(E79, ""low"")"),57.84)</f>
        <v>57.84</v>
      </c>
      <c r="I79" s="99">
        <f>IFERROR(__xludf.DUMMYFUNCTION("GOOGLEFINANCE(E79, ""high"")"),60.48)</f>
        <v>60.48</v>
      </c>
      <c r="J79" s="128"/>
      <c r="K79" s="129">
        <v>3.179</v>
      </c>
      <c r="L79" s="129">
        <v>61.74</v>
      </c>
      <c r="M79" s="129">
        <v>20.2</v>
      </c>
      <c r="N79" s="129">
        <v>1.213</v>
      </c>
      <c r="O79" s="110" t="s">
        <v>170</v>
      </c>
      <c r="P79" s="129">
        <v>33.264</v>
      </c>
      <c r="Q79" s="130">
        <v>45796.36793302083</v>
      </c>
      <c r="R79" s="131" t="b">
        <v>0</v>
      </c>
      <c r="S79" s="110" t="s">
        <v>145</v>
      </c>
      <c r="T79" s="110">
        <v>0.0</v>
      </c>
      <c r="U79" s="110" t="s">
        <v>5336</v>
      </c>
      <c r="V79" s="110" t="s">
        <v>5183</v>
      </c>
      <c r="W79" s="110" t="s">
        <v>5184</v>
      </c>
      <c r="X79" s="143"/>
      <c r="Y79" s="143"/>
      <c r="Z79" s="143"/>
      <c r="AA79" s="143"/>
      <c r="AB79" s="143"/>
      <c r="AC79" s="110"/>
      <c r="AD79" s="132">
        <v>46030.37144675926</v>
      </c>
      <c r="AE79" s="110" t="s">
        <v>5348</v>
      </c>
      <c r="AF79" s="133"/>
      <c r="AG79" s="133"/>
      <c r="AH79" s="133"/>
    </row>
    <row r="80" ht="22.5" customHeight="1">
      <c r="A80" s="73"/>
      <c r="B80" s="73"/>
      <c r="C80" s="73"/>
      <c r="D80" s="73"/>
      <c r="E80" s="286" t="s">
        <v>5354</v>
      </c>
      <c r="F80" s="242" t="s">
        <v>5355</v>
      </c>
      <c r="G80" s="96">
        <f>IFERROR(__xludf.DUMMYFUNCTION("GOOGLEFINANCE(E80, ""price"")"),106.3)</f>
        <v>106.3</v>
      </c>
      <c r="H80" s="97">
        <f>IFERROR(__xludf.DUMMYFUNCTION("GOOGLEFINANCE(E80, ""low"")"),105.06)</f>
        <v>105.06</v>
      </c>
      <c r="I80" s="99">
        <f>IFERROR(__xludf.DUMMYFUNCTION("GOOGLEFINANCE(E80, ""high"")"),108.84)</f>
        <v>108.84</v>
      </c>
      <c r="J80" s="152"/>
      <c r="K80" s="106"/>
      <c r="L80" s="106"/>
      <c r="M80" s="106"/>
      <c r="N80" s="106"/>
      <c r="O80" s="104"/>
      <c r="P80" s="106">
        <v>24.42</v>
      </c>
      <c r="Q80" s="108">
        <v>45708.411887372684</v>
      </c>
      <c r="R80" s="109" t="b">
        <v>0</v>
      </c>
      <c r="S80" s="110" t="s">
        <v>145</v>
      </c>
      <c r="T80" s="110">
        <v>0.0</v>
      </c>
      <c r="U80" s="111" t="s">
        <v>5354</v>
      </c>
      <c r="V80" s="111" t="s">
        <v>5183</v>
      </c>
      <c r="W80" s="111" t="s">
        <v>5184</v>
      </c>
      <c r="X80" s="118"/>
      <c r="Y80" s="118"/>
      <c r="Z80" s="118"/>
      <c r="AA80" s="118"/>
      <c r="AB80" s="118"/>
      <c r="AC80" s="111"/>
      <c r="AD80" s="112">
        <v>46030.37144675926</v>
      </c>
      <c r="AE80" s="111" t="s">
        <v>5372</v>
      </c>
      <c r="AF80" s="122"/>
      <c r="AG80" s="122"/>
      <c r="AH80" s="122"/>
    </row>
    <row r="81" ht="22.5" customHeight="1">
      <c r="A81" s="73"/>
      <c r="B81" s="73"/>
      <c r="C81" s="73"/>
      <c r="D81" s="73"/>
      <c r="E81" s="242" t="s">
        <v>3472</v>
      </c>
      <c r="F81" s="242" t="s">
        <v>3474</v>
      </c>
      <c r="G81" s="96">
        <f>IFERROR(__xludf.DUMMYFUNCTION("GOOGLEFINANCE(E81, ""price"")"),120.36)</f>
        <v>120.36</v>
      </c>
      <c r="H81" s="97">
        <f>IFERROR(__xludf.DUMMYFUNCTION("GOOGLEFINANCE(E81, ""low"")"),119.44)</f>
        <v>119.44</v>
      </c>
      <c r="I81" s="99">
        <f>IFERROR(__xludf.DUMMYFUNCTION("GOOGLEFINANCE(E81, ""high"")"),124.25)</f>
        <v>124.25</v>
      </c>
      <c r="J81" s="152"/>
      <c r="K81" s="106"/>
      <c r="L81" s="106"/>
      <c r="M81" s="106"/>
      <c r="N81" s="106"/>
      <c r="O81" s="104"/>
      <c r="P81" s="104">
        <v>20.29</v>
      </c>
      <c r="Q81" s="108">
        <v>45812.250381550926</v>
      </c>
      <c r="R81" s="109" t="b">
        <v>1</v>
      </c>
      <c r="S81" s="110" t="s">
        <v>5379</v>
      </c>
      <c r="T81" s="110">
        <v>0.0</v>
      </c>
      <c r="U81" s="111" t="s">
        <v>3472</v>
      </c>
      <c r="V81" s="111" t="s">
        <v>3481</v>
      </c>
      <c r="W81" s="111" t="s">
        <v>3482</v>
      </c>
      <c r="X81" s="111" t="s">
        <v>3484</v>
      </c>
      <c r="Y81" s="111" t="s">
        <v>3485</v>
      </c>
      <c r="Z81" s="111" t="s">
        <v>3486</v>
      </c>
      <c r="AA81" s="111" t="s">
        <v>3487</v>
      </c>
      <c r="AB81" s="111" t="s">
        <v>3488</v>
      </c>
      <c r="AC81" s="111" t="s">
        <v>3490</v>
      </c>
      <c r="AD81" s="112">
        <v>46030.37144675926</v>
      </c>
      <c r="AE81" s="111" t="s">
        <v>3492</v>
      </c>
      <c r="AF81" s="122"/>
      <c r="AG81" s="122"/>
      <c r="AH81" s="122"/>
    </row>
    <row r="82" ht="22.5" customHeight="1">
      <c r="A82" s="73"/>
      <c r="B82" s="73"/>
      <c r="C82" s="73"/>
      <c r="D82" s="73"/>
      <c r="E82" s="127" t="s">
        <v>1057</v>
      </c>
      <c r="F82" s="110" t="s">
        <v>1058</v>
      </c>
      <c r="G82" s="96">
        <f>IFERROR(__xludf.DUMMYFUNCTION("GOOGLEFINANCE(E82, ""price"")"),42.86)</f>
        <v>42.86</v>
      </c>
      <c r="H82" s="97">
        <f>IFERROR(__xludf.DUMMYFUNCTION("GOOGLEFINANCE(E82, ""low"")"),41.63)</f>
        <v>41.63</v>
      </c>
      <c r="I82" s="99">
        <f>IFERROR(__xludf.DUMMYFUNCTION("GOOGLEFINANCE(E82, ""high"")"),46.05)</f>
        <v>46.05</v>
      </c>
      <c r="J82" s="144"/>
      <c r="K82" s="129">
        <v>-2.1</v>
      </c>
      <c r="L82" s="129">
        <v>50.61</v>
      </c>
      <c r="M82" s="129">
        <v>29.81</v>
      </c>
      <c r="N82" s="129">
        <v>3.37</v>
      </c>
      <c r="O82" s="110" t="s">
        <v>998</v>
      </c>
      <c r="P82" s="129">
        <v>41.06</v>
      </c>
      <c r="Q82" s="243">
        <v>45868.35878219907</v>
      </c>
      <c r="R82" s="208" t="b">
        <v>1</v>
      </c>
      <c r="S82" s="110" t="s">
        <v>5391</v>
      </c>
      <c r="T82" s="110">
        <v>0.0</v>
      </c>
      <c r="U82" s="244" t="s">
        <v>1057</v>
      </c>
      <c r="V82" s="244" t="s">
        <v>3511</v>
      </c>
      <c r="W82" s="244" t="s">
        <v>3513</v>
      </c>
      <c r="X82" s="244" t="s">
        <v>3514</v>
      </c>
      <c r="Y82" s="244" t="s">
        <v>3517</v>
      </c>
      <c r="Z82" s="244" t="s">
        <v>3518</v>
      </c>
      <c r="AA82" s="244" t="s">
        <v>3520</v>
      </c>
      <c r="AB82" s="244" t="s">
        <v>410</v>
      </c>
      <c r="AC82" s="244" t="s">
        <v>3523</v>
      </c>
      <c r="AD82" s="245">
        <v>46030.37144675926</v>
      </c>
      <c r="AE82" s="244" t="s">
        <v>1929</v>
      </c>
      <c r="AF82" s="246"/>
      <c r="AG82" s="246"/>
      <c r="AH82" s="246"/>
    </row>
    <row r="83" ht="22.5" customHeight="1">
      <c r="A83" s="73"/>
      <c r="B83" s="73"/>
      <c r="C83" s="73"/>
      <c r="D83" s="73"/>
      <c r="E83" s="117" t="s">
        <v>506</v>
      </c>
      <c r="F83" s="103" t="s">
        <v>3532</v>
      </c>
      <c r="G83" s="96">
        <f>IFERROR(__xludf.DUMMYFUNCTION("GOOGLEFINANCE(E83, ""price"")"),141.74)</f>
        <v>141.74</v>
      </c>
      <c r="H83" s="118"/>
      <c r="I83" s="118"/>
      <c r="J83" s="119"/>
      <c r="K83" s="120"/>
      <c r="L83" s="120"/>
      <c r="M83" s="120"/>
      <c r="N83" s="120"/>
      <c r="O83" s="118"/>
      <c r="P83" s="120"/>
      <c r="Q83" s="121"/>
      <c r="R83" s="109" t="b">
        <v>1</v>
      </c>
      <c r="S83" s="110" t="s">
        <v>5397</v>
      </c>
      <c r="T83" s="110">
        <v>0.0</v>
      </c>
      <c r="U83" s="111" t="s">
        <v>506</v>
      </c>
      <c r="V83" s="111" t="s">
        <v>3543</v>
      </c>
      <c r="W83" s="111" t="s">
        <v>1256</v>
      </c>
      <c r="X83" s="111" t="s">
        <v>3545</v>
      </c>
      <c r="Y83" s="111" t="s">
        <v>3546</v>
      </c>
      <c r="Z83" s="111" t="s">
        <v>3548</v>
      </c>
      <c r="AA83" s="111" t="s">
        <v>3550</v>
      </c>
      <c r="AB83" s="111" t="s">
        <v>429</v>
      </c>
      <c r="AC83" s="111" t="s">
        <v>3553</v>
      </c>
      <c r="AD83" s="111" t="s">
        <v>3237</v>
      </c>
      <c r="AE83" s="111" t="s">
        <v>3554</v>
      </c>
      <c r="AF83" s="122"/>
      <c r="AG83" s="122"/>
      <c r="AH83" s="122"/>
    </row>
    <row r="84" ht="22.5" customHeight="1">
      <c r="A84" s="73"/>
      <c r="B84" s="73"/>
      <c r="C84" s="73"/>
      <c r="D84" s="73"/>
      <c r="E84" s="117" t="s">
        <v>3556</v>
      </c>
      <c r="F84" s="111" t="s">
        <v>3557</v>
      </c>
      <c r="G84" s="96">
        <f>IFERROR(__xludf.DUMMYFUNCTION("GOOGLEFINANCE(E84, ""price"")"),97.88)</f>
        <v>97.88</v>
      </c>
      <c r="H84" s="118"/>
      <c r="I84" s="118"/>
      <c r="J84" s="119"/>
      <c r="K84" s="120"/>
      <c r="L84" s="120"/>
      <c r="M84" s="120"/>
      <c r="N84" s="120"/>
      <c r="O84" s="118"/>
      <c r="P84" s="120"/>
      <c r="Q84" s="121"/>
      <c r="R84" s="109" t="b">
        <v>1</v>
      </c>
      <c r="S84" s="110" t="s">
        <v>5409</v>
      </c>
      <c r="T84" s="110">
        <v>0.0</v>
      </c>
      <c r="U84" s="111" t="s">
        <v>3556</v>
      </c>
      <c r="V84" s="111" t="s">
        <v>3568</v>
      </c>
      <c r="W84" s="111" t="s">
        <v>3570</v>
      </c>
      <c r="X84" s="111" t="s">
        <v>3573</v>
      </c>
      <c r="Y84" s="111" t="s">
        <v>3576</v>
      </c>
      <c r="Z84" s="111" t="s">
        <v>3579</v>
      </c>
      <c r="AA84" s="111" t="s">
        <v>3580</v>
      </c>
      <c r="AB84" s="111" t="s">
        <v>531</v>
      </c>
      <c r="AC84" s="111" t="s">
        <v>3584</v>
      </c>
      <c r="AD84" s="112">
        <v>46150.444386574076</v>
      </c>
      <c r="AE84" s="111" t="s">
        <v>3587</v>
      </c>
      <c r="AF84" s="122"/>
      <c r="AG84" s="122"/>
      <c r="AH84" s="122"/>
    </row>
    <row r="85" ht="22.5" customHeight="1">
      <c r="A85" s="73"/>
      <c r="B85" s="73"/>
      <c r="C85" s="73"/>
      <c r="D85" s="73"/>
      <c r="E85" s="117" t="s">
        <v>1737</v>
      </c>
      <c r="F85" s="111" t="s">
        <v>3591</v>
      </c>
      <c r="G85" s="96">
        <f>IFERROR(__xludf.DUMMYFUNCTION("GOOGLEFINANCE(E85, ""price"")"),88.15)</f>
        <v>88.15</v>
      </c>
      <c r="H85" s="118"/>
      <c r="I85" s="118"/>
      <c r="J85" s="119"/>
      <c r="K85" s="120"/>
      <c r="L85" s="120"/>
      <c r="M85" s="120"/>
      <c r="N85" s="120"/>
      <c r="O85" s="118"/>
      <c r="P85" s="120"/>
      <c r="Q85" s="121"/>
      <c r="R85" s="109" t="b">
        <v>1</v>
      </c>
      <c r="S85" s="110" t="s">
        <v>5419</v>
      </c>
      <c r="T85" s="110">
        <v>0.0</v>
      </c>
      <c r="U85" s="111" t="s">
        <v>1737</v>
      </c>
      <c r="V85" s="111" t="s">
        <v>3603</v>
      </c>
      <c r="W85" s="111" t="s">
        <v>3604</v>
      </c>
      <c r="X85" s="111" t="s">
        <v>3606</v>
      </c>
      <c r="Y85" s="111" t="s">
        <v>3607</v>
      </c>
      <c r="Z85" s="111" t="s">
        <v>3609</v>
      </c>
      <c r="AA85" s="111" t="s">
        <v>3610</v>
      </c>
      <c r="AB85" s="111" t="s">
        <v>2919</v>
      </c>
      <c r="AC85" s="111" t="s">
        <v>3612</v>
      </c>
      <c r="AD85" s="112">
        <v>46030.37144675926</v>
      </c>
      <c r="AE85" s="111" t="s">
        <v>3614</v>
      </c>
      <c r="AF85" s="122"/>
      <c r="AG85" s="122"/>
      <c r="AH85" s="122"/>
    </row>
    <row r="86" ht="22.5" customHeight="1">
      <c r="A86" s="73"/>
      <c r="B86" s="73"/>
      <c r="C86" s="73"/>
      <c r="D86" s="73"/>
      <c r="E86" s="127" t="s">
        <v>3618</v>
      </c>
      <c r="F86" s="110" t="s">
        <v>3619</v>
      </c>
      <c r="G86" s="96">
        <f>IFERROR(__xludf.DUMMYFUNCTION("GOOGLEFINANCE(E86, ""price"")"),2.32)</f>
        <v>2.32</v>
      </c>
      <c r="H86" s="97">
        <f>IFERROR(__xludf.DUMMYFUNCTION("GOOGLEFINANCE(E86, ""low"")"),2.29)</f>
        <v>2.29</v>
      </c>
      <c r="I86" s="99">
        <f>IFERROR(__xludf.DUMMYFUNCTION("GOOGLEFINANCE(E86, ""high"")"),2.48)</f>
        <v>2.48</v>
      </c>
      <c r="J86" s="144"/>
      <c r="K86" s="129">
        <v>-2.48</v>
      </c>
      <c r="L86" s="129">
        <v>46.72</v>
      </c>
      <c r="M86" s="129">
        <v>15.69</v>
      </c>
      <c r="N86" s="129">
        <v>2.76</v>
      </c>
      <c r="O86" s="110" t="s">
        <v>3629</v>
      </c>
      <c r="P86" s="129">
        <v>3.72</v>
      </c>
      <c r="Q86" s="130">
        <v>45799.88204802084</v>
      </c>
      <c r="R86" s="131" t="b">
        <v>1</v>
      </c>
      <c r="S86" s="110" t="s">
        <v>5431</v>
      </c>
      <c r="T86" s="110">
        <v>0.0</v>
      </c>
      <c r="U86" s="110" t="s">
        <v>3618</v>
      </c>
      <c r="V86" s="110" t="s">
        <v>3633</v>
      </c>
      <c r="W86" s="110" t="s">
        <v>3634</v>
      </c>
      <c r="X86" s="110" t="s">
        <v>2212</v>
      </c>
      <c r="Y86" s="110" t="s">
        <v>3637</v>
      </c>
      <c r="Z86" s="110" t="s">
        <v>3638</v>
      </c>
      <c r="AA86" s="110" t="s">
        <v>3640</v>
      </c>
      <c r="AB86" s="110" t="s">
        <v>933</v>
      </c>
      <c r="AC86" s="110" t="s">
        <v>3643</v>
      </c>
      <c r="AD86" s="132">
        <v>46030.37144675926</v>
      </c>
      <c r="AE86" s="110" t="s">
        <v>3646</v>
      </c>
      <c r="AF86" s="133"/>
      <c r="AG86" s="133"/>
      <c r="AH86" s="133"/>
    </row>
    <row r="87" ht="22.5" customHeight="1">
      <c r="A87" s="73"/>
      <c r="B87" s="73"/>
      <c r="C87" s="73"/>
      <c r="D87" s="73"/>
      <c r="E87" s="124" t="s">
        <v>3651</v>
      </c>
      <c r="F87" s="125" t="s">
        <v>3652</v>
      </c>
      <c r="G87" s="96">
        <f>IFERROR(__xludf.DUMMYFUNCTION("GOOGLEFINANCE(E87, ""price"")"),1154.84)</f>
        <v>1154.84</v>
      </c>
      <c r="H87" s="97">
        <f>IFERROR(__xludf.DUMMYFUNCTION("GOOGLEFINANCE(E87, ""low"")"),1154.0)</f>
        <v>1154</v>
      </c>
      <c r="I87" s="99">
        <f>IFERROR(__xludf.DUMMYFUNCTION("GOOGLEFINANCE(E87, ""high"")"),1188.88)</f>
        <v>1188.88</v>
      </c>
      <c r="J87" s="126"/>
      <c r="K87" s="104">
        <v>7.71</v>
      </c>
      <c r="L87" s="104">
        <v>64.6</v>
      </c>
      <c r="M87" s="104">
        <v>25.22</v>
      </c>
      <c r="N87" s="104">
        <v>20.69</v>
      </c>
      <c r="O87" s="125" t="s">
        <v>3656</v>
      </c>
      <c r="P87" s="106">
        <v>873.12</v>
      </c>
      <c r="Q87" s="108">
        <v>45709.53835163194</v>
      </c>
      <c r="R87" s="109" t="b">
        <v>1</v>
      </c>
      <c r="S87" s="110" t="s">
        <v>5443</v>
      </c>
      <c r="T87" s="110">
        <v>0.0</v>
      </c>
      <c r="U87" s="111" t="s">
        <v>3651</v>
      </c>
      <c r="V87" s="111" t="s">
        <v>3659</v>
      </c>
      <c r="W87" s="111" t="s">
        <v>3660</v>
      </c>
      <c r="X87" s="111" t="s">
        <v>3661</v>
      </c>
      <c r="Y87" s="111" t="s">
        <v>3663</v>
      </c>
      <c r="Z87" s="111" t="s">
        <v>3664</v>
      </c>
      <c r="AA87" s="111" t="s">
        <v>3665</v>
      </c>
      <c r="AB87" s="111" t="s">
        <v>468</v>
      </c>
      <c r="AC87" s="111" t="s">
        <v>3667</v>
      </c>
      <c r="AD87" s="112">
        <v>46030.37144675926</v>
      </c>
      <c r="AE87" s="111" t="s">
        <v>3669</v>
      </c>
      <c r="AF87" s="122"/>
      <c r="AG87" s="122"/>
      <c r="AH87" s="122"/>
    </row>
    <row r="88" ht="22.5" customHeight="1">
      <c r="A88" s="73"/>
      <c r="B88" s="73"/>
      <c r="C88" s="73"/>
      <c r="D88" s="73"/>
      <c r="E88" s="127" t="s">
        <v>2505</v>
      </c>
      <c r="F88" s="110" t="s">
        <v>3672</v>
      </c>
      <c r="G88" s="96">
        <f>IFERROR(__xludf.DUMMYFUNCTION("GOOGLEFINANCE(E88, ""price"")"),526.54)</f>
        <v>526.54</v>
      </c>
      <c r="H88" s="97">
        <f>IFERROR(__xludf.DUMMYFUNCTION("GOOGLEFINANCE(E88, ""low"")"),523.57)</f>
        <v>523.57</v>
      </c>
      <c r="I88" s="99">
        <f>IFERROR(__xludf.DUMMYFUNCTION("GOOGLEFINANCE(E88, ""high"")"),534.93)</f>
        <v>534.93</v>
      </c>
      <c r="J88" s="144"/>
      <c r="K88" s="129">
        <v>-47.0</v>
      </c>
      <c r="L88" s="129">
        <v>27.16</v>
      </c>
      <c r="M88" s="129">
        <v>14.96</v>
      </c>
      <c r="N88" s="129">
        <v>11.23</v>
      </c>
      <c r="O88" s="110" t="s">
        <v>3253</v>
      </c>
      <c r="P88" s="129">
        <v>415.91</v>
      </c>
      <c r="Q88" s="130">
        <v>45861.48222961806</v>
      </c>
      <c r="R88" s="131" t="b">
        <v>1</v>
      </c>
      <c r="S88" s="110" t="s">
        <v>5455</v>
      </c>
      <c r="T88" s="110">
        <v>0.0</v>
      </c>
      <c r="U88" s="110" t="s">
        <v>2505</v>
      </c>
      <c r="V88" s="110" t="s">
        <v>3680</v>
      </c>
      <c r="W88" s="110" t="s">
        <v>3681</v>
      </c>
      <c r="X88" s="110" t="s">
        <v>3682</v>
      </c>
      <c r="Y88" s="110" t="s">
        <v>3684</v>
      </c>
      <c r="Z88" s="110" t="s">
        <v>3686</v>
      </c>
      <c r="AA88" s="110" t="s">
        <v>3688</v>
      </c>
      <c r="AB88" s="110" t="s">
        <v>292</v>
      </c>
      <c r="AC88" s="110" t="s">
        <v>3690</v>
      </c>
      <c r="AD88" s="132">
        <v>46030.37144675926</v>
      </c>
      <c r="AE88" s="110" t="s">
        <v>3692</v>
      </c>
      <c r="AF88" s="133"/>
      <c r="AG88" s="133"/>
      <c r="AH88" s="133"/>
    </row>
    <row r="89" ht="22.5" customHeight="1">
      <c r="A89" s="73"/>
      <c r="B89" s="73"/>
      <c r="C89" s="73"/>
      <c r="D89" s="73"/>
      <c r="E89" s="117" t="s">
        <v>3725</v>
      </c>
      <c r="F89" s="111" t="s">
        <v>3726</v>
      </c>
      <c r="G89" s="96">
        <f>IFERROR(__xludf.DUMMYFUNCTION("GOOGLEFINANCE(E89, ""price"")"),192.49)</f>
        <v>192.49</v>
      </c>
      <c r="H89" s="118"/>
      <c r="I89" s="118"/>
      <c r="J89" s="119"/>
      <c r="K89" s="120"/>
      <c r="L89" s="120"/>
      <c r="M89" s="120"/>
      <c r="N89" s="120"/>
      <c r="O89" s="118"/>
      <c r="P89" s="120"/>
      <c r="Q89" s="121"/>
      <c r="R89" s="109" t="b">
        <v>1</v>
      </c>
      <c r="S89" s="110" t="s">
        <v>5468</v>
      </c>
      <c r="T89" s="110">
        <v>0.0</v>
      </c>
      <c r="U89" s="111" t="s">
        <v>3725</v>
      </c>
      <c r="V89" s="111" t="s">
        <v>3736</v>
      </c>
      <c r="W89" s="111" t="s">
        <v>3738</v>
      </c>
      <c r="X89" s="111" t="s">
        <v>3739</v>
      </c>
      <c r="Y89" s="111" t="s">
        <v>3741</v>
      </c>
      <c r="Z89" s="111" t="s">
        <v>3744</v>
      </c>
      <c r="AA89" s="111" t="s">
        <v>3746</v>
      </c>
      <c r="AB89" s="111" t="s">
        <v>736</v>
      </c>
      <c r="AC89" s="111" t="s">
        <v>3748</v>
      </c>
      <c r="AD89" s="112">
        <v>46150.444386574076</v>
      </c>
      <c r="AE89" s="111" t="s">
        <v>3751</v>
      </c>
      <c r="AF89" s="122"/>
      <c r="AG89" s="122"/>
      <c r="AH89" s="122"/>
    </row>
    <row r="90" ht="22.5" customHeight="1">
      <c r="A90" s="73"/>
      <c r="B90" s="73"/>
      <c r="C90" s="73"/>
      <c r="D90" s="73"/>
      <c r="E90" s="117" t="s">
        <v>175</v>
      </c>
      <c r="F90" s="111" t="s">
        <v>176</v>
      </c>
      <c r="G90" s="96">
        <f>IFERROR(__xludf.DUMMYFUNCTION("GOOGLEFINANCE(E90, ""price"")"),42.53)</f>
        <v>42.53</v>
      </c>
      <c r="H90" s="118"/>
      <c r="I90" s="118"/>
      <c r="J90" s="119"/>
      <c r="K90" s="120"/>
      <c r="L90" s="120"/>
      <c r="M90" s="120"/>
      <c r="N90" s="120"/>
      <c r="O90" s="118"/>
      <c r="P90" s="120"/>
      <c r="Q90" s="121"/>
      <c r="R90" s="109" t="b">
        <v>1</v>
      </c>
      <c r="S90" s="110" t="s">
        <v>5486</v>
      </c>
      <c r="T90" s="110">
        <v>0.0</v>
      </c>
      <c r="U90" s="111" t="s">
        <v>175</v>
      </c>
      <c r="V90" s="111" t="s">
        <v>3762</v>
      </c>
      <c r="W90" s="111" t="s">
        <v>3764</v>
      </c>
      <c r="X90" s="111" t="s">
        <v>3765</v>
      </c>
      <c r="Y90" s="111" t="s">
        <v>3766</v>
      </c>
      <c r="Z90" s="111" t="s">
        <v>3767</v>
      </c>
      <c r="AA90" s="111" t="s">
        <v>3768</v>
      </c>
      <c r="AB90" s="111" t="s">
        <v>3769</v>
      </c>
      <c r="AC90" s="111" t="s">
        <v>3770</v>
      </c>
      <c r="AD90" s="112">
        <v>46150.444386574076</v>
      </c>
      <c r="AE90" s="111" t="s">
        <v>3772</v>
      </c>
      <c r="AF90" s="122"/>
      <c r="AG90" s="122"/>
      <c r="AH90" s="122"/>
    </row>
    <row r="91" ht="22.5" customHeight="1">
      <c r="A91" s="73"/>
      <c r="B91" s="73"/>
      <c r="C91" s="73"/>
      <c r="D91" s="73"/>
      <c r="E91" s="247" t="s">
        <v>5496</v>
      </c>
      <c r="F91" s="247" t="s">
        <v>5498</v>
      </c>
      <c r="G91" s="96">
        <f>IFERROR(__xludf.DUMMYFUNCTION("GOOGLEFINANCE(E91, ""price"")"),493.3)</f>
        <v>493.3</v>
      </c>
      <c r="H91" s="97">
        <f>IFERROR(__xludf.DUMMYFUNCTION("GOOGLEFINANCE(E91, ""low"")"),487.0)</f>
        <v>487</v>
      </c>
      <c r="I91" s="99">
        <f>IFERROR(__xludf.DUMMYFUNCTION("GOOGLEFINANCE(E91, ""high"")"),496.0)</f>
        <v>496</v>
      </c>
      <c r="J91" s="126"/>
      <c r="K91" s="106"/>
      <c r="L91" s="104">
        <v>39.07</v>
      </c>
      <c r="M91" s="104">
        <v>18.57</v>
      </c>
      <c r="N91" s="104">
        <v>9.79</v>
      </c>
      <c r="O91" s="104" t="s">
        <v>3253</v>
      </c>
      <c r="P91" s="104">
        <v>484.65</v>
      </c>
      <c r="Q91" s="153">
        <v>45827.32442396991</v>
      </c>
      <c r="R91" s="109" t="b">
        <v>0</v>
      </c>
      <c r="S91" s="110" t="s">
        <v>145</v>
      </c>
      <c r="T91" s="110">
        <v>0.0</v>
      </c>
      <c r="U91" s="111" t="s">
        <v>5496</v>
      </c>
      <c r="V91" s="111" t="s">
        <v>5183</v>
      </c>
      <c r="W91" s="111" t="s">
        <v>5184</v>
      </c>
      <c r="X91" s="118"/>
      <c r="Y91" s="118"/>
      <c r="Z91" s="118"/>
      <c r="AA91" s="118"/>
      <c r="AB91" s="118"/>
      <c r="AC91" s="111"/>
      <c r="AD91" s="112">
        <v>46030.37144675926</v>
      </c>
      <c r="AE91" s="111" t="s">
        <v>5505</v>
      </c>
      <c r="AF91" s="122"/>
      <c r="AG91" s="122"/>
      <c r="AH91" s="122"/>
    </row>
    <row r="92" ht="22.5" customHeight="1">
      <c r="A92" s="73"/>
      <c r="B92" s="73"/>
      <c r="C92" s="73"/>
      <c r="D92" s="73"/>
      <c r="E92" s="247" t="s">
        <v>612</v>
      </c>
      <c r="F92" s="247" t="s">
        <v>613</v>
      </c>
      <c r="G92" s="96">
        <f>IFERROR(__xludf.DUMMYFUNCTION("GOOGLEFINANCE(E92, ""price"")"),560.81)</f>
        <v>560.81</v>
      </c>
      <c r="H92" s="97">
        <f>IFERROR(__xludf.DUMMYFUNCTION("GOOGLEFINANCE(E92, ""low"")"),554.0)</f>
        <v>554</v>
      </c>
      <c r="I92" s="99">
        <f>IFERROR(__xludf.DUMMYFUNCTION("GOOGLEFINANCE(E92, ""high"")"),565.75)</f>
        <v>565.75</v>
      </c>
      <c r="J92" s="126"/>
      <c r="K92" s="106"/>
      <c r="L92" s="106"/>
      <c r="M92" s="106"/>
      <c r="N92" s="106"/>
      <c r="O92" s="104"/>
      <c r="P92" s="104">
        <v>588.03</v>
      </c>
      <c r="Q92" s="108">
        <v>45912.10145469908</v>
      </c>
      <c r="R92" s="109" t="b">
        <v>1</v>
      </c>
      <c r="S92" s="110" t="s">
        <v>5515</v>
      </c>
      <c r="T92" s="110">
        <v>0.0</v>
      </c>
      <c r="U92" s="111" t="s">
        <v>612</v>
      </c>
      <c r="V92" s="111" t="s">
        <v>3781</v>
      </c>
      <c r="W92" s="111" t="s">
        <v>3784</v>
      </c>
      <c r="X92" s="111" t="s">
        <v>3785</v>
      </c>
      <c r="Y92" s="111" t="s">
        <v>3786</v>
      </c>
      <c r="Z92" s="111" t="s">
        <v>3787</v>
      </c>
      <c r="AA92" s="111" t="s">
        <v>3788</v>
      </c>
      <c r="AB92" s="111" t="s">
        <v>3789</v>
      </c>
      <c r="AC92" s="111" t="s">
        <v>3790</v>
      </c>
      <c r="AD92" s="112">
        <v>46030.37144675926</v>
      </c>
      <c r="AE92" s="111" t="s">
        <v>2016</v>
      </c>
      <c r="AF92" s="122"/>
      <c r="AG92" s="122"/>
      <c r="AH92" s="122"/>
    </row>
    <row r="93" ht="22.5" customHeight="1">
      <c r="A93" s="73"/>
      <c r="B93" s="73"/>
      <c r="C93" s="73"/>
      <c r="D93" s="73"/>
      <c r="E93" s="117" t="s">
        <v>262</v>
      </c>
      <c r="F93" s="111" t="s">
        <v>263</v>
      </c>
      <c r="G93" s="96">
        <f>IFERROR(__xludf.DUMMYFUNCTION("GOOGLEFINANCE(E93, ""price"")"),55.11)</f>
        <v>55.11</v>
      </c>
      <c r="H93" s="118"/>
      <c r="I93" s="118"/>
      <c r="J93" s="135"/>
      <c r="K93" s="120"/>
      <c r="L93" s="120"/>
      <c r="M93" s="120"/>
      <c r="N93" s="120"/>
      <c r="O93" s="118"/>
      <c r="P93" s="120"/>
      <c r="Q93" s="121"/>
      <c r="R93" s="109" t="b">
        <v>1</v>
      </c>
      <c r="S93" s="110" t="s">
        <v>5528</v>
      </c>
      <c r="T93" s="110">
        <v>0.0</v>
      </c>
      <c r="U93" s="111" t="s">
        <v>262</v>
      </c>
      <c r="V93" s="111" t="s">
        <v>3803</v>
      </c>
      <c r="W93" s="111" t="s">
        <v>3805</v>
      </c>
      <c r="X93" s="111" t="s">
        <v>3806</v>
      </c>
      <c r="Y93" s="111" t="s">
        <v>3807</v>
      </c>
      <c r="Z93" s="111" t="s">
        <v>3808</v>
      </c>
      <c r="AA93" s="111" t="s">
        <v>3809</v>
      </c>
      <c r="AB93" s="111" t="s">
        <v>714</v>
      </c>
      <c r="AC93" s="111" t="s">
        <v>3810</v>
      </c>
      <c r="AD93" s="112">
        <v>46150.444386574076</v>
      </c>
      <c r="AE93" s="111" t="s">
        <v>3812</v>
      </c>
      <c r="AF93" s="122"/>
      <c r="AG93" s="122"/>
      <c r="AH93" s="122"/>
    </row>
    <row r="94" ht="22.5" customHeight="1">
      <c r="A94" s="73"/>
      <c r="B94" s="73"/>
      <c r="C94" s="73"/>
      <c r="D94" s="73"/>
      <c r="E94" s="127" t="s">
        <v>1336</v>
      </c>
      <c r="F94" s="110" t="s">
        <v>1338</v>
      </c>
      <c r="G94" s="96">
        <f>IFERROR(__xludf.DUMMYFUNCTION("GOOGLEFINANCE(E94, ""price"")"),75.23)</f>
        <v>75.23</v>
      </c>
      <c r="H94" s="97">
        <f>IFERROR(__xludf.DUMMYFUNCTION("GOOGLEFINANCE(E94, ""low"")"),73.77)</f>
        <v>73.77</v>
      </c>
      <c r="I94" s="99">
        <f>IFERROR(__xludf.DUMMYFUNCTION("GOOGLEFINANCE(E94, ""high"")"),75.77)</f>
        <v>75.77</v>
      </c>
      <c r="J94" s="144"/>
      <c r="K94" s="129">
        <v>12.7</v>
      </c>
      <c r="L94" s="129">
        <v>66.73</v>
      </c>
      <c r="M94" s="145"/>
      <c r="N94" s="145"/>
      <c r="O94" s="110" t="s">
        <v>1339</v>
      </c>
      <c r="P94" s="129">
        <v>63.5</v>
      </c>
      <c r="Q94" s="130">
        <v>45995.48168557871</v>
      </c>
      <c r="R94" s="131" t="b">
        <v>1</v>
      </c>
      <c r="S94" s="110" t="s">
        <v>5543</v>
      </c>
      <c r="T94" s="110">
        <v>0.0</v>
      </c>
      <c r="U94" s="110" t="s">
        <v>1336</v>
      </c>
      <c r="V94" s="110" t="s">
        <v>3828</v>
      </c>
      <c r="W94" s="110" t="s">
        <v>3829</v>
      </c>
      <c r="X94" s="110" t="s">
        <v>3833</v>
      </c>
      <c r="Y94" s="110" t="s">
        <v>3834</v>
      </c>
      <c r="Z94" s="110" t="s">
        <v>3837</v>
      </c>
      <c r="AA94" s="110" t="s">
        <v>3839</v>
      </c>
      <c r="AB94" s="110" t="s">
        <v>3840</v>
      </c>
      <c r="AC94" s="110" t="s">
        <v>3841</v>
      </c>
      <c r="AD94" s="132">
        <v>46030.37144675926</v>
      </c>
      <c r="AE94" s="110" t="s">
        <v>1963</v>
      </c>
      <c r="AF94" s="133"/>
      <c r="AG94" s="133"/>
      <c r="AH94" s="133"/>
    </row>
    <row r="95" ht="22.5" customHeight="1">
      <c r="A95" s="73"/>
      <c r="B95" s="149" t="s">
        <v>327</v>
      </c>
      <c r="C95" s="150">
        <f>now()</f>
        <v>46288.71545</v>
      </c>
      <c r="D95" s="73"/>
      <c r="E95" s="117" t="s">
        <v>3848</v>
      </c>
      <c r="F95" s="111" t="s">
        <v>3851</v>
      </c>
      <c r="G95" s="96">
        <f>IFERROR(__xludf.DUMMYFUNCTION("GOOGLEFINANCE(E95, ""price"")"),437.21)</f>
        <v>437.21</v>
      </c>
      <c r="H95" s="118"/>
      <c r="I95" s="118"/>
      <c r="J95" s="119"/>
      <c r="K95" s="120"/>
      <c r="L95" s="120"/>
      <c r="M95" s="120"/>
      <c r="N95" s="120"/>
      <c r="O95" s="118"/>
      <c r="P95" s="120"/>
      <c r="Q95" s="121"/>
      <c r="R95" s="109" t="b">
        <v>1</v>
      </c>
      <c r="S95" s="110" t="s">
        <v>5557</v>
      </c>
      <c r="T95" s="110">
        <v>0.0</v>
      </c>
      <c r="U95" s="111" t="s">
        <v>3848</v>
      </c>
      <c r="V95" s="111" t="s">
        <v>3856</v>
      </c>
      <c r="W95" s="111" t="s">
        <v>3858</v>
      </c>
      <c r="X95" s="111" t="s">
        <v>3861</v>
      </c>
      <c r="Y95" s="111" t="s">
        <v>3864</v>
      </c>
      <c r="Z95" s="111" t="s">
        <v>3865</v>
      </c>
      <c r="AA95" s="111" t="s">
        <v>3867</v>
      </c>
      <c r="AB95" s="111" t="s">
        <v>3870</v>
      </c>
      <c r="AC95" s="111" t="s">
        <v>3871</v>
      </c>
      <c r="AD95" s="112">
        <v>46031.913125</v>
      </c>
      <c r="AE95" s="111" t="s">
        <v>3876</v>
      </c>
      <c r="AF95" s="122"/>
      <c r="AG95" s="122"/>
      <c r="AH95" s="122"/>
    </row>
    <row r="96" ht="22.5" customHeight="1">
      <c r="A96" s="73"/>
      <c r="B96" s="73"/>
      <c r="C96" s="73"/>
      <c r="D96" s="73"/>
      <c r="E96" s="117" t="s">
        <v>157</v>
      </c>
      <c r="F96" s="111" t="s">
        <v>158</v>
      </c>
      <c r="G96" s="96">
        <f>IFERROR(__xludf.DUMMYFUNCTION("GOOGLEFINANCE(E96, ""price"")"),12.09)</f>
        <v>12.09</v>
      </c>
      <c r="H96" s="118"/>
      <c r="I96" s="118"/>
      <c r="J96" s="119"/>
      <c r="K96" s="120"/>
      <c r="L96" s="120"/>
      <c r="M96" s="120"/>
      <c r="N96" s="120"/>
      <c r="O96" s="118"/>
      <c r="P96" s="120"/>
      <c r="Q96" s="121"/>
      <c r="R96" s="109" t="b">
        <v>1</v>
      </c>
      <c r="S96" s="110" t="s">
        <v>5562</v>
      </c>
      <c r="T96" s="110">
        <v>0.0</v>
      </c>
      <c r="U96" s="111" t="s">
        <v>157</v>
      </c>
      <c r="V96" s="111" t="s">
        <v>3890</v>
      </c>
      <c r="W96" s="111" t="s">
        <v>3891</v>
      </c>
      <c r="X96" s="111" t="s">
        <v>3892</v>
      </c>
      <c r="Y96" s="111" t="s">
        <v>3895</v>
      </c>
      <c r="Z96" s="111" t="s">
        <v>3896</v>
      </c>
      <c r="AA96" s="111" t="s">
        <v>3897</v>
      </c>
      <c r="AB96" s="111" t="s">
        <v>1837</v>
      </c>
      <c r="AC96" s="111" t="s">
        <v>3900</v>
      </c>
      <c r="AD96" s="112">
        <v>46030.37144675926</v>
      </c>
      <c r="AE96" s="111" t="s">
        <v>1876</v>
      </c>
      <c r="AF96" s="122"/>
      <c r="AG96" s="122"/>
      <c r="AH96" s="122"/>
    </row>
    <row r="97" ht="22.5" customHeight="1">
      <c r="A97" s="73"/>
      <c r="B97" s="73"/>
      <c r="C97" s="73"/>
      <c r="D97" s="73"/>
      <c r="E97" s="117" t="s">
        <v>3915</v>
      </c>
      <c r="F97" s="111" t="s">
        <v>3919</v>
      </c>
      <c r="G97" s="96">
        <f>IFERROR(__xludf.DUMMYFUNCTION("GOOGLEFINANCE(E97, ""price"")"),0.32)</f>
        <v>0.32</v>
      </c>
      <c r="H97" s="118"/>
      <c r="I97" s="118"/>
      <c r="J97" s="119"/>
      <c r="K97" s="120"/>
      <c r="L97" s="120"/>
      <c r="M97" s="120"/>
      <c r="N97" s="120"/>
      <c r="O97" s="118"/>
      <c r="P97" s="120"/>
      <c r="Q97" s="121"/>
      <c r="R97" s="109" t="b">
        <v>1</v>
      </c>
      <c r="S97" s="110" t="s">
        <v>5579</v>
      </c>
      <c r="T97" s="110">
        <v>0.0</v>
      </c>
      <c r="U97" s="111" t="s">
        <v>3915</v>
      </c>
      <c r="V97" s="111" t="s">
        <v>3932</v>
      </c>
      <c r="W97" s="111" t="s">
        <v>3933</v>
      </c>
      <c r="X97" s="111" t="s">
        <v>3935</v>
      </c>
      <c r="Y97" s="111" t="s">
        <v>3936</v>
      </c>
      <c r="Z97" s="111" t="s">
        <v>3937</v>
      </c>
      <c r="AA97" s="111" t="s">
        <v>3938</v>
      </c>
      <c r="AB97" s="111" t="s">
        <v>3940</v>
      </c>
      <c r="AC97" s="111" t="s">
        <v>3942</v>
      </c>
      <c r="AD97" s="112">
        <v>46030.37144675926</v>
      </c>
      <c r="AE97" s="111" t="s">
        <v>3944</v>
      </c>
      <c r="AF97" s="122"/>
      <c r="AG97" s="122"/>
      <c r="AH97" s="122"/>
    </row>
    <row r="98" ht="22.5" customHeight="1">
      <c r="A98" s="73"/>
      <c r="B98" s="73"/>
      <c r="C98" s="73"/>
      <c r="D98" s="73"/>
      <c r="E98" s="160" t="s">
        <v>3139</v>
      </c>
      <c r="F98" s="125" t="s">
        <v>3948</v>
      </c>
      <c r="G98" s="96">
        <f>IFERROR(__xludf.DUMMYFUNCTION("GOOGLEFINANCE(E98, ""price"")"),754.12)</f>
        <v>754.12</v>
      </c>
      <c r="H98" s="97">
        <f>IFERROR(__xludf.DUMMYFUNCTION("GOOGLEFINANCE(E98, ""low"")"),739.51)</f>
        <v>739.51</v>
      </c>
      <c r="I98" s="99">
        <f>IFERROR(__xludf.DUMMYFUNCTION("GOOGLEFINANCE(E98, ""high"")"),763.9)</f>
        <v>763.9</v>
      </c>
      <c r="J98" s="126"/>
      <c r="K98" s="104">
        <v>-7.0</v>
      </c>
      <c r="L98" s="104">
        <v>51.23</v>
      </c>
      <c r="M98" s="104">
        <v>27.21</v>
      </c>
      <c r="N98" s="104">
        <v>14.06</v>
      </c>
      <c r="O98" s="125" t="s">
        <v>197</v>
      </c>
      <c r="P98" s="104">
        <v>705.8</v>
      </c>
      <c r="Q98" s="108">
        <v>45855.34063770833</v>
      </c>
      <c r="R98" s="109" t="b">
        <v>1</v>
      </c>
      <c r="S98" s="110" t="s">
        <v>5590</v>
      </c>
      <c r="T98" s="110">
        <v>0.0</v>
      </c>
      <c r="U98" s="111" t="s">
        <v>3139</v>
      </c>
      <c r="V98" s="111" t="s">
        <v>3958</v>
      </c>
      <c r="W98" s="111" t="s">
        <v>3959</v>
      </c>
      <c r="X98" s="111" t="s">
        <v>3962</v>
      </c>
      <c r="Y98" s="111" t="s">
        <v>3965</v>
      </c>
      <c r="Z98" s="111" t="s">
        <v>3966</v>
      </c>
      <c r="AA98" s="111" t="s">
        <v>3967</v>
      </c>
      <c r="AB98" s="111" t="s">
        <v>3968</v>
      </c>
      <c r="AC98" s="111" t="s">
        <v>3969</v>
      </c>
      <c r="AD98" s="112">
        <v>46030.37144675926</v>
      </c>
      <c r="AE98" s="111" t="s">
        <v>3970</v>
      </c>
      <c r="AF98" s="122"/>
      <c r="AG98" s="122"/>
      <c r="AH98" s="122"/>
    </row>
    <row r="99" ht="22.5" customHeight="1">
      <c r="A99" s="73"/>
      <c r="B99" s="73"/>
      <c r="C99" s="73"/>
      <c r="D99" s="73"/>
      <c r="E99" s="248" t="s">
        <v>3972</v>
      </c>
      <c r="F99" s="249" t="s">
        <v>3974</v>
      </c>
      <c r="G99" s="96">
        <f>IFERROR(__xludf.DUMMYFUNCTION("GOOGLEFINANCE(E99, ""price"")"),87.51)</f>
        <v>87.51</v>
      </c>
      <c r="H99" s="97">
        <f>IFERROR(__xludf.DUMMYFUNCTION("GOOGLEFINANCE(E99, ""low"")"),83.51)</f>
        <v>83.51</v>
      </c>
      <c r="I99" s="99">
        <f>IFERROR(__xludf.DUMMYFUNCTION("GOOGLEFINANCE(E99, ""high"")"),90.76)</f>
        <v>90.76</v>
      </c>
      <c r="J99" s="126"/>
      <c r="K99" s="106"/>
      <c r="L99" s="106"/>
      <c r="M99" s="106"/>
      <c r="N99" s="106"/>
      <c r="O99" s="104"/>
      <c r="P99" s="104">
        <v>316.01</v>
      </c>
      <c r="Q99" s="108">
        <v>45707.2548800463</v>
      </c>
      <c r="R99" s="109" t="b">
        <v>1</v>
      </c>
      <c r="S99" s="110" t="s">
        <v>5604</v>
      </c>
      <c r="T99" s="110">
        <v>0.0</v>
      </c>
      <c r="U99" s="111" t="s">
        <v>3972</v>
      </c>
      <c r="V99" s="111" t="s">
        <v>3989</v>
      </c>
      <c r="W99" s="111" t="s">
        <v>3991</v>
      </c>
      <c r="X99" s="111" t="s">
        <v>3993</v>
      </c>
      <c r="Y99" s="111" t="s">
        <v>3996</v>
      </c>
      <c r="Z99" s="111" t="s">
        <v>3997</v>
      </c>
      <c r="AA99" s="111" t="s">
        <v>3998</v>
      </c>
      <c r="AB99" s="111" t="s">
        <v>4001</v>
      </c>
      <c r="AC99" s="111" t="s">
        <v>4002</v>
      </c>
      <c r="AD99" s="112">
        <v>46030.37144675926</v>
      </c>
      <c r="AE99" s="111" t="s">
        <v>4005</v>
      </c>
      <c r="AF99" s="122"/>
      <c r="AG99" s="122"/>
      <c r="AH99" s="122"/>
    </row>
    <row r="100" ht="22.5" customHeight="1">
      <c r="A100" s="73"/>
      <c r="B100" s="73"/>
      <c r="C100" s="73"/>
      <c r="D100" s="73"/>
      <c r="E100" s="127" t="s">
        <v>597</v>
      </c>
      <c r="F100" s="110" t="s">
        <v>598</v>
      </c>
      <c r="G100" s="96">
        <f>IFERROR(__xludf.DUMMYFUNCTION("GOOGLEFINANCE(E100, ""price"")"),184.69)</f>
        <v>184.69</v>
      </c>
      <c r="H100" s="97">
        <f>IFERROR(__xludf.DUMMYFUNCTION("GOOGLEFINANCE(E100, ""low"")"),182.6)</f>
        <v>182.6</v>
      </c>
      <c r="I100" s="99">
        <f>IFERROR(__xludf.DUMMYFUNCTION("GOOGLEFINANCE(E100, ""high"")"),192.31)</f>
        <v>192.31</v>
      </c>
      <c r="J100" s="128"/>
      <c r="K100" s="129">
        <v>5.14</v>
      </c>
      <c r="L100" s="129">
        <v>67.62</v>
      </c>
      <c r="M100" s="129">
        <v>23.09</v>
      </c>
      <c r="N100" s="129">
        <v>1.35</v>
      </c>
      <c r="O100" s="110" t="s">
        <v>170</v>
      </c>
      <c r="P100" s="129">
        <v>30.54</v>
      </c>
      <c r="Q100" s="130">
        <v>45841.41908578704</v>
      </c>
      <c r="R100" s="131" t="b">
        <v>1</v>
      </c>
      <c r="S100" s="110" t="s">
        <v>5617</v>
      </c>
      <c r="T100" s="110">
        <v>0.0</v>
      </c>
      <c r="U100" s="110" t="s">
        <v>597</v>
      </c>
      <c r="V100" s="110" t="s">
        <v>4056</v>
      </c>
      <c r="W100" s="110" t="s">
        <v>4057</v>
      </c>
      <c r="X100" s="110" t="s">
        <v>4058</v>
      </c>
      <c r="Y100" s="110" t="s">
        <v>4059</v>
      </c>
      <c r="Z100" s="110" t="s">
        <v>4060</v>
      </c>
      <c r="AA100" s="110" t="s">
        <v>4061</v>
      </c>
      <c r="AB100" s="110" t="s">
        <v>4062</v>
      </c>
      <c r="AC100" s="110" t="s">
        <v>4063</v>
      </c>
      <c r="AD100" s="132">
        <v>46030.37144675926</v>
      </c>
      <c r="AE100" s="110" t="s">
        <v>4064</v>
      </c>
      <c r="AF100" s="133"/>
      <c r="AG100" s="133"/>
      <c r="AH100" s="133"/>
    </row>
    <row r="101" ht="22.5" customHeight="1">
      <c r="A101" s="73"/>
      <c r="B101" s="73"/>
      <c r="C101" s="73"/>
      <c r="D101" s="73"/>
      <c r="E101" s="127" t="s">
        <v>1424</v>
      </c>
      <c r="F101" s="110" t="s">
        <v>1425</v>
      </c>
      <c r="G101" s="96">
        <f>IFERROR(__xludf.DUMMYFUNCTION("GOOGLEFINANCE(E101, ""price"")"),258.87)</f>
        <v>258.87</v>
      </c>
      <c r="H101" s="97">
        <f>IFERROR(__xludf.DUMMYFUNCTION("GOOGLEFINANCE(E101, ""low"")"),254.0)</f>
        <v>254</v>
      </c>
      <c r="I101" s="99">
        <f>IFERROR(__xludf.DUMMYFUNCTION("GOOGLEFINANCE(E101, ""high"")"),266.0)</f>
        <v>266</v>
      </c>
      <c r="J101" s="144"/>
      <c r="K101" s="145"/>
      <c r="L101" s="145"/>
      <c r="M101" s="145"/>
      <c r="N101" s="145"/>
      <c r="O101" s="143"/>
      <c r="P101" s="145"/>
      <c r="Q101" s="130"/>
      <c r="R101" s="131" t="b">
        <v>1</v>
      </c>
      <c r="S101" s="110" t="s">
        <v>5632</v>
      </c>
      <c r="T101" s="110">
        <v>0.0</v>
      </c>
      <c r="U101" s="110" t="s">
        <v>1424</v>
      </c>
      <c r="V101" s="110" t="s">
        <v>4091</v>
      </c>
      <c r="W101" s="110" t="s">
        <v>4092</v>
      </c>
      <c r="X101" s="110" t="s">
        <v>4094</v>
      </c>
      <c r="Y101" s="110" t="s">
        <v>4096</v>
      </c>
      <c r="Z101" s="110" t="s">
        <v>4100</v>
      </c>
      <c r="AA101" s="110" t="s">
        <v>4103</v>
      </c>
      <c r="AB101" s="110" t="s">
        <v>1243</v>
      </c>
      <c r="AC101" s="110" t="s">
        <v>4107</v>
      </c>
      <c r="AD101" s="132">
        <v>46030.37144675926</v>
      </c>
      <c r="AE101" s="110" t="s">
        <v>2020</v>
      </c>
      <c r="AF101" s="133"/>
      <c r="AG101" s="133"/>
      <c r="AH101" s="133"/>
    </row>
    <row r="102" ht="22.5" customHeight="1">
      <c r="A102" s="73"/>
      <c r="B102" s="73"/>
      <c r="C102" s="73"/>
      <c r="D102" s="73"/>
      <c r="E102" s="127" t="s">
        <v>254</v>
      </c>
      <c r="F102" s="110" t="s">
        <v>255</v>
      </c>
      <c r="G102" s="96">
        <f>IFERROR(__xludf.DUMMYFUNCTION("GOOGLEFINANCE(E102, ""price"")"),498.95)</f>
        <v>498.95</v>
      </c>
      <c r="H102" s="97">
        <f>IFERROR(__xludf.DUMMYFUNCTION("GOOGLEFINANCE(E102, ""low"")"),493.65)</f>
        <v>493.65</v>
      </c>
      <c r="I102" s="99">
        <f>IFERROR(__xludf.DUMMYFUNCTION("GOOGLEFINANCE(E102, ""high"")"),509.44)</f>
        <v>509.44</v>
      </c>
      <c r="J102" s="128"/>
      <c r="K102" s="145"/>
      <c r="L102" s="145"/>
      <c r="M102" s="145"/>
      <c r="N102" s="145"/>
      <c r="O102" s="145"/>
      <c r="P102" s="145"/>
      <c r="Q102" s="130"/>
      <c r="R102" s="131" t="b">
        <v>1</v>
      </c>
      <c r="S102" s="110" t="s">
        <v>5646</v>
      </c>
      <c r="T102" s="110">
        <v>0.0</v>
      </c>
      <c r="U102" s="110" t="s">
        <v>254</v>
      </c>
      <c r="V102" s="110" t="s">
        <v>4132</v>
      </c>
      <c r="W102" s="110" t="s">
        <v>4134</v>
      </c>
      <c r="X102" s="110" t="s">
        <v>4135</v>
      </c>
      <c r="Y102" s="110" t="s">
        <v>4136</v>
      </c>
      <c r="Z102" s="110" t="s">
        <v>4139</v>
      </c>
      <c r="AA102" s="110" t="s">
        <v>4140</v>
      </c>
      <c r="AB102" s="110" t="s">
        <v>4143</v>
      </c>
      <c r="AC102" s="110" t="s">
        <v>4145</v>
      </c>
      <c r="AD102" s="132">
        <v>46030.37144675926</v>
      </c>
      <c r="AE102" s="110" t="s">
        <v>4147</v>
      </c>
      <c r="AF102" s="133"/>
      <c r="AG102" s="133"/>
      <c r="AH102" s="133"/>
    </row>
    <row r="103" ht="22.5" customHeight="1">
      <c r="A103" s="73"/>
      <c r="B103" s="73"/>
      <c r="C103" s="73"/>
      <c r="D103" s="73"/>
      <c r="E103" s="117" t="s">
        <v>4152</v>
      </c>
      <c r="F103" s="111" t="s">
        <v>4154</v>
      </c>
      <c r="G103" s="96">
        <f>IFERROR(__xludf.DUMMYFUNCTION("GOOGLEFINANCE(E103, ""price"")"),1075.49)</f>
        <v>1075.49</v>
      </c>
      <c r="H103" s="118"/>
      <c r="I103" s="118"/>
      <c r="J103" s="119"/>
      <c r="K103" s="120"/>
      <c r="L103" s="120"/>
      <c r="M103" s="120"/>
      <c r="N103" s="120"/>
      <c r="O103" s="118"/>
      <c r="P103" s="120"/>
      <c r="Q103" s="121"/>
      <c r="R103" s="109" t="b">
        <v>1</v>
      </c>
      <c r="S103" s="110" t="s">
        <v>5654</v>
      </c>
      <c r="T103" s="110">
        <v>0.0</v>
      </c>
      <c r="U103" s="111" t="s">
        <v>4152</v>
      </c>
      <c r="V103" s="111" t="s">
        <v>4173</v>
      </c>
      <c r="W103" s="111" t="s">
        <v>4176</v>
      </c>
      <c r="X103" s="111" t="s">
        <v>4178</v>
      </c>
      <c r="Y103" s="111" t="s">
        <v>4180</v>
      </c>
      <c r="Z103" s="111" t="s">
        <v>4182</v>
      </c>
      <c r="AA103" s="111" t="s">
        <v>4184</v>
      </c>
      <c r="AB103" s="111" t="s">
        <v>3057</v>
      </c>
      <c r="AC103" s="111" t="s">
        <v>4185</v>
      </c>
      <c r="AD103" s="112">
        <v>46150.444386574076</v>
      </c>
      <c r="AE103" s="111" t="s">
        <v>4186</v>
      </c>
      <c r="AF103" s="122"/>
      <c r="AG103" s="122"/>
      <c r="AH103" s="122"/>
    </row>
    <row r="104" ht="22.5" customHeight="1">
      <c r="A104" s="73"/>
      <c r="B104" s="73"/>
      <c r="C104" s="73"/>
      <c r="D104" s="73"/>
      <c r="E104" s="250" t="s">
        <v>68</v>
      </c>
      <c r="F104" s="125" t="s">
        <v>787</v>
      </c>
      <c r="G104" s="96">
        <f>IFERROR(__xludf.DUMMYFUNCTION("GOOGLEFINANCE(E104, ""price"")"),358.42)</f>
        <v>358.42</v>
      </c>
      <c r="H104" s="97">
        <f>IFERROR(__xludf.DUMMYFUNCTION("GOOGLEFINANCE(E104, ""low"")"),345.3)</f>
        <v>345.3</v>
      </c>
      <c r="I104" s="99">
        <f>IFERROR(__xludf.DUMMYFUNCTION("GOOGLEFINANCE(E104, ""high"")"),364.23)</f>
        <v>364.23</v>
      </c>
      <c r="J104" s="152"/>
      <c r="K104" s="104">
        <v>-11.0</v>
      </c>
      <c r="L104" s="104">
        <v>54.75</v>
      </c>
      <c r="M104" s="104">
        <v>29.18</v>
      </c>
      <c r="N104" s="104">
        <v>6.52</v>
      </c>
      <c r="O104" s="125" t="s">
        <v>197</v>
      </c>
      <c r="P104" s="104">
        <v>184.62</v>
      </c>
      <c r="Q104" s="108">
        <v>45853.691538831015</v>
      </c>
      <c r="R104" s="109" t="b">
        <v>1</v>
      </c>
      <c r="S104" s="110" t="s">
        <v>5663</v>
      </c>
      <c r="T104" s="110">
        <v>0.0</v>
      </c>
      <c r="U104" s="111" t="s">
        <v>68</v>
      </c>
      <c r="V104" s="111" t="s">
        <v>4207</v>
      </c>
      <c r="W104" s="111" t="s">
        <v>4209</v>
      </c>
      <c r="X104" s="111" t="s">
        <v>4210</v>
      </c>
      <c r="Y104" s="111" t="s">
        <v>4211</v>
      </c>
      <c r="Z104" s="111" t="s">
        <v>4212</v>
      </c>
      <c r="AA104" s="111" t="s">
        <v>4214</v>
      </c>
      <c r="AB104" s="111" t="s">
        <v>804</v>
      </c>
      <c r="AC104" s="111" t="s">
        <v>4218</v>
      </c>
      <c r="AD104" s="112">
        <v>46030.37144675926</v>
      </c>
      <c r="AE104" s="111" t="s">
        <v>4222</v>
      </c>
      <c r="AF104" s="122"/>
      <c r="AG104" s="122"/>
      <c r="AH104" s="122"/>
    </row>
    <row r="105" ht="22.5" customHeight="1">
      <c r="A105" s="73"/>
      <c r="B105" s="73"/>
      <c r="C105" s="73"/>
      <c r="D105" s="73"/>
      <c r="E105" s="134" t="s">
        <v>1397</v>
      </c>
      <c r="F105" s="134" t="s">
        <v>1398</v>
      </c>
      <c r="G105" s="96">
        <f>IFERROR(__xludf.DUMMYFUNCTION("GOOGLEFINANCE(E105, ""price"")"),71.44)</f>
        <v>71.44</v>
      </c>
      <c r="H105" s="97">
        <f>IFERROR(__xludf.DUMMYFUNCTION("GOOGLEFINANCE(E105, ""low"")"),71.07)</f>
        <v>71.07</v>
      </c>
      <c r="I105" s="99">
        <f>IFERROR(__xludf.DUMMYFUNCTION("GOOGLEFINANCE(E105, ""high"")"),72.37)</f>
        <v>72.37</v>
      </c>
      <c r="J105" s="126"/>
      <c r="K105" s="104">
        <v>26.83</v>
      </c>
      <c r="L105" s="104">
        <v>68.29</v>
      </c>
      <c r="M105" s="104">
        <v>30.74</v>
      </c>
      <c r="N105" s="104">
        <v>24.79</v>
      </c>
      <c r="O105" s="125" t="s">
        <v>170</v>
      </c>
      <c r="P105" s="104">
        <v>1218.85</v>
      </c>
      <c r="Q105" s="108">
        <v>45812.24753260417</v>
      </c>
      <c r="R105" s="109" t="b">
        <v>1</v>
      </c>
      <c r="S105" s="110" t="s">
        <v>5673</v>
      </c>
      <c r="T105" s="110">
        <v>0.0</v>
      </c>
      <c r="U105" s="111" t="s">
        <v>1397</v>
      </c>
      <c r="V105" s="111" t="s">
        <v>4250</v>
      </c>
      <c r="W105" s="111" t="s">
        <v>4251</v>
      </c>
      <c r="X105" s="111" t="s">
        <v>4253</v>
      </c>
      <c r="Y105" s="111" t="s">
        <v>4255</v>
      </c>
      <c r="Z105" s="111" t="s">
        <v>4256</v>
      </c>
      <c r="AA105" s="111" t="s">
        <v>4258</v>
      </c>
      <c r="AB105" s="111" t="s">
        <v>4259</v>
      </c>
      <c r="AC105" s="111" t="s">
        <v>4260</v>
      </c>
      <c r="AD105" s="112">
        <v>46030.37144675926</v>
      </c>
      <c r="AE105" s="111" t="s">
        <v>4261</v>
      </c>
      <c r="AF105" s="122"/>
      <c r="AG105" s="122"/>
      <c r="AH105" s="122"/>
    </row>
    <row r="106" ht="22.5" customHeight="1">
      <c r="A106" s="73"/>
      <c r="B106" s="73"/>
      <c r="C106" s="73"/>
      <c r="D106" s="73"/>
      <c r="E106" s="125" t="s">
        <v>4266</v>
      </c>
      <c r="F106" s="125" t="s">
        <v>4268</v>
      </c>
      <c r="G106" s="96">
        <f>IFERROR(__xludf.DUMMYFUNCTION("GOOGLEFINANCE(E106, ""price"")"),36.28)</f>
        <v>36.28</v>
      </c>
      <c r="H106" s="97">
        <f>IFERROR(__xludf.DUMMYFUNCTION("GOOGLEFINANCE(E106, ""low"")"),35.78)</f>
        <v>35.78</v>
      </c>
      <c r="I106" s="99">
        <f>IFERROR(__xludf.DUMMYFUNCTION("GOOGLEFINANCE(E106, ""high"")"),36.62)</f>
        <v>36.62</v>
      </c>
      <c r="J106" s="152"/>
      <c r="K106" s="106"/>
      <c r="L106" s="106"/>
      <c r="M106" s="106"/>
      <c r="N106" s="106"/>
      <c r="O106" s="105"/>
      <c r="P106" s="106">
        <v>76.78</v>
      </c>
      <c r="Q106" s="108">
        <v>46219.377022280096</v>
      </c>
      <c r="R106" s="109" t="b">
        <v>1</v>
      </c>
      <c r="S106" s="110" t="s">
        <v>5685</v>
      </c>
      <c r="T106" s="110">
        <v>0.0</v>
      </c>
      <c r="U106" s="111" t="s">
        <v>4266</v>
      </c>
      <c r="V106" s="111" t="s">
        <v>4288</v>
      </c>
      <c r="W106" s="111" t="s">
        <v>4289</v>
      </c>
      <c r="X106" s="111" t="s">
        <v>4290</v>
      </c>
      <c r="Y106" s="111" t="s">
        <v>4292</v>
      </c>
      <c r="Z106" s="111" t="s">
        <v>4295</v>
      </c>
      <c r="AA106" s="111" t="s">
        <v>3809</v>
      </c>
      <c r="AB106" s="111" t="s">
        <v>315</v>
      </c>
      <c r="AC106" s="111" t="s">
        <v>4296</v>
      </c>
      <c r="AD106" s="112">
        <v>46030.37144675926</v>
      </c>
      <c r="AE106" s="111" t="s">
        <v>4300</v>
      </c>
      <c r="AF106" s="122"/>
      <c r="AG106" s="122"/>
      <c r="AH106" s="122"/>
    </row>
    <row r="107" ht="22.5" customHeight="1">
      <c r="A107" s="73"/>
      <c r="B107" s="73"/>
      <c r="C107" s="73"/>
      <c r="D107" s="73"/>
      <c r="E107" s="251" t="s">
        <v>79</v>
      </c>
      <c r="F107" s="125" t="s">
        <v>4310</v>
      </c>
      <c r="G107" s="96">
        <f>IFERROR(__xludf.DUMMYFUNCTION("GOOGLEFINANCE(E107, ""price"")"),33.78)</f>
        <v>33.78</v>
      </c>
      <c r="H107" s="97">
        <f>IFERROR(__xludf.DUMMYFUNCTION("GOOGLEFINANCE(E107, ""low"")"),33.75)</f>
        <v>33.75</v>
      </c>
      <c r="I107" s="99">
        <f>IFERROR(__xludf.DUMMYFUNCTION("GOOGLEFINANCE(E107, ""high"")"),34.82)</f>
        <v>34.82</v>
      </c>
      <c r="J107" s="126"/>
      <c r="K107" s="104">
        <v>-1.26</v>
      </c>
      <c r="L107" s="104">
        <v>52.42</v>
      </c>
      <c r="M107" s="104">
        <v>17.96</v>
      </c>
      <c r="N107" s="104">
        <v>2.75</v>
      </c>
      <c r="O107" s="125" t="s">
        <v>4324</v>
      </c>
      <c r="P107" s="106">
        <v>82.41</v>
      </c>
      <c r="Q107" s="108">
        <v>45708.41444143519</v>
      </c>
      <c r="R107" s="109" t="b">
        <v>1</v>
      </c>
      <c r="S107" s="110" t="s">
        <v>5700</v>
      </c>
      <c r="T107" s="110">
        <v>0.0</v>
      </c>
      <c r="U107" s="111" t="s">
        <v>79</v>
      </c>
      <c r="V107" s="111" t="s">
        <v>4335</v>
      </c>
      <c r="W107" s="111" t="s">
        <v>1495</v>
      </c>
      <c r="X107" s="111" t="s">
        <v>4339</v>
      </c>
      <c r="Y107" s="111" t="s">
        <v>4341</v>
      </c>
      <c r="Z107" s="111" t="s">
        <v>4343</v>
      </c>
      <c r="AA107" s="111" t="s">
        <v>4344</v>
      </c>
      <c r="AB107" s="111" t="s">
        <v>2730</v>
      </c>
      <c r="AC107" s="111" t="s">
        <v>4346</v>
      </c>
      <c r="AD107" s="112">
        <v>46030.37144675926</v>
      </c>
      <c r="AE107" s="111" t="s">
        <v>4347</v>
      </c>
      <c r="AF107" s="122"/>
      <c r="AG107" s="122"/>
      <c r="AH107" s="122"/>
    </row>
    <row r="108" ht="22.5" customHeight="1">
      <c r="A108" s="73"/>
      <c r="B108" s="73"/>
      <c r="C108" s="73"/>
      <c r="D108" s="73"/>
      <c r="E108" s="127" t="s">
        <v>766</v>
      </c>
      <c r="F108" s="110" t="s">
        <v>4352</v>
      </c>
      <c r="G108" s="96">
        <f>IFERROR(__xludf.DUMMYFUNCTION("GOOGLEFINANCE(E108, ""price"")"),140.29)</f>
        <v>140.29</v>
      </c>
      <c r="H108" s="97">
        <f>IFERROR(__xludf.DUMMYFUNCTION("GOOGLEFINANCE(E108, ""low"")"),136.15)</f>
        <v>136.15</v>
      </c>
      <c r="I108" s="99">
        <f>IFERROR(__xludf.DUMMYFUNCTION("GOOGLEFINANCE(E108, ""high"")"),141.54)</f>
        <v>141.54</v>
      </c>
      <c r="J108" s="128"/>
      <c r="K108" s="145"/>
      <c r="L108" s="145"/>
      <c r="M108" s="145"/>
      <c r="N108" s="145"/>
      <c r="O108" s="143"/>
      <c r="P108" s="129">
        <v>1039.55</v>
      </c>
      <c r="Q108" s="130">
        <v>45793.51152741898</v>
      </c>
      <c r="R108" s="131" t="b">
        <v>1</v>
      </c>
      <c r="S108" s="110" t="s">
        <v>5707</v>
      </c>
      <c r="T108" s="110">
        <v>0.0</v>
      </c>
      <c r="U108" s="110" t="s">
        <v>766</v>
      </c>
      <c r="V108" s="110" t="s">
        <v>4367</v>
      </c>
      <c r="W108" s="110" t="s">
        <v>2397</v>
      </c>
      <c r="X108" s="110" t="s">
        <v>4371</v>
      </c>
      <c r="Y108" s="110" t="s">
        <v>4373</v>
      </c>
      <c r="Z108" s="110" t="s">
        <v>4375</v>
      </c>
      <c r="AA108" s="110" t="s">
        <v>4376</v>
      </c>
      <c r="AB108" s="110" t="s">
        <v>1352</v>
      </c>
      <c r="AC108" s="110" t="s">
        <v>4377</v>
      </c>
      <c r="AD108" s="132">
        <v>46030.37144675926</v>
      </c>
      <c r="AE108" s="110" t="s">
        <v>4381</v>
      </c>
      <c r="AF108" s="133"/>
      <c r="AG108" s="133"/>
      <c r="AH108" s="133"/>
    </row>
    <row r="109" ht="22.5" customHeight="1">
      <c r="A109" s="73"/>
      <c r="B109" s="73"/>
      <c r="C109" s="73"/>
      <c r="D109" s="73"/>
      <c r="E109" s="117" t="s">
        <v>920</v>
      </c>
      <c r="F109" s="111" t="s">
        <v>921</v>
      </c>
      <c r="G109" s="96">
        <f>IFERROR(__xludf.DUMMYFUNCTION("GOOGLEFINANCE(E109, ""price"")"),248.65)</f>
        <v>248.65</v>
      </c>
      <c r="H109" s="118"/>
      <c r="I109" s="118"/>
      <c r="J109" s="119"/>
      <c r="K109" s="120"/>
      <c r="L109" s="120"/>
      <c r="M109" s="120"/>
      <c r="N109" s="120"/>
      <c r="O109" s="118"/>
      <c r="P109" s="120"/>
      <c r="Q109" s="121"/>
      <c r="R109" s="109" t="b">
        <v>1</v>
      </c>
      <c r="S109" s="110" t="s">
        <v>5713</v>
      </c>
      <c r="T109" s="110">
        <v>0.0</v>
      </c>
      <c r="U109" s="111" t="s">
        <v>920</v>
      </c>
      <c r="V109" s="111" t="s">
        <v>4399</v>
      </c>
      <c r="W109" s="111" t="s">
        <v>4402</v>
      </c>
      <c r="X109" s="111" t="s">
        <v>4403</v>
      </c>
      <c r="Y109" s="111" t="s">
        <v>4404</v>
      </c>
      <c r="Z109" s="111" t="s">
        <v>4406</v>
      </c>
      <c r="AA109" s="111" t="s">
        <v>4407</v>
      </c>
      <c r="AB109" s="111" t="s">
        <v>4409</v>
      </c>
      <c r="AC109" s="111" t="s">
        <v>4411</v>
      </c>
      <c r="AD109" s="112">
        <v>46181.26729166666</v>
      </c>
      <c r="AE109" s="111" t="s">
        <v>1216</v>
      </c>
      <c r="AF109" s="122"/>
      <c r="AG109" s="122"/>
      <c r="AH109" s="122"/>
    </row>
    <row r="110" ht="22.5" customHeight="1">
      <c r="A110" s="73"/>
      <c r="B110" s="149" t="s">
        <v>327</v>
      </c>
      <c r="C110" s="150">
        <f>now()</f>
        <v>46288.71545</v>
      </c>
      <c r="D110" s="73"/>
      <c r="E110" s="252" t="s">
        <v>4420</v>
      </c>
      <c r="F110" s="252" t="s">
        <v>4421</v>
      </c>
      <c r="G110" s="96">
        <f>IFERROR(__xludf.DUMMYFUNCTION("GOOGLEFINANCE(E110, ""price"")"),198.04)</f>
        <v>198.04</v>
      </c>
      <c r="H110" s="97">
        <f>IFERROR(__xludf.DUMMYFUNCTION("GOOGLEFINANCE(E110, ""low"")"),197.52)</f>
        <v>197.52</v>
      </c>
      <c r="I110" s="99">
        <f>IFERROR(__xludf.DUMMYFUNCTION("GOOGLEFINANCE(E110, ""high"")"),201.1)</f>
        <v>201.1</v>
      </c>
      <c r="J110" s="128"/>
      <c r="K110" s="129">
        <v>5.84</v>
      </c>
      <c r="L110" s="129">
        <v>65.71</v>
      </c>
      <c r="M110" s="129">
        <v>20.12</v>
      </c>
      <c r="N110" s="129">
        <v>4.46</v>
      </c>
      <c r="O110" s="129" t="s">
        <v>170</v>
      </c>
      <c r="P110" s="129">
        <v>124.6</v>
      </c>
      <c r="Q110" s="130">
        <v>45812.25500096065</v>
      </c>
      <c r="R110" s="131" t="b">
        <v>1</v>
      </c>
      <c r="S110" s="110" t="s">
        <v>5727</v>
      </c>
      <c r="T110" s="110">
        <v>0.0</v>
      </c>
      <c r="U110" s="110" t="s">
        <v>4420</v>
      </c>
      <c r="V110" s="110" t="s">
        <v>4434</v>
      </c>
      <c r="W110" s="110" t="s">
        <v>4435</v>
      </c>
      <c r="X110" s="110" t="s">
        <v>4436</v>
      </c>
      <c r="Y110" s="110" t="s">
        <v>4437</v>
      </c>
      <c r="Z110" s="110" t="s">
        <v>4440</v>
      </c>
      <c r="AA110" s="110" t="s">
        <v>4443</v>
      </c>
      <c r="AB110" s="110" t="s">
        <v>2847</v>
      </c>
      <c r="AC110" s="110" t="s">
        <v>4447</v>
      </c>
      <c r="AD110" s="132">
        <v>46030.37144675926</v>
      </c>
      <c r="AE110" s="110" t="s">
        <v>4450</v>
      </c>
      <c r="AF110" s="133"/>
      <c r="AG110" s="133"/>
      <c r="AH110" s="133"/>
    </row>
    <row r="111" ht="22.5" customHeight="1">
      <c r="A111" s="73"/>
      <c r="B111" s="73"/>
      <c r="C111" s="73"/>
      <c r="D111" s="73"/>
      <c r="E111" s="252" t="s">
        <v>4457</v>
      </c>
      <c r="F111" s="252" t="s">
        <v>4458</v>
      </c>
      <c r="G111" s="96">
        <f>IFERROR(__xludf.DUMMYFUNCTION("GOOGLEFINANCE(E111, ""price"")"),224.83)</f>
        <v>224.83</v>
      </c>
      <c r="H111" s="97">
        <f>IFERROR(__xludf.DUMMYFUNCTION("GOOGLEFINANCE(E111, ""low"")"),224.72)</f>
        <v>224.72</v>
      </c>
      <c r="I111" s="99">
        <f>IFERROR(__xludf.DUMMYFUNCTION("GOOGLEFINANCE(E111, ""high"")"),228.95)</f>
        <v>228.95</v>
      </c>
      <c r="J111" s="128"/>
      <c r="K111" s="129">
        <v>11.5</v>
      </c>
      <c r="L111" s="129">
        <v>57.74</v>
      </c>
      <c r="M111" s="129">
        <v>15.49</v>
      </c>
      <c r="N111" s="129">
        <v>5.29</v>
      </c>
      <c r="O111" s="125" t="s">
        <v>4324</v>
      </c>
      <c r="P111" s="145">
        <v>132.57</v>
      </c>
      <c r="Q111" s="130">
        <v>45714.7297333912</v>
      </c>
      <c r="R111" s="131" t="b">
        <v>1</v>
      </c>
      <c r="S111" s="110" t="s">
        <v>5736</v>
      </c>
      <c r="T111" s="110">
        <v>0.0</v>
      </c>
      <c r="U111" s="110" t="s">
        <v>4457</v>
      </c>
      <c r="V111" s="110" t="s">
        <v>4471</v>
      </c>
      <c r="W111" s="110" t="s">
        <v>4473</v>
      </c>
      <c r="X111" s="110" t="s">
        <v>4476</v>
      </c>
      <c r="Y111" s="110" t="s">
        <v>4479</v>
      </c>
      <c r="Z111" s="110" t="s">
        <v>4480</v>
      </c>
      <c r="AA111" s="110" t="s">
        <v>4481</v>
      </c>
      <c r="AB111" s="110" t="s">
        <v>1513</v>
      </c>
      <c r="AC111" s="110" t="s">
        <v>4484</v>
      </c>
      <c r="AD111" s="132">
        <v>46030.37144675926</v>
      </c>
      <c r="AE111" s="110" t="s">
        <v>4491</v>
      </c>
      <c r="AF111" s="133"/>
      <c r="AG111" s="133"/>
      <c r="AH111" s="133"/>
    </row>
    <row r="112" ht="22.5" customHeight="1">
      <c r="A112" s="73"/>
      <c r="B112" s="73"/>
      <c r="C112" s="73"/>
      <c r="D112" s="73"/>
      <c r="E112" s="125" t="s">
        <v>4500</v>
      </c>
      <c r="F112" s="125" t="s">
        <v>4502</v>
      </c>
      <c r="G112" s="96">
        <f>IFERROR(__xludf.DUMMYFUNCTION("GOOGLEFINANCE(E112, ""price"")"),38.4)</f>
        <v>38.4</v>
      </c>
      <c r="H112" s="97">
        <f>IFERROR(__xludf.DUMMYFUNCTION("GOOGLEFINANCE(E112, ""low"")"),38.32)</f>
        <v>38.32</v>
      </c>
      <c r="I112" s="99">
        <f>IFERROR(__xludf.DUMMYFUNCTION("GOOGLEFINANCE(E112, ""high"")"),39.14)</f>
        <v>39.14</v>
      </c>
      <c r="J112" s="126"/>
      <c r="K112" s="106"/>
      <c r="L112" s="106"/>
      <c r="M112" s="106"/>
      <c r="N112" s="106"/>
      <c r="O112" s="105"/>
      <c r="P112" s="106">
        <v>83.4</v>
      </c>
      <c r="Q112" s="108">
        <v>45709.47920290509</v>
      </c>
      <c r="R112" s="109" t="b">
        <v>1</v>
      </c>
      <c r="S112" s="110" t="s">
        <v>5741</v>
      </c>
      <c r="T112" s="110">
        <v>0.0</v>
      </c>
      <c r="U112" s="111" t="s">
        <v>4500</v>
      </c>
      <c r="V112" s="111" t="s">
        <v>4513</v>
      </c>
      <c r="W112" s="111" t="s">
        <v>4514</v>
      </c>
      <c r="X112" s="111" t="s">
        <v>4515</v>
      </c>
      <c r="Y112" s="111" t="s">
        <v>4211</v>
      </c>
      <c r="Z112" s="111" t="s">
        <v>4518</v>
      </c>
      <c r="AA112" s="111" t="s">
        <v>4521</v>
      </c>
      <c r="AB112" s="111" t="s">
        <v>2001</v>
      </c>
      <c r="AC112" s="111" t="s">
        <v>4523</v>
      </c>
      <c r="AD112" s="112">
        <v>46030.37144675926</v>
      </c>
      <c r="AE112" s="111" t="s">
        <v>4525</v>
      </c>
      <c r="AF112" s="122"/>
      <c r="AG112" s="122"/>
      <c r="AH112" s="122"/>
    </row>
    <row r="113" ht="22.5" customHeight="1">
      <c r="A113" s="73"/>
      <c r="B113" s="73"/>
      <c r="C113" s="73"/>
      <c r="D113" s="73"/>
      <c r="E113" s="117" t="s">
        <v>942</v>
      </c>
      <c r="F113" s="111" t="s">
        <v>943</v>
      </c>
      <c r="G113" s="96">
        <f>IFERROR(__xludf.DUMMYFUNCTION("GOOGLEFINANCE(E113, ""price"")"),1.49)</f>
        <v>1.49</v>
      </c>
      <c r="H113" s="118"/>
      <c r="I113" s="118"/>
      <c r="J113" s="119"/>
      <c r="K113" s="120"/>
      <c r="L113" s="120"/>
      <c r="M113" s="120"/>
      <c r="N113" s="120"/>
      <c r="O113" s="118"/>
      <c r="P113" s="120"/>
      <c r="Q113" s="121"/>
      <c r="R113" s="109" t="b">
        <v>1</v>
      </c>
      <c r="S113" s="110" t="s">
        <v>5752</v>
      </c>
      <c r="T113" s="110">
        <v>0.0</v>
      </c>
      <c r="U113" s="111" t="s">
        <v>942</v>
      </c>
      <c r="V113" s="111" t="s">
        <v>4541</v>
      </c>
      <c r="W113" s="111" t="s">
        <v>4544</v>
      </c>
      <c r="X113" s="111" t="s">
        <v>4548</v>
      </c>
      <c r="Y113" s="111" t="s">
        <v>4550</v>
      </c>
      <c r="Z113" s="111" t="s">
        <v>4552</v>
      </c>
      <c r="AA113" s="111" t="s">
        <v>4557</v>
      </c>
      <c r="AB113" s="111" t="s">
        <v>4560</v>
      </c>
      <c r="AC113" s="111" t="s">
        <v>4561</v>
      </c>
      <c r="AD113" s="112">
        <v>46150.246469907404</v>
      </c>
      <c r="AE113" s="111" t="s">
        <v>4562</v>
      </c>
      <c r="AF113" s="122"/>
      <c r="AG113" s="122"/>
      <c r="AH113" s="122"/>
    </row>
    <row r="114" ht="22.5" customHeight="1">
      <c r="A114" s="73"/>
      <c r="B114" s="73"/>
      <c r="C114" s="73"/>
      <c r="D114" s="73"/>
      <c r="E114" s="117" t="s">
        <v>2121</v>
      </c>
      <c r="F114" s="111" t="s">
        <v>2122</v>
      </c>
      <c r="G114" s="96">
        <f>IFERROR(__xludf.DUMMYFUNCTION("GOOGLEFINANCE(E114, ""price"")"),55.56)</f>
        <v>55.56</v>
      </c>
      <c r="H114" s="118"/>
      <c r="I114" s="118"/>
      <c r="J114" s="119"/>
      <c r="K114" s="120"/>
      <c r="L114" s="120"/>
      <c r="M114" s="120"/>
      <c r="N114" s="120"/>
      <c r="O114" s="118"/>
      <c r="P114" s="120"/>
      <c r="Q114" s="121"/>
      <c r="R114" s="109" t="b">
        <v>1</v>
      </c>
      <c r="S114" s="110" t="s">
        <v>5764</v>
      </c>
      <c r="T114" s="110">
        <v>0.0</v>
      </c>
      <c r="U114" s="111" t="s">
        <v>2121</v>
      </c>
      <c r="V114" s="111" t="s">
        <v>4578</v>
      </c>
      <c r="W114" s="111" t="s">
        <v>1422</v>
      </c>
      <c r="X114" s="111" t="s">
        <v>4579</v>
      </c>
      <c r="Y114" s="111" t="s">
        <v>4581</v>
      </c>
      <c r="Z114" s="111" t="s">
        <v>4582</v>
      </c>
      <c r="AA114" s="111" t="s">
        <v>4583</v>
      </c>
      <c r="AB114" s="111" t="s">
        <v>1023</v>
      </c>
      <c r="AC114" s="111" t="s">
        <v>4588</v>
      </c>
      <c r="AD114" s="112">
        <v>46030.37144675926</v>
      </c>
      <c r="AE114" s="111" t="s">
        <v>4594</v>
      </c>
      <c r="AF114" s="122"/>
      <c r="AG114" s="122"/>
      <c r="AH114" s="122"/>
    </row>
    <row r="115" ht="22.5" customHeight="1">
      <c r="A115" s="73"/>
      <c r="B115" s="73"/>
      <c r="C115" s="73"/>
      <c r="D115" s="73"/>
      <c r="E115" s="125" t="s">
        <v>227</v>
      </c>
      <c r="F115" s="125" t="s">
        <v>228</v>
      </c>
      <c r="G115" s="96">
        <f>IFERROR(__xludf.DUMMYFUNCTION("GOOGLEFINANCE(E115, ""price"")"),380.5)</f>
        <v>380.5</v>
      </c>
      <c r="H115" s="97">
        <f>IFERROR(__xludf.DUMMYFUNCTION("GOOGLEFINANCE(E115, ""low"")"),380.5)</f>
        <v>380.5</v>
      </c>
      <c r="I115" s="99">
        <f>IFERROR(__xludf.DUMMYFUNCTION("GOOGLEFINANCE(E115, ""high"")"),389.55)</f>
        <v>389.55</v>
      </c>
      <c r="J115" s="152"/>
      <c r="K115" s="106"/>
      <c r="L115" s="106"/>
      <c r="M115" s="106"/>
      <c r="N115" s="106"/>
      <c r="O115" s="105"/>
      <c r="P115" s="106">
        <v>335.95</v>
      </c>
      <c r="Q115" s="108"/>
      <c r="R115" s="109" t="b">
        <v>1</v>
      </c>
      <c r="S115" s="110" t="s">
        <v>5775</v>
      </c>
      <c r="T115" s="110">
        <v>0.0</v>
      </c>
      <c r="U115" s="111" t="s">
        <v>227</v>
      </c>
      <c r="V115" s="111" t="s">
        <v>4613</v>
      </c>
      <c r="W115" s="111" t="s">
        <v>4614</v>
      </c>
      <c r="X115" s="111" t="s">
        <v>4615</v>
      </c>
      <c r="Y115" s="111" t="s">
        <v>4616</v>
      </c>
      <c r="Z115" s="111" t="s">
        <v>4617</v>
      </c>
      <c r="AA115" s="111" t="s">
        <v>4618</v>
      </c>
      <c r="AB115" s="111" t="s">
        <v>2460</v>
      </c>
      <c r="AC115" s="111" t="s">
        <v>4620</v>
      </c>
      <c r="AD115" s="112">
        <v>46030.37144675926</v>
      </c>
      <c r="AE115" s="111" t="s">
        <v>4622</v>
      </c>
      <c r="AF115" s="122"/>
      <c r="AG115" s="122"/>
      <c r="AH115" s="122"/>
    </row>
    <row r="116" ht="22.5" customHeight="1">
      <c r="A116" s="73"/>
      <c r="B116" s="73"/>
      <c r="C116" s="73"/>
      <c r="D116" s="73"/>
      <c r="E116" s="253" t="s">
        <v>1046</v>
      </c>
      <c r="F116" s="125" t="s">
        <v>1047</v>
      </c>
      <c r="G116" s="96">
        <f>IFERROR(__xludf.DUMMYFUNCTION("GOOGLEFINANCE(E116, ""price"")"),6.03)</f>
        <v>6.03</v>
      </c>
      <c r="H116" s="97">
        <f>IFERROR(__xludf.DUMMYFUNCTION("GOOGLEFINANCE(E116, ""low"")"),6.02)</f>
        <v>6.02</v>
      </c>
      <c r="I116" s="99">
        <f>IFERROR(__xludf.DUMMYFUNCTION("GOOGLEFINANCE(E116, ""high"")"),6.12)</f>
        <v>6.12</v>
      </c>
      <c r="J116" s="161"/>
      <c r="K116" s="106"/>
      <c r="L116" s="106"/>
      <c r="M116" s="106"/>
      <c r="N116" s="106"/>
      <c r="O116" s="105"/>
      <c r="P116" s="106">
        <v>173.12</v>
      </c>
      <c r="Q116" s="108">
        <v>45708.41577071759</v>
      </c>
      <c r="R116" s="109" t="b">
        <v>1</v>
      </c>
      <c r="S116" s="110" t="s">
        <v>5777</v>
      </c>
      <c r="T116" s="110">
        <v>0.0</v>
      </c>
      <c r="U116" s="111" t="s">
        <v>1046</v>
      </c>
      <c r="V116" s="111" t="s">
        <v>4647</v>
      </c>
      <c r="W116" s="111" t="s">
        <v>4649</v>
      </c>
      <c r="X116" s="111" t="s">
        <v>4650</v>
      </c>
      <c r="Y116" s="111" t="s">
        <v>4652</v>
      </c>
      <c r="Z116" s="111" t="s">
        <v>4653</v>
      </c>
      <c r="AA116" s="111" t="s">
        <v>3640</v>
      </c>
      <c r="AB116" s="111" t="s">
        <v>1405</v>
      </c>
      <c r="AC116" s="111" t="s">
        <v>4655</v>
      </c>
      <c r="AD116" s="112">
        <v>46030.37144675926</v>
      </c>
      <c r="AE116" s="111" t="s">
        <v>1921</v>
      </c>
      <c r="AF116" s="122"/>
      <c r="AG116" s="122"/>
      <c r="AH116" s="122"/>
    </row>
    <row r="117" ht="22.5" customHeight="1">
      <c r="A117" s="73"/>
      <c r="B117" s="73"/>
      <c r="C117" s="73"/>
      <c r="D117" s="73"/>
      <c r="E117" s="254" t="s">
        <v>798</v>
      </c>
      <c r="F117" s="125" t="s">
        <v>799</v>
      </c>
      <c r="G117" s="96">
        <f>IFERROR(__xludf.DUMMYFUNCTION("GOOGLEFINANCE(E117, ""price"")"),147.5)</f>
        <v>147.5</v>
      </c>
      <c r="H117" s="97">
        <f>IFERROR(__xludf.DUMMYFUNCTION("GOOGLEFINANCE(E117, ""low"")"),145.53)</f>
        <v>145.53</v>
      </c>
      <c r="I117" s="99">
        <f>IFERROR(__xludf.DUMMYFUNCTION("GOOGLEFINANCE(E117, ""high"")"),148.66)</f>
        <v>148.66</v>
      </c>
      <c r="J117" s="161"/>
      <c r="K117" s="102">
        <v>-16.41</v>
      </c>
      <c r="L117" s="104">
        <v>27.65</v>
      </c>
      <c r="M117" s="104">
        <v>36.4</v>
      </c>
      <c r="N117" s="104">
        <v>8.44</v>
      </c>
      <c r="O117" s="105"/>
      <c r="P117" s="106">
        <v>181.52</v>
      </c>
      <c r="Q117" s="153">
        <v>46219.377022280096</v>
      </c>
      <c r="R117" s="109" t="b">
        <v>1</v>
      </c>
      <c r="S117" s="110" t="s">
        <v>5779</v>
      </c>
      <c r="T117" s="110">
        <v>0.0</v>
      </c>
      <c r="U117" s="111" t="s">
        <v>798</v>
      </c>
      <c r="V117" s="111" t="s">
        <v>4675</v>
      </c>
      <c r="W117" s="111" t="s">
        <v>2643</v>
      </c>
      <c r="X117" s="111" t="s">
        <v>4678</v>
      </c>
      <c r="Y117" s="111" t="s">
        <v>4679</v>
      </c>
      <c r="Z117" s="111" t="s">
        <v>4681</v>
      </c>
      <c r="AA117" s="111" t="s">
        <v>4682</v>
      </c>
      <c r="AB117" s="111" t="s">
        <v>410</v>
      </c>
      <c r="AC117" s="111" t="s">
        <v>4684</v>
      </c>
      <c r="AD117" s="112">
        <v>46030.37144675926</v>
      </c>
      <c r="AE117" s="111" t="s">
        <v>2006</v>
      </c>
      <c r="AF117" s="122"/>
      <c r="AG117" s="122"/>
      <c r="AH117" s="122"/>
    </row>
    <row r="118" ht="22.5" customHeight="1">
      <c r="A118" s="73"/>
      <c r="B118" s="73"/>
      <c r="C118" s="73"/>
      <c r="D118" s="73"/>
      <c r="E118" s="127" t="s">
        <v>1031</v>
      </c>
      <c r="F118" s="110" t="s">
        <v>1033</v>
      </c>
      <c r="G118" s="96">
        <f>IFERROR(__xludf.DUMMYFUNCTION("GOOGLEFINANCE(E118, ""price"")"),388.22)</f>
        <v>388.22</v>
      </c>
      <c r="H118" s="143"/>
      <c r="I118" s="143"/>
      <c r="J118" s="144"/>
      <c r="K118" s="145"/>
      <c r="L118" s="145"/>
      <c r="M118" s="145"/>
      <c r="N118" s="145"/>
      <c r="O118" s="143"/>
      <c r="P118" s="129">
        <v>184.45</v>
      </c>
      <c r="Q118" s="130">
        <v>45888.649150196754</v>
      </c>
      <c r="R118" s="131" t="b">
        <v>1</v>
      </c>
      <c r="S118" s="110" t="s">
        <v>5780</v>
      </c>
      <c r="T118" s="110">
        <v>0.0</v>
      </c>
      <c r="U118" s="110" t="s">
        <v>1031</v>
      </c>
      <c r="V118" s="110" t="s">
        <v>4729</v>
      </c>
      <c r="W118" s="110" t="s">
        <v>4731</v>
      </c>
      <c r="X118" s="110" t="s">
        <v>4734</v>
      </c>
      <c r="Y118" s="110" t="s">
        <v>4735</v>
      </c>
      <c r="Z118" s="110" t="s">
        <v>4737</v>
      </c>
      <c r="AA118" s="110" t="s">
        <v>4738</v>
      </c>
      <c r="AB118" s="110" t="s">
        <v>1612</v>
      </c>
      <c r="AC118" s="110" t="s">
        <v>4741</v>
      </c>
      <c r="AD118" s="132">
        <v>46030.37144675926</v>
      </c>
      <c r="AE118" s="110" t="s">
        <v>1997</v>
      </c>
      <c r="AF118" s="133"/>
      <c r="AG118" s="133"/>
      <c r="AH118" s="133"/>
    </row>
    <row r="119" ht="22.5" customHeight="1">
      <c r="A119" s="73"/>
      <c r="B119" s="73"/>
      <c r="C119" s="73"/>
      <c r="D119" s="73"/>
      <c r="E119" s="127" t="s">
        <v>4748</v>
      </c>
      <c r="F119" s="110" t="s">
        <v>4749</v>
      </c>
      <c r="G119" s="96">
        <f>IFERROR(__xludf.DUMMYFUNCTION("GOOGLEFINANCE(E119, ""price"")"),78.93)</f>
        <v>78.93</v>
      </c>
      <c r="H119" s="97">
        <f>IFERROR(__xludf.DUMMYFUNCTION("GOOGLEFINANCE(E119, ""low"")"),78.7)</f>
        <v>78.7</v>
      </c>
      <c r="I119" s="99">
        <f>IFERROR(__xludf.DUMMYFUNCTION("GOOGLEFINANCE(E119, ""high"")"),79.52)</f>
        <v>79.52</v>
      </c>
      <c r="J119" s="128"/>
      <c r="K119" s="129">
        <v>-21.0</v>
      </c>
      <c r="L119" s="129">
        <v>51.72</v>
      </c>
      <c r="M119" s="129">
        <v>11.6</v>
      </c>
      <c r="N119" s="129">
        <v>2.81</v>
      </c>
      <c r="O119" s="110" t="s">
        <v>1339</v>
      </c>
      <c r="P119" s="129">
        <v>105.35</v>
      </c>
      <c r="Q119" s="130">
        <v>45847.31281206019</v>
      </c>
      <c r="R119" s="131" t="b">
        <v>1</v>
      </c>
      <c r="S119" s="110" t="s">
        <v>5781</v>
      </c>
      <c r="T119" s="110">
        <v>0.0</v>
      </c>
      <c r="U119" s="110" t="s">
        <v>4748</v>
      </c>
      <c r="V119" s="110" t="s">
        <v>4760</v>
      </c>
      <c r="W119" s="110" t="s">
        <v>4761</v>
      </c>
      <c r="X119" s="110" t="s">
        <v>1648</v>
      </c>
      <c r="Y119" s="110" t="s">
        <v>4763</v>
      </c>
      <c r="Z119" s="110" t="s">
        <v>4764</v>
      </c>
      <c r="AA119" s="110" t="s">
        <v>4765</v>
      </c>
      <c r="AB119" s="110" t="s">
        <v>3235</v>
      </c>
      <c r="AC119" s="110" t="s">
        <v>4766</v>
      </c>
      <c r="AD119" s="132">
        <v>46030.37144675926</v>
      </c>
      <c r="AE119" s="110" t="s">
        <v>4768</v>
      </c>
      <c r="AF119" s="133"/>
      <c r="AG119" s="133"/>
      <c r="AH119" s="133"/>
    </row>
    <row r="120" ht="22.5" customHeight="1">
      <c r="A120" s="73"/>
      <c r="B120" s="73"/>
      <c r="C120" s="73"/>
      <c r="D120" s="73"/>
      <c r="E120" s="127" t="s">
        <v>4777</v>
      </c>
      <c r="F120" s="110" t="s">
        <v>4779</v>
      </c>
      <c r="G120" s="96">
        <f>IFERROR(__xludf.DUMMYFUNCTION("GOOGLEFINANCE(E120, ""price"")"),129.95)</f>
        <v>129.95</v>
      </c>
      <c r="H120" s="97">
        <f>IFERROR(__xludf.DUMMYFUNCTION("GOOGLEFINANCE(E120, ""low"")"),129.66)</f>
        <v>129.66</v>
      </c>
      <c r="I120" s="99">
        <f>IFERROR(__xludf.DUMMYFUNCTION("GOOGLEFINANCE(E120, ""high"")"),131.39)</f>
        <v>131.39</v>
      </c>
      <c r="J120" s="128"/>
      <c r="K120" s="129">
        <v>0.46</v>
      </c>
      <c r="L120" s="129">
        <v>47.14</v>
      </c>
      <c r="M120" s="129">
        <v>31.03</v>
      </c>
      <c r="N120" s="129">
        <v>2.15</v>
      </c>
      <c r="O120" s="129" t="s">
        <v>998</v>
      </c>
      <c r="P120" s="129">
        <v>132.26</v>
      </c>
      <c r="Q120" s="130">
        <v>45812.33364386574</v>
      </c>
      <c r="R120" s="131" t="b">
        <v>1</v>
      </c>
      <c r="S120" s="110" t="s">
        <v>5782</v>
      </c>
      <c r="T120" s="110">
        <v>0.0</v>
      </c>
      <c r="U120" s="110" t="s">
        <v>4777</v>
      </c>
      <c r="V120" s="110" t="s">
        <v>4794</v>
      </c>
      <c r="W120" s="110" t="s">
        <v>4795</v>
      </c>
      <c r="X120" s="110" t="s">
        <v>4796</v>
      </c>
      <c r="Y120" s="110" t="s">
        <v>1304</v>
      </c>
      <c r="Z120" s="110" t="s">
        <v>4798</v>
      </c>
      <c r="AA120" s="110" t="s">
        <v>4801</v>
      </c>
      <c r="AB120" s="110" t="s">
        <v>315</v>
      </c>
      <c r="AC120" s="110" t="s">
        <v>4803</v>
      </c>
      <c r="AD120" s="132">
        <v>46030.37144675926</v>
      </c>
      <c r="AE120" s="110" t="s">
        <v>4806</v>
      </c>
      <c r="AF120" s="133"/>
      <c r="AG120" s="133"/>
      <c r="AH120" s="133"/>
    </row>
    <row r="121" ht="22.5" customHeight="1">
      <c r="A121" s="73"/>
      <c r="B121" s="73"/>
      <c r="C121" s="73"/>
      <c r="D121" s="73"/>
      <c r="E121" s="127" t="s">
        <v>203</v>
      </c>
      <c r="F121" s="110" t="s">
        <v>204</v>
      </c>
      <c r="G121" s="96">
        <f>IFERROR(__xludf.DUMMYFUNCTION("GOOGLEFINANCE(E121, ""price"")"),28.03)</f>
        <v>28.03</v>
      </c>
      <c r="H121" s="97">
        <f>IFERROR(__xludf.DUMMYFUNCTION("GOOGLEFINANCE(E121, ""low"")"),27.84)</f>
        <v>27.84</v>
      </c>
      <c r="I121" s="99">
        <f>IFERROR(__xludf.DUMMYFUNCTION("GOOGLEFINANCE(E121, ""high"")"),28.16)</f>
        <v>28.16</v>
      </c>
      <c r="J121" s="144"/>
      <c r="K121" s="145"/>
      <c r="L121" s="145"/>
      <c r="M121" s="145"/>
      <c r="N121" s="145"/>
      <c r="O121" s="143"/>
      <c r="P121" s="145"/>
      <c r="Q121" s="130"/>
      <c r="R121" s="131" t="b">
        <v>1</v>
      </c>
      <c r="S121" s="110" t="s">
        <v>1257</v>
      </c>
      <c r="T121" s="110">
        <v>0.0</v>
      </c>
      <c r="U121" s="110" t="s">
        <v>203</v>
      </c>
      <c r="V121" s="110" t="s">
        <v>4825</v>
      </c>
      <c r="W121" s="110" t="s">
        <v>1907</v>
      </c>
      <c r="X121" s="110" t="s">
        <v>4704</v>
      </c>
      <c r="Y121" s="110" t="s">
        <v>4828</v>
      </c>
      <c r="Z121" s="110" t="s">
        <v>4831</v>
      </c>
      <c r="AA121" s="110" t="s">
        <v>4832</v>
      </c>
      <c r="AB121" s="110" t="s">
        <v>370</v>
      </c>
      <c r="AC121" s="110" t="s">
        <v>4835</v>
      </c>
      <c r="AD121" s="132">
        <v>46030.37144675926</v>
      </c>
      <c r="AE121" s="110" t="s">
        <v>4837</v>
      </c>
      <c r="AF121" s="133"/>
      <c r="AG121" s="133"/>
      <c r="AH121" s="133"/>
    </row>
    <row r="122" ht="22.5" customHeight="1">
      <c r="A122" s="73"/>
      <c r="B122" s="73"/>
      <c r="C122" s="73"/>
      <c r="D122" s="73"/>
      <c r="E122" s="127" t="s">
        <v>4839</v>
      </c>
      <c r="F122" s="110" t="s">
        <v>4840</v>
      </c>
      <c r="G122" s="96">
        <f>IFERROR(__xludf.DUMMYFUNCTION("GOOGLEFINANCE(E122, ""price"")"),147.32)</f>
        <v>147.32</v>
      </c>
      <c r="H122" s="97">
        <f>IFERROR(__xludf.DUMMYFUNCTION("GOOGLEFINANCE(E122, ""low"")"),147.22)</f>
        <v>147.22</v>
      </c>
      <c r="I122" s="99">
        <f>IFERROR(__xludf.DUMMYFUNCTION("GOOGLEFINANCE(E122, ""high"")"),148.93)</f>
        <v>148.93</v>
      </c>
      <c r="J122" s="128"/>
      <c r="K122" s="145"/>
      <c r="L122" s="145"/>
      <c r="M122" s="145"/>
      <c r="N122" s="145"/>
      <c r="O122" s="143"/>
      <c r="P122" s="129">
        <v>162.59</v>
      </c>
      <c r="Q122" s="130">
        <v>45793.50532239584</v>
      </c>
      <c r="R122" s="131" t="b">
        <v>1</v>
      </c>
      <c r="S122" s="110" t="s">
        <v>5783</v>
      </c>
      <c r="T122" s="110">
        <v>0.0</v>
      </c>
      <c r="U122" s="110" t="s">
        <v>4839</v>
      </c>
      <c r="V122" s="110" t="s">
        <v>4857</v>
      </c>
      <c r="W122" s="110" t="s">
        <v>4858</v>
      </c>
      <c r="X122" s="110" t="s">
        <v>4859</v>
      </c>
      <c r="Y122" s="110" t="s">
        <v>2591</v>
      </c>
      <c r="Z122" s="110" t="s">
        <v>4862</v>
      </c>
      <c r="AA122" s="110" t="s">
        <v>4865</v>
      </c>
      <c r="AB122" s="110" t="s">
        <v>315</v>
      </c>
      <c r="AC122" s="110" t="s">
        <v>4868</v>
      </c>
      <c r="AD122" s="132">
        <v>46030.37144675926</v>
      </c>
      <c r="AE122" s="110" t="s">
        <v>4872</v>
      </c>
      <c r="AF122" s="133"/>
      <c r="AG122" s="133"/>
      <c r="AH122" s="133"/>
    </row>
    <row r="123" ht="22.5" customHeight="1">
      <c r="A123" s="73"/>
      <c r="B123" s="73"/>
      <c r="C123" s="73"/>
      <c r="D123" s="73"/>
      <c r="E123" s="110" t="s">
        <v>5784</v>
      </c>
      <c r="F123" s="110" t="s">
        <v>5785</v>
      </c>
      <c r="G123" s="96">
        <f>IFERROR(__xludf.DUMMYFUNCTION("GOOGLEFINANCE(E123, ""price"")"),21.63)</f>
        <v>21.63</v>
      </c>
      <c r="H123" s="97">
        <f>IFERROR(__xludf.DUMMYFUNCTION("GOOGLEFINANCE(E123, ""low"")"),21.63)</f>
        <v>21.63</v>
      </c>
      <c r="I123" s="99">
        <f>IFERROR(__xludf.DUMMYFUNCTION("GOOGLEFINANCE(E123, ""high"")"),21.88)</f>
        <v>21.88</v>
      </c>
      <c r="J123" s="128"/>
      <c r="K123" s="145"/>
      <c r="L123" s="145"/>
      <c r="M123" s="145"/>
      <c r="N123" s="145"/>
      <c r="O123" s="105" t="s">
        <v>3253</v>
      </c>
      <c r="P123" s="129">
        <v>24.05</v>
      </c>
      <c r="Q123" s="130">
        <v>45707.459528865744</v>
      </c>
      <c r="R123" s="131" t="b">
        <v>0</v>
      </c>
      <c r="S123" s="110" t="s">
        <v>145</v>
      </c>
      <c r="T123" s="110">
        <v>0.0</v>
      </c>
      <c r="U123" s="110" t="s">
        <v>5784</v>
      </c>
      <c r="V123" s="110" t="s">
        <v>5183</v>
      </c>
      <c r="W123" s="110" t="s">
        <v>5184</v>
      </c>
      <c r="X123" s="143"/>
      <c r="Y123" s="143"/>
      <c r="Z123" s="143"/>
      <c r="AA123" s="143"/>
      <c r="AB123" s="143"/>
      <c r="AC123" s="110"/>
      <c r="AD123" s="132">
        <v>46030.37144675926</v>
      </c>
      <c r="AE123" s="110" t="s">
        <v>5786</v>
      </c>
      <c r="AF123" s="133"/>
      <c r="AG123" s="133"/>
      <c r="AH123" s="133"/>
    </row>
    <row r="124" ht="22.5" customHeight="1">
      <c r="A124" s="73"/>
      <c r="B124" s="149" t="s">
        <v>327</v>
      </c>
      <c r="C124" s="150">
        <f>now()</f>
        <v>46288.71545</v>
      </c>
      <c r="D124" s="73"/>
      <c r="E124" s="93" t="s">
        <v>195</v>
      </c>
      <c r="F124" s="95" t="s">
        <v>196</v>
      </c>
      <c r="G124" s="96">
        <f>IFERROR(__xludf.DUMMYFUNCTION("GOOGLEFINANCE(E124, ""price"")"),191.71)</f>
        <v>191.71</v>
      </c>
      <c r="H124" s="97">
        <f>IFERROR(__xludf.DUMMYFUNCTION("GOOGLEFINANCE(E124, ""low"")"),182.94)</f>
        <v>182.94</v>
      </c>
      <c r="I124" s="99">
        <f>IFERROR(__xludf.DUMMYFUNCTION("GOOGLEFINANCE(E124, ""high"")"),193.79)</f>
        <v>193.79</v>
      </c>
      <c r="J124" s="100"/>
      <c r="K124" s="104">
        <v>7.79</v>
      </c>
      <c r="L124" s="104">
        <v>66.59</v>
      </c>
      <c r="M124" s="104">
        <v>18.67</v>
      </c>
      <c r="N124" s="104">
        <v>5.75</v>
      </c>
      <c r="O124" s="125" t="s">
        <v>197</v>
      </c>
      <c r="P124" s="104">
        <v>123.26</v>
      </c>
      <c r="Q124" s="108">
        <v>45814.37938008102</v>
      </c>
      <c r="R124" s="109" t="b">
        <v>1</v>
      </c>
      <c r="S124" s="110" t="s">
        <v>5787</v>
      </c>
      <c r="T124" s="110">
        <v>0.0</v>
      </c>
      <c r="U124" s="111" t="s">
        <v>195</v>
      </c>
      <c r="V124" s="111" t="s">
        <v>4904</v>
      </c>
      <c r="W124" s="111" t="s">
        <v>4906</v>
      </c>
      <c r="X124" s="111" t="s">
        <v>4907</v>
      </c>
      <c r="Y124" s="111" t="s">
        <v>4908</v>
      </c>
      <c r="Z124" s="111" t="s">
        <v>4909</v>
      </c>
      <c r="AA124" s="111" t="s">
        <v>4910</v>
      </c>
      <c r="AB124" s="111" t="s">
        <v>2278</v>
      </c>
      <c r="AC124" s="111" t="s">
        <v>4913</v>
      </c>
      <c r="AD124" s="112">
        <v>46030.37144675926</v>
      </c>
      <c r="AE124" s="111" t="s">
        <v>4914</v>
      </c>
      <c r="AF124" s="122"/>
      <c r="AG124" s="122"/>
      <c r="AH124" s="122"/>
    </row>
    <row r="125" ht="22.5" customHeight="1">
      <c r="A125" s="73"/>
      <c r="B125" s="73"/>
      <c r="C125" s="73"/>
      <c r="D125" s="73"/>
      <c r="E125" s="189" t="s">
        <v>1499</v>
      </c>
      <c r="F125" s="110" t="s">
        <v>1500</v>
      </c>
      <c r="G125" s="96">
        <f>IFERROR(__xludf.DUMMYFUNCTION("GOOGLEFINANCE(E125, ""price"")"),32.75)</f>
        <v>32.75</v>
      </c>
      <c r="H125" s="97">
        <f>IFERROR(__xludf.DUMMYFUNCTION("GOOGLEFINANCE(E125, ""low"")"),32.31)</f>
        <v>32.31</v>
      </c>
      <c r="I125" s="99">
        <f>IFERROR(__xludf.DUMMYFUNCTION("GOOGLEFINANCE(E125, ""high"")"),35.81)</f>
        <v>35.81</v>
      </c>
      <c r="J125" s="128"/>
      <c r="K125" s="145"/>
      <c r="L125" s="145"/>
      <c r="M125" s="145"/>
      <c r="N125" s="145"/>
      <c r="O125" s="145"/>
      <c r="P125" s="145"/>
      <c r="Q125" s="130"/>
      <c r="R125" s="131" t="b">
        <v>1</v>
      </c>
      <c r="S125" s="110" t="s">
        <v>5789</v>
      </c>
      <c r="T125" s="110">
        <v>0.0</v>
      </c>
      <c r="U125" s="110" t="s">
        <v>1499</v>
      </c>
      <c r="V125" s="110" t="s">
        <v>4935</v>
      </c>
      <c r="W125" s="110" t="s">
        <v>4937</v>
      </c>
      <c r="X125" s="110" t="s">
        <v>4940</v>
      </c>
      <c r="Y125" s="110" t="s">
        <v>4942</v>
      </c>
      <c r="Z125" s="110" t="s">
        <v>4944</v>
      </c>
      <c r="AA125" s="110" t="s">
        <v>4946</v>
      </c>
      <c r="AB125" s="110" t="s">
        <v>4949</v>
      </c>
      <c r="AC125" s="110" t="s">
        <v>4952</v>
      </c>
      <c r="AD125" s="132">
        <v>46030.37144675926</v>
      </c>
      <c r="AE125" s="110" t="s">
        <v>4955</v>
      </c>
      <c r="AF125" s="133"/>
      <c r="AG125" s="133"/>
      <c r="AH125" s="133"/>
    </row>
    <row r="126" ht="22.5" customHeight="1">
      <c r="A126" s="73"/>
      <c r="B126" s="73"/>
      <c r="C126" s="73"/>
      <c r="D126" s="73"/>
      <c r="E126" s="93" t="s">
        <v>5790</v>
      </c>
      <c r="F126" s="95" t="s">
        <v>5510</v>
      </c>
      <c r="G126" s="96">
        <f>IFERROR(__xludf.DUMMYFUNCTION("GOOGLEFINANCE(E126, ""price"")"),168.44)</f>
        <v>168.44</v>
      </c>
      <c r="H126" s="97">
        <f>IFERROR(__xludf.DUMMYFUNCTION("GOOGLEFINANCE(E126, ""low"")"),160.48)</f>
        <v>160.48</v>
      </c>
      <c r="I126" s="99">
        <f>IFERROR(__xludf.DUMMYFUNCTION("GOOGLEFINANCE(E126, ""high"")"),169.98)</f>
        <v>169.98</v>
      </c>
      <c r="J126" s="100"/>
      <c r="K126" s="104">
        <v>13.1</v>
      </c>
      <c r="L126" s="106"/>
      <c r="M126" s="104">
        <v>40.46</v>
      </c>
      <c r="N126" s="104">
        <v>5.31</v>
      </c>
      <c r="O126" s="105" t="s">
        <v>3629</v>
      </c>
      <c r="P126" s="104">
        <v>119.88</v>
      </c>
      <c r="Q126" s="108">
        <v>45707.81005053241</v>
      </c>
      <c r="R126" s="109" t="b">
        <v>0</v>
      </c>
      <c r="S126" s="110" t="s">
        <v>145</v>
      </c>
      <c r="T126" s="110">
        <v>0.0</v>
      </c>
      <c r="U126" s="111" t="s">
        <v>5790</v>
      </c>
      <c r="V126" s="111" t="s">
        <v>5183</v>
      </c>
      <c r="W126" s="111" t="s">
        <v>5184</v>
      </c>
      <c r="X126" s="118"/>
      <c r="Y126" s="118"/>
      <c r="Z126" s="118"/>
      <c r="AA126" s="118"/>
      <c r="AB126" s="118"/>
      <c r="AC126" s="111"/>
      <c r="AD126" s="112">
        <v>46030.37144675926</v>
      </c>
      <c r="AE126" s="111" t="s">
        <v>5792</v>
      </c>
      <c r="AF126" s="122"/>
      <c r="AG126" s="122"/>
      <c r="AH126" s="122"/>
    </row>
    <row r="127" ht="22.5" customHeight="1">
      <c r="A127" s="73"/>
      <c r="B127" s="73"/>
      <c r="C127" s="73"/>
      <c r="D127" s="73"/>
      <c r="E127" s="117" t="s">
        <v>5005</v>
      </c>
      <c r="F127" s="111" t="s">
        <v>5009</v>
      </c>
      <c r="G127" s="96">
        <f>IFERROR(__xludf.DUMMYFUNCTION("GOOGLEFINANCE(E127, ""price"")"),633.02)</f>
        <v>633.02</v>
      </c>
      <c r="H127" s="118"/>
      <c r="I127" s="118"/>
      <c r="J127" s="119"/>
      <c r="K127" s="120"/>
      <c r="L127" s="120"/>
      <c r="M127" s="120"/>
      <c r="N127" s="120"/>
      <c r="O127" s="118"/>
      <c r="P127" s="120"/>
      <c r="Q127" s="121"/>
      <c r="R127" s="109" t="b">
        <v>1</v>
      </c>
      <c r="S127" s="110" t="s">
        <v>5794</v>
      </c>
      <c r="T127" s="110">
        <v>0.0</v>
      </c>
      <c r="U127" s="111" t="s">
        <v>5005</v>
      </c>
      <c r="V127" s="111" t="s">
        <v>5027</v>
      </c>
      <c r="W127" s="111" t="s">
        <v>5029</v>
      </c>
      <c r="X127" s="111" t="s">
        <v>5031</v>
      </c>
      <c r="Y127" s="111" t="s">
        <v>5032</v>
      </c>
      <c r="Z127" s="111" t="s">
        <v>5035</v>
      </c>
      <c r="AA127" s="111" t="s">
        <v>5037</v>
      </c>
      <c r="AB127" s="111" t="s">
        <v>1337</v>
      </c>
      <c r="AC127" s="111" t="s">
        <v>5039</v>
      </c>
      <c r="AD127" s="111" t="s">
        <v>3237</v>
      </c>
      <c r="AE127" s="111" t="s">
        <v>5040</v>
      </c>
      <c r="AF127" s="122"/>
      <c r="AG127" s="122"/>
      <c r="AH127" s="122"/>
    </row>
    <row r="128" ht="22.5" customHeight="1">
      <c r="A128" s="73"/>
      <c r="B128" s="73"/>
      <c r="C128" s="73"/>
      <c r="D128" s="73"/>
      <c r="E128" s="254" t="s">
        <v>330</v>
      </c>
      <c r="F128" s="254" t="s">
        <v>532</v>
      </c>
      <c r="G128" s="96">
        <f>IFERROR(__xludf.DUMMYFUNCTION("GOOGLEFINANCE(E128, ""price"")"),185.88)</f>
        <v>185.88</v>
      </c>
      <c r="H128" s="97">
        <f>IFERROR(__xludf.DUMMYFUNCTION("GOOGLEFINANCE(E128, ""low"")"),180.23)</f>
        <v>180.23</v>
      </c>
      <c r="I128" s="99">
        <f>IFERROR(__xludf.DUMMYFUNCTION("GOOGLEFINANCE(E128, ""high"")"),186.64)</f>
        <v>186.64</v>
      </c>
      <c r="J128" s="100"/>
      <c r="K128" s="106"/>
      <c r="L128" s="106"/>
      <c r="M128" s="106"/>
      <c r="N128" s="106"/>
      <c r="O128" s="104"/>
      <c r="P128" s="104">
        <v>146.06</v>
      </c>
      <c r="Q128" s="108">
        <v>45706.703309131946</v>
      </c>
      <c r="R128" s="109" t="b">
        <v>1</v>
      </c>
      <c r="S128" s="110" t="s">
        <v>333</v>
      </c>
      <c r="T128" s="110">
        <v>0.0</v>
      </c>
      <c r="U128" s="111" t="s">
        <v>330</v>
      </c>
      <c r="V128" s="111" t="s">
        <v>5057</v>
      </c>
      <c r="W128" s="111" t="s">
        <v>5060</v>
      </c>
      <c r="X128" s="111" t="s">
        <v>5062</v>
      </c>
      <c r="Y128" s="111" t="s">
        <v>5064</v>
      </c>
      <c r="Z128" s="111" t="s">
        <v>5066</v>
      </c>
      <c r="AA128" s="111" t="s">
        <v>5069</v>
      </c>
      <c r="AB128" s="111" t="s">
        <v>1968</v>
      </c>
      <c r="AC128" s="111" t="s">
        <v>5070</v>
      </c>
      <c r="AD128" s="112">
        <v>46030.37144675926</v>
      </c>
      <c r="AE128" s="111" t="s">
        <v>1986</v>
      </c>
      <c r="AF128" s="122"/>
      <c r="AG128" s="122"/>
      <c r="AH128" s="122"/>
    </row>
    <row r="129" ht="22.5" customHeight="1">
      <c r="A129" s="73"/>
      <c r="B129" s="73"/>
      <c r="C129" s="73"/>
      <c r="D129" s="73"/>
      <c r="E129" s="127" t="s">
        <v>1558</v>
      </c>
      <c r="F129" s="110" t="s">
        <v>1559</v>
      </c>
      <c r="G129" s="96" t="str">
        <f>IFERROR(__xludf.DUMMYFUNCTION("GOOGLEFINANCE(E129, ""price"")"),"#N/A")</f>
        <v>#N/A</v>
      </c>
      <c r="H129" s="97" t="str">
        <f>IFERROR(__xludf.DUMMYFUNCTION("GOOGLEFINANCE(E129, ""low"")"),"#N/A")</f>
        <v>#N/A</v>
      </c>
      <c r="I129" s="99" t="str">
        <f>IFERROR(__xludf.DUMMYFUNCTION("GOOGLEFINANCE(E129, ""high"")"),"#N/A")</f>
        <v>#N/A</v>
      </c>
      <c r="J129" s="144"/>
      <c r="K129" s="129">
        <v>2.53</v>
      </c>
      <c r="L129" s="129">
        <v>69.76</v>
      </c>
      <c r="M129" s="129">
        <v>39.56</v>
      </c>
      <c r="N129" s="129">
        <v>0.55</v>
      </c>
      <c r="O129" s="110" t="s">
        <v>1561</v>
      </c>
      <c r="P129" s="129">
        <v>6.81</v>
      </c>
      <c r="Q129" s="130">
        <v>45838.32549383102</v>
      </c>
      <c r="R129" s="131" t="b">
        <v>1</v>
      </c>
      <c r="S129" s="110" t="s">
        <v>5796</v>
      </c>
      <c r="T129" s="110">
        <v>0.0</v>
      </c>
      <c r="U129" s="110" t="s">
        <v>1558</v>
      </c>
      <c r="V129" s="110" t="s">
        <v>5088</v>
      </c>
      <c r="W129" s="110" t="s">
        <v>5089</v>
      </c>
      <c r="X129" s="110" t="s">
        <v>5090</v>
      </c>
      <c r="Y129" s="110" t="s">
        <v>5091</v>
      </c>
      <c r="Z129" s="110" t="s">
        <v>3865</v>
      </c>
      <c r="AA129" s="110" t="s">
        <v>5092</v>
      </c>
      <c r="AB129" s="110" t="s">
        <v>736</v>
      </c>
      <c r="AC129" s="110" t="s">
        <v>5094</v>
      </c>
      <c r="AD129" s="132">
        <v>46030.37144675926</v>
      </c>
      <c r="AE129" s="110" t="s">
        <v>5095</v>
      </c>
      <c r="AF129" s="133"/>
      <c r="AG129" s="133"/>
      <c r="AH129" s="133"/>
    </row>
    <row r="130" ht="22.5" customHeight="1">
      <c r="A130" s="73"/>
      <c r="B130" s="73"/>
      <c r="C130" s="73"/>
      <c r="D130" s="73"/>
      <c r="E130" s="127" t="s">
        <v>5101</v>
      </c>
      <c r="F130" s="110" t="s">
        <v>5102</v>
      </c>
      <c r="G130" s="96">
        <f>IFERROR(__xludf.DUMMYFUNCTION("GOOGLEFINANCE(E130, ""price"")"),9.34)</f>
        <v>9.34</v>
      </c>
      <c r="H130" s="97">
        <f>IFERROR(__xludf.DUMMYFUNCTION("GOOGLEFINANCE(E130, ""low"")"),9.05)</f>
        <v>9.05</v>
      </c>
      <c r="I130" s="99">
        <f>IFERROR(__xludf.DUMMYFUNCTION("GOOGLEFINANCE(E130, ""high"")"),9.76)</f>
        <v>9.76</v>
      </c>
      <c r="J130" s="128"/>
      <c r="K130" s="129">
        <v>2.6</v>
      </c>
      <c r="L130" s="129">
        <v>63.17</v>
      </c>
      <c r="M130" s="129">
        <v>36.41</v>
      </c>
      <c r="N130" s="129">
        <v>1.02</v>
      </c>
      <c r="O130" s="110" t="s">
        <v>170</v>
      </c>
      <c r="P130" s="129">
        <v>17.51</v>
      </c>
      <c r="Q130" s="130">
        <v>45838.323184444445</v>
      </c>
      <c r="R130" s="131" t="b">
        <v>1</v>
      </c>
      <c r="S130" s="110" t="s">
        <v>5797</v>
      </c>
      <c r="T130" s="110">
        <v>0.0</v>
      </c>
      <c r="U130" s="110" t="s">
        <v>5101</v>
      </c>
      <c r="V130" s="110" t="s">
        <v>5109</v>
      </c>
      <c r="W130" s="110" t="s">
        <v>5110</v>
      </c>
      <c r="X130" s="110" t="s">
        <v>5111</v>
      </c>
      <c r="Y130" s="110" t="s">
        <v>5112</v>
      </c>
      <c r="Z130" s="110" t="s">
        <v>5113</v>
      </c>
      <c r="AA130" s="110" t="s">
        <v>5114</v>
      </c>
      <c r="AB130" s="110" t="s">
        <v>736</v>
      </c>
      <c r="AC130" s="110" t="s">
        <v>5115</v>
      </c>
      <c r="AD130" s="132">
        <v>46030.37144675926</v>
      </c>
      <c r="AE130" s="110" t="s">
        <v>5117</v>
      </c>
      <c r="AF130" s="133"/>
      <c r="AG130" s="133"/>
      <c r="AH130" s="133"/>
    </row>
    <row r="131" ht="22.5" customHeight="1">
      <c r="A131" s="73"/>
      <c r="B131" s="73"/>
      <c r="C131" s="73"/>
      <c r="D131" s="73"/>
      <c r="E131" s="127" t="s">
        <v>977</v>
      </c>
      <c r="F131" s="110" t="s">
        <v>5118</v>
      </c>
      <c r="G131" s="96">
        <f>IFERROR(__xludf.DUMMYFUNCTION("GOOGLEFINANCE(E131, ""price"")"),49.12)</f>
        <v>49.12</v>
      </c>
      <c r="H131" s="97">
        <f>IFERROR(__xludf.DUMMYFUNCTION("GOOGLEFINANCE(E131, ""low"")"),48.92)</f>
        <v>48.92</v>
      </c>
      <c r="I131" s="99">
        <f>IFERROR(__xludf.DUMMYFUNCTION("GOOGLEFINANCE(E131, ""high"")"),50.4)</f>
        <v>50.4</v>
      </c>
      <c r="J131" s="128" t="s">
        <v>282</v>
      </c>
      <c r="K131" s="145"/>
      <c r="L131" s="145"/>
      <c r="M131" s="145"/>
      <c r="N131" s="145"/>
      <c r="O131" s="143"/>
      <c r="P131" s="129">
        <v>102.75</v>
      </c>
      <c r="Q131" s="130">
        <v>45966.805508715275</v>
      </c>
      <c r="R131" s="131" t="b">
        <v>1</v>
      </c>
      <c r="S131" s="110" t="s">
        <v>5800</v>
      </c>
      <c r="T131" s="110">
        <v>0.0</v>
      </c>
      <c r="U131" s="110" t="s">
        <v>977</v>
      </c>
      <c r="V131" s="110" t="s">
        <v>5142</v>
      </c>
      <c r="W131" s="110" t="s">
        <v>5143</v>
      </c>
      <c r="X131" s="110" t="s">
        <v>5145</v>
      </c>
      <c r="Y131" s="110" t="s">
        <v>1387</v>
      </c>
      <c r="Z131" s="110" t="s">
        <v>970</v>
      </c>
      <c r="AA131" s="110" t="s">
        <v>5147</v>
      </c>
      <c r="AB131" s="110" t="s">
        <v>5149</v>
      </c>
      <c r="AC131" s="110" t="s">
        <v>5151</v>
      </c>
      <c r="AD131" s="132">
        <v>46030.37144675926</v>
      </c>
      <c r="AE131" s="110" t="s">
        <v>5153</v>
      </c>
      <c r="AF131" s="133"/>
      <c r="AG131" s="133"/>
      <c r="AH131" s="133"/>
    </row>
    <row r="132" ht="22.5" customHeight="1">
      <c r="A132" s="73"/>
      <c r="B132" s="73"/>
      <c r="C132" s="73"/>
      <c r="D132" s="73"/>
      <c r="E132" s="127" t="s">
        <v>5156</v>
      </c>
      <c r="F132" s="110" t="s">
        <v>5158</v>
      </c>
      <c r="G132" s="96">
        <f>IFERROR(__xludf.DUMMYFUNCTION("GOOGLEFINANCE(E132, ""price"")"),6.79)</f>
        <v>6.79</v>
      </c>
      <c r="H132" s="97">
        <f>IFERROR(__xludf.DUMMYFUNCTION("GOOGLEFINANCE(E132, ""low"")"),6.68)</f>
        <v>6.68</v>
      </c>
      <c r="I132" s="99">
        <f>IFERROR(__xludf.DUMMYFUNCTION("GOOGLEFINANCE(E132, ""high"")"),6.94)</f>
        <v>6.94</v>
      </c>
      <c r="J132" s="128"/>
      <c r="K132" s="145"/>
      <c r="L132" s="145"/>
      <c r="M132" s="145"/>
      <c r="N132" s="145"/>
      <c r="O132" s="110" t="s">
        <v>3253</v>
      </c>
      <c r="P132" s="129">
        <v>6.12</v>
      </c>
      <c r="Q132" s="130">
        <v>45982.40019418982</v>
      </c>
      <c r="R132" s="131" t="b">
        <v>1</v>
      </c>
      <c r="S132" s="110" t="s">
        <v>5801</v>
      </c>
      <c r="T132" s="110">
        <v>0.0</v>
      </c>
      <c r="U132" s="110" t="s">
        <v>5156</v>
      </c>
      <c r="V132" s="110" t="s">
        <v>5169</v>
      </c>
      <c r="W132" s="110" t="s">
        <v>5170</v>
      </c>
      <c r="X132" s="110" t="s">
        <v>5172</v>
      </c>
      <c r="Y132" s="110" t="s">
        <v>5173</v>
      </c>
      <c r="Z132" s="110" t="s">
        <v>5175</v>
      </c>
      <c r="AA132" s="110" t="s">
        <v>5176</v>
      </c>
      <c r="AB132" s="110" t="s">
        <v>736</v>
      </c>
      <c r="AC132" s="110" t="s">
        <v>5179</v>
      </c>
      <c r="AD132" s="132">
        <v>46030.37144675926</v>
      </c>
      <c r="AE132" s="110" t="s">
        <v>5180</v>
      </c>
      <c r="AF132" s="133"/>
      <c r="AG132" s="133"/>
      <c r="AH132" s="133"/>
    </row>
    <row r="133" ht="22.5" customHeight="1">
      <c r="A133" s="73"/>
      <c r="B133" s="73"/>
      <c r="C133" s="73"/>
      <c r="D133" s="73"/>
      <c r="E133" s="127" t="s">
        <v>5181</v>
      </c>
      <c r="F133" s="110" t="s">
        <v>5182</v>
      </c>
      <c r="G133" s="96">
        <f>IFERROR(__xludf.DUMMYFUNCTION("GOOGLEFINANCE(E133, ""price"")"),150.39)</f>
        <v>150.39</v>
      </c>
      <c r="H133" s="97">
        <f>IFERROR(__xludf.DUMMYFUNCTION("GOOGLEFINANCE(E133, ""low"")"),147.77)</f>
        <v>147.77</v>
      </c>
      <c r="I133" s="99">
        <f>IFERROR(__xludf.DUMMYFUNCTION("GOOGLEFINANCE(E133, ""high"")"),154.94)</f>
        <v>154.94</v>
      </c>
      <c r="J133" s="128"/>
      <c r="K133" s="129">
        <v>-3.0</v>
      </c>
      <c r="L133" s="129">
        <v>38.73</v>
      </c>
      <c r="M133" s="129">
        <v>29.51</v>
      </c>
      <c r="N133" s="129">
        <v>12.03</v>
      </c>
      <c r="O133" s="110" t="s">
        <v>3253</v>
      </c>
      <c r="P133" s="129">
        <v>198.49</v>
      </c>
      <c r="Q133" s="130">
        <v>45945.280962476856</v>
      </c>
      <c r="R133" s="131" t="b">
        <v>1</v>
      </c>
      <c r="S133" s="110" t="s">
        <v>5803</v>
      </c>
      <c r="T133" s="110">
        <v>0.0</v>
      </c>
      <c r="U133" s="110" t="s">
        <v>5181</v>
      </c>
      <c r="V133" s="110" t="s">
        <v>5187</v>
      </c>
      <c r="W133" s="110" t="s">
        <v>5189</v>
      </c>
      <c r="X133" s="110" t="s">
        <v>5190</v>
      </c>
      <c r="Y133" s="110" t="s">
        <v>5191</v>
      </c>
      <c r="Z133" s="110" t="s">
        <v>5192</v>
      </c>
      <c r="AA133" s="110" t="s">
        <v>5193</v>
      </c>
      <c r="AB133" s="110" t="s">
        <v>607</v>
      </c>
      <c r="AC133" s="110" t="s">
        <v>5194</v>
      </c>
      <c r="AD133" s="132">
        <v>46030.37144675926</v>
      </c>
      <c r="AE133" s="110" t="s">
        <v>5195</v>
      </c>
      <c r="AF133" s="133"/>
      <c r="AG133" s="133"/>
      <c r="AH133" s="133"/>
    </row>
    <row r="134" ht="22.5" customHeight="1">
      <c r="A134" s="73"/>
      <c r="B134" s="73"/>
      <c r="C134" s="73"/>
      <c r="D134" s="73"/>
      <c r="E134" s="125" t="s">
        <v>147</v>
      </c>
      <c r="F134" s="125" t="s">
        <v>148</v>
      </c>
      <c r="G134" s="96">
        <f>IFERROR(__xludf.DUMMYFUNCTION("GOOGLEFINANCE(E134, ""price"")"),253.12)</f>
        <v>253.12</v>
      </c>
      <c r="H134" s="97">
        <f>IFERROR(__xludf.DUMMYFUNCTION("GOOGLEFINANCE(E134, ""low"")"),251.14)</f>
        <v>251.14</v>
      </c>
      <c r="I134" s="99">
        <f>IFERROR(__xludf.DUMMYFUNCTION("GOOGLEFINANCE(E134, ""high"")"),254.26)</f>
        <v>254.26</v>
      </c>
      <c r="J134" s="152"/>
      <c r="K134" s="106"/>
      <c r="L134" s="106"/>
      <c r="M134" s="106"/>
      <c r="N134" s="106"/>
      <c r="O134" s="105"/>
      <c r="P134" s="106"/>
      <c r="Q134" s="108"/>
      <c r="R134" s="109" t="b">
        <v>1</v>
      </c>
      <c r="S134" s="110" t="s">
        <v>5805</v>
      </c>
      <c r="T134" s="110">
        <v>0.0</v>
      </c>
      <c r="U134" s="111" t="s">
        <v>147</v>
      </c>
      <c r="V134" s="111" t="s">
        <v>5197</v>
      </c>
      <c r="W134" s="111" t="s">
        <v>5198</v>
      </c>
      <c r="X134" s="111" t="s">
        <v>5199</v>
      </c>
      <c r="Y134" s="111" t="s">
        <v>5200</v>
      </c>
      <c r="Z134" s="111" t="s">
        <v>5201</v>
      </c>
      <c r="AA134" s="111" t="s">
        <v>5202</v>
      </c>
      <c r="AB134" s="111" t="s">
        <v>4062</v>
      </c>
      <c r="AC134" s="111" t="s">
        <v>5203</v>
      </c>
      <c r="AD134" s="112">
        <v>46030.37144675926</v>
      </c>
      <c r="AE134" s="111" t="s">
        <v>5204</v>
      </c>
      <c r="AF134" s="122"/>
      <c r="AG134" s="122"/>
      <c r="AH134" s="122"/>
    </row>
    <row r="135" ht="22.5" customHeight="1">
      <c r="A135" s="73"/>
      <c r="B135" s="73"/>
      <c r="C135" s="73"/>
      <c r="D135" s="73"/>
      <c r="E135" s="280" t="s">
        <v>1362</v>
      </c>
      <c r="F135" s="280" t="s">
        <v>1364</v>
      </c>
      <c r="G135" s="96">
        <f>IFERROR(__xludf.DUMMYFUNCTION("GOOGLEFINANCE(E135, ""price"")"),16.19)</f>
        <v>16.19</v>
      </c>
      <c r="H135" s="97">
        <f>IFERROR(__xludf.DUMMYFUNCTION("GOOGLEFINANCE(E135, ""low"")"),16.07)</f>
        <v>16.07</v>
      </c>
      <c r="I135" s="99">
        <f>IFERROR(__xludf.DUMMYFUNCTION("GOOGLEFINANCE(E135, ""high"")"),17.66)</f>
        <v>17.66</v>
      </c>
      <c r="J135" s="144"/>
      <c r="K135" s="145"/>
      <c r="L135" s="145"/>
      <c r="M135" s="145"/>
      <c r="N135" s="145"/>
      <c r="O135" s="129"/>
      <c r="P135" s="129">
        <v>10.48</v>
      </c>
      <c r="Q135" s="130">
        <v>45707.2402543287</v>
      </c>
      <c r="R135" s="131" t="b">
        <v>1</v>
      </c>
      <c r="S135" s="110" t="s">
        <v>5806</v>
      </c>
      <c r="T135" s="110">
        <v>0.0</v>
      </c>
      <c r="U135" s="110" t="s">
        <v>1362</v>
      </c>
      <c r="V135" s="110" t="s">
        <v>5210</v>
      </c>
      <c r="W135" s="110" t="s">
        <v>2568</v>
      </c>
      <c r="X135" s="110" t="s">
        <v>5211</v>
      </c>
      <c r="Y135" s="110" t="s">
        <v>5212</v>
      </c>
      <c r="Z135" s="110" t="s">
        <v>5213</v>
      </c>
      <c r="AA135" s="110" t="s">
        <v>5214</v>
      </c>
      <c r="AB135" s="110" t="s">
        <v>783</v>
      </c>
      <c r="AC135" s="110" t="s">
        <v>5215</v>
      </c>
      <c r="AD135" s="132">
        <v>46030.37144675926</v>
      </c>
      <c r="AE135" s="110" t="s">
        <v>1900</v>
      </c>
      <c r="AF135" s="133"/>
      <c r="AG135" s="133"/>
      <c r="AH135" s="133"/>
    </row>
    <row r="136" ht="22.5" customHeight="1">
      <c r="A136" s="73"/>
      <c r="B136" s="73"/>
      <c r="C136" s="73"/>
      <c r="D136" s="73"/>
      <c r="E136" s="127" t="s">
        <v>1017</v>
      </c>
      <c r="F136" s="110" t="s">
        <v>1018</v>
      </c>
      <c r="G136" s="96">
        <f>IFERROR(__xludf.DUMMYFUNCTION("GOOGLEFINANCE(E136, ""price"")"),71.62)</f>
        <v>71.62</v>
      </c>
      <c r="H136" s="97">
        <f>IFERROR(__xludf.DUMMYFUNCTION("GOOGLEFINANCE(E136, ""low"")"),70.98)</f>
        <v>70.98</v>
      </c>
      <c r="I136" s="99">
        <f>IFERROR(__xludf.DUMMYFUNCTION("GOOGLEFINANCE(E136, ""high"")"),73.57)</f>
        <v>73.57</v>
      </c>
      <c r="J136" s="144"/>
      <c r="K136" s="129">
        <v>7.29</v>
      </c>
      <c r="L136" s="129">
        <v>72.27</v>
      </c>
      <c r="M136" s="129">
        <v>23.53</v>
      </c>
      <c r="N136" s="129">
        <v>1.75</v>
      </c>
      <c r="O136" s="110" t="s">
        <v>542</v>
      </c>
      <c r="P136" s="129">
        <v>47.03</v>
      </c>
      <c r="Q136" s="130">
        <v>45895.30139100694</v>
      </c>
      <c r="R136" s="131" t="b">
        <v>1</v>
      </c>
      <c r="S136" s="110" t="s">
        <v>5808</v>
      </c>
      <c r="T136" s="110">
        <v>0.0</v>
      </c>
      <c r="U136" s="110" t="s">
        <v>1017</v>
      </c>
      <c r="V136" s="110" t="s">
        <v>5229</v>
      </c>
      <c r="W136" s="110" t="s">
        <v>5230</v>
      </c>
      <c r="X136" s="110" t="s">
        <v>5231</v>
      </c>
      <c r="Y136" s="110" t="s">
        <v>5232</v>
      </c>
      <c r="Z136" s="110" t="s">
        <v>5233</v>
      </c>
      <c r="AA136" s="110" t="s">
        <v>5234</v>
      </c>
      <c r="AB136" s="110" t="s">
        <v>315</v>
      </c>
      <c r="AC136" s="110" t="s">
        <v>5235</v>
      </c>
      <c r="AD136" s="132">
        <v>46030.37144675926</v>
      </c>
      <c r="AE136" s="110" t="s">
        <v>1888</v>
      </c>
      <c r="AF136" s="133"/>
      <c r="AG136" s="133"/>
      <c r="AH136" s="133"/>
    </row>
    <row r="137" ht="22.5" customHeight="1">
      <c r="A137" s="73"/>
      <c r="B137" s="73"/>
      <c r="C137" s="73"/>
      <c r="D137" s="73"/>
      <c r="E137" s="127" t="s">
        <v>5236</v>
      </c>
      <c r="F137" s="110" t="s">
        <v>5237</v>
      </c>
      <c r="G137" s="96">
        <f>IFERROR(__xludf.DUMMYFUNCTION("GOOGLEFINANCE(E137, ""price"")"),342.11)</f>
        <v>342.11</v>
      </c>
      <c r="H137" s="97">
        <f>IFERROR(__xludf.DUMMYFUNCTION("GOOGLEFINANCE(E137, ""low"")"),339.79)</f>
        <v>339.79</v>
      </c>
      <c r="I137" s="99">
        <f>IFERROR(__xludf.DUMMYFUNCTION("GOOGLEFINANCE(E137, ""high"")"),348.51)</f>
        <v>348.51</v>
      </c>
      <c r="J137" s="128"/>
      <c r="K137" s="129">
        <v>22.54</v>
      </c>
      <c r="L137" s="129">
        <v>71.56</v>
      </c>
      <c r="M137" s="129">
        <v>38.42</v>
      </c>
      <c r="N137" s="129">
        <v>8.59</v>
      </c>
      <c r="O137" s="110" t="s">
        <v>542</v>
      </c>
      <c r="P137" s="129">
        <v>274.01</v>
      </c>
      <c r="Q137" s="130">
        <v>45799.42217734954</v>
      </c>
      <c r="R137" s="131" t="b">
        <v>1</v>
      </c>
      <c r="S137" s="110" t="s">
        <v>5809</v>
      </c>
      <c r="T137" s="110">
        <v>0.0</v>
      </c>
      <c r="U137" s="110" t="s">
        <v>5236</v>
      </c>
      <c r="V137" s="110" t="s">
        <v>5242</v>
      </c>
      <c r="W137" s="110" t="s">
        <v>5244</v>
      </c>
      <c r="X137" s="110" t="s">
        <v>5245</v>
      </c>
      <c r="Y137" s="110" t="s">
        <v>5246</v>
      </c>
      <c r="Z137" s="110" t="s">
        <v>5247</v>
      </c>
      <c r="AA137" s="110" t="s">
        <v>5248</v>
      </c>
      <c r="AB137" s="110" t="s">
        <v>5249</v>
      </c>
      <c r="AC137" s="110" t="s">
        <v>5250</v>
      </c>
      <c r="AD137" s="132">
        <v>46030.37144675926</v>
      </c>
      <c r="AE137" s="110" t="s">
        <v>5251</v>
      </c>
      <c r="AF137" s="133"/>
      <c r="AG137" s="133"/>
      <c r="AH137" s="133"/>
    </row>
    <row r="138" ht="22.5" customHeight="1">
      <c r="A138" s="73"/>
      <c r="B138" s="73"/>
      <c r="C138" s="73"/>
      <c r="D138" s="73"/>
      <c r="E138" s="127" t="s">
        <v>513</v>
      </c>
      <c r="F138" s="110" t="s">
        <v>513</v>
      </c>
      <c r="G138" s="96">
        <f>IFERROR(__xludf.DUMMYFUNCTION("GOOGLEFINANCE(E138, ""price"")"),186.46)</f>
        <v>186.46</v>
      </c>
      <c r="H138" s="97">
        <f>IFERROR(__xludf.DUMMYFUNCTION("GOOGLEFINANCE(E138, ""low"")"),183.48)</f>
        <v>183.48</v>
      </c>
      <c r="I138" s="99">
        <f>IFERROR(__xludf.DUMMYFUNCTION("GOOGLEFINANCE(E138, ""high"")"),187.8)</f>
        <v>187.8</v>
      </c>
      <c r="J138" s="128"/>
      <c r="K138" s="129">
        <v>-5.0</v>
      </c>
      <c r="L138" s="129">
        <v>58.72</v>
      </c>
      <c r="M138" s="129">
        <v>39.72</v>
      </c>
      <c r="N138" s="129">
        <v>4.63</v>
      </c>
      <c r="O138" s="143"/>
      <c r="P138" s="129">
        <v>238.78</v>
      </c>
      <c r="Q138" s="130">
        <v>45770.36725606481</v>
      </c>
      <c r="R138" s="131" t="b">
        <v>1</v>
      </c>
      <c r="S138" s="110" t="s">
        <v>5813</v>
      </c>
      <c r="T138" s="110">
        <v>0.0</v>
      </c>
      <c r="U138" s="110" t="s">
        <v>513</v>
      </c>
      <c r="V138" s="110" t="s">
        <v>5256</v>
      </c>
      <c r="W138" s="110" t="s">
        <v>5257</v>
      </c>
      <c r="X138" s="110" t="s">
        <v>5258</v>
      </c>
      <c r="Y138" s="110" t="s">
        <v>5259</v>
      </c>
      <c r="Z138" s="110" t="s">
        <v>5260</v>
      </c>
      <c r="AA138" s="110" t="s">
        <v>5261</v>
      </c>
      <c r="AB138" s="110" t="s">
        <v>1905</v>
      </c>
      <c r="AC138" s="110" t="s">
        <v>5262</v>
      </c>
      <c r="AD138" s="132">
        <v>46030.37144675926</v>
      </c>
      <c r="AE138" s="110" t="s">
        <v>5263</v>
      </c>
      <c r="AF138" s="133"/>
      <c r="AG138" s="133"/>
      <c r="AH138" s="133"/>
    </row>
    <row r="139" ht="22.5" customHeight="1">
      <c r="A139" s="73"/>
      <c r="B139" s="73"/>
      <c r="C139" s="73"/>
      <c r="D139" s="73"/>
      <c r="E139" s="117" t="s">
        <v>5266</v>
      </c>
      <c r="F139" s="111" t="s">
        <v>5267</v>
      </c>
      <c r="G139" s="96">
        <f>IFERROR(__xludf.DUMMYFUNCTION("GOOGLEFINANCE(E139, ""price"")"),94.34)</f>
        <v>94.34</v>
      </c>
      <c r="H139" s="118"/>
      <c r="I139" s="118"/>
      <c r="J139" s="119"/>
      <c r="K139" s="120"/>
      <c r="L139" s="120"/>
      <c r="M139" s="120"/>
      <c r="N139" s="120"/>
      <c r="O139" s="118"/>
      <c r="P139" s="120"/>
      <c r="Q139" s="121"/>
      <c r="R139" s="109" t="b">
        <v>1</v>
      </c>
      <c r="S139" s="110" t="s">
        <v>5814</v>
      </c>
      <c r="T139" s="110">
        <v>0.0</v>
      </c>
      <c r="U139" s="111" t="s">
        <v>5266</v>
      </c>
      <c r="V139" s="111" t="s">
        <v>5271</v>
      </c>
      <c r="W139" s="111" t="s">
        <v>5272</v>
      </c>
      <c r="X139" s="111" t="s">
        <v>5273</v>
      </c>
      <c r="Y139" s="111" t="s">
        <v>5274</v>
      </c>
      <c r="Z139" s="111" t="s">
        <v>5275</v>
      </c>
      <c r="AA139" s="111" t="s">
        <v>5276</v>
      </c>
      <c r="AB139" s="111" t="s">
        <v>5277</v>
      </c>
      <c r="AC139" s="111" t="s">
        <v>5278</v>
      </c>
      <c r="AD139" s="112">
        <v>46030.37144675926</v>
      </c>
      <c r="AE139" s="111" t="s">
        <v>5279</v>
      </c>
      <c r="AF139" s="122"/>
      <c r="AG139" s="122"/>
      <c r="AH139" s="122"/>
    </row>
    <row r="140" ht="22.5" customHeight="1">
      <c r="A140" s="73"/>
      <c r="B140" s="149" t="s">
        <v>327</v>
      </c>
      <c r="C140" s="150">
        <f>now()</f>
        <v>46288.71545</v>
      </c>
      <c r="D140" s="73"/>
      <c r="E140" s="282" t="s">
        <v>1002</v>
      </c>
      <c r="F140" s="103" t="s">
        <v>1003</v>
      </c>
      <c r="G140" s="96">
        <f>IFERROR(__xludf.DUMMYFUNCTION("GOOGLEFINANCE(E140, ""price"")"),57.68)</f>
        <v>57.68</v>
      </c>
      <c r="H140" s="97">
        <f>IFERROR(__xludf.DUMMYFUNCTION("GOOGLEFINANCE(E140, ""low"")"),56.25)</f>
        <v>56.25</v>
      </c>
      <c r="I140" s="99">
        <f>IFERROR(__xludf.DUMMYFUNCTION("GOOGLEFINANCE(E140, ""high"")"),57.85)</f>
        <v>57.85</v>
      </c>
      <c r="J140" s="144"/>
      <c r="K140" s="145"/>
      <c r="L140" s="145"/>
      <c r="M140" s="145"/>
      <c r="N140" s="145"/>
      <c r="O140" s="145"/>
      <c r="P140" s="145"/>
      <c r="Q140" s="130"/>
      <c r="R140" s="131" t="b">
        <v>1</v>
      </c>
      <c r="S140" s="110" t="s">
        <v>5815</v>
      </c>
      <c r="T140" s="110">
        <v>0.0</v>
      </c>
      <c r="U140" s="110" t="s">
        <v>1002</v>
      </c>
      <c r="V140" s="110" t="s">
        <v>5286</v>
      </c>
      <c r="W140" s="110" t="s">
        <v>2521</v>
      </c>
      <c r="X140" s="110" t="s">
        <v>5291</v>
      </c>
      <c r="Y140" s="110" t="s">
        <v>2843</v>
      </c>
      <c r="Z140" s="110" t="s">
        <v>5293</v>
      </c>
      <c r="AA140" s="110" t="s">
        <v>5294</v>
      </c>
      <c r="AB140" s="110" t="s">
        <v>2919</v>
      </c>
      <c r="AC140" s="110" t="s">
        <v>5296</v>
      </c>
      <c r="AD140" s="132">
        <v>46030.37144675926</v>
      </c>
      <c r="AE140" s="110" t="s">
        <v>5298</v>
      </c>
      <c r="AF140" s="133"/>
      <c r="AG140" s="133"/>
      <c r="AH140" s="133"/>
    </row>
    <row r="141" ht="22.5" customHeight="1">
      <c r="A141" s="73"/>
      <c r="B141" s="73"/>
      <c r="C141" s="73"/>
      <c r="D141" s="73"/>
      <c r="E141" s="127" t="s">
        <v>1832</v>
      </c>
      <c r="F141" s="110" t="s">
        <v>5299</v>
      </c>
      <c r="G141" s="96">
        <f>IFERROR(__xludf.DUMMYFUNCTION("GOOGLEFINANCE(E141, ""price"")"),142.32)</f>
        <v>142.32</v>
      </c>
      <c r="H141" s="97">
        <f>IFERROR(__xludf.DUMMYFUNCTION("GOOGLEFINANCE(E141, ""low"")"),135.68)</f>
        <v>135.68</v>
      </c>
      <c r="I141" s="99">
        <f>IFERROR(__xludf.DUMMYFUNCTION("GOOGLEFINANCE(E141, ""high"")"),151.29)</f>
        <v>151.29</v>
      </c>
      <c r="J141" s="144"/>
      <c r="K141" s="145"/>
      <c r="L141" s="145"/>
      <c r="M141" s="145"/>
      <c r="N141" s="145"/>
      <c r="O141" s="110" t="s">
        <v>998</v>
      </c>
      <c r="P141" s="129">
        <v>157.1</v>
      </c>
      <c r="Q141" s="130">
        <v>45923.13713537037</v>
      </c>
      <c r="R141" s="131" t="b">
        <v>1</v>
      </c>
      <c r="S141" s="110" t="s">
        <v>5817</v>
      </c>
      <c r="T141" s="110">
        <v>0.0</v>
      </c>
      <c r="U141" s="110" t="s">
        <v>1832</v>
      </c>
      <c r="V141" s="110" t="s">
        <v>5302</v>
      </c>
      <c r="W141" s="110" t="s">
        <v>5303</v>
      </c>
      <c r="X141" s="110" t="s">
        <v>5304</v>
      </c>
      <c r="Y141" s="110" t="s">
        <v>5305</v>
      </c>
      <c r="Z141" s="110" t="s">
        <v>5306</v>
      </c>
      <c r="AA141" s="110" t="s">
        <v>5307</v>
      </c>
      <c r="AB141" s="110" t="s">
        <v>2105</v>
      </c>
      <c r="AC141" s="110" t="s">
        <v>5308</v>
      </c>
      <c r="AD141" s="132">
        <v>46030.37144675926</v>
      </c>
      <c r="AE141" s="110" t="s">
        <v>5309</v>
      </c>
      <c r="AF141" s="133"/>
      <c r="AG141" s="133"/>
      <c r="AH141" s="133"/>
    </row>
    <row r="142" ht="22.5" customHeight="1">
      <c r="A142" s="73"/>
      <c r="B142" s="73"/>
      <c r="C142" s="73"/>
      <c r="D142" s="73"/>
      <c r="E142" s="110" t="s">
        <v>300</v>
      </c>
      <c r="F142" s="110" t="s">
        <v>301</v>
      </c>
      <c r="G142" s="96">
        <f>IFERROR(__xludf.DUMMYFUNCTION("GOOGLEFINANCE(E142, ""price"")"),41.6)</f>
        <v>41.6</v>
      </c>
      <c r="H142" s="97">
        <f>IFERROR(__xludf.DUMMYFUNCTION("GOOGLEFINANCE(E142, ""low"")"),40.79)</f>
        <v>40.79</v>
      </c>
      <c r="I142" s="99">
        <f>IFERROR(__xludf.DUMMYFUNCTION("GOOGLEFINANCE(E142, ""high"")"),42.7)</f>
        <v>42.7</v>
      </c>
      <c r="J142" s="144"/>
      <c r="K142" s="145"/>
      <c r="L142" s="145"/>
      <c r="M142" s="145"/>
      <c r="N142" s="145"/>
      <c r="O142" s="129"/>
      <c r="P142" s="129">
        <v>44.04</v>
      </c>
      <c r="Q142" s="130">
        <v>46219.39700707176</v>
      </c>
      <c r="R142" s="131" t="b">
        <v>1</v>
      </c>
      <c r="S142" s="110" t="s">
        <v>5818</v>
      </c>
      <c r="T142" s="110">
        <v>0.0</v>
      </c>
      <c r="U142" s="110" t="s">
        <v>300</v>
      </c>
      <c r="V142" s="110" t="s">
        <v>5325</v>
      </c>
      <c r="W142" s="110" t="s">
        <v>5326</v>
      </c>
      <c r="X142" s="110" t="s">
        <v>5327</v>
      </c>
      <c r="Y142" s="110" t="s">
        <v>5328</v>
      </c>
      <c r="Z142" s="110" t="s">
        <v>5329</v>
      </c>
      <c r="AA142" s="110" t="s">
        <v>5330</v>
      </c>
      <c r="AB142" s="110" t="s">
        <v>429</v>
      </c>
      <c r="AC142" s="110" t="s">
        <v>5331</v>
      </c>
      <c r="AD142" s="132">
        <v>46030.37144675926</v>
      </c>
      <c r="AE142" s="110" t="s">
        <v>5332</v>
      </c>
      <c r="AF142" s="133"/>
      <c r="AG142" s="133"/>
      <c r="AH142" s="133"/>
    </row>
    <row r="143" ht="22.5" customHeight="1">
      <c r="A143" s="73"/>
      <c r="B143" s="73"/>
      <c r="C143" s="73"/>
      <c r="D143" s="73"/>
      <c r="E143" s="110" t="s">
        <v>5819</v>
      </c>
      <c r="F143" s="110" t="s">
        <v>5820</v>
      </c>
      <c r="G143" s="96">
        <f>IFERROR(__xludf.DUMMYFUNCTION("GOOGLEFINANCE(E143, ""price"")"),241.8)</f>
        <v>241.8</v>
      </c>
      <c r="H143" s="97">
        <f>IFERROR(__xludf.DUMMYFUNCTION("GOOGLEFINANCE(E143, ""low"")"),239.2)</f>
        <v>239.2</v>
      </c>
      <c r="I143" s="99">
        <f>IFERROR(__xludf.DUMMYFUNCTION("GOOGLEFINANCE(E143, ""high"")"),241.8)</f>
        <v>241.8</v>
      </c>
      <c r="J143" s="144"/>
      <c r="K143" s="145"/>
      <c r="L143" s="145"/>
      <c r="M143" s="145"/>
      <c r="N143" s="145"/>
      <c r="O143" s="129"/>
      <c r="P143" s="129">
        <v>298.9</v>
      </c>
      <c r="Q143" s="130">
        <v>45707.371802939815</v>
      </c>
      <c r="R143" s="131" t="b">
        <v>0</v>
      </c>
      <c r="S143" s="110" t="s">
        <v>145</v>
      </c>
      <c r="T143" s="110">
        <v>0.0</v>
      </c>
      <c r="U143" s="110" t="s">
        <v>5819</v>
      </c>
      <c r="V143" s="110" t="s">
        <v>5183</v>
      </c>
      <c r="W143" s="110" t="s">
        <v>5184</v>
      </c>
      <c r="X143" s="143"/>
      <c r="Y143" s="143"/>
      <c r="Z143" s="143"/>
      <c r="AA143" s="143"/>
      <c r="AB143" s="143"/>
      <c r="AC143" s="110"/>
      <c r="AD143" s="132">
        <v>46030.37144675926</v>
      </c>
      <c r="AE143" s="110" t="s">
        <v>5821</v>
      </c>
      <c r="AF143" s="133"/>
      <c r="AG143" s="133"/>
      <c r="AH143" s="133"/>
    </row>
    <row r="144" ht="22.5" customHeight="1">
      <c r="A144" s="73"/>
      <c r="B144" s="73"/>
      <c r="C144" s="73"/>
      <c r="D144" s="73"/>
      <c r="E144" s="125" t="s">
        <v>5335</v>
      </c>
      <c r="F144" s="125" t="s">
        <v>5337</v>
      </c>
      <c r="G144" s="96">
        <f>IFERROR(__xludf.DUMMYFUNCTION("GOOGLEFINANCE(E144, ""price"")"),6.1)</f>
        <v>6.1</v>
      </c>
      <c r="H144" s="97">
        <f>IFERROR(__xludf.DUMMYFUNCTION("GOOGLEFINANCE(E144, ""low"")"),6.0)</f>
        <v>6</v>
      </c>
      <c r="I144" s="99">
        <f>IFERROR(__xludf.DUMMYFUNCTION("GOOGLEFINANCE(E144, ""high"")"),6.16)</f>
        <v>6.16</v>
      </c>
      <c r="J144" s="152"/>
      <c r="K144" s="106"/>
      <c r="L144" s="106"/>
      <c r="M144" s="106"/>
      <c r="N144" s="106"/>
      <c r="O144" s="105"/>
      <c r="P144" s="104">
        <v>15.59</v>
      </c>
      <c r="Q144" s="108">
        <v>45918.477911574075</v>
      </c>
      <c r="R144" s="109" t="b">
        <v>1</v>
      </c>
      <c r="S144" s="110" t="s">
        <v>5824</v>
      </c>
      <c r="T144" s="110">
        <v>0.0</v>
      </c>
      <c r="U144" s="111" t="s">
        <v>5335</v>
      </c>
      <c r="V144" s="111" t="s">
        <v>5341</v>
      </c>
      <c r="W144" s="111" t="s">
        <v>5342</v>
      </c>
      <c r="X144" s="111" t="s">
        <v>5343</v>
      </c>
      <c r="Y144" s="111" t="s">
        <v>5344</v>
      </c>
      <c r="Z144" s="111" t="s">
        <v>5345</v>
      </c>
      <c r="AA144" s="111" t="s">
        <v>5346</v>
      </c>
      <c r="AB144" s="111" t="s">
        <v>2278</v>
      </c>
      <c r="AC144" s="111" t="s">
        <v>5347</v>
      </c>
      <c r="AD144" s="112">
        <v>46030.37144675926</v>
      </c>
      <c r="AE144" s="111" t="s">
        <v>5350</v>
      </c>
      <c r="AF144" s="122"/>
      <c r="AG144" s="122"/>
      <c r="AH144" s="122"/>
    </row>
    <row r="145" ht="22.5" customHeight="1">
      <c r="A145" s="73"/>
      <c r="B145" s="73"/>
      <c r="C145" s="73"/>
      <c r="D145" s="73"/>
      <c r="E145" s="124" t="s">
        <v>485</v>
      </c>
      <c r="F145" s="125" t="s">
        <v>5358</v>
      </c>
      <c r="G145" s="96">
        <f>IFERROR(__xludf.DUMMYFUNCTION("GOOGLEFINANCE(E145, ""price"")"),152.12)</f>
        <v>152.12</v>
      </c>
      <c r="H145" s="105"/>
      <c r="I145" s="105"/>
      <c r="J145" s="152"/>
      <c r="K145" s="106"/>
      <c r="L145" s="106"/>
      <c r="M145" s="106"/>
      <c r="N145" s="106"/>
      <c r="O145" s="105"/>
      <c r="P145" s="106"/>
      <c r="Q145" s="108"/>
      <c r="R145" s="109" t="b">
        <v>1</v>
      </c>
      <c r="S145" s="110" t="s">
        <v>5828</v>
      </c>
      <c r="T145" s="110">
        <v>0.0</v>
      </c>
      <c r="U145" s="111" t="s">
        <v>485</v>
      </c>
      <c r="V145" s="111" t="s">
        <v>5366</v>
      </c>
      <c r="W145" s="111" t="s">
        <v>5367</v>
      </c>
      <c r="X145" s="111" t="s">
        <v>5368</v>
      </c>
      <c r="Y145" s="111" t="s">
        <v>5369</v>
      </c>
      <c r="Z145" s="111" t="s">
        <v>5370</v>
      </c>
      <c r="AA145" s="111" t="s">
        <v>5371</v>
      </c>
      <c r="AB145" s="111" t="s">
        <v>2278</v>
      </c>
      <c r="AC145" s="111" t="s">
        <v>5373</v>
      </c>
      <c r="AD145" s="112">
        <v>46030.37144675926</v>
      </c>
      <c r="AE145" s="111" t="s">
        <v>5374</v>
      </c>
      <c r="AF145" s="122"/>
      <c r="AG145" s="122"/>
      <c r="AH145" s="122"/>
    </row>
    <row r="146" ht="22.5" customHeight="1">
      <c r="A146" s="73"/>
      <c r="B146" s="73"/>
      <c r="C146" s="73"/>
      <c r="D146" s="73"/>
      <c r="E146" s="117" t="s">
        <v>5375</v>
      </c>
      <c r="F146" s="111" t="s">
        <v>5376</v>
      </c>
      <c r="G146" s="96">
        <f>IFERROR(__xludf.DUMMYFUNCTION("GOOGLEFINANCE(E146, ""price"")"),499.1)</f>
        <v>499.1</v>
      </c>
      <c r="H146" s="118"/>
      <c r="I146" s="118"/>
      <c r="J146" s="119"/>
      <c r="K146" s="120"/>
      <c r="L146" s="120"/>
      <c r="M146" s="120"/>
      <c r="N146" s="120"/>
      <c r="O146" s="118"/>
      <c r="P146" s="120"/>
      <c r="Q146" s="121"/>
      <c r="R146" s="109" t="b">
        <v>1</v>
      </c>
      <c r="S146" s="110" t="s">
        <v>5830</v>
      </c>
      <c r="T146" s="110">
        <v>0.0</v>
      </c>
      <c r="U146" s="111" t="s">
        <v>5375</v>
      </c>
      <c r="V146" s="111" t="s">
        <v>5382</v>
      </c>
      <c r="W146" s="111" t="s">
        <v>5383</v>
      </c>
      <c r="X146" s="111" t="s">
        <v>5384</v>
      </c>
      <c r="Y146" s="111" t="s">
        <v>5385</v>
      </c>
      <c r="Z146" s="111" t="s">
        <v>5386</v>
      </c>
      <c r="AA146" s="111" t="s">
        <v>5387</v>
      </c>
      <c r="AB146" s="111" t="s">
        <v>1405</v>
      </c>
      <c r="AC146" s="111" t="s">
        <v>5388</v>
      </c>
      <c r="AD146" s="112">
        <v>46030.37144675926</v>
      </c>
      <c r="AE146" s="111" t="s">
        <v>5389</v>
      </c>
      <c r="AF146" s="122"/>
      <c r="AG146" s="122"/>
      <c r="AH146" s="122"/>
    </row>
    <row r="147" ht="22.5" customHeight="1">
      <c r="A147" s="73"/>
      <c r="B147" s="73"/>
      <c r="C147" s="73"/>
      <c r="D147" s="73"/>
      <c r="E147" s="117" t="s">
        <v>5392</v>
      </c>
      <c r="F147" s="111" t="s">
        <v>5393</v>
      </c>
      <c r="G147" s="96">
        <f>IFERROR(__xludf.DUMMYFUNCTION("GOOGLEFINANCE(E147, ""price"")"),236.67)</f>
        <v>236.67</v>
      </c>
      <c r="H147" s="118"/>
      <c r="I147" s="118"/>
      <c r="J147" s="119"/>
      <c r="K147" s="120"/>
      <c r="L147" s="120"/>
      <c r="M147" s="120"/>
      <c r="N147" s="120"/>
      <c r="O147" s="118"/>
      <c r="P147" s="120"/>
      <c r="Q147" s="121"/>
      <c r="R147" s="109" t="b">
        <v>1</v>
      </c>
      <c r="S147" s="110" t="s">
        <v>5831</v>
      </c>
      <c r="T147" s="110">
        <v>0.0</v>
      </c>
      <c r="U147" s="111" t="s">
        <v>5392</v>
      </c>
      <c r="V147" s="111" t="s">
        <v>5398</v>
      </c>
      <c r="W147" s="111" t="s">
        <v>5399</v>
      </c>
      <c r="X147" s="111" t="s">
        <v>5400</v>
      </c>
      <c r="Y147" s="111" t="s">
        <v>5401</v>
      </c>
      <c r="Z147" s="111" t="s">
        <v>5402</v>
      </c>
      <c r="AA147" s="111" t="s">
        <v>5403</v>
      </c>
      <c r="AB147" s="111" t="s">
        <v>2625</v>
      </c>
      <c r="AC147" s="111" t="s">
        <v>5404</v>
      </c>
      <c r="AD147" s="112">
        <v>46030.37144675926</v>
      </c>
      <c r="AE147" s="111" t="s">
        <v>5405</v>
      </c>
      <c r="AF147" s="122"/>
      <c r="AG147" s="122"/>
      <c r="AH147" s="122"/>
    </row>
    <row r="148" ht="22.5" customHeight="1">
      <c r="A148" s="73"/>
      <c r="B148" s="73"/>
      <c r="C148" s="73"/>
      <c r="D148" s="73"/>
      <c r="E148" s="127" t="s">
        <v>5832</v>
      </c>
      <c r="F148" s="110" t="s">
        <v>5833</v>
      </c>
      <c r="G148" s="96">
        <f>IFERROR(__xludf.DUMMYFUNCTION("GOOGLEFINANCE(E148, ""price"")"),105.4)</f>
        <v>105.4</v>
      </c>
      <c r="H148" s="97">
        <f>IFERROR(__xludf.DUMMYFUNCTION("GOOGLEFINANCE(E148, ""low"")"),104.6)</f>
        <v>104.6</v>
      </c>
      <c r="I148" s="99">
        <f>IFERROR(__xludf.DUMMYFUNCTION("GOOGLEFINANCE(E148, ""high"")"),108.2)</f>
        <v>108.2</v>
      </c>
      <c r="J148" s="128"/>
      <c r="K148" s="145"/>
      <c r="L148" s="145"/>
      <c r="M148" s="145"/>
      <c r="N148" s="145"/>
      <c r="O148" s="143"/>
      <c r="P148" s="145">
        <v>69.8</v>
      </c>
      <c r="Q148" s="130">
        <v>45763.457536064816</v>
      </c>
      <c r="R148" s="131" t="b">
        <v>0</v>
      </c>
      <c r="S148" s="110" t="s">
        <v>145</v>
      </c>
      <c r="T148" s="110">
        <v>0.0</v>
      </c>
      <c r="U148" s="110" t="s">
        <v>5832</v>
      </c>
      <c r="V148" s="110" t="s">
        <v>5183</v>
      </c>
      <c r="W148" s="110" t="s">
        <v>5184</v>
      </c>
      <c r="X148" s="143"/>
      <c r="Y148" s="143"/>
      <c r="Z148" s="143"/>
      <c r="AA148" s="143"/>
      <c r="AB148" s="143"/>
      <c r="AC148" s="110"/>
      <c r="AD148" s="132">
        <v>46030.37144675926</v>
      </c>
      <c r="AE148" s="110" t="s">
        <v>5835</v>
      </c>
      <c r="AF148" s="133"/>
      <c r="AG148" s="133"/>
      <c r="AH148" s="133"/>
    </row>
    <row r="149" ht="22.5" customHeight="1">
      <c r="A149" s="73"/>
      <c r="B149" s="73"/>
      <c r="C149" s="73"/>
      <c r="D149" s="73"/>
      <c r="E149" s="127" t="s">
        <v>5406</v>
      </c>
      <c r="F149" s="110" t="s">
        <v>5407</v>
      </c>
      <c r="G149" s="96">
        <f>IFERROR(__xludf.DUMMYFUNCTION("GOOGLEFINANCE(E149, ""price"")"),90.51)</f>
        <v>90.51</v>
      </c>
      <c r="H149" s="97">
        <f>IFERROR(__xludf.DUMMYFUNCTION("GOOGLEFINANCE(E149, ""low"")"),89.81)</f>
        <v>89.81</v>
      </c>
      <c r="I149" s="99">
        <f>IFERROR(__xludf.DUMMYFUNCTION("GOOGLEFINANCE(E149, ""high"")"),92.8)</f>
        <v>92.8</v>
      </c>
      <c r="J149" s="128"/>
      <c r="K149" s="129">
        <v>-1.59</v>
      </c>
      <c r="L149" s="129">
        <v>49.07</v>
      </c>
      <c r="M149" s="129">
        <v>15.83</v>
      </c>
      <c r="N149" s="129">
        <v>1.99</v>
      </c>
      <c r="O149" s="110" t="s">
        <v>197</v>
      </c>
      <c r="P149" s="129">
        <v>71.78</v>
      </c>
      <c r="Q149" s="130">
        <v>45875.402502303245</v>
      </c>
      <c r="R149" s="131" t="b">
        <v>1</v>
      </c>
      <c r="S149" s="110" t="s">
        <v>5836</v>
      </c>
      <c r="T149" s="110">
        <v>0.0</v>
      </c>
      <c r="U149" s="110" t="s">
        <v>5406</v>
      </c>
      <c r="V149" s="110" t="s">
        <v>5411</v>
      </c>
      <c r="W149" s="110" t="s">
        <v>5412</v>
      </c>
      <c r="X149" s="110" t="s">
        <v>5413</v>
      </c>
      <c r="Y149" s="110" t="s">
        <v>5414</v>
      </c>
      <c r="Z149" s="110" t="s">
        <v>5415</v>
      </c>
      <c r="AA149" s="110" t="s">
        <v>5416</v>
      </c>
      <c r="AB149" s="110" t="s">
        <v>3789</v>
      </c>
      <c r="AC149" s="110" t="s">
        <v>5417</v>
      </c>
      <c r="AD149" s="132">
        <v>46030.37144675926</v>
      </c>
      <c r="AE149" s="110" t="s">
        <v>5418</v>
      </c>
      <c r="AF149" s="133"/>
      <c r="AG149" s="133"/>
      <c r="AH149" s="133"/>
    </row>
    <row r="150" ht="22.5" customHeight="1">
      <c r="A150" s="73"/>
      <c r="B150" s="73"/>
      <c r="C150" s="73"/>
      <c r="D150" s="73"/>
      <c r="E150" s="127" t="s">
        <v>995</v>
      </c>
      <c r="F150" s="110" t="s">
        <v>996</v>
      </c>
      <c r="G150" s="96" t="str">
        <f>IFERROR(__xludf.DUMMYFUNCTION("GOOGLEFINANCE(E150, ""price"")"),"#N/A")</f>
        <v>#N/A</v>
      </c>
      <c r="H150" s="97" t="str">
        <f>IFERROR(__xludf.DUMMYFUNCTION("GOOGLEFINANCE(E150, ""low"")"),"#N/A")</f>
        <v>#N/A</v>
      </c>
      <c r="I150" s="99" t="str">
        <f>IFERROR(__xludf.DUMMYFUNCTION("GOOGLEFINANCE(E150, ""high"")"),"#N/A")</f>
        <v>#N/A</v>
      </c>
      <c r="J150" s="128"/>
      <c r="K150" s="129">
        <v>0.43</v>
      </c>
      <c r="L150" s="129">
        <v>66.99</v>
      </c>
      <c r="M150" s="129">
        <v>19.96</v>
      </c>
      <c r="N150" s="129">
        <v>0.18</v>
      </c>
      <c r="O150" s="110" t="s">
        <v>998</v>
      </c>
      <c r="P150" s="129">
        <v>2.42</v>
      </c>
      <c r="Q150" s="130">
        <v>45856.303116469906</v>
      </c>
      <c r="R150" s="131" t="b">
        <v>0</v>
      </c>
      <c r="S150" s="110" t="s">
        <v>145</v>
      </c>
      <c r="T150" s="110">
        <v>0.0</v>
      </c>
      <c r="U150" s="110" t="s">
        <v>995</v>
      </c>
      <c r="V150" s="110" t="s">
        <v>5838</v>
      </c>
      <c r="W150" s="110" t="s">
        <v>1422</v>
      </c>
      <c r="X150" s="110" t="s">
        <v>5839</v>
      </c>
      <c r="Y150" s="110" t="s">
        <v>5840</v>
      </c>
      <c r="Z150" s="110" t="s">
        <v>5841</v>
      </c>
      <c r="AA150" s="110" t="s">
        <v>5842</v>
      </c>
      <c r="AB150" s="110" t="s">
        <v>4062</v>
      </c>
      <c r="AC150" s="110" t="s">
        <v>5843</v>
      </c>
      <c r="AD150" s="132">
        <v>46030.37144675926</v>
      </c>
      <c r="AE150" s="110" t="s">
        <v>5844</v>
      </c>
      <c r="AF150" s="133"/>
      <c r="AG150" s="133"/>
      <c r="AH150" s="133"/>
    </row>
    <row r="151" ht="22.5" customHeight="1">
      <c r="A151" s="73"/>
      <c r="B151" s="73"/>
      <c r="C151" s="73"/>
      <c r="D151" s="73"/>
      <c r="E151" s="110" t="s">
        <v>455</v>
      </c>
      <c r="F151" s="110" t="s">
        <v>507</v>
      </c>
      <c r="G151" s="96">
        <f>IFERROR(__xludf.DUMMYFUNCTION("GOOGLEFINANCE(E151, ""price"")"),194.95)</f>
        <v>194.95</v>
      </c>
      <c r="H151" s="97">
        <f>IFERROR(__xludf.DUMMYFUNCTION("GOOGLEFINANCE(E151, ""low"")"),188.97)</f>
        <v>188.97</v>
      </c>
      <c r="I151" s="99">
        <f>IFERROR(__xludf.DUMMYFUNCTION("GOOGLEFINANCE(E151, ""high"")"),196.92)</f>
        <v>196.92</v>
      </c>
      <c r="J151" s="144"/>
      <c r="K151" s="145"/>
      <c r="L151" s="145"/>
      <c r="M151" s="145"/>
      <c r="N151" s="145"/>
      <c r="O151" s="129"/>
      <c r="P151" s="129">
        <v>315.51</v>
      </c>
      <c r="Q151" s="130">
        <v>45707.37273732639</v>
      </c>
      <c r="R151" s="131" t="b">
        <v>1</v>
      </c>
      <c r="S151" s="110" t="s">
        <v>5845</v>
      </c>
      <c r="T151" s="110">
        <v>0.0</v>
      </c>
      <c r="U151" s="110" t="s">
        <v>455</v>
      </c>
      <c r="V151" s="110" t="s">
        <v>5421</v>
      </c>
      <c r="W151" s="110" t="s">
        <v>5422</v>
      </c>
      <c r="X151" s="110" t="s">
        <v>5423</v>
      </c>
      <c r="Y151" s="110" t="s">
        <v>5425</v>
      </c>
      <c r="Z151" s="110" t="s">
        <v>5426</v>
      </c>
      <c r="AA151" s="110" t="s">
        <v>5427</v>
      </c>
      <c r="AB151" s="110" t="s">
        <v>714</v>
      </c>
      <c r="AC151" s="110" t="s">
        <v>5428</v>
      </c>
      <c r="AD151" s="132">
        <v>46030.37144675926</v>
      </c>
      <c r="AE151" s="110" t="s">
        <v>5430</v>
      </c>
      <c r="AF151" s="110"/>
      <c r="AG151" s="110"/>
      <c r="AH151" s="110"/>
    </row>
    <row r="152" ht="22.5" customHeight="1">
      <c r="A152" s="73"/>
      <c r="B152" s="73"/>
      <c r="C152" s="73"/>
      <c r="D152" s="73"/>
      <c r="E152" s="93" t="s">
        <v>586</v>
      </c>
      <c r="F152" s="93" t="s">
        <v>587</v>
      </c>
      <c r="G152" s="96">
        <f>IFERROR(__xludf.DUMMYFUNCTION("GOOGLEFINANCE(E152, ""price"")"),77.22)</f>
        <v>77.22</v>
      </c>
      <c r="H152" s="97">
        <f>IFERROR(__xludf.DUMMYFUNCTION("GOOGLEFINANCE(E152, ""low"")"),76.03)</f>
        <v>76.03</v>
      </c>
      <c r="I152" s="99">
        <f>IFERROR(__xludf.DUMMYFUNCTION("GOOGLEFINANCE(E152, ""high"")"),78.97)</f>
        <v>78.97</v>
      </c>
      <c r="J152" s="126"/>
      <c r="K152" s="104">
        <v>24.65</v>
      </c>
      <c r="L152" s="104">
        <v>73.45</v>
      </c>
      <c r="M152" s="104">
        <v>44.84</v>
      </c>
      <c r="N152" s="104">
        <v>7.18</v>
      </c>
      <c r="O152" s="105" t="s">
        <v>588</v>
      </c>
      <c r="P152" s="104">
        <v>72.55</v>
      </c>
      <c r="Q152" s="108">
        <v>45973.399707951394</v>
      </c>
      <c r="R152" s="109" t="b">
        <v>1</v>
      </c>
      <c r="S152" s="110" t="s">
        <v>5846</v>
      </c>
      <c r="T152" s="110">
        <v>0.0</v>
      </c>
      <c r="U152" s="111" t="s">
        <v>586</v>
      </c>
      <c r="V152" s="111" t="s">
        <v>5434</v>
      </c>
      <c r="W152" s="111" t="s">
        <v>5436</v>
      </c>
      <c r="X152" s="111" t="s">
        <v>5437</v>
      </c>
      <c r="Y152" s="111" t="s">
        <v>5438</v>
      </c>
      <c r="Z152" s="111" t="s">
        <v>5439</v>
      </c>
      <c r="AA152" s="111" t="s">
        <v>5440</v>
      </c>
      <c r="AB152" s="111" t="s">
        <v>5441</v>
      </c>
      <c r="AC152" s="111" t="s">
        <v>5442</v>
      </c>
      <c r="AD152" s="112">
        <v>46030.37144675926</v>
      </c>
      <c r="AE152" s="111" t="s">
        <v>1881</v>
      </c>
      <c r="AF152" s="122"/>
      <c r="AG152" s="122"/>
      <c r="AH152" s="122"/>
    </row>
    <row r="153" ht="22.5" customHeight="1">
      <c r="A153" s="73"/>
      <c r="B153" s="73"/>
      <c r="C153" s="73"/>
      <c r="D153" s="73"/>
      <c r="E153" s="117" t="s">
        <v>5444</v>
      </c>
      <c r="F153" s="111" t="s">
        <v>5445</v>
      </c>
      <c r="G153" s="96">
        <f>IFERROR(__xludf.DUMMYFUNCTION("GOOGLEFINANCE(E153, ""price"")"),104.54)</f>
        <v>104.54</v>
      </c>
      <c r="H153" s="118"/>
      <c r="I153" s="118"/>
      <c r="J153" s="119"/>
      <c r="K153" s="120"/>
      <c r="L153" s="120"/>
      <c r="M153" s="120"/>
      <c r="N153" s="120"/>
      <c r="O153" s="118"/>
      <c r="P153" s="120"/>
      <c r="Q153" s="121"/>
      <c r="R153" s="109" t="b">
        <v>1</v>
      </c>
      <c r="S153" s="110" t="s">
        <v>5847</v>
      </c>
      <c r="T153" s="110">
        <v>0.0</v>
      </c>
      <c r="U153" s="111" t="s">
        <v>5444</v>
      </c>
      <c r="V153" s="111" t="s">
        <v>5448</v>
      </c>
      <c r="W153" s="111" t="s">
        <v>5449</v>
      </c>
      <c r="X153" s="111" t="s">
        <v>5450</v>
      </c>
      <c r="Y153" s="111" t="s">
        <v>5451</v>
      </c>
      <c r="Z153" s="111" t="s">
        <v>5452</v>
      </c>
      <c r="AA153" s="111" t="s">
        <v>5453</v>
      </c>
      <c r="AB153" s="111" t="s">
        <v>2278</v>
      </c>
      <c r="AC153" s="111" t="s">
        <v>5454</v>
      </c>
      <c r="AD153" s="112">
        <v>46181.26729166666</v>
      </c>
      <c r="AE153" s="111" t="s">
        <v>5456</v>
      </c>
      <c r="AF153" s="122"/>
      <c r="AG153" s="122"/>
      <c r="AH153" s="122"/>
    </row>
    <row r="154" ht="22.5" customHeight="1">
      <c r="A154" s="73"/>
      <c r="B154" s="73"/>
      <c r="C154" s="73"/>
      <c r="D154" s="73"/>
      <c r="E154" s="127" t="s">
        <v>270</v>
      </c>
      <c r="F154" s="110" t="s">
        <v>271</v>
      </c>
      <c r="G154" s="96">
        <f>IFERROR(__xludf.DUMMYFUNCTION("GOOGLEFINANCE(E154, ""price"")"),380.96)</f>
        <v>380.96</v>
      </c>
      <c r="H154" s="97">
        <f>IFERROR(__xludf.DUMMYFUNCTION("GOOGLEFINANCE(E154, ""low"")"),378.56)</f>
        <v>378.56</v>
      </c>
      <c r="I154" s="99">
        <f>IFERROR(__xludf.DUMMYFUNCTION("GOOGLEFINANCE(E154, ""high"")"),386.7)</f>
        <v>386.7</v>
      </c>
      <c r="J154" s="144"/>
      <c r="K154" s="145"/>
      <c r="L154" s="145"/>
      <c r="M154" s="145"/>
      <c r="N154" s="145"/>
      <c r="O154" s="145"/>
      <c r="P154" s="129">
        <v>318.38</v>
      </c>
      <c r="Q154" s="130">
        <v>45826.37594136574</v>
      </c>
      <c r="R154" s="131" t="b">
        <v>1</v>
      </c>
      <c r="S154" s="131" t="s">
        <v>5849</v>
      </c>
      <c r="T154" s="110">
        <v>0.0</v>
      </c>
      <c r="U154" s="110" t="s">
        <v>270</v>
      </c>
      <c r="V154" s="110" t="s">
        <v>5850</v>
      </c>
      <c r="W154" s="110" t="s">
        <v>5851</v>
      </c>
      <c r="X154" s="110" t="s">
        <v>5852</v>
      </c>
      <c r="Y154" s="110" t="s">
        <v>5853</v>
      </c>
      <c r="Z154" s="110" t="s">
        <v>5854</v>
      </c>
      <c r="AA154" s="110" t="s">
        <v>5855</v>
      </c>
      <c r="AB154" s="110" t="s">
        <v>429</v>
      </c>
      <c r="AC154" s="110" t="s">
        <v>5856</v>
      </c>
      <c r="AD154" s="132">
        <v>46030.37144675926</v>
      </c>
      <c r="AE154" s="110" t="s">
        <v>1978</v>
      </c>
      <c r="AF154" s="133"/>
      <c r="AG154" s="133"/>
      <c r="AH154" s="133"/>
    </row>
    <row r="155" ht="22.5" customHeight="1">
      <c r="A155" s="73"/>
      <c r="B155" s="73"/>
      <c r="C155" s="73"/>
      <c r="D155" s="73"/>
      <c r="E155" s="127" t="s">
        <v>5471</v>
      </c>
      <c r="F155" s="110" t="s">
        <v>5472</v>
      </c>
      <c r="G155" s="96">
        <f>IFERROR(__xludf.DUMMYFUNCTION("GOOGLEFINANCE(E155, ""price"")"),12.64)</f>
        <v>12.64</v>
      </c>
      <c r="H155" s="97">
        <f>IFERROR(__xludf.DUMMYFUNCTION("GOOGLEFINANCE(E155, ""low"")"),12.58)</f>
        <v>12.58</v>
      </c>
      <c r="I155" s="99">
        <f>IFERROR(__xludf.DUMMYFUNCTION("GOOGLEFINANCE(E155, ""high"")"),13.17)</f>
        <v>13.17</v>
      </c>
      <c r="J155" s="128"/>
      <c r="K155" s="145"/>
      <c r="L155" s="145"/>
      <c r="M155" s="145"/>
      <c r="N155" s="145"/>
      <c r="O155" s="143"/>
      <c r="P155" s="145">
        <f>77.66</f>
        <v>77.66</v>
      </c>
      <c r="Q155" s="130">
        <v>45793.481786018514</v>
      </c>
      <c r="R155" s="131" t="b">
        <v>1</v>
      </c>
      <c r="S155" s="110" t="s">
        <v>5860</v>
      </c>
      <c r="T155" s="110">
        <v>0.0</v>
      </c>
      <c r="U155" s="110" t="s">
        <v>5471</v>
      </c>
      <c r="V155" s="110" t="s">
        <v>5476</v>
      </c>
      <c r="W155" s="110" t="s">
        <v>5478</v>
      </c>
      <c r="X155" s="110" t="s">
        <v>2645</v>
      </c>
      <c r="Y155" s="110" t="s">
        <v>5479</v>
      </c>
      <c r="Z155" s="110" t="s">
        <v>5480</v>
      </c>
      <c r="AA155" s="110" t="s">
        <v>5481</v>
      </c>
      <c r="AB155" s="110" t="s">
        <v>5482</v>
      </c>
      <c r="AC155" s="110" t="s">
        <v>5483</v>
      </c>
      <c r="AD155" s="132">
        <v>46030.37144675926</v>
      </c>
      <c r="AE155" s="110" t="s">
        <v>5484</v>
      </c>
      <c r="AF155" s="133"/>
      <c r="AG155" s="133"/>
      <c r="AH155" s="133"/>
    </row>
    <row r="156" ht="22.5" customHeight="1">
      <c r="A156" s="73"/>
      <c r="B156" s="73"/>
      <c r="C156" s="73"/>
      <c r="D156" s="73"/>
      <c r="E156" s="124" t="s">
        <v>433</v>
      </c>
      <c r="F156" s="125" t="s">
        <v>434</v>
      </c>
      <c r="G156" s="96">
        <f>IFERROR(__xludf.DUMMYFUNCTION("GOOGLEFINANCE(E156, ""price"")"),335.82)</f>
        <v>335.82</v>
      </c>
      <c r="H156" s="97">
        <f>IFERROR(__xludf.DUMMYFUNCTION("GOOGLEFINANCE(E156, ""low"")"),329.38)</f>
        <v>329.38</v>
      </c>
      <c r="I156" s="99">
        <f>IFERROR(__xludf.DUMMYFUNCTION("GOOGLEFINANCE(E156, ""high"")"),336.28)</f>
        <v>336.28</v>
      </c>
      <c r="J156" s="152"/>
      <c r="K156" s="104">
        <v>13.08</v>
      </c>
      <c r="L156" s="104">
        <v>48.27</v>
      </c>
      <c r="M156" s="104">
        <v>44.69</v>
      </c>
      <c r="N156" s="104">
        <v>17.04</v>
      </c>
      <c r="O156" s="125" t="s">
        <v>197</v>
      </c>
      <c r="P156" s="104">
        <v>352.49</v>
      </c>
      <c r="Q156" s="108">
        <v>46079.72386462963</v>
      </c>
      <c r="R156" s="109" t="b">
        <v>1</v>
      </c>
      <c r="S156" s="110" t="s">
        <v>5861</v>
      </c>
      <c r="T156" s="110">
        <v>0.0</v>
      </c>
      <c r="U156" s="111" t="s">
        <v>433</v>
      </c>
      <c r="V156" s="111" t="s">
        <v>5489</v>
      </c>
      <c r="W156" s="111" t="s">
        <v>5490</v>
      </c>
      <c r="X156" s="111" t="s">
        <v>5491</v>
      </c>
      <c r="Y156" s="111" t="s">
        <v>5492</v>
      </c>
      <c r="Z156" s="111" t="s">
        <v>5192</v>
      </c>
      <c r="AA156" s="111" t="s">
        <v>5493</v>
      </c>
      <c r="AB156" s="111" t="s">
        <v>5494</v>
      </c>
      <c r="AC156" s="111" t="s">
        <v>5495</v>
      </c>
      <c r="AD156" s="112">
        <v>46030.37144675926</v>
      </c>
      <c r="AE156" s="111" t="s">
        <v>5497</v>
      </c>
      <c r="AF156" s="122"/>
      <c r="AG156" s="122"/>
      <c r="AH156" s="122"/>
    </row>
    <row r="157" ht="22.5" customHeight="1">
      <c r="A157" s="73"/>
      <c r="B157" s="73"/>
      <c r="C157" s="73"/>
      <c r="D157" s="73"/>
      <c r="E157" s="124" t="s">
        <v>954</v>
      </c>
      <c r="F157" s="125" t="s">
        <v>955</v>
      </c>
      <c r="G157" s="96">
        <f>IFERROR(__xludf.DUMMYFUNCTION("GOOGLEFINANCE(E157, ""price"")"),5.53)</f>
        <v>5.53</v>
      </c>
      <c r="H157" s="97">
        <f>IFERROR(__xludf.DUMMYFUNCTION("GOOGLEFINANCE(E157, ""low"")"),5.5)</f>
        <v>5.5</v>
      </c>
      <c r="I157" s="99">
        <f>IFERROR(__xludf.DUMMYFUNCTION("GOOGLEFINANCE(E157, ""high"")"),5.7)</f>
        <v>5.7</v>
      </c>
      <c r="J157" s="126"/>
      <c r="K157" s="104">
        <v>0.71</v>
      </c>
      <c r="L157" s="104">
        <v>56.25</v>
      </c>
      <c r="M157" s="104">
        <v>35.21</v>
      </c>
      <c r="N157" s="104">
        <v>0.37</v>
      </c>
      <c r="O157" s="125" t="s">
        <v>197</v>
      </c>
      <c r="P157" s="104">
        <v>6.17</v>
      </c>
      <c r="Q157" s="108">
        <v>46079.41762620371</v>
      </c>
      <c r="R157" s="109" t="b">
        <v>1</v>
      </c>
      <c r="S157" s="110" t="s">
        <v>5863</v>
      </c>
      <c r="T157" s="110">
        <v>0.0</v>
      </c>
      <c r="U157" s="111" t="s">
        <v>954</v>
      </c>
      <c r="V157" s="111" t="s">
        <v>5502</v>
      </c>
      <c r="W157" s="111" t="s">
        <v>5503</v>
      </c>
      <c r="X157" s="111" t="s">
        <v>5504</v>
      </c>
      <c r="Y157" s="111" t="s">
        <v>5506</v>
      </c>
      <c r="Z157" s="111" t="s">
        <v>5507</v>
      </c>
      <c r="AA157" s="111" t="s">
        <v>5509</v>
      </c>
      <c r="AB157" s="111" t="s">
        <v>5511</v>
      </c>
      <c r="AC157" s="111" t="s">
        <v>5512</v>
      </c>
      <c r="AD157" s="112">
        <v>46030.37144675926</v>
      </c>
      <c r="AE157" s="111" t="s">
        <v>5513</v>
      </c>
      <c r="AF157" s="122"/>
      <c r="AG157" s="122"/>
      <c r="AH157" s="122"/>
    </row>
    <row r="158" ht="22.5" customHeight="1">
      <c r="A158" s="73"/>
      <c r="B158" s="73"/>
      <c r="C158" s="73"/>
      <c r="D158" s="73"/>
      <c r="E158" s="127" t="s">
        <v>166</v>
      </c>
      <c r="F158" s="110" t="s">
        <v>167</v>
      </c>
      <c r="G158" s="96">
        <f>IFERROR(__xludf.DUMMYFUNCTION("GOOGLEFINANCE(E158, ""price"")"),42.63)</f>
        <v>42.63</v>
      </c>
      <c r="H158" s="97">
        <f>IFERROR(__xludf.DUMMYFUNCTION("GOOGLEFINANCE(E158, ""low"")"),42.21)</f>
        <v>42.21</v>
      </c>
      <c r="I158" s="99">
        <f>IFERROR(__xludf.DUMMYFUNCTION("GOOGLEFINANCE(E158, ""high"")"),43.87)</f>
        <v>43.87</v>
      </c>
      <c r="J158" s="128"/>
      <c r="K158" s="129">
        <v>6.81</v>
      </c>
      <c r="L158" s="129">
        <v>72.8</v>
      </c>
      <c r="M158" s="129">
        <v>14.06</v>
      </c>
      <c r="N158" s="129" t="s">
        <v>169</v>
      </c>
      <c r="O158" s="110" t="s">
        <v>170</v>
      </c>
      <c r="P158" s="106">
        <v>28.0</v>
      </c>
      <c r="Q158" s="130">
        <v>45709.328280671296</v>
      </c>
      <c r="R158" s="131" t="b">
        <v>1</v>
      </c>
      <c r="S158" s="110" t="s">
        <v>5865</v>
      </c>
      <c r="T158" s="110">
        <v>0.0</v>
      </c>
      <c r="U158" s="110" t="s">
        <v>166</v>
      </c>
      <c r="V158" s="110" t="s">
        <v>5518</v>
      </c>
      <c r="W158" s="110" t="s">
        <v>5519</v>
      </c>
      <c r="X158" s="110" t="s">
        <v>5520</v>
      </c>
      <c r="Y158" s="110" t="s">
        <v>5521</v>
      </c>
      <c r="Z158" s="110" t="s">
        <v>5522</v>
      </c>
      <c r="AA158" s="110" t="s">
        <v>5524</v>
      </c>
      <c r="AB158" s="110" t="s">
        <v>783</v>
      </c>
      <c r="AC158" s="110" t="s">
        <v>5526</v>
      </c>
      <c r="AD158" s="132">
        <v>46030.37144675926</v>
      </c>
      <c r="AE158" s="110" t="s">
        <v>5527</v>
      </c>
      <c r="AF158" s="133"/>
      <c r="AG158" s="133"/>
      <c r="AH158" s="133"/>
    </row>
    <row r="159" ht="22.5" customHeight="1">
      <c r="A159" s="73"/>
      <c r="B159" s="73"/>
      <c r="C159" s="73"/>
      <c r="D159" s="73"/>
      <c r="E159" s="124" t="s">
        <v>350</v>
      </c>
      <c r="F159" s="125" t="s">
        <v>5531</v>
      </c>
      <c r="G159" s="96">
        <f>IFERROR(__xludf.DUMMYFUNCTION("GOOGLEFINANCE(E159, ""price"")"),69.67)</f>
        <v>69.67</v>
      </c>
      <c r="H159" s="97">
        <f>IFERROR(__xludf.DUMMYFUNCTION("GOOGLEFINANCE(E159, ""low"")"),68.55)</f>
        <v>68.55</v>
      </c>
      <c r="I159" s="99">
        <f>IFERROR(__xludf.DUMMYFUNCTION("GOOGLEFINANCE(E159, ""high"")"),69.74)</f>
        <v>69.74</v>
      </c>
      <c r="J159" s="126" t="s">
        <v>282</v>
      </c>
      <c r="K159" s="104">
        <v>1.76</v>
      </c>
      <c r="L159" s="104">
        <v>40.97</v>
      </c>
      <c r="M159" s="104">
        <v>38.46</v>
      </c>
      <c r="N159" s="104">
        <v>2.42</v>
      </c>
      <c r="O159" s="125" t="s">
        <v>5535</v>
      </c>
      <c r="P159" s="104">
        <v>72.77</v>
      </c>
      <c r="Q159" s="108">
        <v>46079.29971739583</v>
      </c>
      <c r="R159" s="109" t="b">
        <v>1</v>
      </c>
      <c r="S159" s="110" t="s">
        <v>5868</v>
      </c>
      <c r="T159" s="110">
        <v>0.0</v>
      </c>
      <c r="U159" s="111" t="s">
        <v>350</v>
      </c>
      <c r="V159" s="111" t="s">
        <v>5537</v>
      </c>
      <c r="W159" s="111" t="s">
        <v>5538</v>
      </c>
      <c r="X159" s="111" t="s">
        <v>5539</v>
      </c>
      <c r="Y159" s="111" t="s">
        <v>5540</v>
      </c>
      <c r="Z159" s="111" t="s">
        <v>2916</v>
      </c>
      <c r="AA159" s="111" t="s">
        <v>5541</v>
      </c>
      <c r="AB159" s="111" t="s">
        <v>2460</v>
      </c>
      <c r="AC159" s="111" t="s">
        <v>5542</v>
      </c>
      <c r="AD159" s="112">
        <v>46030.37144675926</v>
      </c>
      <c r="AE159" s="111" t="s">
        <v>5544</v>
      </c>
      <c r="AF159" s="122"/>
      <c r="AG159" s="122"/>
      <c r="AH159" s="122"/>
    </row>
    <row r="160" ht="22.5" customHeight="1">
      <c r="A160" s="73"/>
      <c r="B160" s="73"/>
      <c r="C160" s="73"/>
      <c r="D160" s="73"/>
      <c r="E160" s="127" t="s">
        <v>1249</v>
      </c>
      <c r="F160" s="110" t="s">
        <v>1250</v>
      </c>
      <c r="G160" s="96">
        <f>IFERROR(__xludf.DUMMYFUNCTION("GOOGLEFINANCE(E160, ""price"")"),371.15)</f>
        <v>371.15</v>
      </c>
      <c r="H160" s="97">
        <f>IFERROR(__xludf.DUMMYFUNCTION("GOOGLEFINANCE(E160, ""low"")"),366.0)</f>
        <v>366</v>
      </c>
      <c r="I160" s="99">
        <f>IFERROR(__xludf.DUMMYFUNCTION("GOOGLEFINANCE(E160, ""high"")"),372.61)</f>
        <v>372.61</v>
      </c>
      <c r="J160" s="144"/>
      <c r="K160" s="145"/>
      <c r="L160" s="145"/>
      <c r="M160" s="145"/>
      <c r="N160" s="145"/>
      <c r="O160" s="143"/>
      <c r="P160" s="129">
        <v>282.77</v>
      </c>
      <c r="Q160" s="130">
        <v>45793.54257520833</v>
      </c>
      <c r="R160" s="131" t="b">
        <v>1</v>
      </c>
      <c r="S160" s="110" t="s">
        <v>5870</v>
      </c>
      <c r="T160" s="110">
        <v>0.0</v>
      </c>
      <c r="U160" s="110" t="s">
        <v>1249</v>
      </c>
      <c r="V160" s="110" t="s">
        <v>5550</v>
      </c>
      <c r="W160" s="110" t="s">
        <v>1374</v>
      </c>
      <c r="X160" s="110" t="s">
        <v>5551</v>
      </c>
      <c r="Y160" s="110" t="s">
        <v>5552</v>
      </c>
      <c r="Z160" s="110" t="s">
        <v>5553</v>
      </c>
      <c r="AA160" s="110" t="s">
        <v>5554</v>
      </c>
      <c r="AB160" s="110" t="s">
        <v>5555</v>
      </c>
      <c r="AC160" s="110" t="s">
        <v>5556</v>
      </c>
      <c r="AD160" s="132">
        <v>46030.37144675926</v>
      </c>
      <c r="AE160" s="110" t="s">
        <v>1969</v>
      </c>
      <c r="AF160" s="133"/>
      <c r="AG160" s="133"/>
      <c r="AH160" s="133"/>
    </row>
    <row r="161" ht="22.5" customHeight="1">
      <c r="A161" s="73"/>
      <c r="B161" s="73"/>
      <c r="C161" s="73"/>
      <c r="D161" s="73"/>
      <c r="E161" s="117" t="s">
        <v>5559</v>
      </c>
      <c r="F161" s="111" t="s">
        <v>5560</v>
      </c>
      <c r="G161" s="96">
        <f>IFERROR(__xludf.DUMMYFUNCTION("GOOGLEFINANCE(E161, ""price"")"),96.63)</f>
        <v>96.63</v>
      </c>
      <c r="H161" s="118"/>
      <c r="I161" s="118"/>
      <c r="J161" s="119"/>
      <c r="K161" s="120"/>
      <c r="L161" s="120"/>
      <c r="M161" s="120"/>
      <c r="N161" s="120"/>
      <c r="O161" s="118"/>
      <c r="P161" s="120"/>
      <c r="Q161" s="121"/>
      <c r="R161" s="109" t="b">
        <v>1</v>
      </c>
      <c r="S161" s="110" t="s">
        <v>5872</v>
      </c>
      <c r="T161" s="110">
        <v>0.0</v>
      </c>
      <c r="U161" s="111" t="s">
        <v>5559</v>
      </c>
      <c r="V161" s="111" t="s">
        <v>5564</v>
      </c>
      <c r="W161" s="111" t="s">
        <v>5565</v>
      </c>
      <c r="X161" s="111" t="s">
        <v>5566</v>
      </c>
      <c r="Y161" s="111" t="s">
        <v>5567</v>
      </c>
      <c r="Z161" s="111" t="s">
        <v>5569</v>
      </c>
      <c r="AA161" s="111" t="s">
        <v>3234</v>
      </c>
      <c r="AB161" s="111" t="s">
        <v>4409</v>
      </c>
      <c r="AC161" s="111" t="s">
        <v>5574</v>
      </c>
      <c r="AD161" s="111" t="s">
        <v>5575</v>
      </c>
      <c r="AE161" s="111" t="s">
        <v>5577</v>
      </c>
      <c r="AF161" s="122"/>
      <c r="AG161" s="122"/>
      <c r="AH161" s="122"/>
    </row>
    <row r="162" ht="22.5" customHeight="1">
      <c r="A162" s="73"/>
      <c r="B162" s="73"/>
      <c r="C162" s="73"/>
      <c r="D162" s="73"/>
      <c r="E162" s="125" t="s">
        <v>5578</v>
      </c>
      <c r="F162" s="125" t="s">
        <v>5558</v>
      </c>
      <c r="G162" s="96">
        <f>IFERROR(__xludf.DUMMYFUNCTION("GOOGLEFINANCE(E162, ""price"")"),24.94)</f>
        <v>24.94</v>
      </c>
      <c r="H162" s="97">
        <f>IFERROR(__xludf.DUMMYFUNCTION("GOOGLEFINANCE(E162, ""low"")"),24.94)</f>
        <v>24.94</v>
      </c>
      <c r="I162" s="99">
        <f>IFERROR(__xludf.DUMMYFUNCTION("GOOGLEFINANCE(E162, ""high"")"),26.19)</f>
        <v>26.19</v>
      </c>
      <c r="J162" s="126"/>
      <c r="K162" s="104">
        <v>3.89</v>
      </c>
      <c r="L162" s="104">
        <v>55.28</v>
      </c>
      <c r="M162" s="104">
        <v>10.3</v>
      </c>
      <c r="N162" s="104">
        <v>2.72</v>
      </c>
      <c r="O162" s="125" t="s">
        <v>1339</v>
      </c>
      <c r="P162" s="104">
        <v>62.23</v>
      </c>
      <c r="Q162" s="108">
        <v>45912.09860583334</v>
      </c>
      <c r="R162" s="109" t="b">
        <v>1</v>
      </c>
      <c r="S162" s="110" t="s">
        <v>5874</v>
      </c>
      <c r="T162" s="110">
        <v>0.0</v>
      </c>
      <c r="U162" s="111" t="s">
        <v>5578</v>
      </c>
      <c r="V162" s="111" t="s">
        <v>5582</v>
      </c>
      <c r="W162" s="111" t="s">
        <v>3482</v>
      </c>
      <c r="X162" s="111" t="s">
        <v>5583</v>
      </c>
      <c r="Y162" s="111" t="s">
        <v>5584</v>
      </c>
      <c r="Z162" s="111" t="s">
        <v>5585</v>
      </c>
      <c r="AA162" s="111" t="s">
        <v>5586</v>
      </c>
      <c r="AB162" s="111" t="s">
        <v>1352</v>
      </c>
      <c r="AC162" s="111" t="s">
        <v>5587</v>
      </c>
      <c r="AD162" s="112">
        <v>46030.37144675926</v>
      </c>
      <c r="AE162" s="111" t="s">
        <v>5588</v>
      </c>
      <c r="AF162" s="122"/>
      <c r="AG162" s="122"/>
      <c r="AH162" s="122"/>
    </row>
    <row r="163" ht="22.5" customHeight="1">
      <c r="A163" s="73"/>
      <c r="B163" s="73"/>
      <c r="C163" s="73"/>
      <c r="D163" s="73"/>
      <c r="E163" s="127" t="s">
        <v>1152</v>
      </c>
      <c r="F163" s="110" t="s">
        <v>1153</v>
      </c>
      <c r="G163" s="96">
        <f>IFERROR(__xludf.DUMMYFUNCTION("GOOGLEFINANCE(E163, ""price"")"),363.5)</f>
        <v>363.5</v>
      </c>
      <c r="H163" s="97">
        <f>IFERROR(__xludf.DUMMYFUNCTION("GOOGLEFINANCE(E163, ""low"")"),360.0)</f>
        <v>360</v>
      </c>
      <c r="I163" s="99">
        <f>IFERROR(__xludf.DUMMYFUNCTION("GOOGLEFINANCE(E163, ""high"")"),366.33)</f>
        <v>366.33</v>
      </c>
      <c r="J163" s="128"/>
      <c r="K163" s="145"/>
      <c r="L163" s="145"/>
      <c r="M163" s="145"/>
      <c r="N163" s="145"/>
      <c r="O163" s="143"/>
      <c r="P163" s="104">
        <v>351.99</v>
      </c>
      <c r="Q163" s="130">
        <v>45721.7049833912</v>
      </c>
      <c r="R163" s="131" t="b">
        <v>1</v>
      </c>
      <c r="S163" s="110" t="s">
        <v>5875</v>
      </c>
      <c r="T163" s="110">
        <v>0.0</v>
      </c>
      <c r="U163" s="110" t="s">
        <v>1152</v>
      </c>
      <c r="V163" s="110" t="s">
        <v>5593</v>
      </c>
      <c r="W163" s="110" t="s">
        <v>5594</v>
      </c>
      <c r="X163" s="110" t="s">
        <v>5595</v>
      </c>
      <c r="Y163" s="110" t="s">
        <v>5596</v>
      </c>
      <c r="Z163" s="110" t="s">
        <v>5597</v>
      </c>
      <c r="AA163" s="110" t="s">
        <v>5598</v>
      </c>
      <c r="AB163" s="110" t="s">
        <v>2035</v>
      </c>
      <c r="AC163" s="110" t="s">
        <v>5599</v>
      </c>
      <c r="AD163" s="132">
        <v>46030.37144675926</v>
      </c>
      <c r="AE163" s="110" t="s">
        <v>5600</v>
      </c>
      <c r="AF163" s="133"/>
      <c r="AG163" s="133"/>
      <c r="AH163" s="133"/>
    </row>
    <row r="164" ht="22.5" customHeight="1">
      <c r="A164" s="73"/>
      <c r="B164" s="73"/>
      <c r="C164" s="73"/>
      <c r="D164" s="73"/>
      <c r="E164" s="127" t="s">
        <v>5876</v>
      </c>
      <c r="F164" s="110" t="s">
        <v>5500</v>
      </c>
      <c r="G164" s="96">
        <f>IFERROR(__xludf.DUMMYFUNCTION("GOOGLEFINANCE(E164, ""price"")"),72.9)</f>
        <v>72.9</v>
      </c>
      <c r="H164" s="97">
        <f>IFERROR(__xludf.DUMMYFUNCTION("GOOGLEFINANCE(E164, ""low"")"),72.9)</f>
        <v>72.9</v>
      </c>
      <c r="I164" s="99">
        <f>IFERROR(__xludf.DUMMYFUNCTION("GOOGLEFINANCE(E164, ""high"")"),75.5)</f>
        <v>75.5</v>
      </c>
      <c r="J164" s="144"/>
      <c r="K164" s="145"/>
      <c r="L164" s="145"/>
      <c r="M164" s="145"/>
      <c r="N164" s="145"/>
      <c r="O164" s="143"/>
      <c r="P164" s="145">
        <v>91.2</v>
      </c>
      <c r="Q164" s="130">
        <v>45769.44240119213</v>
      </c>
      <c r="R164" s="131" t="b">
        <v>1</v>
      </c>
      <c r="S164" s="110" t="s">
        <v>5877</v>
      </c>
      <c r="T164" s="110">
        <v>0.0</v>
      </c>
      <c r="U164" s="110" t="s">
        <v>5876</v>
      </c>
      <c r="V164" s="110" t="s">
        <v>5878</v>
      </c>
      <c r="W164" s="110" t="s">
        <v>5879</v>
      </c>
      <c r="X164" s="110" t="s">
        <v>5880</v>
      </c>
      <c r="Y164" s="110" t="s">
        <v>5881</v>
      </c>
      <c r="Z164" s="110" t="s">
        <v>5882</v>
      </c>
      <c r="AA164" s="110" t="s">
        <v>3234</v>
      </c>
      <c r="AB164" s="110" t="s">
        <v>386</v>
      </c>
      <c r="AC164" s="110" t="s">
        <v>5883</v>
      </c>
      <c r="AD164" s="132">
        <v>46030.37144675926</v>
      </c>
      <c r="AE164" s="110" t="s">
        <v>5884</v>
      </c>
      <c r="AF164" s="133"/>
      <c r="AG164" s="133"/>
      <c r="AH164" s="133"/>
    </row>
    <row r="165" ht="22.5" customHeight="1">
      <c r="A165" s="73"/>
      <c r="B165" s="73"/>
      <c r="C165" s="73"/>
      <c r="D165" s="73"/>
      <c r="E165" s="124" t="s">
        <v>2057</v>
      </c>
      <c r="F165" s="125" t="s">
        <v>2060</v>
      </c>
      <c r="G165" s="96">
        <f>IFERROR(__xludf.DUMMYFUNCTION("GOOGLEFINANCE(E165, ""price"")"),172.24)</f>
        <v>172.24</v>
      </c>
      <c r="H165" s="97">
        <f>IFERROR(__xludf.DUMMYFUNCTION("GOOGLEFINANCE(E165, ""low"")"),169.62)</f>
        <v>169.62</v>
      </c>
      <c r="I165" s="99">
        <f>IFERROR(__xludf.DUMMYFUNCTION("GOOGLEFINANCE(E165, ""high"")"),172.45)</f>
        <v>172.45</v>
      </c>
      <c r="J165" s="126"/>
      <c r="K165" s="104">
        <v>21.23</v>
      </c>
      <c r="L165" s="104">
        <v>50.64</v>
      </c>
      <c r="M165" s="104">
        <v>33.55</v>
      </c>
      <c r="N165" s="104">
        <v>6.95</v>
      </c>
      <c r="O165" s="125" t="s">
        <v>2061</v>
      </c>
      <c r="P165" s="104">
        <v>195.0</v>
      </c>
      <c r="Q165" s="108">
        <v>46079.42712140046</v>
      </c>
      <c r="R165" s="109" t="b">
        <v>1</v>
      </c>
      <c r="S165" s="110" t="s">
        <v>5887</v>
      </c>
      <c r="T165" s="110">
        <v>0.0</v>
      </c>
      <c r="U165" s="111" t="s">
        <v>2057</v>
      </c>
      <c r="V165" s="111" t="s">
        <v>5618</v>
      </c>
      <c r="W165" s="111" t="s">
        <v>5619</v>
      </c>
      <c r="X165" s="111" t="s">
        <v>5620</v>
      </c>
      <c r="Y165" s="111" t="s">
        <v>5621</v>
      </c>
      <c r="Z165" s="111" t="s">
        <v>5622</v>
      </c>
      <c r="AA165" s="111" t="s">
        <v>5623</v>
      </c>
      <c r="AB165" s="111" t="s">
        <v>641</v>
      </c>
      <c r="AC165" s="111" t="s">
        <v>5624</v>
      </c>
      <c r="AD165" s="112">
        <v>46030.37144675926</v>
      </c>
      <c r="AE165" s="111" t="s">
        <v>5625</v>
      </c>
      <c r="AF165" s="122"/>
      <c r="AG165" s="122"/>
      <c r="AH165" s="122"/>
    </row>
    <row r="166" ht="22.5" customHeight="1">
      <c r="A166" s="73"/>
      <c r="B166" s="73"/>
      <c r="C166" s="73"/>
      <c r="D166" s="73"/>
      <c r="E166" s="117" t="s">
        <v>2129</v>
      </c>
      <c r="F166" s="111" t="s">
        <v>2130</v>
      </c>
      <c r="G166" s="96">
        <f>IFERROR(__xludf.DUMMYFUNCTION("GOOGLEFINANCE(E166, ""price"")"),46.96)</f>
        <v>46.96</v>
      </c>
      <c r="H166" s="118"/>
      <c r="I166" s="118"/>
      <c r="J166" s="119"/>
      <c r="K166" s="120"/>
      <c r="L166" s="120"/>
      <c r="M166" s="120"/>
      <c r="N166" s="120"/>
      <c r="O166" s="118"/>
      <c r="P166" s="120"/>
      <c r="Q166" s="121"/>
      <c r="R166" s="109" t="b">
        <v>1</v>
      </c>
      <c r="S166" s="110" t="s">
        <v>5888</v>
      </c>
      <c r="T166" s="110">
        <v>0.0</v>
      </c>
      <c r="U166" s="111" t="s">
        <v>2129</v>
      </c>
      <c r="V166" s="111" t="s">
        <v>5629</v>
      </c>
      <c r="W166" s="111" t="s">
        <v>5630</v>
      </c>
      <c r="X166" s="111" t="s">
        <v>2145</v>
      </c>
      <c r="Y166" s="111" t="s">
        <v>5631</v>
      </c>
      <c r="Z166" s="111" t="s">
        <v>5633</v>
      </c>
      <c r="AA166" s="111" t="s">
        <v>1746</v>
      </c>
      <c r="AB166" s="111" t="s">
        <v>5634</v>
      </c>
      <c r="AC166" s="111" t="s">
        <v>5635</v>
      </c>
      <c r="AD166" s="112">
        <v>46030.37144675926</v>
      </c>
      <c r="AE166" s="111" t="s">
        <v>5636</v>
      </c>
      <c r="AF166" s="122"/>
      <c r="AG166" s="122"/>
      <c r="AH166" s="122"/>
    </row>
    <row r="167" ht="22.5" customHeight="1">
      <c r="A167" s="73"/>
      <c r="B167" s="73"/>
      <c r="C167" s="73"/>
      <c r="D167" s="73"/>
      <c r="E167" s="325" t="s">
        <v>5638</v>
      </c>
      <c r="F167" s="325" t="s">
        <v>5639</v>
      </c>
      <c r="G167" s="96" t="str">
        <f>IFERROR(__xludf.DUMMYFUNCTION("GOOGLEFINANCE(E167, ""price"")"),"#N/A")</f>
        <v>#N/A</v>
      </c>
      <c r="H167" s="97" t="str">
        <f>IFERROR(__xludf.DUMMYFUNCTION("GOOGLEFINANCE(E167, ""low"")"),"#N/A")</f>
        <v>#N/A</v>
      </c>
      <c r="I167" s="99" t="str">
        <f>IFERROR(__xludf.DUMMYFUNCTION("GOOGLEFINANCE(E167, ""high"")"),"#N/A")</f>
        <v>#N/A</v>
      </c>
      <c r="J167" s="128"/>
      <c r="K167" s="129">
        <v>2.55</v>
      </c>
      <c r="L167" s="129">
        <v>65.37</v>
      </c>
      <c r="M167" s="129">
        <v>12.62</v>
      </c>
      <c r="N167" s="129">
        <v>1.95</v>
      </c>
      <c r="O167" s="129" t="s">
        <v>170</v>
      </c>
      <c r="P167" s="129">
        <v>100.35</v>
      </c>
      <c r="Q167" s="130">
        <v>45812.259509745374</v>
      </c>
      <c r="R167" s="131" t="b">
        <v>1</v>
      </c>
      <c r="S167" s="110" t="s">
        <v>5891</v>
      </c>
      <c r="T167" s="110">
        <v>0.0</v>
      </c>
      <c r="U167" s="110" t="s">
        <v>5638</v>
      </c>
      <c r="V167" s="110" t="s">
        <v>5641</v>
      </c>
      <c r="W167" s="110" t="s">
        <v>1977</v>
      </c>
      <c r="X167" s="110" t="s">
        <v>5642</v>
      </c>
      <c r="Y167" s="110" t="s">
        <v>5643</v>
      </c>
      <c r="Z167" s="110" t="s">
        <v>5644</v>
      </c>
      <c r="AA167" s="110" t="s">
        <v>3311</v>
      </c>
      <c r="AB167" s="110" t="s">
        <v>1235</v>
      </c>
      <c r="AC167" s="110" t="s">
        <v>5645</v>
      </c>
      <c r="AD167" s="132">
        <v>46030.37144675926</v>
      </c>
      <c r="AE167" s="110" t="s">
        <v>5648</v>
      </c>
      <c r="AF167" s="133"/>
      <c r="AG167" s="133"/>
      <c r="AH167" s="133"/>
    </row>
    <row r="168" ht="22.5" customHeight="1">
      <c r="A168" s="73"/>
      <c r="B168" s="73"/>
      <c r="C168" s="73"/>
      <c r="D168" s="73"/>
      <c r="E168" s="117" t="s">
        <v>5660</v>
      </c>
      <c r="F168" s="111" t="s">
        <v>5661</v>
      </c>
      <c r="G168" s="96">
        <f>IFERROR(__xludf.DUMMYFUNCTION("GOOGLEFINANCE(E168, ""price"")"),92.74)</f>
        <v>92.74</v>
      </c>
      <c r="H168" s="118"/>
      <c r="I168" s="118"/>
      <c r="J168" s="119"/>
      <c r="K168" s="120"/>
      <c r="L168" s="120"/>
      <c r="M168" s="120"/>
      <c r="N168" s="120"/>
      <c r="O168" s="118"/>
      <c r="P168" s="120"/>
      <c r="Q168" s="121"/>
      <c r="R168" s="109" t="b">
        <v>1</v>
      </c>
      <c r="S168" s="110" t="s">
        <v>5894</v>
      </c>
      <c r="T168" s="110">
        <v>0.0</v>
      </c>
      <c r="U168" s="111" t="s">
        <v>5660</v>
      </c>
      <c r="V168" s="111" t="s">
        <v>5664</v>
      </c>
      <c r="W168" s="111" t="s">
        <v>5665</v>
      </c>
      <c r="X168" s="111" t="s">
        <v>5666</v>
      </c>
      <c r="Y168" s="111" t="s">
        <v>5667</v>
      </c>
      <c r="Z168" s="111" t="s">
        <v>5668</v>
      </c>
      <c r="AA168" s="111" t="s">
        <v>4061</v>
      </c>
      <c r="AB168" s="111" t="s">
        <v>2278</v>
      </c>
      <c r="AC168" s="111" t="s">
        <v>5669</v>
      </c>
      <c r="AD168" s="112">
        <v>46030.37144675926</v>
      </c>
      <c r="AE168" s="111" t="s">
        <v>5670</v>
      </c>
      <c r="AF168" s="122"/>
      <c r="AG168" s="122"/>
      <c r="AH168" s="122"/>
    </row>
    <row r="169" ht="22.5" customHeight="1">
      <c r="A169" s="73"/>
      <c r="B169" s="73"/>
      <c r="C169" s="73"/>
      <c r="D169" s="73"/>
      <c r="E169" s="151"/>
      <c r="F169" s="125" t="s">
        <v>4980</v>
      </c>
      <c r="G169" s="96" t="str">
        <f>IFERROR(__xludf.DUMMYFUNCTION("GOOGLEFINANCE(E169, ""price"")"),"#N/A")</f>
        <v>#N/A</v>
      </c>
      <c r="H169" s="97" t="str">
        <f>IFERROR(__xludf.DUMMYFUNCTION("GOOGLEFINANCE(E169, ""low"")"),"#N/A")</f>
        <v>#N/A</v>
      </c>
      <c r="I169" s="99" t="str">
        <f>IFERROR(__xludf.DUMMYFUNCTION("GOOGLEFINANCE(E169, ""high"")"),"#N/A")</f>
        <v>#N/A</v>
      </c>
      <c r="J169" s="152"/>
      <c r="K169" s="104">
        <v>24.2</v>
      </c>
      <c r="L169" s="104">
        <v>87.07</v>
      </c>
      <c r="M169" s="104">
        <v>47.28</v>
      </c>
      <c r="N169" s="104">
        <v>4.4</v>
      </c>
      <c r="O169" s="105" t="s">
        <v>588</v>
      </c>
      <c r="P169" s="104">
        <v>123.7</v>
      </c>
      <c r="Q169" s="108">
        <v>45706.44973284722</v>
      </c>
      <c r="R169" s="109" t="b">
        <v>0</v>
      </c>
      <c r="S169" s="110"/>
      <c r="T169" s="110"/>
      <c r="U169" s="111"/>
      <c r="V169" s="111"/>
      <c r="W169" s="111"/>
      <c r="X169" s="111"/>
      <c r="Y169" s="111"/>
      <c r="Z169" s="111"/>
      <c r="AA169" s="111"/>
      <c r="AB169" s="111"/>
      <c r="AC169" s="111"/>
      <c r="AD169" s="111"/>
      <c r="AE169" s="122"/>
      <c r="AF169" s="122"/>
      <c r="AG169" s="122"/>
      <c r="AH169" s="122"/>
    </row>
    <row r="170" ht="22.5" customHeight="1">
      <c r="A170" s="73"/>
      <c r="B170" s="73"/>
      <c r="C170" s="73"/>
      <c r="D170" s="73"/>
      <c r="E170" s="258"/>
      <c r="F170" s="110" t="s">
        <v>5080</v>
      </c>
      <c r="G170" s="96" t="str">
        <f>IFERROR(__xludf.DUMMYFUNCTION("GOOGLEFINANCE(E170, ""price"")"),"#N/A")</f>
        <v>#N/A</v>
      </c>
      <c r="H170" s="97" t="str">
        <f>IFERROR(__xludf.DUMMYFUNCTION("GOOGLEFINANCE(E170, ""low"")"),"#N/A")</f>
        <v>#N/A</v>
      </c>
      <c r="I170" s="99" t="str">
        <f>IFERROR(__xludf.DUMMYFUNCTION("GOOGLEFINANCE(E170, ""high"")"),"#N/A")</f>
        <v>#N/A</v>
      </c>
      <c r="J170" s="128"/>
      <c r="K170" s="145"/>
      <c r="L170" s="145"/>
      <c r="M170" s="145"/>
      <c r="N170" s="145"/>
      <c r="O170" s="143"/>
      <c r="P170" s="129">
        <v>181.8</v>
      </c>
      <c r="Q170" s="130">
        <v>45812.238433032406</v>
      </c>
      <c r="R170" s="131" t="b">
        <v>0</v>
      </c>
      <c r="S170" s="110"/>
      <c r="T170" s="110"/>
      <c r="U170" s="110"/>
      <c r="V170" s="110"/>
      <c r="W170" s="110"/>
      <c r="X170" s="143"/>
      <c r="Y170" s="143"/>
      <c r="Z170" s="143"/>
      <c r="AA170" s="143"/>
      <c r="AB170" s="143"/>
      <c r="AC170" s="110"/>
      <c r="AD170" s="110"/>
      <c r="AE170" s="133"/>
      <c r="AF170" s="133"/>
      <c r="AG170" s="133"/>
      <c r="AH170" s="133"/>
    </row>
    <row r="171" ht="22.5" customHeight="1">
      <c r="A171" s="73"/>
      <c r="B171" s="73"/>
      <c r="C171" s="73"/>
      <c r="D171" s="73"/>
      <c r="E171" s="93"/>
      <c r="F171" s="95" t="s">
        <v>5208</v>
      </c>
      <c r="G171" s="96"/>
      <c r="H171" s="97" t="str">
        <f>IFERROR(__xludf.DUMMYFUNCTION("GOOGLEFINANCE(E171, ""low"")"),"#N/A")</f>
        <v>#N/A</v>
      </c>
      <c r="I171" s="99" t="str">
        <f>IFERROR(__xludf.DUMMYFUNCTION("GOOGLEFINANCE(E171, ""high"")"),"#N/A")</f>
        <v>#N/A</v>
      </c>
      <c r="J171" s="100"/>
      <c r="K171" s="104">
        <v>11.37</v>
      </c>
      <c r="L171" s="104">
        <v>60.41</v>
      </c>
      <c r="M171" s="104">
        <v>18.38</v>
      </c>
      <c r="N171" s="104">
        <v>5.06</v>
      </c>
      <c r="O171" s="105" t="s">
        <v>998</v>
      </c>
      <c r="P171" s="104">
        <v>233.45</v>
      </c>
      <c r="Q171" s="108">
        <v>45707.44242771991</v>
      </c>
      <c r="R171" s="109" t="b">
        <v>0</v>
      </c>
      <c r="S171" s="110" t="s">
        <v>5897</v>
      </c>
      <c r="T171" s="110"/>
      <c r="U171" s="111" t="s">
        <v>5207</v>
      </c>
      <c r="V171" s="111">
        <v>20.71</v>
      </c>
      <c r="W171" s="257">
        <v>0.0643</v>
      </c>
      <c r="X171" s="111">
        <v>2.5</v>
      </c>
      <c r="Y171" s="111">
        <v>59.92</v>
      </c>
      <c r="Z171" s="111">
        <v>24.1</v>
      </c>
      <c r="AA171" s="111">
        <v>0.72</v>
      </c>
      <c r="AB171" s="111">
        <v>0.91</v>
      </c>
      <c r="AC171" s="111" t="s">
        <v>5898</v>
      </c>
      <c r="AD171" s="112">
        <v>46030.37144675926</v>
      </c>
      <c r="AE171" s="111" t="s">
        <v>5897</v>
      </c>
      <c r="AF171" s="122"/>
      <c r="AG171" s="122"/>
      <c r="AH171" s="122"/>
    </row>
    <row r="172" ht="22.5" customHeight="1">
      <c r="A172" s="73"/>
      <c r="B172" s="73"/>
      <c r="C172" s="73"/>
      <c r="D172" s="73"/>
      <c r="E172" s="284"/>
      <c r="F172" s="284" t="s">
        <v>5121</v>
      </c>
      <c r="G172" s="96" t="str">
        <f>IFERROR(__xludf.DUMMYFUNCTION("GOOGLEFINANCE(E172, ""price"")"),"#N/A")</f>
        <v>#N/A</v>
      </c>
      <c r="H172" s="97" t="str">
        <f>IFERROR(__xludf.DUMMYFUNCTION("GOOGLEFINANCE(E172, ""low"")"),"#N/A")</f>
        <v>#N/A</v>
      </c>
      <c r="I172" s="99" t="str">
        <f>IFERROR(__xludf.DUMMYFUNCTION("GOOGLEFINANCE(E172, ""high"")"),"#N/A")</f>
        <v>#N/A</v>
      </c>
      <c r="J172" s="285"/>
      <c r="K172" s="145"/>
      <c r="L172" s="145"/>
      <c r="M172" s="145"/>
      <c r="N172" s="145"/>
      <c r="O172" s="129"/>
      <c r="P172" s="129">
        <v>27.2</v>
      </c>
      <c r="Q172" s="130">
        <v>45827.331941400465</v>
      </c>
      <c r="R172" s="131" t="b">
        <v>0</v>
      </c>
      <c r="S172" s="110"/>
      <c r="T172" s="110"/>
      <c r="U172" s="110"/>
      <c r="V172" s="110"/>
      <c r="W172" s="110"/>
      <c r="X172" s="143"/>
      <c r="Y172" s="143"/>
      <c r="Z172" s="143"/>
      <c r="AA172" s="143"/>
      <c r="AB172" s="143"/>
      <c r="AC172" s="110"/>
      <c r="AD172" s="110"/>
      <c r="AE172" s="133"/>
      <c r="AF172" s="133"/>
      <c r="AG172" s="133"/>
      <c r="AH172" s="133"/>
    </row>
    <row r="173" ht="22.5" customHeight="1">
      <c r="A173" s="73"/>
      <c r="B173" s="73"/>
      <c r="C173" s="73"/>
      <c r="D173" s="73"/>
      <c r="E173" s="337"/>
      <c r="F173" s="125" t="s">
        <v>5136</v>
      </c>
      <c r="G173" s="96" t="str">
        <f>IFERROR(__xludf.DUMMYFUNCTION("GOOGLEFINANCE(E173, ""price"")"),"#N/A")</f>
        <v>#N/A</v>
      </c>
      <c r="H173" s="97" t="str">
        <f>IFERROR(__xludf.DUMMYFUNCTION("GOOGLEFINANCE(E173, ""low"")"),"#N/A")</f>
        <v>#N/A</v>
      </c>
      <c r="I173" s="99" t="str">
        <f>IFERROR(__xludf.DUMMYFUNCTION("GOOGLEFINANCE(E173, ""high"")"),"#N/A")</f>
        <v>#N/A</v>
      </c>
      <c r="J173" s="126"/>
      <c r="K173" s="104">
        <v>6.55</v>
      </c>
      <c r="L173" s="104">
        <v>61.3</v>
      </c>
      <c r="M173" s="104">
        <v>23.82</v>
      </c>
      <c r="N173" s="104">
        <v>2.3</v>
      </c>
      <c r="O173" s="125" t="s">
        <v>5408</v>
      </c>
      <c r="P173" s="106">
        <v>66.12</v>
      </c>
      <c r="Q173" s="108">
        <v>45755.44560748842</v>
      </c>
      <c r="R173" s="109" t="b">
        <v>0</v>
      </c>
      <c r="S173" s="110"/>
      <c r="T173" s="110"/>
      <c r="U173" s="111"/>
      <c r="V173" s="111"/>
      <c r="W173" s="111"/>
      <c r="X173" s="118"/>
      <c r="Y173" s="118"/>
      <c r="Z173" s="118"/>
      <c r="AA173" s="118"/>
      <c r="AB173" s="118"/>
      <c r="AC173" s="111"/>
      <c r="AD173" s="111"/>
      <c r="AE173" s="122"/>
      <c r="AF173" s="122"/>
      <c r="AG173" s="122"/>
      <c r="AH173" s="122"/>
    </row>
    <row r="174" ht="22.5" customHeight="1">
      <c r="A174" s="73"/>
      <c r="B174" s="73"/>
      <c r="C174" s="73"/>
      <c r="D174" s="73"/>
      <c r="E174" s="317"/>
      <c r="F174" s="125" t="s">
        <v>5429</v>
      </c>
      <c r="G174" s="96" t="str">
        <f>IFERROR(__xludf.DUMMYFUNCTION("GOOGLEFINANCE(E174, ""price"")"),"#N/A")</f>
        <v>#N/A</v>
      </c>
      <c r="H174" s="97" t="str">
        <f>IFERROR(__xludf.DUMMYFUNCTION("GOOGLEFINANCE(E174, ""low"")"),"#N/A")</f>
        <v>#N/A</v>
      </c>
      <c r="I174" s="99" t="str">
        <f>IFERROR(__xludf.DUMMYFUNCTION("GOOGLEFINANCE(E174, ""high"")"),"#N/A")</f>
        <v>#N/A</v>
      </c>
      <c r="J174" s="126"/>
      <c r="K174" s="106"/>
      <c r="L174" s="106"/>
      <c r="M174" s="106"/>
      <c r="N174" s="106"/>
      <c r="O174" s="104"/>
      <c r="P174" s="104">
        <v>40.21</v>
      </c>
      <c r="Q174" s="108">
        <v>45812.2421772338</v>
      </c>
      <c r="R174" s="109" t="b">
        <v>0</v>
      </c>
      <c r="S174" s="110"/>
      <c r="T174" s="110"/>
      <c r="U174" s="111"/>
      <c r="V174" s="111"/>
      <c r="W174" s="111"/>
      <c r="X174" s="118"/>
      <c r="Y174" s="118"/>
      <c r="Z174" s="118"/>
      <c r="AA174" s="118"/>
      <c r="AB174" s="118"/>
      <c r="AC174" s="111"/>
      <c r="AD174" s="111"/>
      <c r="AE174" s="122"/>
      <c r="AF174" s="122"/>
      <c r="AG174" s="122"/>
      <c r="AH174" s="122"/>
    </row>
    <row r="175" ht="22.5" customHeight="1">
      <c r="A175" s="73"/>
      <c r="B175" s="73"/>
      <c r="C175" s="73"/>
      <c r="D175" s="73"/>
      <c r="E175" s="256"/>
      <c r="F175" s="256" t="s">
        <v>4848</v>
      </c>
      <c r="G175" s="96" t="str">
        <f>IFERROR(__xludf.DUMMYFUNCTION("GOOGLEFINANCE(E175, ""price"")"),"#N/A")</f>
        <v>#N/A</v>
      </c>
      <c r="H175" s="97" t="str">
        <f>IFERROR(__xludf.DUMMYFUNCTION("GOOGLEFINANCE(E175, ""low"")"),"#N/A")</f>
        <v>#N/A</v>
      </c>
      <c r="I175" s="99" t="str">
        <f>IFERROR(__xludf.DUMMYFUNCTION("GOOGLEFINANCE(E175, ""high"")"),"#N/A")</f>
        <v>#N/A</v>
      </c>
      <c r="J175" s="161"/>
      <c r="K175" s="104">
        <v>3.86</v>
      </c>
      <c r="L175" s="104">
        <v>62.6</v>
      </c>
      <c r="M175" s="104">
        <v>23.12</v>
      </c>
      <c r="N175" s="104">
        <v>3.48</v>
      </c>
      <c r="O175" s="105" t="s">
        <v>998</v>
      </c>
      <c r="P175" s="106">
        <v>61.08</v>
      </c>
      <c r="Q175" s="108">
        <v>45759.412028923616</v>
      </c>
      <c r="R175" s="109" t="b">
        <v>0</v>
      </c>
      <c r="S175" s="143"/>
      <c r="T175" s="110"/>
      <c r="U175" s="111"/>
      <c r="V175" s="111"/>
      <c r="W175" s="257"/>
      <c r="X175" s="111"/>
      <c r="Y175" s="111"/>
      <c r="Z175" s="111"/>
      <c r="AA175" s="111"/>
      <c r="AB175" s="111"/>
      <c r="AC175" s="111"/>
      <c r="AD175" s="111"/>
      <c r="AE175" s="122"/>
      <c r="AF175" s="122"/>
      <c r="AG175" s="122"/>
      <c r="AH175" s="122"/>
    </row>
    <row r="176" ht="22.5" customHeight="1">
      <c r="A176" s="73"/>
      <c r="B176" s="73"/>
      <c r="C176" s="73"/>
      <c r="D176" s="73"/>
      <c r="E176" s="328"/>
      <c r="F176" s="328" t="s">
        <v>5432</v>
      </c>
      <c r="G176" s="96" t="str">
        <f>IFERROR(__xludf.DUMMYFUNCTION("GOOGLEFINANCE(E176, ""price"")"),"#N/A")</f>
        <v>#N/A</v>
      </c>
      <c r="H176" s="97" t="str">
        <f>IFERROR(__xludf.DUMMYFUNCTION("GOOGLEFINANCE(E176, ""low"")"),"#N/A")</f>
        <v>#N/A</v>
      </c>
      <c r="I176" s="99" t="str">
        <f>IFERROR(__xludf.DUMMYFUNCTION("GOOGLEFINANCE(E176, ""high"")"),"#N/A")</f>
        <v>#N/A</v>
      </c>
      <c r="J176" s="161"/>
      <c r="K176" s="104">
        <v>12.86</v>
      </c>
      <c r="L176" s="104">
        <v>75.94</v>
      </c>
      <c r="M176" s="104">
        <v>30.76</v>
      </c>
      <c r="N176" s="104">
        <v>1.68</v>
      </c>
      <c r="O176" s="105" t="s">
        <v>5435</v>
      </c>
      <c r="P176" s="104">
        <v>78.51</v>
      </c>
      <c r="Q176" s="108">
        <v>45706.43533447917</v>
      </c>
      <c r="R176" s="109" t="b">
        <v>0</v>
      </c>
      <c r="S176" s="110" t="s">
        <v>5900</v>
      </c>
      <c r="T176" s="110"/>
      <c r="U176" s="111" t="s">
        <v>5720</v>
      </c>
      <c r="V176" s="111" t="s">
        <v>5183</v>
      </c>
      <c r="W176" s="111" t="s">
        <v>5184</v>
      </c>
      <c r="X176" s="118"/>
      <c r="Y176" s="118"/>
      <c r="Z176" s="118"/>
      <c r="AA176" s="118"/>
      <c r="AB176" s="118"/>
      <c r="AC176" s="111"/>
      <c r="AD176" s="112">
        <v>46030.37144675926</v>
      </c>
      <c r="AE176" s="111" t="s">
        <v>5900</v>
      </c>
      <c r="AF176" s="122"/>
      <c r="AG176" s="122"/>
      <c r="AH176" s="122"/>
    </row>
    <row r="177" ht="22.5" customHeight="1">
      <c r="A177" s="73"/>
      <c r="B177" s="73"/>
      <c r="C177" s="73"/>
      <c r="D177" s="73"/>
      <c r="E177" s="125"/>
      <c r="F177" s="125" t="s">
        <v>5139</v>
      </c>
      <c r="G177" s="96" t="str">
        <f>IFERROR(__xludf.DUMMYFUNCTION("GOOGLEFINANCE(E177, ""price"")"),"#N/A")</f>
        <v>#N/A</v>
      </c>
      <c r="H177" s="97" t="str">
        <f>IFERROR(__xludf.DUMMYFUNCTION("GOOGLEFINANCE(E177, ""low"")"),"#N/A")</f>
        <v>#N/A</v>
      </c>
      <c r="I177" s="99" t="str">
        <f>IFERROR(__xludf.DUMMYFUNCTION("GOOGLEFINANCE(E177, ""high"")"),"#N/A")</f>
        <v>#N/A</v>
      </c>
      <c r="J177" s="161"/>
      <c r="K177" s="106"/>
      <c r="L177" s="106"/>
      <c r="M177" s="106"/>
      <c r="N177" s="106"/>
      <c r="O177" s="104"/>
      <c r="P177" s="104">
        <v>62.21</v>
      </c>
      <c r="Q177" s="108">
        <v>45707.255894560185</v>
      </c>
      <c r="R177" s="109" t="b">
        <v>0</v>
      </c>
      <c r="S177" s="110" t="s">
        <v>5901</v>
      </c>
      <c r="T177" s="110"/>
      <c r="U177" s="111" t="s">
        <v>5799</v>
      </c>
      <c r="V177" s="111" t="s">
        <v>5183</v>
      </c>
      <c r="W177" s="111" t="s">
        <v>5184</v>
      </c>
      <c r="X177" s="118"/>
      <c r="Y177" s="118"/>
      <c r="Z177" s="118"/>
      <c r="AA177" s="118"/>
      <c r="AB177" s="118"/>
      <c r="AC177" s="111"/>
      <c r="AD177" s="112">
        <v>46030.37144675926</v>
      </c>
      <c r="AE177" s="111" t="s">
        <v>5901</v>
      </c>
      <c r="AF177" s="122"/>
      <c r="AG177" s="122"/>
      <c r="AH177" s="122"/>
    </row>
    <row r="178" ht="22.5" customHeight="1">
      <c r="A178" s="73"/>
      <c r="B178" s="73"/>
      <c r="C178" s="73"/>
      <c r="D178" s="73"/>
      <c r="E178" s="134"/>
      <c r="F178" s="134" t="s">
        <v>5474</v>
      </c>
      <c r="G178" s="96" t="str">
        <f>IFERROR(__xludf.DUMMYFUNCTION("GOOGLEFINANCE(E178, ""price"")"),"#N/A")</f>
        <v>#N/A</v>
      </c>
      <c r="H178" s="97" t="str">
        <f>IFERROR(__xludf.DUMMYFUNCTION("GOOGLEFINANCE(E178, ""low"")"),"#N/A")</f>
        <v>#N/A</v>
      </c>
      <c r="I178" s="99" t="str">
        <f>IFERROR(__xludf.DUMMYFUNCTION("GOOGLEFINANCE(E178, ""high"")"),"#N/A")</f>
        <v>#N/A</v>
      </c>
      <c r="J178" s="161"/>
      <c r="K178" s="104">
        <v>55.1</v>
      </c>
      <c r="L178" s="104">
        <v>75.46</v>
      </c>
      <c r="M178" s="104">
        <v>39.67</v>
      </c>
      <c r="N178" s="104">
        <v>19.6</v>
      </c>
      <c r="O178" s="105" t="s">
        <v>170</v>
      </c>
      <c r="P178" s="104">
        <v>1018.0</v>
      </c>
      <c r="Q178" s="108">
        <v>45706.40608256945</v>
      </c>
      <c r="R178" s="109" t="b">
        <v>0</v>
      </c>
      <c r="S178" s="110" t="s">
        <v>5902</v>
      </c>
      <c r="T178" s="110"/>
      <c r="U178" s="111" t="s">
        <v>5807</v>
      </c>
      <c r="V178" s="111" t="s">
        <v>5183</v>
      </c>
      <c r="W178" s="111" t="s">
        <v>5184</v>
      </c>
      <c r="X178" s="118"/>
      <c r="Y178" s="118"/>
      <c r="Z178" s="118"/>
      <c r="AA178" s="118"/>
      <c r="AB178" s="118"/>
      <c r="AC178" s="111"/>
      <c r="AD178" s="112">
        <v>46030.37144675926</v>
      </c>
      <c r="AE178" s="111" t="s">
        <v>5902</v>
      </c>
      <c r="AF178" s="122"/>
      <c r="AG178" s="122"/>
      <c r="AH178" s="122"/>
    </row>
    <row r="179" ht="22.5" customHeight="1">
      <c r="A179" s="73"/>
      <c r="B179" s="73"/>
      <c r="C179" s="73"/>
      <c r="D179" s="73"/>
      <c r="E179" s="127"/>
      <c r="F179" s="110" t="s">
        <v>5811</v>
      </c>
      <c r="G179" s="96" t="str">
        <f>IFERROR(__xludf.DUMMYFUNCTION("GOOGLEFINANCE(E179, ""price"")"),"#N/A")</f>
        <v>#N/A</v>
      </c>
      <c r="H179" s="97" t="str">
        <f>IFERROR(__xludf.DUMMYFUNCTION("GOOGLEFINANCE(E179, ""low"")"),"#N/A")</f>
        <v>#N/A</v>
      </c>
      <c r="I179" s="99" t="str">
        <f>IFERROR(__xludf.DUMMYFUNCTION("GOOGLEFINANCE(E179, ""high"")"),"#N/A")</f>
        <v>#N/A</v>
      </c>
      <c r="J179" s="144"/>
      <c r="K179" s="129">
        <v>-3.5</v>
      </c>
      <c r="L179" s="129">
        <v>39.65</v>
      </c>
      <c r="M179" s="129">
        <v>11.59</v>
      </c>
      <c r="N179" s="129">
        <v>1.36</v>
      </c>
      <c r="O179" s="110" t="s">
        <v>197</v>
      </c>
      <c r="P179" s="129">
        <v>52.03</v>
      </c>
      <c r="Q179" s="130">
        <v>45769.45360998843</v>
      </c>
      <c r="R179" s="131" t="b">
        <v>0</v>
      </c>
      <c r="S179" s="110" t="s">
        <v>5904</v>
      </c>
      <c r="T179" s="110"/>
      <c r="U179" s="110" t="s">
        <v>4266</v>
      </c>
      <c r="V179" s="110" t="s">
        <v>5183</v>
      </c>
      <c r="W179" s="110" t="s">
        <v>5184</v>
      </c>
      <c r="X179" s="110"/>
      <c r="Y179" s="110"/>
      <c r="Z179" s="110"/>
      <c r="AA179" s="110"/>
      <c r="AB179" s="110"/>
      <c r="AC179" s="110"/>
      <c r="AD179" s="132">
        <v>46030.37144675926</v>
      </c>
      <c r="AE179" s="110" t="s">
        <v>5904</v>
      </c>
      <c r="AF179" s="133"/>
      <c r="AG179" s="133"/>
      <c r="AH179" s="133"/>
    </row>
    <row r="180" ht="22.5" customHeight="1">
      <c r="A180" s="73"/>
      <c r="B180" s="73"/>
      <c r="C180" s="73"/>
      <c r="D180" s="73"/>
      <c r="E180" s="125"/>
      <c r="F180" s="125" t="s">
        <v>5154</v>
      </c>
      <c r="G180" s="96" t="str">
        <f>IFERROR(__xludf.DUMMYFUNCTION("GOOGLEFINANCE(E180, ""price"")"),"#N/A")</f>
        <v>#N/A</v>
      </c>
      <c r="H180" s="97" t="str">
        <f>IFERROR(__xludf.DUMMYFUNCTION("GOOGLEFINANCE(E180, ""low"")"),"#N/A")</f>
        <v>#N/A</v>
      </c>
      <c r="I180" s="99" t="str">
        <f>IFERROR(__xludf.DUMMYFUNCTION("GOOGLEFINANCE(E180, ""high"")"),"#N/A")</f>
        <v>#N/A</v>
      </c>
      <c r="J180" s="161"/>
      <c r="K180" s="106"/>
      <c r="L180" s="106"/>
      <c r="M180" s="106"/>
      <c r="N180" s="106"/>
      <c r="O180" s="105"/>
      <c r="P180" s="106"/>
      <c r="Q180" s="108"/>
      <c r="R180" s="109" t="b">
        <v>0</v>
      </c>
      <c r="S180" s="110" t="s">
        <v>5905</v>
      </c>
      <c r="T180" s="110"/>
      <c r="U180" s="111" t="s">
        <v>5816</v>
      </c>
      <c r="V180" s="111" t="s">
        <v>5183</v>
      </c>
      <c r="W180" s="111" t="s">
        <v>5184</v>
      </c>
      <c r="X180" s="118"/>
      <c r="Y180" s="118"/>
      <c r="Z180" s="118"/>
      <c r="AA180" s="118"/>
      <c r="AB180" s="118"/>
      <c r="AC180" s="111"/>
      <c r="AD180" s="112">
        <v>46030.37144675926</v>
      </c>
      <c r="AE180" s="111" t="s">
        <v>5905</v>
      </c>
      <c r="AF180" s="122"/>
      <c r="AG180" s="122"/>
      <c r="AH180" s="122"/>
    </row>
    <row r="181" ht="22.5" customHeight="1">
      <c r="A181" s="73"/>
      <c r="B181" s="73"/>
      <c r="C181" s="73"/>
      <c r="D181" s="73"/>
      <c r="E181" s="335"/>
      <c r="F181" s="335" t="s">
        <v>5859</v>
      </c>
      <c r="G181" s="96" t="str">
        <f>IFERROR(__xludf.DUMMYFUNCTION("GOOGLEFINANCE(E181, ""price"")"),"#N/A")</f>
        <v>#N/A</v>
      </c>
      <c r="H181" s="97" t="str">
        <f>IFERROR(__xludf.DUMMYFUNCTION("GOOGLEFINANCE(E181, ""low"")"),"#N/A")</f>
        <v>#N/A</v>
      </c>
      <c r="I181" s="99" t="str">
        <f>IFERROR(__xludf.DUMMYFUNCTION("GOOGLEFINANCE(E181, ""high"")"),"#N/A")</f>
        <v>#N/A</v>
      </c>
      <c r="J181" s="128"/>
      <c r="K181" s="145"/>
      <c r="L181" s="145"/>
      <c r="M181" s="145"/>
      <c r="N181" s="145"/>
      <c r="O181" s="129"/>
      <c r="P181" s="129">
        <v>75.5</v>
      </c>
      <c r="Q181" s="130">
        <v>45707.369553854165</v>
      </c>
      <c r="R181" s="131" t="b">
        <v>0</v>
      </c>
      <c r="S181" s="110" t="s">
        <v>5909</v>
      </c>
      <c r="T181" s="110">
        <v>0.0</v>
      </c>
      <c r="U181" s="110" t="s">
        <v>5858</v>
      </c>
      <c r="V181" s="110" t="s">
        <v>5183</v>
      </c>
      <c r="W181" s="110" t="s">
        <v>5184</v>
      </c>
      <c r="X181" s="143"/>
      <c r="Y181" s="143"/>
      <c r="Z181" s="143"/>
      <c r="AA181" s="143"/>
      <c r="AB181" s="143"/>
      <c r="AC181" s="110"/>
      <c r="AD181" s="132">
        <v>46030.37144675926</v>
      </c>
      <c r="AE181" s="110" t="s">
        <v>5909</v>
      </c>
      <c r="AF181" s="133"/>
      <c r="AG181" s="133"/>
      <c r="AH181" s="133"/>
    </row>
    <row r="182" ht="22.5" customHeight="1">
      <c r="A182" s="73"/>
      <c r="B182" s="73"/>
      <c r="C182" s="73"/>
      <c r="D182" s="73"/>
      <c r="E182" s="127"/>
      <c r="F182" s="110" t="s">
        <v>5867</v>
      </c>
      <c r="G182" s="96" t="str">
        <f>IFERROR(__xludf.DUMMYFUNCTION("GOOGLEFINANCE(E182, ""price"")"),"#N/A")</f>
        <v>#N/A</v>
      </c>
      <c r="H182" s="97" t="str">
        <f>IFERROR(__xludf.DUMMYFUNCTION("GOOGLEFINANCE(E182, ""low"")"),"#N/A")</f>
        <v>#N/A</v>
      </c>
      <c r="I182" s="99" t="str">
        <f>IFERROR(__xludf.DUMMYFUNCTION("GOOGLEFINANCE(E182, ""high"")"),"#N/A")</f>
        <v>#N/A</v>
      </c>
      <c r="J182" s="128"/>
      <c r="K182" s="129">
        <v>-4.22</v>
      </c>
      <c r="L182" s="129">
        <v>35.57</v>
      </c>
      <c r="M182" s="129">
        <v>22.82</v>
      </c>
      <c r="N182" s="129">
        <v>1.34</v>
      </c>
      <c r="O182" s="110" t="s">
        <v>245</v>
      </c>
      <c r="P182" s="129">
        <v>41.81</v>
      </c>
      <c r="Q182" s="130">
        <v>45812.34479935185</v>
      </c>
      <c r="R182" s="131" t="b">
        <v>0</v>
      </c>
      <c r="S182" s="110" t="s">
        <v>5910</v>
      </c>
      <c r="T182" s="110"/>
      <c r="U182" s="110" t="s">
        <v>5866</v>
      </c>
      <c r="V182" s="110" t="s">
        <v>5183</v>
      </c>
      <c r="W182" s="110" t="s">
        <v>5184</v>
      </c>
      <c r="X182" s="143"/>
      <c r="Y182" s="143"/>
      <c r="Z182" s="143"/>
      <c r="AA182" s="143"/>
      <c r="AB182" s="143"/>
      <c r="AC182" s="110"/>
      <c r="AD182" s="132">
        <v>46030.37144675926</v>
      </c>
      <c r="AE182" s="110" t="s">
        <v>5910</v>
      </c>
      <c r="AF182" s="133"/>
      <c r="AG182" s="133"/>
      <c r="AH182" s="133"/>
    </row>
    <row r="183" ht="22.5" customHeight="1">
      <c r="A183" s="73"/>
      <c r="B183" s="73"/>
      <c r="C183" s="73"/>
      <c r="D183" s="73"/>
      <c r="E183" s="127"/>
      <c r="F183" s="110" t="s">
        <v>5893</v>
      </c>
      <c r="G183" s="96" t="str">
        <f>IFERROR(__xludf.DUMMYFUNCTION("GOOGLEFINANCE(E183, ""price"")"),"#N/A")</f>
        <v>#N/A</v>
      </c>
      <c r="H183" s="97" t="str">
        <f>IFERROR(__xludf.DUMMYFUNCTION("GOOGLEFINANCE(E183, ""low"")"),"#N/A")</f>
        <v>#N/A</v>
      </c>
      <c r="I183" s="99" t="str">
        <f>IFERROR(__xludf.DUMMYFUNCTION("GOOGLEFINANCE(E183, ""high"")"),"#N/A")</f>
        <v>#N/A</v>
      </c>
      <c r="J183" s="144"/>
      <c r="K183" s="129">
        <v>-92.0</v>
      </c>
      <c r="L183" s="129">
        <v>50.48</v>
      </c>
      <c r="M183" s="129">
        <v>12.65</v>
      </c>
      <c r="N183" s="129">
        <v>75.3</v>
      </c>
      <c r="O183" s="110" t="s">
        <v>197</v>
      </c>
      <c r="P183" s="129">
        <v>1741.0</v>
      </c>
      <c r="Q183" s="130">
        <v>45827.31578664352</v>
      </c>
      <c r="R183" s="131" t="b">
        <v>0</v>
      </c>
      <c r="S183" s="110" t="s">
        <v>5911</v>
      </c>
      <c r="T183" s="110"/>
      <c r="U183" s="110" t="s">
        <v>5892</v>
      </c>
      <c r="V183" s="110" t="s">
        <v>5183</v>
      </c>
      <c r="W183" s="110" t="s">
        <v>5184</v>
      </c>
      <c r="X183" s="143"/>
      <c r="Y183" s="143"/>
      <c r="Z183" s="143"/>
      <c r="AA183" s="143"/>
      <c r="AB183" s="143"/>
      <c r="AC183" s="110"/>
      <c r="AD183" s="132">
        <v>46030.37144675926</v>
      </c>
      <c r="AE183" s="110" t="s">
        <v>5911</v>
      </c>
      <c r="AF183" s="133"/>
      <c r="AG183" s="133"/>
      <c r="AH183" s="133"/>
    </row>
    <row r="184" ht="22.5" customHeight="1">
      <c r="A184" s="73"/>
      <c r="B184" s="73"/>
      <c r="C184" s="73"/>
      <c r="D184" s="73"/>
      <c r="E184" s="328"/>
      <c r="F184" s="125" t="s">
        <v>5908</v>
      </c>
      <c r="G184" s="96" t="str">
        <f>IFERROR(__xludf.DUMMYFUNCTION("GOOGLEFINANCE(E184, ""price"")"),"#N/A")</f>
        <v>#N/A</v>
      </c>
      <c r="H184" s="97" t="str">
        <f>IFERROR(__xludf.DUMMYFUNCTION("GOOGLEFINANCE(E184, ""low"")"),"#N/A")</f>
        <v>#N/A</v>
      </c>
      <c r="I184" s="99" t="str">
        <f>IFERROR(__xludf.DUMMYFUNCTION("GOOGLEFINANCE(E184, ""high"")"),"#N/A")</f>
        <v>#N/A</v>
      </c>
      <c r="J184" s="126"/>
      <c r="K184" s="104">
        <v>24.35</v>
      </c>
      <c r="L184" s="104">
        <v>71.63</v>
      </c>
      <c r="M184" s="104">
        <v>37.58</v>
      </c>
      <c r="N184" s="104">
        <v>4.81</v>
      </c>
      <c r="O184" s="105" t="s">
        <v>542</v>
      </c>
      <c r="P184" s="104">
        <v>220.35</v>
      </c>
      <c r="Q184" s="108">
        <v>45707.82483041666</v>
      </c>
      <c r="R184" s="109" t="b">
        <v>0</v>
      </c>
      <c r="S184" s="110" t="s">
        <v>5913</v>
      </c>
      <c r="T184" s="110"/>
      <c r="U184" s="111" t="s">
        <v>5907</v>
      </c>
      <c r="V184" s="111" t="s">
        <v>5183</v>
      </c>
      <c r="W184" s="111" t="s">
        <v>5184</v>
      </c>
      <c r="X184" s="118"/>
      <c r="Y184" s="118"/>
      <c r="Z184" s="118"/>
      <c r="AA184" s="118"/>
      <c r="AB184" s="118"/>
      <c r="AC184" s="111"/>
      <c r="AD184" s="112">
        <v>46030.37144675926</v>
      </c>
      <c r="AE184" s="111" t="s">
        <v>5913</v>
      </c>
      <c r="AF184" s="122"/>
      <c r="AG184" s="122"/>
      <c r="AH184" s="122"/>
    </row>
    <row r="185" ht="22.5" customHeight="1">
      <c r="A185" s="73"/>
      <c r="B185" s="73"/>
      <c r="C185" s="73"/>
      <c r="D185" s="73"/>
      <c r="E185" s="127"/>
      <c r="F185" s="110" t="s">
        <v>5914</v>
      </c>
      <c r="G185" s="96" t="str">
        <f>IFERROR(__xludf.DUMMYFUNCTION("GOOGLEFINANCE(E185, ""price"")"),"#N/A")</f>
        <v>#N/A</v>
      </c>
      <c r="H185" s="97" t="str">
        <f>IFERROR(__xludf.DUMMYFUNCTION("GOOGLEFINANCE(E185, ""low"")"),"#N/A")</f>
        <v>#N/A</v>
      </c>
      <c r="I185" s="99" t="str">
        <f>IFERROR(__xludf.DUMMYFUNCTION("GOOGLEFINANCE(E185, ""high"")"),"#N/A")</f>
        <v>#N/A</v>
      </c>
      <c r="J185" s="144"/>
      <c r="K185" s="129">
        <v>-8.95</v>
      </c>
      <c r="L185" s="129">
        <v>50.03</v>
      </c>
      <c r="M185" s="129">
        <v>16.22</v>
      </c>
      <c r="N185" s="129">
        <v>14.46</v>
      </c>
      <c r="O185" s="110" t="s">
        <v>197</v>
      </c>
      <c r="P185" s="129">
        <v>283.15</v>
      </c>
      <c r="Q185" s="130">
        <v>45827.328033206024</v>
      </c>
      <c r="R185" s="131" t="b">
        <v>0</v>
      </c>
      <c r="S185" s="110"/>
      <c r="T185" s="110"/>
      <c r="U185" s="110"/>
      <c r="V185" s="110"/>
      <c r="W185" s="110"/>
      <c r="X185" s="143"/>
      <c r="Y185" s="143"/>
      <c r="Z185" s="143"/>
      <c r="AA185" s="143"/>
      <c r="AB185" s="143"/>
      <c r="AC185" s="110"/>
      <c r="AD185" s="110"/>
      <c r="AE185" s="133"/>
      <c r="AF185" s="133"/>
      <c r="AG185" s="133"/>
      <c r="AH185" s="133"/>
    </row>
    <row r="186" ht="22.5" customHeight="1">
      <c r="A186" s="73"/>
      <c r="B186" s="73"/>
      <c r="C186" s="73"/>
      <c r="D186" s="73"/>
      <c r="E186" s="160"/>
      <c r="F186" s="160" t="s">
        <v>5546</v>
      </c>
      <c r="G186" s="96" t="str">
        <f>IFERROR(__xludf.DUMMYFUNCTION("GOOGLEFINANCE(E186, ""price"")"),"#N/A")</f>
        <v>#N/A</v>
      </c>
      <c r="H186" s="97" t="str">
        <f>IFERROR(__xludf.DUMMYFUNCTION("GOOGLEFINANCE(E186, ""low"")"),"#N/A")</f>
        <v>#N/A</v>
      </c>
      <c r="I186" s="99" t="str">
        <f>IFERROR(__xludf.DUMMYFUNCTION("GOOGLEFINANCE(E186, ""high"")"),"#N/A")</f>
        <v>#N/A</v>
      </c>
      <c r="J186" s="126"/>
      <c r="K186" s="104">
        <v>1419.0</v>
      </c>
      <c r="L186" s="104">
        <v>81.0</v>
      </c>
      <c r="M186" s="104">
        <v>35.83</v>
      </c>
      <c r="N186" s="104">
        <v>0.252</v>
      </c>
      <c r="O186" s="105" t="s">
        <v>542</v>
      </c>
      <c r="P186" s="104">
        <v>5.824</v>
      </c>
      <c r="Q186" s="108">
        <v>45706.42169315972</v>
      </c>
      <c r="R186" s="109" t="b">
        <v>0</v>
      </c>
      <c r="S186" s="110"/>
      <c r="T186" s="110"/>
      <c r="U186" s="111"/>
      <c r="V186" s="111"/>
      <c r="W186" s="111"/>
      <c r="X186" s="118"/>
      <c r="Y186" s="118"/>
      <c r="Z186" s="118"/>
      <c r="AA186" s="118"/>
      <c r="AB186" s="118"/>
      <c r="AC186" s="111"/>
      <c r="AD186" s="111"/>
      <c r="AE186" s="122"/>
      <c r="AF186" s="122"/>
      <c r="AG186" s="122"/>
      <c r="AH186" s="122"/>
    </row>
    <row r="187" ht="22.5" customHeight="1">
      <c r="A187" s="73"/>
      <c r="B187" s="73"/>
      <c r="C187" s="73"/>
      <c r="D187" s="73"/>
      <c r="E187" s="125"/>
      <c r="F187" s="125" t="s">
        <v>5351</v>
      </c>
      <c r="G187" s="96" t="str">
        <f>IFERROR(__xludf.DUMMYFUNCTION("GOOGLEFINANCE(E187, ""price"")"),"#N/A")</f>
        <v>#N/A</v>
      </c>
      <c r="H187" s="97" t="str">
        <f>IFERROR(__xludf.DUMMYFUNCTION("GOOGLEFINANCE(E187, ""low"")"),"#N/A")</f>
        <v>#N/A</v>
      </c>
      <c r="I187" s="99" t="str">
        <f>IFERROR(__xludf.DUMMYFUNCTION("GOOGLEFINANCE(E187, ""high"")"),"#N/A")</f>
        <v>#N/A</v>
      </c>
      <c r="J187" s="152"/>
      <c r="K187" s="106"/>
      <c r="L187" s="106"/>
      <c r="M187" s="106"/>
      <c r="N187" s="106"/>
      <c r="O187" s="105"/>
      <c r="P187" s="106"/>
      <c r="Q187" s="108"/>
      <c r="R187" s="109" t="b">
        <v>0</v>
      </c>
      <c r="S187" s="110" t="s">
        <v>5918</v>
      </c>
      <c r="T187" s="110"/>
      <c r="U187" s="111" t="s">
        <v>5356</v>
      </c>
      <c r="V187" s="111" t="s">
        <v>5183</v>
      </c>
      <c r="W187" s="111" t="s">
        <v>5184</v>
      </c>
      <c r="X187" s="118"/>
      <c r="Y187" s="118"/>
      <c r="Z187" s="118"/>
      <c r="AA187" s="118"/>
      <c r="AB187" s="118"/>
      <c r="AC187" s="111"/>
      <c r="AD187" s="112">
        <v>46030.37144675926</v>
      </c>
      <c r="AE187" s="111" t="s">
        <v>5918</v>
      </c>
      <c r="AF187" s="122"/>
      <c r="AG187" s="122"/>
      <c r="AH187" s="122"/>
    </row>
    <row r="188" ht="22.5" customHeight="1">
      <c r="A188" s="73"/>
      <c r="B188" s="73"/>
      <c r="C188" s="73"/>
      <c r="D188" s="73"/>
      <c r="E188" s="125"/>
      <c r="F188" s="95" t="s">
        <v>5919</v>
      </c>
      <c r="G188" s="96" t="str">
        <f>IFERROR(__xludf.DUMMYFUNCTION("GOOGLEFINANCE(E188, ""price"")"),"#N/A")</f>
        <v>#N/A</v>
      </c>
      <c r="H188" s="97" t="str">
        <f>IFERROR(__xludf.DUMMYFUNCTION("GOOGLEFINANCE(E188, ""low"")"),"#N/A")</f>
        <v>#N/A</v>
      </c>
      <c r="I188" s="99" t="str">
        <f>IFERROR(__xludf.DUMMYFUNCTION("GOOGLEFINANCE(E188, ""high"")"),"#N/A")</f>
        <v>#N/A</v>
      </c>
      <c r="J188" s="100"/>
      <c r="K188" s="106"/>
      <c r="L188" s="106"/>
      <c r="M188" s="106"/>
      <c r="N188" s="106"/>
      <c r="O188" s="104"/>
      <c r="P188" s="298"/>
      <c r="Q188" s="108">
        <v>45721.70316664352</v>
      </c>
      <c r="R188" s="109" t="b">
        <v>0</v>
      </c>
      <c r="S188" s="110"/>
      <c r="T188" s="110"/>
      <c r="U188" s="111"/>
      <c r="V188" s="111"/>
      <c r="W188" s="111"/>
      <c r="X188" s="118"/>
      <c r="Y188" s="118"/>
      <c r="Z188" s="118"/>
      <c r="AA188" s="118"/>
      <c r="AB188" s="118"/>
      <c r="AC188" s="111"/>
      <c r="AD188" s="111"/>
      <c r="AE188" s="122"/>
      <c r="AF188" s="122"/>
      <c r="AG188" s="122"/>
      <c r="AH188" s="122"/>
    </row>
    <row r="189" ht="22.5" customHeight="1">
      <c r="A189" s="73"/>
      <c r="B189" s="73"/>
      <c r="C189" s="73"/>
      <c r="D189" s="73"/>
      <c r="E189" s="125"/>
      <c r="F189" s="125" t="s">
        <v>5530</v>
      </c>
      <c r="G189" s="96" t="str">
        <f>IFERROR(__xludf.DUMMYFUNCTION("GOOGLEFINANCE(E189, ""price"")"),"#N/A")</f>
        <v>#N/A</v>
      </c>
      <c r="H189" s="97" t="str">
        <f>IFERROR(__xludf.DUMMYFUNCTION("GOOGLEFINANCE(E189, ""low"")"),"#N/A")</f>
        <v>#N/A</v>
      </c>
      <c r="I189" s="99" t="str">
        <f>IFERROR(__xludf.DUMMYFUNCTION("GOOGLEFINANCE(E189, ""high"")"),"#N/A")</f>
        <v>#N/A</v>
      </c>
      <c r="J189" s="152"/>
      <c r="K189" s="106"/>
      <c r="L189" s="106"/>
      <c r="M189" s="106"/>
      <c r="N189" s="106"/>
      <c r="O189" s="105"/>
      <c r="P189" s="106"/>
      <c r="Q189" s="108"/>
      <c r="R189" s="109" t="b">
        <v>0</v>
      </c>
      <c r="S189" s="110" t="s">
        <v>5922</v>
      </c>
      <c r="T189" s="110"/>
      <c r="U189" s="111" t="s">
        <v>5923</v>
      </c>
      <c r="V189" s="111" t="s">
        <v>5183</v>
      </c>
      <c r="W189" s="111" t="s">
        <v>5184</v>
      </c>
      <c r="X189" s="118"/>
      <c r="Y189" s="118"/>
      <c r="Z189" s="118"/>
      <c r="AA189" s="118"/>
      <c r="AB189" s="118"/>
      <c r="AC189" s="111"/>
      <c r="AD189" s="112">
        <v>46030.37144675926</v>
      </c>
      <c r="AE189" s="111" t="s">
        <v>5922</v>
      </c>
      <c r="AF189" s="122"/>
      <c r="AG189" s="122"/>
      <c r="AH189" s="122"/>
    </row>
    <row r="190" ht="22.5" customHeight="1">
      <c r="A190" s="73"/>
      <c r="B190" s="73"/>
      <c r="C190" s="73"/>
      <c r="D190" s="73"/>
      <c r="E190" s="330"/>
      <c r="F190" s="118"/>
      <c r="G190" s="118"/>
      <c r="H190" s="118"/>
      <c r="I190" s="118"/>
      <c r="J190" s="119"/>
      <c r="K190" s="120"/>
      <c r="L190" s="120"/>
      <c r="M190" s="120"/>
      <c r="N190" s="120"/>
      <c r="O190" s="118"/>
      <c r="P190" s="120"/>
      <c r="Q190" s="121"/>
      <c r="R190" s="109" t="b">
        <v>0</v>
      </c>
      <c r="S190" s="143"/>
      <c r="T190" s="110"/>
      <c r="U190" s="118"/>
      <c r="V190" s="118"/>
      <c r="W190" s="118"/>
      <c r="X190" s="118"/>
      <c r="Y190" s="118"/>
      <c r="Z190" s="118"/>
      <c r="AA190" s="118"/>
      <c r="AB190" s="118"/>
      <c r="AC190" s="118"/>
      <c r="AD190" s="111"/>
      <c r="AE190" s="122"/>
      <c r="AF190" s="122"/>
      <c r="AG190" s="122"/>
      <c r="AH190" s="122"/>
    </row>
    <row r="191" ht="22.5" customHeight="1">
      <c r="A191" s="73"/>
      <c r="B191" s="73"/>
      <c r="C191" s="73"/>
      <c r="D191" s="73"/>
      <c r="E191" s="330"/>
      <c r="F191" s="118"/>
      <c r="G191" s="118"/>
      <c r="H191" s="118"/>
      <c r="I191" s="118"/>
      <c r="J191" s="119"/>
      <c r="K191" s="120"/>
      <c r="L191" s="120"/>
      <c r="M191" s="120"/>
      <c r="N191" s="120"/>
      <c r="O191" s="118"/>
      <c r="P191" s="120"/>
      <c r="Q191" s="121"/>
      <c r="R191" s="109" t="b">
        <v>0</v>
      </c>
      <c r="S191" s="143"/>
      <c r="T191" s="110"/>
      <c r="U191" s="118"/>
      <c r="V191" s="118"/>
      <c r="W191" s="118"/>
      <c r="X191" s="118"/>
      <c r="Y191" s="118"/>
      <c r="Z191" s="118"/>
      <c r="AA191" s="118"/>
      <c r="AB191" s="118"/>
      <c r="AC191" s="118"/>
      <c r="AD191" s="111"/>
      <c r="AE191" s="122"/>
      <c r="AF191" s="122"/>
      <c r="AG191" s="122"/>
      <c r="AH191" s="122"/>
    </row>
    <row r="192" ht="22.5" customHeight="1">
      <c r="A192" s="73"/>
      <c r="B192" s="73"/>
      <c r="C192" s="73"/>
      <c r="D192" s="73"/>
      <c r="E192" s="330"/>
      <c r="F192" s="118"/>
      <c r="G192" s="118"/>
      <c r="H192" s="118"/>
      <c r="I192" s="118"/>
      <c r="J192" s="119"/>
      <c r="K192" s="120"/>
      <c r="L192" s="120"/>
      <c r="M192" s="120"/>
      <c r="N192" s="120"/>
      <c r="O192" s="118"/>
      <c r="P192" s="120"/>
      <c r="Q192" s="121"/>
      <c r="R192" s="109" t="b">
        <v>0</v>
      </c>
      <c r="S192" s="143"/>
      <c r="T192" s="110"/>
      <c r="U192" s="118"/>
      <c r="V192" s="118"/>
      <c r="W192" s="118"/>
      <c r="X192" s="118"/>
      <c r="Y192" s="118"/>
      <c r="Z192" s="118"/>
      <c r="AA192" s="118"/>
      <c r="AB192" s="118"/>
      <c r="AC192" s="118"/>
      <c r="AD192" s="111"/>
      <c r="AE192" s="122"/>
      <c r="AF192" s="122"/>
      <c r="AG192" s="122"/>
      <c r="AH192" s="122"/>
    </row>
    <row r="193" ht="22.5" customHeight="1">
      <c r="A193" s="73"/>
      <c r="B193" s="73"/>
      <c r="C193" s="73"/>
      <c r="D193" s="73"/>
      <c r="E193" s="330"/>
      <c r="F193" s="118"/>
      <c r="G193" s="118"/>
      <c r="H193" s="118"/>
      <c r="I193" s="118"/>
      <c r="J193" s="119"/>
      <c r="K193" s="120"/>
      <c r="L193" s="120"/>
      <c r="M193" s="120"/>
      <c r="N193" s="120"/>
      <c r="O193" s="118"/>
      <c r="P193" s="120"/>
      <c r="Q193" s="121"/>
      <c r="R193" s="109" t="b">
        <v>0</v>
      </c>
      <c r="S193" s="143"/>
      <c r="T193" s="110"/>
      <c r="U193" s="118"/>
      <c r="V193" s="118"/>
      <c r="W193" s="118"/>
      <c r="X193" s="118"/>
      <c r="Y193" s="118"/>
      <c r="Z193" s="118"/>
      <c r="AA193" s="118"/>
      <c r="AB193" s="118"/>
      <c r="AC193" s="118"/>
      <c r="AD193" s="111"/>
      <c r="AE193" s="122"/>
      <c r="AF193" s="122"/>
      <c r="AG193" s="122"/>
      <c r="AH193" s="122"/>
    </row>
    <row r="194" ht="22.5" customHeight="1">
      <c r="A194" s="73"/>
      <c r="B194" s="73"/>
      <c r="C194" s="73"/>
      <c r="D194" s="73"/>
      <c r="E194" s="330"/>
      <c r="F194" s="118"/>
      <c r="G194" s="118"/>
      <c r="H194" s="118"/>
      <c r="I194" s="118"/>
      <c r="J194" s="119"/>
      <c r="K194" s="120"/>
      <c r="L194" s="120"/>
      <c r="M194" s="120"/>
      <c r="N194" s="120"/>
      <c r="O194" s="118"/>
      <c r="P194" s="120"/>
      <c r="Q194" s="121"/>
      <c r="R194" s="109" t="b">
        <v>0</v>
      </c>
      <c r="S194" s="143"/>
      <c r="T194" s="110"/>
      <c r="U194" s="118"/>
      <c r="V194" s="118"/>
      <c r="W194" s="118"/>
      <c r="X194" s="118"/>
      <c r="Y194" s="118"/>
      <c r="Z194" s="118"/>
      <c r="AA194" s="118"/>
      <c r="AB194" s="118"/>
      <c r="AC194" s="118"/>
      <c r="AD194" s="111"/>
      <c r="AE194" s="122"/>
      <c r="AF194" s="122"/>
      <c r="AG194" s="122"/>
      <c r="AH194" s="122"/>
    </row>
    <row r="195" ht="22.5" customHeight="1">
      <c r="A195" s="73"/>
      <c r="B195" s="73"/>
      <c r="C195" s="73"/>
      <c r="D195" s="73"/>
      <c r="E195" s="330"/>
      <c r="F195" s="118"/>
      <c r="G195" s="118"/>
      <c r="H195" s="118"/>
      <c r="I195" s="118"/>
      <c r="J195" s="119"/>
      <c r="K195" s="120"/>
      <c r="L195" s="120"/>
      <c r="M195" s="120"/>
      <c r="N195" s="120"/>
      <c r="O195" s="118"/>
      <c r="P195" s="120"/>
      <c r="Q195" s="121"/>
      <c r="R195" s="109" t="b">
        <v>0</v>
      </c>
      <c r="S195" s="143"/>
      <c r="T195" s="110"/>
      <c r="U195" s="118"/>
      <c r="V195" s="118"/>
      <c r="W195" s="118"/>
      <c r="X195" s="118"/>
      <c r="Y195" s="118"/>
      <c r="Z195" s="118"/>
      <c r="AA195" s="118"/>
      <c r="AB195" s="118"/>
      <c r="AC195" s="118"/>
      <c r="AD195" s="111"/>
      <c r="AE195" s="122"/>
      <c r="AF195" s="122"/>
      <c r="AG195" s="122"/>
      <c r="AH195" s="122"/>
    </row>
    <row r="196" ht="22.5" customHeight="1">
      <c r="A196" s="73"/>
      <c r="B196" s="73"/>
      <c r="C196" s="73"/>
      <c r="D196" s="73"/>
      <c r="E196" s="330"/>
      <c r="F196" s="118"/>
      <c r="G196" s="118"/>
      <c r="H196" s="118"/>
      <c r="I196" s="118"/>
      <c r="J196" s="119"/>
      <c r="K196" s="120"/>
      <c r="L196" s="120"/>
      <c r="M196" s="120"/>
      <c r="N196" s="120"/>
      <c r="O196" s="118"/>
      <c r="P196" s="120"/>
      <c r="Q196" s="121"/>
      <c r="R196" s="109" t="b">
        <v>0</v>
      </c>
      <c r="S196" s="143"/>
      <c r="T196" s="110"/>
      <c r="U196" s="118"/>
      <c r="V196" s="118"/>
      <c r="W196" s="118"/>
      <c r="X196" s="118"/>
      <c r="Y196" s="118"/>
      <c r="Z196" s="118"/>
      <c r="AA196" s="118"/>
      <c r="AB196" s="118"/>
      <c r="AC196" s="118"/>
      <c r="AD196" s="111"/>
      <c r="AE196" s="122"/>
      <c r="AF196" s="122"/>
      <c r="AG196" s="122"/>
      <c r="AH196" s="122"/>
    </row>
    <row r="197" ht="22.5" customHeight="1">
      <c r="A197" s="73"/>
      <c r="B197" s="73"/>
      <c r="C197" s="73"/>
      <c r="D197" s="73"/>
      <c r="E197" s="330"/>
      <c r="F197" s="118"/>
      <c r="G197" s="118"/>
      <c r="H197" s="118"/>
      <c r="I197" s="118"/>
      <c r="J197" s="119"/>
      <c r="K197" s="120"/>
      <c r="L197" s="120"/>
      <c r="M197" s="120"/>
      <c r="N197" s="120"/>
      <c r="O197" s="118"/>
      <c r="P197" s="120"/>
      <c r="Q197" s="121"/>
      <c r="R197" s="109" t="b">
        <v>0</v>
      </c>
      <c r="S197" s="143"/>
      <c r="T197" s="110"/>
      <c r="U197" s="118"/>
      <c r="V197" s="118"/>
      <c r="W197" s="118"/>
      <c r="X197" s="118"/>
      <c r="Y197" s="118"/>
      <c r="Z197" s="118"/>
      <c r="AA197" s="118"/>
      <c r="AB197" s="118"/>
      <c r="AC197" s="118"/>
      <c r="AD197" s="111"/>
      <c r="AE197" s="122"/>
      <c r="AF197" s="122"/>
      <c r="AG197" s="122"/>
      <c r="AH197" s="122"/>
    </row>
    <row r="198" ht="22.5" customHeight="1">
      <c r="A198" s="73"/>
      <c r="B198" s="73"/>
      <c r="C198" s="73"/>
      <c r="D198" s="73"/>
      <c r="E198" s="330"/>
      <c r="F198" s="118"/>
      <c r="G198" s="118"/>
      <c r="H198" s="118"/>
      <c r="I198" s="118"/>
      <c r="J198" s="119"/>
      <c r="K198" s="120"/>
      <c r="L198" s="120"/>
      <c r="M198" s="120"/>
      <c r="N198" s="120"/>
      <c r="O198" s="118"/>
      <c r="P198" s="120"/>
      <c r="Q198" s="121"/>
      <c r="R198" s="109" t="b">
        <v>0</v>
      </c>
      <c r="S198" s="143"/>
      <c r="T198" s="110"/>
      <c r="U198" s="118"/>
      <c r="V198" s="118"/>
      <c r="W198" s="118"/>
      <c r="X198" s="118"/>
      <c r="Y198" s="118"/>
      <c r="Z198" s="118"/>
      <c r="AA198" s="118"/>
      <c r="AB198" s="118"/>
      <c r="AC198" s="118"/>
      <c r="AD198" s="111"/>
      <c r="AE198" s="122"/>
      <c r="AF198" s="122"/>
      <c r="AG198" s="122"/>
      <c r="AH198" s="122"/>
    </row>
    <row r="199" ht="22.5" customHeight="1">
      <c r="A199" s="73"/>
      <c r="B199" s="73"/>
      <c r="C199" s="73"/>
      <c r="D199" s="73"/>
      <c r="E199" s="330"/>
      <c r="F199" s="118"/>
      <c r="G199" s="118"/>
      <c r="H199" s="118"/>
      <c r="I199" s="118"/>
      <c r="J199" s="119"/>
      <c r="K199" s="120"/>
      <c r="L199" s="120"/>
      <c r="M199" s="120"/>
      <c r="N199" s="120"/>
      <c r="O199" s="118"/>
      <c r="P199" s="120"/>
      <c r="Q199" s="121"/>
      <c r="R199" s="109" t="b">
        <v>0</v>
      </c>
      <c r="S199" s="143"/>
      <c r="T199" s="110"/>
      <c r="U199" s="118"/>
      <c r="V199" s="118"/>
      <c r="W199" s="118"/>
      <c r="X199" s="118"/>
      <c r="Y199" s="118"/>
      <c r="Z199" s="118"/>
      <c r="AA199" s="118"/>
      <c r="AB199" s="118"/>
      <c r="AC199" s="118"/>
      <c r="AD199" s="111"/>
      <c r="AE199" s="122"/>
      <c r="AF199" s="122"/>
      <c r="AG199" s="122"/>
      <c r="AH199" s="122"/>
    </row>
    <row r="200" ht="22.5" customHeight="1">
      <c r="A200" s="73"/>
      <c r="B200" s="73"/>
      <c r="C200" s="73"/>
      <c r="D200" s="73"/>
      <c r="E200" s="330"/>
      <c r="F200" s="118"/>
      <c r="G200" s="118"/>
      <c r="H200" s="118"/>
      <c r="I200" s="118"/>
      <c r="J200" s="119"/>
      <c r="K200" s="120"/>
      <c r="L200" s="120"/>
      <c r="M200" s="120"/>
      <c r="N200" s="120"/>
      <c r="O200" s="118"/>
      <c r="P200" s="120"/>
      <c r="Q200" s="121"/>
      <c r="R200" s="109" t="b">
        <v>0</v>
      </c>
      <c r="S200" s="143"/>
      <c r="T200" s="110"/>
      <c r="U200" s="118"/>
      <c r="V200" s="118"/>
      <c r="W200" s="118"/>
      <c r="X200" s="118"/>
      <c r="Y200" s="118"/>
      <c r="Z200" s="118"/>
      <c r="AA200" s="118"/>
      <c r="AB200" s="118"/>
      <c r="AC200" s="118"/>
      <c r="AD200" s="111"/>
      <c r="AE200" s="122"/>
      <c r="AF200" s="122"/>
      <c r="AG200" s="122"/>
      <c r="AH200" s="122"/>
    </row>
    <row r="201" ht="22.5" customHeight="1">
      <c r="A201" s="73"/>
      <c r="B201" s="73"/>
      <c r="C201" s="73"/>
      <c r="D201" s="73"/>
      <c r="E201" s="330"/>
      <c r="F201" s="118"/>
      <c r="G201" s="118"/>
      <c r="H201" s="118"/>
      <c r="I201" s="118"/>
      <c r="J201" s="119"/>
      <c r="K201" s="120"/>
      <c r="L201" s="120"/>
      <c r="M201" s="120"/>
      <c r="N201" s="120"/>
      <c r="O201" s="118"/>
      <c r="P201" s="120"/>
      <c r="Q201" s="121"/>
      <c r="R201" s="109" t="b">
        <v>0</v>
      </c>
      <c r="S201" s="143"/>
      <c r="T201" s="110"/>
      <c r="U201" s="118"/>
      <c r="V201" s="118"/>
      <c r="W201" s="118"/>
      <c r="X201" s="118"/>
      <c r="Y201" s="118"/>
      <c r="Z201" s="118"/>
      <c r="AA201" s="118"/>
      <c r="AB201" s="118"/>
      <c r="AC201" s="118"/>
      <c r="AD201" s="111"/>
      <c r="AE201" s="122"/>
      <c r="AF201" s="122"/>
      <c r="AG201" s="122"/>
      <c r="AH201" s="122"/>
    </row>
    <row r="202" ht="22.5" customHeight="1">
      <c r="A202" s="73"/>
      <c r="B202" s="73"/>
      <c r="C202" s="73"/>
      <c r="D202" s="73"/>
      <c r="E202" s="330"/>
      <c r="F202" s="118"/>
      <c r="G202" s="118"/>
      <c r="H202" s="118"/>
      <c r="I202" s="118"/>
      <c r="J202" s="119"/>
      <c r="K202" s="120"/>
      <c r="L202" s="120"/>
      <c r="M202" s="120"/>
      <c r="N202" s="120"/>
      <c r="O202" s="118"/>
      <c r="P202" s="120"/>
      <c r="Q202" s="121"/>
      <c r="R202" s="109" t="b">
        <v>0</v>
      </c>
      <c r="S202" s="143"/>
      <c r="T202" s="110"/>
      <c r="U202" s="118"/>
      <c r="V202" s="118"/>
      <c r="W202" s="118"/>
      <c r="X202" s="118"/>
      <c r="Y202" s="118"/>
      <c r="Z202" s="118"/>
      <c r="AA202" s="118"/>
      <c r="AB202" s="118"/>
      <c r="AC202" s="118"/>
      <c r="AD202" s="111"/>
      <c r="AE202" s="122"/>
      <c r="AF202" s="122"/>
      <c r="AG202" s="122"/>
      <c r="AH202" s="122"/>
    </row>
    <row r="203" ht="22.5" customHeight="1">
      <c r="A203" s="73"/>
      <c r="B203" s="73"/>
      <c r="C203" s="73"/>
      <c r="D203" s="73"/>
      <c r="E203" s="330"/>
      <c r="F203" s="118"/>
      <c r="G203" s="118"/>
      <c r="H203" s="118"/>
      <c r="I203" s="118"/>
      <c r="J203" s="119"/>
      <c r="K203" s="120"/>
      <c r="L203" s="120"/>
      <c r="M203" s="120"/>
      <c r="N203" s="120"/>
      <c r="O203" s="118"/>
      <c r="P203" s="120"/>
      <c r="Q203" s="121"/>
      <c r="R203" s="109" t="b">
        <v>0</v>
      </c>
      <c r="S203" s="143"/>
      <c r="T203" s="110"/>
      <c r="U203" s="118"/>
      <c r="V203" s="118"/>
      <c r="W203" s="118"/>
      <c r="X203" s="118"/>
      <c r="Y203" s="118"/>
      <c r="Z203" s="118"/>
      <c r="AA203" s="118"/>
      <c r="AB203" s="118"/>
      <c r="AC203" s="118"/>
      <c r="AD203" s="111"/>
      <c r="AE203" s="122"/>
      <c r="AF203" s="122"/>
      <c r="AG203" s="122"/>
      <c r="AH203" s="122"/>
    </row>
    <row r="204" ht="22.5" customHeight="1">
      <c r="A204" s="73"/>
      <c r="B204" s="73"/>
      <c r="C204" s="73"/>
      <c r="D204" s="73"/>
      <c r="E204" s="330"/>
      <c r="F204" s="118"/>
      <c r="G204" s="118"/>
      <c r="H204" s="118"/>
      <c r="I204" s="118"/>
      <c r="J204" s="119"/>
      <c r="K204" s="120"/>
      <c r="L204" s="120"/>
      <c r="M204" s="120"/>
      <c r="N204" s="120"/>
      <c r="O204" s="118"/>
      <c r="P204" s="120"/>
      <c r="Q204" s="121"/>
      <c r="R204" s="109" t="b">
        <v>0</v>
      </c>
      <c r="S204" s="143"/>
      <c r="T204" s="110"/>
      <c r="U204" s="118"/>
      <c r="V204" s="118"/>
      <c r="W204" s="118"/>
      <c r="X204" s="118"/>
      <c r="Y204" s="118"/>
      <c r="Z204" s="118"/>
      <c r="AA204" s="118"/>
      <c r="AB204" s="118"/>
      <c r="AC204" s="118"/>
      <c r="AD204" s="111"/>
      <c r="AE204" s="122"/>
      <c r="AF204" s="122"/>
      <c r="AG204" s="122"/>
      <c r="AH204" s="122"/>
    </row>
    <row r="205" ht="22.5" customHeight="1">
      <c r="A205" s="73"/>
      <c r="B205" s="73"/>
      <c r="C205" s="73"/>
      <c r="D205" s="73"/>
      <c r="E205" s="330"/>
      <c r="F205" s="118"/>
      <c r="G205" s="118"/>
      <c r="H205" s="118"/>
      <c r="I205" s="118"/>
      <c r="J205" s="119"/>
      <c r="K205" s="120"/>
      <c r="L205" s="120"/>
      <c r="M205" s="120"/>
      <c r="N205" s="120"/>
      <c r="O205" s="118"/>
      <c r="P205" s="120"/>
      <c r="Q205" s="121"/>
      <c r="R205" s="109" t="b">
        <v>0</v>
      </c>
      <c r="S205" s="143"/>
      <c r="T205" s="110"/>
      <c r="U205" s="118"/>
      <c r="V205" s="118"/>
      <c r="W205" s="118"/>
      <c r="X205" s="118"/>
      <c r="Y205" s="118"/>
      <c r="Z205" s="118"/>
      <c r="AA205" s="118"/>
      <c r="AB205" s="118"/>
      <c r="AC205" s="118"/>
      <c r="AD205" s="111"/>
      <c r="AE205" s="122"/>
      <c r="AF205" s="122"/>
      <c r="AG205" s="122"/>
      <c r="AH205" s="122"/>
    </row>
    <row r="206" ht="22.5" customHeight="1">
      <c r="A206" s="73"/>
      <c r="B206" s="73"/>
      <c r="C206" s="73"/>
      <c r="D206" s="73"/>
      <c r="E206" s="330"/>
      <c r="F206" s="118"/>
      <c r="G206" s="118"/>
      <c r="H206" s="118"/>
      <c r="I206" s="118"/>
      <c r="J206" s="119"/>
      <c r="K206" s="120"/>
      <c r="L206" s="120"/>
      <c r="M206" s="120"/>
      <c r="N206" s="120"/>
      <c r="O206" s="118"/>
      <c r="P206" s="120"/>
      <c r="Q206" s="121"/>
      <c r="R206" s="109" t="b">
        <v>0</v>
      </c>
      <c r="S206" s="143"/>
      <c r="T206" s="110"/>
      <c r="U206" s="118"/>
      <c r="V206" s="118"/>
      <c r="W206" s="118"/>
      <c r="X206" s="118"/>
      <c r="Y206" s="118"/>
      <c r="Z206" s="118"/>
      <c r="AA206" s="118"/>
      <c r="AB206" s="118"/>
      <c r="AC206" s="118"/>
      <c r="AD206" s="111"/>
      <c r="AE206" s="122"/>
      <c r="AF206" s="122"/>
      <c r="AG206" s="122"/>
      <c r="AH206" s="122"/>
    </row>
    <row r="207" ht="22.5" customHeight="1">
      <c r="A207" s="73"/>
      <c r="B207" s="73"/>
      <c r="C207" s="73"/>
      <c r="D207" s="73"/>
      <c r="E207" s="330"/>
      <c r="F207" s="118"/>
      <c r="G207" s="118"/>
      <c r="H207" s="118"/>
      <c r="I207" s="118"/>
      <c r="J207" s="119"/>
      <c r="K207" s="120"/>
      <c r="L207" s="120"/>
      <c r="M207" s="120"/>
      <c r="N207" s="120"/>
      <c r="O207" s="118"/>
      <c r="P207" s="120"/>
      <c r="Q207" s="121"/>
      <c r="R207" s="109" t="b">
        <v>0</v>
      </c>
      <c r="S207" s="143"/>
      <c r="T207" s="110"/>
      <c r="U207" s="118"/>
      <c r="V207" s="118"/>
      <c r="W207" s="118"/>
      <c r="X207" s="118"/>
      <c r="Y207" s="118"/>
      <c r="Z207" s="118"/>
      <c r="AA207" s="118"/>
      <c r="AB207" s="118"/>
      <c r="AC207" s="118"/>
      <c r="AD207" s="111"/>
      <c r="AE207" s="122"/>
      <c r="AF207" s="122"/>
      <c r="AG207" s="122"/>
      <c r="AH207" s="122"/>
    </row>
    <row r="208" ht="22.5" customHeight="1">
      <c r="A208" s="73"/>
      <c r="B208" s="73"/>
      <c r="C208" s="73"/>
      <c r="D208" s="73"/>
      <c r="E208" s="330"/>
      <c r="F208" s="118"/>
      <c r="G208" s="118"/>
      <c r="H208" s="118"/>
      <c r="I208" s="118"/>
      <c r="J208" s="119"/>
      <c r="K208" s="120"/>
      <c r="L208" s="120"/>
      <c r="M208" s="120"/>
      <c r="N208" s="120"/>
      <c r="O208" s="118"/>
      <c r="P208" s="120"/>
      <c r="Q208" s="121"/>
      <c r="R208" s="109" t="b">
        <v>0</v>
      </c>
      <c r="S208" s="143"/>
      <c r="T208" s="110"/>
      <c r="U208" s="118"/>
      <c r="V208" s="118"/>
      <c r="W208" s="118"/>
      <c r="X208" s="118"/>
      <c r="Y208" s="118"/>
      <c r="Z208" s="118"/>
      <c r="AA208" s="118"/>
      <c r="AB208" s="118"/>
      <c r="AC208" s="118"/>
      <c r="AD208" s="111"/>
      <c r="AE208" s="122"/>
      <c r="AF208" s="122"/>
      <c r="AG208" s="122"/>
      <c r="AH208" s="122"/>
    </row>
    <row r="209" ht="22.5" customHeight="1">
      <c r="A209" s="73"/>
      <c r="B209" s="73"/>
      <c r="C209" s="73"/>
      <c r="D209" s="73"/>
      <c r="E209" s="330"/>
      <c r="F209" s="118"/>
      <c r="G209" s="118"/>
      <c r="H209" s="118"/>
      <c r="I209" s="118"/>
      <c r="J209" s="119"/>
      <c r="K209" s="120"/>
      <c r="L209" s="120"/>
      <c r="M209" s="120"/>
      <c r="N209" s="120"/>
      <c r="O209" s="118"/>
      <c r="P209" s="120"/>
      <c r="Q209" s="121"/>
      <c r="R209" s="109" t="b">
        <v>0</v>
      </c>
      <c r="S209" s="143"/>
      <c r="T209" s="110"/>
      <c r="U209" s="118"/>
      <c r="V209" s="118"/>
      <c r="W209" s="118"/>
      <c r="X209" s="118"/>
      <c r="Y209" s="118"/>
      <c r="Z209" s="118"/>
      <c r="AA209" s="118"/>
      <c r="AB209" s="118"/>
      <c r="AC209" s="118"/>
      <c r="AD209" s="111"/>
      <c r="AE209" s="122"/>
      <c r="AF209" s="122"/>
      <c r="AG209" s="122"/>
      <c r="AH209" s="122"/>
    </row>
    <row r="210" ht="22.5" customHeight="1">
      <c r="A210" s="73"/>
      <c r="B210" s="73"/>
      <c r="C210" s="73"/>
      <c r="D210" s="73"/>
      <c r="E210" s="330"/>
      <c r="F210" s="118"/>
      <c r="G210" s="118"/>
      <c r="H210" s="118"/>
      <c r="I210" s="118"/>
      <c r="J210" s="119"/>
      <c r="K210" s="120"/>
      <c r="L210" s="120"/>
      <c r="M210" s="120"/>
      <c r="N210" s="120"/>
      <c r="O210" s="118"/>
      <c r="P210" s="120"/>
      <c r="Q210" s="121"/>
      <c r="R210" s="109" t="b">
        <v>0</v>
      </c>
      <c r="S210" s="143"/>
      <c r="T210" s="110"/>
      <c r="U210" s="118"/>
      <c r="V210" s="118"/>
      <c r="W210" s="118"/>
      <c r="X210" s="118"/>
      <c r="Y210" s="118"/>
      <c r="Z210" s="118"/>
      <c r="AA210" s="118"/>
      <c r="AB210" s="118"/>
      <c r="AC210" s="118"/>
      <c r="AD210" s="111"/>
      <c r="AE210" s="122"/>
      <c r="AF210" s="122"/>
      <c r="AG210" s="122"/>
      <c r="AH210" s="122"/>
    </row>
    <row r="211" ht="22.5" customHeight="1">
      <c r="A211" s="73"/>
      <c r="B211" s="73"/>
      <c r="C211" s="73"/>
      <c r="D211" s="73"/>
      <c r="E211" s="330"/>
      <c r="F211" s="118"/>
      <c r="G211" s="118"/>
      <c r="H211" s="118"/>
      <c r="I211" s="118"/>
      <c r="J211" s="119"/>
      <c r="K211" s="120"/>
      <c r="L211" s="120"/>
      <c r="M211" s="120"/>
      <c r="N211" s="120"/>
      <c r="O211" s="118"/>
      <c r="P211" s="120"/>
      <c r="Q211" s="121"/>
      <c r="R211" s="109" t="b">
        <v>0</v>
      </c>
      <c r="S211" s="143"/>
      <c r="T211" s="110"/>
      <c r="U211" s="118"/>
      <c r="V211" s="118"/>
      <c r="W211" s="118"/>
      <c r="X211" s="118"/>
      <c r="Y211" s="118"/>
      <c r="Z211" s="118"/>
      <c r="AA211" s="118"/>
      <c r="AB211" s="118"/>
      <c r="AC211" s="118"/>
      <c r="AD211" s="111"/>
      <c r="AE211" s="122"/>
      <c r="AF211" s="122"/>
      <c r="AG211" s="122"/>
      <c r="AH211" s="122"/>
    </row>
    <row r="212" ht="22.5" customHeight="1">
      <c r="A212" s="73"/>
      <c r="B212" s="73"/>
      <c r="C212" s="73"/>
      <c r="D212" s="73"/>
      <c r="E212" s="330"/>
      <c r="F212" s="118"/>
      <c r="G212" s="118"/>
      <c r="H212" s="118"/>
      <c r="I212" s="118"/>
      <c r="J212" s="119"/>
      <c r="K212" s="120"/>
      <c r="L212" s="120"/>
      <c r="M212" s="120"/>
      <c r="N212" s="120"/>
      <c r="O212" s="118"/>
      <c r="P212" s="120"/>
      <c r="Q212" s="121"/>
      <c r="R212" s="109" t="b">
        <v>0</v>
      </c>
      <c r="S212" s="143"/>
      <c r="T212" s="110"/>
      <c r="U212" s="118"/>
      <c r="V212" s="118"/>
      <c r="W212" s="118"/>
      <c r="X212" s="118"/>
      <c r="Y212" s="118"/>
      <c r="Z212" s="118"/>
      <c r="AA212" s="118"/>
      <c r="AB212" s="118"/>
      <c r="AC212" s="118"/>
      <c r="AD212" s="111"/>
      <c r="AE212" s="122"/>
      <c r="AF212" s="122"/>
      <c r="AG212" s="122"/>
      <c r="AH212" s="122"/>
    </row>
    <row r="213" ht="22.5" customHeight="1">
      <c r="A213" s="73"/>
      <c r="B213" s="73"/>
      <c r="C213" s="73"/>
      <c r="D213" s="73"/>
      <c r="E213" s="330"/>
      <c r="F213" s="118"/>
      <c r="G213" s="118"/>
      <c r="H213" s="118"/>
      <c r="I213" s="118"/>
      <c r="J213" s="119"/>
      <c r="K213" s="120"/>
      <c r="L213" s="120"/>
      <c r="M213" s="120"/>
      <c r="N213" s="120"/>
      <c r="O213" s="118"/>
      <c r="P213" s="120"/>
      <c r="Q213" s="121"/>
      <c r="R213" s="109" t="b">
        <v>0</v>
      </c>
      <c r="S213" s="143"/>
      <c r="T213" s="110"/>
      <c r="U213" s="118"/>
      <c r="V213" s="118"/>
      <c r="W213" s="118"/>
      <c r="X213" s="118"/>
      <c r="Y213" s="118"/>
      <c r="Z213" s="118"/>
      <c r="AA213" s="118"/>
      <c r="AB213" s="118"/>
      <c r="AC213" s="118"/>
      <c r="AD213" s="111"/>
      <c r="AE213" s="122"/>
      <c r="AF213" s="122"/>
      <c r="AG213" s="122"/>
      <c r="AH213" s="122"/>
    </row>
    <row r="214" ht="22.5" customHeight="1">
      <c r="A214" s="73"/>
      <c r="B214" s="73"/>
      <c r="C214" s="73"/>
      <c r="D214" s="73"/>
      <c r="E214" s="330"/>
      <c r="F214" s="118"/>
      <c r="G214" s="118"/>
      <c r="H214" s="118"/>
      <c r="I214" s="118"/>
      <c r="J214" s="119"/>
      <c r="K214" s="120"/>
      <c r="L214" s="120"/>
      <c r="M214" s="120"/>
      <c r="N214" s="120"/>
      <c r="O214" s="118"/>
      <c r="P214" s="120"/>
      <c r="Q214" s="121"/>
      <c r="R214" s="109" t="b">
        <v>0</v>
      </c>
      <c r="S214" s="143"/>
      <c r="T214" s="110"/>
      <c r="U214" s="118"/>
      <c r="V214" s="118"/>
      <c r="W214" s="118"/>
      <c r="X214" s="118"/>
      <c r="Y214" s="118"/>
      <c r="Z214" s="118"/>
      <c r="AA214" s="118"/>
      <c r="AB214" s="118"/>
      <c r="AC214" s="118"/>
      <c r="AD214" s="111"/>
      <c r="AE214" s="122"/>
      <c r="AF214" s="122"/>
      <c r="AG214" s="122"/>
      <c r="AH214" s="122"/>
    </row>
    <row r="215" ht="22.5" customHeight="1">
      <c r="A215" s="73"/>
      <c r="B215" s="73"/>
      <c r="C215" s="73"/>
      <c r="D215" s="73"/>
      <c r="E215" s="330"/>
      <c r="F215" s="118"/>
      <c r="G215" s="118"/>
      <c r="H215" s="118"/>
      <c r="I215" s="118"/>
      <c r="J215" s="119"/>
      <c r="K215" s="120"/>
      <c r="L215" s="120"/>
      <c r="M215" s="120"/>
      <c r="N215" s="120"/>
      <c r="O215" s="118"/>
      <c r="P215" s="120"/>
      <c r="Q215" s="121"/>
      <c r="R215" s="109" t="b">
        <v>0</v>
      </c>
      <c r="S215" s="143"/>
      <c r="T215" s="110"/>
      <c r="U215" s="118"/>
      <c r="V215" s="118"/>
      <c r="W215" s="118"/>
      <c r="X215" s="118"/>
      <c r="Y215" s="118"/>
      <c r="Z215" s="118"/>
      <c r="AA215" s="118"/>
      <c r="AB215" s="118"/>
      <c r="AC215" s="118"/>
      <c r="AD215" s="111"/>
      <c r="AE215" s="122"/>
      <c r="AF215" s="122"/>
      <c r="AG215" s="122"/>
      <c r="AH215" s="122"/>
    </row>
    <row r="216" ht="22.5" customHeight="1">
      <c r="A216" s="73"/>
      <c r="B216" s="73"/>
      <c r="C216" s="73"/>
      <c r="D216" s="73"/>
      <c r="E216" s="330"/>
      <c r="F216" s="118"/>
      <c r="G216" s="118"/>
      <c r="H216" s="118"/>
      <c r="I216" s="118"/>
      <c r="J216" s="119"/>
      <c r="K216" s="120"/>
      <c r="L216" s="120"/>
      <c r="M216" s="120"/>
      <c r="N216" s="120"/>
      <c r="O216" s="118"/>
      <c r="P216" s="120"/>
      <c r="Q216" s="121"/>
      <c r="R216" s="109" t="b">
        <v>0</v>
      </c>
      <c r="S216" s="143"/>
      <c r="T216" s="110"/>
      <c r="U216" s="118"/>
      <c r="V216" s="118"/>
      <c r="W216" s="118"/>
      <c r="X216" s="118"/>
      <c r="Y216" s="118"/>
      <c r="Z216" s="118"/>
      <c r="AA216" s="118"/>
      <c r="AB216" s="118"/>
      <c r="AC216" s="118"/>
      <c r="AD216" s="111"/>
      <c r="AE216" s="122"/>
      <c r="AF216" s="122"/>
      <c r="AG216" s="122"/>
      <c r="AH216" s="122"/>
    </row>
    <row r="217" ht="22.5" customHeight="1">
      <c r="A217" s="73"/>
      <c r="B217" s="73"/>
      <c r="C217" s="73"/>
      <c r="D217" s="73"/>
      <c r="E217" s="330"/>
      <c r="F217" s="118"/>
      <c r="G217" s="118"/>
      <c r="H217" s="118"/>
      <c r="I217" s="118"/>
      <c r="J217" s="119"/>
      <c r="K217" s="120"/>
      <c r="L217" s="120"/>
      <c r="M217" s="120"/>
      <c r="N217" s="120"/>
      <c r="O217" s="118"/>
      <c r="P217" s="120"/>
      <c r="Q217" s="121"/>
      <c r="R217" s="109" t="b">
        <v>0</v>
      </c>
      <c r="S217" s="143"/>
      <c r="T217" s="110"/>
      <c r="U217" s="118"/>
      <c r="V217" s="118"/>
      <c r="W217" s="118"/>
      <c r="X217" s="118"/>
      <c r="Y217" s="118"/>
      <c r="Z217" s="118"/>
      <c r="AA217" s="118"/>
      <c r="AB217" s="118"/>
      <c r="AC217" s="118"/>
      <c r="AD217" s="111"/>
      <c r="AE217" s="122"/>
      <c r="AF217" s="122"/>
      <c r="AG217" s="122"/>
      <c r="AH217" s="122"/>
    </row>
    <row r="218" ht="22.5" customHeight="1">
      <c r="A218" s="73"/>
      <c r="B218" s="73"/>
      <c r="C218" s="73"/>
      <c r="D218" s="73"/>
      <c r="E218" s="330"/>
      <c r="F218" s="118"/>
      <c r="G218" s="118"/>
      <c r="H218" s="118"/>
      <c r="I218" s="118"/>
      <c r="J218" s="119"/>
      <c r="K218" s="120"/>
      <c r="L218" s="120"/>
      <c r="M218" s="120"/>
      <c r="N218" s="120"/>
      <c r="O218" s="118"/>
      <c r="P218" s="120"/>
      <c r="Q218" s="121"/>
      <c r="R218" s="109" t="b">
        <v>0</v>
      </c>
      <c r="S218" s="143"/>
      <c r="T218" s="110"/>
      <c r="U218" s="118"/>
      <c r="V218" s="118"/>
      <c r="W218" s="118"/>
      <c r="X218" s="118"/>
      <c r="Y218" s="118"/>
      <c r="Z218" s="118"/>
      <c r="AA218" s="118"/>
      <c r="AB218" s="118"/>
      <c r="AC218" s="118"/>
      <c r="AD218" s="111"/>
      <c r="AE218" s="122"/>
      <c r="AF218" s="122"/>
      <c r="AG218" s="122"/>
      <c r="AH218" s="122"/>
    </row>
    <row r="219" ht="22.5" customHeight="1">
      <c r="A219" s="73"/>
      <c r="B219" s="73"/>
      <c r="C219" s="73"/>
      <c r="D219" s="73"/>
      <c r="E219" s="330"/>
      <c r="F219" s="118"/>
      <c r="G219" s="118"/>
      <c r="H219" s="118"/>
      <c r="I219" s="118"/>
      <c r="J219" s="119"/>
      <c r="K219" s="120"/>
      <c r="L219" s="120"/>
      <c r="M219" s="120"/>
      <c r="N219" s="120"/>
      <c r="O219" s="118"/>
      <c r="P219" s="120"/>
      <c r="Q219" s="121"/>
      <c r="R219" s="109" t="b">
        <v>0</v>
      </c>
      <c r="S219" s="143"/>
      <c r="T219" s="110"/>
      <c r="U219" s="118"/>
      <c r="V219" s="118"/>
      <c r="W219" s="118"/>
      <c r="X219" s="118"/>
      <c r="Y219" s="118"/>
      <c r="Z219" s="118"/>
      <c r="AA219" s="118"/>
      <c r="AB219" s="118"/>
      <c r="AC219" s="118"/>
      <c r="AD219" s="111"/>
      <c r="AE219" s="122"/>
      <c r="AF219" s="122"/>
      <c r="AG219" s="122"/>
      <c r="AH219" s="122"/>
    </row>
    <row r="220" ht="22.5" customHeight="1">
      <c r="A220" s="73"/>
      <c r="B220" s="73"/>
      <c r="C220" s="73"/>
      <c r="D220" s="73"/>
      <c r="E220" s="330"/>
      <c r="F220" s="118"/>
      <c r="G220" s="118"/>
      <c r="H220" s="118"/>
      <c r="I220" s="118"/>
      <c r="J220" s="119"/>
      <c r="K220" s="120"/>
      <c r="L220" s="120"/>
      <c r="M220" s="120"/>
      <c r="N220" s="120"/>
      <c r="O220" s="118"/>
      <c r="P220" s="120"/>
      <c r="Q220" s="121"/>
      <c r="R220" s="109" t="b">
        <v>0</v>
      </c>
      <c r="S220" s="143"/>
      <c r="T220" s="110"/>
      <c r="U220" s="118"/>
      <c r="V220" s="118"/>
      <c r="W220" s="118"/>
      <c r="X220" s="118"/>
      <c r="Y220" s="118"/>
      <c r="Z220" s="118"/>
      <c r="AA220" s="118"/>
      <c r="AB220" s="118"/>
      <c r="AC220" s="118"/>
      <c r="AD220" s="111"/>
      <c r="AE220" s="122"/>
      <c r="AF220" s="122"/>
      <c r="AG220" s="122"/>
      <c r="AH220" s="122"/>
    </row>
    <row r="221" ht="22.5" customHeight="1">
      <c r="A221" s="73"/>
      <c r="B221" s="73"/>
      <c r="C221" s="73"/>
      <c r="D221" s="73"/>
      <c r="E221" s="330"/>
      <c r="F221" s="118"/>
      <c r="G221" s="118"/>
      <c r="H221" s="118"/>
      <c r="I221" s="118"/>
      <c r="J221" s="119"/>
      <c r="K221" s="120"/>
      <c r="L221" s="120"/>
      <c r="M221" s="120"/>
      <c r="N221" s="120"/>
      <c r="O221" s="118"/>
      <c r="P221" s="120"/>
      <c r="Q221" s="121"/>
      <c r="R221" s="109" t="b">
        <v>0</v>
      </c>
      <c r="S221" s="143"/>
      <c r="T221" s="110"/>
      <c r="U221" s="118"/>
      <c r="V221" s="118"/>
      <c r="W221" s="118"/>
      <c r="X221" s="118"/>
      <c r="Y221" s="118"/>
      <c r="Z221" s="118"/>
      <c r="AA221" s="118"/>
      <c r="AB221" s="118"/>
      <c r="AC221" s="118"/>
      <c r="AD221" s="111"/>
      <c r="AE221" s="122"/>
      <c r="AF221" s="122"/>
      <c r="AG221" s="122"/>
      <c r="AH221" s="122"/>
    </row>
    <row r="222" ht="22.5" customHeight="1">
      <c r="A222" s="73"/>
      <c r="B222" s="73"/>
      <c r="C222" s="73"/>
      <c r="D222" s="73"/>
      <c r="E222" s="330"/>
      <c r="F222" s="118"/>
      <c r="G222" s="118"/>
      <c r="H222" s="118"/>
      <c r="I222" s="118"/>
      <c r="J222" s="119"/>
      <c r="K222" s="120"/>
      <c r="L222" s="120"/>
      <c r="M222" s="120"/>
      <c r="N222" s="120"/>
      <c r="O222" s="118"/>
      <c r="P222" s="120"/>
      <c r="Q222" s="121"/>
      <c r="R222" s="109" t="b">
        <v>0</v>
      </c>
      <c r="S222" s="143"/>
      <c r="T222" s="110"/>
      <c r="U222" s="118"/>
      <c r="V222" s="118"/>
      <c r="W222" s="118"/>
      <c r="X222" s="118"/>
      <c r="Y222" s="118"/>
      <c r="Z222" s="118"/>
      <c r="AA222" s="118"/>
      <c r="AB222" s="118"/>
      <c r="AC222" s="118"/>
      <c r="AD222" s="111"/>
      <c r="AE222" s="122"/>
      <c r="AF222" s="122"/>
      <c r="AG222" s="122"/>
      <c r="AH222" s="122"/>
    </row>
    <row r="223" ht="22.5" customHeight="1">
      <c r="A223" s="73"/>
      <c r="B223" s="73"/>
      <c r="C223" s="73"/>
      <c r="D223" s="73"/>
      <c r="E223" s="330"/>
      <c r="F223" s="118"/>
      <c r="G223" s="118"/>
      <c r="H223" s="118"/>
      <c r="I223" s="118"/>
      <c r="J223" s="119"/>
      <c r="K223" s="120"/>
      <c r="L223" s="120"/>
      <c r="M223" s="120"/>
      <c r="N223" s="120"/>
      <c r="O223" s="118"/>
      <c r="P223" s="120"/>
      <c r="Q223" s="121"/>
      <c r="R223" s="109" t="b">
        <v>0</v>
      </c>
      <c r="S223" s="143"/>
      <c r="T223" s="110"/>
      <c r="U223" s="118"/>
      <c r="V223" s="118"/>
      <c r="W223" s="118"/>
      <c r="X223" s="118"/>
      <c r="Y223" s="118"/>
      <c r="Z223" s="118"/>
      <c r="AA223" s="118"/>
      <c r="AB223" s="118"/>
      <c r="AC223" s="118"/>
      <c r="AD223" s="111"/>
      <c r="AE223" s="122"/>
      <c r="AF223" s="122"/>
      <c r="AG223" s="122"/>
      <c r="AH223" s="122"/>
    </row>
    <row r="224" ht="22.5" customHeight="1">
      <c r="A224" s="73"/>
      <c r="B224" s="73"/>
      <c r="C224" s="73"/>
      <c r="D224" s="73"/>
      <c r="E224" s="330"/>
      <c r="F224" s="118"/>
      <c r="G224" s="118"/>
      <c r="H224" s="118"/>
      <c r="I224" s="118"/>
      <c r="J224" s="119"/>
      <c r="K224" s="120"/>
      <c r="L224" s="120"/>
      <c r="M224" s="120"/>
      <c r="N224" s="120"/>
      <c r="O224" s="118"/>
      <c r="P224" s="120"/>
      <c r="Q224" s="121"/>
      <c r="R224" s="109" t="b">
        <v>0</v>
      </c>
      <c r="S224" s="143"/>
      <c r="T224" s="110"/>
      <c r="U224" s="118"/>
      <c r="V224" s="118"/>
      <c r="W224" s="118"/>
      <c r="X224" s="118"/>
      <c r="Y224" s="118"/>
      <c r="Z224" s="118"/>
      <c r="AA224" s="118"/>
      <c r="AB224" s="118"/>
      <c r="AC224" s="118"/>
      <c r="AD224" s="111"/>
      <c r="AE224" s="122"/>
      <c r="AF224" s="122"/>
      <c r="AG224" s="122"/>
      <c r="AH224" s="122"/>
    </row>
    <row r="225" ht="22.5" customHeight="1">
      <c r="A225" s="73"/>
      <c r="B225" s="73"/>
      <c r="C225" s="73"/>
      <c r="D225" s="73"/>
      <c r="E225" s="330"/>
      <c r="F225" s="118"/>
      <c r="G225" s="118"/>
      <c r="H225" s="118"/>
      <c r="I225" s="118"/>
      <c r="J225" s="119"/>
      <c r="K225" s="120"/>
      <c r="L225" s="120"/>
      <c r="M225" s="120"/>
      <c r="N225" s="120"/>
      <c r="O225" s="118"/>
      <c r="P225" s="120"/>
      <c r="Q225" s="121"/>
      <c r="R225" s="109" t="b">
        <v>0</v>
      </c>
      <c r="S225" s="143"/>
      <c r="T225" s="110"/>
      <c r="U225" s="118"/>
      <c r="V225" s="118"/>
      <c r="W225" s="118"/>
      <c r="X225" s="118"/>
      <c r="Y225" s="118"/>
      <c r="Z225" s="118"/>
      <c r="AA225" s="118"/>
      <c r="AB225" s="118"/>
      <c r="AC225" s="118"/>
      <c r="AD225" s="111"/>
      <c r="AE225" s="122"/>
      <c r="AF225" s="122"/>
      <c r="AG225" s="122"/>
      <c r="AH225" s="122"/>
    </row>
    <row r="226" ht="22.5" customHeight="1">
      <c r="A226" s="73"/>
      <c r="B226" s="73"/>
      <c r="C226" s="73"/>
      <c r="D226" s="73"/>
      <c r="E226" s="330"/>
      <c r="F226" s="118"/>
      <c r="G226" s="118"/>
      <c r="H226" s="118"/>
      <c r="I226" s="118"/>
      <c r="J226" s="119"/>
      <c r="K226" s="120"/>
      <c r="L226" s="120"/>
      <c r="M226" s="120"/>
      <c r="N226" s="120"/>
      <c r="O226" s="118"/>
      <c r="P226" s="120"/>
      <c r="Q226" s="121"/>
      <c r="R226" s="109" t="b">
        <v>0</v>
      </c>
      <c r="S226" s="143"/>
      <c r="T226" s="110"/>
      <c r="U226" s="118"/>
      <c r="V226" s="118"/>
      <c r="W226" s="118"/>
      <c r="X226" s="118"/>
      <c r="Y226" s="118"/>
      <c r="Z226" s="118"/>
      <c r="AA226" s="118"/>
      <c r="AB226" s="118"/>
      <c r="AC226" s="118"/>
      <c r="AD226" s="111"/>
      <c r="AE226" s="122"/>
      <c r="AF226" s="122"/>
      <c r="AG226" s="122"/>
      <c r="AH226" s="122"/>
    </row>
    <row r="227" ht="22.5" customHeight="1">
      <c r="A227" s="73"/>
      <c r="B227" s="73"/>
      <c r="C227" s="73"/>
      <c r="D227" s="73"/>
      <c r="E227" s="330"/>
      <c r="F227" s="118"/>
      <c r="G227" s="118"/>
      <c r="H227" s="118"/>
      <c r="I227" s="118"/>
      <c r="J227" s="119"/>
      <c r="K227" s="120"/>
      <c r="L227" s="120"/>
      <c r="M227" s="120"/>
      <c r="N227" s="120"/>
      <c r="O227" s="118"/>
      <c r="P227" s="120"/>
      <c r="Q227" s="121"/>
      <c r="R227" s="109" t="b">
        <v>0</v>
      </c>
      <c r="S227" s="143"/>
      <c r="T227" s="110"/>
      <c r="U227" s="118"/>
      <c r="V227" s="118"/>
      <c r="W227" s="118"/>
      <c r="X227" s="118"/>
      <c r="Y227" s="118"/>
      <c r="Z227" s="118"/>
      <c r="AA227" s="118"/>
      <c r="AB227" s="118"/>
      <c r="AC227" s="118"/>
      <c r="AD227" s="111"/>
      <c r="AE227" s="122"/>
      <c r="AF227" s="122"/>
      <c r="AG227" s="122"/>
      <c r="AH227" s="122"/>
    </row>
    <row r="228" ht="22.5" customHeight="1">
      <c r="A228" s="73"/>
      <c r="B228" s="73"/>
      <c r="C228" s="73"/>
      <c r="D228" s="73"/>
      <c r="E228" s="330"/>
      <c r="F228" s="118"/>
      <c r="G228" s="118"/>
      <c r="H228" s="118"/>
      <c r="I228" s="118"/>
      <c r="J228" s="119"/>
      <c r="K228" s="120"/>
      <c r="L228" s="120"/>
      <c r="M228" s="120"/>
      <c r="N228" s="120"/>
      <c r="O228" s="118"/>
      <c r="P228" s="120"/>
      <c r="Q228" s="121"/>
      <c r="R228" s="109" t="b">
        <v>0</v>
      </c>
      <c r="S228" s="143"/>
      <c r="T228" s="110"/>
      <c r="U228" s="118"/>
      <c r="V228" s="118"/>
      <c r="W228" s="118"/>
      <c r="X228" s="118"/>
      <c r="Y228" s="118"/>
      <c r="Z228" s="118"/>
      <c r="AA228" s="118"/>
      <c r="AB228" s="118"/>
      <c r="AC228" s="118"/>
      <c r="AD228" s="111"/>
      <c r="AE228" s="122"/>
      <c r="AF228" s="122"/>
      <c r="AG228" s="122"/>
      <c r="AH228" s="122"/>
    </row>
    <row r="229" ht="22.5" customHeight="1">
      <c r="A229" s="73"/>
      <c r="B229" s="73"/>
      <c r="C229" s="73"/>
      <c r="D229" s="73"/>
      <c r="E229" s="330"/>
      <c r="F229" s="118"/>
      <c r="G229" s="118"/>
      <c r="H229" s="118"/>
      <c r="I229" s="118"/>
      <c r="J229" s="119"/>
      <c r="K229" s="120"/>
      <c r="L229" s="120"/>
      <c r="M229" s="120"/>
      <c r="N229" s="120"/>
      <c r="O229" s="118"/>
      <c r="P229" s="120"/>
      <c r="Q229" s="121"/>
      <c r="R229" s="109" t="b">
        <v>0</v>
      </c>
      <c r="S229" s="143"/>
      <c r="T229" s="110"/>
      <c r="U229" s="118"/>
      <c r="V229" s="118"/>
      <c r="W229" s="118"/>
      <c r="X229" s="118"/>
      <c r="Y229" s="118"/>
      <c r="Z229" s="118"/>
      <c r="AA229" s="118"/>
      <c r="AB229" s="118"/>
      <c r="AC229" s="118"/>
      <c r="AD229" s="111"/>
      <c r="AE229" s="122"/>
      <c r="AF229" s="122"/>
      <c r="AG229" s="122"/>
      <c r="AH229" s="122"/>
    </row>
    <row r="230" ht="22.5" customHeight="1">
      <c r="A230" s="73"/>
      <c r="B230" s="73"/>
      <c r="C230" s="73"/>
      <c r="D230" s="73"/>
      <c r="E230" s="330"/>
      <c r="F230" s="118"/>
      <c r="G230" s="118"/>
      <c r="H230" s="118"/>
      <c r="I230" s="118"/>
      <c r="J230" s="119"/>
      <c r="K230" s="120"/>
      <c r="L230" s="120"/>
      <c r="M230" s="120"/>
      <c r="N230" s="120"/>
      <c r="O230" s="118"/>
      <c r="P230" s="120"/>
      <c r="Q230" s="121"/>
      <c r="R230" s="109" t="b">
        <v>0</v>
      </c>
      <c r="S230" s="143"/>
      <c r="T230" s="110"/>
      <c r="U230" s="118"/>
      <c r="V230" s="118"/>
      <c r="W230" s="118"/>
      <c r="X230" s="118"/>
      <c r="Y230" s="118"/>
      <c r="Z230" s="118"/>
      <c r="AA230" s="118"/>
      <c r="AB230" s="118"/>
      <c r="AC230" s="118"/>
      <c r="AD230" s="111"/>
      <c r="AE230" s="122"/>
      <c r="AF230" s="122"/>
      <c r="AG230" s="122"/>
      <c r="AH230" s="122"/>
    </row>
    <row r="231" ht="22.5" customHeight="1">
      <c r="A231" s="73"/>
      <c r="B231" s="73"/>
      <c r="C231" s="73"/>
      <c r="D231" s="73"/>
      <c r="E231" s="330"/>
      <c r="F231" s="118"/>
      <c r="G231" s="118"/>
      <c r="H231" s="118"/>
      <c r="I231" s="118"/>
      <c r="J231" s="119"/>
      <c r="K231" s="120"/>
      <c r="L231" s="120"/>
      <c r="M231" s="120"/>
      <c r="N231" s="120"/>
      <c r="O231" s="118"/>
      <c r="P231" s="120"/>
      <c r="Q231" s="121"/>
      <c r="R231" s="109" t="b">
        <v>0</v>
      </c>
      <c r="S231" s="143"/>
      <c r="T231" s="110"/>
      <c r="U231" s="118"/>
      <c r="V231" s="118"/>
      <c r="W231" s="118"/>
      <c r="X231" s="118"/>
      <c r="Y231" s="118"/>
      <c r="Z231" s="118"/>
      <c r="AA231" s="118"/>
      <c r="AB231" s="118"/>
      <c r="AC231" s="118"/>
      <c r="AD231" s="111"/>
      <c r="AE231" s="122"/>
      <c r="AF231" s="122"/>
      <c r="AG231" s="122"/>
      <c r="AH231" s="122"/>
    </row>
    <row r="232" ht="22.5" customHeight="1">
      <c r="A232" s="73"/>
      <c r="B232" s="73"/>
      <c r="C232" s="73"/>
      <c r="D232" s="73"/>
      <c r="E232" s="330"/>
      <c r="F232" s="118"/>
      <c r="G232" s="118"/>
      <c r="H232" s="118"/>
      <c r="I232" s="118"/>
      <c r="J232" s="119"/>
      <c r="K232" s="120"/>
      <c r="L232" s="120"/>
      <c r="M232" s="120"/>
      <c r="N232" s="120"/>
      <c r="O232" s="118"/>
      <c r="P232" s="120"/>
      <c r="Q232" s="121"/>
      <c r="R232" s="109" t="b">
        <v>0</v>
      </c>
      <c r="S232" s="143"/>
      <c r="T232" s="110"/>
      <c r="U232" s="118"/>
      <c r="V232" s="118"/>
      <c r="W232" s="118"/>
      <c r="X232" s="118"/>
      <c r="Y232" s="118"/>
      <c r="Z232" s="118"/>
      <c r="AA232" s="118"/>
      <c r="AB232" s="118"/>
      <c r="AC232" s="118"/>
      <c r="AD232" s="111"/>
      <c r="AE232" s="122"/>
      <c r="AF232" s="122"/>
      <c r="AG232" s="122"/>
      <c r="AH232" s="122"/>
    </row>
    <row r="233" ht="22.5" customHeight="1">
      <c r="A233" s="73"/>
      <c r="B233" s="73"/>
      <c r="C233" s="73"/>
      <c r="D233" s="73"/>
      <c r="E233" s="330"/>
      <c r="F233" s="118"/>
      <c r="G233" s="118"/>
      <c r="H233" s="118"/>
      <c r="I233" s="118"/>
      <c r="J233" s="119"/>
      <c r="K233" s="120"/>
      <c r="L233" s="120"/>
      <c r="M233" s="120"/>
      <c r="N233" s="120"/>
      <c r="O233" s="118"/>
      <c r="P233" s="120"/>
      <c r="Q233" s="121"/>
      <c r="R233" s="109" t="b">
        <v>0</v>
      </c>
      <c r="S233" s="143"/>
      <c r="T233" s="110"/>
      <c r="U233" s="118"/>
      <c r="V233" s="118"/>
      <c r="W233" s="118"/>
      <c r="X233" s="118"/>
      <c r="Y233" s="118"/>
      <c r="Z233" s="118"/>
      <c r="AA233" s="118"/>
      <c r="AB233" s="118"/>
      <c r="AC233" s="118"/>
      <c r="AD233" s="111"/>
      <c r="AE233" s="122"/>
      <c r="AF233" s="122"/>
      <c r="AG233" s="122"/>
      <c r="AH233" s="122"/>
    </row>
    <row r="234" ht="22.5" customHeight="1">
      <c r="A234" s="73"/>
      <c r="B234" s="73"/>
      <c r="C234" s="73"/>
      <c r="D234" s="73"/>
      <c r="E234" s="330"/>
      <c r="F234" s="118"/>
      <c r="G234" s="118"/>
      <c r="H234" s="118"/>
      <c r="I234" s="118"/>
      <c r="J234" s="119"/>
      <c r="K234" s="120"/>
      <c r="L234" s="120"/>
      <c r="M234" s="120"/>
      <c r="N234" s="120"/>
      <c r="O234" s="118"/>
      <c r="P234" s="120"/>
      <c r="Q234" s="121"/>
      <c r="R234" s="109" t="b">
        <v>0</v>
      </c>
      <c r="S234" s="143"/>
      <c r="T234" s="110"/>
      <c r="U234" s="118"/>
      <c r="V234" s="118"/>
      <c r="W234" s="118"/>
      <c r="X234" s="118"/>
      <c r="Y234" s="118"/>
      <c r="Z234" s="118"/>
      <c r="AA234" s="118"/>
      <c r="AB234" s="118"/>
      <c r="AC234" s="118"/>
      <c r="AD234" s="111"/>
      <c r="AE234" s="122"/>
      <c r="AF234" s="122"/>
      <c r="AG234" s="122"/>
      <c r="AH234" s="122"/>
    </row>
    <row r="235" ht="22.5" customHeight="1">
      <c r="A235" s="73"/>
      <c r="B235" s="73"/>
      <c r="C235" s="73"/>
      <c r="D235" s="73"/>
      <c r="E235" s="330"/>
      <c r="F235" s="118"/>
      <c r="G235" s="118"/>
      <c r="H235" s="118"/>
      <c r="I235" s="118"/>
      <c r="J235" s="119"/>
      <c r="K235" s="120"/>
      <c r="L235" s="120"/>
      <c r="M235" s="120"/>
      <c r="N235" s="120"/>
      <c r="O235" s="118"/>
      <c r="P235" s="120"/>
      <c r="Q235" s="121"/>
      <c r="R235" s="109" t="b">
        <v>0</v>
      </c>
      <c r="S235" s="143"/>
      <c r="T235" s="110"/>
      <c r="U235" s="118"/>
      <c r="V235" s="118"/>
      <c r="W235" s="118"/>
      <c r="X235" s="118"/>
      <c r="Y235" s="118"/>
      <c r="Z235" s="118"/>
      <c r="AA235" s="118"/>
      <c r="AB235" s="118"/>
      <c r="AC235" s="118"/>
      <c r="AD235" s="111"/>
      <c r="AE235" s="122"/>
      <c r="AF235" s="122"/>
      <c r="AG235" s="122"/>
      <c r="AH235" s="122"/>
    </row>
    <row r="236" ht="22.5" customHeight="1">
      <c r="A236" s="73"/>
      <c r="B236" s="73"/>
      <c r="C236" s="73"/>
      <c r="D236" s="73"/>
      <c r="E236" s="330"/>
      <c r="F236" s="118"/>
      <c r="G236" s="118"/>
      <c r="H236" s="118"/>
      <c r="I236" s="118"/>
      <c r="J236" s="119"/>
      <c r="K236" s="120"/>
      <c r="L236" s="120"/>
      <c r="M236" s="120"/>
      <c r="N236" s="120"/>
      <c r="O236" s="118"/>
      <c r="P236" s="120"/>
      <c r="Q236" s="121"/>
      <c r="R236" s="109" t="b">
        <v>0</v>
      </c>
      <c r="S236" s="143"/>
      <c r="T236" s="110"/>
      <c r="U236" s="118"/>
      <c r="V236" s="118"/>
      <c r="W236" s="118"/>
      <c r="X236" s="118"/>
      <c r="Y236" s="118"/>
      <c r="Z236" s="118"/>
      <c r="AA236" s="118"/>
      <c r="AB236" s="118"/>
      <c r="AC236" s="118"/>
      <c r="AD236" s="111"/>
      <c r="AE236" s="122"/>
      <c r="AF236" s="122"/>
      <c r="AG236" s="122"/>
      <c r="AH236" s="122"/>
    </row>
    <row r="237" ht="22.5" customHeight="1">
      <c r="A237" s="73"/>
      <c r="B237" s="73"/>
      <c r="C237" s="73"/>
      <c r="D237" s="73"/>
      <c r="E237" s="330"/>
      <c r="F237" s="118"/>
      <c r="G237" s="118"/>
      <c r="H237" s="118"/>
      <c r="I237" s="118"/>
      <c r="J237" s="119"/>
      <c r="K237" s="120"/>
      <c r="L237" s="120"/>
      <c r="M237" s="120"/>
      <c r="N237" s="120"/>
      <c r="O237" s="118"/>
      <c r="P237" s="120"/>
      <c r="Q237" s="121"/>
      <c r="R237" s="109" t="b">
        <v>0</v>
      </c>
      <c r="S237" s="143"/>
      <c r="T237" s="110"/>
      <c r="U237" s="118"/>
      <c r="V237" s="118"/>
      <c r="W237" s="118"/>
      <c r="X237" s="118"/>
      <c r="Y237" s="118"/>
      <c r="Z237" s="118"/>
      <c r="AA237" s="118"/>
      <c r="AB237" s="118"/>
      <c r="AC237" s="118"/>
      <c r="AD237" s="111"/>
      <c r="AE237" s="122"/>
      <c r="AF237" s="122"/>
      <c r="AG237" s="122"/>
      <c r="AH237" s="122"/>
    </row>
    <row r="238" ht="22.5" customHeight="1">
      <c r="A238" s="73"/>
      <c r="B238" s="73"/>
      <c r="C238" s="73"/>
      <c r="D238" s="73"/>
      <c r="E238" s="330"/>
      <c r="F238" s="118"/>
      <c r="G238" s="118"/>
      <c r="H238" s="118"/>
      <c r="I238" s="118"/>
      <c r="J238" s="119"/>
      <c r="K238" s="120"/>
      <c r="L238" s="120"/>
      <c r="M238" s="120"/>
      <c r="N238" s="120"/>
      <c r="O238" s="118"/>
      <c r="P238" s="120"/>
      <c r="Q238" s="121"/>
      <c r="R238" s="109" t="b">
        <v>0</v>
      </c>
      <c r="S238" s="143"/>
      <c r="T238" s="110"/>
      <c r="U238" s="118"/>
      <c r="V238" s="118"/>
      <c r="W238" s="118"/>
      <c r="X238" s="118"/>
      <c r="Y238" s="118"/>
      <c r="Z238" s="118"/>
      <c r="AA238" s="118"/>
      <c r="AB238" s="118"/>
      <c r="AC238" s="118"/>
      <c r="AD238" s="111"/>
      <c r="AE238" s="122"/>
      <c r="AF238" s="122"/>
      <c r="AG238" s="122"/>
      <c r="AH238" s="122"/>
    </row>
    <row r="239" ht="22.5" customHeight="1">
      <c r="A239" s="73"/>
      <c r="B239" s="73"/>
      <c r="C239" s="73"/>
      <c r="D239" s="73"/>
      <c r="E239" s="330"/>
      <c r="F239" s="118"/>
      <c r="G239" s="118"/>
      <c r="H239" s="118"/>
      <c r="I239" s="118"/>
      <c r="J239" s="119"/>
      <c r="K239" s="120"/>
      <c r="L239" s="120"/>
      <c r="M239" s="120"/>
      <c r="N239" s="120"/>
      <c r="O239" s="118"/>
      <c r="P239" s="120"/>
      <c r="Q239" s="121"/>
      <c r="R239" s="109" t="b">
        <v>0</v>
      </c>
      <c r="S239" s="143"/>
      <c r="T239" s="110"/>
      <c r="U239" s="118"/>
      <c r="V239" s="118"/>
      <c r="W239" s="118"/>
      <c r="X239" s="118"/>
      <c r="Y239" s="118"/>
      <c r="Z239" s="118"/>
      <c r="AA239" s="118"/>
      <c r="AB239" s="118"/>
      <c r="AC239" s="118"/>
      <c r="AD239" s="111"/>
      <c r="AE239" s="122"/>
      <c r="AF239" s="122"/>
      <c r="AG239" s="122"/>
      <c r="AH239" s="122"/>
    </row>
    <row r="240" ht="22.5" customHeight="1">
      <c r="A240" s="73"/>
      <c r="B240" s="73"/>
      <c r="C240" s="73"/>
      <c r="D240" s="73"/>
      <c r="E240" s="330"/>
      <c r="F240" s="118"/>
      <c r="G240" s="118"/>
      <c r="H240" s="118"/>
      <c r="I240" s="118"/>
      <c r="J240" s="119"/>
      <c r="K240" s="120"/>
      <c r="L240" s="120"/>
      <c r="M240" s="120"/>
      <c r="N240" s="120"/>
      <c r="O240" s="118"/>
      <c r="P240" s="120"/>
      <c r="Q240" s="121"/>
      <c r="R240" s="109" t="b">
        <v>0</v>
      </c>
      <c r="S240" s="143"/>
      <c r="T240" s="110"/>
      <c r="U240" s="118"/>
      <c r="V240" s="118"/>
      <c r="W240" s="118"/>
      <c r="X240" s="118"/>
      <c r="Y240" s="118"/>
      <c r="Z240" s="118"/>
      <c r="AA240" s="118"/>
      <c r="AB240" s="118"/>
      <c r="AC240" s="118"/>
      <c r="AD240" s="111"/>
      <c r="AE240" s="122"/>
      <c r="AF240" s="122"/>
      <c r="AG240" s="122"/>
      <c r="AH240" s="122"/>
    </row>
    <row r="241" ht="22.5" customHeight="1">
      <c r="A241" s="73"/>
      <c r="B241" s="73"/>
      <c r="C241" s="73"/>
      <c r="D241" s="73"/>
      <c r="E241" s="330"/>
      <c r="F241" s="118"/>
      <c r="G241" s="118"/>
      <c r="H241" s="118"/>
      <c r="I241" s="118"/>
      <c r="J241" s="119"/>
      <c r="K241" s="120"/>
      <c r="L241" s="120"/>
      <c r="M241" s="120"/>
      <c r="N241" s="120"/>
      <c r="O241" s="118"/>
      <c r="P241" s="120"/>
      <c r="Q241" s="121"/>
      <c r="R241" s="109" t="b">
        <v>0</v>
      </c>
      <c r="S241" s="143"/>
      <c r="T241" s="110"/>
      <c r="U241" s="118"/>
      <c r="V241" s="118"/>
      <c r="W241" s="118"/>
      <c r="X241" s="118"/>
      <c r="Y241" s="118"/>
      <c r="Z241" s="118"/>
      <c r="AA241" s="118"/>
      <c r="AB241" s="118"/>
      <c r="AC241" s="118"/>
      <c r="AD241" s="111"/>
      <c r="AE241" s="122"/>
      <c r="AF241" s="122"/>
      <c r="AG241" s="122"/>
      <c r="AH241" s="122"/>
    </row>
    <row r="242" ht="22.5" customHeight="1">
      <c r="A242" s="73"/>
      <c r="B242" s="73"/>
      <c r="C242" s="73"/>
      <c r="D242" s="73"/>
      <c r="E242" s="330"/>
      <c r="F242" s="118"/>
      <c r="G242" s="118"/>
      <c r="H242" s="118"/>
      <c r="I242" s="118"/>
      <c r="J242" s="119"/>
      <c r="K242" s="120"/>
      <c r="L242" s="120"/>
      <c r="M242" s="120"/>
      <c r="N242" s="120"/>
      <c r="O242" s="118"/>
      <c r="P242" s="120"/>
      <c r="Q242" s="121"/>
      <c r="R242" s="109" t="b">
        <v>0</v>
      </c>
      <c r="S242" s="143"/>
      <c r="T242" s="110"/>
      <c r="U242" s="118"/>
      <c r="V242" s="118"/>
      <c r="W242" s="118"/>
      <c r="X242" s="118"/>
      <c r="Y242" s="118"/>
      <c r="Z242" s="118"/>
      <c r="AA242" s="118"/>
      <c r="AB242" s="118"/>
      <c r="AC242" s="118"/>
      <c r="AD242" s="111"/>
      <c r="AE242" s="122"/>
      <c r="AF242" s="122"/>
      <c r="AG242" s="122"/>
      <c r="AH242" s="122"/>
    </row>
    <row r="243" ht="22.5" customHeight="1">
      <c r="A243" s="73"/>
      <c r="B243" s="73"/>
      <c r="C243" s="73"/>
      <c r="D243" s="73"/>
      <c r="E243" s="330"/>
      <c r="F243" s="118"/>
      <c r="G243" s="118"/>
      <c r="H243" s="118"/>
      <c r="I243" s="118"/>
      <c r="J243" s="119"/>
      <c r="K243" s="120"/>
      <c r="L243" s="120"/>
      <c r="M243" s="120"/>
      <c r="N243" s="120"/>
      <c r="O243" s="118"/>
      <c r="P243" s="120"/>
      <c r="Q243" s="121"/>
      <c r="R243" s="109" t="b">
        <v>0</v>
      </c>
      <c r="S243" s="143"/>
      <c r="T243" s="110"/>
      <c r="U243" s="118"/>
      <c r="V243" s="118"/>
      <c r="W243" s="118"/>
      <c r="X243" s="118"/>
      <c r="Y243" s="118"/>
      <c r="Z243" s="118"/>
      <c r="AA243" s="118"/>
      <c r="AB243" s="118"/>
      <c r="AC243" s="118"/>
      <c r="AD243" s="111"/>
      <c r="AE243" s="122"/>
      <c r="AF243" s="122"/>
      <c r="AG243" s="122"/>
      <c r="AH243" s="122"/>
    </row>
    <row r="244" ht="22.5" customHeight="1">
      <c r="A244" s="73"/>
      <c r="B244" s="73"/>
      <c r="C244" s="73"/>
      <c r="D244" s="73"/>
      <c r="E244" s="330"/>
      <c r="F244" s="118"/>
      <c r="G244" s="118"/>
      <c r="H244" s="118"/>
      <c r="I244" s="118"/>
      <c r="J244" s="119"/>
      <c r="K244" s="120"/>
      <c r="L244" s="120"/>
      <c r="M244" s="120"/>
      <c r="N244" s="120"/>
      <c r="O244" s="118"/>
      <c r="P244" s="120"/>
      <c r="Q244" s="121"/>
      <c r="R244" s="109" t="b">
        <v>0</v>
      </c>
      <c r="S244" s="143"/>
      <c r="T244" s="110"/>
      <c r="U244" s="118"/>
      <c r="V244" s="118"/>
      <c r="W244" s="118"/>
      <c r="X244" s="118"/>
      <c r="Y244" s="118"/>
      <c r="Z244" s="118"/>
      <c r="AA244" s="118"/>
      <c r="AB244" s="118"/>
      <c r="AC244" s="118"/>
      <c r="AD244" s="111"/>
      <c r="AE244" s="122"/>
      <c r="AF244" s="122"/>
      <c r="AG244" s="122"/>
      <c r="AH244" s="122"/>
    </row>
    <row r="245" ht="22.5" customHeight="1">
      <c r="A245" s="73"/>
      <c r="B245" s="73"/>
      <c r="C245" s="73"/>
      <c r="D245" s="73"/>
      <c r="E245" s="330"/>
      <c r="F245" s="118"/>
      <c r="G245" s="118"/>
      <c r="H245" s="118"/>
      <c r="I245" s="118"/>
      <c r="J245" s="119"/>
      <c r="K245" s="120"/>
      <c r="L245" s="120"/>
      <c r="M245" s="120"/>
      <c r="N245" s="120"/>
      <c r="O245" s="118"/>
      <c r="P245" s="120"/>
      <c r="Q245" s="121"/>
      <c r="R245" s="109" t="b">
        <v>0</v>
      </c>
      <c r="S245" s="143"/>
      <c r="T245" s="110"/>
      <c r="U245" s="118"/>
      <c r="V245" s="118"/>
      <c r="W245" s="118"/>
      <c r="X245" s="118"/>
      <c r="Y245" s="118"/>
      <c r="Z245" s="118"/>
      <c r="AA245" s="118"/>
      <c r="AB245" s="118"/>
      <c r="AC245" s="118"/>
      <c r="AD245" s="111"/>
      <c r="AE245" s="122"/>
      <c r="AF245" s="122"/>
      <c r="AG245" s="122"/>
      <c r="AH245" s="122"/>
    </row>
    <row r="246" ht="22.5" customHeight="1">
      <c r="A246" s="73"/>
      <c r="B246" s="73"/>
      <c r="C246" s="73"/>
      <c r="D246" s="73"/>
      <c r="E246" s="330"/>
      <c r="F246" s="118"/>
      <c r="G246" s="118"/>
      <c r="H246" s="118"/>
      <c r="I246" s="118"/>
      <c r="J246" s="119"/>
      <c r="K246" s="120"/>
      <c r="L246" s="120"/>
      <c r="M246" s="120"/>
      <c r="N246" s="120"/>
      <c r="O246" s="118"/>
      <c r="P246" s="120"/>
      <c r="Q246" s="121"/>
      <c r="R246" s="109" t="b">
        <v>0</v>
      </c>
      <c r="S246" s="143"/>
      <c r="T246" s="110"/>
      <c r="U246" s="118"/>
      <c r="V246" s="118"/>
      <c r="W246" s="118"/>
      <c r="X246" s="118"/>
      <c r="Y246" s="118"/>
      <c r="Z246" s="118"/>
      <c r="AA246" s="118"/>
      <c r="AB246" s="118"/>
      <c r="AC246" s="118"/>
      <c r="AD246" s="111"/>
      <c r="AE246" s="122"/>
      <c r="AF246" s="122"/>
      <c r="AG246" s="122"/>
      <c r="AH246" s="122"/>
    </row>
    <row r="247" ht="22.5" customHeight="1">
      <c r="A247" s="73"/>
      <c r="B247" s="73"/>
      <c r="C247" s="73"/>
      <c r="D247" s="73"/>
      <c r="E247" s="330"/>
      <c r="F247" s="118"/>
      <c r="G247" s="118"/>
      <c r="H247" s="118"/>
      <c r="I247" s="118"/>
      <c r="J247" s="119"/>
      <c r="K247" s="120"/>
      <c r="L247" s="120"/>
      <c r="M247" s="120"/>
      <c r="N247" s="120"/>
      <c r="O247" s="118"/>
      <c r="P247" s="120"/>
      <c r="Q247" s="121"/>
      <c r="R247" s="109" t="b">
        <v>0</v>
      </c>
      <c r="S247" s="143"/>
      <c r="T247" s="110"/>
      <c r="U247" s="118"/>
      <c r="V247" s="118"/>
      <c r="W247" s="118"/>
      <c r="X247" s="118"/>
      <c r="Y247" s="118"/>
      <c r="Z247" s="118"/>
      <c r="AA247" s="118"/>
      <c r="AB247" s="118"/>
      <c r="AC247" s="118"/>
      <c r="AD247" s="111"/>
      <c r="AE247" s="122"/>
      <c r="AF247" s="122"/>
      <c r="AG247" s="122"/>
      <c r="AH247" s="122"/>
    </row>
    <row r="248" ht="22.5" customHeight="1">
      <c r="A248" s="73"/>
      <c r="B248" s="73"/>
      <c r="C248" s="73"/>
      <c r="D248" s="73"/>
      <c r="E248" s="330"/>
      <c r="F248" s="118"/>
      <c r="G248" s="118"/>
      <c r="H248" s="118"/>
      <c r="I248" s="118"/>
      <c r="J248" s="119"/>
      <c r="K248" s="120"/>
      <c r="L248" s="120"/>
      <c r="M248" s="120"/>
      <c r="N248" s="120"/>
      <c r="O248" s="118"/>
      <c r="P248" s="120"/>
      <c r="Q248" s="121"/>
      <c r="R248" s="109" t="b">
        <v>0</v>
      </c>
      <c r="S248" s="143"/>
      <c r="T248" s="110"/>
      <c r="U248" s="118"/>
      <c r="V248" s="118"/>
      <c r="W248" s="118"/>
      <c r="X248" s="118"/>
      <c r="Y248" s="118"/>
      <c r="Z248" s="118"/>
      <c r="AA248" s="118"/>
      <c r="AB248" s="118"/>
      <c r="AC248" s="118"/>
      <c r="AD248" s="111"/>
      <c r="AE248" s="122"/>
      <c r="AF248" s="122"/>
      <c r="AG248" s="122"/>
      <c r="AH248" s="122"/>
    </row>
    <row r="249" ht="22.5" customHeight="1">
      <c r="A249" s="73"/>
      <c r="B249" s="73"/>
      <c r="C249" s="73"/>
      <c r="D249" s="73"/>
      <c r="E249" s="330"/>
      <c r="F249" s="118"/>
      <c r="G249" s="118"/>
      <c r="H249" s="118"/>
      <c r="I249" s="118"/>
      <c r="J249" s="119"/>
      <c r="K249" s="120"/>
      <c r="L249" s="120"/>
      <c r="M249" s="120"/>
      <c r="N249" s="120"/>
      <c r="O249" s="118"/>
      <c r="P249" s="120"/>
      <c r="Q249" s="121"/>
      <c r="R249" s="109" t="b">
        <v>0</v>
      </c>
      <c r="S249" s="143"/>
      <c r="T249" s="110"/>
      <c r="U249" s="118"/>
      <c r="V249" s="118"/>
      <c r="W249" s="118"/>
      <c r="X249" s="118"/>
      <c r="Y249" s="118"/>
      <c r="Z249" s="118"/>
      <c r="AA249" s="118"/>
      <c r="AB249" s="118"/>
      <c r="AC249" s="118"/>
      <c r="AD249" s="111"/>
      <c r="AE249" s="122"/>
      <c r="AF249" s="122"/>
      <c r="AG249" s="122"/>
      <c r="AH249" s="122"/>
    </row>
    <row r="250" ht="22.5" customHeight="1">
      <c r="A250" s="73"/>
      <c r="B250" s="73"/>
      <c r="C250" s="73"/>
      <c r="D250" s="73"/>
      <c r="E250" s="330"/>
      <c r="F250" s="118"/>
      <c r="G250" s="118"/>
      <c r="H250" s="118"/>
      <c r="I250" s="118"/>
      <c r="J250" s="119"/>
      <c r="K250" s="120"/>
      <c r="L250" s="120"/>
      <c r="M250" s="120"/>
      <c r="N250" s="120"/>
      <c r="O250" s="118"/>
      <c r="P250" s="120"/>
      <c r="Q250" s="121"/>
      <c r="R250" s="109" t="b">
        <v>0</v>
      </c>
      <c r="S250" s="143"/>
      <c r="T250" s="110"/>
      <c r="U250" s="118"/>
      <c r="V250" s="118"/>
      <c r="W250" s="118"/>
      <c r="X250" s="118"/>
      <c r="Y250" s="118"/>
      <c r="Z250" s="118"/>
      <c r="AA250" s="118"/>
      <c r="AB250" s="118"/>
      <c r="AC250" s="118"/>
      <c r="AD250" s="111"/>
      <c r="AE250" s="122"/>
      <c r="AF250" s="122"/>
      <c r="AG250" s="122"/>
      <c r="AH250" s="122"/>
    </row>
    <row r="251" ht="22.5" customHeight="1">
      <c r="A251" s="73"/>
      <c r="B251" s="73"/>
      <c r="C251" s="73"/>
      <c r="D251" s="73"/>
      <c r="E251" s="330"/>
      <c r="F251" s="118"/>
      <c r="G251" s="118"/>
      <c r="H251" s="118"/>
      <c r="I251" s="118"/>
      <c r="J251" s="119"/>
      <c r="K251" s="120"/>
      <c r="L251" s="120"/>
      <c r="M251" s="120"/>
      <c r="N251" s="120"/>
      <c r="O251" s="118"/>
      <c r="P251" s="120"/>
      <c r="Q251" s="121"/>
      <c r="R251" s="109" t="b">
        <v>0</v>
      </c>
      <c r="S251" s="143"/>
      <c r="T251" s="110"/>
      <c r="U251" s="118"/>
      <c r="V251" s="118"/>
      <c r="W251" s="118"/>
      <c r="X251" s="118"/>
      <c r="Y251" s="118"/>
      <c r="Z251" s="118"/>
      <c r="AA251" s="118"/>
      <c r="AB251" s="118"/>
      <c r="AC251" s="118"/>
      <c r="AD251" s="111"/>
      <c r="AE251" s="122"/>
      <c r="AF251" s="122"/>
      <c r="AG251" s="122"/>
      <c r="AH251" s="122"/>
    </row>
    <row r="252" ht="22.5" customHeight="1">
      <c r="A252" s="73"/>
      <c r="B252" s="73"/>
      <c r="C252" s="73"/>
      <c r="D252" s="73"/>
      <c r="E252" s="330"/>
      <c r="F252" s="118"/>
      <c r="G252" s="118"/>
      <c r="H252" s="118"/>
      <c r="I252" s="118"/>
      <c r="J252" s="119"/>
      <c r="K252" s="120"/>
      <c r="L252" s="120"/>
      <c r="M252" s="120"/>
      <c r="N252" s="120"/>
      <c r="O252" s="118"/>
      <c r="P252" s="120"/>
      <c r="Q252" s="121"/>
      <c r="R252" s="109" t="b">
        <v>0</v>
      </c>
      <c r="S252" s="143"/>
      <c r="T252" s="110"/>
      <c r="U252" s="118"/>
      <c r="V252" s="118"/>
      <c r="W252" s="118"/>
      <c r="X252" s="118"/>
      <c r="Y252" s="118"/>
      <c r="Z252" s="118"/>
      <c r="AA252" s="118"/>
      <c r="AB252" s="118"/>
      <c r="AC252" s="118"/>
      <c r="AD252" s="111"/>
      <c r="AE252" s="122"/>
      <c r="AF252" s="122"/>
      <c r="AG252" s="122"/>
      <c r="AH252" s="122"/>
    </row>
    <row r="253" ht="22.5" customHeight="1">
      <c r="A253" s="73"/>
      <c r="B253" s="73"/>
      <c r="C253" s="73"/>
      <c r="D253" s="73"/>
      <c r="E253" s="330"/>
      <c r="F253" s="118"/>
      <c r="G253" s="118"/>
      <c r="H253" s="118"/>
      <c r="I253" s="118"/>
      <c r="J253" s="119"/>
      <c r="K253" s="120"/>
      <c r="L253" s="120"/>
      <c r="M253" s="120"/>
      <c r="N253" s="120"/>
      <c r="O253" s="118"/>
      <c r="P253" s="120"/>
      <c r="Q253" s="121"/>
      <c r="R253" s="109" t="b">
        <v>0</v>
      </c>
      <c r="S253" s="143"/>
      <c r="T253" s="110"/>
      <c r="U253" s="118"/>
      <c r="V253" s="118"/>
      <c r="W253" s="118"/>
      <c r="X253" s="118"/>
      <c r="Y253" s="118"/>
      <c r="Z253" s="118"/>
      <c r="AA253" s="118"/>
      <c r="AB253" s="118"/>
      <c r="AC253" s="118"/>
      <c r="AD253" s="111"/>
      <c r="AE253" s="122"/>
      <c r="AF253" s="122"/>
      <c r="AG253" s="122"/>
      <c r="AH253" s="122"/>
    </row>
    <row r="254" ht="22.5" customHeight="1">
      <c r="A254" s="73"/>
      <c r="B254" s="73"/>
      <c r="C254" s="73"/>
      <c r="D254" s="73"/>
      <c r="E254" s="330"/>
      <c r="F254" s="118"/>
      <c r="G254" s="118"/>
      <c r="H254" s="118"/>
      <c r="I254" s="118"/>
      <c r="J254" s="119"/>
      <c r="K254" s="120"/>
      <c r="L254" s="120"/>
      <c r="M254" s="120"/>
      <c r="N254" s="120"/>
      <c r="O254" s="118"/>
      <c r="P254" s="120"/>
      <c r="Q254" s="121"/>
      <c r="R254" s="109" t="b">
        <v>0</v>
      </c>
      <c r="S254" s="143"/>
      <c r="T254" s="110"/>
      <c r="U254" s="118"/>
      <c r="V254" s="118"/>
      <c r="W254" s="118"/>
      <c r="X254" s="118"/>
      <c r="Y254" s="118"/>
      <c r="Z254" s="118"/>
      <c r="AA254" s="118"/>
      <c r="AB254" s="118"/>
      <c r="AC254" s="118"/>
      <c r="AD254" s="111"/>
      <c r="AE254" s="122"/>
      <c r="AF254" s="122"/>
      <c r="AG254" s="122"/>
      <c r="AH254" s="122"/>
    </row>
    <row r="255" ht="22.5" customHeight="1">
      <c r="A255" s="73"/>
      <c r="B255" s="73"/>
      <c r="C255" s="73"/>
      <c r="D255" s="73"/>
      <c r="E255" s="330"/>
      <c r="F255" s="118"/>
      <c r="G255" s="118"/>
      <c r="H255" s="118"/>
      <c r="I255" s="118"/>
      <c r="J255" s="119"/>
      <c r="K255" s="120"/>
      <c r="L255" s="120"/>
      <c r="M255" s="120"/>
      <c r="N255" s="120"/>
      <c r="O255" s="118"/>
      <c r="P255" s="120"/>
      <c r="Q255" s="121"/>
      <c r="R255" s="109" t="b">
        <v>0</v>
      </c>
      <c r="S255" s="143"/>
      <c r="T255" s="110"/>
      <c r="U255" s="118"/>
      <c r="V255" s="118"/>
      <c r="W255" s="118"/>
      <c r="X255" s="118"/>
      <c r="Y255" s="118"/>
      <c r="Z255" s="118"/>
      <c r="AA255" s="118"/>
      <c r="AB255" s="118"/>
      <c r="AC255" s="118"/>
      <c r="AD255" s="111"/>
      <c r="AE255" s="122"/>
      <c r="AF255" s="122"/>
      <c r="AG255" s="122"/>
      <c r="AH255" s="122"/>
    </row>
    <row r="256" ht="22.5" customHeight="1">
      <c r="A256" s="73"/>
      <c r="B256" s="73"/>
      <c r="C256" s="73"/>
      <c r="D256" s="73"/>
      <c r="E256" s="330"/>
      <c r="F256" s="118"/>
      <c r="G256" s="118"/>
      <c r="H256" s="118"/>
      <c r="I256" s="118"/>
      <c r="J256" s="119"/>
      <c r="K256" s="120"/>
      <c r="L256" s="120"/>
      <c r="M256" s="120"/>
      <c r="N256" s="120"/>
      <c r="O256" s="118"/>
      <c r="P256" s="120"/>
      <c r="Q256" s="121"/>
      <c r="R256" s="109" t="b">
        <v>0</v>
      </c>
      <c r="S256" s="143"/>
      <c r="T256" s="110"/>
      <c r="U256" s="118"/>
      <c r="V256" s="118"/>
      <c r="W256" s="118"/>
      <c r="X256" s="118"/>
      <c r="Y256" s="118"/>
      <c r="Z256" s="118"/>
      <c r="AA256" s="118"/>
      <c r="AB256" s="118"/>
      <c r="AC256" s="118"/>
      <c r="AD256" s="111"/>
      <c r="AE256" s="122"/>
      <c r="AF256" s="122"/>
      <c r="AG256" s="122"/>
      <c r="AH256" s="122"/>
    </row>
    <row r="257" ht="22.5" customHeight="1">
      <c r="A257" s="73"/>
      <c r="B257" s="73"/>
      <c r="C257" s="73"/>
      <c r="D257" s="73"/>
      <c r="E257" s="330"/>
      <c r="F257" s="118"/>
      <c r="G257" s="118"/>
      <c r="H257" s="118"/>
      <c r="I257" s="118"/>
      <c r="J257" s="119"/>
      <c r="K257" s="120"/>
      <c r="L257" s="120"/>
      <c r="M257" s="120"/>
      <c r="N257" s="120"/>
      <c r="O257" s="118"/>
      <c r="P257" s="120"/>
      <c r="Q257" s="121"/>
      <c r="R257" s="109" t="b">
        <v>0</v>
      </c>
      <c r="S257" s="143"/>
      <c r="T257" s="110"/>
      <c r="U257" s="118"/>
      <c r="V257" s="118"/>
      <c r="W257" s="118"/>
      <c r="X257" s="118"/>
      <c r="Y257" s="118"/>
      <c r="Z257" s="118"/>
      <c r="AA257" s="118"/>
      <c r="AB257" s="118"/>
      <c r="AC257" s="118"/>
      <c r="AD257" s="111"/>
      <c r="AE257" s="122"/>
      <c r="AF257" s="122"/>
      <c r="AG257" s="122"/>
      <c r="AH257" s="122"/>
    </row>
    <row r="258" ht="22.5" customHeight="1">
      <c r="A258" s="73"/>
      <c r="B258" s="73"/>
      <c r="C258" s="73"/>
      <c r="D258" s="73"/>
      <c r="E258" s="330"/>
      <c r="F258" s="118"/>
      <c r="G258" s="118"/>
      <c r="H258" s="118"/>
      <c r="I258" s="118"/>
      <c r="J258" s="119"/>
      <c r="K258" s="120"/>
      <c r="L258" s="120"/>
      <c r="M258" s="120"/>
      <c r="N258" s="120"/>
      <c r="O258" s="118"/>
      <c r="P258" s="120"/>
      <c r="Q258" s="121"/>
      <c r="R258" s="109" t="b">
        <v>0</v>
      </c>
      <c r="S258" s="143"/>
      <c r="T258" s="110"/>
      <c r="U258" s="118"/>
      <c r="V258" s="118"/>
      <c r="W258" s="118"/>
      <c r="X258" s="118"/>
      <c r="Y258" s="118"/>
      <c r="Z258" s="118"/>
      <c r="AA258" s="118"/>
      <c r="AB258" s="118"/>
      <c r="AC258" s="118"/>
      <c r="AD258" s="111"/>
      <c r="AE258" s="122"/>
      <c r="AF258" s="122"/>
      <c r="AG258" s="122"/>
      <c r="AH258" s="122"/>
    </row>
    <row r="259" ht="22.5" customHeight="1">
      <c r="A259" s="73"/>
      <c r="B259" s="73"/>
      <c r="C259" s="73"/>
      <c r="D259" s="73"/>
      <c r="E259" s="330"/>
      <c r="F259" s="118"/>
      <c r="G259" s="118"/>
      <c r="H259" s="118"/>
      <c r="I259" s="118"/>
      <c r="J259" s="119"/>
      <c r="K259" s="120"/>
      <c r="L259" s="120"/>
      <c r="M259" s="120"/>
      <c r="N259" s="120"/>
      <c r="O259" s="118"/>
      <c r="P259" s="120"/>
      <c r="Q259" s="121"/>
      <c r="R259" s="109" t="b">
        <v>0</v>
      </c>
      <c r="S259" s="143"/>
      <c r="T259" s="110"/>
      <c r="U259" s="118"/>
      <c r="V259" s="118"/>
      <c r="W259" s="118"/>
      <c r="X259" s="118"/>
      <c r="Y259" s="118"/>
      <c r="Z259" s="118"/>
      <c r="AA259" s="118"/>
      <c r="AB259" s="118"/>
      <c r="AC259" s="118"/>
      <c r="AD259" s="111"/>
      <c r="AE259" s="122"/>
      <c r="AF259" s="122"/>
      <c r="AG259" s="122"/>
      <c r="AH259" s="122"/>
    </row>
    <row r="260" ht="22.5" customHeight="1">
      <c r="A260" s="73"/>
      <c r="B260" s="73"/>
      <c r="C260" s="73"/>
      <c r="D260" s="73"/>
      <c r="E260" s="330"/>
      <c r="F260" s="118"/>
      <c r="G260" s="118"/>
      <c r="H260" s="118"/>
      <c r="I260" s="118"/>
      <c r="J260" s="119"/>
      <c r="K260" s="120"/>
      <c r="L260" s="120"/>
      <c r="M260" s="120"/>
      <c r="N260" s="120"/>
      <c r="O260" s="118"/>
      <c r="P260" s="120"/>
      <c r="Q260" s="121"/>
      <c r="R260" s="109" t="b">
        <v>0</v>
      </c>
      <c r="S260" s="143"/>
      <c r="T260" s="110"/>
      <c r="U260" s="118"/>
      <c r="V260" s="118"/>
      <c r="W260" s="118"/>
      <c r="X260" s="118"/>
      <c r="Y260" s="118"/>
      <c r="Z260" s="118"/>
      <c r="AA260" s="118"/>
      <c r="AB260" s="118"/>
      <c r="AC260" s="118"/>
      <c r="AD260" s="111"/>
      <c r="AE260" s="122"/>
      <c r="AF260" s="122"/>
      <c r="AG260" s="122"/>
      <c r="AH260" s="122"/>
    </row>
    <row r="261" ht="22.5" customHeight="1">
      <c r="A261" s="73"/>
      <c r="B261" s="73"/>
      <c r="C261" s="73"/>
      <c r="D261" s="73"/>
      <c r="E261" s="330"/>
      <c r="F261" s="118"/>
      <c r="G261" s="118"/>
      <c r="H261" s="118"/>
      <c r="I261" s="118"/>
      <c r="J261" s="119"/>
      <c r="K261" s="120"/>
      <c r="L261" s="120"/>
      <c r="M261" s="120"/>
      <c r="N261" s="120"/>
      <c r="O261" s="118"/>
      <c r="P261" s="120"/>
      <c r="Q261" s="121"/>
      <c r="R261" s="109" t="b">
        <v>0</v>
      </c>
      <c r="S261" s="143"/>
      <c r="T261" s="110"/>
      <c r="U261" s="118"/>
      <c r="V261" s="118"/>
      <c r="W261" s="118"/>
      <c r="X261" s="118"/>
      <c r="Y261" s="118"/>
      <c r="Z261" s="118"/>
      <c r="AA261" s="118"/>
      <c r="AB261" s="118"/>
      <c r="AC261" s="118"/>
      <c r="AD261" s="111"/>
      <c r="AE261" s="122"/>
      <c r="AF261" s="122"/>
      <c r="AG261" s="122"/>
      <c r="AH261" s="122"/>
    </row>
    <row r="262" ht="22.5" customHeight="1">
      <c r="A262" s="73"/>
      <c r="B262" s="73"/>
      <c r="C262" s="73"/>
      <c r="D262" s="73"/>
      <c r="E262" s="330"/>
      <c r="F262" s="118"/>
      <c r="G262" s="118"/>
      <c r="H262" s="118"/>
      <c r="I262" s="118"/>
      <c r="J262" s="119"/>
      <c r="K262" s="120"/>
      <c r="L262" s="120"/>
      <c r="M262" s="120"/>
      <c r="N262" s="120"/>
      <c r="O262" s="118"/>
      <c r="P262" s="120"/>
      <c r="Q262" s="121"/>
      <c r="R262" s="109" t="b">
        <v>0</v>
      </c>
      <c r="S262" s="143"/>
      <c r="T262" s="110"/>
      <c r="U262" s="118"/>
      <c r="V262" s="118"/>
      <c r="W262" s="118"/>
      <c r="X262" s="118"/>
      <c r="Y262" s="118"/>
      <c r="Z262" s="118"/>
      <c r="AA262" s="118"/>
      <c r="AB262" s="118"/>
      <c r="AC262" s="118"/>
      <c r="AD262" s="111"/>
      <c r="AE262" s="122"/>
      <c r="AF262" s="122"/>
      <c r="AG262" s="122"/>
      <c r="AH262" s="122"/>
    </row>
    <row r="263" ht="22.5" customHeight="1">
      <c r="A263" s="73"/>
      <c r="B263" s="73"/>
      <c r="C263" s="73"/>
      <c r="D263" s="73"/>
      <c r="E263" s="330"/>
      <c r="F263" s="118"/>
      <c r="G263" s="118"/>
      <c r="H263" s="118"/>
      <c r="I263" s="118"/>
      <c r="J263" s="119"/>
      <c r="K263" s="120"/>
      <c r="L263" s="120"/>
      <c r="M263" s="120"/>
      <c r="N263" s="120"/>
      <c r="O263" s="118"/>
      <c r="P263" s="120"/>
      <c r="Q263" s="121"/>
      <c r="R263" s="109" t="b">
        <v>0</v>
      </c>
      <c r="S263" s="143"/>
      <c r="T263" s="110"/>
      <c r="U263" s="118"/>
      <c r="V263" s="118"/>
      <c r="W263" s="118"/>
      <c r="X263" s="118"/>
      <c r="Y263" s="118"/>
      <c r="Z263" s="118"/>
      <c r="AA263" s="118"/>
      <c r="AB263" s="118"/>
      <c r="AC263" s="118"/>
      <c r="AD263" s="111"/>
      <c r="AE263" s="122"/>
      <c r="AF263" s="122"/>
      <c r="AG263" s="122"/>
      <c r="AH263" s="122"/>
    </row>
    <row r="264" ht="22.5" customHeight="1">
      <c r="A264" s="73"/>
      <c r="B264" s="73"/>
      <c r="C264" s="73"/>
      <c r="D264" s="73"/>
      <c r="E264" s="330"/>
      <c r="F264" s="118"/>
      <c r="G264" s="118"/>
      <c r="H264" s="118"/>
      <c r="I264" s="118"/>
      <c r="J264" s="119"/>
      <c r="K264" s="120"/>
      <c r="L264" s="120"/>
      <c r="M264" s="120"/>
      <c r="N264" s="120"/>
      <c r="O264" s="118"/>
      <c r="P264" s="120"/>
      <c r="Q264" s="121"/>
      <c r="R264" s="109" t="b">
        <v>0</v>
      </c>
      <c r="S264" s="143"/>
      <c r="T264" s="110"/>
      <c r="U264" s="118"/>
      <c r="V264" s="118"/>
      <c r="W264" s="118"/>
      <c r="X264" s="118"/>
      <c r="Y264" s="118"/>
      <c r="Z264" s="118"/>
      <c r="AA264" s="118"/>
      <c r="AB264" s="118"/>
      <c r="AC264" s="118"/>
      <c r="AD264" s="111"/>
      <c r="AE264" s="122"/>
      <c r="AF264" s="122"/>
      <c r="AG264" s="122"/>
      <c r="AH264" s="122"/>
    </row>
    <row r="265" ht="22.5" customHeight="1">
      <c r="A265" s="73"/>
      <c r="B265" s="73"/>
      <c r="C265" s="73"/>
      <c r="D265" s="73"/>
      <c r="E265" s="330"/>
      <c r="F265" s="118"/>
      <c r="G265" s="118"/>
      <c r="H265" s="118"/>
      <c r="I265" s="118"/>
      <c r="J265" s="119"/>
      <c r="K265" s="120"/>
      <c r="L265" s="120"/>
      <c r="M265" s="120"/>
      <c r="N265" s="120"/>
      <c r="O265" s="118"/>
      <c r="P265" s="120"/>
      <c r="Q265" s="121"/>
      <c r="R265" s="109" t="b">
        <v>0</v>
      </c>
      <c r="S265" s="143"/>
      <c r="T265" s="110"/>
      <c r="U265" s="118"/>
      <c r="V265" s="118"/>
      <c r="W265" s="118"/>
      <c r="X265" s="118"/>
      <c r="Y265" s="118"/>
      <c r="Z265" s="118"/>
      <c r="AA265" s="118"/>
      <c r="AB265" s="118"/>
      <c r="AC265" s="118"/>
      <c r="AD265" s="111"/>
      <c r="AE265" s="122"/>
      <c r="AF265" s="122"/>
      <c r="AG265" s="122"/>
      <c r="AH265" s="122"/>
    </row>
    <row r="266" ht="22.5" customHeight="1">
      <c r="A266" s="73"/>
      <c r="B266" s="73"/>
      <c r="C266" s="73"/>
      <c r="D266" s="73"/>
      <c r="E266" s="330"/>
      <c r="F266" s="118"/>
      <c r="G266" s="118"/>
      <c r="H266" s="118"/>
      <c r="I266" s="118"/>
      <c r="J266" s="119"/>
      <c r="K266" s="120"/>
      <c r="L266" s="120"/>
      <c r="M266" s="120"/>
      <c r="N266" s="120"/>
      <c r="O266" s="118"/>
      <c r="P266" s="120"/>
      <c r="Q266" s="121"/>
      <c r="R266" s="109" t="b">
        <v>0</v>
      </c>
      <c r="S266" s="143"/>
      <c r="T266" s="110"/>
      <c r="U266" s="118"/>
      <c r="V266" s="118"/>
      <c r="W266" s="118"/>
      <c r="X266" s="118"/>
      <c r="Y266" s="118"/>
      <c r="Z266" s="118"/>
      <c r="AA266" s="118"/>
      <c r="AB266" s="118"/>
      <c r="AC266" s="118"/>
      <c r="AD266" s="111"/>
      <c r="AE266" s="122"/>
      <c r="AF266" s="122"/>
      <c r="AG266" s="122"/>
      <c r="AH266" s="122"/>
    </row>
    <row r="267" ht="22.5" customHeight="1">
      <c r="A267" s="73"/>
      <c r="B267" s="73"/>
      <c r="C267" s="73"/>
      <c r="D267" s="73"/>
      <c r="E267" s="330"/>
      <c r="F267" s="118"/>
      <c r="G267" s="118"/>
      <c r="H267" s="118"/>
      <c r="I267" s="118"/>
      <c r="J267" s="119"/>
      <c r="K267" s="120"/>
      <c r="L267" s="120"/>
      <c r="M267" s="120"/>
      <c r="N267" s="120"/>
      <c r="O267" s="118"/>
      <c r="P267" s="120"/>
      <c r="Q267" s="121"/>
      <c r="R267" s="109" t="b">
        <v>0</v>
      </c>
      <c r="S267" s="143"/>
      <c r="T267" s="110"/>
      <c r="U267" s="118"/>
      <c r="V267" s="118"/>
      <c r="W267" s="118"/>
      <c r="X267" s="118"/>
      <c r="Y267" s="118"/>
      <c r="Z267" s="118"/>
      <c r="AA267" s="118"/>
      <c r="AB267" s="118"/>
      <c r="AC267" s="118"/>
      <c r="AD267" s="111"/>
      <c r="AE267" s="122"/>
      <c r="AF267" s="122"/>
      <c r="AG267" s="122"/>
      <c r="AH267" s="122"/>
    </row>
    <row r="268" ht="22.5" customHeight="1">
      <c r="A268" s="73"/>
      <c r="B268" s="73"/>
      <c r="C268" s="73"/>
      <c r="D268" s="73"/>
      <c r="E268" s="330"/>
      <c r="F268" s="118"/>
      <c r="G268" s="118"/>
      <c r="H268" s="118"/>
      <c r="I268" s="118"/>
      <c r="J268" s="119"/>
      <c r="K268" s="120"/>
      <c r="L268" s="120"/>
      <c r="M268" s="120"/>
      <c r="N268" s="120"/>
      <c r="O268" s="118"/>
      <c r="P268" s="120"/>
      <c r="Q268" s="121"/>
      <c r="R268" s="109" t="b">
        <v>0</v>
      </c>
      <c r="S268" s="143"/>
      <c r="T268" s="110"/>
      <c r="U268" s="118"/>
      <c r="V268" s="118"/>
      <c r="W268" s="118"/>
      <c r="X268" s="118"/>
      <c r="Y268" s="118"/>
      <c r="Z268" s="118"/>
      <c r="AA268" s="118"/>
      <c r="AB268" s="118"/>
      <c r="AC268" s="118"/>
      <c r="AD268" s="111"/>
      <c r="AE268" s="122"/>
      <c r="AF268" s="122"/>
      <c r="AG268" s="122"/>
      <c r="AH268" s="122"/>
    </row>
    <row r="269" ht="22.5" customHeight="1">
      <c r="A269" s="73"/>
      <c r="B269" s="73"/>
      <c r="C269" s="73"/>
      <c r="D269" s="73"/>
      <c r="E269" s="330"/>
      <c r="F269" s="118"/>
      <c r="G269" s="118"/>
      <c r="H269" s="118"/>
      <c r="I269" s="118"/>
      <c r="J269" s="119"/>
      <c r="K269" s="120"/>
      <c r="L269" s="120"/>
      <c r="M269" s="120"/>
      <c r="N269" s="120"/>
      <c r="O269" s="118"/>
      <c r="P269" s="120"/>
      <c r="Q269" s="121"/>
      <c r="R269" s="109" t="b">
        <v>0</v>
      </c>
      <c r="S269" s="143"/>
      <c r="T269" s="110"/>
      <c r="U269" s="118"/>
      <c r="V269" s="118"/>
      <c r="W269" s="118"/>
      <c r="X269" s="118"/>
      <c r="Y269" s="118"/>
      <c r="Z269" s="118"/>
      <c r="AA269" s="118"/>
      <c r="AB269" s="118"/>
      <c r="AC269" s="118"/>
      <c r="AD269" s="111"/>
      <c r="AE269" s="122"/>
      <c r="AF269" s="122"/>
      <c r="AG269" s="122"/>
      <c r="AH269" s="122"/>
    </row>
    <row r="270" ht="22.5" customHeight="1">
      <c r="A270" s="73"/>
      <c r="B270" s="73"/>
      <c r="C270" s="73"/>
      <c r="D270" s="73"/>
      <c r="E270" s="330"/>
      <c r="F270" s="118"/>
      <c r="G270" s="118"/>
      <c r="H270" s="118"/>
      <c r="I270" s="118"/>
      <c r="J270" s="119"/>
      <c r="K270" s="120"/>
      <c r="L270" s="120"/>
      <c r="M270" s="120"/>
      <c r="N270" s="120"/>
      <c r="O270" s="118"/>
      <c r="P270" s="120"/>
      <c r="Q270" s="121"/>
      <c r="R270" s="109" t="b">
        <v>0</v>
      </c>
      <c r="S270" s="143"/>
      <c r="T270" s="110"/>
      <c r="U270" s="118"/>
      <c r="V270" s="118"/>
      <c r="W270" s="118"/>
      <c r="X270" s="118"/>
      <c r="Y270" s="118"/>
      <c r="Z270" s="118"/>
      <c r="AA270" s="118"/>
      <c r="AB270" s="118"/>
      <c r="AC270" s="118"/>
      <c r="AD270" s="111"/>
      <c r="AE270" s="122"/>
      <c r="AF270" s="122"/>
      <c r="AG270" s="122"/>
      <c r="AH270" s="122"/>
    </row>
    <row r="271" ht="22.5" customHeight="1">
      <c r="A271" s="73"/>
      <c r="B271" s="73"/>
      <c r="C271" s="73"/>
      <c r="D271" s="73"/>
      <c r="E271" s="330"/>
      <c r="F271" s="118"/>
      <c r="G271" s="118"/>
      <c r="H271" s="118"/>
      <c r="I271" s="118"/>
      <c r="J271" s="119"/>
      <c r="K271" s="120"/>
      <c r="L271" s="120"/>
      <c r="M271" s="120"/>
      <c r="N271" s="120"/>
      <c r="O271" s="118"/>
      <c r="P271" s="120"/>
      <c r="Q271" s="121"/>
      <c r="R271" s="109" t="b">
        <v>0</v>
      </c>
      <c r="S271" s="143"/>
      <c r="T271" s="110"/>
      <c r="U271" s="118"/>
      <c r="V271" s="118"/>
      <c r="W271" s="118"/>
      <c r="X271" s="118"/>
      <c r="Y271" s="118"/>
      <c r="Z271" s="118"/>
      <c r="AA271" s="118"/>
      <c r="AB271" s="118"/>
      <c r="AC271" s="118"/>
      <c r="AD271" s="111"/>
      <c r="AE271" s="122"/>
      <c r="AF271" s="122"/>
      <c r="AG271" s="122"/>
      <c r="AH271" s="122"/>
    </row>
    <row r="272" ht="22.5" customHeight="1">
      <c r="A272" s="73"/>
      <c r="B272" s="73"/>
      <c r="C272" s="73"/>
      <c r="D272" s="73"/>
      <c r="E272" s="330"/>
      <c r="F272" s="118"/>
      <c r="G272" s="118"/>
      <c r="H272" s="118"/>
      <c r="I272" s="118"/>
      <c r="J272" s="119"/>
      <c r="K272" s="120"/>
      <c r="L272" s="120"/>
      <c r="M272" s="120"/>
      <c r="N272" s="120"/>
      <c r="O272" s="118"/>
      <c r="P272" s="120"/>
      <c r="Q272" s="121"/>
      <c r="R272" s="109" t="b">
        <v>0</v>
      </c>
      <c r="S272" s="143"/>
      <c r="T272" s="110"/>
      <c r="U272" s="118"/>
      <c r="V272" s="118"/>
      <c r="W272" s="118"/>
      <c r="X272" s="118"/>
      <c r="Y272" s="118"/>
      <c r="Z272" s="118"/>
      <c r="AA272" s="118"/>
      <c r="AB272" s="118"/>
      <c r="AC272" s="118"/>
      <c r="AD272" s="111"/>
      <c r="AE272" s="122"/>
      <c r="AF272" s="122"/>
      <c r="AG272" s="122"/>
      <c r="AH272" s="122"/>
    </row>
    <row r="273" ht="22.5" customHeight="1">
      <c r="A273" s="73"/>
      <c r="B273" s="73"/>
      <c r="C273" s="73"/>
      <c r="D273" s="73"/>
      <c r="E273" s="330"/>
      <c r="F273" s="118"/>
      <c r="G273" s="118"/>
      <c r="H273" s="118"/>
      <c r="I273" s="118"/>
      <c r="J273" s="119"/>
      <c r="K273" s="120"/>
      <c r="L273" s="120"/>
      <c r="M273" s="120"/>
      <c r="N273" s="120"/>
      <c r="O273" s="118"/>
      <c r="P273" s="120"/>
      <c r="Q273" s="121"/>
      <c r="R273" s="109" t="b">
        <v>0</v>
      </c>
      <c r="S273" s="143"/>
      <c r="T273" s="110"/>
      <c r="U273" s="118"/>
      <c r="V273" s="118"/>
      <c r="W273" s="118"/>
      <c r="X273" s="118"/>
      <c r="Y273" s="118"/>
      <c r="Z273" s="118"/>
      <c r="AA273" s="118"/>
      <c r="AB273" s="118"/>
      <c r="AC273" s="118"/>
      <c r="AD273" s="111"/>
      <c r="AE273" s="122"/>
      <c r="AF273" s="122"/>
      <c r="AG273" s="122"/>
      <c r="AH273" s="122"/>
    </row>
    <row r="274" ht="22.5" customHeight="1">
      <c r="A274" s="73"/>
      <c r="B274" s="73"/>
      <c r="C274" s="73"/>
      <c r="D274" s="73"/>
      <c r="E274" s="330"/>
      <c r="F274" s="118"/>
      <c r="G274" s="118"/>
      <c r="H274" s="118"/>
      <c r="I274" s="118"/>
      <c r="J274" s="119"/>
      <c r="K274" s="120"/>
      <c r="L274" s="120"/>
      <c r="M274" s="120"/>
      <c r="N274" s="120"/>
      <c r="O274" s="118"/>
      <c r="P274" s="120"/>
      <c r="Q274" s="121"/>
      <c r="R274" s="109" t="b">
        <v>0</v>
      </c>
      <c r="S274" s="143"/>
      <c r="T274" s="110"/>
      <c r="U274" s="118"/>
      <c r="V274" s="118"/>
      <c r="W274" s="118"/>
      <c r="X274" s="118"/>
      <c r="Y274" s="118"/>
      <c r="Z274" s="118"/>
      <c r="AA274" s="118"/>
      <c r="AB274" s="118"/>
      <c r="AC274" s="118"/>
      <c r="AD274" s="111"/>
      <c r="AE274" s="122"/>
      <c r="AF274" s="122"/>
      <c r="AG274" s="122"/>
      <c r="AH274" s="122"/>
    </row>
    <row r="275" ht="22.5" customHeight="1">
      <c r="A275" s="73"/>
      <c r="B275" s="73"/>
      <c r="C275" s="73"/>
      <c r="D275" s="73"/>
      <c r="E275" s="330"/>
      <c r="F275" s="118"/>
      <c r="G275" s="118"/>
      <c r="H275" s="118"/>
      <c r="I275" s="118"/>
      <c r="J275" s="119"/>
      <c r="K275" s="120"/>
      <c r="L275" s="120"/>
      <c r="M275" s="120"/>
      <c r="N275" s="120"/>
      <c r="O275" s="118"/>
      <c r="P275" s="120"/>
      <c r="Q275" s="121"/>
      <c r="R275" s="109" t="b">
        <v>0</v>
      </c>
      <c r="S275" s="143"/>
      <c r="T275" s="110"/>
      <c r="U275" s="118"/>
      <c r="V275" s="118"/>
      <c r="W275" s="118"/>
      <c r="X275" s="118"/>
      <c r="Y275" s="118"/>
      <c r="Z275" s="118"/>
      <c r="AA275" s="118"/>
      <c r="AB275" s="118"/>
      <c r="AC275" s="118"/>
      <c r="AD275" s="111"/>
      <c r="AE275" s="122"/>
      <c r="AF275" s="122"/>
      <c r="AG275" s="122"/>
      <c r="AH275" s="122"/>
    </row>
    <row r="276" ht="22.5" customHeight="1">
      <c r="A276" s="73"/>
      <c r="B276" s="73"/>
      <c r="C276" s="73"/>
      <c r="D276" s="73"/>
      <c r="E276" s="330"/>
      <c r="F276" s="118"/>
      <c r="G276" s="118"/>
      <c r="H276" s="118"/>
      <c r="I276" s="118"/>
      <c r="J276" s="119"/>
      <c r="K276" s="120"/>
      <c r="L276" s="120"/>
      <c r="M276" s="120"/>
      <c r="N276" s="120"/>
      <c r="O276" s="118"/>
      <c r="P276" s="120"/>
      <c r="Q276" s="121"/>
      <c r="R276" s="109" t="b">
        <v>0</v>
      </c>
      <c r="S276" s="143"/>
      <c r="T276" s="110"/>
      <c r="U276" s="118"/>
      <c r="V276" s="118"/>
      <c r="W276" s="118"/>
      <c r="X276" s="118"/>
      <c r="Y276" s="118"/>
      <c r="Z276" s="118"/>
      <c r="AA276" s="118"/>
      <c r="AB276" s="118"/>
      <c r="AC276" s="118"/>
      <c r="AD276" s="111"/>
      <c r="AE276" s="122"/>
      <c r="AF276" s="122"/>
      <c r="AG276" s="122"/>
      <c r="AH276" s="122"/>
    </row>
    <row r="277" ht="22.5" customHeight="1">
      <c r="A277" s="73"/>
      <c r="B277" s="73"/>
      <c r="C277" s="73"/>
      <c r="D277" s="73"/>
      <c r="E277" s="330"/>
      <c r="F277" s="118"/>
      <c r="G277" s="118"/>
      <c r="H277" s="118"/>
      <c r="I277" s="118"/>
      <c r="J277" s="119"/>
      <c r="K277" s="120"/>
      <c r="L277" s="120"/>
      <c r="M277" s="120"/>
      <c r="N277" s="120"/>
      <c r="O277" s="118"/>
      <c r="P277" s="120"/>
      <c r="Q277" s="121"/>
      <c r="R277" s="109" t="b">
        <v>0</v>
      </c>
      <c r="S277" s="143"/>
      <c r="T277" s="110"/>
      <c r="U277" s="118"/>
      <c r="V277" s="118"/>
      <c r="W277" s="118"/>
      <c r="X277" s="118"/>
      <c r="Y277" s="118"/>
      <c r="Z277" s="118"/>
      <c r="AA277" s="118"/>
      <c r="AB277" s="118"/>
      <c r="AC277" s="118"/>
      <c r="AD277" s="111"/>
      <c r="AE277" s="122"/>
      <c r="AF277" s="122"/>
      <c r="AG277" s="122"/>
      <c r="AH277" s="122"/>
    </row>
    <row r="278" ht="22.5" customHeight="1">
      <c r="A278" s="73"/>
      <c r="B278" s="73"/>
      <c r="C278" s="73"/>
      <c r="D278" s="73"/>
      <c r="E278" s="330"/>
      <c r="F278" s="118"/>
      <c r="G278" s="118"/>
      <c r="H278" s="118"/>
      <c r="I278" s="118"/>
      <c r="J278" s="119"/>
      <c r="K278" s="120"/>
      <c r="L278" s="120"/>
      <c r="M278" s="120"/>
      <c r="N278" s="120"/>
      <c r="O278" s="118"/>
      <c r="P278" s="120"/>
      <c r="Q278" s="121"/>
      <c r="R278" s="109" t="b">
        <v>0</v>
      </c>
      <c r="S278" s="143"/>
      <c r="T278" s="110"/>
      <c r="U278" s="118"/>
      <c r="V278" s="118"/>
      <c r="W278" s="118"/>
      <c r="X278" s="118"/>
      <c r="Y278" s="118"/>
      <c r="Z278" s="118"/>
      <c r="AA278" s="118"/>
      <c r="AB278" s="118"/>
      <c r="AC278" s="118"/>
      <c r="AD278" s="111"/>
      <c r="AE278" s="122"/>
      <c r="AF278" s="122"/>
      <c r="AG278" s="122"/>
      <c r="AH278" s="122"/>
    </row>
    <row r="279" ht="22.5" customHeight="1">
      <c r="A279" s="73"/>
      <c r="B279" s="73"/>
      <c r="C279" s="73"/>
      <c r="D279" s="73"/>
      <c r="E279" s="330"/>
      <c r="F279" s="118"/>
      <c r="G279" s="118"/>
      <c r="H279" s="118"/>
      <c r="I279" s="118"/>
      <c r="J279" s="119"/>
      <c r="K279" s="120"/>
      <c r="L279" s="120"/>
      <c r="M279" s="120"/>
      <c r="N279" s="120"/>
      <c r="O279" s="118"/>
      <c r="P279" s="120"/>
      <c r="Q279" s="121"/>
      <c r="R279" s="109" t="b">
        <v>0</v>
      </c>
      <c r="S279" s="143"/>
      <c r="T279" s="110"/>
      <c r="U279" s="118"/>
      <c r="V279" s="118"/>
      <c r="W279" s="118"/>
      <c r="X279" s="118"/>
      <c r="Y279" s="118"/>
      <c r="Z279" s="118"/>
      <c r="AA279" s="118"/>
      <c r="AB279" s="118"/>
      <c r="AC279" s="118"/>
      <c r="AD279" s="111"/>
      <c r="AE279" s="122"/>
      <c r="AF279" s="122"/>
      <c r="AG279" s="122"/>
      <c r="AH279" s="122"/>
    </row>
    <row r="280" ht="22.5" customHeight="1">
      <c r="A280" s="73"/>
      <c r="B280" s="73"/>
      <c r="C280" s="73"/>
      <c r="D280" s="73"/>
      <c r="E280" s="330"/>
      <c r="F280" s="118"/>
      <c r="G280" s="118"/>
      <c r="H280" s="118"/>
      <c r="I280" s="118"/>
      <c r="J280" s="119"/>
      <c r="K280" s="120"/>
      <c r="L280" s="120"/>
      <c r="M280" s="120"/>
      <c r="N280" s="120"/>
      <c r="O280" s="118"/>
      <c r="P280" s="120"/>
      <c r="Q280" s="121"/>
      <c r="R280" s="109" t="b">
        <v>0</v>
      </c>
      <c r="S280" s="143"/>
      <c r="T280" s="110"/>
      <c r="U280" s="118"/>
      <c r="V280" s="118"/>
      <c r="W280" s="118"/>
      <c r="X280" s="118"/>
      <c r="Y280" s="118"/>
      <c r="Z280" s="118"/>
      <c r="AA280" s="118"/>
      <c r="AB280" s="118"/>
      <c r="AC280" s="118"/>
      <c r="AD280" s="111"/>
      <c r="AE280" s="122"/>
      <c r="AF280" s="122"/>
      <c r="AG280" s="122"/>
      <c r="AH280" s="122"/>
    </row>
    <row r="281" ht="22.5" customHeight="1">
      <c r="A281" s="73"/>
      <c r="B281" s="73"/>
      <c r="C281" s="73"/>
      <c r="D281" s="73"/>
      <c r="E281" s="330"/>
      <c r="F281" s="118"/>
      <c r="G281" s="118"/>
      <c r="H281" s="118"/>
      <c r="I281" s="118"/>
      <c r="J281" s="119"/>
      <c r="K281" s="120"/>
      <c r="L281" s="120"/>
      <c r="M281" s="120"/>
      <c r="N281" s="120"/>
      <c r="O281" s="118"/>
      <c r="P281" s="120"/>
      <c r="Q281" s="121"/>
      <c r="R281" s="109" t="b">
        <v>0</v>
      </c>
      <c r="S281" s="143"/>
      <c r="T281" s="110"/>
      <c r="U281" s="118"/>
      <c r="V281" s="118"/>
      <c r="W281" s="118"/>
      <c r="X281" s="118"/>
      <c r="Y281" s="118"/>
      <c r="Z281" s="118"/>
      <c r="AA281" s="118"/>
      <c r="AB281" s="118"/>
      <c r="AC281" s="118"/>
      <c r="AD281" s="111"/>
      <c r="AE281" s="122"/>
      <c r="AF281" s="122"/>
      <c r="AG281" s="122"/>
      <c r="AH281" s="122"/>
    </row>
    <row r="282" ht="22.5" customHeight="1">
      <c r="A282" s="73"/>
      <c r="B282" s="73"/>
      <c r="C282" s="73"/>
      <c r="D282" s="73"/>
      <c r="E282" s="330"/>
      <c r="F282" s="118"/>
      <c r="G282" s="118"/>
      <c r="H282" s="118"/>
      <c r="I282" s="118"/>
      <c r="J282" s="119"/>
      <c r="K282" s="120"/>
      <c r="L282" s="120"/>
      <c r="M282" s="120"/>
      <c r="N282" s="120"/>
      <c r="O282" s="118"/>
      <c r="P282" s="120"/>
      <c r="Q282" s="121"/>
      <c r="R282" s="109" t="b">
        <v>0</v>
      </c>
      <c r="S282" s="143"/>
      <c r="T282" s="110"/>
      <c r="U282" s="118"/>
      <c r="V282" s="118"/>
      <c r="W282" s="118"/>
      <c r="X282" s="118"/>
      <c r="Y282" s="118"/>
      <c r="Z282" s="118"/>
      <c r="AA282" s="118"/>
      <c r="AB282" s="118"/>
      <c r="AC282" s="118"/>
      <c r="AD282" s="111"/>
      <c r="AE282" s="122"/>
      <c r="AF282" s="122"/>
      <c r="AG282" s="122"/>
      <c r="AH282" s="122"/>
    </row>
    <row r="283" ht="22.5" customHeight="1">
      <c r="A283" s="73"/>
      <c r="B283" s="73"/>
      <c r="C283" s="73"/>
      <c r="D283" s="73"/>
      <c r="E283" s="330"/>
      <c r="F283" s="118"/>
      <c r="G283" s="118"/>
      <c r="H283" s="118"/>
      <c r="I283" s="118"/>
      <c r="J283" s="119"/>
      <c r="K283" s="120"/>
      <c r="L283" s="120"/>
      <c r="M283" s="120"/>
      <c r="N283" s="120"/>
      <c r="O283" s="118"/>
      <c r="P283" s="120"/>
      <c r="Q283" s="121"/>
      <c r="R283" s="109" t="b">
        <v>0</v>
      </c>
      <c r="S283" s="143"/>
      <c r="T283" s="110"/>
      <c r="U283" s="118"/>
      <c r="V283" s="118"/>
      <c r="W283" s="118"/>
      <c r="X283" s="118"/>
      <c r="Y283" s="118"/>
      <c r="Z283" s="118"/>
      <c r="AA283" s="118"/>
      <c r="AB283" s="118"/>
      <c r="AC283" s="118"/>
      <c r="AD283" s="111"/>
      <c r="AE283" s="122"/>
      <c r="AF283" s="122"/>
      <c r="AG283" s="122"/>
      <c r="AH283" s="122"/>
    </row>
    <row r="284" ht="22.5" customHeight="1">
      <c r="A284" s="73"/>
      <c r="B284" s="73"/>
      <c r="C284" s="73"/>
      <c r="D284" s="73"/>
      <c r="E284" s="330"/>
      <c r="F284" s="118"/>
      <c r="G284" s="118"/>
      <c r="H284" s="118"/>
      <c r="I284" s="118"/>
      <c r="J284" s="119"/>
      <c r="K284" s="120"/>
      <c r="L284" s="120"/>
      <c r="M284" s="120"/>
      <c r="N284" s="120"/>
      <c r="O284" s="118"/>
      <c r="P284" s="120"/>
      <c r="Q284" s="121"/>
      <c r="R284" s="109" t="b">
        <v>0</v>
      </c>
      <c r="S284" s="143"/>
      <c r="T284" s="110"/>
      <c r="U284" s="118"/>
      <c r="V284" s="118"/>
      <c r="W284" s="118"/>
      <c r="X284" s="118"/>
      <c r="Y284" s="118"/>
      <c r="Z284" s="118"/>
      <c r="AA284" s="118"/>
      <c r="AB284" s="118"/>
      <c r="AC284" s="118"/>
      <c r="AD284" s="111"/>
      <c r="AE284" s="122"/>
      <c r="AF284" s="122"/>
      <c r="AG284" s="122"/>
      <c r="AH284" s="122"/>
    </row>
    <row r="285" ht="22.5" customHeight="1">
      <c r="A285" s="73"/>
      <c r="B285" s="73"/>
      <c r="C285" s="73"/>
      <c r="D285" s="73"/>
      <c r="E285" s="330"/>
      <c r="F285" s="118"/>
      <c r="G285" s="118"/>
      <c r="H285" s="118"/>
      <c r="I285" s="118"/>
      <c r="J285" s="119"/>
      <c r="K285" s="120"/>
      <c r="L285" s="120"/>
      <c r="M285" s="120"/>
      <c r="N285" s="120"/>
      <c r="O285" s="118"/>
      <c r="P285" s="120"/>
      <c r="Q285" s="121"/>
      <c r="R285" s="109" t="b">
        <v>0</v>
      </c>
      <c r="S285" s="143"/>
      <c r="T285" s="110"/>
      <c r="U285" s="118"/>
      <c r="V285" s="118"/>
      <c r="W285" s="118"/>
      <c r="X285" s="118"/>
      <c r="Y285" s="118"/>
      <c r="Z285" s="118"/>
      <c r="AA285" s="118"/>
      <c r="AB285" s="118"/>
      <c r="AC285" s="118"/>
      <c r="AD285" s="111"/>
      <c r="AE285" s="122"/>
      <c r="AF285" s="122"/>
      <c r="AG285" s="122"/>
      <c r="AH285" s="122"/>
    </row>
    <row r="286" ht="22.5" customHeight="1">
      <c r="A286" s="73"/>
      <c r="B286" s="73"/>
      <c r="C286" s="73"/>
      <c r="D286" s="73"/>
      <c r="E286" s="330"/>
      <c r="F286" s="118"/>
      <c r="G286" s="118"/>
      <c r="H286" s="118"/>
      <c r="I286" s="118"/>
      <c r="J286" s="119"/>
      <c r="K286" s="120"/>
      <c r="L286" s="120"/>
      <c r="M286" s="120"/>
      <c r="N286" s="120"/>
      <c r="O286" s="118"/>
      <c r="P286" s="120"/>
      <c r="Q286" s="121"/>
      <c r="R286" s="109" t="b">
        <v>0</v>
      </c>
      <c r="S286" s="143"/>
      <c r="T286" s="110"/>
      <c r="U286" s="118"/>
      <c r="V286" s="118"/>
      <c r="W286" s="118"/>
      <c r="X286" s="118"/>
      <c r="Y286" s="118"/>
      <c r="Z286" s="118"/>
      <c r="AA286" s="118"/>
      <c r="AB286" s="118"/>
      <c r="AC286" s="118"/>
      <c r="AD286" s="111"/>
      <c r="AE286" s="122"/>
      <c r="AF286" s="122"/>
      <c r="AG286" s="122"/>
      <c r="AH286" s="122"/>
    </row>
    <row r="287" ht="22.5" customHeight="1">
      <c r="A287" s="73"/>
      <c r="B287" s="73"/>
      <c r="C287" s="73"/>
      <c r="D287" s="73"/>
      <c r="E287" s="330"/>
      <c r="F287" s="118"/>
      <c r="G287" s="118"/>
      <c r="H287" s="118"/>
      <c r="I287" s="118"/>
      <c r="J287" s="119"/>
      <c r="K287" s="120"/>
      <c r="L287" s="120"/>
      <c r="M287" s="120"/>
      <c r="N287" s="120"/>
      <c r="O287" s="118"/>
      <c r="P287" s="120"/>
      <c r="Q287" s="121"/>
      <c r="R287" s="109" t="b">
        <v>0</v>
      </c>
      <c r="S287" s="143"/>
      <c r="T287" s="110"/>
      <c r="U287" s="118"/>
      <c r="V287" s="118"/>
      <c r="W287" s="118"/>
      <c r="X287" s="118"/>
      <c r="Y287" s="118"/>
      <c r="Z287" s="118"/>
      <c r="AA287" s="118"/>
      <c r="AB287" s="118"/>
      <c r="AC287" s="118"/>
      <c r="AD287" s="111"/>
      <c r="AE287" s="122"/>
      <c r="AF287" s="122"/>
      <c r="AG287" s="122"/>
      <c r="AH287" s="122"/>
    </row>
    <row r="288" ht="22.5" customHeight="1">
      <c r="A288" s="73"/>
      <c r="B288" s="73"/>
      <c r="C288" s="73"/>
      <c r="D288" s="73"/>
      <c r="E288" s="330"/>
      <c r="F288" s="118"/>
      <c r="G288" s="118"/>
      <c r="H288" s="118"/>
      <c r="I288" s="118"/>
      <c r="J288" s="119"/>
      <c r="K288" s="120"/>
      <c r="L288" s="120"/>
      <c r="M288" s="120"/>
      <c r="N288" s="120"/>
      <c r="O288" s="118"/>
      <c r="P288" s="120"/>
      <c r="Q288" s="121"/>
      <c r="R288" s="109" t="b">
        <v>0</v>
      </c>
      <c r="S288" s="143"/>
      <c r="T288" s="110"/>
      <c r="U288" s="118"/>
      <c r="V288" s="118"/>
      <c r="W288" s="118"/>
      <c r="X288" s="118"/>
      <c r="Y288" s="118"/>
      <c r="Z288" s="118"/>
      <c r="AA288" s="118"/>
      <c r="AB288" s="118"/>
      <c r="AC288" s="118"/>
      <c r="AD288" s="111"/>
      <c r="AE288" s="122"/>
      <c r="AF288" s="122"/>
      <c r="AG288" s="122"/>
      <c r="AH288" s="122"/>
    </row>
    <row r="289" ht="22.5" customHeight="1">
      <c r="A289" s="73"/>
      <c r="B289" s="73"/>
      <c r="C289" s="73"/>
      <c r="D289" s="73"/>
      <c r="E289" s="330"/>
      <c r="F289" s="118"/>
      <c r="G289" s="118"/>
      <c r="H289" s="118"/>
      <c r="I289" s="118"/>
      <c r="J289" s="119"/>
      <c r="K289" s="120"/>
      <c r="L289" s="120"/>
      <c r="M289" s="120"/>
      <c r="N289" s="120"/>
      <c r="O289" s="118"/>
      <c r="P289" s="120"/>
      <c r="Q289" s="121"/>
      <c r="R289" s="109" t="b">
        <v>0</v>
      </c>
      <c r="S289" s="143"/>
      <c r="T289" s="110"/>
      <c r="U289" s="118"/>
      <c r="V289" s="118"/>
      <c r="W289" s="118"/>
      <c r="X289" s="118"/>
      <c r="Y289" s="118"/>
      <c r="Z289" s="118"/>
      <c r="AA289" s="118"/>
      <c r="AB289" s="118"/>
      <c r="AC289" s="118"/>
      <c r="AD289" s="111"/>
      <c r="AE289" s="122"/>
      <c r="AF289" s="122"/>
      <c r="AG289" s="122"/>
      <c r="AH289" s="122"/>
    </row>
    <row r="290" ht="22.5" customHeight="1">
      <c r="A290" s="73"/>
      <c r="B290" s="73"/>
      <c r="C290" s="73"/>
      <c r="D290" s="73"/>
      <c r="E290" s="330"/>
      <c r="F290" s="118"/>
      <c r="G290" s="118"/>
      <c r="H290" s="118"/>
      <c r="I290" s="118"/>
      <c r="J290" s="119"/>
      <c r="K290" s="120"/>
      <c r="L290" s="120"/>
      <c r="M290" s="120"/>
      <c r="N290" s="120"/>
      <c r="O290" s="118"/>
      <c r="P290" s="120"/>
      <c r="Q290" s="121"/>
      <c r="R290" s="109" t="b">
        <v>0</v>
      </c>
      <c r="S290" s="143"/>
      <c r="T290" s="110"/>
      <c r="U290" s="118"/>
      <c r="V290" s="118"/>
      <c r="W290" s="118"/>
      <c r="X290" s="118"/>
      <c r="Y290" s="118"/>
      <c r="Z290" s="118"/>
      <c r="AA290" s="118"/>
      <c r="AB290" s="118"/>
      <c r="AC290" s="118"/>
      <c r="AD290" s="111"/>
      <c r="AE290" s="122"/>
      <c r="AF290" s="122"/>
      <c r="AG290" s="122"/>
      <c r="AH290" s="122"/>
    </row>
    <row r="291" ht="22.5" customHeight="1">
      <c r="A291" s="73"/>
      <c r="B291" s="73"/>
      <c r="C291" s="73"/>
      <c r="D291" s="73"/>
      <c r="E291" s="330"/>
      <c r="F291" s="118"/>
      <c r="G291" s="118"/>
      <c r="H291" s="118"/>
      <c r="I291" s="118"/>
      <c r="J291" s="119"/>
      <c r="K291" s="120"/>
      <c r="L291" s="120"/>
      <c r="M291" s="120"/>
      <c r="N291" s="120"/>
      <c r="O291" s="118"/>
      <c r="P291" s="120"/>
      <c r="Q291" s="121"/>
      <c r="R291" s="109" t="b">
        <v>0</v>
      </c>
      <c r="S291" s="143"/>
      <c r="T291" s="110"/>
      <c r="U291" s="118"/>
      <c r="V291" s="118"/>
      <c r="W291" s="118"/>
      <c r="X291" s="118"/>
      <c r="Y291" s="118"/>
      <c r="Z291" s="118"/>
      <c r="AA291" s="118"/>
      <c r="AB291" s="118"/>
      <c r="AC291" s="118"/>
      <c r="AD291" s="111"/>
      <c r="AE291" s="122"/>
      <c r="AF291" s="122"/>
      <c r="AG291" s="122"/>
      <c r="AH291" s="122"/>
    </row>
    <row r="292" ht="22.5" customHeight="1">
      <c r="A292" s="73"/>
      <c r="B292" s="73"/>
      <c r="C292" s="73"/>
      <c r="D292" s="73"/>
      <c r="E292" s="330"/>
      <c r="F292" s="118"/>
      <c r="G292" s="118"/>
      <c r="H292" s="118"/>
      <c r="I292" s="118"/>
      <c r="J292" s="119"/>
      <c r="K292" s="120"/>
      <c r="L292" s="120"/>
      <c r="M292" s="120"/>
      <c r="N292" s="120"/>
      <c r="O292" s="118"/>
      <c r="P292" s="120"/>
      <c r="Q292" s="121"/>
      <c r="R292" s="109" t="b">
        <v>0</v>
      </c>
      <c r="S292" s="143"/>
      <c r="T292" s="110"/>
      <c r="U292" s="118"/>
      <c r="V292" s="118"/>
      <c r="W292" s="118"/>
      <c r="X292" s="118"/>
      <c r="Y292" s="118"/>
      <c r="Z292" s="118"/>
      <c r="AA292" s="118"/>
      <c r="AB292" s="118"/>
      <c r="AC292" s="118"/>
      <c r="AD292" s="111"/>
      <c r="AE292" s="122"/>
      <c r="AF292" s="122"/>
      <c r="AG292" s="122"/>
      <c r="AH292" s="122"/>
    </row>
    <row r="293" ht="22.5" customHeight="1">
      <c r="A293" s="73"/>
      <c r="B293" s="73"/>
      <c r="C293" s="73"/>
      <c r="D293" s="73"/>
      <c r="E293" s="330"/>
      <c r="F293" s="118"/>
      <c r="G293" s="118"/>
      <c r="H293" s="118"/>
      <c r="I293" s="118"/>
      <c r="J293" s="119"/>
      <c r="K293" s="120"/>
      <c r="L293" s="120"/>
      <c r="M293" s="120"/>
      <c r="N293" s="120"/>
      <c r="O293" s="118"/>
      <c r="P293" s="120"/>
      <c r="Q293" s="121"/>
      <c r="R293" s="109" t="b">
        <v>0</v>
      </c>
      <c r="S293" s="143"/>
      <c r="T293" s="110"/>
      <c r="U293" s="118"/>
      <c r="V293" s="118"/>
      <c r="W293" s="118"/>
      <c r="X293" s="118"/>
      <c r="Y293" s="118"/>
      <c r="Z293" s="118"/>
      <c r="AA293" s="118"/>
      <c r="AB293" s="118"/>
      <c r="AC293" s="118"/>
      <c r="AD293" s="111"/>
      <c r="AE293" s="122"/>
      <c r="AF293" s="122"/>
      <c r="AG293" s="122"/>
      <c r="AH293" s="122"/>
    </row>
    <row r="294" ht="22.5" customHeight="1">
      <c r="A294" s="73"/>
      <c r="B294" s="73"/>
      <c r="C294" s="73"/>
      <c r="D294" s="73"/>
      <c r="E294" s="330"/>
      <c r="F294" s="118"/>
      <c r="G294" s="118"/>
      <c r="H294" s="118"/>
      <c r="I294" s="118"/>
      <c r="J294" s="119"/>
      <c r="K294" s="120"/>
      <c r="L294" s="120"/>
      <c r="M294" s="120"/>
      <c r="N294" s="120"/>
      <c r="O294" s="118"/>
      <c r="P294" s="120"/>
      <c r="Q294" s="121"/>
      <c r="R294" s="109" t="b">
        <v>0</v>
      </c>
      <c r="S294" s="143"/>
      <c r="T294" s="110"/>
      <c r="U294" s="118"/>
      <c r="V294" s="118"/>
      <c r="W294" s="118"/>
      <c r="X294" s="118"/>
      <c r="Y294" s="118"/>
      <c r="Z294" s="118"/>
      <c r="AA294" s="118"/>
      <c r="AB294" s="118"/>
      <c r="AC294" s="118"/>
      <c r="AD294" s="111"/>
      <c r="AE294" s="122"/>
      <c r="AF294" s="122"/>
      <c r="AG294" s="122"/>
      <c r="AH294" s="122"/>
    </row>
    <row r="295" ht="22.5" customHeight="1">
      <c r="A295" s="73"/>
      <c r="B295" s="73"/>
      <c r="C295" s="73"/>
      <c r="D295" s="73"/>
      <c r="E295" s="330"/>
      <c r="F295" s="118"/>
      <c r="G295" s="118"/>
      <c r="H295" s="118"/>
      <c r="I295" s="118"/>
      <c r="J295" s="119"/>
      <c r="K295" s="120"/>
      <c r="L295" s="120"/>
      <c r="M295" s="120"/>
      <c r="N295" s="120"/>
      <c r="O295" s="118"/>
      <c r="P295" s="120"/>
      <c r="Q295" s="121"/>
      <c r="R295" s="109" t="b">
        <v>0</v>
      </c>
      <c r="S295" s="143"/>
      <c r="T295" s="110"/>
      <c r="U295" s="118"/>
      <c r="V295" s="118"/>
      <c r="W295" s="118"/>
      <c r="X295" s="118"/>
      <c r="Y295" s="118"/>
      <c r="Z295" s="118"/>
      <c r="AA295" s="118"/>
      <c r="AB295" s="118"/>
      <c r="AC295" s="118"/>
      <c r="AD295" s="111"/>
      <c r="AE295" s="122"/>
      <c r="AF295" s="122"/>
      <c r="AG295" s="122"/>
      <c r="AH295" s="122"/>
    </row>
    <row r="296" ht="22.5" customHeight="1">
      <c r="A296" s="73"/>
      <c r="B296" s="73"/>
      <c r="C296" s="73"/>
      <c r="D296" s="73"/>
      <c r="E296" s="330"/>
      <c r="F296" s="118"/>
      <c r="G296" s="118"/>
      <c r="H296" s="118"/>
      <c r="I296" s="118"/>
      <c r="J296" s="119"/>
      <c r="K296" s="120"/>
      <c r="L296" s="120"/>
      <c r="M296" s="120"/>
      <c r="N296" s="120"/>
      <c r="O296" s="118"/>
      <c r="P296" s="120"/>
      <c r="Q296" s="121"/>
      <c r="R296" s="109" t="b">
        <v>0</v>
      </c>
      <c r="S296" s="143"/>
      <c r="T296" s="110"/>
      <c r="U296" s="118"/>
      <c r="V296" s="118"/>
      <c r="W296" s="118"/>
      <c r="X296" s="118"/>
      <c r="Y296" s="118"/>
      <c r="Z296" s="118"/>
      <c r="AA296" s="118"/>
      <c r="AB296" s="118"/>
      <c r="AC296" s="118"/>
      <c r="AD296" s="111"/>
      <c r="AE296" s="122"/>
      <c r="AF296" s="122"/>
      <c r="AG296" s="122"/>
      <c r="AH296" s="122"/>
    </row>
    <row r="297" ht="22.5" customHeight="1">
      <c r="A297" s="73"/>
      <c r="B297" s="73"/>
      <c r="C297" s="73"/>
      <c r="D297" s="73"/>
      <c r="E297" s="330"/>
      <c r="F297" s="118"/>
      <c r="G297" s="118"/>
      <c r="H297" s="118"/>
      <c r="I297" s="118"/>
      <c r="J297" s="119"/>
      <c r="K297" s="120"/>
      <c r="L297" s="120"/>
      <c r="M297" s="120"/>
      <c r="N297" s="120"/>
      <c r="O297" s="118"/>
      <c r="P297" s="120"/>
      <c r="Q297" s="121"/>
      <c r="R297" s="109" t="b">
        <v>0</v>
      </c>
      <c r="S297" s="143"/>
      <c r="T297" s="110"/>
      <c r="U297" s="118"/>
      <c r="V297" s="118"/>
      <c r="W297" s="118"/>
      <c r="X297" s="118"/>
      <c r="Y297" s="118"/>
      <c r="Z297" s="118"/>
      <c r="AA297" s="118"/>
      <c r="AB297" s="118"/>
      <c r="AC297" s="118"/>
      <c r="AD297" s="111"/>
      <c r="AE297" s="122"/>
      <c r="AF297" s="122"/>
      <c r="AG297" s="122"/>
      <c r="AH297" s="122"/>
    </row>
    <row r="298" ht="22.5" customHeight="1">
      <c r="A298" s="73"/>
      <c r="B298" s="73"/>
      <c r="C298" s="73"/>
      <c r="D298" s="73"/>
      <c r="E298" s="330"/>
      <c r="F298" s="118"/>
      <c r="G298" s="118"/>
      <c r="H298" s="118"/>
      <c r="I298" s="118"/>
      <c r="J298" s="119"/>
      <c r="K298" s="120"/>
      <c r="L298" s="120"/>
      <c r="M298" s="120"/>
      <c r="N298" s="120"/>
      <c r="O298" s="118"/>
      <c r="P298" s="120"/>
      <c r="Q298" s="121"/>
      <c r="R298" s="109" t="b">
        <v>0</v>
      </c>
      <c r="S298" s="143"/>
      <c r="T298" s="110"/>
      <c r="U298" s="118"/>
      <c r="V298" s="118"/>
      <c r="W298" s="118"/>
      <c r="X298" s="118"/>
      <c r="Y298" s="118"/>
      <c r="Z298" s="118"/>
      <c r="AA298" s="118"/>
      <c r="AB298" s="118"/>
      <c r="AC298" s="118"/>
      <c r="AD298" s="111"/>
      <c r="AE298" s="122"/>
      <c r="AF298" s="122"/>
      <c r="AG298" s="122"/>
      <c r="AH298" s="122"/>
    </row>
    <row r="299" ht="22.5" customHeight="1">
      <c r="A299" s="73"/>
      <c r="B299" s="73"/>
      <c r="C299" s="73"/>
      <c r="D299" s="73"/>
      <c r="E299" s="330"/>
      <c r="F299" s="118"/>
      <c r="G299" s="118"/>
      <c r="H299" s="118"/>
      <c r="I299" s="118"/>
      <c r="J299" s="119"/>
      <c r="K299" s="120"/>
      <c r="L299" s="120"/>
      <c r="M299" s="120"/>
      <c r="N299" s="120"/>
      <c r="O299" s="118"/>
      <c r="P299" s="120"/>
      <c r="Q299" s="121"/>
      <c r="R299" s="109" t="b">
        <v>0</v>
      </c>
      <c r="S299" s="143"/>
      <c r="T299" s="110"/>
      <c r="U299" s="118"/>
      <c r="V299" s="118"/>
      <c r="W299" s="118"/>
      <c r="X299" s="118"/>
      <c r="Y299" s="118"/>
      <c r="Z299" s="118"/>
      <c r="AA299" s="118"/>
      <c r="AB299" s="118"/>
      <c r="AC299" s="118"/>
      <c r="AD299" s="111"/>
      <c r="AE299" s="122"/>
      <c r="AF299" s="122"/>
      <c r="AG299" s="122"/>
      <c r="AH299" s="122"/>
    </row>
    <row r="300" ht="22.5" customHeight="1">
      <c r="A300" s="73"/>
      <c r="B300" s="73"/>
      <c r="C300" s="73"/>
      <c r="D300" s="73"/>
      <c r="E300" s="330"/>
      <c r="F300" s="118"/>
      <c r="G300" s="118"/>
      <c r="H300" s="118"/>
      <c r="I300" s="118"/>
      <c r="J300" s="119"/>
      <c r="K300" s="120"/>
      <c r="L300" s="120"/>
      <c r="M300" s="120"/>
      <c r="N300" s="120"/>
      <c r="O300" s="118"/>
      <c r="P300" s="120"/>
      <c r="Q300" s="121"/>
      <c r="R300" s="109" t="b">
        <v>0</v>
      </c>
      <c r="S300" s="143"/>
      <c r="T300" s="110"/>
      <c r="U300" s="118"/>
      <c r="V300" s="118"/>
      <c r="W300" s="118"/>
      <c r="X300" s="118"/>
      <c r="Y300" s="118"/>
      <c r="Z300" s="118"/>
      <c r="AA300" s="118"/>
      <c r="AB300" s="118"/>
      <c r="AC300" s="118"/>
      <c r="AD300" s="111"/>
      <c r="AE300" s="122"/>
      <c r="AF300" s="122"/>
      <c r="AG300" s="122"/>
      <c r="AH300" s="122"/>
    </row>
    <row r="301" ht="22.5" customHeight="1">
      <c r="A301" s="73"/>
      <c r="B301" s="73"/>
      <c r="C301" s="73"/>
      <c r="D301" s="73"/>
      <c r="E301" s="330"/>
      <c r="F301" s="118"/>
      <c r="G301" s="118"/>
      <c r="H301" s="118"/>
      <c r="I301" s="118"/>
      <c r="J301" s="119"/>
      <c r="K301" s="120"/>
      <c r="L301" s="120"/>
      <c r="M301" s="120"/>
      <c r="N301" s="120"/>
      <c r="O301" s="118"/>
      <c r="P301" s="120"/>
      <c r="Q301" s="121"/>
      <c r="R301" s="109" t="b">
        <v>0</v>
      </c>
      <c r="S301" s="143"/>
      <c r="T301" s="110"/>
      <c r="U301" s="118"/>
      <c r="V301" s="118"/>
      <c r="W301" s="118"/>
      <c r="X301" s="118"/>
      <c r="Y301" s="118"/>
      <c r="Z301" s="118"/>
      <c r="AA301" s="118"/>
      <c r="AB301" s="118"/>
      <c r="AC301" s="118"/>
      <c r="AD301" s="111"/>
      <c r="AE301" s="122"/>
      <c r="AF301" s="122"/>
      <c r="AG301" s="122"/>
      <c r="AH301" s="122"/>
    </row>
    <row r="302" ht="22.5" customHeight="1">
      <c r="A302" s="73"/>
      <c r="B302" s="73"/>
      <c r="C302" s="73"/>
      <c r="D302" s="73"/>
      <c r="E302" s="330"/>
      <c r="F302" s="118"/>
      <c r="G302" s="118"/>
      <c r="H302" s="118"/>
      <c r="I302" s="118"/>
      <c r="J302" s="119"/>
      <c r="K302" s="120"/>
      <c r="L302" s="120"/>
      <c r="M302" s="120"/>
      <c r="N302" s="120"/>
      <c r="O302" s="118"/>
      <c r="P302" s="120"/>
      <c r="Q302" s="121"/>
      <c r="R302" s="109" t="b">
        <v>0</v>
      </c>
      <c r="S302" s="143"/>
      <c r="T302" s="110"/>
      <c r="U302" s="118"/>
      <c r="V302" s="118"/>
      <c r="W302" s="118"/>
      <c r="X302" s="118"/>
      <c r="Y302" s="118"/>
      <c r="Z302" s="118"/>
      <c r="AA302" s="118"/>
      <c r="AB302" s="118"/>
      <c r="AC302" s="118"/>
      <c r="AD302" s="111"/>
      <c r="AE302" s="122"/>
      <c r="AF302" s="122"/>
      <c r="AG302" s="122"/>
      <c r="AH302" s="122"/>
    </row>
    <row r="303" ht="22.5" customHeight="1">
      <c r="A303" s="73"/>
      <c r="B303" s="73"/>
      <c r="C303" s="73"/>
      <c r="D303" s="73"/>
      <c r="E303" s="330"/>
      <c r="F303" s="118"/>
      <c r="G303" s="118"/>
      <c r="H303" s="118"/>
      <c r="I303" s="118"/>
      <c r="J303" s="119"/>
      <c r="K303" s="120"/>
      <c r="L303" s="120"/>
      <c r="M303" s="120"/>
      <c r="N303" s="120"/>
      <c r="O303" s="118"/>
      <c r="P303" s="120"/>
      <c r="Q303" s="121"/>
      <c r="R303" s="109" t="b">
        <v>0</v>
      </c>
      <c r="S303" s="143"/>
      <c r="T303" s="110"/>
      <c r="U303" s="118"/>
      <c r="V303" s="118"/>
      <c r="W303" s="118"/>
      <c r="X303" s="118"/>
      <c r="Y303" s="118"/>
      <c r="Z303" s="118"/>
      <c r="AA303" s="118"/>
      <c r="AB303" s="118"/>
      <c r="AC303" s="118"/>
      <c r="AD303" s="111"/>
      <c r="AE303" s="122"/>
      <c r="AF303" s="122"/>
      <c r="AG303" s="122"/>
      <c r="AH303" s="122"/>
    </row>
    <row r="304" ht="22.5" customHeight="1">
      <c r="A304" s="73"/>
      <c r="B304" s="73"/>
      <c r="C304" s="73"/>
      <c r="D304" s="73"/>
      <c r="E304" s="330"/>
      <c r="F304" s="118"/>
      <c r="G304" s="118"/>
      <c r="H304" s="118"/>
      <c r="I304" s="118"/>
      <c r="J304" s="119"/>
      <c r="K304" s="120"/>
      <c r="L304" s="120"/>
      <c r="M304" s="120"/>
      <c r="N304" s="120"/>
      <c r="O304" s="118"/>
      <c r="P304" s="120"/>
      <c r="Q304" s="121"/>
      <c r="R304" s="109" t="b">
        <v>0</v>
      </c>
      <c r="S304" s="143"/>
      <c r="T304" s="110"/>
      <c r="U304" s="118"/>
      <c r="V304" s="118"/>
      <c r="W304" s="118"/>
      <c r="X304" s="118"/>
      <c r="Y304" s="118"/>
      <c r="Z304" s="118"/>
      <c r="AA304" s="118"/>
      <c r="AB304" s="118"/>
      <c r="AC304" s="118"/>
      <c r="AD304" s="111"/>
      <c r="AE304" s="122"/>
      <c r="AF304" s="122"/>
      <c r="AG304" s="122"/>
      <c r="AH304" s="122"/>
    </row>
    <row r="305" ht="22.5" customHeight="1">
      <c r="A305" s="73"/>
      <c r="B305" s="73"/>
      <c r="C305" s="73"/>
      <c r="D305" s="73"/>
      <c r="E305" s="330"/>
      <c r="F305" s="118"/>
      <c r="G305" s="118"/>
      <c r="H305" s="118"/>
      <c r="I305" s="118"/>
      <c r="J305" s="119"/>
      <c r="K305" s="120"/>
      <c r="L305" s="120"/>
      <c r="M305" s="120"/>
      <c r="N305" s="120"/>
      <c r="O305" s="118"/>
      <c r="P305" s="120"/>
      <c r="Q305" s="121"/>
      <c r="R305" s="109" t="b">
        <v>0</v>
      </c>
      <c r="S305" s="143"/>
      <c r="T305" s="110"/>
      <c r="U305" s="118"/>
      <c r="V305" s="118"/>
      <c r="W305" s="118"/>
      <c r="X305" s="118"/>
      <c r="Y305" s="118"/>
      <c r="Z305" s="118"/>
      <c r="AA305" s="118"/>
      <c r="AB305" s="118"/>
      <c r="AC305" s="118"/>
      <c r="AD305" s="111"/>
      <c r="AE305" s="122"/>
      <c r="AF305" s="122"/>
      <c r="AG305" s="122"/>
      <c r="AH305" s="122"/>
    </row>
    <row r="306" ht="22.5" customHeight="1">
      <c r="A306" s="73"/>
      <c r="B306" s="73"/>
      <c r="C306" s="73"/>
      <c r="D306" s="73"/>
      <c r="E306" s="330"/>
      <c r="F306" s="118"/>
      <c r="G306" s="118"/>
      <c r="H306" s="118"/>
      <c r="I306" s="118"/>
      <c r="J306" s="119"/>
      <c r="K306" s="120"/>
      <c r="L306" s="120"/>
      <c r="M306" s="120"/>
      <c r="N306" s="120"/>
      <c r="O306" s="118"/>
      <c r="P306" s="120"/>
      <c r="Q306" s="121"/>
      <c r="R306" s="109" t="b">
        <v>0</v>
      </c>
      <c r="S306" s="143"/>
      <c r="T306" s="110"/>
      <c r="U306" s="118"/>
      <c r="V306" s="118"/>
      <c r="W306" s="118"/>
      <c r="X306" s="118"/>
      <c r="Y306" s="118"/>
      <c r="Z306" s="118"/>
      <c r="AA306" s="118"/>
      <c r="AB306" s="118"/>
      <c r="AC306" s="118"/>
      <c r="AD306" s="111"/>
      <c r="AE306" s="122"/>
      <c r="AF306" s="122"/>
      <c r="AG306" s="122"/>
      <c r="AH306" s="122"/>
    </row>
    <row r="307" ht="22.5" customHeight="1">
      <c r="A307" s="73"/>
      <c r="B307" s="73"/>
      <c r="C307" s="73"/>
      <c r="D307" s="73"/>
      <c r="E307" s="330"/>
      <c r="F307" s="118"/>
      <c r="G307" s="118"/>
      <c r="H307" s="118"/>
      <c r="I307" s="118"/>
      <c r="J307" s="119"/>
      <c r="K307" s="120"/>
      <c r="L307" s="120"/>
      <c r="M307" s="120"/>
      <c r="N307" s="120"/>
      <c r="O307" s="118"/>
      <c r="P307" s="120"/>
      <c r="Q307" s="121"/>
      <c r="R307" s="109" t="b">
        <v>0</v>
      </c>
      <c r="S307" s="143"/>
      <c r="T307" s="110"/>
      <c r="U307" s="118"/>
      <c r="V307" s="118"/>
      <c r="W307" s="118"/>
      <c r="X307" s="118"/>
      <c r="Y307" s="118"/>
      <c r="Z307" s="118"/>
      <c r="AA307" s="118"/>
      <c r="AB307" s="118"/>
      <c r="AC307" s="118"/>
      <c r="AD307" s="111"/>
      <c r="AE307" s="122"/>
      <c r="AF307" s="122"/>
      <c r="AG307" s="122"/>
      <c r="AH307" s="122"/>
    </row>
    <row r="308" ht="22.5" customHeight="1">
      <c r="A308" s="73"/>
      <c r="B308" s="73"/>
      <c r="C308" s="73"/>
      <c r="D308" s="73"/>
      <c r="E308" s="330"/>
      <c r="F308" s="118"/>
      <c r="G308" s="118"/>
      <c r="H308" s="118"/>
      <c r="I308" s="118"/>
      <c r="J308" s="119"/>
      <c r="K308" s="120"/>
      <c r="L308" s="120"/>
      <c r="M308" s="120"/>
      <c r="N308" s="120"/>
      <c r="O308" s="118"/>
      <c r="P308" s="120"/>
      <c r="Q308" s="121"/>
      <c r="R308" s="109" t="b">
        <v>0</v>
      </c>
      <c r="S308" s="143"/>
      <c r="T308" s="110"/>
      <c r="U308" s="118"/>
      <c r="V308" s="118"/>
      <c r="W308" s="118"/>
      <c r="X308" s="118"/>
      <c r="Y308" s="118"/>
      <c r="Z308" s="118"/>
      <c r="AA308" s="118"/>
      <c r="AB308" s="118"/>
      <c r="AC308" s="118"/>
      <c r="AD308" s="111"/>
      <c r="AE308" s="122"/>
      <c r="AF308" s="122"/>
      <c r="AG308" s="122"/>
      <c r="AH308" s="122"/>
    </row>
    <row r="309" ht="22.5" customHeight="1">
      <c r="A309" s="73"/>
      <c r="B309" s="73"/>
      <c r="C309" s="73"/>
      <c r="D309" s="73"/>
      <c r="E309" s="330"/>
      <c r="F309" s="118"/>
      <c r="G309" s="118"/>
      <c r="H309" s="118"/>
      <c r="I309" s="118"/>
      <c r="J309" s="119"/>
      <c r="K309" s="120"/>
      <c r="L309" s="120"/>
      <c r="M309" s="120"/>
      <c r="N309" s="120"/>
      <c r="O309" s="118"/>
      <c r="P309" s="120"/>
      <c r="Q309" s="121"/>
      <c r="R309" s="109" t="b">
        <v>0</v>
      </c>
      <c r="S309" s="143"/>
      <c r="T309" s="110"/>
      <c r="U309" s="118"/>
      <c r="V309" s="118"/>
      <c r="W309" s="118"/>
      <c r="X309" s="118"/>
      <c r="Y309" s="118"/>
      <c r="Z309" s="118"/>
      <c r="AA309" s="118"/>
      <c r="AB309" s="118"/>
      <c r="AC309" s="118"/>
      <c r="AD309" s="111"/>
      <c r="AE309" s="122"/>
      <c r="AF309" s="122"/>
      <c r="AG309" s="122"/>
      <c r="AH309" s="122"/>
    </row>
    <row r="310" ht="22.5" customHeight="1">
      <c r="A310" s="73"/>
      <c r="B310" s="73"/>
      <c r="C310" s="73"/>
      <c r="D310" s="73"/>
      <c r="E310" s="330"/>
      <c r="F310" s="118"/>
      <c r="G310" s="118"/>
      <c r="H310" s="118"/>
      <c r="I310" s="118"/>
      <c r="J310" s="119"/>
      <c r="K310" s="120"/>
      <c r="L310" s="120"/>
      <c r="M310" s="120"/>
      <c r="N310" s="120"/>
      <c r="O310" s="118"/>
      <c r="P310" s="120"/>
      <c r="Q310" s="121"/>
      <c r="R310" s="109" t="b">
        <v>0</v>
      </c>
      <c r="S310" s="143"/>
      <c r="T310" s="110"/>
      <c r="U310" s="118"/>
      <c r="V310" s="118"/>
      <c r="W310" s="118"/>
      <c r="X310" s="118"/>
      <c r="Y310" s="118"/>
      <c r="Z310" s="118"/>
      <c r="AA310" s="118"/>
      <c r="AB310" s="118"/>
      <c r="AC310" s="118"/>
      <c r="AD310" s="111"/>
      <c r="AE310" s="122"/>
      <c r="AF310" s="122"/>
      <c r="AG310" s="122"/>
      <c r="AH310" s="122"/>
    </row>
    <row r="311" ht="22.5" customHeight="1">
      <c r="A311" s="73"/>
      <c r="B311" s="73"/>
      <c r="C311" s="73"/>
      <c r="D311" s="73"/>
      <c r="E311" s="330"/>
      <c r="F311" s="118"/>
      <c r="G311" s="118"/>
      <c r="H311" s="118"/>
      <c r="I311" s="118"/>
      <c r="J311" s="119"/>
      <c r="K311" s="120"/>
      <c r="L311" s="120"/>
      <c r="M311" s="120"/>
      <c r="N311" s="120"/>
      <c r="O311" s="118"/>
      <c r="P311" s="120"/>
      <c r="Q311" s="121"/>
      <c r="R311" s="109" t="b">
        <v>0</v>
      </c>
      <c r="S311" s="143"/>
      <c r="T311" s="110"/>
      <c r="U311" s="118"/>
      <c r="V311" s="118"/>
      <c r="W311" s="118"/>
      <c r="X311" s="118"/>
      <c r="Y311" s="118"/>
      <c r="Z311" s="118"/>
      <c r="AA311" s="118"/>
      <c r="AB311" s="118"/>
      <c r="AC311" s="118"/>
      <c r="AD311" s="111"/>
      <c r="AE311" s="122"/>
      <c r="AF311" s="122"/>
      <c r="AG311" s="122"/>
      <c r="AH311" s="122"/>
    </row>
    <row r="312" ht="22.5" customHeight="1">
      <c r="A312" s="73"/>
      <c r="B312" s="73"/>
      <c r="C312" s="73"/>
      <c r="D312" s="73"/>
      <c r="E312" s="330"/>
      <c r="F312" s="118"/>
      <c r="G312" s="118"/>
      <c r="H312" s="118"/>
      <c r="I312" s="118"/>
      <c r="J312" s="119"/>
      <c r="K312" s="120"/>
      <c r="L312" s="120"/>
      <c r="M312" s="120"/>
      <c r="N312" s="120"/>
      <c r="O312" s="118"/>
      <c r="P312" s="120"/>
      <c r="Q312" s="121"/>
      <c r="R312" s="109" t="b">
        <v>0</v>
      </c>
      <c r="S312" s="143"/>
      <c r="T312" s="110"/>
      <c r="U312" s="118"/>
      <c r="V312" s="118"/>
      <c r="W312" s="118"/>
      <c r="X312" s="118"/>
      <c r="Y312" s="118"/>
      <c r="Z312" s="118"/>
      <c r="AA312" s="118"/>
      <c r="AB312" s="118"/>
      <c r="AC312" s="118"/>
      <c r="AD312" s="111"/>
      <c r="AE312" s="122"/>
      <c r="AF312" s="122"/>
      <c r="AG312" s="122"/>
      <c r="AH312" s="122"/>
    </row>
    <row r="313" ht="22.5" customHeight="1">
      <c r="A313" s="73"/>
      <c r="B313" s="73"/>
      <c r="C313" s="73"/>
      <c r="D313" s="73"/>
      <c r="E313" s="330"/>
      <c r="F313" s="118"/>
      <c r="G313" s="118"/>
      <c r="H313" s="118"/>
      <c r="I313" s="118"/>
      <c r="J313" s="119"/>
      <c r="K313" s="120"/>
      <c r="L313" s="120"/>
      <c r="M313" s="120"/>
      <c r="N313" s="120"/>
      <c r="O313" s="118"/>
      <c r="P313" s="120"/>
      <c r="Q313" s="121"/>
      <c r="R313" s="109" t="b">
        <v>0</v>
      </c>
      <c r="S313" s="143"/>
      <c r="T313" s="110"/>
      <c r="U313" s="118"/>
      <c r="V313" s="118"/>
      <c r="W313" s="118"/>
      <c r="X313" s="118"/>
      <c r="Y313" s="118"/>
      <c r="Z313" s="118"/>
      <c r="AA313" s="118"/>
      <c r="AB313" s="118"/>
      <c r="AC313" s="118"/>
      <c r="AD313" s="111"/>
      <c r="AE313" s="122"/>
      <c r="AF313" s="122"/>
      <c r="AG313" s="122"/>
      <c r="AH313" s="122"/>
    </row>
    <row r="314" ht="22.5" customHeight="1">
      <c r="A314" s="73"/>
      <c r="B314" s="73"/>
      <c r="C314" s="73"/>
      <c r="D314" s="73"/>
      <c r="E314" s="330"/>
      <c r="F314" s="118"/>
      <c r="G314" s="118"/>
      <c r="H314" s="118"/>
      <c r="I314" s="118"/>
      <c r="J314" s="119"/>
      <c r="K314" s="120"/>
      <c r="L314" s="120"/>
      <c r="M314" s="120"/>
      <c r="N314" s="120"/>
      <c r="O314" s="118"/>
      <c r="P314" s="120"/>
      <c r="Q314" s="121"/>
      <c r="R314" s="109" t="b">
        <v>0</v>
      </c>
      <c r="S314" s="143"/>
      <c r="T314" s="110"/>
      <c r="U314" s="118"/>
      <c r="V314" s="118"/>
      <c r="W314" s="118"/>
      <c r="X314" s="118"/>
      <c r="Y314" s="118"/>
      <c r="Z314" s="118"/>
      <c r="AA314" s="118"/>
      <c r="AB314" s="118"/>
      <c r="AC314" s="118"/>
      <c r="AD314" s="111"/>
      <c r="AE314" s="122"/>
      <c r="AF314" s="122"/>
      <c r="AG314" s="122"/>
      <c r="AH314" s="122"/>
    </row>
    <row r="315" ht="22.5" customHeight="1">
      <c r="A315" s="73"/>
      <c r="B315" s="73"/>
      <c r="C315" s="73"/>
      <c r="D315" s="73"/>
      <c r="E315" s="330"/>
      <c r="F315" s="118"/>
      <c r="G315" s="118"/>
      <c r="H315" s="118"/>
      <c r="I315" s="118"/>
      <c r="J315" s="119"/>
      <c r="K315" s="120"/>
      <c r="L315" s="120"/>
      <c r="M315" s="120"/>
      <c r="N315" s="120"/>
      <c r="O315" s="118"/>
      <c r="P315" s="120"/>
      <c r="Q315" s="121"/>
      <c r="R315" s="109" t="b">
        <v>0</v>
      </c>
      <c r="S315" s="143"/>
      <c r="T315" s="110"/>
      <c r="U315" s="118"/>
      <c r="V315" s="118"/>
      <c r="W315" s="118"/>
      <c r="X315" s="118"/>
      <c r="Y315" s="118"/>
      <c r="Z315" s="118"/>
      <c r="AA315" s="118"/>
      <c r="AB315" s="118"/>
      <c r="AC315" s="118"/>
      <c r="AD315" s="111"/>
      <c r="AE315" s="122"/>
      <c r="AF315" s="122"/>
      <c r="AG315" s="122"/>
      <c r="AH315" s="122"/>
    </row>
    <row r="316" ht="22.5" customHeight="1">
      <c r="A316" s="73"/>
      <c r="B316" s="73"/>
      <c r="C316" s="73"/>
      <c r="D316" s="73"/>
      <c r="E316" s="330"/>
      <c r="F316" s="118"/>
      <c r="G316" s="118"/>
      <c r="H316" s="118"/>
      <c r="I316" s="118"/>
      <c r="J316" s="119"/>
      <c r="K316" s="120"/>
      <c r="L316" s="120"/>
      <c r="M316" s="120"/>
      <c r="N316" s="120"/>
      <c r="O316" s="118"/>
      <c r="P316" s="120"/>
      <c r="Q316" s="121"/>
      <c r="R316" s="109" t="b">
        <v>0</v>
      </c>
      <c r="S316" s="143"/>
      <c r="T316" s="110"/>
      <c r="U316" s="118"/>
      <c r="V316" s="118"/>
      <c r="W316" s="118"/>
      <c r="X316" s="118"/>
      <c r="Y316" s="118"/>
      <c r="Z316" s="118"/>
      <c r="AA316" s="118"/>
      <c r="AB316" s="118"/>
      <c r="AC316" s="118"/>
      <c r="AD316" s="111"/>
      <c r="AE316" s="122"/>
      <c r="AF316" s="122"/>
      <c r="AG316" s="122"/>
      <c r="AH316" s="122"/>
    </row>
    <row r="317" ht="22.5" customHeight="1">
      <c r="A317" s="73"/>
      <c r="B317" s="73"/>
      <c r="C317" s="73"/>
      <c r="D317" s="73"/>
      <c r="E317" s="330"/>
      <c r="F317" s="118"/>
      <c r="G317" s="118"/>
      <c r="H317" s="118"/>
      <c r="I317" s="118"/>
      <c r="J317" s="119"/>
      <c r="K317" s="120"/>
      <c r="L317" s="120"/>
      <c r="M317" s="120"/>
      <c r="N317" s="120"/>
      <c r="O317" s="118"/>
      <c r="P317" s="120"/>
      <c r="Q317" s="121"/>
      <c r="R317" s="109" t="b">
        <v>0</v>
      </c>
      <c r="S317" s="143"/>
      <c r="T317" s="110"/>
      <c r="U317" s="118"/>
      <c r="V317" s="118"/>
      <c r="W317" s="118"/>
      <c r="X317" s="118"/>
      <c r="Y317" s="118"/>
      <c r="Z317" s="118"/>
      <c r="AA317" s="118"/>
      <c r="AB317" s="118"/>
      <c r="AC317" s="118"/>
      <c r="AD317" s="111"/>
      <c r="AE317" s="122"/>
      <c r="AF317" s="122"/>
      <c r="AG317" s="122"/>
      <c r="AH317" s="122"/>
    </row>
    <row r="318" ht="22.5" customHeight="1">
      <c r="A318" s="73"/>
      <c r="B318" s="73"/>
      <c r="C318" s="73"/>
      <c r="D318" s="73"/>
      <c r="E318" s="330"/>
      <c r="F318" s="118"/>
      <c r="G318" s="118"/>
      <c r="H318" s="118"/>
      <c r="I318" s="118"/>
      <c r="J318" s="119"/>
      <c r="K318" s="120"/>
      <c r="L318" s="120"/>
      <c r="M318" s="120"/>
      <c r="N318" s="120"/>
      <c r="O318" s="118"/>
      <c r="P318" s="120"/>
      <c r="Q318" s="121"/>
      <c r="R318" s="109" t="b">
        <v>0</v>
      </c>
      <c r="S318" s="143"/>
      <c r="T318" s="110"/>
      <c r="U318" s="118"/>
      <c r="V318" s="118"/>
      <c r="W318" s="118"/>
      <c r="X318" s="118"/>
      <c r="Y318" s="118"/>
      <c r="Z318" s="118"/>
      <c r="AA318" s="118"/>
      <c r="AB318" s="118"/>
      <c r="AC318" s="118"/>
      <c r="AD318" s="111"/>
      <c r="AE318" s="122"/>
      <c r="AF318" s="122"/>
      <c r="AG318" s="122"/>
      <c r="AH318" s="122"/>
    </row>
    <row r="319" ht="22.5" customHeight="1">
      <c r="A319" s="73"/>
      <c r="B319" s="73"/>
      <c r="C319" s="73"/>
      <c r="D319" s="73"/>
      <c r="E319" s="330"/>
      <c r="F319" s="118"/>
      <c r="G319" s="118"/>
      <c r="H319" s="118"/>
      <c r="I319" s="118"/>
      <c r="J319" s="119"/>
      <c r="K319" s="120"/>
      <c r="L319" s="120"/>
      <c r="M319" s="120"/>
      <c r="N319" s="120"/>
      <c r="O319" s="118"/>
      <c r="P319" s="120"/>
      <c r="Q319" s="121"/>
      <c r="R319" s="109" t="b">
        <v>0</v>
      </c>
      <c r="S319" s="143"/>
      <c r="T319" s="110"/>
      <c r="U319" s="118"/>
      <c r="V319" s="118"/>
      <c r="W319" s="118"/>
      <c r="X319" s="118"/>
      <c r="Y319" s="118"/>
      <c r="Z319" s="118"/>
      <c r="AA319" s="118"/>
      <c r="AB319" s="118"/>
      <c r="AC319" s="118"/>
      <c r="AD319" s="111"/>
      <c r="AE319" s="122"/>
      <c r="AF319" s="122"/>
      <c r="AG319" s="122"/>
      <c r="AH319" s="122"/>
    </row>
    <row r="320" ht="22.5" customHeight="1">
      <c r="A320" s="73"/>
      <c r="B320" s="73"/>
      <c r="C320" s="73"/>
      <c r="D320" s="73"/>
      <c r="E320" s="330"/>
      <c r="F320" s="118"/>
      <c r="G320" s="118"/>
      <c r="H320" s="118"/>
      <c r="I320" s="118"/>
      <c r="J320" s="119"/>
      <c r="K320" s="120"/>
      <c r="L320" s="120"/>
      <c r="M320" s="120"/>
      <c r="N320" s="120"/>
      <c r="O320" s="118"/>
      <c r="P320" s="120"/>
      <c r="Q320" s="121"/>
      <c r="R320" s="109" t="b">
        <v>0</v>
      </c>
      <c r="S320" s="143"/>
      <c r="T320" s="110"/>
      <c r="U320" s="118"/>
      <c r="V320" s="118"/>
      <c r="W320" s="118"/>
      <c r="X320" s="118"/>
      <c r="Y320" s="118"/>
      <c r="Z320" s="118"/>
      <c r="AA320" s="118"/>
      <c r="AB320" s="118"/>
      <c r="AC320" s="118"/>
      <c r="AD320" s="111"/>
      <c r="AE320" s="122"/>
      <c r="AF320" s="122"/>
      <c r="AG320" s="122"/>
      <c r="AH320" s="122"/>
    </row>
    <row r="321" ht="22.5" customHeight="1">
      <c r="A321" s="73"/>
      <c r="B321" s="73"/>
      <c r="C321" s="73"/>
      <c r="D321" s="73"/>
      <c r="E321" s="330"/>
      <c r="F321" s="118"/>
      <c r="G321" s="118"/>
      <c r="H321" s="118"/>
      <c r="I321" s="118"/>
      <c r="J321" s="119"/>
      <c r="K321" s="120"/>
      <c r="L321" s="120"/>
      <c r="M321" s="120"/>
      <c r="N321" s="120"/>
      <c r="O321" s="118"/>
      <c r="P321" s="120"/>
      <c r="Q321" s="121"/>
      <c r="R321" s="109" t="b">
        <v>0</v>
      </c>
      <c r="S321" s="143"/>
      <c r="T321" s="110"/>
      <c r="U321" s="118"/>
      <c r="V321" s="118"/>
      <c r="W321" s="118"/>
      <c r="X321" s="118"/>
      <c r="Y321" s="118"/>
      <c r="Z321" s="118"/>
      <c r="AA321" s="118"/>
      <c r="AB321" s="118"/>
      <c r="AC321" s="118"/>
      <c r="AD321" s="111"/>
      <c r="AE321" s="122"/>
      <c r="AF321" s="122"/>
      <c r="AG321" s="122"/>
      <c r="AH321" s="122"/>
    </row>
    <row r="322" ht="22.5" customHeight="1">
      <c r="A322" s="73"/>
      <c r="B322" s="73"/>
      <c r="C322" s="73"/>
      <c r="D322" s="73"/>
      <c r="E322" s="330"/>
      <c r="F322" s="118"/>
      <c r="G322" s="118"/>
      <c r="H322" s="118"/>
      <c r="I322" s="118"/>
      <c r="J322" s="119"/>
      <c r="K322" s="120"/>
      <c r="L322" s="120"/>
      <c r="M322" s="120"/>
      <c r="N322" s="120"/>
      <c r="O322" s="118"/>
      <c r="P322" s="120"/>
      <c r="Q322" s="121"/>
      <c r="R322" s="109" t="b">
        <v>0</v>
      </c>
      <c r="S322" s="143"/>
      <c r="T322" s="110"/>
      <c r="U322" s="118"/>
      <c r="V322" s="118"/>
      <c r="W322" s="118"/>
      <c r="X322" s="118"/>
      <c r="Y322" s="118"/>
      <c r="Z322" s="118"/>
      <c r="AA322" s="118"/>
      <c r="AB322" s="118"/>
      <c r="AC322" s="118"/>
      <c r="AD322" s="111"/>
      <c r="AE322" s="122"/>
      <c r="AF322" s="122"/>
      <c r="AG322" s="122"/>
      <c r="AH322" s="122"/>
    </row>
    <row r="323" ht="22.5" customHeight="1">
      <c r="A323" s="73"/>
      <c r="B323" s="73"/>
      <c r="C323" s="73"/>
      <c r="D323" s="73"/>
      <c r="E323" s="330"/>
      <c r="F323" s="118"/>
      <c r="G323" s="118"/>
      <c r="H323" s="118"/>
      <c r="I323" s="118"/>
      <c r="J323" s="119"/>
      <c r="K323" s="120"/>
      <c r="L323" s="120"/>
      <c r="M323" s="120"/>
      <c r="N323" s="120"/>
      <c r="O323" s="118"/>
      <c r="P323" s="120"/>
      <c r="Q323" s="121"/>
      <c r="R323" s="109" t="b">
        <v>0</v>
      </c>
      <c r="S323" s="143"/>
      <c r="T323" s="110"/>
      <c r="U323" s="118"/>
      <c r="V323" s="118"/>
      <c r="W323" s="118"/>
      <c r="X323" s="118"/>
      <c r="Y323" s="118"/>
      <c r="Z323" s="118"/>
      <c r="AA323" s="118"/>
      <c r="AB323" s="118"/>
      <c r="AC323" s="118"/>
      <c r="AD323" s="111"/>
      <c r="AE323" s="122"/>
      <c r="AF323" s="122"/>
      <c r="AG323" s="122"/>
      <c r="AH323" s="122"/>
    </row>
    <row r="324" ht="22.5" customHeight="1">
      <c r="A324" s="73"/>
      <c r="B324" s="73"/>
      <c r="C324" s="73"/>
      <c r="D324" s="73"/>
      <c r="E324" s="330"/>
      <c r="F324" s="118"/>
      <c r="G324" s="118"/>
      <c r="H324" s="118"/>
      <c r="I324" s="118"/>
      <c r="J324" s="119"/>
      <c r="K324" s="120"/>
      <c r="L324" s="120"/>
      <c r="M324" s="120"/>
      <c r="N324" s="120"/>
      <c r="O324" s="118"/>
      <c r="P324" s="120"/>
      <c r="Q324" s="121"/>
      <c r="R324" s="109" t="b">
        <v>0</v>
      </c>
      <c r="S324" s="143"/>
      <c r="T324" s="110"/>
      <c r="U324" s="118"/>
      <c r="V324" s="118"/>
      <c r="W324" s="118"/>
      <c r="X324" s="118"/>
      <c r="Y324" s="118"/>
      <c r="Z324" s="118"/>
      <c r="AA324" s="118"/>
      <c r="AB324" s="118"/>
      <c r="AC324" s="118"/>
      <c r="AD324" s="111"/>
      <c r="AE324" s="122"/>
      <c r="AF324" s="122"/>
      <c r="AG324" s="122"/>
      <c r="AH324" s="122"/>
    </row>
    <row r="325" ht="22.5" customHeight="1">
      <c r="A325" s="73"/>
      <c r="B325" s="73"/>
      <c r="C325" s="73"/>
      <c r="D325" s="73"/>
      <c r="E325" s="330"/>
      <c r="F325" s="118"/>
      <c r="G325" s="118"/>
      <c r="H325" s="118"/>
      <c r="I325" s="118"/>
      <c r="J325" s="119"/>
      <c r="K325" s="120"/>
      <c r="L325" s="120"/>
      <c r="M325" s="120"/>
      <c r="N325" s="120"/>
      <c r="O325" s="118"/>
      <c r="P325" s="120"/>
      <c r="Q325" s="121"/>
      <c r="R325" s="109" t="b">
        <v>0</v>
      </c>
      <c r="S325" s="143"/>
      <c r="T325" s="110"/>
      <c r="U325" s="118"/>
      <c r="V325" s="118"/>
      <c r="W325" s="118"/>
      <c r="X325" s="118"/>
      <c r="Y325" s="118"/>
      <c r="Z325" s="118"/>
      <c r="AA325" s="118"/>
      <c r="AB325" s="118"/>
      <c r="AC325" s="118"/>
      <c r="AD325" s="111"/>
      <c r="AE325" s="122"/>
      <c r="AF325" s="122"/>
      <c r="AG325" s="122"/>
      <c r="AH325" s="122"/>
    </row>
    <row r="326" ht="22.5" customHeight="1">
      <c r="A326" s="73"/>
      <c r="B326" s="73"/>
      <c r="C326" s="73"/>
      <c r="D326" s="73"/>
      <c r="E326" s="330"/>
      <c r="F326" s="118"/>
      <c r="G326" s="118"/>
      <c r="H326" s="118"/>
      <c r="I326" s="118"/>
      <c r="J326" s="119"/>
      <c r="K326" s="120"/>
      <c r="L326" s="120"/>
      <c r="M326" s="120"/>
      <c r="N326" s="120"/>
      <c r="O326" s="118"/>
      <c r="P326" s="120"/>
      <c r="Q326" s="121"/>
      <c r="R326" s="109" t="b">
        <v>0</v>
      </c>
      <c r="S326" s="143"/>
      <c r="T326" s="110"/>
      <c r="U326" s="118"/>
      <c r="V326" s="118"/>
      <c r="W326" s="118"/>
      <c r="X326" s="118"/>
      <c r="Y326" s="118"/>
      <c r="Z326" s="118"/>
      <c r="AA326" s="118"/>
      <c r="AB326" s="118"/>
      <c r="AC326" s="118"/>
      <c r="AD326" s="111"/>
      <c r="AE326" s="122"/>
      <c r="AF326" s="122"/>
      <c r="AG326" s="122"/>
      <c r="AH326" s="122"/>
    </row>
    <row r="327" ht="22.5" customHeight="1">
      <c r="A327" s="73"/>
      <c r="B327" s="73"/>
      <c r="C327" s="73"/>
      <c r="D327" s="73"/>
      <c r="E327" s="330"/>
      <c r="F327" s="118"/>
      <c r="G327" s="118"/>
      <c r="H327" s="118"/>
      <c r="I327" s="118"/>
      <c r="J327" s="119"/>
      <c r="K327" s="120"/>
      <c r="L327" s="120"/>
      <c r="M327" s="120"/>
      <c r="N327" s="120"/>
      <c r="O327" s="118"/>
      <c r="P327" s="120"/>
      <c r="Q327" s="121"/>
      <c r="R327" s="109" t="b">
        <v>0</v>
      </c>
      <c r="S327" s="143"/>
      <c r="T327" s="110"/>
      <c r="U327" s="118"/>
      <c r="V327" s="118"/>
      <c r="W327" s="118"/>
      <c r="X327" s="118"/>
      <c r="Y327" s="118"/>
      <c r="Z327" s="118"/>
      <c r="AA327" s="118"/>
      <c r="AB327" s="118"/>
      <c r="AC327" s="118"/>
      <c r="AD327" s="111"/>
      <c r="AE327" s="122"/>
      <c r="AF327" s="122"/>
      <c r="AG327" s="122"/>
      <c r="AH327" s="122"/>
    </row>
    <row r="328" ht="22.5" customHeight="1">
      <c r="A328" s="73"/>
      <c r="B328" s="73"/>
      <c r="C328" s="73"/>
      <c r="D328" s="73"/>
      <c r="E328" s="330"/>
      <c r="F328" s="118"/>
      <c r="G328" s="118"/>
      <c r="H328" s="118"/>
      <c r="I328" s="118"/>
      <c r="J328" s="119"/>
      <c r="K328" s="120"/>
      <c r="L328" s="120"/>
      <c r="M328" s="120"/>
      <c r="N328" s="120"/>
      <c r="O328" s="118"/>
      <c r="P328" s="120"/>
      <c r="Q328" s="121"/>
      <c r="R328" s="109" t="b">
        <v>0</v>
      </c>
      <c r="S328" s="143"/>
      <c r="T328" s="110"/>
      <c r="U328" s="118"/>
      <c r="V328" s="118"/>
      <c r="W328" s="118"/>
      <c r="X328" s="118"/>
      <c r="Y328" s="118"/>
      <c r="Z328" s="118"/>
      <c r="AA328" s="118"/>
      <c r="AB328" s="118"/>
      <c r="AC328" s="118"/>
      <c r="AD328" s="111"/>
      <c r="AE328" s="122"/>
      <c r="AF328" s="122"/>
      <c r="AG328" s="122"/>
      <c r="AH328" s="122"/>
    </row>
    <row r="329" ht="22.5" customHeight="1">
      <c r="A329" s="73"/>
      <c r="B329" s="73"/>
      <c r="C329" s="73"/>
      <c r="D329" s="73"/>
      <c r="E329" s="330"/>
      <c r="F329" s="118"/>
      <c r="G329" s="118"/>
      <c r="H329" s="118"/>
      <c r="I329" s="118"/>
      <c r="J329" s="119"/>
      <c r="K329" s="120"/>
      <c r="L329" s="120"/>
      <c r="M329" s="120"/>
      <c r="N329" s="120"/>
      <c r="O329" s="118"/>
      <c r="P329" s="120"/>
      <c r="Q329" s="121"/>
      <c r="R329" s="109" t="b">
        <v>0</v>
      </c>
      <c r="S329" s="143"/>
      <c r="T329" s="110"/>
      <c r="U329" s="118"/>
      <c r="V329" s="118"/>
      <c r="W329" s="118"/>
      <c r="X329" s="118"/>
      <c r="Y329" s="118"/>
      <c r="Z329" s="118"/>
      <c r="AA329" s="118"/>
      <c r="AB329" s="118"/>
      <c r="AC329" s="118"/>
      <c r="AD329" s="111"/>
      <c r="AE329" s="122"/>
      <c r="AF329" s="122"/>
      <c r="AG329" s="122"/>
      <c r="AH329" s="122"/>
    </row>
    <row r="330" ht="22.5" customHeight="1">
      <c r="A330" s="73"/>
      <c r="B330" s="73"/>
      <c r="C330" s="73"/>
      <c r="D330" s="73"/>
      <c r="E330" s="330"/>
      <c r="F330" s="118"/>
      <c r="G330" s="118"/>
      <c r="H330" s="118"/>
      <c r="I330" s="118"/>
      <c r="J330" s="119"/>
      <c r="K330" s="120"/>
      <c r="L330" s="120"/>
      <c r="M330" s="120"/>
      <c r="N330" s="120"/>
      <c r="O330" s="118"/>
      <c r="P330" s="120"/>
      <c r="Q330" s="121"/>
      <c r="R330" s="109" t="b">
        <v>0</v>
      </c>
      <c r="S330" s="143"/>
      <c r="T330" s="110"/>
      <c r="U330" s="118"/>
      <c r="V330" s="118"/>
      <c r="W330" s="118"/>
      <c r="X330" s="118"/>
      <c r="Y330" s="118"/>
      <c r="Z330" s="118"/>
      <c r="AA330" s="118"/>
      <c r="AB330" s="118"/>
      <c r="AC330" s="118"/>
      <c r="AD330" s="111"/>
      <c r="AE330" s="122"/>
      <c r="AF330" s="122"/>
      <c r="AG330" s="122"/>
      <c r="AH330" s="122"/>
    </row>
    <row r="331" ht="22.5" customHeight="1">
      <c r="A331" s="73"/>
      <c r="B331" s="73"/>
      <c r="C331" s="73"/>
      <c r="D331" s="73"/>
      <c r="E331" s="330"/>
      <c r="F331" s="118"/>
      <c r="G331" s="118"/>
      <c r="H331" s="118"/>
      <c r="I331" s="118"/>
      <c r="J331" s="119"/>
      <c r="K331" s="120"/>
      <c r="L331" s="120"/>
      <c r="M331" s="120"/>
      <c r="N331" s="120"/>
      <c r="O331" s="118"/>
      <c r="P331" s="120"/>
      <c r="Q331" s="121"/>
      <c r="R331" s="109" t="b">
        <v>0</v>
      </c>
      <c r="S331" s="143"/>
      <c r="T331" s="110"/>
      <c r="U331" s="118"/>
      <c r="V331" s="118"/>
      <c r="W331" s="118"/>
      <c r="X331" s="118"/>
      <c r="Y331" s="118"/>
      <c r="Z331" s="118"/>
      <c r="AA331" s="118"/>
      <c r="AB331" s="118"/>
      <c r="AC331" s="118"/>
      <c r="AD331" s="111"/>
      <c r="AE331" s="122"/>
      <c r="AF331" s="122"/>
      <c r="AG331" s="122"/>
      <c r="AH331" s="122"/>
    </row>
    <row r="332" ht="22.5" customHeight="1">
      <c r="A332" s="73"/>
      <c r="B332" s="73"/>
      <c r="C332" s="73"/>
      <c r="D332" s="73"/>
      <c r="E332" s="330"/>
      <c r="F332" s="118"/>
      <c r="G332" s="118"/>
      <c r="H332" s="118"/>
      <c r="I332" s="118"/>
      <c r="J332" s="119"/>
      <c r="K332" s="120"/>
      <c r="L332" s="120"/>
      <c r="M332" s="120"/>
      <c r="N332" s="120"/>
      <c r="O332" s="118"/>
      <c r="P332" s="120"/>
      <c r="Q332" s="121"/>
      <c r="R332" s="109" t="b">
        <v>0</v>
      </c>
      <c r="S332" s="143"/>
      <c r="T332" s="110"/>
      <c r="U332" s="118"/>
      <c r="V332" s="118"/>
      <c r="W332" s="118"/>
      <c r="X332" s="118"/>
      <c r="Y332" s="118"/>
      <c r="Z332" s="118"/>
      <c r="AA332" s="118"/>
      <c r="AB332" s="118"/>
      <c r="AC332" s="118"/>
      <c r="AD332" s="111"/>
      <c r="AE332" s="122"/>
      <c r="AF332" s="122"/>
      <c r="AG332" s="122"/>
      <c r="AH332" s="122"/>
    </row>
    <row r="333" ht="22.5" customHeight="1">
      <c r="A333" s="73"/>
      <c r="B333" s="73"/>
      <c r="C333" s="73"/>
      <c r="D333" s="73"/>
      <c r="E333" s="330"/>
      <c r="F333" s="118"/>
      <c r="G333" s="118"/>
      <c r="H333" s="118"/>
      <c r="I333" s="118"/>
      <c r="J333" s="119"/>
      <c r="K333" s="120"/>
      <c r="L333" s="120"/>
      <c r="M333" s="120"/>
      <c r="N333" s="120"/>
      <c r="O333" s="118"/>
      <c r="P333" s="120"/>
      <c r="Q333" s="121"/>
      <c r="R333" s="109" t="b">
        <v>0</v>
      </c>
      <c r="S333" s="143"/>
      <c r="T333" s="110"/>
      <c r="U333" s="118"/>
      <c r="V333" s="118"/>
      <c r="W333" s="118"/>
      <c r="X333" s="118"/>
      <c r="Y333" s="118"/>
      <c r="Z333" s="118"/>
      <c r="AA333" s="118"/>
      <c r="AB333" s="118"/>
      <c r="AC333" s="118"/>
      <c r="AD333" s="111"/>
      <c r="AE333" s="122"/>
      <c r="AF333" s="122"/>
      <c r="AG333" s="122"/>
      <c r="AH333" s="122"/>
    </row>
    <row r="334" ht="22.5" customHeight="1">
      <c r="A334" s="73"/>
      <c r="B334" s="73"/>
      <c r="C334" s="73"/>
      <c r="D334" s="73"/>
      <c r="E334" s="330"/>
      <c r="F334" s="118"/>
      <c r="G334" s="118"/>
      <c r="H334" s="118"/>
      <c r="I334" s="118"/>
      <c r="J334" s="119"/>
      <c r="K334" s="120"/>
      <c r="L334" s="120"/>
      <c r="M334" s="120"/>
      <c r="N334" s="120"/>
      <c r="O334" s="118"/>
      <c r="P334" s="120"/>
      <c r="Q334" s="121"/>
      <c r="R334" s="109" t="b">
        <v>0</v>
      </c>
      <c r="S334" s="143"/>
      <c r="T334" s="110"/>
      <c r="U334" s="118"/>
      <c r="V334" s="118"/>
      <c r="W334" s="118"/>
      <c r="X334" s="118"/>
      <c r="Y334" s="118"/>
      <c r="Z334" s="118"/>
      <c r="AA334" s="118"/>
      <c r="AB334" s="118"/>
      <c r="AC334" s="118"/>
      <c r="AD334" s="111"/>
      <c r="AE334" s="122"/>
      <c r="AF334" s="122"/>
      <c r="AG334" s="122"/>
      <c r="AH334" s="122"/>
    </row>
    <row r="335" ht="22.5" customHeight="1">
      <c r="A335" s="73"/>
      <c r="B335" s="73"/>
      <c r="C335" s="73"/>
      <c r="D335" s="73"/>
      <c r="E335" s="330"/>
      <c r="F335" s="118"/>
      <c r="G335" s="118"/>
      <c r="H335" s="118"/>
      <c r="I335" s="118"/>
      <c r="J335" s="119"/>
      <c r="K335" s="120"/>
      <c r="L335" s="120"/>
      <c r="M335" s="120"/>
      <c r="N335" s="120"/>
      <c r="O335" s="118"/>
      <c r="P335" s="120"/>
      <c r="Q335" s="121"/>
      <c r="R335" s="109" t="b">
        <v>0</v>
      </c>
      <c r="S335" s="143"/>
      <c r="T335" s="110"/>
      <c r="U335" s="118"/>
      <c r="V335" s="118"/>
      <c r="W335" s="118"/>
      <c r="X335" s="118"/>
      <c r="Y335" s="118"/>
      <c r="Z335" s="118"/>
      <c r="AA335" s="118"/>
      <c r="AB335" s="118"/>
      <c r="AC335" s="118"/>
      <c r="AD335" s="111"/>
      <c r="AE335" s="122"/>
      <c r="AF335" s="122"/>
      <c r="AG335" s="122"/>
      <c r="AH335" s="122"/>
    </row>
    <row r="336" ht="22.5" customHeight="1">
      <c r="A336" s="73"/>
      <c r="B336" s="73"/>
      <c r="C336" s="73"/>
      <c r="D336" s="73"/>
      <c r="E336" s="330"/>
      <c r="F336" s="118"/>
      <c r="G336" s="118"/>
      <c r="H336" s="118"/>
      <c r="I336" s="118"/>
      <c r="J336" s="119"/>
      <c r="K336" s="120"/>
      <c r="L336" s="120"/>
      <c r="M336" s="120"/>
      <c r="N336" s="120"/>
      <c r="O336" s="118"/>
      <c r="P336" s="120"/>
      <c r="Q336" s="121"/>
      <c r="R336" s="109" t="b">
        <v>0</v>
      </c>
      <c r="S336" s="143"/>
      <c r="T336" s="110"/>
      <c r="U336" s="118"/>
      <c r="V336" s="118"/>
      <c r="W336" s="118"/>
      <c r="X336" s="118"/>
      <c r="Y336" s="118"/>
      <c r="Z336" s="118"/>
      <c r="AA336" s="118"/>
      <c r="AB336" s="118"/>
      <c r="AC336" s="118"/>
      <c r="AD336" s="111"/>
      <c r="AE336" s="122"/>
      <c r="AF336" s="122"/>
      <c r="AG336" s="122"/>
      <c r="AH336" s="122"/>
    </row>
    <row r="337" ht="22.5" customHeight="1">
      <c r="A337" s="73"/>
      <c r="B337" s="73"/>
      <c r="C337" s="73"/>
      <c r="D337" s="73"/>
      <c r="E337" s="330"/>
      <c r="F337" s="118"/>
      <c r="G337" s="118"/>
      <c r="H337" s="118"/>
      <c r="I337" s="118"/>
      <c r="J337" s="119"/>
      <c r="K337" s="120"/>
      <c r="L337" s="120"/>
      <c r="M337" s="120"/>
      <c r="N337" s="120"/>
      <c r="O337" s="118"/>
      <c r="P337" s="120"/>
      <c r="Q337" s="121"/>
      <c r="R337" s="109" t="b">
        <v>0</v>
      </c>
      <c r="S337" s="143"/>
      <c r="T337" s="110"/>
      <c r="U337" s="118"/>
      <c r="V337" s="118"/>
      <c r="W337" s="118"/>
      <c r="X337" s="118"/>
      <c r="Y337" s="118"/>
      <c r="Z337" s="118"/>
      <c r="AA337" s="118"/>
      <c r="AB337" s="118"/>
      <c r="AC337" s="118"/>
      <c r="AD337" s="111"/>
      <c r="AE337" s="122"/>
      <c r="AF337" s="122"/>
      <c r="AG337" s="122"/>
      <c r="AH337" s="122"/>
    </row>
    <row r="338" ht="22.5" customHeight="1">
      <c r="A338" s="73"/>
      <c r="B338" s="73"/>
      <c r="C338" s="73"/>
      <c r="D338" s="73"/>
      <c r="E338" s="330"/>
      <c r="F338" s="118"/>
      <c r="G338" s="118"/>
      <c r="H338" s="118"/>
      <c r="I338" s="118"/>
      <c r="J338" s="119"/>
      <c r="K338" s="120"/>
      <c r="L338" s="120"/>
      <c r="M338" s="120"/>
      <c r="N338" s="120"/>
      <c r="O338" s="118"/>
      <c r="P338" s="120"/>
      <c r="Q338" s="121"/>
      <c r="R338" s="109" t="b">
        <v>0</v>
      </c>
      <c r="S338" s="143"/>
      <c r="T338" s="110"/>
      <c r="U338" s="118"/>
      <c r="V338" s="118"/>
      <c r="W338" s="118"/>
      <c r="X338" s="118"/>
      <c r="Y338" s="118"/>
      <c r="Z338" s="118"/>
      <c r="AA338" s="118"/>
      <c r="AB338" s="118"/>
      <c r="AC338" s="118"/>
      <c r="AD338" s="111"/>
      <c r="AE338" s="122"/>
      <c r="AF338" s="122"/>
      <c r="AG338" s="122"/>
      <c r="AH338" s="122"/>
    </row>
    <row r="339" ht="22.5" customHeight="1">
      <c r="A339" s="73"/>
      <c r="B339" s="73"/>
      <c r="C339" s="73"/>
      <c r="D339" s="73"/>
      <c r="E339" s="330"/>
      <c r="F339" s="118"/>
      <c r="G339" s="118"/>
      <c r="H339" s="118"/>
      <c r="I339" s="118"/>
      <c r="J339" s="119"/>
      <c r="K339" s="120"/>
      <c r="L339" s="120"/>
      <c r="M339" s="120"/>
      <c r="N339" s="120"/>
      <c r="O339" s="118"/>
      <c r="P339" s="120"/>
      <c r="Q339" s="121"/>
      <c r="R339" s="109" t="b">
        <v>0</v>
      </c>
      <c r="S339" s="143"/>
      <c r="T339" s="110"/>
      <c r="U339" s="118"/>
      <c r="V339" s="118"/>
      <c r="W339" s="118"/>
      <c r="X339" s="118"/>
      <c r="Y339" s="118"/>
      <c r="Z339" s="118"/>
      <c r="AA339" s="118"/>
      <c r="AB339" s="118"/>
      <c r="AC339" s="118"/>
      <c r="AD339" s="111"/>
      <c r="AE339" s="122"/>
      <c r="AF339" s="122"/>
      <c r="AG339" s="122"/>
      <c r="AH339" s="122"/>
    </row>
    <row r="340" ht="22.5" customHeight="1">
      <c r="A340" s="73"/>
      <c r="B340" s="73"/>
      <c r="C340" s="73"/>
      <c r="D340" s="73"/>
      <c r="E340" s="330"/>
      <c r="F340" s="118"/>
      <c r="G340" s="118"/>
      <c r="H340" s="118"/>
      <c r="I340" s="118"/>
      <c r="J340" s="119"/>
      <c r="K340" s="120"/>
      <c r="L340" s="120"/>
      <c r="M340" s="120"/>
      <c r="N340" s="120"/>
      <c r="O340" s="118"/>
      <c r="P340" s="120"/>
      <c r="Q340" s="121"/>
      <c r="R340" s="109" t="b">
        <v>0</v>
      </c>
      <c r="S340" s="143"/>
      <c r="T340" s="110"/>
      <c r="U340" s="118"/>
      <c r="V340" s="118"/>
      <c r="W340" s="118"/>
      <c r="X340" s="118"/>
      <c r="Y340" s="118"/>
      <c r="Z340" s="118"/>
      <c r="AA340" s="118"/>
      <c r="AB340" s="118"/>
      <c r="AC340" s="118"/>
      <c r="AD340" s="111"/>
      <c r="AE340" s="122"/>
      <c r="AF340" s="122"/>
      <c r="AG340" s="122"/>
      <c r="AH340" s="122"/>
    </row>
    <row r="341" ht="22.5" customHeight="1">
      <c r="A341" s="73"/>
      <c r="B341" s="73"/>
      <c r="C341" s="73"/>
      <c r="D341" s="73"/>
      <c r="E341" s="330"/>
      <c r="F341" s="118"/>
      <c r="G341" s="118"/>
      <c r="H341" s="118"/>
      <c r="I341" s="118"/>
      <c r="J341" s="119"/>
      <c r="K341" s="120"/>
      <c r="L341" s="120"/>
      <c r="M341" s="120"/>
      <c r="N341" s="120"/>
      <c r="O341" s="118"/>
      <c r="P341" s="120"/>
      <c r="Q341" s="121"/>
      <c r="R341" s="109" t="b">
        <v>0</v>
      </c>
      <c r="S341" s="143"/>
      <c r="T341" s="110"/>
      <c r="U341" s="118"/>
      <c r="V341" s="118"/>
      <c r="W341" s="118"/>
      <c r="X341" s="118"/>
      <c r="Y341" s="118"/>
      <c r="Z341" s="118"/>
      <c r="AA341" s="118"/>
      <c r="AB341" s="118"/>
      <c r="AC341" s="118"/>
      <c r="AD341" s="111"/>
      <c r="AE341" s="122"/>
      <c r="AF341" s="122"/>
      <c r="AG341" s="122"/>
      <c r="AH341" s="122"/>
    </row>
    <row r="342" ht="22.5" customHeight="1">
      <c r="A342" s="73"/>
      <c r="B342" s="73"/>
      <c r="C342" s="73"/>
      <c r="D342" s="73"/>
      <c r="E342" s="330"/>
      <c r="F342" s="118"/>
      <c r="G342" s="118"/>
      <c r="H342" s="118"/>
      <c r="I342" s="118"/>
      <c r="J342" s="119"/>
      <c r="K342" s="120"/>
      <c r="L342" s="120"/>
      <c r="M342" s="120"/>
      <c r="N342" s="120"/>
      <c r="O342" s="118"/>
      <c r="P342" s="120"/>
      <c r="Q342" s="121"/>
      <c r="R342" s="109" t="b">
        <v>0</v>
      </c>
      <c r="S342" s="143"/>
      <c r="T342" s="110"/>
      <c r="U342" s="118"/>
      <c r="V342" s="118"/>
      <c r="W342" s="118"/>
      <c r="X342" s="118"/>
      <c r="Y342" s="118"/>
      <c r="Z342" s="118"/>
      <c r="AA342" s="118"/>
      <c r="AB342" s="118"/>
      <c r="AC342" s="118"/>
      <c r="AD342" s="111"/>
      <c r="AE342" s="122"/>
      <c r="AF342" s="122"/>
      <c r="AG342" s="122"/>
      <c r="AH342" s="122"/>
    </row>
    <row r="343" ht="22.5" customHeight="1">
      <c r="A343" s="73"/>
      <c r="B343" s="73"/>
      <c r="C343" s="73"/>
      <c r="D343" s="73"/>
      <c r="E343" s="330"/>
      <c r="F343" s="118"/>
      <c r="G343" s="118"/>
      <c r="H343" s="118"/>
      <c r="I343" s="118"/>
      <c r="J343" s="119"/>
      <c r="K343" s="120"/>
      <c r="L343" s="120"/>
      <c r="M343" s="120"/>
      <c r="N343" s="120"/>
      <c r="O343" s="118"/>
      <c r="P343" s="120"/>
      <c r="Q343" s="121"/>
      <c r="R343" s="109" t="b">
        <v>0</v>
      </c>
      <c r="S343" s="143"/>
      <c r="T343" s="110"/>
      <c r="U343" s="118"/>
      <c r="V343" s="118"/>
      <c r="W343" s="118"/>
      <c r="X343" s="118"/>
      <c r="Y343" s="118"/>
      <c r="Z343" s="118"/>
      <c r="AA343" s="118"/>
      <c r="AB343" s="118"/>
      <c r="AC343" s="118"/>
      <c r="AD343" s="111"/>
      <c r="AE343" s="122"/>
      <c r="AF343" s="122"/>
      <c r="AG343" s="122"/>
      <c r="AH343" s="122"/>
    </row>
    <row r="344" ht="22.5" customHeight="1">
      <c r="A344" s="73"/>
      <c r="B344" s="73"/>
      <c r="C344" s="73"/>
      <c r="D344" s="73"/>
      <c r="E344" s="330"/>
      <c r="F344" s="118"/>
      <c r="G344" s="118"/>
      <c r="H344" s="118"/>
      <c r="I344" s="118"/>
      <c r="J344" s="119"/>
      <c r="K344" s="120"/>
      <c r="L344" s="120"/>
      <c r="M344" s="120"/>
      <c r="N344" s="120"/>
      <c r="O344" s="118"/>
      <c r="P344" s="120"/>
      <c r="Q344" s="121"/>
      <c r="R344" s="109" t="b">
        <v>0</v>
      </c>
      <c r="S344" s="143"/>
      <c r="T344" s="110"/>
      <c r="U344" s="118"/>
      <c r="V344" s="118"/>
      <c r="W344" s="118"/>
      <c r="X344" s="118"/>
      <c r="Y344" s="118"/>
      <c r="Z344" s="118"/>
      <c r="AA344" s="118"/>
      <c r="AB344" s="118"/>
      <c r="AC344" s="118"/>
      <c r="AD344" s="111"/>
      <c r="AE344" s="122"/>
      <c r="AF344" s="122"/>
      <c r="AG344" s="122"/>
      <c r="AH344" s="122"/>
    </row>
    <row r="345" ht="22.5" customHeight="1">
      <c r="A345" s="73"/>
      <c r="B345" s="73"/>
      <c r="C345" s="73"/>
      <c r="D345" s="73"/>
      <c r="E345" s="330"/>
      <c r="F345" s="118"/>
      <c r="G345" s="118"/>
      <c r="H345" s="118"/>
      <c r="I345" s="118"/>
      <c r="J345" s="119"/>
      <c r="K345" s="120"/>
      <c r="L345" s="120"/>
      <c r="M345" s="120"/>
      <c r="N345" s="120"/>
      <c r="O345" s="118"/>
      <c r="P345" s="120"/>
      <c r="Q345" s="121"/>
      <c r="R345" s="109" t="b">
        <v>0</v>
      </c>
      <c r="S345" s="143"/>
      <c r="T345" s="110"/>
      <c r="U345" s="118"/>
      <c r="V345" s="118"/>
      <c r="W345" s="118"/>
      <c r="X345" s="118"/>
      <c r="Y345" s="118"/>
      <c r="Z345" s="118"/>
      <c r="AA345" s="118"/>
      <c r="AB345" s="118"/>
      <c r="AC345" s="118"/>
      <c r="AD345" s="111"/>
      <c r="AE345" s="122"/>
      <c r="AF345" s="122"/>
      <c r="AG345" s="122"/>
      <c r="AH345" s="122"/>
    </row>
    <row r="346" ht="22.5" customHeight="1">
      <c r="A346" s="73"/>
      <c r="B346" s="73"/>
      <c r="C346" s="73"/>
      <c r="D346" s="73"/>
      <c r="E346" s="330"/>
      <c r="F346" s="118"/>
      <c r="G346" s="118"/>
      <c r="H346" s="118"/>
      <c r="I346" s="118"/>
      <c r="J346" s="119"/>
      <c r="K346" s="120"/>
      <c r="L346" s="120"/>
      <c r="M346" s="120"/>
      <c r="N346" s="120"/>
      <c r="O346" s="118"/>
      <c r="P346" s="120"/>
      <c r="Q346" s="121"/>
      <c r="R346" s="109" t="b">
        <v>0</v>
      </c>
      <c r="S346" s="143"/>
      <c r="T346" s="110"/>
      <c r="U346" s="118"/>
      <c r="V346" s="118"/>
      <c r="W346" s="118"/>
      <c r="X346" s="118"/>
      <c r="Y346" s="118"/>
      <c r="Z346" s="118"/>
      <c r="AA346" s="118"/>
      <c r="AB346" s="118"/>
      <c r="AC346" s="118"/>
      <c r="AD346" s="111"/>
      <c r="AE346" s="122"/>
      <c r="AF346" s="122"/>
      <c r="AG346" s="122"/>
      <c r="AH346" s="122"/>
    </row>
    <row r="347" ht="22.5" customHeight="1">
      <c r="A347" s="73"/>
      <c r="B347" s="73"/>
      <c r="C347" s="73"/>
      <c r="D347" s="73"/>
      <c r="E347" s="330"/>
      <c r="F347" s="118"/>
      <c r="G347" s="118"/>
      <c r="H347" s="118"/>
      <c r="I347" s="118"/>
      <c r="J347" s="119"/>
      <c r="K347" s="120"/>
      <c r="L347" s="120"/>
      <c r="M347" s="120"/>
      <c r="N347" s="120"/>
      <c r="O347" s="118"/>
      <c r="P347" s="120"/>
      <c r="Q347" s="121"/>
      <c r="R347" s="109" t="b">
        <v>0</v>
      </c>
      <c r="S347" s="143"/>
      <c r="T347" s="110"/>
      <c r="U347" s="118"/>
      <c r="V347" s="118"/>
      <c r="W347" s="118"/>
      <c r="X347" s="118"/>
      <c r="Y347" s="118"/>
      <c r="Z347" s="118"/>
      <c r="AA347" s="118"/>
      <c r="AB347" s="118"/>
      <c r="AC347" s="118"/>
      <c r="AD347" s="111"/>
      <c r="AE347" s="122"/>
      <c r="AF347" s="122"/>
      <c r="AG347" s="122"/>
      <c r="AH347" s="122"/>
    </row>
    <row r="348" ht="22.5" customHeight="1">
      <c r="A348" s="73"/>
      <c r="B348" s="73"/>
      <c r="C348" s="73"/>
      <c r="D348" s="73"/>
      <c r="E348" s="330"/>
      <c r="F348" s="118"/>
      <c r="G348" s="118"/>
      <c r="H348" s="118"/>
      <c r="I348" s="118"/>
      <c r="J348" s="119"/>
      <c r="K348" s="120"/>
      <c r="L348" s="120"/>
      <c r="M348" s="120"/>
      <c r="N348" s="120"/>
      <c r="O348" s="118"/>
      <c r="P348" s="120"/>
      <c r="Q348" s="121"/>
      <c r="R348" s="109" t="b">
        <v>0</v>
      </c>
      <c r="S348" s="143"/>
      <c r="T348" s="110"/>
      <c r="U348" s="118"/>
      <c r="V348" s="118"/>
      <c r="W348" s="118"/>
      <c r="X348" s="118"/>
      <c r="Y348" s="118"/>
      <c r="Z348" s="118"/>
      <c r="AA348" s="118"/>
      <c r="AB348" s="118"/>
      <c r="AC348" s="118"/>
      <c r="AD348" s="111"/>
      <c r="AE348" s="122"/>
      <c r="AF348" s="122"/>
      <c r="AG348" s="122"/>
      <c r="AH348" s="122"/>
    </row>
    <row r="349" ht="22.5" customHeight="1">
      <c r="A349" s="73"/>
      <c r="B349" s="73"/>
      <c r="C349" s="73"/>
      <c r="D349" s="73"/>
      <c r="E349" s="330"/>
      <c r="F349" s="118"/>
      <c r="G349" s="118"/>
      <c r="H349" s="118"/>
      <c r="I349" s="118"/>
      <c r="J349" s="119"/>
      <c r="K349" s="120"/>
      <c r="L349" s="120"/>
      <c r="M349" s="120"/>
      <c r="N349" s="120"/>
      <c r="O349" s="118"/>
      <c r="P349" s="120"/>
      <c r="Q349" s="121"/>
      <c r="R349" s="109" t="b">
        <v>0</v>
      </c>
      <c r="S349" s="143"/>
      <c r="T349" s="110"/>
      <c r="U349" s="118"/>
      <c r="V349" s="118"/>
      <c r="W349" s="118"/>
      <c r="X349" s="118"/>
      <c r="Y349" s="118"/>
      <c r="Z349" s="118"/>
      <c r="AA349" s="118"/>
      <c r="AB349" s="118"/>
      <c r="AC349" s="118"/>
      <c r="AD349" s="111"/>
      <c r="AE349" s="122"/>
      <c r="AF349" s="122"/>
      <c r="AG349" s="122"/>
      <c r="AH349" s="122"/>
    </row>
    <row r="350" ht="22.5" customHeight="1">
      <c r="A350" s="73"/>
      <c r="B350" s="73"/>
      <c r="C350" s="73"/>
      <c r="D350" s="73"/>
      <c r="E350" s="330"/>
      <c r="F350" s="118"/>
      <c r="G350" s="118"/>
      <c r="H350" s="118"/>
      <c r="I350" s="118"/>
      <c r="J350" s="119"/>
      <c r="K350" s="120"/>
      <c r="L350" s="120"/>
      <c r="M350" s="120"/>
      <c r="N350" s="120"/>
      <c r="O350" s="118"/>
      <c r="P350" s="120"/>
      <c r="Q350" s="121"/>
      <c r="R350" s="109" t="b">
        <v>0</v>
      </c>
      <c r="S350" s="143"/>
      <c r="T350" s="110"/>
      <c r="U350" s="118"/>
      <c r="V350" s="118"/>
      <c r="W350" s="118"/>
      <c r="X350" s="118"/>
      <c r="Y350" s="118"/>
      <c r="Z350" s="118"/>
      <c r="AA350" s="118"/>
      <c r="AB350" s="118"/>
      <c r="AC350" s="118"/>
      <c r="AD350" s="111"/>
      <c r="AE350" s="122"/>
      <c r="AF350" s="122"/>
      <c r="AG350" s="122"/>
      <c r="AH350" s="122"/>
    </row>
    <row r="351" ht="22.5" customHeight="1">
      <c r="A351" s="73"/>
      <c r="B351" s="73"/>
      <c r="C351" s="73"/>
      <c r="D351" s="73"/>
      <c r="E351" s="330"/>
      <c r="F351" s="118"/>
      <c r="G351" s="118"/>
      <c r="H351" s="118"/>
      <c r="I351" s="118"/>
      <c r="J351" s="119"/>
      <c r="K351" s="120"/>
      <c r="L351" s="120"/>
      <c r="M351" s="120"/>
      <c r="N351" s="120"/>
      <c r="O351" s="118"/>
      <c r="P351" s="120"/>
      <c r="Q351" s="121"/>
      <c r="R351" s="109" t="b">
        <v>0</v>
      </c>
      <c r="S351" s="143"/>
      <c r="T351" s="110"/>
      <c r="U351" s="118"/>
      <c r="V351" s="118"/>
      <c r="W351" s="118"/>
      <c r="X351" s="118"/>
      <c r="Y351" s="118"/>
      <c r="Z351" s="118"/>
      <c r="AA351" s="118"/>
      <c r="AB351" s="118"/>
      <c r="AC351" s="118"/>
      <c r="AD351" s="111"/>
      <c r="AE351" s="122"/>
      <c r="AF351" s="122"/>
      <c r="AG351" s="122"/>
      <c r="AH351" s="122"/>
    </row>
    <row r="352" ht="22.5" customHeight="1">
      <c r="A352" s="73"/>
      <c r="B352" s="73"/>
      <c r="C352" s="73"/>
      <c r="D352" s="73"/>
      <c r="E352" s="330"/>
      <c r="F352" s="118"/>
      <c r="G352" s="118"/>
      <c r="H352" s="118"/>
      <c r="I352" s="118"/>
      <c r="J352" s="119"/>
      <c r="K352" s="120"/>
      <c r="L352" s="120"/>
      <c r="M352" s="120"/>
      <c r="N352" s="120"/>
      <c r="O352" s="118"/>
      <c r="P352" s="120"/>
      <c r="Q352" s="121"/>
      <c r="R352" s="109" t="b">
        <v>0</v>
      </c>
      <c r="S352" s="143"/>
      <c r="T352" s="110"/>
      <c r="U352" s="118"/>
      <c r="V352" s="118"/>
      <c r="W352" s="118"/>
      <c r="X352" s="118"/>
      <c r="Y352" s="118"/>
      <c r="Z352" s="118"/>
      <c r="AA352" s="118"/>
      <c r="AB352" s="118"/>
      <c r="AC352" s="118"/>
      <c r="AD352" s="111"/>
      <c r="AE352" s="122"/>
      <c r="AF352" s="122"/>
      <c r="AG352" s="122"/>
      <c r="AH352" s="122"/>
    </row>
    <row r="353" ht="22.5" customHeight="1">
      <c r="A353" s="73"/>
      <c r="B353" s="73"/>
      <c r="C353" s="73"/>
      <c r="D353" s="73"/>
      <c r="E353" s="330"/>
      <c r="F353" s="118"/>
      <c r="G353" s="118"/>
      <c r="H353" s="118"/>
      <c r="I353" s="118"/>
      <c r="J353" s="119"/>
      <c r="K353" s="120"/>
      <c r="L353" s="120"/>
      <c r="M353" s="120"/>
      <c r="N353" s="120"/>
      <c r="O353" s="118"/>
      <c r="P353" s="120"/>
      <c r="Q353" s="121"/>
      <c r="R353" s="109" t="b">
        <v>0</v>
      </c>
      <c r="S353" s="143"/>
      <c r="T353" s="110"/>
      <c r="U353" s="118"/>
      <c r="V353" s="118"/>
      <c r="W353" s="118"/>
      <c r="X353" s="118"/>
      <c r="Y353" s="118"/>
      <c r="Z353" s="118"/>
      <c r="AA353" s="118"/>
      <c r="AB353" s="118"/>
      <c r="AC353" s="118"/>
      <c r="AD353" s="111"/>
      <c r="AE353" s="122"/>
      <c r="AF353" s="122"/>
      <c r="AG353" s="122"/>
      <c r="AH353" s="122"/>
    </row>
    <row r="354" ht="22.5" customHeight="1">
      <c r="A354" s="73"/>
      <c r="B354" s="73"/>
      <c r="C354" s="73"/>
      <c r="D354" s="73"/>
      <c r="E354" s="330"/>
      <c r="F354" s="118"/>
      <c r="G354" s="118"/>
      <c r="H354" s="118"/>
      <c r="I354" s="118"/>
      <c r="J354" s="119"/>
      <c r="K354" s="120"/>
      <c r="L354" s="120"/>
      <c r="M354" s="120"/>
      <c r="N354" s="120"/>
      <c r="O354" s="118"/>
      <c r="P354" s="120"/>
      <c r="Q354" s="121"/>
      <c r="R354" s="109" t="b">
        <v>0</v>
      </c>
      <c r="S354" s="143"/>
      <c r="T354" s="110"/>
      <c r="U354" s="118"/>
      <c r="V354" s="118"/>
      <c r="W354" s="118"/>
      <c r="X354" s="118"/>
      <c r="Y354" s="118"/>
      <c r="Z354" s="118"/>
      <c r="AA354" s="118"/>
      <c r="AB354" s="118"/>
      <c r="AC354" s="118"/>
      <c r="AD354" s="111"/>
      <c r="AE354" s="122"/>
      <c r="AF354" s="122"/>
      <c r="AG354" s="122"/>
      <c r="AH354" s="122"/>
    </row>
    <row r="355" ht="22.5" customHeight="1">
      <c r="A355" s="73"/>
      <c r="B355" s="73"/>
      <c r="C355" s="73"/>
      <c r="D355" s="73"/>
      <c r="E355" s="330"/>
      <c r="F355" s="118"/>
      <c r="G355" s="118"/>
      <c r="H355" s="118"/>
      <c r="I355" s="118"/>
      <c r="J355" s="119"/>
      <c r="K355" s="120"/>
      <c r="L355" s="120"/>
      <c r="M355" s="120"/>
      <c r="N355" s="120"/>
      <c r="O355" s="118"/>
      <c r="P355" s="120"/>
      <c r="Q355" s="121"/>
      <c r="R355" s="109" t="b">
        <v>0</v>
      </c>
      <c r="S355" s="143"/>
      <c r="T355" s="110"/>
      <c r="U355" s="118"/>
      <c r="V355" s="118"/>
      <c r="W355" s="118"/>
      <c r="X355" s="118"/>
      <c r="Y355" s="118"/>
      <c r="Z355" s="118"/>
      <c r="AA355" s="118"/>
      <c r="AB355" s="118"/>
      <c r="AC355" s="118"/>
      <c r="AD355" s="111"/>
      <c r="AE355" s="122"/>
      <c r="AF355" s="122"/>
      <c r="AG355" s="122"/>
      <c r="AH355" s="122"/>
    </row>
    <row r="356" ht="22.5" customHeight="1">
      <c r="A356" s="73"/>
      <c r="B356" s="73"/>
      <c r="C356" s="73"/>
      <c r="D356" s="73"/>
      <c r="E356" s="330"/>
      <c r="F356" s="118"/>
      <c r="G356" s="118"/>
      <c r="H356" s="118"/>
      <c r="I356" s="118"/>
      <c r="J356" s="119"/>
      <c r="K356" s="120"/>
      <c r="L356" s="120"/>
      <c r="M356" s="120"/>
      <c r="N356" s="120"/>
      <c r="O356" s="118"/>
      <c r="P356" s="120"/>
      <c r="Q356" s="121"/>
      <c r="R356" s="109" t="b">
        <v>0</v>
      </c>
      <c r="S356" s="143"/>
      <c r="T356" s="110"/>
      <c r="U356" s="118"/>
      <c r="V356" s="118"/>
      <c r="W356" s="118"/>
      <c r="X356" s="118"/>
      <c r="Y356" s="118"/>
      <c r="Z356" s="118"/>
      <c r="AA356" s="118"/>
      <c r="AB356" s="118"/>
      <c r="AC356" s="118"/>
      <c r="AD356" s="111"/>
      <c r="AE356" s="122"/>
      <c r="AF356" s="122"/>
      <c r="AG356" s="122"/>
      <c r="AH356" s="122"/>
    </row>
    <row r="357" ht="22.5" customHeight="1">
      <c r="A357" s="73"/>
      <c r="B357" s="73"/>
      <c r="C357" s="73"/>
      <c r="D357" s="73"/>
      <c r="E357" s="330"/>
      <c r="F357" s="118"/>
      <c r="G357" s="118"/>
      <c r="H357" s="118"/>
      <c r="I357" s="118"/>
      <c r="J357" s="119"/>
      <c r="K357" s="120"/>
      <c r="L357" s="120"/>
      <c r="M357" s="120"/>
      <c r="N357" s="120"/>
      <c r="O357" s="118"/>
      <c r="P357" s="120"/>
      <c r="Q357" s="121"/>
      <c r="R357" s="109" t="b">
        <v>0</v>
      </c>
      <c r="S357" s="143"/>
      <c r="T357" s="110"/>
      <c r="U357" s="118"/>
      <c r="V357" s="118"/>
      <c r="W357" s="118"/>
      <c r="X357" s="118"/>
      <c r="Y357" s="118"/>
      <c r="Z357" s="118"/>
      <c r="AA357" s="118"/>
      <c r="AB357" s="118"/>
      <c r="AC357" s="118"/>
      <c r="AD357" s="111"/>
      <c r="AE357" s="122"/>
      <c r="AF357" s="122"/>
      <c r="AG357" s="122"/>
      <c r="AH357" s="122"/>
    </row>
    <row r="358" ht="22.5" customHeight="1">
      <c r="A358" s="73"/>
      <c r="B358" s="73"/>
      <c r="C358" s="73"/>
      <c r="D358" s="73"/>
      <c r="E358" s="330"/>
      <c r="F358" s="118"/>
      <c r="G358" s="118"/>
      <c r="H358" s="118"/>
      <c r="I358" s="118"/>
      <c r="J358" s="119"/>
      <c r="K358" s="120"/>
      <c r="L358" s="120"/>
      <c r="M358" s="120"/>
      <c r="N358" s="120"/>
      <c r="O358" s="118"/>
      <c r="P358" s="120"/>
      <c r="Q358" s="121"/>
      <c r="R358" s="109" t="b">
        <v>0</v>
      </c>
      <c r="S358" s="143"/>
      <c r="T358" s="110"/>
      <c r="U358" s="118"/>
      <c r="V358" s="118"/>
      <c r="W358" s="118"/>
      <c r="X358" s="118"/>
      <c r="Y358" s="118"/>
      <c r="Z358" s="118"/>
      <c r="AA358" s="118"/>
      <c r="AB358" s="118"/>
      <c r="AC358" s="118"/>
      <c r="AD358" s="111"/>
      <c r="AE358" s="122"/>
      <c r="AF358" s="122"/>
      <c r="AG358" s="122"/>
      <c r="AH358" s="122"/>
    </row>
    <row r="359" ht="22.5" customHeight="1">
      <c r="A359" s="73"/>
      <c r="B359" s="73"/>
      <c r="C359" s="73"/>
      <c r="D359" s="73"/>
      <c r="E359" s="330"/>
      <c r="F359" s="118"/>
      <c r="G359" s="118"/>
      <c r="H359" s="118"/>
      <c r="I359" s="118"/>
      <c r="J359" s="119"/>
      <c r="K359" s="120"/>
      <c r="L359" s="120"/>
      <c r="M359" s="120"/>
      <c r="N359" s="120"/>
      <c r="O359" s="118"/>
      <c r="P359" s="120"/>
      <c r="Q359" s="121"/>
      <c r="R359" s="109" t="b">
        <v>0</v>
      </c>
      <c r="S359" s="143"/>
      <c r="T359" s="110"/>
      <c r="U359" s="118"/>
      <c r="V359" s="118"/>
      <c r="W359" s="118"/>
      <c r="X359" s="118"/>
      <c r="Y359" s="118"/>
      <c r="Z359" s="118"/>
      <c r="AA359" s="118"/>
      <c r="AB359" s="118"/>
      <c r="AC359" s="118"/>
      <c r="AD359" s="111"/>
      <c r="AE359" s="122"/>
      <c r="AF359" s="122"/>
      <c r="AG359" s="122"/>
      <c r="AH359" s="122"/>
    </row>
    <row r="360" ht="22.5" customHeight="1">
      <c r="A360" s="73"/>
      <c r="B360" s="73"/>
      <c r="C360" s="73"/>
      <c r="D360" s="73"/>
      <c r="E360" s="330"/>
      <c r="F360" s="118"/>
      <c r="G360" s="118"/>
      <c r="H360" s="118"/>
      <c r="I360" s="118"/>
      <c r="J360" s="119"/>
      <c r="K360" s="120"/>
      <c r="L360" s="120"/>
      <c r="M360" s="120"/>
      <c r="N360" s="120"/>
      <c r="O360" s="118"/>
      <c r="P360" s="120"/>
      <c r="Q360" s="121"/>
      <c r="R360" s="109" t="b">
        <v>0</v>
      </c>
      <c r="S360" s="143"/>
      <c r="T360" s="110"/>
      <c r="U360" s="118"/>
      <c r="V360" s="118"/>
      <c r="W360" s="118"/>
      <c r="X360" s="118"/>
      <c r="Y360" s="118"/>
      <c r="Z360" s="118"/>
      <c r="AA360" s="118"/>
      <c r="AB360" s="118"/>
      <c r="AC360" s="118"/>
      <c r="AD360" s="111"/>
      <c r="AE360" s="122"/>
      <c r="AF360" s="122"/>
      <c r="AG360" s="122"/>
      <c r="AH360" s="122"/>
    </row>
    <row r="361" ht="22.5" customHeight="1">
      <c r="A361" s="73"/>
      <c r="B361" s="73"/>
      <c r="C361" s="73"/>
      <c r="D361" s="73"/>
      <c r="E361" s="330"/>
      <c r="F361" s="118"/>
      <c r="G361" s="118"/>
      <c r="H361" s="118"/>
      <c r="I361" s="118"/>
      <c r="J361" s="119"/>
      <c r="K361" s="120"/>
      <c r="L361" s="120"/>
      <c r="M361" s="120"/>
      <c r="N361" s="120"/>
      <c r="O361" s="118"/>
      <c r="P361" s="120"/>
      <c r="Q361" s="121"/>
      <c r="R361" s="109" t="b">
        <v>0</v>
      </c>
      <c r="S361" s="143"/>
      <c r="T361" s="110"/>
      <c r="U361" s="118"/>
      <c r="V361" s="118"/>
      <c r="W361" s="118"/>
      <c r="X361" s="118"/>
      <c r="Y361" s="118"/>
      <c r="Z361" s="118"/>
      <c r="AA361" s="118"/>
      <c r="AB361" s="118"/>
      <c r="AC361" s="118"/>
      <c r="AD361" s="111"/>
      <c r="AE361" s="122"/>
      <c r="AF361" s="122"/>
      <c r="AG361" s="122"/>
      <c r="AH361" s="122"/>
    </row>
    <row r="362" ht="22.5" customHeight="1">
      <c r="A362" s="73"/>
      <c r="B362" s="73"/>
      <c r="C362" s="73"/>
      <c r="D362" s="73"/>
      <c r="E362" s="330"/>
      <c r="F362" s="118"/>
      <c r="G362" s="118"/>
      <c r="H362" s="118"/>
      <c r="I362" s="118"/>
      <c r="J362" s="119"/>
      <c r="K362" s="120"/>
      <c r="L362" s="120"/>
      <c r="M362" s="120"/>
      <c r="N362" s="120"/>
      <c r="O362" s="118"/>
      <c r="P362" s="120"/>
      <c r="Q362" s="121"/>
      <c r="R362" s="109" t="b">
        <v>0</v>
      </c>
      <c r="S362" s="143"/>
      <c r="T362" s="110"/>
      <c r="U362" s="118"/>
      <c r="V362" s="118"/>
      <c r="W362" s="118"/>
      <c r="X362" s="118"/>
      <c r="Y362" s="118"/>
      <c r="Z362" s="118"/>
      <c r="AA362" s="118"/>
      <c r="AB362" s="118"/>
      <c r="AC362" s="118"/>
      <c r="AD362" s="111"/>
      <c r="AE362" s="122"/>
      <c r="AF362" s="122"/>
      <c r="AG362" s="122"/>
      <c r="AH362" s="122"/>
    </row>
    <row r="363" ht="22.5" customHeight="1">
      <c r="A363" s="73"/>
      <c r="B363" s="73"/>
      <c r="C363" s="73"/>
      <c r="D363" s="73"/>
      <c r="E363" s="330"/>
      <c r="F363" s="118"/>
      <c r="G363" s="118"/>
      <c r="H363" s="118"/>
      <c r="I363" s="118"/>
      <c r="J363" s="119"/>
      <c r="K363" s="120"/>
      <c r="L363" s="120"/>
      <c r="M363" s="120"/>
      <c r="N363" s="120"/>
      <c r="O363" s="118"/>
      <c r="P363" s="120"/>
      <c r="Q363" s="121"/>
      <c r="R363" s="109" t="b">
        <v>0</v>
      </c>
      <c r="S363" s="143"/>
      <c r="T363" s="110"/>
      <c r="U363" s="118"/>
      <c r="V363" s="118"/>
      <c r="W363" s="118"/>
      <c r="X363" s="118"/>
      <c r="Y363" s="118"/>
      <c r="Z363" s="118"/>
      <c r="AA363" s="118"/>
      <c r="AB363" s="118"/>
      <c r="AC363" s="118"/>
      <c r="AD363" s="111"/>
      <c r="AE363" s="122"/>
      <c r="AF363" s="122"/>
      <c r="AG363" s="122"/>
      <c r="AH363" s="122"/>
    </row>
    <row r="364" ht="22.5" customHeight="1">
      <c r="A364" s="73"/>
      <c r="B364" s="73"/>
      <c r="C364" s="73"/>
      <c r="D364" s="73"/>
      <c r="E364" s="330"/>
      <c r="F364" s="118"/>
      <c r="G364" s="118"/>
      <c r="H364" s="118"/>
      <c r="I364" s="118"/>
      <c r="J364" s="119"/>
      <c r="K364" s="120"/>
      <c r="L364" s="120"/>
      <c r="M364" s="120"/>
      <c r="N364" s="120"/>
      <c r="O364" s="118"/>
      <c r="P364" s="120"/>
      <c r="Q364" s="121"/>
      <c r="R364" s="109" t="b">
        <v>0</v>
      </c>
      <c r="S364" s="143"/>
      <c r="T364" s="110"/>
      <c r="U364" s="118"/>
      <c r="V364" s="118"/>
      <c r="W364" s="118"/>
      <c r="X364" s="118"/>
      <c r="Y364" s="118"/>
      <c r="Z364" s="118"/>
      <c r="AA364" s="118"/>
      <c r="AB364" s="118"/>
      <c r="AC364" s="118"/>
      <c r="AD364" s="111"/>
      <c r="AE364" s="122"/>
      <c r="AF364" s="122"/>
      <c r="AG364" s="122"/>
      <c r="AH364" s="122"/>
    </row>
    <row r="365" ht="22.5" customHeight="1">
      <c r="A365" s="73"/>
      <c r="B365" s="73"/>
      <c r="C365" s="73"/>
      <c r="D365" s="73"/>
      <c r="E365" s="330"/>
      <c r="F365" s="118"/>
      <c r="G365" s="118"/>
      <c r="H365" s="118"/>
      <c r="I365" s="118"/>
      <c r="J365" s="119"/>
      <c r="K365" s="120"/>
      <c r="L365" s="120"/>
      <c r="M365" s="120"/>
      <c r="N365" s="120"/>
      <c r="O365" s="118"/>
      <c r="P365" s="120"/>
      <c r="Q365" s="121"/>
      <c r="R365" s="109" t="b">
        <v>0</v>
      </c>
      <c r="S365" s="143"/>
      <c r="T365" s="110"/>
      <c r="U365" s="118"/>
      <c r="V365" s="118"/>
      <c r="W365" s="118"/>
      <c r="X365" s="118"/>
      <c r="Y365" s="118"/>
      <c r="Z365" s="118"/>
      <c r="AA365" s="118"/>
      <c r="AB365" s="118"/>
      <c r="AC365" s="118"/>
      <c r="AD365" s="111"/>
      <c r="AE365" s="122"/>
      <c r="AF365" s="122"/>
      <c r="AG365" s="122"/>
      <c r="AH365" s="122"/>
    </row>
    <row r="366" ht="22.5" customHeight="1">
      <c r="A366" s="73"/>
      <c r="B366" s="73"/>
      <c r="C366" s="73"/>
      <c r="D366" s="73"/>
      <c r="E366" s="330"/>
      <c r="F366" s="118"/>
      <c r="G366" s="118"/>
      <c r="H366" s="118"/>
      <c r="I366" s="118"/>
      <c r="J366" s="119"/>
      <c r="K366" s="120"/>
      <c r="L366" s="120"/>
      <c r="M366" s="120"/>
      <c r="N366" s="120"/>
      <c r="O366" s="118"/>
      <c r="P366" s="120"/>
      <c r="Q366" s="121"/>
      <c r="R366" s="109" t="b">
        <v>0</v>
      </c>
      <c r="S366" s="143"/>
      <c r="T366" s="110"/>
      <c r="U366" s="118"/>
      <c r="V366" s="118"/>
      <c r="W366" s="118"/>
      <c r="X366" s="118"/>
      <c r="Y366" s="118"/>
      <c r="Z366" s="118"/>
      <c r="AA366" s="118"/>
      <c r="AB366" s="118"/>
      <c r="AC366" s="118"/>
      <c r="AD366" s="111"/>
      <c r="AE366" s="122"/>
      <c r="AF366" s="122"/>
      <c r="AG366" s="122"/>
      <c r="AH366" s="122"/>
    </row>
    <row r="367" ht="22.5" customHeight="1">
      <c r="A367" s="73"/>
      <c r="B367" s="73"/>
      <c r="C367" s="73"/>
      <c r="D367" s="73"/>
      <c r="E367" s="330"/>
      <c r="F367" s="118"/>
      <c r="G367" s="118"/>
      <c r="H367" s="118"/>
      <c r="I367" s="118"/>
      <c r="J367" s="119"/>
      <c r="K367" s="120"/>
      <c r="L367" s="120"/>
      <c r="M367" s="120"/>
      <c r="N367" s="120"/>
      <c r="O367" s="118"/>
      <c r="P367" s="120"/>
      <c r="Q367" s="121"/>
      <c r="R367" s="109" t="b">
        <v>0</v>
      </c>
      <c r="S367" s="143"/>
      <c r="T367" s="110"/>
      <c r="U367" s="118"/>
      <c r="V367" s="118"/>
      <c r="W367" s="118"/>
      <c r="X367" s="118"/>
      <c r="Y367" s="118"/>
      <c r="Z367" s="118"/>
      <c r="AA367" s="118"/>
      <c r="AB367" s="118"/>
      <c r="AC367" s="118"/>
      <c r="AD367" s="111"/>
      <c r="AE367" s="122"/>
      <c r="AF367" s="122"/>
      <c r="AG367" s="122"/>
      <c r="AH367" s="122"/>
    </row>
    <row r="368" ht="22.5" customHeight="1">
      <c r="A368" s="73"/>
      <c r="B368" s="73"/>
      <c r="C368" s="73"/>
      <c r="D368" s="73"/>
      <c r="E368" s="330"/>
      <c r="F368" s="118"/>
      <c r="G368" s="118"/>
      <c r="H368" s="118"/>
      <c r="I368" s="118"/>
      <c r="J368" s="119"/>
      <c r="K368" s="120"/>
      <c r="L368" s="120"/>
      <c r="M368" s="120"/>
      <c r="N368" s="120"/>
      <c r="O368" s="118"/>
      <c r="P368" s="120"/>
      <c r="Q368" s="121"/>
      <c r="R368" s="109" t="b">
        <v>0</v>
      </c>
      <c r="S368" s="143"/>
      <c r="T368" s="110"/>
      <c r="U368" s="118"/>
      <c r="V368" s="118"/>
      <c r="W368" s="118"/>
      <c r="X368" s="118"/>
      <c r="Y368" s="118"/>
      <c r="Z368" s="118"/>
      <c r="AA368" s="118"/>
      <c r="AB368" s="118"/>
      <c r="AC368" s="118"/>
      <c r="AD368" s="111"/>
      <c r="AE368" s="122"/>
      <c r="AF368" s="122"/>
      <c r="AG368" s="122"/>
      <c r="AH368" s="122"/>
    </row>
    <row r="369" ht="22.5" customHeight="1">
      <c r="A369" s="73"/>
      <c r="B369" s="73"/>
      <c r="C369" s="73"/>
      <c r="D369" s="73"/>
      <c r="E369" s="330"/>
      <c r="F369" s="118"/>
      <c r="G369" s="118"/>
      <c r="H369" s="118"/>
      <c r="I369" s="118"/>
      <c r="J369" s="119"/>
      <c r="K369" s="120"/>
      <c r="L369" s="120"/>
      <c r="M369" s="120"/>
      <c r="N369" s="120"/>
      <c r="O369" s="118"/>
      <c r="P369" s="120"/>
      <c r="Q369" s="121"/>
      <c r="R369" s="109" t="b">
        <v>0</v>
      </c>
      <c r="S369" s="143"/>
      <c r="T369" s="110"/>
      <c r="U369" s="118"/>
      <c r="V369" s="118"/>
      <c r="W369" s="118"/>
      <c r="X369" s="118"/>
      <c r="Y369" s="118"/>
      <c r="Z369" s="118"/>
      <c r="AA369" s="118"/>
      <c r="AB369" s="118"/>
      <c r="AC369" s="118"/>
      <c r="AD369" s="111"/>
      <c r="AE369" s="122"/>
      <c r="AF369" s="122"/>
      <c r="AG369" s="122"/>
      <c r="AH369" s="122"/>
    </row>
    <row r="370" ht="22.5" customHeight="1">
      <c r="A370" s="73"/>
      <c r="B370" s="73"/>
      <c r="C370" s="73"/>
      <c r="D370" s="73"/>
      <c r="E370" s="330"/>
      <c r="F370" s="118"/>
      <c r="G370" s="118"/>
      <c r="H370" s="118"/>
      <c r="I370" s="118"/>
      <c r="J370" s="119"/>
      <c r="K370" s="120"/>
      <c r="L370" s="120"/>
      <c r="M370" s="120"/>
      <c r="N370" s="120"/>
      <c r="O370" s="118"/>
      <c r="P370" s="120"/>
      <c r="Q370" s="121"/>
      <c r="R370" s="109" t="b">
        <v>0</v>
      </c>
      <c r="S370" s="143"/>
      <c r="T370" s="110"/>
      <c r="U370" s="118"/>
      <c r="V370" s="118"/>
      <c r="W370" s="118"/>
      <c r="X370" s="118"/>
      <c r="Y370" s="118"/>
      <c r="Z370" s="118"/>
      <c r="AA370" s="118"/>
      <c r="AB370" s="118"/>
      <c r="AC370" s="118"/>
      <c r="AD370" s="111"/>
      <c r="AE370" s="122"/>
      <c r="AF370" s="122"/>
      <c r="AG370" s="122"/>
      <c r="AH370" s="122"/>
    </row>
    <row r="371" ht="22.5" customHeight="1">
      <c r="A371" s="73"/>
      <c r="B371" s="73"/>
      <c r="C371" s="73"/>
      <c r="D371" s="73"/>
      <c r="E371" s="330"/>
      <c r="F371" s="118"/>
      <c r="G371" s="118"/>
      <c r="H371" s="118"/>
      <c r="I371" s="118"/>
      <c r="J371" s="119"/>
      <c r="K371" s="120"/>
      <c r="L371" s="120"/>
      <c r="M371" s="120"/>
      <c r="N371" s="120"/>
      <c r="O371" s="118"/>
      <c r="P371" s="120"/>
      <c r="Q371" s="121"/>
      <c r="R371" s="109" t="b">
        <v>0</v>
      </c>
      <c r="S371" s="143"/>
      <c r="T371" s="110"/>
      <c r="U371" s="118"/>
      <c r="V371" s="118"/>
      <c r="W371" s="118"/>
      <c r="X371" s="118"/>
      <c r="Y371" s="118"/>
      <c r="Z371" s="118"/>
      <c r="AA371" s="118"/>
      <c r="AB371" s="118"/>
      <c r="AC371" s="118"/>
      <c r="AD371" s="111"/>
      <c r="AE371" s="122"/>
      <c r="AF371" s="122"/>
      <c r="AG371" s="122"/>
      <c r="AH371" s="122"/>
    </row>
    <row r="372" ht="22.5" customHeight="1">
      <c r="A372" s="73"/>
      <c r="B372" s="73"/>
      <c r="C372" s="73"/>
      <c r="D372" s="73"/>
      <c r="E372" s="330"/>
      <c r="F372" s="118"/>
      <c r="G372" s="118"/>
      <c r="H372" s="118"/>
      <c r="I372" s="118"/>
      <c r="J372" s="119"/>
      <c r="K372" s="120"/>
      <c r="L372" s="120"/>
      <c r="M372" s="120"/>
      <c r="N372" s="120"/>
      <c r="O372" s="118"/>
      <c r="P372" s="120"/>
      <c r="Q372" s="121"/>
      <c r="R372" s="109" t="b">
        <v>0</v>
      </c>
      <c r="S372" s="143"/>
      <c r="T372" s="110"/>
      <c r="U372" s="118"/>
      <c r="V372" s="118"/>
      <c r="W372" s="118"/>
      <c r="X372" s="118"/>
      <c r="Y372" s="118"/>
      <c r="Z372" s="118"/>
      <c r="AA372" s="118"/>
      <c r="AB372" s="118"/>
      <c r="AC372" s="118"/>
      <c r="AD372" s="111"/>
      <c r="AE372" s="122"/>
      <c r="AF372" s="122"/>
      <c r="AG372" s="122"/>
      <c r="AH372" s="122"/>
    </row>
    <row r="373" ht="22.5" customHeight="1">
      <c r="A373" s="73"/>
      <c r="B373" s="73"/>
      <c r="C373" s="73"/>
      <c r="D373" s="73"/>
      <c r="E373" s="330"/>
      <c r="F373" s="118"/>
      <c r="G373" s="118"/>
      <c r="H373" s="118"/>
      <c r="I373" s="118"/>
      <c r="J373" s="119"/>
      <c r="K373" s="120"/>
      <c r="L373" s="120"/>
      <c r="M373" s="120"/>
      <c r="N373" s="120"/>
      <c r="O373" s="118"/>
      <c r="P373" s="120"/>
      <c r="Q373" s="121"/>
      <c r="R373" s="109" t="b">
        <v>0</v>
      </c>
      <c r="S373" s="143"/>
      <c r="T373" s="110"/>
      <c r="U373" s="118"/>
      <c r="V373" s="118"/>
      <c r="W373" s="118"/>
      <c r="X373" s="118"/>
      <c r="Y373" s="118"/>
      <c r="Z373" s="118"/>
      <c r="AA373" s="118"/>
      <c r="AB373" s="118"/>
      <c r="AC373" s="118"/>
      <c r="AD373" s="111"/>
      <c r="AE373" s="122"/>
      <c r="AF373" s="122"/>
      <c r="AG373" s="122"/>
      <c r="AH373" s="122"/>
    </row>
    <row r="374" ht="22.5" customHeight="1">
      <c r="A374" s="73"/>
      <c r="B374" s="73"/>
      <c r="C374" s="73"/>
      <c r="D374" s="73"/>
      <c r="E374" s="330"/>
      <c r="F374" s="118"/>
      <c r="G374" s="118"/>
      <c r="H374" s="118"/>
      <c r="I374" s="118"/>
      <c r="J374" s="119"/>
      <c r="K374" s="120"/>
      <c r="L374" s="120"/>
      <c r="M374" s="120"/>
      <c r="N374" s="120"/>
      <c r="O374" s="118"/>
      <c r="P374" s="120"/>
      <c r="Q374" s="121"/>
      <c r="R374" s="109" t="b">
        <v>0</v>
      </c>
      <c r="S374" s="143"/>
      <c r="T374" s="110"/>
      <c r="U374" s="118"/>
      <c r="V374" s="118"/>
      <c r="W374" s="118"/>
      <c r="X374" s="118"/>
      <c r="Y374" s="118"/>
      <c r="Z374" s="118"/>
      <c r="AA374" s="118"/>
      <c r="AB374" s="118"/>
      <c r="AC374" s="118"/>
      <c r="AD374" s="111"/>
      <c r="AE374" s="122"/>
      <c r="AF374" s="122"/>
      <c r="AG374" s="122"/>
      <c r="AH374" s="122"/>
    </row>
    <row r="375" ht="22.5" customHeight="1">
      <c r="A375" s="73"/>
      <c r="B375" s="73"/>
      <c r="C375" s="73"/>
      <c r="D375" s="73"/>
      <c r="E375" s="330"/>
      <c r="F375" s="118"/>
      <c r="G375" s="118"/>
      <c r="H375" s="118"/>
      <c r="I375" s="118"/>
      <c r="J375" s="119"/>
      <c r="K375" s="120"/>
      <c r="L375" s="120"/>
      <c r="M375" s="120"/>
      <c r="N375" s="120"/>
      <c r="O375" s="118"/>
      <c r="P375" s="120"/>
      <c r="Q375" s="121"/>
      <c r="R375" s="109" t="b">
        <v>0</v>
      </c>
      <c r="S375" s="143"/>
      <c r="T375" s="110"/>
      <c r="U375" s="118"/>
      <c r="V375" s="118"/>
      <c r="W375" s="118"/>
      <c r="X375" s="118"/>
      <c r="Y375" s="118"/>
      <c r="Z375" s="118"/>
      <c r="AA375" s="118"/>
      <c r="AB375" s="118"/>
      <c r="AC375" s="118"/>
      <c r="AD375" s="111"/>
      <c r="AE375" s="122"/>
      <c r="AF375" s="122"/>
      <c r="AG375" s="122"/>
      <c r="AH375" s="122"/>
    </row>
    <row r="376" ht="22.5" customHeight="1">
      <c r="A376" s="73"/>
      <c r="B376" s="73"/>
      <c r="C376" s="73"/>
      <c r="D376" s="73"/>
      <c r="E376" s="330"/>
      <c r="F376" s="118"/>
      <c r="G376" s="118"/>
      <c r="H376" s="118"/>
      <c r="I376" s="118"/>
      <c r="J376" s="119"/>
      <c r="K376" s="120"/>
      <c r="L376" s="120"/>
      <c r="M376" s="120"/>
      <c r="N376" s="120"/>
      <c r="O376" s="118"/>
      <c r="P376" s="120"/>
      <c r="Q376" s="121"/>
      <c r="R376" s="109" t="b">
        <v>0</v>
      </c>
      <c r="S376" s="143"/>
      <c r="T376" s="110"/>
      <c r="U376" s="118"/>
      <c r="V376" s="118"/>
      <c r="W376" s="118"/>
      <c r="X376" s="118"/>
      <c r="Y376" s="118"/>
      <c r="Z376" s="118"/>
      <c r="AA376" s="118"/>
      <c r="AB376" s="118"/>
      <c r="AC376" s="118"/>
      <c r="AD376" s="111"/>
      <c r="AE376" s="122"/>
      <c r="AF376" s="122"/>
      <c r="AG376" s="122"/>
      <c r="AH376" s="122"/>
    </row>
    <row r="377" ht="22.5" customHeight="1">
      <c r="A377" s="73"/>
      <c r="B377" s="73"/>
      <c r="C377" s="73"/>
      <c r="D377" s="73"/>
      <c r="E377" s="330"/>
      <c r="F377" s="118"/>
      <c r="G377" s="118"/>
      <c r="H377" s="118"/>
      <c r="I377" s="118"/>
      <c r="J377" s="119"/>
      <c r="K377" s="120"/>
      <c r="L377" s="120"/>
      <c r="M377" s="120"/>
      <c r="N377" s="120"/>
      <c r="O377" s="118"/>
      <c r="P377" s="120"/>
      <c r="Q377" s="121"/>
      <c r="R377" s="109" t="b">
        <v>0</v>
      </c>
      <c r="S377" s="143"/>
      <c r="T377" s="110"/>
      <c r="U377" s="118"/>
      <c r="V377" s="118"/>
      <c r="W377" s="118"/>
      <c r="X377" s="118"/>
      <c r="Y377" s="118"/>
      <c r="Z377" s="118"/>
      <c r="AA377" s="118"/>
      <c r="AB377" s="118"/>
      <c r="AC377" s="118"/>
      <c r="AD377" s="111"/>
      <c r="AE377" s="122"/>
      <c r="AF377" s="122"/>
      <c r="AG377" s="122"/>
      <c r="AH377" s="122"/>
    </row>
    <row r="378" ht="22.5" customHeight="1">
      <c r="A378" s="73"/>
      <c r="B378" s="73"/>
      <c r="C378" s="73"/>
      <c r="D378" s="73"/>
      <c r="E378" s="330"/>
      <c r="F378" s="118"/>
      <c r="G378" s="118"/>
      <c r="H378" s="118"/>
      <c r="I378" s="118"/>
      <c r="J378" s="119"/>
      <c r="K378" s="120"/>
      <c r="L378" s="120"/>
      <c r="M378" s="120"/>
      <c r="N378" s="120"/>
      <c r="O378" s="118"/>
      <c r="P378" s="120"/>
      <c r="Q378" s="121"/>
      <c r="R378" s="109" t="b">
        <v>0</v>
      </c>
      <c r="S378" s="143"/>
      <c r="T378" s="110"/>
      <c r="U378" s="118"/>
      <c r="V378" s="118"/>
      <c r="W378" s="118"/>
      <c r="X378" s="118"/>
      <c r="Y378" s="118"/>
      <c r="Z378" s="118"/>
      <c r="AA378" s="118"/>
      <c r="AB378" s="118"/>
      <c r="AC378" s="118"/>
      <c r="AD378" s="111"/>
      <c r="AE378" s="122"/>
      <c r="AF378" s="122"/>
      <c r="AG378" s="122"/>
      <c r="AH378" s="122"/>
    </row>
    <row r="379" ht="22.5" customHeight="1">
      <c r="A379" s="73"/>
      <c r="B379" s="73"/>
      <c r="C379" s="73"/>
      <c r="D379" s="73"/>
      <c r="E379" s="330"/>
      <c r="F379" s="118"/>
      <c r="G379" s="118"/>
      <c r="H379" s="118"/>
      <c r="I379" s="118"/>
      <c r="J379" s="119"/>
      <c r="K379" s="120"/>
      <c r="L379" s="120"/>
      <c r="M379" s="120"/>
      <c r="N379" s="120"/>
      <c r="O379" s="118"/>
      <c r="P379" s="120"/>
      <c r="Q379" s="121"/>
      <c r="R379" s="109" t="b">
        <v>0</v>
      </c>
      <c r="S379" s="143"/>
      <c r="T379" s="110"/>
      <c r="U379" s="118"/>
      <c r="V379" s="118"/>
      <c r="W379" s="118"/>
      <c r="X379" s="118"/>
      <c r="Y379" s="118"/>
      <c r="Z379" s="118"/>
      <c r="AA379" s="118"/>
      <c r="AB379" s="118"/>
      <c r="AC379" s="118"/>
      <c r="AD379" s="111"/>
      <c r="AE379" s="122"/>
      <c r="AF379" s="122"/>
      <c r="AG379" s="122"/>
      <c r="AH379" s="122"/>
    </row>
    <row r="380" ht="22.5" customHeight="1">
      <c r="A380" s="73"/>
      <c r="B380" s="73"/>
      <c r="C380" s="73"/>
      <c r="D380" s="73"/>
      <c r="E380" s="330"/>
      <c r="F380" s="118"/>
      <c r="G380" s="118"/>
      <c r="H380" s="118"/>
      <c r="I380" s="118"/>
      <c r="J380" s="119"/>
      <c r="K380" s="120"/>
      <c r="L380" s="120"/>
      <c r="M380" s="120"/>
      <c r="N380" s="120"/>
      <c r="O380" s="118"/>
      <c r="P380" s="120"/>
      <c r="Q380" s="121"/>
      <c r="R380" s="109" t="b">
        <v>0</v>
      </c>
      <c r="S380" s="143"/>
      <c r="T380" s="110"/>
      <c r="U380" s="118"/>
      <c r="V380" s="118"/>
      <c r="W380" s="118"/>
      <c r="X380" s="118"/>
      <c r="Y380" s="118"/>
      <c r="Z380" s="118"/>
      <c r="AA380" s="118"/>
      <c r="AB380" s="118"/>
      <c r="AC380" s="118"/>
      <c r="AD380" s="111"/>
      <c r="AE380" s="122"/>
      <c r="AF380" s="122"/>
      <c r="AG380" s="122"/>
      <c r="AH380" s="122"/>
    </row>
    <row r="381" ht="22.5" customHeight="1">
      <c r="A381" s="73"/>
      <c r="B381" s="73"/>
      <c r="C381" s="73"/>
      <c r="D381" s="73"/>
      <c r="E381" s="330"/>
      <c r="F381" s="118"/>
      <c r="G381" s="118"/>
      <c r="H381" s="118"/>
      <c r="I381" s="118"/>
      <c r="J381" s="119"/>
      <c r="K381" s="120"/>
      <c r="L381" s="120"/>
      <c r="M381" s="120"/>
      <c r="N381" s="120"/>
      <c r="O381" s="118"/>
      <c r="P381" s="120"/>
      <c r="Q381" s="121"/>
      <c r="R381" s="109" t="b">
        <v>0</v>
      </c>
      <c r="S381" s="143"/>
      <c r="T381" s="110"/>
      <c r="U381" s="118"/>
      <c r="V381" s="118"/>
      <c r="W381" s="118"/>
      <c r="X381" s="118"/>
      <c r="Y381" s="118"/>
      <c r="Z381" s="118"/>
      <c r="AA381" s="118"/>
      <c r="AB381" s="118"/>
      <c r="AC381" s="118"/>
      <c r="AD381" s="111"/>
      <c r="AE381" s="122"/>
      <c r="AF381" s="122"/>
      <c r="AG381" s="122"/>
      <c r="AH381" s="122"/>
    </row>
    <row r="382" ht="22.5" customHeight="1">
      <c r="A382" s="73"/>
      <c r="B382" s="73"/>
      <c r="C382" s="73"/>
      <c r="D382" s="73"/>
      <c r="E382" s="330"/>
      <c r="F382" s="118"/>
      <c r="G382" s="118"/>
      <c r="H382" s="118"/>
      <c r="I382" s="118"/>
      <c r="J382" s="119"/>
      <c r="K382" s="120"/>
      <c r="L382" s="120"/>
      <c r="M382" s="120"/>
      <c r="N382" s="120"/>
      <c r="O382" s="118"/>
      <c r="P382" s="120"/>
      <c r="Q382" s="121"/>
      <c r="R382" s="109" t="b">
        <v>0</v>
      </c>
      <c r="S382" s="143"/>
      <c r="T382" s="110"/>
      <c r="U382" s="118"/>
      <c r="V382" s="118"/>
      <c r="W382" s="118"/>
      <c r="X382" s="118"/>
      <c r="Y382" s="118"/>
      <c r="Z382" s="118"/>
      <c r="AA382" s="118"/>
      <c r="AB382" s="118"/>
      <c r="AC382" s="118"/>
      <c r="AD382" s="111"/>
      <c r="AE382" s="122"/>
      <c r="AF382" s="122"/>
      <c r="AG382" s="122"/>
      <c r="AH382" s="122"/>
    </row>
    <row r="383" ht="22.5" customHeight="1">
      <c r="A383" s="73"/>
      <c r="B383" s="73"/>
      <c r="C383" s="73"/>
      <c r="D383" s="73"/>
      <c r="E383" s="330"/>
      <c r="F383" s="118"/>
      <c r="G383" s="118"/>
      <c r="H383" s="118"/>
      <c r="I383" s="118"/>
      <c r="J383" s="119"/>
      <c r="K383" s="120"/>
      <c r="L383" s="120"/>
      <c r="M383" s="120"/>
      <c r="N383" s="120"/>
      <c r="O383" s="118"/>
      <c r="P383" s="120"/>
      <c r="Q383" s="121"/>
      <c r="R383" s="109" t="b">
        <v>0</v>
      </c>
      <c r="S383" s="143"/>
      <c r="T383" s="110"/>
      <c r="U383" s="118"/>
      <c r="V383" s="118"/>
      <c r="W383" s="118"/>
      <c r="X383" s="118"/>
      <c r="Y383" s="118"/>
      <c r="Z383" s="118"/>
      <c r="AA383" s="118"/>
      <c r="AB383" s="118"/>
      <c r="AC383" s="118"/>
      <c r="AD383" s="111"/>
      <c r="AE383" s="122"/>
      <c r="AF383" s="122"/>
      <c r="AG383" s="122"/>
      <c r="AH383" s="122"/>
    </row>
    <row r="384" ht="22.5" customHeight="1">
      <c r="A384" s="73"/>
      <c r="B384" s="73"/>
      <c r="C384" s="73"/>
      <c r="D384" s="73"/>
      <c r="E384" s="330"/>
      <c r="F384" s="118"/>
      <c r="G384" s="118"/>
      <c r="H384" s="118"/>
      <c r="I384" s="118"/>
      <c r="J384" s="119"/>
      <c r="K384" s="120"/>
      <c r="L384" s="120"/>
      <c r="M384" s="120"/>
      <c r="N384" s="120"/>
      <c r="O384" s="118"/>
      <c r="P384" s="120"/>
      <c r="Q384" s="121"/>
      <c r="R384" s="109" t="b">
        <v>0</v>
      </c>
      <c r="S384" s="143"/>
      <c r="T384" s="110"/>
      <c r="U384" s="118"/>
      <c r="V384" s="118"/>
      <c r="W384" s="118"/>
      <c r="X384" s="118"/>
      <c r="Y384" s="118"/>
      <c r="Z384" s="118"/>
      <c r="AA384" s="118"/>
      <c r="AB384" s="118"/>
      <c r="AC384" s="118"/>
      <c r="AD384" s="111"/>
      <c r="AE384" s="122"/>
      <c r="AF384" s="122"/>
      <c r="AG384" s="122"/>
      <c r="AH384" s="122"/>
    </row>
    <row r="385" ht="22.5" customHeight="1">
      <c r="A385" s="73"/>
      <c r="B385" s="73"/>
      <c r="C385" s="73"/>
      <c r="D385" s="73"/>
      <c r="E385" s="330"/>
      <c r="F385" s="118"/>
      <c r="G385" s="118"/>
      <c r="H385" s="118"/>
      <c r="I385" s="118"/>
      <c r="J385" s="119"/>
      <c r="K385" s="120"/>
      <c r="L385" s="120"/>
      <c r="M385" s="120"/>
      <c r="N385" s="120"/>
      <c r="O385" s="118"/>
      <c r="P385" s="120"/>
      <c r="Q385" s="121"/>
      <c r="R385" s="109" t="b">
        <v>0</v>
      </c>
      <c r="S385" s="143"/>
      <c r="T385" s="110"/>
      <c r="U385" s="118"/>
      <c r="V385" s="118"/>
      <c r="W385" s="118"/>
      <c r="X385" s="118"/>
      <c r="Y385" s="118"/>
      <c r="Z385" s="118"/>
      <c r="AA385" s="118"/>
      <c r="AB385" s="118"/>
      <c r="AC385" s="118"/>
      <c r="AD385" s="111"/>
      <c r="AE385" s="122"/>
      <c r="AF385" s="122"/>
      <c r="AG385" s="122"/>
      <c r="AH385" s="122"/>
    </row>
    <row r="386" ht="22.5" customHeight="1">
      <c r="A386" s="73"/>
      <c r="B386" s="73"/>
      <c r="C386" s="73"/>
      <c r="D386" s="73"/>
      <c r="E386" s="330"/>
      <c r="F386" s="118"/>
      <c r="G386" s="118"/>
      <c r="H386" s="118"/>
      <c r="I386" s="118"/>
      <c r="J386" s="119"/>
      <c r="K386" s="120"/>
      <c r="L386" s="120"/>
      <c r="M386" s="120"/>
      <c r="N386" s="120"/>
      <c r="O386" s="118"/>
      <c r="P386" s="120"/>
      <c r="Q386" s="121"/>
      <c r="R386" s="109" t="b">
        <v>0</v>
      </c>
      <c r="S386" s="143"/>
      <c r="T386" s="110"/>
      <c r="U386" s="118"/>
      <c r="V386" s="118"/>
      <c r="W386" s="118"/>
      <c r="X386" s="118"/>
      <c r="Y386" s="118"/>
      <c r="Z386" s="118"/>
      <c r="AA386" s="118"/>
      <c r="AB386" s="118"/>
      <c r="AC386" s="118"/>
      <c r="AD386" s="111"/>
      <c r="AE386" s="122"/>
      <c r="AF386" s="122"/>
      <c r="AG386" s="122"/>
      <c r="AH386" s="122"/>
    </row>
    <row r="387" ht="22.5" customHeight="1">
      <c r="A387" s="73"/>
      <c r="B387" s="73"/>
      <c r="C387" s="73"/>
      <c r="D387" s="73"/>
      <c r="E387" s="330"/>
      <c r="F387" s="118"/>
      <c r="G387" s="118"/>
      <c r="H387" s="118"/>
      <c r="I387" s="118"/>
      <c r="J387" s="119"/>
      <c r="K387" s="120"/>
      <c r="L387" s="120"/>
      <c r="M387" s="120"/>
      <c r="N387" s="120"/>
      <c r="O387" s="118"/>
      <c r="P387" s="120"/>
      <c r="Q387" s="121"/>
      <c r="R387" s="109" t="b">
        <v>0</v>
      </c>
      <c r="S387" s="143"/>
      <c r="T387" s="110"/>
      <c r="U387" s="118"/>
      <c r="V387" s="118"/>
      <c r="W387" s="118"/>
      <c r="X387" s="118"/>
      <c r="Y387" s="118"/>
      <c r="Z387" s="118"/>
      <c r="AA387" s="118"/>
      <c r="AB387" s="118"/>
      <c r="AC387" s="118"/>
      <c r="AD387" s="111"/>
      <c r="AE387" s="122"/>
      <c r="AF387" s="122"/>
      <c r="AG387" s="122"/>
      <c r="AH387" s="122"/>
    </row>
    <row r="388" ht="22.5" customHeight="1">
      <c r="A388" s="73"/>
      <c r="B388" s="73"/>
      <c r="C388" s="73"/>
      <c r="D388" s="73"/>
      <c r="E388" s="330"/>
      <c r="F388" s="118"/>
      <c r="G388" s="118"/>
      <c r="H388" s="118"/>
      <c r="I388" s="118"/>
      <c r="J388" s="119"/>
      <c r="K388" s="120"/>
      <c r="L388" s="120"/>
      <c r="M388" s="120"/>
      <c r="N388" s="120"/>
      <c r="O388" s="118"/>
      <c r="P388" s="120"/>
      <c r="Q388" s="121"/>
      <c r="R388" s="109" t="b">
        <v>0</v>
      </c>
      <c r="S388" s="143"/>
      <c r="T388" s="110"/>
      <c r="U388" s="118"/>
      <c r="V388" s="118"/>
      <c r="W388" s="118"/>
      <c r="X388" s="118"/>
      <c r="Y388" s="118"/>
      <c r="Z388" s="118"/>
      <c r="AA388" s="118"/>
      <c r="AB388" s="118"/>
      <c r="AC388" s="118"/>
      <c r="AD388" s="111"/>
      <c r="AE388" s="122"/>
      <c r="AF388" s="122"/>
      <c r="AG388" s="122"/>
      <c r="AH388" s="122"/>
    </row>
    <row r="389" ht="22.5" customHeight="1">
      <c r="A389" s="73"/>
      <c r="B389" s="73"/>
      <c r="C389" s="73"/>
      <c r="D389" s="73"/>
      <c r="E389" s="330"/>
      <c r="F389" s="118"/>
      <c r="G389" s="118"/>
      <c r="H389" s="118"/>
      <c r="I389" s="118"/>
      <c r="J389" s="119"/>
      <c r="K389" s="120"/>
      <c r="L389" s="120"/>
      <c r="M389" s="120"/>
      <c r="N389" s="120"/>
      <c r="O389" s="118"/>
      <c r="P389" s="120"/>
      <c r="Q389" s="121"/>
      <c r="R389" s="109" t="b">
        <v>0</v>
      </c>
      <c r="S389" s="143"/>
      <c r="T389" s="110"/>
      <c r="U389" s="118"/>
      <c r="V389" s="118"/>
      <c r="W389" s="118"/>
      <c r="X389" s="118"/>
      <c r="Y389" s="118"/>
      <c r="Z389" s="118"/>
      <c r="AA389" s="118"/>
      <c r="AB389" s="118"/>
      <c r="AC389" s="118"/>
      <c r="AD389" s="111"/>
      <c r="AE389" s="122"/>
      <c r="AF389" s="122"/>
      <c r="AG389" s="122"/>
      <c r="AH389" s="122"/>
    </row>
    <row r="390" ht="22.5" customHeight="1">
      <c r="A390" s="73"/>
      <c r="B390" s="73"/>
      <c r="C390" s="73"/>
      <c r="D390" s="73"/>
      <c r="E390" s="330"/>
      <c r="F390" s="118"/>
      <c r="G390" s="118"/>
      <c r="H390" s="118"/>
      <c r="I390" s="118"/>
      <c r="J390" s="119"/>
      <c r="K390" s="120"/>
      <c r="L390" s="120"/>
      <c r="M390" s="120"/>
      <c r="N390" s="120"/>
      <c r="O390" s="118"/>
      <c r="P390" s="120"/>
      <c r="Q390" s="121"/>
      <c r="R390" s="109" t="b">
        <v>0</v>
      </c>
      <c r="S390" s="143"/>
      <c r="T390" s="110"/>
      <c r="U390" s="118"/>
      <c r="V390" s="118"/>
      <c r="W390" s="118"/>
      <c r="X390" s="118"/>
      <c r="Y390" s="118"/>
      <c r="Z390" s="118"/>
      <c r="AA390" s="118"/>
      <c r="AB390" s="118"/>
      <c r="AC390" s="118"/>
      <c r="AD390" s="111"/>
      <c r="AE390" s="122"/>
      <c r="AF390" s="122"/>
      <c r="AG390" s="122"/>
      <c r="AH390" s="122"/>
    </row>
    <row r="391" ht="22.5" customHeight="1">
      <c r="A391" s="73"/>
      <c r="B391" s="73"/>
      <c r="C391" s="73"/>
      <c r="D391" s="73"/>
      <c r="E391" s="330"/>
      <c r="F391" s="118"/>
      <c r="G391" s="118"/>
      <c r="H391" s="118"/>
      <c r="I391" s="118"/>
      <c r="J391" s="119"/>
      <c r="K391" s="120"/>
      <c r="L391" s="120"/>
      <c r="M391" s="120"/>
      <c r="N391" s="120"/>
      <c r="O391" s="118"/>
      <c r="P391" s="120"/>
      <c r="Q391" s="121"/>
      <c r="R391" s="109" t="b">
        <v>0</v>
      </c>
      <c r="S391" s="143"/>
      <c r="T391" s="110"/>
      <c r="U391" s="118"/>
      <c r="V391" s="118"/>
      <c r="W391" s="118"/>
      <c r="X391" s="118"/>
      <c r="Y391" s="118"/>
      <c r="Z391" s="118"/>
      <c r="AA391" s="118"/>
      <c r="AB391" s="118"/>
      <c r="AC391" s="118"/>
      <c r="AD391" s="111"/>
      <c r="AE391" s="122"/>
      <c r="AF391" s="122"/>
      <c r="AG391" s="122"/>
      <c r="AH391" s="122"/>
    </row>
    <row r="392" ht="22.5" customHeight="1">
      <c r="A392" s="73"/>
      <c r="B392" s="73"/>
      <c r="C392" s="73"/>
      <c r="D392" s="73"/>
      <c r="E392" s="330"/>
      <c r="F392" s="118"/>
      <c r="G392" s="118"/>
      <c r="H392" s="118"/>
      <c r="I392" s="118"/>
      <c r="J392" s="119"/>
      <c r="K392" s="120"/>
      <c r="L392" s="120"/>
      <c r="M392" s="120"/>
      <c r="N392" s="120"/>
      <c r="O392" s="118"/>
      <c r="P392" s="120"/>
      <c r="Q392" s="121"/>
      <c r="R392" s="109" t="b">
        <v>0</v>
      </c>
      <c r="S392" s="143"/>
      <c r="T392" s="110"/>
      <c r="U392" s="118"/>
      <c r="V392" s="118"/>
      <c r="W392" s="118"/>
      <c r="X392" s="118"/>
      <c r="Y392" s="118"/>
      <c r="Z392" s="118"/>
      <c r="AA392" s="118"/>
      <c r="AB392" s="118"/>
      <c r="AC392" s="118"/>
      <c r="AD392" s="111"/>
      <c r="AE392" s="122"/>
      <c r="AF392" s="122"/>
      <c r="AG392" s="122"/>
      <c r="AH392" s="122"/>
    </row>
    <row r="393" ht="22.5" customHeight="1">
      <c r="A393" s="73"/>
      <c r="B393" s="73"/>
      <c r="C393" s="73"/>
      <c r="D393" s="73"/>
      <c r="E393" s="330"/>
      <c r="F393" s="118"/>
      <c r="G393" s="118"/>
      <c r="H393" s="118"/>
      <c r="I393" s="118"/>
      <c r="J393" s="119"/>
      <c r="K393" s="120"/>
      <c r="L393" s="120"/>
      <c r="M393" s="120"/>
      <c r="N393" s="120"/>
      <c r="O393" s="118"/>
      <c r="P393" s="120"/>
      <c r="Q393" s="121"/>
      <c r="R393" s="109" t="b">
        <v>0</v>
      </c>
      <c r="S393" s="143"/>
      <c r="T393" s="110"/>
      <c r="U393" s="118"/>
      <c r="V393" s="118"/>
      <c r="W393" s="118"/>
      <c r="X393" s="118"/>
      <c r="Y393" s="118"/>
      <c r="Z393" s="118"/>
      <c r="AA393" s="118"/>
      <c r="AB393" s="118"/>
      <c r="AC393" s="118"/>
      <c r="AD393" s="111"/>
      <c r="AE393" s="122"/>
      <c r="AF393" s="122"/>
      <c r="AG393" s="122"/>
      <c r="AH393" s="122"/>
    </row>
    <row r="394" ht="22.5" customHeight="1">
      <c r="A394" s="73"/>
      <c r="B394" s="73"/>
      <c r="C394" s="73"/>
      <c r="D394" s="73"/>
      <c r="E394" s="330"/>
      <c r="F394" s="118"/>
      <c r="G394" s="118"/>
      <c r="H394" s="118"/>
      <c r="I394" s="118"/>
      <c r="J394" s="119"/>
      <c r="K394" s="120"/>
      <c r="L394" s="120"/>
      <c r="M394" s="120"/>
      <c r="N394" s="120"/>
      <c r="O394" s="118"/>
      <c r="P394" s="120"/>
      <c r="Q394" s="121"/>
      <c r="R394" s="109" t="b">
        <v>0</v>
      </c>
      <c r="S394" s="143"/>
      <c r="T394" s="110"/>
      <c r="U394" s="118"/>
      <c r="V394" s="118"/>
      <c r="W394" s="118"/>
      <c r="X394" s="118"/>
      <c r="Y394" s="118"/>
      <c r="Z394" s="118"/>
      <c r="AA394" s="118"/>
      <c r="AB394" s="118"/>
      <c r="AC394" s="118"/>
      <c r="AD394" s="111"/>
      <c r="AE394" s="122"/>
      <c r="AF394" s="122"/>
      <c r="AG394" s="122"/>
      <c r="AH394" s="122"/>
    </row>
    <row r="395" ht="22.5" customHeight="1">
      <c r="A395" s="73"/>
      <c r="B395" s="73"/>
      <c r="C395" s="73"/>
      <c r="D395" s="73"/>
      <c r="E395" s="330"/>
      <c r="F395" s="118"/>
      <c r="G395" s="118"/>
      <c r="H395" s="118"/>
      <c r="I395" s="118"/>
      <c r="J395" s="119"/>
      <c r="K395" s="120"/>
      <c r="L395" s="120"/>
      <c r="M395" s="120"/>
      <c r="N395" s="120"/>
      <c r="O395" s="118"/>
      <c r="P395" s="120"/>
      <c r="Q395" s="121"/>
      <c r="R395" s="109" t="b">
        <v>0</v>
      </c>
      <c r="S395" s="143"/>
      <c r="T395" s="110"/>
      <c r="U395" s="118"/>
      <c r="V395" s="118"/>
      <c r="W395" s="118"/>
      <c r="X395" s="118"/>
      <c r="Y395" s="118"/>
      <c r="Z395" s="118"/>
      <c r="AA395" s="118"/>
      <c r="AB395" s="118"/>
      <c r="AC395" s="118"/>
      <c r="AD395" s="111"/>
      <c r="AE395" s="122"/>
      <c r="AF395" s="122"/>
      <c r="AG395" s="122"/>
      <c r="AH395" s="122"/>
    </row>
    <row r="396" ht="22.5" customHeight="1">
      <c r="A396" s="73"/>
      <c r="B396" s="73"/>
      <c r="C396" s="73"/>
      <c r="D396" s="73"/>
      <c r="E396" s="330"/>
      <c r="F396" s="118"/>
      <c r="G396" s="118"/>
      <c r="H396" s="118"/>
      <c r="I396" s="118"/>
      <c r="J396" s="119"/>
      <c r="K396" s="120"/>
      <c r="L396" s="120"/>
      <c r="M396" s="120"/>
      <c r="N396" s="120"/>
      <c r="O396" s="118"/>
      <c r="P396" s="120"/>
      <c r="Q396" s="121"/>
      <c r="R396" s="109" t="b">
        <v>0</v>
      </c>
      <c r="S396" s="143"/>
      <c r="T396" s="110"/>
      <c r="U396" s="118"/>
      <c r="V396" s="118"/>
      <c r="W396" s="118"/>
      <c r="X396" s="118"/>
      <c r="Y396" s="118"/>
      <c r="Z396" s="118"/>
      <c r="AA396" s="118"/>
      <c r="AB396" s="118"/>
      <c r="AC396" s="118"/>
      <c r="AD396" s="111"/>
      <c r="AE396" s="122"/>
      <c r="AF396" s="122"/>
      <c r="AG396" s="122"/>
      <c r="AH396" s="122"/>
    </row>
    <row r="397" ht="22.5" customHeight="1">
      <c r="A397" s="73"/>
      <c r="B397" s="73"/>
      <c r="C397" s="73"/>
      <c r="D397" s="73"/>
      <c r="E397" s="330"/>
      <c r="F397" s="118"/>
      <c r="G397" s="118"/>
      <c r="H397" s="118"/>
      <c r="I397" s="118"/>
      <c r="J397" s="119"/>
      <c r="K397" s="120"/>
      <c r="L397" s="120"/>
      <c r="M397" s="120"/>
      <c r="N397" s="120"/>
      <c r="O397" s="118"/>
      <c r="P397" s="120"/>
      <c r="Q397" s="121"/>
      <c r="R397" s="109" t="b">
        <v>0</v>
      </c>
      <c r="S397" s="143"/>
      <c r="T397" s="110"/>
      <c r="U397" s="118"/>
      <c r="V397" s="118"/>
      <c r="W397" s="118"/>
      <c r="X397" s="118"/>
      <c r="Y397" s="118"/>
      <c r="Z397" s="118"/>
      <c r="AA397" s="118"/>
      <c r="AB397" s="118"/>
      <c r="AC397" s="118"/>
      <c r="AD397" s="111"/>
      <c r="AE397" s="122"/>
      <c r="AF397" s="122"/>
      <c r="AG397" s="122"/>
      <c r="AH397" s="122"/>
    </row>
    <row r="398" ht="22.5" customHeight="1">
      <c r="A398" s="73"/>
      <c r="B398" s="73"/>
      <c r="C398" s="73"/>
      <c r="D398" s="73"/>
      <c r="E398" s="330"/>
      <c r="F398" s="118"/>
      <c r="G398" s="118"/>
      <c r="H398" s="118"/>
      <c r="I398" s="118"/>
      <c r="J398" s="119"/>
      <c r="K398" s="120"/>
      <c r="L398" s="120"/>
      <c r="M398" s="120"/>
      <c r="N398" s="120"/>
      <c r="O398" s="118"/>
      <c r="P398" s="120"/>
      <c r="Q398" s="121"/>
      <c r="R398" s="109" t="b">
        <v>0</v>
      </c>
      <c r="S398" s="143"/>
      <c r="T398" s="110"/>
      <c r="U398" s="118"/>
      <c r="V398" s="118"/>
      <c r="W398" s="118"/>
      <c r="X398" s="118"/>
      <c r="Y398" s="118"/>
      <c r="Z398" s="118"/>
      <c r="AA398" s="118"/>
      <c r="AB398" s="118"/>
      <c r="AC398" s="118"/>
      <c r="AD398" s="111"/>
      <c r="AE398" s="122"/>
      <c r="AF398" s="122"/>
      <c r="AG398" s="122"/>
      <c r="AH398" s="122"/>
    </row>
    <row r="399" ht="22.5" customHeight="1">
      <c r="A399" s="73"/>
      <c r="B399" s="73"/>
      <c r="C399" s="73"/>
      <c r="D399" s="73"/>
      <c r="E399" s="330"/>
      <c r="F399" s="118"/>
      <c r="G399" s="118"/>
      <c r="H399" s="118"/>
      <c r="I399" s="118"/>
      <c r="J399" s="119"/>
      <c r="K399" s="120"/>
      <c r="L399" s="120"/>
      <c r="M399" s="120"/>
      <c r="N399" s="120"/>
      <c r="O399" s="118"/>
      <c r="P399" s="120"/>
      <c r="Q399" s="121"/>
      <c r="R399" s="109" t="b">
        <v>0</v>
      </c>
      <c r="S399" s="143"/>
      <c r="T399" s="110"/>
      <c r="U399" s="118"/>
      <c r="V399" s="118"/>
      <c r="W399" s="118"/>
      <c r="X399" s="118"/>
      <c r="Y399" s="118"/>
      <c r="Z399" s="118"/>
      <c r="AA399" s="118"/>
      <c r="AB399" s="118"/>
      <c r="AC399" s="118"/>
      <c r="AD399" s="111"/>
      <c r="AE399" s="122"/>
      <c r="AF399" s="122"/>
      <c r="AG399" s="122"/>
      <c r="AH399" s="122"/>
    </row>
    <row r="400" ht="22.5" customHeight="1">
      <c r="A400" s="73"/>
      <c r="B400" s="73"/>
      <c r="C400" s="73"/>
      <c r="D400" s="73"/>
      <c r="E400" s="330"/>
      <c r="F400" s="118"/>
      <c r="G400" s="118"/>
      <c r="H400" s="118"/>
      <c r="I400" s="118"/>
      <c r="J400" s="119"/>
      <c r="K400" s="120"/>
      <c r="L400" s="120"/>
      <c r="M400" s="120"/>
      <c r="N400" s="120"/>
      <c r="O400" s="118"/>
      <c r="P400" s="120"/>
      <c r="Q400" s="121"/>
      <c r="R400" s="109" t="b">
        <v>0</v>
      </c>
      <c r="S400" s="143"/>
      <c r="T400" s="110"/>
      <c r="U400" s="118"/>
      <c r="V400" s="118"/>
      <c r="W400" s="118"/>
      <c r="X400" s="118"/>
      <c r="Y400" s="118"/>
      <c r="Z400" s="118"/>
      <c r="AA400" s="118"/>
      <c r="AB400" s="118"/>
      <c r="AC400" s="118"/>
      <c r="AD400" s="111"/>
      <c r="AE400" s="122"/>
      <c r="AF400" s="122"/>
      <c r="AG400" s="122"/>
      <c r="AH400" s="122"/>
    </row>
    <row r="401" ht="22.5" customHeight="1">
      <c r="A401" s="73"/>
      <c r="B401" s="73"/>
      <c r="C401" s="73"/>
      <c r="D401" s="73"/>
      <c r="E401" s="330"/>
      <c r="F401" s="118"/>
      <c r="G401" s="118"/>
      <c r="H401" s="118"/>
      <c r="I401" s="118"/>
      <c r="J401" s="119"/>
      <c r="K401" s="120"/>
      <c r="L401" s="120"/>
      <c r="M401" s="120"/>
      <c r="N401" s="120"/>
      <c r="O401" s="118"/>
      <c r="P401" s="120"/>
      <c r="Q401" s="121"/>
      <c r="R401" s="109" t="b">
        <v>0</v>
      </c>
      <c r="S401" s="143"/>
      <c r="T401" s="110"/>
      <c r="U401" s="118"/>
      <c r="V401" s="118"/>
      <c r="W401" s="118"/>
      <c r="X401" s="118"/>
      <c r="Y401" s="118"/>
      <c r="Z401" s="118"/>
      <c r="AA401" s="118"/>
      <c r="AB401" s="118"/>
      <c r="AC401" s="118"/>
      <c r="AD401" s="111"/>
      <c r="AE401" s="122"/>
      <c r="AF401" s="122"/>
      <c r="AG401" s="122"/>
      <c r="AH401" s="122"/>
    </row>
    <row r="402" ht="22.5" customHeight="1">
      <c r="A402" s="73"/>
      <c r="B402" s="73"/>
      <c r="C402" s="73"/>
      <c r="D402" s="73"/>
      <c r="E402" s="330"/>
      <c r="F402" s="118"/>
      <c r="G402" s="118"/>
      <c r="H402" s="118"/>
      <c r="I402" s="118"/>
      <c r="J402" s="119"/>
      <c r="K402" s="120"/>
      <c r="L402" s="120"/>
      <c r="M402" s="120"/>
      <c r="N402" s="120"/>
      <c r="O402" s="118"/>
      <c r="P402" s="120"/>
      <c r="Q402" s="121"/>
      <c r="R402" s="109" t="b">
        <v>0</v>
      </c>
      <c r="S402" s="143"/>
      <c r="T402" s="110"/>
      <c r="U402" s="118"/>
      <c r="V402" s="118"/>
      <c r="W402" s="118"/>
      <c r="X402" s="118"/>
      <c r="Y402" s="118"/>
      <c r="Z402" s="118"/>
      <c r="AA402" s="118"/>
      <c r="AB402" s="118"/>
      <c r="AC402" s="118"/>
      <c r="AD402" s="111"/>
      <c r="AE402" s="122"/>
      <c r="AF402" s="122"/>
      <c r="AG402" s="122"/>
      <c r="AH402" s="122"/>
    </row>
    <row r="403" ht="22.5" customHeight="1">
      <c r="A403" s="73"/>
      <c r="B403" s="73"/>
      <c r="C403" s="73"/>
      <c r="D403" s="73"/>
      <c r="E403" s="330"/>
      <c r="F403" s="118"/>
      <c r="G403" s="118"/>
      <c r="H403" s="118"/>
      <c r="I403" s="118"/>
      <c r="J403" s="119"/>
      <c r="K403" s="120"/>
      <c r="L403" s="120"/>
      <c r="M403" s="120"/>
      <c r="N403" s="120"/>
      <c r="O403" s="118"/>
      <c r="P403" s="120"/>
      <c r="Q403" s="121"/>
      <c r="R403" s="109" t="b">
        <v>0</v>
      </c>
      <c r="S403" s="143"/>
      <c r="T403" s="110"/>
      <c r="U403" s="118"/>
      <c r="V403" s="118"/>
      <c r="W403" s="118"/>
      <c r="X403" s="118"/>
      <c r="Y403" s="118"/>
      <c r="Z403" s="118"/>
      <c r="AA403" s="118"/>
      <c r="AB403" s="118"/>
      <c r="AC403" s="118"/>
      <c r="AD403" s="111"/>
      <c r="AE403" s="122"/>
      <c r="AF403" s="122"/>
      <c r="AG403" s="122"/>
      <c r="AH403" s="122"/>
    </row>
    <row r="404" ht="22.5" customHeight="1">
      <c r="A404" s="73"/>
      <c r="B404" s="73"/>
      <c r="C404" s="73"/>
      <c r="D404" s="73"/>
      <c r="E404" s="330"/>
      <c r="F404" s="118"/>
      <c r="G404" s="118"/>
      <c r="H404" s="118"/>
      <c r="I404" s="118"/>
      <c r="J404" s="119"/>
      <c r="K404" s="120"/>
      <c r="L404" s="120"/>
      <c r="M404" s="120"/>
      <c r="N404" s="120"/>
      <c r="O404" s="118"/>
      <c r="P404" s="120"/>
      <c r="Q404" s="121"/>
      <c r="R404" s="109" t="b">
        <v>0</v>
      </c>
      <c r="S404" s="143"/>
      <c r="T404" s="110"/>
      <c r="U404" s="118"/>
      <c r="V404" s="118"/>
      <c r="W404" s="118"/>
      <c r="X404" s="118"/>
      <c r="Y404" s="118"/>
      <c r="Z404" s="118"/>
      <c r="AA404" s="118"/>
      <c r="AB404" s="118"/>
      <c r="AC404" s="118"/>
      <c r="AD404" s="111"/>
      <c r="AE404" s="122"/>
      <c r="AF404" s="122"/>
      <c r="AG404" s="122"/>
      <c r="AH404" s="122"/>
    </row>
    <row r="405" ht="22.5" customHeight="1">
      <c r="A405" s="73"/>
      <c r="B405" s="73"/>
      <c r="C405" s="73"/>
      <c r="D405" s="73"/>
      <c r="E405" s="330"/>
      <c r="F405" s="118"/>
      <c r="G405" s="118"/>
      <c r="H405" s="118"/>
      <c r="I405" s="118"/>
      <c r="J405" s="119"/>
      <c r="K405" s="120"/>
      <c r="L405" s="120"/>
      <c r="M405" s="120"/>
      <c r="N405" s="120"/>
      <c r="O405" s="118"/>
      <c r="P405" s="120"/>
      <c r="Q405" s="121"/>
      <c r="R405" s="109" t="b">
        <v>0</v>
      </c>
      <c r="S405" s="143"/>
      <c r="T405" s="110"/>
      <c r="U405" s="118"/>
      <c r="V405" s="118"/>
      <c r="W405" s="118"/>
      <c r="X405" s="118"/>
      <c r="Y405" s="118"/>
      <c r="Z405" s="118"/>
      <c r="AA405" s="118"/>
      <c r="AB405" s="118"/>
      <c r="AC405" s="118"/>
      <c r="AD405" s="111"/>
      <c r="AE405" s="122"/>
      <c r="AF405" s="122"/>
      <c r="AG405" s="122"/>
      <c r="AH405" s="122"/>
    </row>
    <row r="406" ht="22.5" customHeight="1">
      <c r="A406" s="73"/>
      <c r="B406" s="73"/>
      <c r="C406" s="73"/>
      <c r="D406" s="73"/>
      <c r="E406" s="330"/>
      <c r="F406" s="118"/>
      <c r="G406" s="118"/>
      <c r="H406" s="118"/>
      <c r="I406" s="118"/>
      <c r="J406" s="119"/>
      <c r="K406" s="120"/>
      <c r="L406" s="120"/>
      <c r="M406" s="120"/>
      <c r="N406" s="120"/>
      <c r="O406" s="118"/>
      <c r="P406" s="120"/>
      <c r="Q406" s="121"/>
      <c r="R406" s="109" t="b">
        <v>0</v>
      </c>
      <c r="S406" s="143"/>
      <c r="T406" s="110"/>
      <c r="U406" s="118"/>
      <c r="V406" s="118"/>
      <c r="W406" s="118"/>
      <c r="X406" s="118"/>
      <c r="Y406" s="118"/>
      <c r="Z406" s="118"/>
      <c r="AA406" s="118"/>
      <c r="AB406" s="118"/>
      <c r="AC406" s="118"/>
      <c r="AD406" s="111"/>
      <c r="AE406" s="122"/>
      <c r="AF406" s="122"/>
      <c r="AG406" s="122"/>
      <c r="AH406" s="122"/>
    </row>
    <row r="407" ht="22.5" customHeight="1">
      <c r="A407" s="73"/>
      <c r="B407" s="73"/>
      <c r="C407" s="73"/>
      <c r="D407" s="73"/>
      <c r="E407" s="330"/>
      <c r="F407" s="118"/>
      <c r="G407" s="118"/>
      <c r="H407" s="118"/>
      <c r="I407" s="118"/>
      <c r="J407" s="119"/>
      <c r="K407" s="120"/>
      <c r="L407" s="120"/>
      <c r="M407" s="120"/>
      <c r="N407" s="120"/>
      <c r="O407" s="118"/>
      <c r="P407" s="120"/>
      <c r="Q407" s="121"/>
      <c r="R407" s="109" t="b">
        <v>0</v>
      </c>
      <c r="S407" s="143"/>
      <c r="T407" s="110"/>
      <c r="U407" s="118"/>
      <c r="V407" s="118"/>
      <c r="W407" s="118"/>
      <c r="X407" s="118"/>
      <c r="Y407" s="118"/>
      <c r="Z407" s="118"/>
      <c r="AA407" s="118"/>
      <c r="AB407" s="118"/>
      <c r="AC407" s="118"/>
      <c r="AD407" s="111"/>
      <c r="AE407" s="122"/>
      <c r="AF407" s="122"/>
      <c r="AG407" s="122"/>
      <c r="AH407" s="122"/>
    </row>
    <row r="408" ht="22.5" customHeight="1">
      <c r="A408" s="73"/>
      <c r="B408" s="73"/>
      <c r="C408" s="73"/>
      <c r="D408" s="73"/>
      <c r="E408" s="330"/>
      <c r="F408" s="118"/>
      <c r="G408" s="118"/>
      <c r="H408" s="118"/>
      <c r="I408" s="118"/>
      <c r="J408" s="119"/>
      <c r="K408" s="120"/>
      <c r="L408" s="120"/>
      <c r="M408" s="120"/>
      <c r="N408" s="120"/>
      <c r="O408" s="118"/>
      <c r="P408" s="120"/>
      <c r="Q408" s="121"/>
      <c r="R408" s="109" t="b">
        <v>0</v>
      </c>
      <c r="S408" s="143"/>
      <c r="T408" s="110"/>
      <c r="U408" s="118"/>
      <c r="V408" s="118"/>
      <c r="W408" s="118"/>
      <c r="X408" s="118"/>
      <c r="Y408" s="118"/>
      <c r="Z408" s="118"/>
      <c r="AA408" s="118"/>
      <c r="AB408" s="118"/>
      <c r="AC408" s="118"/>
      <c r="AD408" s="111"/>
      <c r="AE408" s="122"/>
      <c r="AF408" s="122"/>
      <c r="AG408" s="122"/>
      <c r="AH408" s="122"/>
    </row>
    <row r="409" ht="22.5" customHeight="1">
      <c r="A409" s="73"/>
      <c r="B409" s="73"/>
      <c r="C409" s="73"/>
      <c r="D409" s="73"/>
      <c r="E409" s="330"/>
      <c r="F409" s="118"/>
      <c r="G409" s="118"/>
      <c r="H409" s="118"/>
      <c r="I409" s="118"/>
      <c r="J409" s="119"/>
      <c r="K409" s="120"/>
      <c r="L409" s="120"/>
      <c r="M409" s="120"/>
      <c r="N409" s="120"/>
      <c r="O409" s="118"/>
      <c r="P409" s="120"/>
      <c r="Q409" s="121"/>
      <c r="R409" s="109" t="b">
        <v>0</v>
      </c>
      <c r="S409" s="143"/>
      <c r="T409" s="110"/>
      <c r="U409" s="118"/>
      <c r="V409" s="118"/>
      <c r="W409" s="118"/>
      <c r="X409" s="118"/>
      <c r="Y409" s="118"/>
      <c r="Z409" s="118"/>
      <c r="AA409" s="118"/>
      <c r="AB409" s="118"/>
      <c r="AC409" s="118"/>
      <c r="AD409" s="111"/>
      <c r="AE409" s="122"/>
      <c r="AF409" s="122"/>
      <c r="AG409" s="122"/>
      <c r="AH409" s="122"/>
    </row>
    <row r="410" ht="22.5" customHeight="1">
      <c r="A410" s="73"/>
      <c r="B410" s="73"/>
      <c r="C410" s="73"/>
      <c r="D410" s="73"/>
      <c r="E410" s="330"/>
      <c r="F410" s="118"/>
      <c r="G410" s="118"/>
      <c r="H410" s="118"/>
      <c r="I410" s="118"/>
      <c r="J410" s="119"/>
      <c r="K410" s="120"/>
      <c r="L410" s="120"/>
      <c r="M410" s="120"/>
      <c r="N410" s="120"/>
      <c r="O410" s="118"/>
      <c r="P410" s="120"/>
      <c r="Q410" s="121"/>
      <c r="R410" s="109" t="b">
        <v>0</v>
      </c>
      <c r="S410" s="143"/>
      <c r="T410" s="110"/>
      <c r="U410" s="118"/>
      <c r="V410" s="118"/>
      <c r="W410" s="118"/>
      <c r="X410" s="118"/>
      <c r="Y410" s="118"/>
      <c r="Z410" s="118"/>
      <c r="AA410" s="118"/>
      <c r="AB410" s="118"/>
      <c r="AC410" s="118"/>
      <c r="AD410" s="111"/>
      <c r="AE410" s="122"/>
      <c r="AF410" s="122"/>
      <c r="AG410" s="122"/>
      <c r="AH410" s="122"/>
    </row>
    <row r="411" ht="22.5" customHeight="1">
      <c r="A411" s="73"/>
      <c r="B411" s="73"/>
      <c r="C411" s="73"/>
      <c r="D411" s="73"/>
      <c r="E411" s="330"/>
      <c r="F411" s="118"/>
      <c r="G411" s="118"/>
      <c r="H411" s="118"/>
      <c r="I411" s="118"/>
      <c r="J411" s="119"/>
      <c r="K411" s="120"/>
      <c r="L411" s="120"/>
      <c r="M411" s="120"/>
      <c r="N411" s="120"/>
      <c r="O411" s="118"/>
      <c r="P411" s="120"/>
      <c r="Q411" s="121"/>
      <c r="R411" s="109" t="b">
        <v>0</v>
      </c>
      <c r="S411" s="143"/>
      <c r="T411" s="110"/>
      <c r="U411" s="118"/>
      <c r="V411" s="118"/>
      <c r="W411" s="118"/>
      <c r="X411" s="118"/>
      <c r="Y411" s="118"/>
      <c r="Z411" s="118"/>
      <c r="AA411" s="118"/>
      <c r="AB411" s="118"/>
      <c r="AC411" s="118"/>
      <c r="AD411" s="111"/>
      <c r="AE411" s="122"/>
      <c r="AF411" s="122"/>
      <c r="AG411" s="122"/>
      <c r="AH411" s="122"/>
    </row>
    <row r="412" ht="22.5" customHeight="1">
      <c r="A412" s="73"/>
      <c r="B412" s="73"/>
      <c r="C412" s="73"/>
      <c r="D412" s="73"/>
      <c r="E412" s="330"/>
      <c r="F412" s="118"/>
      <c r="G412" s="118"/>
      <c r="H412" s="118"/>
      <c r="I412" s="118"/>
      <c r="J412" s="119"/>
      <c r="K412" s="120"/>
      <c r="L412" s="120"/>
      <c r="M412" s="120"/>
      <c r="N412" s="120"/>
      <c r="O412" s="118"/>
      <c r="P412" s="120"/>
      <c r="Q412" s="121"/>
      <c r="R412" s="109" t="b">
        <v>0</v>
      </c>
      <c r="S412" s="143"/>
      <c r="T412" s="110"/>
      <c r="U412" s="118"/>
      <c r="V412" s="118"/>
      <c r="W412" s="118"/>
      <c r="X412" s="118"/>
      <c r="Y412" s="118"/>
      <c r="Z412" s="118"/>
      <c r="AA412" s="118"/>
      <c r="AB412" s="118"/>
      <c r="AC412" s="118"/>
      <c r="AD412" s="111"/>
      <c r="AE412" s="122"/>
      <c r="AF412" s="122"/>
      <c r="AG412" s="122"/>
      <c r="AH412" s="122"/>
    </row>
    <row r="413" ht="22.5" customHeight="1">
      <c r="A413" s="73"/>
      <c r="B413" s="73"/>
      <c r="C413" s="73"/>
      <c r="D413" s="73"/>
      <c r="E413" s="330"/>
      <c r="F413" s="118"/>
      <c r="G413" s="118"/>
      <c r="H413" s="118"/>
      <c r="I413" s="118"/>
      <c r="J413" s="119"/>
      <c r="K413" s="120"/>
      <c r="L413" s="120"/>
      <c r="M413" s="120"/>
      <c r="N413" s="120"/>
      <c r="O413" s="118"/>
      <c r="P413" s="120"/>
      <c r="Q413" s="121"/>
      <c r="R413" s="109" t="b">
        <v>0</v>
      </c>
      <c r="S413" s="143"/>
      <c r="T413" s="110"/>
      <c r="U413" s="118"/>
      <c r="V413" s="118"/>
      <c r="W413" s="118"/>
      <c r="X413" s="118"/>
      <c r="Y413" s="118"/>
      <c r="Z413" s="118"/>
      <c r="AA413" s="118"/>
      <c r="AB413" s="118"/>
      <c r="AC413" s="118"/>
      <c r="AD413" s="111"/>
      <c r="AE413" s="122"/>
      <c r="AF413" s="122"/>
      <c r="AG413" s="122"/>
      <c r="AH413" s="122"/>
    </row>
    <row r="414" ht="22.5" customHeight="1">
      <c r="A414" s="73"/>
      <c r="B414" s="73"/>
      <c r="C414" s="73"/>
      <c r="D414" s="73"/>
      <c r="E414" s="330"/>
      <c r="F414" s="118"/>
      <c r="G414" s="118"/>
      <c r="H414" s="118"/>
      <c r="I414" s="118"/>
      <c r="J414" s="119"/>
      <c r="K414" s="120"/>
      <c r="L414" s="120"/>
      <c r="M414" s="120"/>
      <c r="N414" s="120"/>
      <c r="O414" s="118"/>
      <c r="P414" s="120"/>
      <c r="Q414" s="121"/>
      <c r="R414" s="109" t="b">
        <v>0</v>
      </c>
      <c r="S414" s="143"/>
      <c r="T414" s="110"/>
      <c r="U414" s="118"/>
      <c r="V414" s="118"/>
      <c r="W414" s="118"/>
      <c r="X414" s="118"/>
      <c r="Y414" s="118"/>
      <c r="Z414" s="118"/>
      <c r="AA414" s="118"/>
      <c r="AB414" s="118"/>
      <c r="AC414" s="118"/>
      <c r="AD414" s="111"/>
      <c r="AE414" s="122"/>
      <c r="AF414" s="122"/>
      <c r="AG414" s="122"/>
      <c r="AH414" s="122"/>
    </row>
    <row r="415" ht="22.5" customHeight="1">
      <c r="A415" s="73"/>
      <c r="B415" s="73"/>
      <c r="C415" s="73"/>
      <c r="D415" s="73"/>
      <c r="E415" s="330"/>
      <c r="F415" s="118"/>
      <c r="G415" s="118"/>
      <c r="H415" s="118"/>
      <c r="I415" s="118"/>
      <c r="J415" s="119"/>
      <c r="K415" s="120"/>
      <c r="L415" s="120"/>
      <c r="M415" s="120"/>
      <c r="N415" s="120"/>
      <c r="O415" s="118"/>
      <c r="P415" s="120"/>
      <c r="Q415" s="121"/>
      <c r="R415" s="109" t="b">
        <v>0</v>
      </c>
      <c r="S415" s="143"/>
      <c r="T415" s="110"/>
      <c r="U415" s="118"/>
      <c r="V415" s="118"/>
      <c r="W415" s="118"/>
      <c r="X415" s="118"/>
      <c r="Y415" s="118"/>
      <c r="Z415" s="118"/>
      <c r="AA415" s="118"/>
      <c r="AB415" s="118"/>
      <c r="AC415" s="118"/>
      <c r="AD415" s="111"/>
      <c r="AE415" s="122"/>
      <c r="AF415" s="122"/>
      <c r="AG415" s="122"/>
      <c r="AH415" s="122"/>
    </row>
    <row r="416" ht="22.5" customHeight="1">
      <c r="A416" s="73"/>
      <c r="B416" s="73"/>
      <c r="C416" s="73"/>
      <c r="D416" s="73"/>
      <c r="E416" s="330"/>
      <c r="F416" s="118"/>
      <c r="G416" s="118"/>
      <c r="H416" s="118"/>
      <c r="I416" s="118"/>
      <c r="J416" s="119"/>
      <c r="K416" s="120"/>
      <c r="L416" s="120"/>
      <c r="M416" s="120"/>
      <c r="N416" s="120"/>
      <c r="O416" s="118"/>
      <c r="P416" s="120"/>
      <c r="Q416" s="121"/>
      <c r="R416" s="109" t="b">
        <v>0</v>
      </c>
      <c r="S416" s="143"/>
      <c r="T416" s="110"/>
      <c r="U416" s="118"/>
      <c r="V416" s="118"/>
      <c r="W416" s="118"/>
      <c r="X416" s="118"/>
      <c r="Y416" s="118"/>
      <c r="Z416" s="118"/>
      <c r="AA416" s="118"/>
      <c r="AB416" s="118"/>
      <c r="AC416" s="118"/>
      <c r="AD416" s="111"/>
      <c r="AE416" s="122"/>
      <c r="AF416" s="122"/>
      <c r="AG416" s="122"/>
      <c r="AH416" s="122"/>
    </row>
    <row r="417" ht="22.5" customHeight="1">
      <c r="A417" s="73"/>
      <c r="B417" s="73"/>
      <c r="C417" s="73"/>
      <c r="D417" s="73"/>
      <c r="E417" s="330"/>
      <c r="F417" s="118"/>
      <c r="G417" s="118"/>
      <c r="H417" s="118"/>
      <c r="I417" s="118"/>
      <c r="J417" s="119"/>
      <c r="K417" s="120"/>
      <c r="L417" s="120"/>
      <c r="M417" s="120"/>
      <c r="N417" s="120"/>
      <c r="O417" s="118"/>
      <c r="P417" s="120"/>
      <c r="Q417" s="121"/>
      <c r="R417" s="109" t="b">
        <v>0</v>
      </c>
      <c r="S417" s="143"/>
      <c r="T417" s="110"/>
      <c r="U417" s="118"/>
      <c r="V417" s="118"/>
      <c r="W417" s="118"/>
      <c r="X417" s="118"/>
      <c r="Y417" s="118"/>
      <c r="Z417" s="118"/>
      <c r="AA417" s="118"/>
      <c r="AB417" s="118"/>
      <c r="AC417" s="118"/>
      <c r="AD417" s="111"/>
      <c r="AE417" s="122"/>
      <c r="AF417" s="122"/>
      <c r="AG417" s="122"/>
      <c r="AH417" s="122"/>
    </row>
    <row r="418" ht="22.5" customHeight="1">
      <c r="A418" s="73"/>
      <c r="B418" s="73"/>
      <c r="C418" s="73"/>
      <c r="D418" s="73"/>
      <c r="E418" s="330"/>
      <c r="F418" s="118"/>
      <c r="G418" s="118"/>
      <c r="H418" s="118"/>
      <c r="I418" s="118"/>
      <c r="J418" s="119"/>
      <c r="K418" s="120"/>
      <c r="L418" s="120"/>
      <c r="M418" s="120"/>
      <c r="N418" s="120"/>
      <c r="O418" s="118"/>
      <c r="P418" s="120"/>
      <c r="Q418" s="121"/>
      <c r="R418" s="109" t="b">
        <v>0</v>
      </c>
      <c r="S418" s="143"/>
      <c r="T418" s="110"/>
      <c r="U418" s="118"/>
      <c r="V418" s="118"/>
      <c r="W418" s="118"/>
      <c r="X418" s="118"/>
      <c r="Y418" s="118"/>
      <c r="Z418" s="118"/>
      <c r="AA418" s="118"/>
      <c r="AB418" s="118"/>
      <c r="AC418" s="118"/>
      <c r="AD418" s="111"/>
      <c r="AE418" s="122"/>
      <c r="AF418" s="122"/>
      <c r="AG418" s="122"/>
      <c r="AH418" s="122"/>
    </row>
    <row r="419" ht="22.5" customHeight="1">
      <c r="A419" s="73"/>
      <c r="B419" s="73"/>
      <c r="C419" s="73"/>
      <c r="D419" s="73"/>
      <c r="E419" s="330"/>
      <c r="F419" s="118"/>
      <c r="G419" s="118"/>
      <c r="H419" s="118"/>
      <c r="I419" s="118"/>
      <c r="J419" s="119"/>
      <c r="K419" s="120"/>
      <c r="L419" s="120"/>
      <c r="M419" s="120"/>
      <c r="N419" s="120"/>
      <c r="O419" s="118"/>
      <c r="P419" s="120"/>
      <c r="Q419" s="121"/>
      <c r="R419" s="109" t="b">
        <v>0</v>
      </c>
      <c r="S419" s="143"/>
      <c r="T419" s="110"/>
      <c r="U419" s="118"/>
      <c r="V419" s="118"/>
      <c r="W419" s="118"/>
      <c r="X419" s="118"/>
      <c r="Y419" s="118"/>
      <c r="Z419" s="118"/>
      <c r="AA419" s="118"/>
      <c r="AB419" s="118"/>
      <c r="AC419" s="118"/>
      <c r="AD419" s="111"/>
      <c r="AE419" s="122"/>
      <c r="AF419" s="122"/>
      <c r="AG419" s="122"/>
      <c r="AH419" s="122"/>
    </row>
    <row r="420" ht="22.5" customHeight="1">
      <c r="A420" s="73"/>
      <c r="B420" s="73"/>
      <c r="C420" s="73"/>
      <c r="D420" s="73"/>
      <c r="E420" s="330"/>
      <c r="F420" s="118"/>
      <c r="G420" s="118"/>
      <c r="H420" s="118"/>
      <c r="I420" s="118"/>
      <c r="J420" s="119"/>
      <c r="K420" s="120"/>
      <c r="L420" s="120"/>
      <c r="M420" s="120"/>
      <c r="N420" s="120"/>
      <c r="O420" s="118"/>
      <c r="P420" s="120"/>
      <c r="Q420" s="121"/>
      <c r="R420" s="109" t="b">
        <v>0</v>
      </c>
      <c r="S420" s="143"/>
      <c r="T420" s="110"/>
      <c r="U420" s="118"/>
      <c r="V420" s="118"/>
      <c r="W420" s="118"/>
      <c r="X420" s="118"/>
      <c r="Y420" s="118"/>
      <c r="Z420" s="118"/>
      <c r="AA420" s="118"/>
      <c r="AB420" s="118"/>
      <c r="AC420" s="118"/>
      <c r="AD420" s="111"/>
      <c r="AE420" s="122"/>
      <c r="AF420" s="122"/>
      <c r="AG420" s="122"/>
      <c r="AH420" s="122"/>
    </row>
    <row r="421" ht="22.5" customHeight="1">
      <c r="A421" s="73"/>
      <c r="B421" s="73"/>
      <c r="C421" s="73"/>
      <c r="D421" s="73"/>
      <c r="E421" s="330"/>
      <c r="F421" s="118"/>
      <c r="G421" s="118"/>
      <c r="H421" s="118"/>
      <c r="I421" s="118"/>
      <c r="J421" s="119"/>
      <c r="K421" s="120"/>
      <c r="L421" s="120"/>
      <c r="M421" s="120"/>
      <c r="N421" s="120"/>
      <c r="O421" s="118"/>
      <c r="P421" s="120"/>
      <c r="Q421" s="121"/>
      <c r="R421" s="109" t="b">
        <v>0</v>
      </c>
      <c r="S421" s="143"/>
      <c r="T421" s="110"/>
      <c r="U421" s="118"/>
      <c r="V421" s="118"/>
      <c r="W421" s="118"/>
      <c r="X421" s="118"/>
      <c r="Y421" s="118"/>
      <c r="Z421" s="118"/>
      <c r="AA421" s="118"/>
      <c r="AB421" s="118"/>
      <c r="AC421" s="118"/>
      <c r="AD421" s="111"/>
      <c r="AE421" s="122"/>
      <c r="AF421" s="122"/>
      <c r="AG421" s="122"/>
      <c r="AH421" s="122"/>
    </row>
    <row r="422" ht="22.5" customHeight="1">
      <c r="A422" s="73"/>
      <c r="B422" s="73"/>
      <c r="C422" s="73"/>
      <c r="D422" s="73"/>
      <c r="E422" s="330"/>
      <c r="F422" s="118"/>
      <c r="G422" s="118"/>
      <c r="H422" s="118"/>
      <c r="I422" s="118"/>
      <c r="J422" s="119"/>
      <c r="K422" s="120"/>
      <c r="L422" s="120"/>
      <c r="M422" s="120"/>
      <c r="N422" s="120"/>
      <c r="O422" s="118"/>
      <c r="P422" s="120"/>
      <c r="Q422" s="121"/>
      <c r="R422" s="109" t="b">
        <v>0</v>
      </c>
      <c r="S422" s="143"/>
      <c r="T422" s="110"/>
      <c r="U422" s="118"/>
      <c r="V422" s="118"/>
      <c r="W422" s="118"/>
      <c r="X422" s="118"/>
      <c r="Y422" s="118"/>
      <c r="Z422" s="118"/>
      <c r="AA422" s="118"/>
      <c r="AB422" s="118"/>
      <c r="AC422" s="118"/>
      <c r="AD422" s="111"/>
      <c r="AE422" s="122"/>
      <c r="AF422" s="122"/>
      <c r="AG422" s="122"/>
      <c r="AH422" s="122"/>
    </row>
    <row r="423" ht="22.5" customHeight="1">
      <c r="A423" s="73"/>
      <c r="B423" s="73"/>
      <c r="C423" s="73"/>
      <c r="D423" s="73"/>
      <c r="E423" s="330"/>
      <c r="F423" s="118"/>
      <c r="G423" s="118"/>
      <c r="H423" s="118"/>
      <c r="I423" s="118"/>
      <c r="J423" s="119"/>
      <c r="K423" s="120"/>
      <c r="L423" s="120"/>
      <c r="M423" s="120"/>
      <c r="N423" s="120"/>
      <c r="O423" s="118"/>
      <c r="P423" s="120"/>
      <c r="Q423" s="121"/>
      <c r="R423" s="109" t="b">
        <v>0</v>
      </c>
      <c r="S423" s="143"/>
      <c r="T423" s="110"/>
      <c r="U423" s="118"/>
      <c r="V423" s="118"/>
      <c r="W423" s="118"/>
      <c r="X423" s="118"/>
      <c r="Y423" s="118"/>
      <c r="Z423" s="118"/>
      <c r="AA423" s="118"/>
      <c r="AB423" s="118"/>
      <c r="AC423" s="118"/>
      <c r="AD423" s="111"/>
      <c r="AE423" s="122"/>
      <c r="AF423" s="122"/>
      <c r="AG423" s="122"/>
      <c r="AH423" s="122"/>
    </row>
    <row r="424" ht="22.5" customHeight="1">
      <c r="A424" s="73"/>
      <c r="B424" s="73"/>
      <c r="C424" s="73"/>
      <c r="D424" s="73"/>
      <c r="E424" s="330"/>
      <c r="F424" s="118"/>
      <c r="G424" s="118"/>
      <c r="H424" s="118"/>
      <c r="I424" s="118"/>
      <c r="J424" s="119"/>
      <c r="K424" s="120"/>
      <c r="L424" s="120"/>
      <c r="M424" s="120"/>
      <c r="N424" s="120"/>
      <c r="O424" s="118"/>
      <c r="P424" s="120"/>
      <c r="Q424" s="121"/>
      <c r="R424" s="109" t="b">
        <v>0</v>
      </c>
      <c r="S424" s="143"/>
      <c r="T424" s="110"/>
      <c r="U424" s="118"/>
      <c r="V424" s="118"/>
      <c r="W424" s="118"/>
      <c r="X424" s="118"/>
      <c r="Y424" s="118"/>
      <c r="Z424" s="118"/>
      <c r="AA424" s="118"/>
      <c r="AB424" s="118"/>
      <c r="AC424" s="118"/>
      <c r="AD424" s="111"/>
      <c r="AE424" s="122"/>
      <c r="AF424" s="122"/>
      <c r="AG424" s="122"/>
      <c r="AH424" s="122"/>
    </row>
    <row r="425" ht="22.5" customHeight="1">
      <c r="A425" s="73"/>
      <c r="B425" s="73"/>
      <c r="C425" s="73"/>
      <c r="D425" s="73"/>
      <c r="E425" s="330"/>
      <c r="F425" s="118"/>
      <c r="G425" s="118"/>
      <c r="H425" s="118"/>
      <c r="I425" s="118"/>
      <c r="J425" s="119"/>
      <c r="K425" s="120"/>
      <c r="L425" s="120"/>
      <c r="M425" s="120"/>
      <c r="N425" s="120"/>
      <c r="O425" s="118"/>
      <c r="P425" s="120"/>
      <c r="Q425" s="121"/>
      <c r="R425" s="109" t="b">
        <v>0</v>
      </c>
      <c r="S425" s="143"/>
      <c r="T425" s="110"/>
      <c r="U425" s="118"/>
      <c r="V425" s="118"/>
      <c r="W425" s="118"/>
      <c r="X425" s="118"/>
      <c r="Y425" s="118"/>
      <c r="Z425" s="118"/>
      <c r="AA425" s="118"/>
      <c r="AB425" s="118"/>
      <c r="AC425" s="118"/>
      <c r="AD425" s="111"/>
      <c r="AE425" s="122"/>
      <c r="AF425" s="122"/>
      <c r="AG425" s="122"/>
      <c r="AH425" s="122"/>
    </row>
    <row r="426" ht="22.5" customHeight="1">
      <c r="A426" s="73"/>
      <c r="B426" s="73"/>
      <c r="C426" s="73"/>
      <c r="D426" s="73"/>
      <c r="E426" s="330"/>
      <c r="F426" s="118"/>
      <c r="G426" s="118"/>
      <c r="H426" s="118"/>
      <c r="I426" s="118"/>
      <c r="J426" s="119"/>
      <c r="K426" s="120"/>
      <c r="L426" s="120"/>
      <c r="M426" s="120"/>
      <c r="N426" s="120"/>
      <c r="O426" s="118"/>
      <c r="P426" s="120"/>
      <c r="Q426" s="121"/>
      <c r="R426" s="109" t="b">
        <v>0</v>
      </c>
      <c r="S426" s="143"/>
      <c r="T426" s="110"/>
      <c r="U426" s="118"/>
      <c r="V426" s="118"/>
      <c r="W426" s="118"/>
      <c r="X426" s="118"/>
      <c r="Y426" s="118"/>
      <c r="Z426" s="118"/>
      <c r="AA426" s="118"/>
      <c r="AB426" s="118"/>
      <c r="AC426" s="118"/>
      <c r="AD426" s="111"/>
      <c r="AE426" s="122"/>
      <c r="AF426" s="122"/>
      <c r="AG426" s="122"/>
      <c r="AH426" s="122"/>
    </row>
    <row r="427" ht="22.5" customHeight="1">
      <c r="A427" s="73"/>
      <c r="B427" s="73"/>
      <c r="C427" s="73"/>
      <c r="D427" s="73"/>
      <c r="E427" s="330"/>
      <c r="F427" s="118"/>
      <c r="G427" s="118"/>
      <c r="H427" s="118"/>
      <c r="I427" s="118"/>
      <c r="J427" s="119"/>
      <c r="K427" s="120"/>
      <c r="L427" s="120"/>
      <c r="M427" s="120"/>
      <c r="N427" s="120"/>
      <c r="O427" s="118"/>
      <c r="P427" s="120"/>
      <c r="Q427" s="121"/>
      <c r="R427" s="109" t="b">
        <v>0</v>
      </c>
      <c r="S427" s="143"/>
      <c r="T427" s="110"/>
      <c r="U427" s="118"/>
      <c r="V427" s="118"/>
      <c r="W427" s="118"/>
      <c r="X427" s="118"/>
      <c r="Y427" s="118"/>
      <c r="Z427" s="118"/>
      <c r="AA427" s="118"/>
      <c r="AB427" s="118"/>
      <c r="AC427" s="118"/>
      <c r="AD427" s="111"/>
      <c r="AE427" s="122"/>
      <c r="AF427" s="122"/>
      <c r="AG427" s="122"/>
      <c r="AH427" s="122"/>
    </row>
    <row r="428" ht="22.5" customHeight="1">
      <c r="A428" s="73"/>
      <c r="B428" s="73"/>
      <c r="C428" s="73"/>
      <c r="D428" s="73"/>
      <c r="E428" s="330"/>
      <c r="F428" s="118"/>
      <c r="G428" s="118"/>
      <c r="H428" s="118"/>
      <c r="I428" s="118"/>
      <c r="J428" s="119"/>
      <c r="K428" s="120"/>
      <c r="L428" s="120"/>
      <c r="M428" s="120"/>
      <c r="N428" s="120"/>
      <c r="O428" s="118"/>
      <c r="P428" s="120"/>
      <c r="Q428" s="121"/>
      <c r="R428" s="109" t="b">
        <v>0</v>
      </c>
      <c r="S428" s="143"/>
      <c r="T428" s="110"/>
      <c r="U428" s="118"/>
      <c r="V428" s="118"/>
      <c r="W428" s="118"/>
      <c r="X428" s="118"/>
      <c r="Y428" s="118"/>
      <c r="Z428" s="118"/>
      <c r="AA428" s="118"/>
      <c r="AB428" s="118"/>
      <c r="AC428" s="118"/>
      <c r="AD428" s="111"/>
      <c r="AE428" s="122"/>
      <c r="AF428" s="122"/>
      <c r="AG428" s="122"/>
      <c r="AH428" s="122"/>
    </row>
    <row r="429" ht="22.5" customHeight="1">
      <c r="A429" s="73"/>
      <c r="B429" s="73"/>
      <c r="C429" s="73"/>
      <c r="D429" s="73"/>
      <c r="E429" s="330"/>
      <c r="F429" s="118"/>
      <c r="G429" s="118"/>
      <c r="H429" s="118"/>
      <c r="I429" s="118"/>
      <c r="J429" s="119"/>
      <c r="K429" s="120"/>
      <c r="L429" s="120"/>
      <c r="M429" s="120"/>
      <c r="N429" s="120"/>
      <c r="O429" s="118"/>
      <c r="P429" s="120"/>
      <c r="Q429" s="121"/>
      <c r="R429" s="109" t="b">
        <v>0</v>
      </c>
      <c r="S429" s="143"/>
      <c r="T429" s="110"/>
      <c r="U429" s="118"/>
      <c r="V429" s="118"/>
      <c r="W429" s="118"/>
      <c r="X429" s="118"/>
      <c r="Y429" s="118"/>
      <c r="Z429" s="118"/>
      <c r="AA429" s="118"/>
      <c r="AB429" s="118"/>
      <c r="AC429" s="118"/>
      <c r="AD429" s="111"/>
      <c r="AE429" s="122"/>
      <c r="AF429" s="122"/>
      <c r="AG429" s="122"/>
      <c r="AH429" s="122"/>
    </row>
    <row r="430" ht="22.5" customHeight="1">
      <c r="A430" s="73"/>
      <c r="B430" s="73"/>
      <c r="C430" s="73"/>
      <c r="D430" s="73"/>
      <c r="E430" s="330"/>
      <c r="F430" s="118"/>
      <c r="G430" s="118"/>
      <c r="H430" s="118"/>
      <c r="I430" s="118"/>
      <c r="J430" s="119"/>
      <c r="K430" s="120"/>
      <c r="L430" s="120"/>
      <c r="M430" s="120"/>
      <c r="N430" s="120"/>
      <c r="O430" s="118"/>
      <c r="P430" s="120"/>
      <c r="Q430" s="121"/>
      <c r="R430" s="109" t="b">
        <v>0</v>
      </c>
      <c r="S430" s="143"/>
      <c r="T430" s="110"/>
      <c r="U430" s="118"/>
      <c r="V430" s="118"/>
      <c r="W430" s="118"/>
      <c r="X430" s="118"/>
      <c r="Y430" s="118"/>
      <c r="Z430" s="118"/>
      <c r="AA430" s="118"/>
      <c r="AB430" s="118"/>
      <c r="AC430" s="118"/>
      <c r="AD430" s="111"/>
      <c r="AE430" s="122"/>
      <c r="AF430" s="122"/>
      <c r="AG430" s="122"/>
      <c r="AH430" s="122"/>
    </row>
    <row r="431" ht="22.5" customHeight="1">
      <c r="A431" s="73"/>
      <c r="B431" s="73"/>
      <c r="C431" s="73"/>
      <c r="D431" s="73"/>
      <c r="E431" s="330"/>
      <c r="F431" s="118"/>
      <c r="G431" s="118"/>
      <c r="H431" s="118"/>
      <c r="I431" s="118"/>
      <c r="J431" s="119"/>
      <c r="K431" s="120"/>
      <c r="L431" s="120"/>
      <c r="M431" s="120"/>
      <c r="N431" s="120"/>
      <c r="O431" s="118"/>
      <c r="P431" s="120"/>
      <c r="Q431" s="121"/>
      <c r="R431" s="109" t="b">
        <v>0</v>
      </c>
      <c r="S431" s="143"/>
      <c r="T431" s="110"/>
      <c r="U431" s="118"/>
      <c r="V431" s="118"/>
      <c r="W431" s="118"/>
      <c r="X431" s="118"/>
      <c r="Y431" s="118"/>
      <c r="Z431" s="118"/>
      <c r="AA431" s="118"/>
      <c r="AB431" s="118"/>
      <c r="AC431" s="118"/>
      <c r="AD431" s="111"/>
      <c r="AE431" s="122"/>
      <c r="AF431" s="122"/>
      <c r="AG431" s="122"/>
      <c r="AH431" s="122"/>
    </row>
    <row r="432" ht="22.5" customHeight="1">
      <c r="A432" s="73"/>
      <c r="B432" s="73"/>
      <c r="C432" s="73"/>
      <c r="D432" s="73"/>
      <c r="E432" s="330"/>
      <c r="F432" s="118"/>
      <c r="G432" s="118"/>
      <c r="H432" s="118"/>
      <c r="I432" s="118"/>
      <c r="J432" s="119"/>
      <c r="K432" s="120"/>
      <c r="L432" s="120"/>
      <c r="M432" s="120"/>
      <c r="N432" s="120"/>
      <c r="O432" s="118"/>
      <c r="P432" s="120"/>
      <c r="Q432" s="121"/>
      <c r="R432" s="109" t="b">
        <v>0</v>
      </c>
      <c r="S432" s="143"/>
      <c r="T432" s="110"/>
      <c r="U432" s="118"/>
      <c r="V432" s="118"/>
      <c r="W432" s="118"/>
      <c r="X432" s="118"/>
      <c r="Y432" s="118"/>
      <c r="Z432" s="118"/>
      <c r="AA432" s="118"/>
      <c r="AB432" s="118"/>
      <c r="AC432" s="118"/>
      <c r="AD432" s="111"/>
      <c r="AE432" s="122"/>
      <c r="AF432" s="122"/>
      <c r="AG432" s="122"/>
      <c r="AH432" s="122"/>
    </row>
    <row r="433" ht="22.5" customHeight="1">
      <c r="A433" s="73"/>
      <c r="B433" s="73"/>
      <c r="C433" s="73"/>
      <c r="D433" s="73"/>
      <c r="E433" s="330"/>
      <c r="F433" s="118"/>
      <c r="G433" s="118"/>
      <c r="H433" s="118"/>
      <c r="I433" s="118"/>
      <c r="J433" s="119"/>
      <c r="K433" s="120"/>
      <c r="L433" s="120"/>
      <c r="M433" s="120"/>
      <c r="N433" s="120"/>
      <c r="O433" s="118"/>
      <c r="P433" s="120"/>
      <c r="Q433" s="121"/>
      <c r="R433" s="109" t="b">
        <v>0</v>
      </c>
      <c r="S433" s="143"/>
      <c r="T433" s="110"/>
      <c r="U433" s="118"/>
      <c r="V433" s="118"/>
      <c r="W433" s="118"/>
      <c r="X433" s="118"/>
      <c r="Y433" s="118"/>
      <c r="Z433" s="118"/>
      <c r="AA433" s="118"/>
      <c r="AB433" s="118"/>
      <c r="AC433" s="118"/>
      <c r="AD433" s="111"/>
      <c r="AE433" s="122"/>
      <c r="AF433" s="122"/>
      <c r="AG433" s="122"/>
      <c r="AH433" s="122"/>
    </row>
    <row r="434" ht="22.5" customHeight="1">
      <c r="A434" s="73"/>
      <c r="B434" s="73"/>
      <c r="C434" s="73"/>
      <c r="D434" s="73"/>
      <c r="E434" s="330"/>
      <c r="F434" s="118"/>
      <c r="G434" s="118"/>
      <c r="H434" s="118"/>
      <c r="I434" s="118"/>
      <c r="J434" s="119"/>
      <c r="K434" s="120"/>
      <c r="L434" s="120"/>
      <c r="M434" s="120"/>
      <c r="N434" s="120"/>
      <c r="O434" s="118"/>
      <c r="P434" s="120"/>
      <c r="Q434" s="121"/>
      <c r="R434" s="109" t="b">
        <v>0</v>
      </c>
      <c r="S434" s="143"/>
      <c r="T434" s="110"/>
      <c r="U434" s="118"/>
      <c r="V434" s="118"/>
      <c r="W434" s="118"/>
      <c r="X434" s="118"/>
      <c r="Y434" s="118"/>
      <c r="Z434" s="118"/>
      <c r="AA434" s="118"/>
      <c r="AB434" s="118"/>
      <c r="AC434" s="118"/>
      <c r="AD434" s="111"/>
      <c r="AE434" s="122"/>
      <c r="AF434" s="122"/>
      <c r="AG434" s="122"/>
      <c r="AH434" s="122"/>
    </row>
    <row r="435" ht="22.5" customHeight="1">
      <c r="A435" s="73"/>
      <c r="B435" s="73"/>
      <c r="C435" s="73"/>
      <c r="D435" s="73"/>
      <c r="E435" s="330"/>
      <c r="F435" s="118"/>
      <c r="G435" s="118"/>
      <c r="H435" s="118"/>
      <c r="I435" s="118"/>
      <c r="J435" s="119"/>
      <c r="K435" s="120"/>
      <c r="L435" s="120"/>
      <c r="M435" s="120"/>
      <c r="N435" s="120"/>
      <c r="O435" s="118"/>
      <c r="P435" s="120"/>
      <c r="Q435" s="121"/>
      <c r="R435" s="109" t="b">
        <v>0</v>
      </c>
      <c r="S435" s="143"/>
      <c r="T435" s="110"/>
      <c r="U435" s="118"/>
      <c r="V435" s="118"/>
      <c r="W435" s="118"/>
      <c r="X435" s="118"/>
      <c r="Y435" s="118"/>
      <c r="Z435" s="118"/>
      <c r="AA435" s="118"/>
      <c r="AB435" s="118"/>
      <c r="AC435" s="118"/>
      <c r="AD435" s="111"/>
      <c r="AE435" s="122"/>
      <c r="AF435" s="122"/>
      <c r="AG435" s="122"/>
      <c r="AH435" s="122"/>
    </row>
    <row r="436" ht="22.5" customHeight="1">
      <c r="A436" s="73"/>
      <c r="B436" s="73"/>
      <c r="C436" s="73"/>
      <c r="D436" s="73"/>
      <c r="E436" s="330"/>
      <c r="F436" s="118"/>
      <c r="G436" s="118"/>
      <c r="H436" s="118"/>
      <c r="I436" s="118"/>
      <c r="J436" s="119"/>
      <c r="K436" s="120"/>
      <c r="L436" s="120"/>
      <c r="M436" s="120"/>
      <c r="N436" s="120"/>
      <c r="O436" s="118"/>
      <c r="P436" s="120"/>
      <c r="Q436" s="121"/>
      <c r="R436" s="109" t="b">
        <v>0</v>
      </c>
      <c r="S436" s="143"/>
      <c r="T436" s="110"/>
      <c r="U436" s="118"/>
      <c r="V436" s="118"/>
      <c r="W436" s="118"/>
      <c r="X436" s="118"/>
      <c r="Y436" s="118"/>
      <c r="Z436" s="118"/>
      <c r="AA436" s="118"/>
      <c r="AB436" s="118"/>
      <c r="AC436" s="118"/>
      <c r="AD436" s="111"/>
      <c r="AE436" s="122"/>
      <c r="AF436" s="122"/>
      <c r="AG436" s="122"/>
      <c r="AH436" s="122"/>
    </row>
    <row r="437" ht="22.5" customHeight="1">
      <c r="A437" s="73"/>
      <c r="B437" s="73"/>
      <c r="C437" s="73"/>
      <c r="D437" s="73"/>
      <c r="E437" s="330"/>
      <c r="F437" s="118"/>
      <c r="G437" s="118"/>
      <c r="H437" s="118"/>
      <c r="I437" s="118"/>
      <c r="J437" s="119"/>
      <c r="K437" s="120"/>
      <c r="L437" s="120"/>
      <c r="M437" s="120"/>
      <c r="N437" s="120"/>
      <c r="O437" s="118"/>
      <c r="P437" s="120"/>
      <c r="Q437" s="121"/>
      <c r="R437" s="109" t="b">
        <v>0</v>
      </c>
      <c r="S437" s="143"/>
      <c r="T437" s="110"/>
      <c r="U437" s="118"/>
      <c r="V437" s="118"/>
      <c r="W437" s="118"/>
      <c r="X437" s="118"/>
      <c r="Y437" s="118"/>
      <c r="Z437" s="118"/>
      <c r="AA437" s="118"/>
      <c r="AB437" s="118"/>
      <c r="AC437" s="118"/>
      <c r="AD437" s="111"/>
      <c r="AE437" s="122"/>
      <c r="AF437" s="122"/>
      <c r="AG437" s="122"/>
      <c r="AH437" s="122"/>
    </row>
    <row r="438" ht="22.5" customHeight="1">
      <c r="A438" s="73"/>
      <c r="B438" s="73"/>
      <c r="C438" s="73"/>
      <c r="D438" s="73"/>
      <c r="E438" s="330"/>
      <c r="F438" s="118"/>
      <c r="G438" s="118"/>
      <c r="H438" s="118"/>
      <c r="I438" s="118"/>
      <c r="J438" s="119"/>
      <c r="K438" s="120"/>
      <c r="L438" s="120"/>
      <c r="M438" s="120"/>
      <c r="N438" s="120"/>
      <c r="O438" s="118"/>
      <c r="P438" s="120"/>
      <c r="Q438" s="121"/>
      <c r="R438" s="109" t="b">
        <v>0</v>
      </c>
      <c r="S438" s="143"/>
      <c r="T438" s="110"/>
      <c r="U438" s="118"/>
      <c r="V438" s="118"/>
      <c r="W438" s="118"/>
      <c r="X438" s="118"/>
      <c r="Y438" s="118"/>
      <c r="Z438" s="118"/>
      <c r="AA438" s="118"/>
      <c r="AB438" s="118"/>
      <c r="AC438" s="118"/>
      <c r="AD438" s="111"/>
      <c r="AE438" s="122"/>
      <c r="AF438" s="122"/>
      <c r="AG438" s="122"/>
      <c r="AH438" s="122"/>
    </row>
    <row r="439" ht="22.5" customHeight="1">
      <c r="A439" s="73"/>
      <c r="B439" s="73"/>
      <c r="C439" s="73"/>
      <c r="D439" s="73"/>
      <c r="E439" s="330"/>
      <c r="F439" s="118"/>
      <c r="G439" s="118"/>
      <c r="H439" s="118"/>
      <c r="I439" s="118"/>
      <c r="J439" s="119"/>
      <c r="K439" s="120"/>
      <c r="L439" s="120"/>
      <c r="M439" s="120"/>
      <c r="N439" s="120"/>
      <c r="O439" s="118"/>
      <c r="P439" s="120"/>
      <c r="Q439" s="121"/>
      <c r="R439" s="109" t="b">
        <v>0</v>
      </c>
      <c r="S439" s="143"/>
      <c r="T439" s="110"/>
      <c r="U439" s="118"/>
      <c r="V439" s="118"/>
      <c r="W439" s="118"/>
      <c r="X439" s="118"/>
      <c r="Y439" s="118"/>
      <c r="Z439" s="118"/>
      <c r="AA439" s="118"/>
      <c r="AB439" s="118"/>
      <c r="AC439" s="118"/>
      <c r="AD439" s="111"/>
      <c r="AE439" s="122"/>
      <c r="AF439" s="122"/>
      <c r="AG439" s="122"/>
      <c r="AH439" s="122"/>
    </row>
    <row r="440" ht="22.5" customHeight="1">
      <c r="A440" s="73"/>
      <c r="B440" s="73"/>
      <c r="C440" s="73"/>
      <c r="D440" s="73"/>
      <c r="E440" s="330"/>
      <c r="F440" s="118"/>
      <c r="G440" s="118"/>
      <c r="H440" s="118"/>
      <c r="I440" s="118"/>
      <c r="J440" s="119"/>
      <c r="K440" s="120"/>
      <c r="L440" s="120"/>
      <c r="M440" s="120"/>
      <c r="N440" s="120"/>
      <c r="O440" s="118"/>
      <c r="P440" s="120"/>
      <c r="Q440" s="121"/>
      <c r="R440" s="109" t="b">
        <v>0</v>
      </c>
      <c r="S440" s="143"/>
      <c r="T440" s="110"/>
      <c r="U440" s="118"/>
      <c r="V440" s="118"/>
      <c r="W440" s="118"/>
      <c r="X440" s="118"/>
      <c r="Y440" s="118"/>
      <c r="Z440" s="118"/>
      <c r="AA440" s="118"/>
      <c r="AB440" s="118"/>
      <c r="AC440" s="118"/>
      <c r="AD440" s="111"/>
      <c r="AE440" s="122"/>
      <c r="AF440" s="122"/>
      <c r="AG440" s="122"/>
      <c r="AH440" s="122"/>
    </row>
    <row r="441" ht="22.5" customHeight="1">
      <c r="A441" s="73"/>
      <c r="B441" s="73"/>
      <c r="C441" s="73"/>
      <c r="D441" s="73"/>
      <c r="E441" s="330"/>
      <c r="F441" s="118"/>
      <c r="G441" s="118"/>
      <c r="H441" s="118"/>
      <c r="I441" s="118"/>
      <c r="J441" s="119"/>
      <c r="K441" s="120"/>
      <c r="L441" s="120"/>
      <c r="M441" s="120"/>
      <c r="N441" s="120"/>
      <c r="O441" s="118"/>
      <c r="P441" s="120"/>
      <c r="Q441" s="121"/>
      <c r="R441" s="109" t="b">
        <v>0</v>
      </c>
      <c r="S441" s="143"/>
      <c r="T441" s="110"/>
      <c r="U441" s="118"/>
      <c r="V441" s="118"/>
      <c r="W441" s="118"/>
      <c r="X441" s="118"/>
      <c r="Y441" s="118"/>
      <c r="Z441" s="118"/>
      <c r="AA441" s="118"/>
      <c r="AB441" s="118"/>
      <c r="AC441" s="118"/>
      <c r="AD441" s="111"/>
      <c r="AE441" s="122"/>
      <c r="AF441" s="122"/>
      <c r="AG441" s="122"/>
      <c r="AH441" s="122"/>
    </row>
    <row r="442" ht="22.5" customHeight="1">
      <c r="A442" s="73"/>
      <c r="B442" s="73"/>
      <c r="C442" s="73"/>
      <c r="D442" s="73"/>
      <c r="E442" s="330"/>
      <c r="F442" s="118"/>
      <c r="G442" s="118"/>
      <c r="H442" s="118"/>
      <c r="I442" s="118"/>
      <c r="J442" s="119"/>
      <c r="K442" s="120"/>
      <c r="L442" s="120"/>
      <c r="M442" s="120"/>
      <c r="N442" s="120"/>
      <c r="O442" s="118"/>
      <c r="P442" s="120"/>
      <c r="Q442" s="121"/>
      <c r="R442" s="109" t="b">
        <v>0</v>
      </c>
      <c r="S442" s="143"/>
      <c r="T442" s="110"/>
      <c r="U442" s="118"/>
      <c r="V442" s="118"/>
      <c r="W442" s="118"/>
      <c r="X442" s="118"/>
      <c r="Y442" s="118"/>
      <c r="Z442" s="118"/>
      <c r="AA442" s="118"/>
      <c r="AB442" s="118"/>
      <c r="AC442" s="118"/>
      <c r="AD442" s="111"/>
      <c r="AE442" s="122"/>
      <c r="AF442" s="122"/>
      <c r="AG442" s="122"/>
      <c r="AH442" s="122"/>
    </row>
    <row r="443" ht="22.5" customHeight="1">
      <c r="A443" s="73"/>
      <c r="B443" s="73"/>
      <c r="C443" s="73"/>
      <c r="D443" s="73"/>
      <c r="E443" s="330"/>
      <c r="F443" s="118"/>
      <c r="G443" s="118"/>
      <c r="H443" s="118"/>
      <c r="I443" s="118"/>
      <c r="J443" s="119"/>
      <c r="K443" s="120"/>
      <c r="L443" s="120"/>
      <c r="M443" s="120"/>
      <c r="N443" s="120"/>
      <c r="O443" s="118"/>
      <c r="P443" s="120"/>
      <c r="Q443" s="121"/>
      <c r="R443" s="109" t="b">
        <v>0</v>
      </c>
      <c r="S443" s="143"/>
      <c r="T443" s="110"/>
      <c r="U443" s="118"/>
      <c r="V443" s="118"/>
      <c r="W443" s="118"/>
      <c r="X443" s="118"/>
      <c r="Y443" s="118"/>
      <c r="Z443" s="118"/>
      <c r="AA443" s="118"/>
      <c r="AB443" s="118"/>
      <c r="AC443" s="118"/>
      <c r="AD443" s="111"/>
      <c r="AE443" s="122"/>
      <c r="AF443" s="122"/>
      <c r="AG443" s="122"/>
      <c r="AH443" s="122"/>
    </row>
    <row r="444" ht="22.5" customHeight="1">
      <c r="A444" s="73"/>
      <c r="B444" s="73"/>
      <c r="C444" s="73"/>
      <c r="D444" s="73"/>
      <c r="E444" s="330"/>
      <c r="F444" s="118"/>
      <c r="G444" s="118"/>
      <c r="H444" s="118"/>
      <c r="I444" s="118"/>
      <c r="J444" s="119"/>
      <c r="K444" s="120"/>
      <c r="L444" s="120"/>
      <c r="M444" s="120"/>
      <c r="N444" s="120"/>
      <c r="O444" s="118"/>
      <c r="P444" s="120"/>
      <c r="Q444" s="121"/>
      <c r="R444" s="109" t="b">
        <v>0</v>
      </c>
      <c r="S444" s="143"/>
      <c r="T444" s="110"/>
      <c r="U444" s="118"/>
      <c r="V444" s="118"/>
      <c r="W444" s="118"/>
      <c r="X444" s="118"/>
      <c r="Y444" s="118"/>
      <c r="Z444" s="118"/>
      <c r="AA444" s="118"/>
      <c r="AB444" s="118"/>
      <c r="AC444" s="118"/>
      <c r="AD444" s="111"/>
      <c r="AE444" s="122"/>
      <c r="AF444" s="122"/>
      <c r="AG444" s="122"/>
      <c r="AH444" s="122"/>
    </row>
    <row r="445" ht="22.5" customHeight="1">
      <c r="A445" s="73"/>
      <c r="B445" s="73"/>
      <c r="C445" s="73"/>
      <c r="D445" s="73"/>
      <c r="E445" s="330"/>
      <c r="F445" s="118"/>
      <c r="G445" s="118"/>
      <c r="H445" s="118"/>
      <c r="I445" s="118"/>
      <c r="J445" s="119"/>
      <c r="K445" s="120"/>
      <c r="L445" s="120"/>
      <c r="M445" s="120"/>
      <c r="N445" s="120"/>
      <c r="O445" s="118"/>
      <c r="P445" s="120"/>
      <c r="Q445" s="121"/>
      <c r="R445" s="109" t="b">
        <v>0</v>
      </c>
      <c r="S445" s="143"/>
      <c r="T445" s="110"/>
      <c r="U445" s="118"/>
      <c r="V445" s="118"/>
      <c r="W445" s="118"/>
      <c r="X445" s="118"/>
      <c r="Y445" s="118"/>
      <c r="Z445" s="118"/>
      <c r="AA445" s="118"/>
      <c r="AB445" s="118"/>
      <c r="AC445" s="118"/>
      <c r="AD445" s="111"/>
      <c r="AE445" s="122"/>
      <c r="AF445" s="122"/>
      <c r="AG445" s="122"/>
      <c r="AH445" s="122"/>
    </row>
    <row r="446" ht="22.5" customHeight="1">
      <c r="A446" s="73"/>
      <c r="B446" s="73"/>
      <c r="C446" s="73"/>
      <c r="D446" s="73"/>
      <c r="E446" s="330"/>
      <c r="F446" s="118"/>
      <c r="G446" s="118"/>
      <c r="H446" s="118"/>
      <c r="I446" s="118"/>
      <c r="J446" s="119"/>
      <c r="K446" s="120"/>
      <c r="L446" s="120"/>
      <c r="M446" s="120"/>
      <c r="N446" s="120"/>
      <c r="O446" s="118"/>
      <c r="P446" s="120"/>
      <c r="Q446" s="121"/>
      <c r="R446" s="109" t="b">
        <v>0</v>
      </c>
      <c r="S446" s="143"/>
      <c r="T446" s="110"/>
      <c r="U446" s="118"/>
      <c r="V446" s="118"/>
      <c r="W446" s="118"/>
      <c r="X446" s="118"/>
      <c r="Y446" s="118"/>
      <c r="Z446" s="118"/>
      <c r="AA446" s="118"/>
      <c r="AB446" s="118"/>
      <c r="AC446" s="118"/>
      <c r="AD446" s="111"/>
      <c r="AE446" s="122"/>
      <c r="AF446" s="122"/>
      <c r="AG446" s="122"/>
      <c r="AH446" s="122"/>
    </row>
    <row r="447" ht="22.5" customHeight="1">
      <c r="A447" s="73"/>
      <c r="B447" s="73"/>
      <c r="C447" s="73"/>
      <c r="D447" s="73"/>
      <c r="E447" s="330"/>
      <c r="F447" s="118"/>
      <c r="G447" s="118"/>
      <c r="H447" s="118"/>
      <c r="I447" s="118"/>
      <c r="J447" s="119"/>
      <c r="K447" s="120"/>
      <c r="L447" s="120"/>
      <c r="M447" s="120"/>
      <c r="N447" s="120"/>
      <c r="O447" s="118"/>
      <c r="P447" s="120"/>
      <c r="Q447" s="121"/>
      <c r="R447" s="109" t="b">
        <v>0</v>
      </c>
      <c r="S447" s="143"/>
      <c r="T447" s="110"/>
      <c r="U447" s="118"/>
      <c r="V447" s="118"/>
      <c r="W447" s="118"/>
      <c r="X447" s="118"/>
      <c r="Y447" s="118"/>
      <c r="Z447" s="118"/>
      <c r="AA447" s="118"/>
      <c r="AB447" s="118"/>
      <c r="AC447" s="118"/>
      <c r="AD447" s="111"/>
      <c r="AE447" s="122"/>
      <c r="AF447" s="122"/>
      <c r="AG447" s="122"/>
      <c r="AH447" s="122"/>
    </row>
    <row r="448" ht="22.5" customHeight="1">
      <c r="A448" s="73"/>
      <c r="B448" s="73"/>
      <c r="C448" s="73"/>
      <c r="D448" s="73"/>
      <c r="E448" s="330"/>
      <c r="F448" s="118"/>
      <c r="G448" s="118"/>
      <c r="H448" s="118"/>
      <c r="I448" s="118"/>
      <c r="J448" s="119"/>
      <c r="K448" s="120"/>
      <c r="L448" s="120"/>
      <c r="M448" s="120"/>
      <c r="N448" s="120"/>
      <c r="O448" s="118"/>
      <c r="P448" s="120"/>
      <c r="Q448" s="121"/>
      <c r="R448" s="109" t="b">
        <v>0</v>
      </c>
      <c r="S448" s="143"/>
      <c r="T448" s="110"/>
      <c r="U448" s="118"/>
      <c r="V448" s="118"/>
      <c r="W448" s="118"/>
      <c r="X448" s="118"/>
      <c r="Y448" s="118"/>
      <c r="Z448" s="118"/>
      <c r="AA448" s="118"/>
      <c r="AB448" s="118"/>
      <c r="AC448" s="118"/>
      <c r="AD448" s="111"/>
      <c r="AE448" s="122"/>
      <c r="AF448" s="122"/>
      <c r="AG448" s="122"/>
      <c r="AH448" s="122"/>
    </row>
    <row r="449" ht="22.5" customHeight="1">
      <c r="A449" s="73"/>
      <c r="B449" s="73"/>
      <c r="C449" s="73"/>
      <c r="D449" s="73"/>
      <c r="E449" s="330"/>
      <c r="F449" s="118"/>
      <c r="G449" s="118"/>
      <c r="H449" s="118"/>
      <c r="I449" s="118"/>
      <c r="J449" s="119"/>
      <c r="K449" s="120"/>
      <c r="L449" s="120"/>
      <c r="M449" s="120"/>
      <c r="N449" s="120"/>
      <c r="O449" s="118"/>
      <c r="P449" s="120"/>
      <c r="Q449" s="121"/>
      <c r="R449" s="109" t="b">
        <v>0</v>
      </c>
      <c r="S449" s="143"/>
      <c r="T449" s="110"/>
      <c r="U449" s="118"/>
      <c r="V449" s="118"/>
      <c r="W449" s="118"/>
      <c r="X449" s="118"/>
      <c r="Y449" s="118"/>
      <c r="Z449" s="118"/>
      <c r="AA449" s="118"/>
      <c r="AB449" s="118"/>
      <c r="AC449" s="118"/>
      <c r="AD449" s="111"/>
      <c r="AE449" s="122"/>
      <c r="AF449" s="122"/>
      <c r="AG449" s="122"/>
      <c r="AH449" s="122"/>
    </row>
    <row r="450" ht="22.5" customHeight="1">
      <c r="A450" s="73"/>
      <c r="B450" s="73"/>
      <c r="C450" s="73"/>
      <c r="D450" s="73"/>
      <c r="E450" s="330"/>
      <c r="F450" s="118"/>
      <c r="G450" s="118"/>
      <c r="H450" s="118"/>
      <c r="I450" s="118"/>
      <c r="J450" s="119"/>
      <c r="K450" s="120"/>
      <c r="L450" s="120"/>
      <c r="M450" s="120"/>
      <c r="N450" s="120"/>
      <c r="O450" s="118"/>
      <c r="P450" s="120"/>
      <c r="Q450" s="121"/>
      <c r="R450" s="109" t="b">
        <v>0</v>
      </c>
      <c r="S450" s="143"/>
      <c r="T450" s="110"/>
      <c r="U450" s="118"/>
      <c r="V450" s="118"/>
      <c r="W450" s="118"/>
      <c r="X450" s="118"/>
      <c r="Y450" s="118"/>
      <c r="Z450" s="118"/>
      <c r="AA450" s="118"/>
      <c r="AB450" s="118"/>
      <c r="AC450" s="118"/>
      <c r="AD450" s="111"/>
      <c r="AE450" s="122"/>
      <c r="AF450" s="122"/>
      <c r="AG450" s="122"/>
      <c r="AH450" s="122"/>
    </row>
    <row r="451" ht="22.5" customHeight="1">
      <c r="A451" s="73"/>
      <c r="B451" s="73"/>
      <c r="C451" s="73"/>
      <c r="D451" s="73"/>
      <c r="E451" s="330"/>
      <c r="F451" s="118"/>
      <c r="G451" s="118"/>
      <c r="H451" s="118"/>
      <c r="I451" s="118"/>
      <c r="J451" s="119"/>
      <c r="K451" s="120"/>
      <c r="L451" s="120"/>
      <c r="M451" s="120"/>
      <c r="N451" s="120"/>
      <c r="O451" s="118"/>
      <c r="P451" s="120"/>
      <c r="Q451" s="121"/>
      <c r="R451" s="109" t="b">
        <v>0</v>
      </c>
      <c r="S451" s="143"/>
      <c r="T451" s="110"/>
      <c r="U451" s="118"/>
      <c r="V451" s="118"/>
      <c r="W451" s="118"/>
      <c r="X451" s="118"/>
      <c r="Y451" s="118"/>
      <c r="Z451" s="118"/>
      <c r="AA451" s="118"/>
      <c r="AB451" s="118"/>
      <c r="AC451" s="118"/>
      <c r="AD451" s="111"/>
      <c r="AE451" s="122"/>
      <c r="AF451" s="122"/>
      <c r="AG451" s="122"/>
      <c r="AH451" s="122"/>
    </row>
    <row r="452" ht="22.5" customHeight="1">
      <c r="A452" s="73"/>
      <c r="B452" s="73"/>
      <c r="C452" s="73"/>
      <c r="D452" s="73"/>
      <c r="E452" s="330"/>
      <c r="F452" s="118"/>
      <c r="G452" s="118"/>
      <c r="H452" s="118"/>
      <c r="I452" s="118"/>
      <c r="J452" s="119"/>
      <c r="K452" s="120"/>
      <c r="L452" s="120"/>
      <c r="M452" s="120"/>
      <c r="N452" s="120"/>
      <c r="O452" s="118"/>
      <c r="P452" s="120"/>
      <c r="Q452" s="121"/>
      <c r="R452" s="109" t="b">
        <v>0</v>
      </c>
      <c r="S452" s="143"/>
      <c r="T452" s="110"/>
      <c r="U452" s="118"/>
      <c r="V452" s="118"/>
      <c r="W452" s="118"/>
      <c r="X452" s="118"/>
      <c r="Y452" s="118"/>
      <c r="Z452" s="118"/>
      <c r="AA452" s="118"/>
      <c r="AB452" s="118"/>
      <c r="AC452" s="118"/>
      <c r="AD452" s="111"/>
      <c r="AE452" s="122"/>
      <c r="AF452" s="122"/>
      <c r="AG452" s="122"/>
      <c r="AH452" s="122"/>
    </row>
    <row r="453" ht="22.5" customHeight="1">
      <c r="A453" s="73"/>
      <c r="B453" s="73"/>
      <c r="C453" s="73"/>
      <c r="D453" s="73"/>
      <c r="E453" s="330"/>
      <c r="F453" s="118"/>
      <c r="G453" s="118"/>
      <c r="H453" s="118"/>
      <c r="I453" s="118"/>
      <c r="J453" s="119"/>
      <c r="K453" s="120"/>
      <c r="L453" s="120"/>
      <c r="M453" s="120"/>
      <c r="N453" s="120"/>
      <c r="O453" s="118"/>
      <c r="P453" s="120"/>
      <c r="Q453" s="121"/>
      <c r="R453" s="109" t="b">
        <v>0</v>
      </c>
      <c r="S453" s="143"/>
      <c r="T453" s="110"/>
      <c r="U453" s="118"/>
      <c r="V453" s="118"/>
      <c r="W453" s="118"/>
      <c r="X453" s="118"/>
      <c r="Y453" s="118"/>
      <c r="Z453" s="118"/>
      <c r="AA453" s="118"/>
      <c r="AB453" s="118"/>
      <c r="AC453" s="118"/>
      <c r="AD453" s="111"/>
      <c r="AE453" s="122"/>
      <c r="AF453" s="122"/>
      <c r="AG453" s="122"/>
      <c r="AH453" s="122"/>
    </row>
    <row r="454" ht="22.5" customHeight="1">
      <c r="A454" s="73"/>
      <c r="B454" s="73"/>
      <c r="C454" s="73"/>
      <c r="D454" s="73"/>
      <c r="E454" s="330"/>
      <c r="F454" s="118"/>
      <c r="G454" s="118"/>
      <c r="H454" s="118"/>
      <c r="I454" s="118"/>
      <c r="J454" s="119"/>
      <c r="K454" s="120"/>
      <c r="L454" s="120"/>
      <c r="M454" s="120"/>
      <c r="N454" s="120"/>
      <c r="O454" s="118"/>
      <c r="P454" s="120"/>
      <c r="Q454" s="121"/>
      <c r="R454" s="109" t="b">
        <v>0</v>
      </c>
      <c r="S454" s="143"/>
      <c r="T454" s="110"/>
      <c r="U454" s="118"/>
      <c r="V454" s="118"/>
      <c r="W454" s="118"/>
      <c r="X454" s="118"/>
      <c r="Y454" s="118"/>
      <c r="Z454" s="118"/>
      <c r="AA454" s="118"/>
      <c r="AB454" s="118"/>
      <c r="AC454" s="118"/>
      <c r="AD454" s="111"/>
      <c r="AE454" s="122"/>
      <c r="AF454" s="122"/>
      <c r="AG454" s="122"/>
      <c r="AH454" s="122"/>
    </row>
    <row r="455" ht="22.5" customHeight="1">
      <c r="A455" s="73"/>
      <c r="B455" s="73"/>
      <c r="C455" s="73"/>
      <c r="D455" s="73"/>
      <c r="E455" s="330"/>
      <c r="F455" s="118"/>
      <c r="G455" s="118"/>
      <c r="H455" s="118"/>
      <c r="I455" s="118"/>
      <c r="J455" s="119"/>
      <c r="K455" s="120"/>
      <c r="L455" s="120"/>
      <c r="M455" s="120"/>
      <c r="N455" s="120"/>
      <c r="O455" s="118"/>
      <c r="P455" s="120"/>
      <c r="Q455" s="121"/>
      <c r="R455" s="109" t="b">
        <v>0</v>
      </c>
      <c r="S455" s="143"/>
      <c r="T455" s="110"/>
      <c r="U455" s="118"/>
      <c r="V455" s="118"/>
      <c r="W455" s="118"/>
      <c r="X455" s="118"/>
      <c r="Y455" s="118"/>
      <c r="Z455" s="118"/>
      <c r="AA455" s="118"/>
      <c r="AB455" s="118"/>
      <c r="AC455" s="118"/>
      <c r="AD455" s="111"/>
      <c r="AE455" s="122"/>
      <c r="AF455" s="122"/>
      <c r="AG455" s="122"/>
      <c r="AH455" s="122"/>
    </row>
    <row r="456" ht="22.5" customHeight="1">
      <c r="A456" s="73"/>
      <c r="B456" s="73"/>
      <c r="C456" s="73"/>
      <c r="D456" s="73"/>
      <c r="E456" s="330"/>
      <c r="F456" s="118"/>
      <c r="G456" s="118"/>
      <c r="H456" s="118"/>
      <c r="I456" s="118"/>
      <c r="J456" s="119"/>
      <c r="K456" s="120"/>
      <c r="L456" s="120"/>
      <c r="M456" s="120"/>
      <c r="N456" s="120"/>
      <c r="O456" s="118"/>
      <c r="P456" s="120"/>
      <c r="Q456" s="121"/>
      <c r="R456" s="109" t="b">
        <v>0</v>
      </c>
      <c r="S456" s="143"/>
      <c r="T456" s="110"/>
      <c r="U456" s="118"/>
      <c r="V456" s="118"/>
      <c r="W456" s="118"/>
      <c r="X456" s="118"/>
      <c r="Y456" s="118"/>
      <c r="Z456" s="118"/>
      <c r="AA456" s="118"/>
      <c r="AB456" s="118"/>
      <c r="AC456" s="118"/>
      <c r="AD456" s="111"/>
      <c r="AE456" s="122"/>
      <c r="AF456" s="122"/>
      <c r="AG456" s="122"/>
      <c r="AH456" s="122"/>
    </row>
    <row r="457" ht="22.5" customHeight="1">
      <c r="A457" s="73"/>
      <c r="B457" s="73"/>
      <c r="C457" s="73"/>
      <c r="D457" s="73"/>
      <c r="E457" s="330"/>
      <c r="F457" s="118"/>
      <c r="G457" s="118"/>
      <c r="H457" s="118"/>
      <c r="I457" s="118"/>
      <c r="J457" s="119"/>
      <c r="K457" s="120"/>
      <c r="L457" s="120"/>
      <c r="M457" s="120"/>
      <c r="N457" s="120"/>
      <c r="O457" s="118"/>
      <c r="P457" s="120"/>
      <c r="Q457" s="121"/>
      <c r="R457" s="109" t="b">
        <v>0</v>
      </c>
      <c r="S457" s="143"/>
      <c r="T457" s="110"/>
      <c r="U457" s="118"/>
      <c r="V457" s="118"/>
      <c r="W457" s="118"/>
      <c r="X457" s="118"/>
      <c r="Y457" s="118"/>
      <c r="Z457" s="118"/>
      <c r="AA457" s="118"/>
      <c r="AB457" s="118"/>
      <c r="AC457" s="118"/>
      <c r="AD457" s="111"/>
      <c r="AE457" s="122"/>
      <c r="AF457" s="122"/>
      <c r="AG457" s="122"/>
      <c r="AH457" s="122"/>
    </row>
    <row r="458" ht="22.5" customHeight="1">
      <c r="A458" s="73"/>
      <c r="B458" s="73"/>
      <c r="C458" s="73"/>
      <c r="D458" s="73"/>
      <c r="E458" s="330"/>
      <c r="F458" s="118"/>
      <c r="G458" s="118"/>
      <c r="H458" s="118"/>
      <c r="I458" s="118"/>
      <c r="J458" s="119"/>
      <c r="K458" s="120"/>
      <c r="L458" s="120"/>
      <c r="M458" s="120"/>
      <c r="N458" s="120"/>
      <c r="O458" s="118"/>
      <c r="P458" s="120"/>
      <c r="Q458" s="121"/>
      <c r="R458" s="109" t="b">
        <v>0</v>
      </c>
      <c r="S458" s="143"/>
      <c r="T458" s="110"/>
      <c r="U458" s="118"/>
      <c r="V458" s="118"/>
      <c r="W458" s="118"/>
      <c r="X458" s="118"/>
      <c r="Y458" s="118"/>
      <c r="Z458" s="118"/>
      <c r="AA458" s="118"/>
      <c r="AB458" s="118"/>
      <c r="AC458" s="118"/>
      <c r="AD458" s="111"/>
      <c r="AE458" s="122"/>
      <c r="AF458" s="122"/>
      <c r="AG458" s="122"/>
      <c r="AH458" s="122"/>
    </row>
    <row r="459" ht="22.5" customHeight="1">
      <c r="A459" s="73"/>
      <c r="B459" s="73"/>
      <c r="C459" s="73"/>
      <c r="D459" s="73"/>
      <c r="E459" s="330"/>
      <c r="F459" s="118"/>
      <c r="G459" s="118"/>
      <c r="H459" s="118"/>
      <c r="I459" s="118"/>
      <c r="J459" s="119"/>
      <c r="K459" s="120"/>
      <c r="L459" s="120"/>
      <c r="M459" s="120"/>
      <c r="N459" s="120"/>
      <c r="O459" s="118"/>
      <c r="P459" s="120"/>
      <c r="Q459" s="121"/>
      <c r="R459" s="109" t="b">
        <v>0</v>
      </c>
      <c r="S459" s="143"/>
      <c r="T459" s="110"/>
      <c r="U459" s="118"/>
      <c r="V459" s="118"/>
      <c r="W459" s="118"/>
      <c r="X459" s="118"/>
      <c r="Y459" s="118"/>
      <c r="Z459" s="118"/>
      <c r="AA459" s="118"/>
      <c r="AB459" s="118"/>
      <c r="AC459" s="118"/>
      <c r="AD459" s="111"/>
      <c r="AE459" s="122"/>
      <c r="AF459" s="122"/>
      <c r="AG459" s="122"/>
      <c r="AH459" s="122"/>
    </row>
    <row r="460" ht="22.5" customHeight="1">
      <c r="A460" s="73"/>
      <c r="B460" s="73"/>
      <c r="C460" s="73"/>
      <c r="D460" s="73"/>
      <c r="E460" s="330"/>
      <c r="F460" s="118"/>
      <c r="G460" s="118"/>
      <c r="H460" s="118"/>
      <c r="I460" s="118"/>
      <c r="J460" s="119"/>
      <c r="K460" s="120"/>
      <c r="L460" s="120"/>
      <c r="M460" s="120"/>
      <c r="N460" s="120"/>
      <c r="O460" s="118"/>
      <c r="P460" s="120"/>
      <c r="Q460" s="121"/>
      <c r="R460" s="109" t="b">
        <v>0</v>
      </c>
      <c r="S460" s="143"/>
      <c r="T460" s="110"/>
      <c r="U460" s="118"/>
      <c r="V460" s="118"/>
      <c r="W460" s="118"/>
      <c r="X460" s="118"/>
      <c r="Y460" s="118"/>
      <c r="Z460" s="118"/>
      <c r="AA460" s="118"/>
      <c r="AB460" s="118"/>
      <c r="AC460" s="118"/>
      <c r="AD460" s="111"/>
      <c r="AE460" s="122"/>
      <c r="AF460" s="122"/>
      <c r="AG460" s="122"/>
      <c r="AH460" s="122"/>
    </row>
    <row r="461" ht="22.5" customHeight="1">
      <c r="A461" s="73"/>
      <c r="B461" s="73"/>
      <c r="C461" s="73"/>
      <c r="D461" s="73"/>
      <c r="E461" s="330"/>
      <c r="F461" s="118"/>
      <c r="G461" s="118"/>
      <c r="H461" s="118"/>
      <c r="I461" s="118"/>
      <c r="J461" s="119"/>
      <c r="K461" s="120"/>
      <c r="L461" s="120"/>
      <c r="M461" s="120"/>
      <c r="N461" s="120"/>
      <c r="O461" s="118"/>
      <c r="P461" s="120"/>
      <c r="Q461" s="121"/>
      <c r="R461" s="109" t="b">
        <v>0</v>
      </c>
      <c r="S461" s="143"/>
      <c r="T461" s="110"/>
      <c r="U461" s="118"/>
      <c r="V461" s="118"/>
      <c r="W461" s="118"/>
      <c r="X461" s="118"/>
      <c r="Y461" s="118"/>
      <c r="Z461" s="118"/>
      <c r="AA461" s="118"/>
      <c r="AB461" s="118"/>
      <c r="AC461" s="118"/>
      <c r="AD461" s="111"/>
      <c r="AE461" s="122"/>
      <c r="AF461" s="122"/>
      <c r="AG461" s="122"/>
      <c r="AH461" s="122"/>
    </row>
    <row r="462" ht="22.5" customHeight="1">
      <c r="A462" s="73"/>
      <c r="B462" s="73"/>
      <c r="C462" s="73"/>
      <c r="D462" s="73"/>
      <c r="E462" s="330"/>
      <c r="F462" s="118"/>
      <c r="G462" s="118"/>
      <c r="H462" s="118"/>
      <c r="I462" s="118"/>
      <c r="J462" s="119"/>
      <c r="K462" s="120"/>
      <c r="L462" s="120"/>
      <c r="M462" s="120"/>
      <c r="N462" s="120"/>
      <c r="O462" s="118"/>
      <c r="P462" s="120"/>
      <c r="Q462" s="121"/>
      <c r="R462" s="109" t="b">
        <v>0</v>
      </c>
      <c r="S462" s="143"/>
      <c r="T462" s="110"/>
      <c r="U462" s="118"/>
      <c r="V462" s="118"/>
      <c r="W462" s="118"/>
      <c r="X462" s="118"/>
      <c r="Y462" s="118"/>
      <c r="Z462" s="118"/>
      <c r="AA462" s="118"/>
      <c r="AB462" s="118"/>
      <c r="AC462" s="118"/>
      <c r="AD462" s="111"/>
      <c r="AE462" s="122"/>
      <c r="AF462" s="122"/>
      <c r="AG462" s="122"/>
      <c r="AH462" s="122"/>
    </row>
    <row r="463" ht="22.5" customHeight="1">
      <c r="A463" s="73"/>
      <c r="B463" s="73"/>
      <c r="C463" s="73"/>
      <c r="D463" s="73"/>
      <c r="E463" s="330"/>
      <c r="F463" s="118"/>
      <c r="G463" s="118"/>
      <c r="H463" s="118"/>
      <c r="I463" s="118"/>
      <c r="J463" s="119"/>
      <c r="K463" s="120"/>
      <c r="L463" s="120"/>
      <c r="M463" s="120"/>
      <c r="N463" s="120"/>
      <c r="O463" s="118"/>
      <c r="P463" s="120"/>
      <c r="Q463" s="121"/>
      <c r="R463" s="109" t="b">
        <v>0</v>
      </c>
      <c r="S463" s="143"/>
      <c r="T463" s="110"/>
      <c r="U463" s="118"/>
      <c r="V463" s="118"/>
      <c r="W463" s="118"/>
      <c r="X463" s="118"/>
      <c r="Y463" s="118"/>
      <c r="Z463" s="118"/>
      <c r="AA463" s="118"/>
      <c r="AB463" s="118"/>
      <c r="AC463" s="118"/>
      <c r="AD463" s="111"/>
      <c r="AE463" s="122"/>
      <c r="AF463" s="122"/>
      <c r="AG463" s="122"/>
      <c r="AH463" s="122"/>
    </row>
    <row r="464" ht="22.5" customHeight="1">
      <c r="A464" s="73"/>
      <c r="B464" s="73"/>
      <c r="C464" s="73"/>
      <c r="D464" s="73"/>
      <c r="E464" s="330"/>
      <c r="F464" s="118"/>
      <c r="G464" s="118"/>
      <c r="H464" s="118"/>
      <c r="I464" s="118"/>
      <c r="J464" s="119"/>
      <c r="K464" s="120"/>
      <c r="L464" s="120"/>
      <c r="M464" s="120"/>
      <c r="N464" s="120"/>
      <c r="O464" s="118"/>
      <c r="P464" s="120"/>
      <c r="Q464" s="121"/>
      <c r="R464" s="109" t="b">
        <v>0</v>
      </c>
      <c r="S464" s="143"/>
      <c r="T464" s="110"/>
      <c r="U464" s="118"/>
      <c r="V464" s="118"/>
      <c r="W464" s="118"/>
      <c r="X464" s="118"/>
      <c r="Y464" s="118"/>
      <c r="Z464" s="118"/>
      <c r="AA464" s="118"/>
      <c r="AB464" s="118"/>
      <c r="AC464" s="118"/>
      <c r="AD464" s="111"/>
      <c r="AE464" s="122"/>
      <c r="AF464" s="122"/>
      <c r="AG464" s="122"/>
      <c r="AH464" s="122"/>
    </row>
    <row r="465" ht="22.5" customHeight="1">
      <c r="A465" s="73"/>
      <c r="B465" s="73"/>
      <c r="C465" s="73"/>
      <c r="D465" s="73"/>
      <c r="E465" s="330"/>
      <c r="F465" s="118"/>
      <c r="G465" s="118"/>
      <c r="H465" s="118"/>
      <c r="I465" s="118"/>
      <c r="J465" s="119"/>
      <c r="K465" s="120"/>
      <c r="L465" s="120"/>
      <c r="M465" s="120"/>
      <c r="N465" s="120"/>
      <c r="O465" s="118"/>
      <c r="P465" s="120"/>
      <c r="Q465" s="121"/>
      <c r="R465" s="109" t="b">
        <v>0</v>
      </c>
      <c r="S465" s="143"/>
      <c r="T465" s="110"/>
      <c r="U465" s="118"/>
      <c r="V465" s="118"/>
      <c r="W465" s="118"/>
      <c r="X465" s="118"/>
      <c r="Y465" s="118"/>
      <c r="Z465" s="118"/>
      <c r="AA465" s="118"/>
      <c r="AB465" s="118"/>
      <c r="AC465" s="118"/>
      <c r="AD465" s="111"/>
      <c r="AE465" s="122"/>
      <c r="AF465" s="122"/>
      <c r="AG465" s="122"/>
      <c r="AH465" s="122"/>
    </row>
    <row r="466" ht="22.5" customHeight="1">
      <c r="A466" s="73"/>
      <c r="B466" s="73"/>
      <c r="C466" s="73"/>
      <c r="D466" s="73"/>
      <c r="E466" s="330"/>
      <c r="F466" s="118"/>
      <c r="G466" s="118"/>
      <c r="H466" s="118"/>
      <c r="I466" s="118"/>
      <c r="J466" s="119"/>
      <c r="K466" s="120"/>
      <c r="L466" s="120"/>
      <c r="M466" s="120"/>
      <c r="N466" s="120"/>
      <c r="O466" s="118"/>
      <c r="P466" s="120"/>
      <c r="Q466" s="121"/>
      <c r="R466" s="109" t="b">
        <v>0</v>
      </c>
      <c r="S466" s="143"/>
      <c r="T466" s="110"/>
      <c r="U466" s="118"/>
      <c r="V466" s="118"/>
      <c r="W466" s="118"/>
      <c r="X466" s="118"/>
      <c r="Y466" s="118"/>
      <c r="Z466" s="118"/>
      <c r="AA466" s="118"/>
      <c r="AB466" s="118"/>
      <c r="AC466" s="118"/>
      <c r="AD466" s="111"/>
      <c r="AE466" s="122"/>
      <c r="AF466" s="122"/>
      <c r="AG466" s="122"/>
      <c r="AH466" s="122"/>
    </row>
    <row r="467" ht="22.5" customHeight="1">
      <c r="A467" s="73"/>
      <c r="B467" s="73"/>
      <c r="C467" s="73"/>
      <c r="D467" s="73"/>
      <c r="E467" s="330"/>
      <c r="F467" s="118"/>
      <c r="G467" s="118"/>
      <c r="H467" s="118"/>
      <c r="I467" s="118"/>
      <c r="J467" s="119"/>
      <c r="K467" s="120"/>
      <c r="L467" s="120"/>
      <c r="M467" s="120"/>
      <c r="N467" s="120"/>
      <c r="O467" s="118"/>
      <c r="P467" s="120"/>
      <c r="Q467" s="121"/>
      <c r="R467" s="109" t="b">
        <v>0</v>
      </c>
      <c r="S467" s="143"/>
      <c r="T467" s="110"/>
      <c r="U467" s="118"/>
      <c r="V467" s="118"/>
      <c r="W467" s="118"/>
      <c r="X467" s="118"/>
      <c r="Y467" s="118"/>
      <c r="Z467" s="118"/>
      <c r="AA467" s="118"/>
      <c r="AB467" s="118"/>
      <c r="AC467" s="118"/>
      <c r="AD467" s="111"/>
      <c r="AE467" s="122"/>
      <c r="AF467" s="122"/>
      <c r="AG467" s="122"/>
      <c r="AH467" s="122"/>
    </row>
    <row r="468" ht="22.5" customHeight="1">
      <c r="A468" s="73"/>
      <c r="B468" s="73"/>
      <c r="C468" s="73"/>
      <c r="D468" s="73"/>
      <c r="E468" s="330"/>
      <c r="F468" s="118"/>
      <c r="G468" s="118"/>
      <c r="H468" s="118"/>
      <c r="I468" s="118"/>
      <c r="J468" s="119"/>
      <c r="K468" s="120"/>
      <c r="L468" s="120"/>
      <c r="M468" s="120"/>
      <c r="N468" s="120"/>
      <c r="O468" s="118"/>
      <c r="P468" s="120"/>
      <c r="Q468" s="121"/>
      <c r="R468" s="109" t="b">
        <v>0</v>
      </c>
      <c r="S468" s="143"/>
      <c r="T468" s="110"/>
      <c r="U468" s="118"/>
      <c r="V468" s="118"/>
      <c r="W468" s="118"/>
      <c r="X468" s="118"/>
      <c r="Y468" s="118"/>
      <c r="Z468" s="118"/>
      <c r="AA468" s="118"/>
      <c r="AB468" s="118"/>
      <c r="AC468" s="118"/>
      <c r="AD468" s="111"/>
      <c r="AE468" s="122"/>
      <c r="AF468" s="122"/>
      <c r="AG468" s="122"/>
      <c r="AH468" s="122"/>
    </row>
    <row r="469" ht="22.5" customHeight="1">
      <c r="A469" s="73"/>
      <c r="B469" s="73"/>
      <c r="C469" s="73"/>
      <c r="D469" s="73"/>
      <c r="E469" s="330"/>
      <c r="F469" s="118"/>
      <c r="G469" s="118"/>
      <c r="H469" s="118"/>
      <c r="I469" s="118"/>
      <c r="J469" s="119"/>
      <c r="K469" s="120"/>
      <c r="L469" s="120"/>
      <c r="M469" s="120"/>
      <c r="N469" s="120"/>
      <c r="O469" s="118"/>
      <c r="P469" s="120"/>
      <c r="Q469" s="121"/>
      <c r="R469" s="109" t="b">
        <v>0</v>
      </c>
      <c r="S469" s="143"/>
      <c r="T469" s="110"/>
      <c r="U469" s="118"/>
      <c r="V469" s="118"/>
      <c r="W469" s="118"/>
      <c r="X469" s="118"/>
      <c r="Y469" s="118"/>
      <c r="Z469" s="118"/>
      <c r="AA469" s="118"/>
      <c r="AB469" s="118"/>
      <c r="AC469" s="118"/>
      <c r="AD469" s="111"/>
      <c r="AE469" s="122"/>
      <c r="AF469" s="122"/>
      <c r="AG469" s="122"/>
      <c r="AH469" s="122"/>
    </row>
    <row r="470" ht="22.5" customHeight="1">
      <c r="A470" s="73"/>
      <c r="B470" s="73"/>
      <c r="C470" s="73"/>
      <c r="D470" s="73"/>
      <c r="E470" s="330"/>
      <c r="F470" s="118"/>
      <c r="G470" s="118"/>
      <c r="H470" s="118"/>
      <c r="I470" s="118"/>
      <c r="J470" s="119"/>
      <c r="K470" s="120"/>
      <c r="L470" s="120"/>
      <c r="M470" s="120"/>
      <c r="N470" s="120"/>
      <c r="O470" s="118"/>
      <c r="P470" s="120"/>
      <c r="Q470" s="121"/>
      <c r="R470" s="109" t="b">
        <v>0</v>
      </c>
      <c r="S470" s="143"/>
      <c r="T470" s="110"/>
      <c r="U470" s="118"/>
      <c r="V470" s="118"/>
      <c r="W470" s="118"/>
      <c r="X470" s="118"/>
      <c r="Y470" s="118"/>
      <c r="Z470" s="118"/>
      <c r="AA470" s="118"/>
      <c r="AB470" s="118"/>
      <c r="AC470" s="118"/>
      <c r="AD470" s="111"/>
      <c r="AE470" s="122"/>
      <c r="AF470" s="122"/>
      <c r="AG470" s="122"/>
      <c r="AH470" s="122"/>
    </row>
    <row r="471" ht="22.5" customHeight="1">
      <c r="A471" s="73"/>
      <c r="B471" s="73"/>
      <c r="C471" s="73"/>
      <c r="D471" s="73"/>
      <c r="E471" s="330"/>
      <c r="F471" s="118"/>
      <c r="G471" s="118"/>
      <c r="H471" s="118"/>
      <c r="I471" s="118"/>
      <c r="J471" s="119"/>
      <c r="K471" s="120"/>
      <c r="L471" s="120"/>
      <c r="M471" s="120"/>
      <c r="N471" s="120"/>
      <c r="O471" s="118"/>
      <c r="P471" s="120"/>
      <c r="Q471" s="121"/>
      <c r="R471" s="109" t="b">
        <v>0</v>
      </c>
      <c r="S471" s="143"/>
      <c r="T471" s="110"/>
      <c r="U471" s="118"/>
      <c r="V471" s="118"/>
      <c r="W471" s="118"/>
      <c r="X471" s="118"/>
      <c r="Y471" s="118"/>
      <c r="Z471" s="118"/>
      <c r="AA471" s="118"/>
      <c r="AB471" s="118"/>
      <c r="AC471" s="118"/>
      <c r="AD471" s="111"/>
      <c r="AE471" s="122"/>
      <c r="AF471" s="122"/>
      <c r="AG471" s="122"/>
      <c r="AH471" s="122"/>
    </row>
    <row r="472" ht="22.5" customHeight="1">
      <c r="A472" s="73"/>
      <c r="B472" s="73"/>
      <c r="C472" s="73"/>
      <c r="D472" s="73"/>
      <c r="E472" s="330"/>
      <c r="F472" s="118"/>
      <c r="G472" s="118"/>
      <c r="H472" s="118"/>
      <c r="I472" s="118"/>
      <c r="J472" s="119"/>
      <c r="K472" s="120"/>
      <c r="L472" s="120"/>
      <c r="M472" s="120"/>
      <c r="N472" s="120"/>
      <c r="O472" s="118"/>
      <c r="P472" s="120"/>
      <c r="Q472" s="121"/>
      <c r="R472" s="109" t="b">
        <v>0</v>
      </c>
      <c r="S472" s="143"/>
      <c r="T472" s="110"/>
      <c r="U472" s="118"/>
      <c r="V472" s="118"/>
      <c r="W472" s="118"/>
      <c r="X472" s="118"/>
      <c r="Y472" s="118"/>
      <c r="Z472" s="118"/>
      <c r="AA472" s="118"/>
      <c r="AB472" s="118"/>
      <c r="AC472" s="118"/>
      <c r="AD472" s="111"/>
      <c r="AE472" s="122"/>
      <c r="AF472" s="122"/>
      <c r="AG472" s="122"/>
      <c r="AH472" s="122"/>
    </row>
    <row r="473" ht="22.5" customHeight="1">
      <c r="A473" s="73"/>
      <c r="B473" s="73"/>
      <c r="C473" s="73"/>
      <c r="D473" s="73"/>
      <c r="E473" s="330"/>
      <c r="F473" s="118"/>
      <c r="G473" s="118"/>
      <c r="H473" s="118"/>
      <c r="I473" s="118"/>
      <c r="J473" s="119"/>
      <c r="K473" s="120"/>
      <c r="L473" s="120"/>
      <c r="M473" s="120"/>
      <c r="N473" s="120"/>
      <c r="O473" s="118"/>
      <c r="P473" s="120"/>
      <c r="Q473" s="121"/>
      <c r="R473" s="109" t="b">
        <v>0</v>
      </c>
      <c r="S473" s="143"/>
      <c r="T473" s="110"/>
      <c r="U473" s="118"/>
      <c r="V473" s="118"/>
      <c r="W473" s="118"/>
      <c r="X473" s="118"/>
      <c r="Y473" s="118"/>
      <c r="Z473" s="118"/>
      <c r="AA473" s="118"/>
      <c r="AB473" s="118"/>
      <c r="AC473" s="118"/>
      <c r="AD473" s="111"/>
      <c r="AE473" s="122"/>
      <c r="AF473" s="122"/>
      <c r="AG473" s="122"/>
      <c r="AH473" s="122"/>
    </row>
    <row r="474" ht="22.5" customHeight="1">
      <c r="A474" s="73"/>
      <c r="B474" s="73"/>
      <c r="C474" s="73"/>
      <c r="D474" s="73"/>
      <c r="E474" s="330"/>
      <c r="F474" s="118"/>
      <c r="G474" s="118"/>
      <c r="H474" s="118"/>
      <c r="I474" s="118"/>
      <c r="J474" s="119"/>
      <c r="K474" s="120"/>
      <c r="L474" s="120"/>
      <c r="M474" s="120"/>
      <c r="N474" s="120"/>
      <c r="O474" s="118"/>
      <c r="P474" s="120"/>
      <c r="Q474" s="121"/>
      <c r="R474" s="109" t="b">
        <v>0</v>
      </c>
      <c r="S474" s="143"/>
      <c r="T474" s="110"/>
      <c r="U474" s="118"/>
      <c r="V474" s="118"/>
      <c r="W474" s="118"/>
      <c r="X474" s="118"/>
      <c r="Y474" s="118"/>
      <c r="Z474" s="118"/>
      <c r="AA474" s="118"/>
      <c r="AB474" s="118"/>
      <c r="AC474" s="118"/>
      <c r="AD474" s="111"/>
      <c r="AE474" s="122"/>
      <c r="AF474" s="122"/>
      <c r="AG474" s="122"/>
      <c r="AH474" s="122"/>
    </row>
    <row r="475" ht="22.5" customHeight="1">
      <c r="A475" s="73"/>
      <c r="B475" s="73"/>
      <c r="C475" s="73"/>
      <c r="D475" s="73"/>
      <c r="E475" s="330"/>
      <c r="F475" s="118"/>
      <c r="G475" s="118"/>
      <c r="H475" s="118"/>
      <c r="I475" s="118"/>
      <c r="J475" s="119"/>
      <c r="K475" s="120"/>
      <c r="L475" s="120"/>
      <c r="M475" s="120"/>
      <c r="N475" s="120"/>
      <c r="O475" s="118"/>
      <c r="P475" s="120"/>
      <c r="Q475" s="121"/>
      <c r="R475" s="109" t="b">
        <v>0</v>
      </c>
      <c r="S475" s="143"/>
      <c r="T475" s="110"/>
      <c r="U475" s="118"/>
      <c r="V475" s="118"/>
      <c r="W475" s="118"/>
      <c r="X475" s="118"/>
      <c r="Y475" s="118"/>
      <c r="Z475" s="118"/>
      <c r="AA475" s="118"/>
      <c r="AB475" s="118"/>
      <c r="AC475" s="118"/>
      <c r="AD475" s="111"/>
      <c r="AE475" s="122"/>
      <c r="AF475" s="122"/>
      <c r="AG475" s="122"/>
      <c r="AH475" s="122"/>
    </row>
    <row r="476" ht="22.5" customHeight="1">
      <c r="A476" s="73"/>
      <c r="B476" s="73"/>
      <c r="C476" s="73"/>
      <c r="D476" s="73"/>
      <c r="E476" s="330"/>
      <c r="F476" s="118"/>
      <c r="G476" s="118"/>
      <c r="H476" s="118"/>
      <c r="I476" s="118"/>
      <c r="J476" s="119"/>
      <c r="K476" s="120"/>
      <c r="L476" s="120"/>
      <c r="M476" s="120"/>
      <c r="N476" s="120"/>
      <c r="O476" s="118"/>
      <c r="P476" s="120"/>
      <c r="Q476" s="121"/>
      <c r="R476" s="109" t="b">
        <v>0</v>
      </c>
      <c r="S476" s="143"/>
      <c r="T476" s="110"/>
      <c r="U476" s="118"/>
      <c r="V476" s="118"/>
      <c r="W476" s="118"/>
      <c r="X476" s="118"/>
      <c r="Y476" s="118"/>
      <c r="Z476" s="118"/>
      <c r="AA476" s="118"/>
      <c r="AB476" s="118"/>
      <c r="AC476" s="118"/>
      <c r="AD476" s="111"/>
      <c r="AE476" s="122"/>
      <c r="AF476" s="122"/>
      <c r="AG476" s="122"/>
      <c r="AH476" s="122"/>
    </row>
    <row r="477" ht="22.5" customHeight="1">
      <c r="A477" s="73"/>
      <c r="B477" s="73"/>
      <c r="C477" s="73"/>
      <c r="D477" s="73"/>
      <c r="E477" s="330"/>
      <c r="F477" s="118"/>
      <c r="G477" s="118"/>
      <c r="H477" s="118"/>
      <c r="I477" s="118"/>
      <c r="J477" s="119"/>
      <c r="K477" s="120"/>
      <c r="L477" s="120"/>
      <c r="M477" s="120"/>
      <c r="N477" s="120"/>
      <c r="O477" s="118"/>
      <c r="P477" s="120"/>
      <c r="Q477" s="121"/>
      <c r="R477" s="109" t="b">
        <v>0</v>
      </c>
      <c r="S477" s="143"/>
      <c r="T477" s="110"/>
      <c r="U477" s="118"/>
      <c r="V477" s="118"/>
      <c r="W477" s="118"/>
      <c r="X477" s="118"/>
      <c r="Y477" s="118"/>
      <c r="Z477" s="118"/>
      <c r="AA477" s="118"/>
      <c r="AB477" s="118"/>
      <c r="AC477" s="118"/>
      <c r="AD477" s="111"/>
      <c r="AE477" s="122"/>
      <c r="AF477" s="122"/>
      <c r="AG477" s="122"/>
      <c r="AH477" s="122"/>
    </row>
    <row r="478" ht="22.5" customHeight="1">
      <c r="A478" s="73"/>
      <c r="B478" s="73"/>
      <c r="C478" s="73"/>
      <c r="D478" s="73"/>
      <c r="E478" s="330"/>
      <c r="F478" s="118"/>
      <c r="G478" s="118"/>
      <c r="H478" s="118"/>
      <c r="I478" s="118"/>
      <c r="J478" s="119"/>
      <c r="K478" s="120"/>
      <c r="L478" s="120"/>
      <c r="M478" s="120"/>
      <c r="N478" s="120"/>
      <c r="O478" s="118"/>
      <c r="P478" s="120"/>
      <c r="Q478" s="121"/>
      <c r="R478" s="109" t="b">
        <v>0</v>
      </c>
      <c r="S478" s="143"/>
      <c r="T478" s="110"/>
      <c r="U478" s="118"/>
      <c r="V478" s="118"/>
      <c r="W478" s="118"/>
      <c r="X478" s="118"/>
      <c r="Y478" s="118"/>
      <c r="Z478" s="118"/>
      <c r="AA478" s="118"/>
      <c r="AB478" s="118"/>
      <c r="AC478" s="118"/>
      <c r="AD478" s="111"/>
      <c r="AE478" s="122"/>
      <c r="AF478" s="122"/>
      <c r="AG478" s="122"/>
      <c r="AH478" s="122"/>
    </row>
    <row r="479" ht="22.5" customHeight="1">
      <c r="A479" s="73"/>
      <c r="B479" s="73"/>
      <c r="C479" s="73"/>
      <c r="D479" s="73"/>
      <c r="E479" s="330"/>
      <c r="F479" s="118"/>
      <c r="G479" s="118"/>
      <c r="H479" s="118"/>
      <c r="I479" s="118"/>
      <c r="J479" s="119"/>
      <c r="K479" s="120"/>
      <c r="L479" s="120"/>
      <c r="M479" s="120"/>
      <c r="N479" s="120"/>
      <c r="O479" s="118"/>
      <c r="P479" s="120"/>
      <c r="Q479" s="121"/>
      <c r="R479" s="109" t="b">
        <v>0</v>
      </c>
      <c r="S479" s="143"/>
      <c r="T479" s="110"/>
      <c r="U479" s="118"/>
      <c r="V479" s="118"/>
      <c r="W479" s="118"/>
      <c r="X479" s="118"/>
      <c r="Y479" s="118"/>
      <c r="Z479" s="118"/>
      <c r="AA479" s="118"/>
      <c r="AB479" s="118"/>
      <c r="AC479" s="118"/>
      <c r="AD479" s="111"/>
      <c r="AE479" s="122"/>
      <c r="AF479" s="122"/>
      <c r="AG479" s="122"/>
      <c r="AH479" s="122"/>
    </row>
    <row r="480" ht="22.5" customHeight="1">
      <c r="A480" s="73"/>
      <c r="B480" s="73"/>
      <c r="C480" s="73"/>
      <c r="D480" s="73"/>
      <c r="E480" s="330"/>
      <c r="F480" s="118"/>
      <c r="G480" s="118"/>
      <c r="H480" s="118"/>
      <c r="I480" s="118"/>
      <c r="J480" s="119"/>
      <c r="K480" s="120"/>
      <c r="L480" s="120"/>
      <c r="M480" s="120"/>
      <c r="N480" s="120"/>
      <c r="O480" s="118"/>
      <c r="P480" s="120"/>
      <c r="Q480" s="121"/>
      <c r="R480" s="109" t="b">
        <v>0</v>
      </c>
      <c r="S480" s="143"/>
      <c r="T480" s="110"/>
      <c r="U480" s="118"/>
      <c r="V480" s="118"/>
      <c r="W480" s="118"/>
      <c r="X480" s="118"/>
      <c r="Y480" s="118"/>
      <c r="Z480" s="118"/>
      <c r="AA480" s="118"/>
      <c r="AB480" s="118"/>
      <c r="AC480" s="118"/>
      <c r="AD480" s="111"/>
      <c r="AE480" s="122"/>
      <c r="AF480" s="122"/>
      <c r="AG480" s="122"/>
      <c r="AH480" s="122"/>
    </row>
    <row r="481" ht="22.5" customHeight="1">
      <c r="A481" s="73"/>
      <c r="B481" s="73"/>
      <c r="C481" s="73"/>
      <c r="D481" s="73"/>
      <c r="E481" s="330"/>
      <c r="F481" s="118"/>
      <c r="G481" s="118"/>
      <c r="H481" s="118"/>
      <c r="I481" s="118"/>
      <c r="J481" s="119"/>
      <c r="K481" s="120"/>
      <c r="L481" s="120"/>
      <c r="M481" s="120"/>
      <c r="N481" s="120"/>
      <c r="O481" s="118"/>
      <c r="P481" s="120"/>
      <c r="Q481" s="121"/>
      <c r="R481" s="109" t="b">
        <v>0</v>
      </c>
      <c r="S481" s="143"/>
      <c r="T481" s="110"/>
      <c r="U481" s="118"/>
      <c r="V481" s="118"/>
      <c r="W481" s="118"/>
      <c r="X481" s="118"/>
      <c r="Y481" s="118"/>
      <c r="Z481" s="118"/>
      <c r="AA481" s="118"/>
      <c r="AB481" s="118"/>
      <c r="AC481" s="118"/>
      <c r="AD481" s="111"/>
      <c r="AE481" s="122"/>
      <c r="AF481" s="122"/>
      <c r="AG481" s="122"/>
      <c r="AH481" s="122"/>
    </row>
    <row r="482" ht="22.5" customHeight="1">
      <c r="A482" s="73"/>
      <c r="B482" s="73"/>
      <c r="C482" s="73"/>
      <c r="D482" s="73"/>
      <c r="E482" s="330"/>
      <c r="F482" s="118"/>
      <c r="G482" s="118"/>
      <c r="H482" s="118"/>
      <c r="I482" s="118"/>
      <c r="J482" s="119"/>
      <c r="K482" s="120"/>
      <c r="L482" s="120"/>
      <c r="M482" s="120"/>
      <c r="N482" s="120"/>
      <c r="O482" s="118"/>
      <c r="P482" s="120"/>
      <c r="Q482" s="121"/>
      <c r="R482" s="109" t="b">
        <v>0</v>
      </c>
      <c r="S482" s="143"/>
      <c r="T482" s="110"/>
      <c r="U482" s="118"/>
      <c r="V482" s="118"/>
      <c r="W482" s="118"/>
      <c r="X482" s="118"/>
      <c r="Y482" s="118"/>
      <c r="Z482" s="118"/>
      <c r="AA482" s="118"/>
      <c r="AB482" s="118"/>
      <c r="AC482" s="118"/>
      <c r="AD482" s="111"/>
      <c r="AE482" s="122"/>
      <c r="AF482" s="122"/>
      <c r="AG482" s="122"/>
      <c r="AH482" s="122"/>
    </row>
    <row r="483" ht="22.5" customHeight="1">
      <c r="A483" s="73"/>
      <c r="B483" s="73"/>
      <c r="C483" s="73"/>
      <c r="D483" s="73"/>
      <c r="E483" s="330"/>
      <c r="F483" s="118"/>
      <c r="G483" s="118"/>
      <c r="H483" s="118"/>
      <c r="I483" s="118"/>
      <c r="J483" s="119"/>
      <c r="K483" s="120"/>
      <c r="L483" s="120"/>
      <c r="M483" s="120"/>
      <c r="N483" s="120"/>
      <c r="O483" s="118"/>
      <c r="P483" s="120"/>
      <c r="Q483" s="121"/>
      <c r="R483" s="109" t="b">
        <v>0</v>
      </c>
      <c r="S483" s="143"/>
      <c r="T483" s="110"/>
      <c r="U483" s="118"/>
      <c r="V483" s="118"/>
      <c r="W483" s="118"/>
      <c r="X483" s="118"/>
      <c r="Y483" s="118"/>
      <c r="Z483" s="118"/>
      <c r="AA483" s="118"/>
      <c r="AB483" s="118"/>
      <c r="AC483" s="118"/>
      <c r="AD483" s="111"/>
      <c r="AE483" s="122"/>
      <c r="AF483" s="122"/>
      <c r="AG483" s="122"/>
      <c r="AH483" s="122"/>
    </row>
    <row r="484" ht="22.5" customHeight="1">
      <c r="A484" s="73"/>
      <c r="B484" s="73"/>
      <c r="C484" s="73"/>
      <c r="D484" s="73"/>
      <c r="E484" s="330"/>
      <c r="F484" s="118"/>
      <c r="G484" s="118"/>
      <c r="H484" s="118"/>
      <c r="I484" s="118"/>
      <c r="J484" s="119"/>
      <c r="K484" s="120"/>
      <c r="L484" s="120"/>
      <c r="M484" s="120"/>
      <c r="N484" s="120"/>
      <c r="O484" s="118"/>
      <c r="P484" s="120"/>
      <c r="Q484" s="121"/>
      <c r="R484" s="109" t="b">
        <v>0</v>
      </c>
      <c r="S484" s="143"/>
      <c r="T484" s="110"/>
      <c r="U484" s="118"/>
      <c r="V484" s="118"/>
      <c r="W484" s="118"/>
      <c r="X484" s="118"/>
      <c r="Y484" s="118"/>
      <c r="Z484" s="118"/>
      <c r="AA484" s="118"/>
      <c r="AB484" s="118"/>
      <c r="AC484" s="118"/>
      <c r="AD484" s="111"/>
      <c r="AE484" s="122"/>
      <c r="AF484" s="122"/>
      <c r="AG484" s="122"/>
      <c r="AH484" s="122"/>
    </row>
    <row r="485" ht="22.5" customHeight="1">
      <c r="A485" s="73"/>
      <c r="B485" s="73"/>
      <c r="C485" s="73"/>
      <c r="D485" s="73"/>
      <c r="E485" s="330"/>
      <c r="F485" s="118"/>
      <c r="G485" s="118"/>
      <c r="H485" s="118"/>
      <c r="I485" s="118"/>
      <c r="J485" s="119"/>
      <c r="K485" s="120"/>
      <c r="L485" s="120"/>
      <c r="M485" s="120"/>
      <c r="N485" s="120"/>
      <c r="O485" s="118"/>
      <c r="P485" s="120"/>
      <c r="Q485" s="121"/>
      <c r="R485" s="109" t="b">
        <v>0</v>
      </c>
      <c r="S485" s="143"/>
      <c r="T485" s="110"/>
      <c r="U485" s="118"/>
      <c r="V485" s="118"/>
      <c r="W485" s="118"/>
      <c r="X485" s="118"/>
      <c r="Y485" s="118"/>
      <c r="Z485" s="118"/>
      <c r="AA485" s="118"/>
      <c r="AB485" s="118"/>
      <c r="AC485" s="118"/>
      <c r="AD485" s="111"/>
      <c r="AE485" s="122"/>
      <c r="AF485" s="122"/>
      <c r="AG485" s="122"/>
      <c r="AH485" s="122"/>
    </row>
    <row r="486" ht="22.5" customHeight="1">
      <c r="A486" s="73"/>
      <c r="B486" s="73"/>
      <c r="C486" s="73"/>
      <c r="D486" s="73"/>
      <c r="E486" s="330"/>
      <c r="F486" s="118"/>
      <c r="G486" s="118"/>
      <c r="H486" s="118"/>
      <c r="I486" s="118"/>
      <c r="J486" s="119"/>
      <c r="K486" s="120"/>
      <c r="L486" s="120"/>
      <c r="M486" s="120"/>
      <c r="N486" s="120"/>
      <c r="O486" s="118"/>
      <c r="P486" s="120"/>
      <c r="Q486" s="121"/>
      <c r="R486" s="109" t="b">
        <v>0</v>
      </c>
      <c r="S486" s="143"/>
      <c r="T486" s="110"/>
      <c r="U486" s="118"/>
      <c r="V486" s="118"/>
      <c r="W486" s="118"/>
      <c r="X486" s="118"/>
      <c r="Y486" s="118"/>
      <c r="Z486" s="118"/>
      <c r="AA486" s="118"/>
      <c r="AB486" s="118"/>
      <c r="AC486" s="118"/>
      <c r="AD486" s="111"/>
      <c r="AE486" s="122"/>
      <c r="AF486" s="122"/>
      <c r="AG486" s="122"/>
      <c r="AH486" s="122"/>
    </row>
    <row r="487" ht="22.5" customHeight="1">
      <c r="A487" s="73"/>
      <c r="B487" s="73"/>
      <c r="C487" s="73"/>
      <c r="D487" s="73"/>
      <c r="E487" s="330"/>
      <c r="F487" s="118"/>
      <c r="G487" s="118"/>
      <c r="H487" s="118"/>
      <c r="I487" s="118"/>
      <c r="J487" s="119"/>
      <c r="K487" s="120"/>
      <c r="L487" s="120"/>
      <c r="M487" s="120"/>
      <c r="N487" s="120"/>
      <c r="O487" s="118"/>
      <c r="P487" s="120"/>
      <c r="Q487" s="121"/>
      <c r="R487" s="109" t="b">
        <v>0</v>
      </c>
      <c r="S487" s="143"/>
      <c r="T487" s="110"/>
      <c r="U487" s="118"/>
      <c r="V487" s="118"/>
      <c r="W487" s="118"/>
      <c r="X487" s="118"/>
      <c r="Y487" s="118"/>
      <c r="Z487" s="118"/>
      <c r="AA487" s="118"/>
      <c r="AB487" s="118"/>
      <c r="AC487" s="118"/>
      <c r="AD487" s="111"/>
      <c r="AE487" s="122"/>
      <c r="AF487" s="122"/>
      <c r="AG487" s="122"/>
      <c r="AH487" s="122"/>
    </row>
    <row r="488" ht="22.5" customHeight="1">
      <c r="A488" s="73"/>
      <c r="B488" s="73"/>
      <c r="C488" s="73"/>
      <c r="D488" s="73"/>
      <c r="E488" s="330"/>
      <c r="F488" s="118"/>
      <c r="G488" s="118"/>
      <c r="H488" s="118"/>
      <c r="I488" s="118"/>
      <c r="J488" s="119"/>
      <c r="K488" s="120"/>
      <c r="L488" s="120"/>
      <c r="M488" s="120"/>
      <c r="N488" s="120"/>
      <c r="O488" s="118"/>
      <c r="P488" s="120"/>
      <c r="Q488" s="121"/>
      <c r="R488" s="109" t="b">
        <v>0</v>
      </c>
      <c r="S488" s="143"/>
      <c r="T488" s="110"/>
      <c r="U488" s="118"/>
      <c r="V488" s="118"/>
      <c r="W488" s="118"/>
      <c r="X488" s="118"/>
      <c r="Y488" s="118"/>
      <c r="Z488" s="118"/>
      <c r="AA488" s="118"/>
      <c r="AB488" s="118"/>
      <c r="AC488" s="118"/>
      <c r="AD488" s="111"/>
      <c r="AE488" s="122"/>
      <c r="AF488" s="122"/>
      <c r="AG488" s="122"/>
      <c r="AH488" s="122"/>
    </row>
    <row r="489" ht="22.5" customHeight="1">
      <c r="A489" s="73"/>
      <c r="B489" s="73"/>
      <c r="C489" s="73"/>
      <c r="D489" s="73"/>
      <c r="E489" s="330"/>
      <c r="F489" s="118"/>
      <c r="G489" s="118"/>
      <c r="H489" s="118"/>
      <c r="I489" s="118"/>
      <c r="J489" s="119"/>
      <c r="K489" s="120"/>
      <c r="L489" s="120"/>
      <c r="M489" s="120"/>
      <c r="N489" s="120"/>
      <c r="O489" s="118"/>
      <c r="P489" s="120"/>
      <c r="Q489" s="121"/>
      <c r="R489" s="109" t="b">
        <v>0</v>
      </c>
      <c r="S489" s="143"/>
      <c r="T489" s="110"/>
      <c r="U489" s="118"/>
      <c r="V489" s="118"/>
      <c r="W489" s="118"/>
      <c r="X489" s="118"/>
      <c r="Y489" s="118"/>
      <c r="Z489" s="118"/>
      <c r="AA489" s="118"/>
      <c r="AB489" s="118"/>
      <c r="AC489" s="118"/>
      <c r="AD489" s="111"/>
      <c r="AE489" s="122"/>
      <c r="AF489" s="122"/>
      <c r="AG489" s="122"/>
      <c r="AH489" s="122"/>
    </row>
    <row r="490" ht="22.5" customHeight="1">
      <c r="A490" s="73"/>
      <c r="B490" s="73"/>
      <c r="C490" s="73"/>
      <c r="D490" s="73"/>
      <c r="E490" s="330"/>
      <c r="F490" s="118"/>
      <c r="G490" s="118"/>
      <c r="H490" s="118"/>
      <c r="I490" s="118"/>
      <c r="J490" s="119"/>
      <c r="K490" s="120"/>
      <c r="L490" s="120"/>
      <c r="M490" s="120"/>
      <c r="N490" s="120"/>
      <c r="O490" s="118"/>
      <c r="P490" s="120"/>
      <c r="Q490" s="121"/>
      <c r="R490" s="109" t="b">
        <v>0</v>
      </c>
      <c r="S490" s="143"/>
      <c r="T490" s="110"/>
      <c r="U490" s="118"/>
      <c r="V490" s="118"/>
      <c r="W490" s="118"/>
      <c r="X490" s="118"/>
      <c r="Y490" s="118"/>
      <c r="Z490" s="118"/>
      <c r="AA490" s="118"/>
      <c r="AB490" s="118"/>
      <c r="AC490" s="118"/>
      <c r="AD490" s="111"/>
      <c r="AE490" s="122"/>
      <c r="AF490" s="122"/>
      <c r="AG490" s="122"/>
      <c r="AH490" s="122"/>
    </row>
    <row r="491" ht="22.5" customHeight="1">
      <c r="A491" s="73"/>
      <c r="B491" s="73"/>
      <c r="C491" s="73"/>
      <c r="D491" s="73"/>
      <c r="E491" s="330"/>
      <c r="F491" s="118"/>
      <c r="G491" s="118"/>
      <c r="H491" s="118"/>
      <c r="I491" s="118"/>
      <c r="J491" s="119"/>
      <c r="K491" s="120"/>
      <c r="L491" s="120"/>
      <c r="M491" s="120"/>
      <c r="N491" s="120"/>
      <c r="O491" s="118"/>
      <c r="P491" s="120"/>
      <c r="Q491" s="121"/>
      <c r="R491" s="109" t="b">
        <v>0</v>
      </c>
      <c r="S491" s="143"/>
      <c r="T491" s="110"/>
      <c r="U491" s="118"/>
      <c r="V491" s="118"/>
      <c r="W491" s="118"/>
      <c r="X491" s="118"/>
      <c r="Y491" s="118"/>
      <c r="Z491" s="118"/>
      <c r="AA491" s="118"/>
      <c r="AB491" s="118"/>
      <c r="AC491" s="118"/>
      <c r="AD491" s="111"/>
      <c r="AE491" s="122"/>
      <c r="AF491" s="122"/>
      <c r="AG491" s="122"/>
      <c r="AH491" s="122"/>
    </row>
    <row r="492" ht="22.5" customHeight="1">
      <c r="A492" s="73"/>
      <c r="B492" s="73"/>
      <c r="C492" s="73"/>
      <c r="D492" s="73"/>
      <c r="E492" s="330"/>
      <c r="F492" s="118"/>
      <c r="G492" s="118"/>
      <c r="H492" s="118"/>
      <c r="I492" s="118"/>
      <c r="J492" s="119"/>
      <c r="K492" s="120"/>
      <c r="L492" s="120"/>
      <c r="M492" s="120"/>
      <c r="N492" s="120"/>
      <c r="O492" s="118"/>
      <c r="P492" s="120"/>
      <c r="Q492" s="121"/>
      <c r="R492" s="109" t="b">
        <v>0</v>
      </c>
      <c r="S492" s="143"/>
      <c r="T492" s="110"/>
      <c r="U492" s="118"/>
      <c r="V492" s="118"/>
      <c r="W492" s="118"/>
      <c r="X492" s="118"/>
      <c r="Y492" s="118"/>
      <c r="Z492" s="118"/>
      <c r="AA492" s="118"/>
      <c r="AB492" s="118"/>
      <c r="AC492" s="118"/>
      <c r="AD492" s="111"/>
      <c r="AE492" s="122"/>
      <c r="AF492" s="122"/>
      <c r="AG492" s="122"/>
      <c r="AH492" s="122"/>
    </row>
    <row r="493" ht="22.5" customHeight="1">
      <c r="A493" s="73"/>
      <c r="B493" s="73"/>
      <c r="C493" s="73"/>
      <c r="D493" s="73"/>
      <c r="E493" s="330"/>
      <c r="F493" s="118"/>
      <c r="G493" s="118"/>
      <c r="H493" s="118"/>
      <c r="I493" s="118"/>
      <c r="J493" s="119"/>
      <c r="K493" s="120"/>
      <c r="L493" s="120"/>
      <c r="M493" s="120"/>
      <c r="N493" s="120"/>
      <c r="O493" s="118"/>
      <c r="P493" s="120"/>
      <c r="Q493" s="121"/>
      <c r="R493" s="109" t="b">
        <v>0</v>
      </c>
      <c r="S493" s="143"/>
      <c r="T493" s="110"/>
      <c r="U493" s="118"/>
      <c r="V493" s="118"/>
      <c r="W493" s="118"/>
      <c r="X493" s="118"/>
      <c r="Y493" s="118"/>
      <c r="Z493" s="118"/>
      <c r="AA493" s="118"/>
      <c r="AB493" s="118"/>
      <c r="AC493" s="118"/>
      <c r="AD493" s="111"/>
      <c r="AE493" s="122"/>
      <c r="AF493" s="122"/>
      <c r="AG493" s="122"/>
      <c r="AH493" s="122"/>
    </row>
    <row r="494" ht="22.5" customHeight="1">
      <c r="A494" s="73"/>
      <c r="B494" s="73"/>
      <c r="C494" s="73"/>
      <c r="D494" s="73"/>
      <c r="E494" s="330"/>
      <c r="F494" s="118"/>
      <c r="G494" s="118"/>
      <c r="H494" s="118"/>
      <c r="I494" s="118"/>
      <c r="J494" s="119"/>
      <c r="K494" s="120"/>
      <c r="L494" s="120"/>
      <c r="M494" s="120"/>
      <c r="N494" s="120"/>
      <c r="O494" s="118"/>
      <c r="P494" s="120"/>
      <c r="Q494" s="121"/>
      <c r="R494" s="109" t="b">
        <v>0</v>
      </c>
      <c r="S494" s="143"/>
      <c r="T494" s="110"/>
      <c r="U494" s="118"/>
      <c r="V494" s="118"/>
      <c r="W494" s="118"/>
      <c r="X494" s="118"/>
      <c r="Y494" s="118"/>
      <c r="Z494" s="118"/>
      <c r="AA494" s="118"/>
      <c r="AB494" s="118"/>
      <c r="AC494" s="118"/>
      <c r="AD494" s="111"/>
      <c r="AE494" s="122"/>
      <c r="AF494" s="122"/>
      <c r="AG494" s="122"/>
      <c r="AH494" s="122"/>
    </row>
    <row r="495" ht="22.5" customHeight="1">
      <c r="A495" s="73"/>
      <c r="B495" s="73"/>
      <c r="C495" s="73"/>
      <c r="D495" s="73"/>
      <c r="E495" s="330"/>
      <c r="F495" s="118"/>
      <c r="G495" s="118"/>
      <c r="H495" s="118"/>
      <c r="I495" s="118"/>
      <c r="J495" s="119"/>
      <c r="K495" s="120"/>
      <c r="L495" s="120"/>
      <c r="M495" s="120"/>
      <c r="N495" s="120"/>
      <c r="O495" s="118"/>
      <c r="P495" s="120"/>
      <c r="Q495" s="121"/>
      <c r="R495" s="109" t="b">
        <v>0</v>
      </c>
      <c r="S495" s="143"/>
      <c r="T495" s="110"/>
      <c r="U495" s="118"/>
      <c r="V495" s="118"/>
      <c r="W495" s="118"/>
      <c r="X495" s="118"/>
      <c r="Y495" s="118"/>
      <c r="Z495" s="118"/>
      <c r="AA495" s="118"/>
      <c r="AB495" s="118"/>
      <c r="AC495" s="118"/>
      <c r="AD495" s="111"/>
      <c r="AE495" s="122"/>
      <c r="AF495" s="122"/>
      <c r="AG495" s="122"/>
      <c r="AH495" s="122"/>
    </row>
    <row r="496" ht="22.5" customHeight="1">
      <c r="A496" s="73"/>
      <c r="B496" s="73"/>
      <c r="C496" s="73"/>
      <c r="D496" s="73"/>
      <c r="E496" s="330"/>
      <c r="F496" s="118"/>
      <c r="G496" s="118"/>
      <c r="H496" s="118"/>
      <c r="I496" s="118"/>
      <c r="J496" s="119"/>
      <c r="K496" s="120"/>
      <c r="L496" s="120"/>
      <c r="M496" s="120"/>
      <c r="N496" s="120"/>
      <c r="O496" s="118"/>
      <c r="P496" s="120"/>
      <c r="Q496" s="121"/>
      <c r="R496" s="109" t="b">
        <v>0</v>
      </c>
      <c r="S496" s="143"/>
      <c r="T496" s="110"/>
      <c r="U496" s="118"/>
      <c r="V496" s="118"/>
      <c r="W496" s="118"/>
      <c r="X496" s="118"/>
      <c r="Y496" s="118"/>
      <c r="Z496" s="118"/>
      <c r="AA496" s="118"/>
      <c r="AB496" s="118"/>
      <c r="AC496" s="118"/>
      <c r="AD496" s="111"/>
      <c r="AE496" s="122"/>
      <c r="AF496" s="122"/>
      <c r="AG496" s="122"/>
      <c r="AH496" s="122"/>
    </row>
    <row r="497" ht="22.5" customHeight="1">
      <c r="A497" s="73"/>
      <c r="B497" s="73"/>
      <c r="C497" s="73"/>
      <c r="D497" s="73"/>
      <c r="E497" s="330"/>
      <c r="F497" s="118"/>
      <c r="G497" s="118"/>
      <c r="H497" s="118"/>
      <c r="I497" s="118"/>
      <c r="J497" s="119"/>
      <c r="K497" s="120"/>
      <c r="L497" s="120"/>
      <c r="M497" s="120"/>
      <c r="N497" s="120"/>
      <c r="O497" s="118"/>
      <c r="P497" s="120"/>
      <c r="Q497" s="121"/>
      <c r="R497" s="109" t="b">
        <v>0</v>
      </c>
      <c r="S497" s="143"/>
      <c r="T497" s="110"/>
      <c r="U497" s="118"/>
      <c r="V497" s="118"/>
      <c r="W497" s="118"/>
      <c r="X497" s="118"/>
      <c r="Y497" s="118"/>
      <c r="Z497" s="118"/>
      <c r="AA497" s="118"/>
      <c r="AB497" s="118"/>
      <c r="AC497" s="118"/>
      <c r="AD497" s="111"/>
      <c r="AE497" s="122"/>
      <c r="AF497" s="122"/>
      <c r="AG497" s="122"/>
      <c r="AH497" s="122"/>
    </row>
    <row r="498" ht="22.5" customHeight="1">
      <c r="A498" s="73"/>
      <c r="B498" s="73"/>
      <c r="C498" s="73"/>
      <c r="D498" s="73"/>
      <c r="E498" s="330"/>
      <c r="F498" s="118"/>
      <c r="G498" s="118"/>
      <c r="H498" s="118"/>
      <c r="I498" s="118"/>
      <c r="J498" s="119"/>
      <c r="K498" s="120"/>
      <c r="L498" s="120"/>
      <c r="M498" s="120"/>
      <c r="N498" s="120"/>
      <c r="O498" s="118"/>
      <c r="P498" s="120"/>
      <c r="Q498" s="121"/>
      <c r="R498" s="109" t="b">
        <v>0</v>
      </c>
      <c r="S498" s="143"/>
      <c r="T498" s="110"/>
      <c r="U498" s="118"/>
      <c r="V498" s="118"/>
      <c r="W498" s="118"/>
      <c r="X498" s="118"/>
      <c r="Y498" s="118"/>
      <c r="Z498" s="118"/>
      <c r="AA498" s="118"/>
      <c r="AB498" s="118"/>
      <c r="AC498" s="118"/>
      <c r="AD498" s="111"/>
      <c r="AE498" s="122"/>
      <c r="AF498" s="122"/>
      <c r="AG498" s="122"/>
      <c r="AH498" s="122"/>
    </row>
    <row r="499" ht="22.5" customHeight="1">
      <c r="A499" s="73"/>
      <c r="B499" s="73"/>
      <c r="C499" s="73"/>
      <c r="D499" s="73"/>
      <c r="E499" s="330"/>
      <c r="F499" s="118"/>
      <c r="G499" s="118"/>
      <c r="H499" s="118"/>
      <c r="I499" s="118"/>
      <c r="J499" s="119"/>
      <c r="K499" s="120"/>
      <c r="L499" s="120"/>
      <c r="M499" s="120"/>
      <c r="N499" s="120"/>
      <c r="O499" s="118"/>
      <c r="P499" s="120"/>
      <c r="Q499" s="121"/>
      <c r="R499" s="109" t="b">
        <v>0</v>
      </c>
      <c r="S499" s="143"/>
      <c r="T499" s="110"/>
      <c r="U499" s="118"/>
      <c r="V499" s="118"/>
      <c r="W499" s="118"/>
      <c r="X499" s="118"/>
      <c r="Y499" s="118"/>
      <c r="Z499" s="118"/>
      <c r="AA499" s="118"/>
      <c r="AB499" s="118"/>
      <c r="AC499" s="118"/>
      <c r="AD499" s="111"/>
      <c r="AE499" s="122"/>
      <c r="AF499" s="122"/>
      <c r="AG499" s="122"/>
      <c r="AH499" s="122"/>
    </row>
    <row r="500" ht="22.5" customHeight="1">
      <c r="A500" s="73"/>
      <c r="B500" s="73"/>
      <c r="C500" s="73"/>
      <c r="D500" s="73"/>
      <c r="E500" s="330"/>
      <c r="F500" s="118"/>
      <c r="G500" s="118"/>
      <c r="H500" s="118"/>
      <c r="I500" s="118"/>
      <c r="J500" s="119"/>
      <c r="K500" s="120"/>
      <c r="L500" s="120"/>
      <c r="M500" s="120"/>
      <c r="N500" s="120"/>
      <c r="O500" s="118"/>
      <c r="P500" s="120"/>
      <c r="Q500" s="121"/>
      <c r="R500" s="109" t="b">
        <v>0</v>
      </c>
      <c r="S500" s="143"/>
      <c r="T500" s="110"/>
      <c r="U500" s="118"/>
      <c r="V500" s="118"/>
      <c r="W500" s="118"/>
      <c r="X500" s="118"/>
      <c r="Y500" s="118"/>
      <c r="Z500" s="118"/>
      <c r="AA500" s="118"/>
      <c r="AB500" s="118"/>
      <c r="AC500" s="118"/>
      <c r="AD500" s="111"/>
      <c r="AE500" s="122"/>
      <c r="AF500" s="122"/>
      <c r="AG500" s="122"/>
      <c r="AH500" s="122"/>
    </row>
    <row r="501" ht="22.5" customHeight="1">
      <c r="A501" s="73"/>
      <c r="B501" s="73"/>
      <c r="C501" s="73"/>
      <c r="D501" s="73"/>
      <c r="E501" s="330"/>
      <c r="F501" s="118"/>
      <c r="G501" s="118"/>
      <c r="H501" s="118"/>
      <c r="I501" s="118"/>
      <c r="J501" s="119"/>
      <c r="K501" s="120"/>
      <c r="L501" s="120"/>
      <c r="M501" s="120"/>
      <c r="N501" s="120"/>
      <c r="O501" s="118"/>
      <c r="P501" s="120"/>
      <c r="Q501" s="121"/>
      <c r="R501" s="109" t="b">
        <v>0</v>
      </c>
      <c r="S501" s="143"/>
      <c r="T501" s="110"/>
      <c r="U501" s="118"/>
      <c r="V501" s="118"/>
      <c r="W501" s="118"/>
      <c r="X501" s="118"/>
      <c r="Y501" s="118"/>
      <c r="Z501" s="118"/>
      <c r="AA501" s="118"/>
      <c r="AB501" s="118"/>
      <c r="AC501" s="118"/>
      <c r="AD501" s="111"/>
      <c r="AE501" s="122"/>
      <c r="AF501" s="122"/>
      <c r="AG501" s="122"/>
      <c r="AH501" s="122"/>
    </row>
    <row r="502" ht="22.5" customHeight="1">
      <c r="A502" s="73"/>
      <c r="B502" s="73"/>
      <c r="C502" s="73"/>
      <c r="D502" s="73"/>
      <c r="E502" s="330"/>
      <c r="F502" s="118"/>
      <c r="G502" s="118"/>
      <c r="H502" s="118"/>
      <c r="I502" s="118"/>
      <c r="J502" s="119"/>
      <c r="K502" s="120"/>
      <c r="L502" s="120"/>
      <c r="M502" s="120"/>
      <c r="N502" s="120"/>
      <c r="O502" s="118"/>
      <c r="P502" s="120"/>
      <c r="Q502" s="121"/>
      <c r="R502" s="109" t="b">
        <v>0</v>
      </c>
      <c r="S502" s="143"/>
      <c r="T502" s="110"/>
      <c r="U502" s="118"/>
      <c r="V502" s="118"/>
      <c r="W502" s="118"/>
      <c r="X502" s="118"/>
      <c r="Y502" s="118"/>
      <c r="Z502" s="118"/>
      <c r="AA502" s="118"/>
      <c r="AB502" s="118"/>
      <c r="AC502" s="118"/>
      <c r="AD502" s="111"/>
      <c r="AE502" s="122"/>
      <c r="AF502" s="122"/>
      <c r="AG502" s="122"/>
      <c r="AH502" s="122"/>
    </row>
    <row r="503" ht="22.5" customHeight="1">
      <c r="A503" s="73"/>
      <c r="B503" s="73"/>
      <c r="C503" s="73"/>
      <c r="D503" s="73"/>
      <c r="E503" s="330"/>
      <c r="F503" s="118"/>
      <c r="G503" s="118"/>
      <c r="H503" s="118"/>
      <c r="I503" s="118"/>
      <c r="J503" s="119"/>
      <c r="K503" s="120"/>
      <c r="L503" s="120"/>
      <c r="M503" s="120"/>
      <c r="N503" s="120"/>
      <c r="O503" s="118"/>
      <c r="P503" s="120"/>
      <c r="Q503" s="121"/>
      <c r="R503" s="109" t="b">
        <v>0</v>
      </c>
      <c r="S503" s="143"/>
      <c r="T503" s="110"/>
      <c r="U503" s="118"/>
      <c r="V503" s="118"/>
      <c r="W503" s="118"/>
      <c r="X503" s="118"/>
      <c r="Y503" s="118"/>
      <c r="Z503" s="118"/>
      <c r="AA503" s="118"/>
      <c r="AB503" s="118"/>
      <c r="AC503" s="118"/>
      <c r="AD503" s="111"/>
      <c r="AE503" s="122"/>
      <c r="AF503" s="122"/>
      <c r="AG503" s="122"/>
      <c r="AH503" s="122"/>
    </row>
    <row r="504" ht="22.5" customHeight="1">
      <c r="A504" s="73"/>
      <c r="B504" s="73"/>
      <c r="C504" s="73"/>
      <c r="D504" s="73"/>
      <c r="E504" s="330"/>
      <c r="F504" s="118"/>
      <c r="G504" s="118"/>
      <c r="H504" s="118"/>
      <c r="I504" s="118"/>
      <c r="J504" s="119"/>
      <c r="K504" s="120"/>
      <c r="L504" s="120"/>
      <c r="M504" s="120"/>
      <c r="N504" s="120"/>
      <c r="O504" s="118"/>
      <c r="P504" s="120"/>
      <c r="Q504" s="121"/>
      <c r="R504" s="109" t="b">
        <v>0</v>
      </c>
      <c r="S504" s="143"/>
      <c r="T504" s="110"/>
      <c r="U504" s="118"/>
      <c r="V504" s="118"/>
      <c r="W504" s="118"/>
      <c r="X504" s="118"/>
      <c r="Y504" s="118"/>
      <c r="Z504" s="118"/>
      <c r="AA504" s="118"/>
      <c r="AB504" s="118"/>
      <c r="AC504" s="118"/>
      <c r="AD504" s="111"/>
      <c r="AE504" s="122"/>
      <c r="AF504" s="122"/>
      <c r="AG504" s="122"/>
      <c r="AH504" s="122"/>
    </row>
    <row r="505" ht="22.5" customHeight="1">
      <c r="A505" s="73"/>
      <c r="B505" s="73"/>
      <c r="C505" s="73"/>
      <c r="D505" s="73"/>
      <c r="E505" s="330"/>
      <c r="F505" s="118"/>
      <c r="G505" s="118"/>
      <c r="H505" s="118"/>
      <c r="I505" s="118"/>
      <c r="J505" s="119"/>
      <c r="K505" s="120"/>
      <c r="L505" s="120"/>
      <c r="M505" s="120"/>
      <c r="N505" s="120"/>
      <c r="O505" s="118"/>
      <c r="P505" s="120"/>
      <c r="Q505" s="121"/>
      <c r="R505" s="109" t="b">
        <v>0</v>
      </c>
      <c r="S505" s="143"/>
      <c r="T505" s="110"/>
      <c r="U505" s="118"/>
      <c r="V505" s="118"/>
      <c r="W505" s="118"/>
      <c r="X505" s="118"/>
      <c r="Y505" s="118"/>
      <c r="Z505" s="118"/>
      <c r="AA505" s="118"/>
      <c r="AB505" s="118"/>
      <c r="AC505" s="118"/>
      <c r="AD505" s="111"/>
      <c r="AE505" s="122"/>
      <c r="AF505" s="122"/>
      <c r="AG505" s="122"/>
      <c r="AH505" s="122"/>
    </row>
    <row r="506" ht="22.5" customHeight="1">
      <c r="A506" s="73"/>
      <c r="B506" s="73"/>
      <c r="C506" s="73"/>
      <c r="D506" s="73"/>
      <c r="E506" s="330"/>
      <c r="F506" s="118"/>
      <c r="G506" s="118"/>
      <c r="H506" s="118"/>
      <c r="I506" s="118"/>
      <c r="J506" s="119"/>
      <c r="K506" s="120"/>
      <c r="L506" s="120"/>
      <c r="M506" s="120"/>
      <c r="N506" s="120"/>
      <c r="O506" s="118"/>
      <c r="P506" s="120"/>
      <c r="Q506" s="121"/>
      <c r="R506" s="109" t="b">
        <v>0</v>
      </c>
      <c r="S506" s="143"/>
      <c r="T506" s="110"/>
      <c r="U506" s="118"/>
      <c r="V506" s="118"/>
      <c r="W506" s="118"/>
      <c r="X506" s="118"/>
      <c r="Y506" s="118"/>
      <c r="Z506" s="118"/>
      <c r="AA506" s="118"/>
      <c r="AB506" s="118"/>
      <c r="AC506" s="118"/>
      <c r="AD506" s="111"/>
      <c r="AE506" s="122"/>
      <c r="AF506" s="122"/>
      <c r="AG506" s="122"/>
      <c r="AH506" s="122"/>
    </row>
    <row r="507" ht="22.5" customHeight="1">
      <c r="A507" s="73"/>
      <c r="B507" s="73"/>
      <c r="C507" s="73"/>
      <c r="D507" s="73"/>
      <c r="E507" s="330"/>
      <c r="F507" s="118"/>
      <c r="G507" s="118"/>
      <c r="H507" s="118"/>
      <c r="I507" s="118"/>
      <c r="J507" s="119"/>
      <c r="K507" s="120"/>
      <c r="L507" s="120"/>
      <c r="M507" s="120"/>
      <c r="N507" s="120"/>
      <c r="O507" s="118"/>
      <c r="P507" s="120"/>
      <c r="Q507" s="121"/>
      <c r="R507" s="109" t="b">
        <v>0</v>
      </c>
      <c r="S507" s="143"/>
      <c r="T507" s="110"/>
      <c r="U507" s="118"/>
      <c r="V507" s="118"/>
      <c r="W507" s="118"/>
      <c r="X507" s="118"/>
      <c r="Y507" s="118"/>
      <c r="Z507" s="118"/>
      <c r="AA507" s="118"/>
      <c r="AB507" s="118"/>
      <c r="AC507" s="118"/>
      <c r="AD507" s="111"/>
      <c r="AE507" s="122"/>
      <c r="AF507" s="122"/>
      <c r="AG507" s="122"/>
      <c r="AH507" s="122"/>
    </row>
    <row r="508" ht="22.5" customHeight="1">
      <c r="A508" s="73"/>
      <c r="B508" s="73"/>
      <c r="C508" s="73"/>
      <c r="D508" s="73"/>
      <c r="E508" s="330"/>
      <c r="F508" s="118"/>
      <c r="G508" s="118"/>
      <c r="H508" s="118"/>
      <c r="I508" s="118"/>
      <c r="J508" s="119"/>
      <c r="K508" s="120"/>
      <c r="L508" s="120"/>
      <c r="M508" s="120"/>
      <c r="N508" s="120"/>
      <c r="O508" s="118"/>
      <c r="P508" s="120"/>
      <c r="Q508" s="121"/>
      <c r="R508" s="109" t="b">
        <v>0</v>
      </c>
      <c r="S508" s="143"/>
      <c r="T508" s="110"/>
      <c r="U508" s="118"/>
      <c r="V508" s="118"/>
      <c r="W508" s="118"/>
      <c r="X508" s="118"/>
      <c r="Y508" s="118"/>
      <c r="Z508" s="118"/>
      <c r="AA508" s="118"/>
      <c r="AB508" s="118"/>
      <c r="AC508" s="118"/>
      <c r="AD508" s="111"/>
      <c r="AE508" s="122"/>
      <c r="AF508" s="122"/>
      <c r="AG508" s="122"/>
      <c r="AH508" s="122"/>
    </row>
    <row r="509" ht="22.5" customHeight="1">
      <c r="A509" s="73"/>
      <c r="B509" s="73"/>
      <c r="C509" s="73"/>
      <c r="D509" s="73"/>
      <c r="E509" s="330"/>
      <c r="F509" s="118"/>
      <c r="G509" s="118"/>
      <c r="H509" s="118"/>
      <c r="I509" s="118"/>
      <c r="J509" s="119"/>
      <c r="K509" s="120"/>
      <c r="L509" s="120"/>
      <c r="M509" s="120"/>
      <c r="N509" s="120"/>
      <c r="O509" s="118"/>
      <c r="P509" s="120"/>
      <c r="Q509" s="121"/>
      <c r="R509" s="109" t="b">
        <v>0</v>
      </c>
      <c r="S509" s="143"/>
      <c r="T509" s="110"/>
      <c r="U509" s="118"/>
      <c r="V509" s="118"/>
      <c r="W509" s="118"/>
      <c r="X509" s="118"/>
      <c r="Y509" s="118"/>
      <c r="Z509" s="118"/>
      <c r="AA509" s="118"/>
      <c r="AB509" s="118"/>
      <c r="AC509" s="118"/>
      <c r="AD509" s="111"/>
      <c r="AE509" s="122"/>
      <c r="AF509" s="122"/>
      <c r="AG509" s="122"/>
      <c r="AH509" s="122"/>
    </row>
    <row r="510" ht="22.5" customHeight="1">
      <c r="A510" s="73"/>
      <c r="B510" s="73"/>
      <c r="C510" s="73"/>
      <c r="D510" s="73"/>
      <c r="E510" s="330"/>
      <c r="F510" s="118"/>
      <c r="G510" s="118"/>
      <c r="H510" s="118"/>
      <c r="I510" s="118"/>
      <c r="J510" s="119"/>
      <c r="K510" s="120"/>
      <c r="L510" s="120"/>
      <c r="M510" s="120"/>
      <c r="N510" s="120"/>
      <c r="O510" s="118"/>
      <c r="P510" s="120"/>
      <c r="Q510" s="121"/>
      <c r="R510" s="109" t="b">
        <v>0</v>
      </c>
      <c r="S510" s="143"/>
      <c r="T510" s="110"/>
      <c r="U510" s="118"/>
      <c r="V510" s="118"/>
      <c r="W510" s="118"/>
      <c r="X510" s="118"/>
      <c r="Y510" s="118"/>
      <c r="Z510" s="118"/>
      <c r="AA510" s="118"/>
      <c r="AB510" s="118"/>
      <c r="AC510" s="118"/>
      <c r="AD510" s="111"/>
      <c r="AE510" s="122"/>
      <c r="AF510" s="122"/>
      <c r="AG510" s="122"/>
      <c r="AH510" s="122"/>
    </row>
    <row r="511" ht="22.5" customHeight="1">
      <c r="A511" s="73"/>
      <c r="B511" s="73"/>
      <c r="C511" s="73"/>
      <c r="D511" s="73"/>
      <c r="E511" s="330"/>
      <c r="F511" s="118"/>
      <c r="G511" s="118"/>
      <c r="H511" s="118"/>
      <c r="I511" s="118"/>
      <c r="J511" s="119"/>
      <c r="K511" s="120"/>
      <c r="L511" s="120"/>
      <c r="M511" s="120"/>
      <c r="N511" s="120"/>
      <c r="O511" s="118"/>
      <c r="P511" s="120"/>
      <c r="Q511" s="121"/>
      <c r="R511" s="109" t="b">
        <v>0</v>
      </c>
      <c r="S511" s="143"/>
      <c r="T511" s="110"/>
      <c r="U511" s="118"/>
      <c r="V511" s="118"/>
      <c r="W511" s="118"/>
      <c r="X511" s="118"/>
      <c r="Y511" s="118"/>
      <c r="Z511" s="118"/>
      <c r="AA511" s="118"/>
      <c r="AB511" s="118"/>
      <c r="AC511" s="118"/>
      <c r="AD511" s="111"/>
      <c r="AE511" s="122"/>
      <c r="AF511" s="122"/>
      <c r="AG511" s="122"/>
      <c r="AH511" s="122"/>
    </row>
    <row r="512" ht="22.5" customHeight="1">
      <c r="A512" s="73"/>
      <c r="B512" s="73"/>
      <c r="C512" s="73"/>
      <c r="D512" s="73"/>
      <c r="E512" s="330"/>
      <c r="F512" s="118"/>
      <c r="G512" s="118"/>
      <c r="H512" s="118"/>
      <c r="I512" s="118"/>
      <c r="J512" s="119"/>
      <c r="K512" s="120"/>
      <c r="L512" s="120"/>
      <c r="M512" s="120"/>
      <c r="N512" s="120"/>
      <c r="O512" s="118"/>
      <c r="P512" s="120"/>
      <c r="Q512" s="121"/>
      <c r="R512" s="109" t="b">
        <v>0</v>
      </c>
      <c r="S512" s="143"/>
      <c r="T512" s="110"/>
      <c r="U512" s="118"/>
      <c r="V512" s="118"/>
      <c r="W512" s="118"/>
      <c r="X512" s="118"/>
      <c r="Y512" s="118"/>
      <c r="Z512" s="118"/>
      <c r="AA512" s="118"/>
      <c r="AB512" s="118"/>
      <c r="AC512" s="118"/>
      <c r="AD512" s="111"/>
      <c r="AE512" s="122"/>
      <c r="AF512" s="122"/>
      <c r="AG512" s="122"/>
      <c r="AH512" s="122"/>
    </row>
    <row r="513" ht="22.5" customHeight="1">
      <c r="A513" s="73"/>
      <c r="B513" s="73"/>
      <c r="C513" s="73"/>
      <c r="D513" s="73"/>
      <c r="E513" s="330"/>
      <c r="F513" s="118"/>
      <c r="G513" s="118"/>
      <c r="H513" s="118"/>
      <c r="I513" s="118"/>
      <c r="J513" s="119"/>
      <c r="K513" s="120"/>
      <c r="L513" s="120"/>
      <c r="M513" s="120"/>
      <c r="N513" s="120"/>
      <c r="O513" s="118"/>
      <c r="P513" s="120"/>
      <c r="Q513" s="121"/>
      <c r="R513" s="109" t="b">
        <v>0</v>
      </c>
      <c r="S513" s="143"/>
      <c r="T513" s="110"/>
      <c r="U513" s="118"/>
      <c r="V513" s="118"/>
      <c r="W513" s="118"/>
      <c r="X513" s="118"/>
      <c r="Y513" s="118"/>
      <c r="Z513" s="118"/>
      <c r="AA513" s="118"/>
      <c r="AB513" s="118"/>
      <c r="AC513" s="118"/>
      <c r="AD513" s="111"/>
      <c r="AE513" s="122"/>
      <c r="AF513" s="122"/>
      <c r="AG513" s="122"/>
      <c r="AH513" s="122"/>
    </row>
    <row r="514" ht="22.5" customHeight="1">
      <c r="A514" s="73"/>
      <c r="B514" s="73"/>
      <c r="C514" s="73"/>
      <c r="D514" s="73"/>
      <c r="E514" s="330"/>
      <c r="F514" s="118"/>
      <c r="G514" s="118"/>
      <c r="H514" s="118"/>
      <c r="I514" s="118"/>
      <c r="J514" s="119"/>
      <c r="K514" s="120"/>
      <c r="L514" s="120"/>
      <c r="M514" s="120"/>
      <c r="N514" s="120"/>
      <c r="O514" s="118"/>
      <c r="P514" s="120"/>
      <c r="Q514" s="121"/>
      <c r="R514" s="109" t="b">
        <v>0</v>
      </c>
      <c r="S514" s="143"/>
      <c r="T514" s="110"/>
      <c r="U514" s="118"/>
      <c r="V514" s="118"/>
      <c r="W514" s="118"/>
      <c r="X514" s="118"/>
      <c r="Y514" s="118"/>
      <c r="Z514" s="118"/>
      <c r="AA514" s="118"/>
      <c r="AB514" s="118"/>
      <c r="AC514" s="118"/>
      <c r="AD514" s="111"/>
      <c r="AE514" s="122"/>
      <c r="AF514" s="122"/>
      <c r="AG514" s="122"/>
      <c r="AH514" s="122"/>
    </row>
    <row r="515" ht="22.5" customHeight="1">
      <c r="A515" s="73"/>
      <c r="B515" s="73"/>
      <c r="C515" s="73"/>
      <c r="D515" s="73"/>
      <c r="E515" s="330"/>
      <c r="F515" s="118"/>
      <c r="G515" s="118"/>
      <c r="H515" s="118"/>
      <c r="I515" s="118"/>
      <c r="J515" s="119"/>
      <c r="K515" s="120"/>
      <c r="L515" s="120"/>
      <c r="M515" s="120"/>
      <c r="N515" s="120"/>
      <c r="O515" s="118"/>
      <c r="P515" s="120"/>
      <c r="Q515" s="121"/>
      <c r="R515" s="109" t="b">
        <v>0</v>
      </c>
      <c r="S515" s="143"/>
      <c r="T515" s="110"/>
      <c r="U515" s="118"/>
      <c r="V515" s="118"/>
      <c r="W515" s="118"/>
      <c r="X515" s="118"/>
      <c r="Y515" s="118"/>
      <c r="Z515" s="118"/>
      <c r="AA515" s="118"/>
      <c r="AB515" s="118"/>
      <c r="AC515" s="118"/>
      <c r="AD515" s="111"/>
      <c r="AE515" s="122"/>
      <c r="AF515" s="122"/>
      <c r="AG515" s="122"/>
      <c r="AH515" s="122"/>
    </row>
    <row r="516" ht="22.5" customHeight="1">
      <c r="A516" s="73"/>
      <c r="B516" s="73"/>
      <c r="C516" s="73"/>
      <c r="D516" s="73"/>
      <c r="E516" s="330"/>
      <c r="F516" s="118"/>
      <c r="G516" s="118"/>
      <c r="H516" s="118"/>
      <c r="I516" s="118"/>
      <c r="J516" s="119"/>
      <c r="K516" s="120"/>
      <c r="L516" s="120"/>
      <c r="M516" s="120"/>
      <c r="N516" s="120"/>
      <c r="O516" s="118"/>
      <c r="P516" s="120"/>
      <c r="Q516" s="121"/>
      <c r="R516" s="109" t="b">
        <v>0</v>
      </c>
      <c r="S516" s="143"/>
      <c r="T516" s="110"/>
      <c r="U516" s="118"/>
      <c r="V516" s="118"/>
      <c r="W516" s="118"/>
      <c r="X516" s="118"/>
      <c r="Y516" s="118"/>
      <c r="Z516" s="118"/>
      <c r="AA516" s="118"/>
      <c r="AB516" s="118"/>
      <c r="AC516" s="118"/>
      <c r="AD516" s="111"/>
      <c r="AE516" s="122"/>
      <c r="AF516" s="122"/>
      <c r="AG516" s="122"/>
      <c r="AH516" s="122"/>
    </row>
    <row r="517" ht="22.5" customHeight="1">
      <c r="A517" s="73"/>
      <c r="B517" s="73"/>
      <c r="C517" s="73"/>
      <c r="D517" s="73"/>
      <c r="E517" s="330"/>
      <c r="F517" s="118"/>
      <c r="G517" s="118"/>
      <c r="H517" s="118"/>
      <c r="I517" s="118"/>
      <c r="J517" s="119"/>
      <c r="K517" s="120"/>
      <c r="L517" s="120"/>
      <c r="M517" s="120"/>
      <c r="N517" s="120"/>
      <c r="O517" s="118"/>
      <c r="P517" s="120"/>
      <c r="Q517" s="121"/>
      <c r="R517" s="109" t="b">
        <v>0</v>
      </c>
      <c r="S517" s="143"/>
      <c r="T517" s="110"/>
      <c r="U517" s="118"/>
      <c r="V517" s="118"/>
      <c r="W517" s="118"/>
      <c r="X517" s="118"/>
      <c r="Y517" s="118"/>
      <c r="Z517" s="118"/>
      <c r="AA517" s="118"/>
      <c r="AB517" s="118"/>
      <c r="AC517" s="118"/>
      <c r="AD517" s="111"/>
      <c r="AE517" s="122"/>
      <c r="AF517" s="122"/>
      <c r="AG517" s="122"/>
      <c r="AH517" s="122"/>
    </row>
    <row r="518" ht="22.5" customHeight="1">
      <c r="A518" s="73"/>
      <c r="B518" s="73"/>
      <c r="C518" s="73"/>
      <c r="D518" s="73"/>
      <c r="E518" s="330"/>
      <c r="F518" s="118"/>
      <c r="G518" s="118"/>
      <c r="H518" s="118"/>
      <c r="I518" s="118"/>
      <c r="J518" s="119"/>
      <c r="K518" s="120"/>
      <c r="L518" s="120"/>
      <c r="M518" s="120"/>
      <c r="N518" s="120"/>
      <c r="O518" s="118"/>
      <c r="P518" s="120"/>
      <c r="Q518" s="121"/>
      <c r="R518" s="109" t="b">
        <v>0</v>
      </c>
      <c r="S518" s="143"/>
      <c r="T518" s="110"/>
      <c r="U518" s="118"/>
      <c r="V518" s="118"/>
      <c r="W518" s="118"/>
      <c r="X518" s="118"/>
      <c r="Y518" s="118"/>
      <c r="Z518" s="118"/>
      <c r="AA518" s="118"/>
      <c r="AB518" s="118"/>
      <c r="AC518" s="118"/>
      <c r="AD518" s="111"/>
      <c r="AE518" s="122"/>
      <c r="AF518" s="122"/>
      <c r="AG518" s="122"/>
      <c r="AH518" s="122"/>
    </row>
    <row r="519" ht="22.5" customHeight="1">
      <c r="A519" s="73"/>
      <c r="B519" s="73"/>
      <c r="C519" s="73"/>
      <c r="D519" s="73"/>
      <c r="E519" s="330"/>
      <c r="F519" s="118"/>
      <c r="G519" s="118"/>
      <c r="H519" s="118"/>
      <c r="I519" s="118"/>
      <c r="J519" s="119"/>
      <c r="K519" s="120"/>
      <c r="L519" s="120"/>
      <c r="M519" s="120"/>
      <c r="N519" s="120"/>
      <c r="O519" s="118"/>
      <c r="P519" s="120"/>
      <c r="Q519" s="121"/>
      <c r="R519" s="109" t="b">
        <v>0</v>
      </c>
      <c r="S519" s="143"/>
      <c r="T519" s="110"/>
      <c r="U519" s="118"/>
      <c r="V519" s="118"/>
      <c r="W519" s="118"/>
      <c r="X519" s="118"/>
      <c r="Y519" s="118"/>
      <c r="Z519" s="118"/>
      <c r="AA519" s="118"/>
      <c r="AB519" s="118"/>
      <c r="AC519" s="118"/>
      <c r="AD519" s="111"/>
      <c r="AE519" s="122"/>
      <c r="AF519" s="122"/>
      <c r="AG519" s="122"/>
      <c r="AH519" s="122"/>
    </row>
    <row r="520" ht="22.5" customHeight="1">
      <c r="A520" s="73"/>
      <c r="B520" s="73"/>
      <c r="C520" s="73"/>
      <c r="D520" s="73"/>
      <c r="E520" s="330"/>
      <c r="F520" s="118"/>
      <c r="G520" s="118"/>
      <c r="H520" s="118"/>
      <c r="I520" s="118"/>
      <c r="J520" s="119"/>
      <c r="K520" s="120"/>
      <c r="L520" s="120"/>
      <c r="M520" s="120"/>
      <c r="N520" s="120"/>
      <c r="O520" s="118"/>
      <c r="P520" s="120"/>
      <c r="Q520" s="121"/>
      <c r="R520" s="109" t="b">
        <v>0</v>
      </c>
      <c r="S520" s="143"/>
      <c r="T520" s="110"/>
      <c r="U520" s="118"/>
      <c r="V520" s="118"/>
      <c r="W520" s="118"/>
      <c r="X520" s="118"/>
      <c r="Y520" s="118"/>
      <c r="Z520" s="118"/>
      <c r="AA520" s="118"/>
      <c r="AB520" s="118"/>
      <c r="AC520" s="118"/>
      <c r="AD520" s="111"/>
      <c r="AE520" s="122"/>
      <c r="AF520" s="122"/>
      <c r="AG520" s="122"/>
      <c r="AH520" s="122"/>
    </row>
    <row r="521" ht="22.5" customHeight="1">
      <c r="A521" s="73"/>
      <c r="B521" s="73"/>
      <c r="C521" s="73"/>
      <c r="D521" s="73"/>
      <c r="E521" s="330"/>
      <c r="F521" s="118"/>
      <c r="G521" s="118"/>
      <c r="H521" s="118"/>
      <c r="I521" s="118"/>
      <c r="J521" s="119"/>
      <c r="K521" s="120"/>
      <c r="L521" s="120"/>
      <c r="M521" s="120"/>
      <c r="N521" s="120"/>
      <c r="O521" s="118"/>
      <c r="P521" s="120"/>
      <c r="Q521" s="121"/>
      <c r="R521" s="109" t="b">
        <v>0</v>
      </c>
      <c r="S521" s="143"/>
      <c r="T521" s="110"/>
      <c r="U521" s="118"/>
      <c r="V521" s="118"/>
      <c r="W521" s="118"/>
      <c r="X521" s="118"/>
      <c r="Y521" s="118"/>
      <c r="Z521" s="118"/>
      <c r="AA521" s="118"/>
      <c r="AB521" s="118"/>
      <c r="AC521" s="118"/>
      <c r="AD521" s="111"/>
      <c r="AE521" s="122"/>
      <c r="AF521" s="122"/>
      <c r="AG521" s="122"/>
      <c r="AH521" s="122"/>
    </row>
    <row r="522" ht="22.5" customHeight="1">
      <c r="A522" s="73"/>
      <c r="B522" s="73"/>
      <c r="C522" s="73"/>
      <c r="D522" s="73"/>
      <c r="E522" s="330"/>
      <c r="F522" s="118"/>
      <c r="G522" s="118"/>
      <c r="H522" s="118"/>
      <c r="I522" s="118"/>
      <c r="J522" s="119"/>
      <c r="K522" s="120"/>
      <c r="L522" s="120"/>
      <c r="M522" s="120"/>
      <c r="N522" s="120"/>
      <c r="O522" s="118"/>
      <c r="P522" s="120"/>
      <c r="Q522" s="121"/>
      <c r="R522" s="109" t="b">
        <v>0</v>
      </c>
      <c r="S522" s="143"/>
      <c r="T522" s="110"/>
      <c r="U522" s="118"/>
      <c r="V522" s="118"/>
      <c r="W522" s="118"/>
      <c r="X522" s="118"/>
      <c r="Y522" s="118"/>
      <c r="Z522" s="118"/>
      <c r="AA522" s="118"/>
      <c r="AB522" s="118"/>
      <c r="AC522" s="118"/>
      <c r="AD522" s="111"/>
      <c r="AE522" s="122"/>
      <c r="AF522" s="122"/>
      <c r="AG522" s="122"/>
      <c r="AH522" s="122"/>
    </row>
    <row r="523" ht="22.5" customHeight="1">
      <c r="A523" s="73"/>
      <c r="B523" s="73"/>
      <c r="C523" s="73"/>
      <c r="D523" s="73"/>
      <c r="E523" s="330"/>
      <c r="F523" s="118"/>
      <c r="G523" s="118"/>
      <c r="H523" s="118"/>
      <c r="I523" s="118"/>
      <c r="J523" s="119"/>
      <c r="K523" s="120"/>
      <c r="L523" s="120"/>
      <c r="M523" s="120"/>
      <c r="N523" s="120"/>
      <c r="O523" s="118"/>
      <c r="P523" s="120"/>
      <c r="Q523" s="121"/>
      <c r="R523" s="109" t="b">
        <v>0</v>
      </c>
      <c r="S523" s="143"/>
      <c r="T523" s="110"/>
      <c r="U523" s="118"/>
      <c r="V523" s="118"/>
      <c r="W523" s="118"/>
      <c r="X523" s="118"/>
      <c r="Y523" s="118"/>
      <c r="Z523" s="118"/>
      <c r="AA523" s="118"/>
      <c r="AB523" s="118"/>
      <c r="AC523" s="118"/>
      <c r="AD523" s="111"/>
      <c r="AE523" s="122"/>
      <c r="AF523" s="122"/>
      <c r="AG523" s="122"/>
      <c r="AH523" s="122"/>
    </row>
    <row r="524" ht="22.5" customHeight="1">
      <c r="A524" s="73"/>
      <c r="B524" s="73"/>
      <c r="C524" s="73"/>
      <c r="D524" s="73"/>
      <c r="E524" s="330"/>
      <c r="F524" s="118"/>
      <c r="G524" s="118"/>
      <c r="H524" s="118"/>
      <c r="I524" s="118"/>
      <c r="J524" s="119"/>
      <c r="K524" s="120"/>
      <c r="L524" s="120"/>
      <c r="M524" s="120"/>
      <c r="N524" s="120"/>
      <c r="O524" s="118"/>
      <c r="P524" s="120"/>
      <c r="Q524" s="121"/>
      <c r="R524" s="109" t="b">
        <v>0</v>
      </c>
      <c r="S524" s="143"/>
      <c r="T524" s="110"/>
      <c r="U524" s="118"/>
      <c r="V524" s="118"/>
      <c r="W524" s="118"/>
      <c r="X524" s="118"/>
      <c r="Y524" s="118"/>
      <c r="Z524" s="118"/>
      <c r="AA524" s="118"/>
      <c r="AB524" s="118"/>
      <c r="AC524" s="118"/>
      <c r="AD524" s="111"/>
      <c r="AE524" s="122"/>
      <c r="AF524" s="122"/>
      <c r="AG524" s="122"/>
      <c r="AH524" s="122"/>
    </row>
    <row r="525" ht="22.5" customHeight="1">
      <c r="A525" s="73"/>
      <c r="B525" s="73"/>
      <c r="C525" s="73"/>
      <c r="D525" s="73"/>
      <c r="E525" s="330"/>
      <c r="F525" s="118"/>
      <c r="G525" s="118"/>
      <c r="H525" s="118"/>
      <c r="I525" s="118"/>
      <c r="J525" s="119"/>
      <c r="K525" s="120"/>
      <c r="L525" s="120"/>
      <c r="M525" s="120"/>
      <c r="N525" s="120"/>
      <c r="O525" s="118"/>
      <c r="P525" s="120"/>
      <c r="Q525" s="121"/>
      <c r="R525" s="109" t="b">
        <v>0</v>
      </c>
      <c r="S525" s="143"/>
      <c r="T525" s="110"/>
      <c r="U525" s="118"/>
      <c r="V525" s="118"/>
      <c r="W525" s="118"/>
      <c r="X525" s="118"/>
      <c r="Y525" s="118"/>
      <c r="Z525" s="118"/>
      <c r="AA525" s="118"/>
      <c r="AB525" s="118"/>
      <c r="AC525" s="118"/>
      <c r="AD525" s="111"/>
      <c r="AE525" s="122"/>
      <c r="AF525" s="122"/>
      <c r="AG525" s="122"/>
      <c r="AH525" s="122"/>
    </row>
    <row r="526" ht="22.5" customHeight="1">
      <c r="A526" s="73"/>
      <c r="B526" s="73"/>
      <c r="C526" s="73"/>
      <c r="D526" s="73"/>
      <c r="E526" s="330"/>
      <c r="F526" s="118"/>
      <c r="G526" s="118"/>
      <c r="H526" s="118"/>
      <c r="I526" s="118"/>
      <c r="J526" s="119"/>
      <c r="K526" s="120"/>
      <c r="L526" s="120"/>
      <c r="M526" s="120"/>
      <c r="N526" s="120"/>
      <c r="O526" s="118"/>
      <c r="P526" s="120"/>
      <c r="Q526" s="121"/>
      <c r="R526" s="109" t="b">
        <v>0</v>
      </c>
      <c r="S526" s="143"/>
      <c r="T526" s="110"/>
      <c r="U526" s="118"/>
      <c r="V526" s="118"/>
      <c r="W526" s="118"/>
      <c r="X526" s="118"/>
      <c r="Y526" s="118"/>
      <c r="Z526" s="118"/>
      <c r="AA526" s="118"/>
      <c r="AB526" s="118"/>
      <c r="AC526" s="118"/>
      <c r="AD526" s="111"/>
      <c r="AE526" s="122"/>
      <c r="AF526" s="122"/>
      <c r="AG526" s="122"/>
      <c r="AH526" s="122"/>
    </row>
    <row r="527" ht="22.5" customHeight="1">
      <c r="A527" s="73"/>
      <c r="B527" s="73"/>
      <c r="C527" s="73"/>
      <c r="D527" s="73"/>
      <c r="E527" s="330"/>
      <c r="F527" s="118"/>
      <c r="G527" s="118"/>
      <c r="H527" s="118"/>
      <c r="I527" s="118"/>
      <c r="J527" s="119"/>
      <c r="K527" s="120"/>
      <c r="L527" s="120"/>
      <c r="M527" s="120"/>
      <c r="N527" s="120"/>
      <c r="O527" s="118"/>
      <c r="P527" s="120"/>
      <c r="Q527" s="121"/>
      <c r="R527" s="109" t="b">
        <v>0</v>
      </c>
      <c r="S527" s="143"/>
      <c r="T527" s="110"/>
      <c r="U527" s="118"/>
      <c r="V527" s="118"/>
      <c r="W527" s="118"/>
      <c r="X527" s="118"/>
      <c r="Y527" s="118"/>
      <c r="Z527" s="118"/>
      <c r="AA527" s="118"/>
      <c r="AB527" s="118"/>
      <c r="AC527" s="118"/>
      <c r="AD527" s="111"/>
      <c r="AE527" s="122"/>
      <c r="AF527" s="122"/>
      <c r="AG527" s="122"/>
      <c r="AH527" s="122"/>
    </row>
    <row r="528" ht="22.5" customHeight="1">
      <c r="A528" s="73"/>
      <c r="B528" s="73"/>
      <c r="C528" s="73"/>
      <c r="D528" s="73"/>
      <c r="E528" s="330"/>
      <c r="F528" s="118"/>
      <c r="G528" s="118"/>
      <c r="H528" s="118"/>
      <c r="I528" s="118"/>
      <c r="J528" s="119"/>
      <c r="K528" s="120"/>
      <c r="L528" s="120"/>
      <c r="M528" s="120"/>
      <c r="N528" s="120"/>
      <c r="O528" s="118"/>
      <c r="P528" s="120"/>
      <c r="Q528" s="121"/>
      <c r="R528" s="109" t="b">
        <v>0</v>
      </c>
      <c r="S528" s="143"/>
      <c r="T528" s="110"/>
      <c r="U528" s="118"/>
      <c r="V528" s="118"/>
      <c r="W528" s="118"/>
      <c r="X528" s="118"/>
      <c r="Y528" s="118"/>
      <c r="Z528" s="118"/>
      <c r="AA528" s="118"/>
      <c r="AB528" s="118"/>
      <c r="AC528" s="118"/>
      <c r="AD528" s="111"/>
      <c r="AE528" s="122"/>
      <c r="AF528" s="122"/>
      <c r="AG528" s="122"/>
      <c r="AH528" s="122"/>
    </row>
    <row r="529" ht="22.5" customHeight="1">
      <c r="A529" s="73"/>
      <c r="B529" s="73"/>
      <c r="C529" s="73"/>
      <c r="D529" s="73"/>
      <c r="E529" s="330"/>
      <c r="F529" s="118"/>
      <c r="G529" s="118"/>
      <c r="H529" s="118"/>
      <c r="I529" s="118"/>
      <c r="J529" s="119"/>
      <c r="K529" s="120"/>
      <c r="L529" s="120"/>
      <c r="M529" s="120"/>
      <c r="N529" s="120"/>
      <c r="O529" s="118"/>
      <c r="P529" s="120"/>
      <c r="Q529" s="121"/>
      <c r="R529" s="109" t="b">
        <v>0</v>
      </c>
      <c r="S529" s="143"/>
      <c r="T529" s="110"/>
      <c r="U529" s="118"/>
      <c r="V529" s="118"/>
      <c r="W529" s="118"/>
      <c r="X529" s="118"/>
      <c r="Y529" s="118"/>
      <c r="Z529" s="118"/>
      <c r="AA529" s="118"/>
      <c r="AB529" s="118"/>
      <c r="AC529" s="118"/>
      <c r="AD529" s="111"/>
      <c r="AE529" s="122"/>
      <c r="AF529" s="122"/>
      <c r="AG529" s="122"/>
      <c r="AH529" s="122"/>
    </row>
    <row r="530" ht="22.5" customHeight="1">
      <c r="A530" s="73"/>
      <c r="B530" s="73"/>
      <c r="C530" s="73"/>
      <c r="D530" s="73"/>
      <c r="E530" s="330"/>
      <c r="F530" s="118"/>
      <c r="G530" s="118"/>
      <c r="H530" s="118"/>
      <c r="I530" s="118"/>
      <c r="J530" s="119"/>
      <c r="K530" s="120"/>
      <c r="L530" s="120"/>
      <c r="M530" s="120"/>
      <c r="N530" s="120"/>
      <c r="O530" s="118"/>
      <c r="P530" s="120"/>
      <c r="Q530" s="121"/>
      <c r="R530" s="109" t="b">
        <v>0</v>
      </c>
      <c r="S530" s="143"/>
      <c r="T530" s="110"/>
      <c r="U530" s="118"/>
      <c r="V530" s="118"/>
      <c r="W530" s="118"/>
      <c r="X530" s="118"/>
      <c r="Y530" s="118"/>
      <c r="Z530" s="118"/>
      <c r="AA530" s="118"/>
      <c r="AB530" s="118"/>
      <c r="AC530" s="118"/>
      <c r="AD530" s="111"/>
      <c r="AE530" s="122"/>
      <c r="AF530" s="122"/>
      <c r="AG530" s="122"/>
      <c r="AH530" s="122"/>
    </row>
    <row r="531" ht="22.5" customHeight="1">
      <c r="A531" s="73"/>
      <c r="B531" s="73"/>
      <c r="C531" s="73"/>
      <c r="D531" s="73"/>
      <c r="E531" s="330"/>
      <c r="F531" s="118"/>
      <c r="G531" s="118"/>
      <c r="H531" s="118"/>
      <c r="I531" s="118"/>
      <c r="J531" s="119"/>
      <c r="K531" s="120"/>
      <c r="L531" s="120"/>
      <c r="M531" s="120"/>
      <c r="N531" s="120"/>
      <c r="O531" s="118"/>
      <c r="P531" s="120"/>
      <c r="Q531" s="121"/>
      <c r="R531" s="109" t="b">
        <v>0</v>
      </c>
      <c r="S531" s="143"/>
      <c r="T531" s="110"/>
      <c r="U531" s="118"/>
      <c r="V531" s="118"/>
      <c r="W531" s="118"/>
      <c r="X531" s="118"/>
      <c r="Y531" s="118"/>
      <c r="Z531" s="118"/>
      <c r="AA531" s="118"/>
      <c r="AB531" s="118"/>
      <c r="AC531" s="118"/>
      <c r="AD531" s="111"/>
      <c r="AE531" s="122"/>
      <c r="AF531" s="122"/>
      <c r="AG531" s="122"/>
      <c r="AH531" s="122"/>
    </row>
    <row r="532" ht="22.5" customHeight="1">
      <c r="A532" s="73"/>
      <c r="B532" s="73"/>
      <c r="C532" s="73"/>
      <c r="D532" s="73"/>
      <c r="E532" s="330"/>
      <c r="F532" s="118"/>
      <c r="G532" s="118"/>
      <c r="H532" s="118"/>
      <c r="I532" s="118"/>
      <c r="J532" s="119"/>
      <c r="K532" s="120"/>
      <c r="L532" s="120"/>
      <c r="M532" s="120"/>
      <c r="N532" s="120"/>
      <c r="O532" s="118"/>
      <c r="P532" s="120"/>
      <c r="Q532" s="121"/>
      <c r="R532" s="109" t="b">
        <v>0</v>
      </c>
      <c r="S532" s="143"/>
      <c r="T532" s="110"/>
      <c r="U532" s="118"/>
      <c r="V532" s="118"/>
      <c r="W532" s="118"/>
      <c r="X532" s="118"/>
      <c r="Y532" s="118"/>
      <c r="Z532" s="118"/>
      <c r="AA532" s="118"/>
      <c r="AB532" s="118"/>
      <c r="AC532" s="118"/>
      <c r="AD532" s="111"/>
      <c r="AE532" s="122"/>
      <c r="AF532" s="122"/>
      <c r="AG532" s="122"/>
      <c r="AH532" s="122"/>
    </row>
    <row r="533" ht="22.5" customHeight="1">
      <c r="A533" s="73"/>
      <c r="B533" s="73"/>
      <c r="C533" s="73"/>
      <c r="D533" s="73"/>
      <c r="E533" s="330"/>
      <c r="F533" s="118"/>
      <c r="G533" s="118"/>
      <c r="H533" s="118"/>
      <c r="I533" s="118"/>
      <c r="J533" s="119"/>
      <c r="K533" s="120"/>
      <c r="L533" s="120"/>
      <c r="M533" s="120"/>
      <c r="N533" s="120"/>
      <c r="O533" s="118"/>
      <c r="P533" s="120"/>
      <c r="Q533" s="121"/>
      <c r="R533" s="109" t="b">
        <v>0</v>
      </c>
      <c r="S533" s="143"/>
      <c r="T533" s="110"/>
      <c r="U533" s="118"/>
      <c r="V533" s="118"/>
      <c r="W533" s="118"/>
      <c r="X533" s="118"/>
      <c r="Y533" s="118"/>
      <c r="Z533" s="118"/>
      <c r="AA533" s="118"/>
      <c r="AB533" s="118"/>
      <c r="AC533" s="118"/>
      <c r="AD533" s="111"/>
      <c r="AE533" s="122"/>
      <c r="AF533" s="122"/>
      <c r="AG533" s="122"/>
      <c r="AH533" s="122"/>
    </row>
    <row r="534" ht="22.5" customHeight="1">
      <c r="A534" s="73"/>
      <c r="B534" s="73"/>
      <c r="C534" s="73"/>
      <c r="D534" s="73"/>
      <c r="E534" s="330"/>
      <c r="F534" s="118"/>
      <c r="G534" s="118"/>
      <c r="H534" s="118"/>
      <c r="I534" s="118"/>
      <c r="J534" s="119"/>
      <c r="K534" s="120"/>
      <c r="L534" s="120"/>
      <c r="M534" s="120"/>
      <c r="N534" s="120"/>
      <c r="O534" s="118"/>
      <c r="P534" s="120"/>
      <c r="Q534" s="121"/>
      <c r="R534" s="109" t="b">
        <v>0</v>
      </c>
      <c r="S534" s="143"/>
      <c r="T534" s="110"/>
      <c r="U534" s="118"/>
      <c r="V534" s="118"/>
      <c r="W534" s="118"/>
      <c r="X534" s="118"/>
      <c r="Y534" s="118"/>
      <c r="Z534" s="118"/>
      <c r="AA534" s="118"/>
      <c r="AB534" s="118"/>
      <c r="AC534" s="118"/>
      <c r="AD534" s="111"/>
      <c r="AE534" s="122"/>
      <c r="AF534" s="122"/>
      <c r="AG534" s="122"/>
      <c r="AH534" s="122"/>
    </row>
    <row r="535" ht="22.5" customHeight="1">
      <c r="A535" s="73"/>
      <c r="B535" s="73"/>
      <c r="C535" s="73"/>
      <c r="D535" s="73"/>
      <c r="E535" s="330"/>
      <c r="F535" s="118"/>
      <c r="G535" s="118"/>
      <c r="H535" s="118"/>
      <c r="I535" s="118"/>
      <c r="J535" s="119"/>
      <c r="K535" s="120"/>
      <c r="L535" s="120"/>
      <c r="M535" s="120"/>
      <c r="N535" s="120"/>
      <c r="O535" s="118"/>
      <c r="P535" s="120"/>
      <c r="Q535" s="121"/>
      <c r="R535" s="109" t="b">
        <v>0</v>
      </c>
      <c r="S535" s="143"/>
      <c r="T535" s="110"/>
      <c r="U535" s="118"/>
      <c r="V535" s="118"/>
      <c r="W535" s="118"/>
      <c r="X535" s="118"/>
      <c r="Y535" s="118"/>
      <c r="Z535" s="118"/>
      <c r="AA535" s="118"/>
      <c r="AB535" s="118"/>
      <c r="AC535" s="118"/>
      <c r="AD535" s="111"/>
      <c r="AE535" s="122"/>
      <c r="AF535" s="122"/>
      <c r="AG535" s="122"/>
      <c r="AH535" s="122"/>
    </row>
    <row r="536" ht="22.5" customHeight="1">
      <c r="A536" s="73"/>
      <c r="B536" s="73"/>
      <c r="C536" s="73"/>
      <c r="D536" s="73"/>
      <c r="E536" s="330"/>
      <c r="F536" s="118"/>
      <c r="G536" s="118"/>
      <c r="H536" s="118"/>
      <c r="I536" s="118"/>
      <c r="J536" s="119"/>
      <c r="K536" s="120"/>
      <c r="L536" s="120"/>
      <c r="M536" s="120"/>
      <c r="N536" s="120"/>
      <c r="O536" s="118"/>
      <c r="P536" s="120"/>
      <c r="Q536" s="121"/>
      <c r="R536" s="109" t="b">
        <v>0</v>
      </c>
      <c r="S536" s="143"/>
      <c r="T536" s="110"/>
      <c r="U536" s="118"/>
      <c r="V536" s="118"/>
      <c r="W536" s="118"/>
      <c r="X536" s="118"/>
      <c r="Y536" s="118"/>
      <c r="Z536" s="118"/>
      <c r="AA536" s="118"/>
      <c r="AB536" s="118"/>
      <c r="AC536" s="118"/>
      <c r="AD536" s="111"/>
      <c r="AE536" s="122"/>
      <c r="AF536" s="122"/>
      <c r="AG536" s="122"/>
      <c r="AH536" s="122"/>
    </row>
    <row r="537" ht="22.5" customHeight="1">
      <c r="A537" s="73"/>
      <c r="B537" s="73"/>
      <c r="C537" s="73"/>
      <c r="D537" s="73"/>
      <c r="E537" s="330"/>
      <c r="F537" s="118"/>
      <c r="G537" s="118"/>
      <c r="H537" s="118"/>
      <c r="I537" s="118"/>
      <c r="J537" s="119"/>
      <c r="K537" s="120"/>
      <c r="L537" s="120"/>
      <c r="M537" s="120"/>
      <c r="N537" s="120"/>
      <c r="O537" s="118"/>
      <c r="P537" s="120"/>
      <c r="Q537" s="121"/>
      <c r="R537" s="109" t="b">
        <v>0</v>
      </c>
      <c r="S537" s="143"/>
      <c r="T537" s="110"/>
      <c r="U537" s="118"/>
      <c r="V537" s="118"/>
      <c r="W537" s="118"/>
      <c r="X537" s="118"/>
      <c r="Y537" s="118"/>
      <c r="Z537" s="118"/>
      <c r="AA537" s="118"/>
      <c r="AB537" s="118"/>
      <c r="AC537" s="118"/>
      <c r="AD537" s="111"/>
      <c r="AE537" s="122"/>
      <c r="AF537" s="122"/>
      <c r="AG537" s="122"/>
      <c r="AH537" s="122"/>
    </row>
    <row r="538" ht="22.5" customHeight="1">
      <c r="A538" s="73"/>
      <c r="B538" s="73"/>
      <c r="C538" s="73"/>
      <c r="D538" s="73"/>
      <c r="E538" s="330"/>
      <c r="F538" s="118"/>
      <c r="G538" s="118"/>
      <c r="H538" s="118"/>
      <c r="I538" s="118"/>
      <c r="J538" s="119"/>
      <c r="K538" s="120"/>
      <c r="L538" s="120"/>
      <c r="M538" s="120"/>
      <c r="N538" s="120"/>
      <c r="O538" s="118"/>
      <c r="P538" s="120"/>
      <c r="Q538" s="121"/>
      <c r="R538" s="109" t="b">
        <v>0</v>
      </c>
      <c r="S538" s="143"/>
      <c r="T538" s="110"/>
      <c r="U538" s="118"/>
      <c r="V538" s="118"/>
      <c r="W538" s="118"/>
      <c r="X538" s="118"/>
      <c r="Y538" s="118"/>
      <c r="Z538" s="118"/>
      <c r="AA538" s="118"/>
      <c r="AB538" s="118"/>
      <c r="AC538" s="118"/>
      <c r="AD538" s="111"/>
      <c r="AE538" s="122"/>
      <c r="AF538" s="122"/>
      <c r="AG538" s="122"/>
      <c r="AH538" s="122"/>
    </row>
    <row r="539" ht="22.5" customHeight="1">
      <c r="A539" s="73"/>
      <c r="B539" s="73"/>
      <c r="C539" s="73"/>
      <c r="D539" s="73"/>
      <c r="E539" s="330"/>
      <c r="F539" s="118"/>
      <c r="G539" s="118"/>
      <c r="H539" s="118"/>
      <c r="I539" s="118"/>
      <c r="J539" s="119"/>
      <c r="K539" s="120"/>
      <c r="L539" s="120"/>
      <c r="M539" s="120"/>
      <c r="N539" s="120"/>
      <c r="O539" s="118"/>
      <c r="P539" s="120"/>
      <c r="Q539" s="121"/>
      <c r="R539" s="109" t="b">
        <v>0</v>
      </c>
      <c r="S539" s="143"/>
      <c r="T539" s="110"/>
      <c r="U539" s="118"/>
      <c r="V539" s="118"/>
      <c r="W539" s="118"/>
      <c r="X539" s="118"/>
      <c r="Y539" s="118"/>
      <c r="Z539" s="118"/>
      <c r="AA539" s="118"/>
      <c r="AB539" s="118"/>
      <c r="AC539" s="118"/>
      <c r="AD539" s="111"/>
      <c r="AE539" s="122"/>
      <c r="AF539" s="122"/>
      <c r="AG539" s="122"/>
      <c r="AH539" s="122"/>
    </row>
    <row r="540" ht="22.5" customHeight="1">
      <c r="A540" s="73"/>
      <c r="B540" s="73"/>
      <c r="C540" s="73"/>
      <c r="D540" s="73"/>
      <c r="E540" s="330"/>
      <c r="F540" s="118"/>
      <c r="G540" s="118"/>
      <c r="H540" s="118"/>
      <c r="I540" s="118"/>
      <c r="J540" s="119"/>
      <c r="K540" s="120"/>
      <c r="L540" s="120"/>
      <c r="M540" s="120"/>
      <c r="N540" s="120"/>
      <c r="O540" s="118"/>
      <c r="P540" s="120"/>
      <c r="Q540" s="121"/>
      <c r="R540" s="109" t="b">
        <v>0</v>
      </c>
      <c r="S540" s="143"/>
      <c r="T540" s="110"/>
      <c r="U540" s="118"/>
      <c r="V540" s="118"/>
      <c r="W540" s="118"/>
      <c r="X540" s="118"/>
      <c r="Y540" s="118"/>
      <c r="Z540" s="118"/>
      <c r="AA540" s="118"/>
      <c r="AB540" s="118"/>
      <c r="AC540" s="118"/>
      <c r="AD540" s="111"/>
      <c r="AE540" s="122"/>
      <c r="AF540" s="122"/>
      <c r="AG540" s="122"/>
      <c r="AH540" s="122"/>
    </row>
    <row r="541" ht="22.5" customHeight="1">
      <c r="A541" s="73"/>
      <c r="B541" s="73"/>
      <c r="C541" s="73"/>
      <c r="D541" s="73"/>
      <c r="E541" s="330"/>
      <c r="F541" s="118"/>
      <c r="G541" s="118"/>
      <c r="H541" s="118"/>
      <c r="I541" s="118"/>
      <c r="J541" s="119"/>
      <c r="K541" s="120"/>
      <c r="L541" s="120"/>
      <c r="M541" s="120"/>
      <c r="N541" s="120"/>
      <c r="O541" s="118"/>
      <c r="P541" s="120"/>
      <c r="Q541" s="121"/>
      <c r="R541" s="109" t="b">
        <v>0</v>
      </c>
      <c r="S541" s="143"/>
      <c r="T541" s="110"/>
      <c r="U541" s="118"/>
      <c r="V541" s="118"/>
      <c r="W541" s="118"/>
      <c r="X541" s="118"/>
      <c r="Y541" s="118"/>
      <c r="Z541" s="118"/>
      <c r="AA541" s="118"/>
      <c r="AB541" s="118"/>
      <c r="AC541" s="118"/>
      <c r="AD541" s="111"/>
      <c r="AE541" s="122"/>
      <c r="AF541" s="122"/>
      <c r="AG541" s="122"/>
      <c r="AH541" s="122"/>
    </row>
    <row r="542" ht="22.5" customHeight="1">
      <c r="A542" s="73"/>
      <c r="B542" s="73"/>
      <c r="C542" s="73"/>
      <c r="D542" s="73"/>
      <c r="E542" s="330"/>
      <c r="F542" s="118"/>
      <c r="G542" s="118"/>
      <c r="H542" s="118"/>
      <c r="I542" s="118"/>
      <c r="J542" s="119"/>
      <c r="K542" s="120"/>
      <c r="L542" s="120"/>
      <c r="M542" s="120"/>
      <c r="N542" s="120"/>
      <c r="O542" s="118"/>
      <c r="P542" s="120"/>
      <c r="Q542" s="121"/>
      <c r="R542" s="109" t="b">
        <v>0</v>
      </c>
      <c r="S542" s="143"/>
      <c r="T542" s="110"/>
      <c r="U542" s="118"/>
      <c r="V542" s="118"/>
      <c r="W542" s="118"/>
      <c r="X542" s="118"/>
      <c r="Y542" s="118"/>
      <c r="Z542" s="118"/>
      <c r="AA542" s="118"/>
      <c r="AB542" s="118"/>
      <c r="AC542" s="118"/>
      <c r="AD542" s="111"/>
      <c r="AE542" s="122"/>
      <c r="AF542" s="122"/>
      <c r="AG542" s="122"/>
      <c r="AH542" s="122"/>
    </row>
    <row r="543" ht="22.5" customHeight="1">
      <c r="A543" s="73"/>
      <c r="B543" s="73"/>
      <c r="C543" s="73"/>
      <c r="D543" s="73"/>
      <c r="E543" s="330"/>
      <c r="F543" s="118"/>
      <c r="G543" s="118"/>
      <c r="H543" s="118"/>
      <c r="I543" s="118"/>
      <c r="J543" s="119"/>
      <c r="K543" s="120"/>
      <c r="L543" s="120"/>
      <c r="M543" s="120"/>
      <c r="N543" s="120"/>
      <c r="O543" s="118"/>
      <c r="P543" s="120"/>
      <c r="Q543" s="121"/>
      <c r="R543" s="109" t="b">
        <v>0</v>
      </c>
      <c r="S543" s="143"/>
      <c r="T543" s="110"/>
      <c r="U543" s="118"/>
      <c r="V543" s="118"/>
      <c r="W543" s="118"/>
      <c r="X543" s="118"/>
      <c r="Y543" s="118"/>
      <c r="Z543" s="118"/>
      <c r="AA543" s="118"/>
      <c r="AB543" s="118"/>
      <c r="AC543" s="118"/>
      <c r="AD543" s="111"/>
      <c r="AE543" s="122"/>
      <c r="AF543" s="122"/>
      <c r="AG543" s="122"/>
      <c r="AH543" s="122"/>
    </row>
    <row r="544" ht="22.5" customHeight="1">
      <c r="A544" s="73"/>
      <c r="B544" s="73"/>
      <c r="C544" s="73"/>
      <c r="D544" s="73"/>
      <c r="E544" s="330"/>
      <c r="F544" s="118"/>
      <c r="G544" s="118"/>
      <c r="H544" s="118"/>
      <c r="I544" s="118"/>
      <c r="J544" s="119"/>
      <c r="K544" s="120"/>
      <c r="L544" s="120"/>
      <c r="M544" s="120"/>
      <c r="N544" s="120"/>
      <c r="O544" s="118"/>
      <c r="P544" s="120"/>
      <c r="Q544" s="121"/>
      <c r="R544" s="109" t="b">
        <v>0</v>
      </c>
      <c r="S544" s="143"/>
      <c r="T544" s="110"/>
      <c r="U544" s="118"/>
      <c r="V544" s="118"/>
      <c r="W544" s="118"/>
      <c r="X544" s="118"/>
      <c r="Y544" s="118"/>
      <c r="Z544" s="118"/>
      <c r="AA544" s="118"/>
      <c r="AB544" s="118"/>
      <c r="AC544" s="118"/>
      <c r="AD544" s="111"/>
      <c r="AE544" s="122"/>
      <c r="AF544" s="122"/>
      <c r="AG544" s="122"/>
      <c r="AH544" s="122"/>
    </row>
    <row r="545" ht="22.5" customHeight="1">
      <c r="A545" s="73"/>
      <c r="B545" s="73"/>
      <c r="C545" s="73"/>
      <c r="D545" s="73"/>
      <c r="E545" s="330"/>
      <c r="F545" s="118"/>
      <c r="G545" s="118"/>
      <c r="H545" s="118"/>
      <c r="I545" s="118"/>
      <c r="J545" s="119"/>
      <c r="K545" s="120"/>
      <c r="L545" s="120"/>
      <c r="M545" s="120"/>
      <c r="N545" s="120"/>
      <c r="O545" s="118"/>
      <c r="P545" s="120"/>
      <c r="Q545" s="121"/>
      <c r="R545" s="109" t="b">
        <v>0</v>
      </c>
      <c r="S545" s="143"/>
      <c r="T545" s="110"/>
      <c r="U545" s="118"/>
      <c r="V545" s="118"/>
      <c r="W545" s="118"/>
      <c r="X545" s="118"/>
      <c r="Y545" s="118"/>
      <c r="Z545" s="118"/>
      <c r="AA545" s="118"/>
      <c r="AB545" s="118"/>
      <c r="AC545" s="118"/>
      <c r="AD545" s="111"/>
      <c r="AE545" s="122"/>
      <c r="AF545" s="122"/>
      <c r="AG545" s="122"/>
      <c r="AH545" s="122"/>
    </row>
    <row r="546" ht="22.5" customHeight="1">
      <c r="A546" s="73"/>
      <c r="B546" s="73"/>
      <c r="C546" s="73"/>
      <c r="D546" s="73"/>
      <c r="E546" s="330"/>
      <c r="F546" s="118"/>
      <c r="G546" s="118"/>
      <c r="H546" s="118"/>
      <c r="I546" s="118"/>
      <c r="J546" s="119"/>
      <c r="K546" s="120"/>
      <c r="L546" s="120"/>
      <c r="M546" s="120"/>
      <c r="N546" s="120"/>
      <c r="O546" s="118"/>
      <c r="P546" s="120"/>
      <c r="Q546" s="121"/>
      <c r="R546" s="109" t="b">
        <v>0</v>
      </c>
      <c r="S546" s="143"/>
      <c r="T546" s="110"/>
      <c r="U546" s="118"/>
      <c r="V546" s="118"/>
      <c r="W546" s="118"/>
      <c r="X546" s="118"/>
      <c r="Y546" s="118"/>
      <c r="Z546" s="118"/>
      <c r="AA546" s="118"/>
      <c r="AB546" s="118"/>
      <c r="AC546" s="118"/>
      <c r="AD546" s="111"/>
      <c r="AE546" s="122"/>
      <c r="AF546" s="122"/>
      <c r="AG546" s="122"/>
      <c r="AH546" s="122"/>
    </row>
    <row r="547" ht="22.5" customHeight="1">
      <c r="A547" s="73"/>
      <c r="B547" s="73"/>
      <c r="C547" s="73"/>
      <c r="D547" s="73"/>
      <c r="E547" s="330"/>
      <c r="F547" s="118"/>
      <c r="G547" s="118"/>
      <c r="H547" s="118"/>
      <c r="I547" s="118"/>
      <c r="J547" s="119"/>
      <c r="K547" s="120"/>
      <c r="L547" s="120"/>
      <c r="M547" s="120"/>
      <c r="N547" s="120"/>
      <c r="O547" s="118"/>
      <c r="P547" s="120"/>
      <c r="Q547" s="121"/>
      <c r="R547" s="109" t="b">
        <v>0</v>
      </c>
      <c r="S547" s="143"/>
      <c r="T547" s="110"/>
      <c r="U547" s="118"/>
      <c r="V547" s="118"/>
      <c r="W547" s="118"/>
      <c r="X547" s="118"/>
      <c r="Y547" s="118"/>
      <c r="Z547" s="118"/>
      <c r="AA547" s="118"/>
      <c r="AB547" s="118"/>
      <c r="AC547" s="118"/>
      <c r="AD547" s="111"/>
      <c r="AE547" s="122"/>
      <c r="AF547" s="122"/>
      <c r="AG547" s="122"/>
      <c r="AH547" s="122"/>
    </row>
    <row r="548" ht="22.5" customHeight="1">
      <c r="A548" s="73"/>
      <c r="B548" s="73"/>
      <c r="C548" s="73"/>
      <c r="D548" s="73"/>
      <c r="E548" s="330"/>
      <c r="F548" s="118"/>
      <c r="G548" s="118"/>
      <c r="H548" s="118"/>
      <c r="I548" s="118"/>
      <c r="J548" s="119"/>
      <c r="K548" s="120"/>
      <c r="L548" s="120"/>
      <c r="M548" s="120"/>
      <c r="N548" s="120"/>
      <c r="O548" s="118"/>
      <c r="P548" s="120"/>
      <c r="Q548" s="121"/>
      <c r="R548" s="109" t="b">
        <v>0</v>
      </c>
      <c r="S548" s="143"/>
      <c r="T548" s="110"/>
      <c r="U548" s="118"/>
      <c r="V548" s="118"/>
      <c r="W548" s="118"/>
      <c r="X548" s="118"/>
      <c r="Y548" s="118"/>
      <c r="Z548" s="118"/>
      <c r="AA548" s="118"/>
      <c r="AB548" s="118"/>
      <c r="AC548" s="118"/>
      <c r="AD548" s="111"/>
      <c r="AE548" s="122"/>
      <c r="AF548" s="122"/>
      <c r="AG548" s="122"/>
      <c r="AH548" s="122"/>
    </row>
    <row r="549" ht="22.5" customHeight="1">
      <c r="A549" s="73"/>
      <c r="B549" s="73"/>
      <c r="C549" s="73"/>
      <c r="D549" s="73"/>
      <c r="E549" s="330"/>
      <c r="F549" s="118"/>
      <c r="G549" s="118"/>
      <c r="H549" s="118"/>
      <c r="I549" s="118"/>
      <c r="J549" s="119"/>
      <c r="K549" s="120"/>
      <c r="L549" s="120"/>
      <c r="M549" s="120"/>
      <c r="N549" s="120"/>
      <c r="O549" s="118"/>
      <c r="P549" s="120"/>
      <c r="Q549" s="121"/>
      <c r="R549" s="109" t="b">
        <v>0</v>
      </c>
      <c r="S549" s="143"/>
      <c r="T549" s="110"/>
      <c r="U549" s="118"/>
      <c r="V549" s="118"/>
      <c r="W549" s="118"/>
      <c r="X549" s="118"/>
      <c r="Y549" s="118"/>
      <c r="Z549" s="118"/>
      <c r="AA549" s="118"/>
      <c r="AB549" s="118"/>
      <c r="AC549" s="118"/>
      <c r="AD549" s="111"/>
      <c r="AE549" s="122"/>
      <c r="AF549" s="122"/>
      <c r="AG549" s="122"/>
      <c r="AH549" s="122"/>
    </row>
    <row r="550" ht="22.5" customHeight="1">
      <c r="A550" s="73"/>
      <c r="B550" s="73"/>
      <c r="C550" s="73"/>
      <c r="D550" s="73"/>
      <c r="E550" s="330"/>
      <c r="F550" s="118"/>
      <c r="G550" s="118"/>
      <c r="H550" s="118"/>
      <c r="I550" s="118"/>
      <c r="J550" s="119"/>
      <c r="K550" s="120"/>
      <c r="L550" s="120"/>
      <c r="M550" s="120"/>
      <c r="N550" s="120"/>
      <c r="O550" s="118"/>
      <c r="P550" s="120"/>
      <c r="Q550" s="121"/>
      <c r="R550" s="109" t="b">
        <v>0</v>
      </c>
      <c r="S550" s="143"/>
      <c r="T550" s="110"/>
      <c r="U550" s="118"/>
      <c r="V550" s="118"/>
      <c r="W550" s="118"/>
      <c r="X550" s="118"/>
      <c r="Y550" s="118"/>
      <c r="Z550" s="118"/>
      <c r="AA550" s="118"/>
      <c r="AB550" s="118"/>
      <c r="AC550" s="118"/>
      <c r="AD550" s="111"/>
      <c r="AE550" s="122"/>
      <c r="AF550" s="122"/>
      <c r="AG550" s="122"/>
      <c r="AH550" s="122"/>
    </row>
    <row r="551" ht="22.5" customHeight="1">
      <c r="A551" s="73"/>
      <c r="B551" s="73"/>
      <c r="C551" s="73"/>
      <c r="D551" s="73"/>
      <c r="E551" s="330"/>
      <c r="F551" s="118"/>
      <c r="G551" s="118"/>
      <c r="H551" s="118"/>
      <c r="I551" s="118"/>
      <c r="J551" s="119"/>
      <c r="K551" s="120"/>
      <c r="L551" s="120"/>
      <c r="M551" s="120"/>
      <c r="N551" s="120"/>
      <c r="O551" s="118"/>
      <c r="P551" s="120"/>
      <c r="Q551" s="121"/>
      <c r="R551" s="109" t="b">
        <v>0</v>
      </c>
      <c r="S551" s="143"/>
      <c r="T551" s="110"/>
      <c r="U551" s="118"/>
      <c r="V551" s="118"/>
      <c r="W551" s="118"/>
      <c r="X551" s="118"/>
      <c r="Y551" s="118"/>
      <c r="Z551" s="118"/>
      <c r="AA551" s="118"/>
      <c r="AB551" s="118"/>
      <c r="AC551" s="118"/>
      <c r="AD551" s="111"/>
      <c r="AE551" s="122"/>
      <c r="AF551" s="122"/>
      <c r="AG551" s="122"/>
      <c r="AH551" s="122"/>
    </row>
    <row r="552" ht="22.5" customHeight="1">
      <c r="A552" s="73"/>
      <c r="B552" s="73"/>
      <c r="C552" s="73"/>
      <c r="D552" s="73"/>
      <c r="E552" s="330"/>
      <c r="F552" s="118"/>
      <c r="G552" s="118"/>
      <c r="H552" s="118"/>
      <c r="I552" s="118"/>
      <c r="J552" s="119"/>
      <c r="K552" s="120"/>
      <c r="L552" s="120"/>
      <c r="M552" s="120"/>
      <c r="N552" s="120"/>
      <c r="O552" s="118"/>
      <c r="P552" s="120"/>
      <c r="Q552" s="121"/>
      <c r="R552" s="109" t="b">
        <v>0</v>
      </c>
      <c r="S552" s="143"/>
      <c r="T552" s="110"/>
      <c r="U552" s="118"/>
      <c r="V552" s="118"/>
      <c r="W552" s="118"/>
      <c r="X552" s="118"/>
      <c r="Y552" s="118"/>
      <c r="Z552" s="118"/>
      <c r="AA552" s="118"/>
      <c r="AB552" s="118"/>
      <c r="AC552" s="118"/>
      <c r="AD552" s="111"/>
      <c r="AE552" s="122"/>
      <c r="AF552" s="122"/>
      <c r="AG552" s="122"/>
      <c r="AH552" s="122"/>
    </row>
    <row r="553" ht="22.5" customHeight="1">
      <c r="A553" s="73"/>
      <c r="B553" s="73"/>
      <c r="C553" s="73"/>
      <c r="D553" s="73"/>
      <c r="E553" s="330"/>
      <c r="F553" s="118"/>
      <c r="G553" s="118"/>
      <c r="H553" s="118"/>
      <c r="I553" s="118"/>
      <c r="J553" s="119"/>
      <c r="K553" s="120"/>
      <c r="L553" s="120"/>
      <c r="M553" s="120"/>
      <c r="N553" s="120"/>
      <c r="O553" s="118"/>
      <c r="P553" s="120"/>
      <c r="Q553" s="121"/>
      <c r="R553" s="109" t="b">
        <v>0</v>
      </c>
      <c r="S553" s="143"/>
      <c r="T553" s="110"/>
      <c r="U553" s="118"/>
      <c r="V553" s="118"/>
      <c r="W553" s="118"/>
      <c r="X553" s="118"/>
      <c r="Y553" s="118"/>
      <c r="Z553" s="118"/>
      <c r="AA553" s="118"/>
      <c r="AB553" s="118"/>
      <c r="AC553" s="118"/>
      <c r="AD553" s="111"/>
      <c r="AE553" s="122"/>
      <c r="AF553" s="122"/>
      <c r="AG553" s="122"/>
      <c r="AH553" s="122"/>
    </row>
    <row r="554" ht="22.5" customHeight="1">
      <c r="A554" s="73"/>
      <c r="B554" s="73"/>
      <c r="C554" s="73"/>
      <c r="D554" s="73"/>
      <c r="E554" s="330"/>
      <c r="F554" s="118"/>
      <c r="G554" s="118"/>
      <c r="H554" s="118"/>
      <c r="I554" s="118"/>
      <c r="J554" s="119"/>
      <c r="K554" s="120"/>
      <c r="L554" s="120"/>
      <c r="M554" s="120"/>
      <c r="N554" s="120"/>
      <c r="O554" s="118"/>
      <c r="P554" s="120"/>
      <c r="Q554" s="121"/>
      <c r="R554" s="109" t="b">
        <v>0</v>
      </c>
      <c r="S554" s="143"/>
      <c r="T554" s="110"/>
      <c r="U554" s="118"/>
      <c r="V554" s="118"/>
      <c r="W554" s="118"/>
      <c r="X554" s="118"/>
      <c r="Y554" s="118"/>
      <c r="Z554" s="118"/>
      <c r="AA554" s="118"/>
      <c r="AB554" s="118"/>
      <c r="AC554" s="118"/>
      <c r="AD554" s="111"/>
      <c r="AE554" s="122"/>
      <c r="AF554" s="122"/>
      <c r="AG554" s="122"/>
      <c r="AH554" s="122"/>
    </row>
    <row r="555" ht="22.5" customHeight="1">
      <c r="A555" s="73"/>
      <c r="B555" s="73"/>
      <c r="C555" s="73"/>
      <c r="D555" s="73"/>
      <c r="E555" s="330"/>
      <c r="F555" s="118"/>
      <c r="G555" s="118"/>
      <c r="H555" s="118"/>
      <c r="I555" s="118"/>
      <c r="J555" s="119"/>
      <c r="K555" s="120"/>
      <c r="L555" s="120"/>
      <c r="M555" s="120"/>
      <c r="N555" s="120"/>
      <c r="O555" s="118"/>
      <c r="P555" s="120"/>
      <c r="Q555" s="121"/>
      <c r="R555" s="109" t="b">
        <v>0</v>
      </c>
      <c r="S555" s="143"/>
      <c r="T555" s="110"/>
      <c r="U555" s="118"/>
      <c r="V555" s="118"/>
      <c r="W555" s="118"/>
      <c r="X555" s="118"/>
      <c r="Y555" s="118"/>
      <c r="Z555" s="118"/>
      <c r="AA555" s="118"/>
      <c r="AB555" s="118"/>
      <c r="AC555" s="118"/>
      <c r="AD555" s="111"/>
      <c r="AE555" s="122"/>
      <c r="AF555" s="122"/>
      <c r="AG555" s="122"/>
      <c r="AH555" s="122"/>
    </row>
    <row r="556" ht="22.5" customHeight="1">
      <c r="A556" s="73"/>
      <c r="B556" s="73"/>
      <c r="C556" s="73"/>
      <c r="D556" s="73"/>
      <c r="E556" s="330"/>
      <c r="F556" s="118"/>
      <c r="G556" s="118"/>
      <c r="H556" s="118"/>
      <c r="I556" s="118"/>
      <c r="J556" s="119"/>
      <c r="K556" s="120"/>
      <c r="L556" s="120"/>
      <c r="M556" s="120"/>
      <c r="N556" s="120"/>
      <c r="O556" s="118"/>
      <c r="P556" s="120"/>
      <c r="Q556" s="121"/>
      <c r="R556" s="109" t="b">
        <v>0</v>
      </c>
      <c r="S556" s="143"/>
      <c r="T556" s="110"/>
      <c r="U556" s="118"/>
      <c r="V556" s="118"/>
      <c r="W556" s="118"/>
      <c r="X556" s="118"/>
      <c r="Y556" s="118"/>
      <c r="Z556" s="118"/>
      <c r="AA556" s="118"/>
      <c r="AB556" s="118"/>
      <c r="AC556" s="118"/>
      <c r="AD556" s="111"/>
      <c r="AE556" s="122"/>
      <c r="AF556" s="122"/>
      <c r="AG556" s="122"/>
      <c r="AH556" s="122"/>
    </row>
    <row r="557" ht="22.5" customHeight="1">
      <c r="A557" s="73"/>
      <c r="B557" s="73"/>
      <c r="C557" s="73"/>
      <c r="D557" s="73"/>
      <c r="E557" s="330"/>
      <c r="F557" s="118"/>
      <c r="G557" s="118"/>
      <c r="H557" s="118"/>
      <c r="I557" s="118"/>
      <c r="J557" s="119"/>
      <c r="K557" s="120"/>
      <c r="L557" s="120"/>
      <c r="M557" s="120"/>
      <c r="N557" s="120"/>
      <c r="O557" s="118"/>
      <c r="P557" s="120"/>
      <c r="Q557" s="121"/>
      <c r="R557" s="109" t="b">
        <v>0</v>
      </c>
      <c r="S557" s="143"/>
      <c r="T557" s="110"/>
      <c r="U557" s="118"/>
      <c r="V557" s="118"/>
      <c r="W557" s="118"/>
      <c r="X557" s="118"/>
      <c r="Y557" s="118"/>
      <c r="Z557" s="118"/>
      <c r="AA557" s="118"/>
      <c r="AB557" s="118"/>
      <c r="AC557" s="118"/>
      <c r="AD557" s="111"/>
      <c r="AE557" s="122"/>
      <c r="AF557" s="122"/>
      <c r="AG557" s="122"/>
      <c r="AH557" s="122"/>
    </row>
    <row r="558" ht="22.5" customHeight="1">
      <c r="A558" s="73"/>
      <c r="B558" s="73"/>
      <c r="C558" s="73"/>
      <c r="D558" s="73"/>
      <c r="E558" s="330"/>
      <c r="F558" s="118"/>
      <c r="G558" s="118"/>
      <c r="H558" s="118"/>
      <c r="I558" s="118"/>
      <c r="J558" s="119"/>
      <c r="K558" s="120"/>
      <c r="L558" s="120"/>
      <c r="M558" s="120"/>
      <c r="N558" s="120"/>
      <c r="O558" s="118"/>
      <c r="P558" s="120"/>
      <c r="Q558" s="121"/>
      <c r="R558" s="109" t="b">
        <v>0</v>
      </c>
      <c r="S558" s="143"/>
      <c r="T558" s="110"/>
      <c r="U558" s="118"/>
      <c r="V558" s="118"/>
      <c r="W558" s="118"/>
      <c r="X558" s="118"/>
      <c r="Y558" s="118"/>
      <c r="Z558" s="118"/>
      <c r="AA558" s="118"/>
      <c r="AB558" s="118"/>
      <c r="AC558" s="118"/>
      <c r="AD558" s="111"/>
      <c r="AE558" s="122"/>
      <c r="AF558" s="122"/>
      <c r="AG558" s="122"/>
      <c r="AH558" s="122"/>
    </row>
    <row r="559" ht="22.5" customHeight="1">
      <c r="A559" s="73"/>
      <c r="B559" s="73"/>
      <c r="C559" s="73"/>
      <c r="D559" s="73"/>
      <c r="E559" s="330"/>
      <c r="F559" s="118"/>
      <c r="G559" s="118"/>
      <c r="H559" s="118"/>
      <c r="I559" s="118"/>
      <c r="J559" s="119"/>
      <c r="K559" s="120"/>
      <c r="L559" s="120"/>
      <c r="M559" s="120"/>
      <c r="N559" s="120"/>
      <c r="O559" s="118"/>
      <c r="P559" s="120"/>
      <c r="Q559" s="121"/>
      <c r="R559" s="109" t="b">
        <v>0</v>
      </c>
      <c r="S559" s="143"/>
      <c r="T559" s="110"/>
      <c r="U559" s="118"/>
      <c r="V559" s="118"/>
      <c r="W559" s="118"/>
      <c r="X559" s="118"/>
      <c r="Y559" s="118"/>
      <c r="Z559" s="118"/>
      <c r="AA559" s="118"/>
      <c r="AB559" s="118"/>
      <c r="AC559" s="118"/>
      <c r="AD559" s="111"/>
      <c r="AE559" s="122"/>
      <c r="AF559" s="122"/>
      <c r="AG559" s="122"/>
      <c r="AH559" s="122"/>
    </row>
    <row r="560" ht="22.5" customHeight="1">
      <c r="A560" s="73"/>
      <c r="B560" s="73"/>
      <c r="C560" s="73"/>
      <c r="D560" s="73"/>
      <c r="E560" s="330"/>
      <c r="F560" s="118"/>
      <c r="G560" s="118"/>
      <c r="H560" s="118"/>
      <c r="I560" s="118"/>
      <c r="J560" s="119"/>
      <c r="K560" s="120"/>
      <c r="L560" s="120"/>
      <c r="M560" s="120"/>
      <c r="N560" s="120"/>
      <c r="O560" s="118"/>
      <c r="P560" s="120"/>
      <c r="Q560" s="121"/>
      <c r="R560" s="109" t="b">
        <v>0</v>
      </c>
      <c r="S560" s="143"/>
      <c r="T560" s="110"/>
      <c r="U560" s="118"/>
      <c r="V560" s="118"/>
      <c r="W560" s="118"/>
      <c r="X560" s="118"/>
      <c r="Y560" s="118"/>
      <c r="Z560" s="118"/>
      <c r="AA560" s="118"/>
      <c r="AB560" s="118"/>
      <c r="AC560" s="118"/>
      <c r="AD560" s="111"/>
      <c r="AE560" s="122"/>
      <c r="AF560" s="122"/>
      <c r="AG560" s="122"/>
      <c r="AH560" s="122"/>
    </row>
    <row r="561" ht="22.5" customHeight="1">
      <c r="A561" s="73"/>
      <c r="B561" s="73"/>
      <c r="C561" s="73"/>
      <c r="D561" s="73"/>
      <c r="E561" s="330"/>
      <c r="F561" s="118"/>
      <c r="G561" s="118"/>
      <c r="H561" s="118"/>
      <c r="I561" s="118"/>
      <c r="J561" s="119"/>
      <c r="K561" s="120"/>
      <c r="L561" s="120"/>
      <c r="M561" s="120"/>
      <c r="N561" s="120"/>
      <c r="O561" s="118"/>
      <c r="P561" s="120"/>
      <c r="Q561" s="121"/>
      <c r="R561" s="109" t="b">
        <v>0</v>
      </c>
      <c r="S561" s="143"/>
      <c r="T561" s="110"/>
      <c r="U561" s="118"/>
      <c r="V561" s="118"/>
      <c r="W561" s="118"/>
      <c r="X561" s="118"/>
      <c r="Y561" s="118"/>
      <c r="Z561" s="118"/>
      <c r="AA561" s="118"/>
      <c r="AB561" s="118"/>
      <c r="AC561" s="118"/>
      <c r="AD561" s="111"/>
      <c r="AE561" s="122"/>
      <c r="AF561" s="122"/>
      <c r="AG561" s="122"/>
      <c r="AH561" s="122"/>
    </row>
    <row r="562" ht="22.5" customHeight="1">
      <c r="A562" s="73"/>
      <c r="B562" s="73"/>
      <c r="C562" s="73"/>
      <c r="D562" s="73"/>
      <c r="E562" s="330"/>
      <c r="F562" s="118"/>
      <c r="G562" s="118"/>
      <c r="H562" s="118"/>
      <c r="I562" s="118"/>
      <c r="J562" s="119"/>
      <c r="K562" s="120"/>
      <c r="L562" s="120"/>
      <c r="M562" s="120"/>
      <c r="N562" s="120"/>
      <c r="O562" s="118"/>
      <c r="P562" s="120"/>
      <c r="Q562" s="121"/>
      <c r="R562" s="109" t="b">
        <v>0</v>
      </c>
      <c r="S562" s="143"/>
      <c r="T562" s="110"/>
      <c r="U562" s="118"/>
      <c r="V562" s="118"/>
      <c r="W562" s="118"/>
      <c r="X562" s="118"/>
      <c r="Y562" s="118"/>
      <c r="Z562" s="118"/>
      <c r="AA562" s="118"/>
      <c r="AB562" s="118"/>
      <c r="AC562" s="118"/>
      <c r="AD562" s="111"/>
      <c r="AE562" s="122"/>
      <c r="AF562" s="122"/>
      <c r="AG562" s="122"/>
      <c r="AH562" s="122"/>
    </row>
    <row r="563" ht="22.5" customHeight="1">
      <c r="A563" s="73"/>
      <c r="B563" s="73"/>
      <c r="C563" s="73"/>
      <c r="D563" s="73"/>
      <c r="E563" s="330"/>
      <c r="F563" s="118"/>
      <c r="G563" s="118"/>
      <c r="H563" s="118"/>
      <c r="I563" s="118"/>
      <c r="J563" s="119"/>
      <c r="K563" s="120"/>
      <c r="L563" s="120"/>
      <c r="M563" s="120"/>
      <c r="N563" s="120"/>
      <c r="O563" s="118"/>
      <c r="P563" s="120"/>
      <c r="Q563" s="121"/>
      <c r="R563" s="109" t="b">
        <v>0</v>
      </c>
      <c r="S563" s="143"/>
      <c r="T563" s="110"/>
      <c r="U563" s="118"/>
      <c r="V563" s="118"/>
      <c r="W563" s="118"/>
      <c r="X563" s="118"/>
      <c r="Y563" s="118"/>
      <c r="Z563" s="118"/>
      <c r="AA563" s="118"/>
      <c r="AB563" s="118"/>
      <c r="AC563" s="118"/>
      <c r="AD563" s="111"/>
      <c r="AE563" s="122"/>
      <c r="AF563" s="122"/>
      <c r="AG563" s="122"/>
      <c r="AH563" s="122"/>
    </row>
    <row r="564" ht="22.5" customHeight="1">
      <c r="A564" s="73"/>
      <c r="B564" s="73"/>
      <c r="C564" s="73"/>
      <c r="D564" s="73"/>
      <c r="E564" s="330"/>
      <c r="F564" s="118"/>
      <c r="G564" s="118"/>
      <c r="H564" s="118"/>
      <c r="I564" s="118"/>
      <c r="J564" s="119"/>
      <c r="K564" s="120"/>
      <c r="L564" s="120"/>
      <c r="M564" s="120"/>
      <c r="N564" s="120"/>
      <c r="O564" s="118"/>
      <c r="P564" s="120"/>
      <c r="Q564" s="121"/>
      <c r="R564" s="109" t="b">
        <v>0</v>
      </c>
      <c r="S564" s="143"/>
      <c r="T564" s="110"/>
      <c r="U564" s="118"/>
      <c r="V564" s="118"/>
      <c r="W564" s="118"/>
      <c r="X564" s="118"/>
      <c r="Y564" s="118"/>
      <c r="Z564" s="118"/>
      <c r="AA564" s="118"/>
      <c r="AB564" s="118"/>
      <c r="AC564" s="118"/>
      <c r="AD564" s="111"/>
      <c r="AE564" s="122"/>
      <c r="AF564" s="122"/>
      <c r="AG564" s="122"/>
      <c r="AH564" s="122"/>
    </row>
    <row r="565" ht="22.5" customHeight="1">
      <c r="A565" s="73"/>
      <c r="B565" s="73"/>
      <c r="C565" s="73"/>
      <c r="D565" s="73"/>
      <c r="E565" s="330"/>
      <c r="F565" s="118"/>
      <c r="G565" s="118"/>
      <c r="H565" s="118"/>
      <c r="I565" s="118"/>
      <c r="J565" s="119"/>
      <c r="K565" s="120"/>
      <c r="L565" s="120"/>
      <c r="M565" s="120"/>
      <c r="N565" s="120"/>
      <c r="O565" s="118"/>
      <c r="P565" s="120"/>
      <c r="Q565" s="121"/>
      <c r="R565" s="109" t="b">
        <v>0</v>
      </c>
      <c r="S565" s="143"/>
      <c r="T565" s="110"/>
      <c r="U565" s="118"/>
      <c r="V565" s="118"/>
      <c r="W565" s="118"/>
      <c r="X565" s="118"/>
      <c r="Y565" s="118"/>
      <c r="Z565" s="118"/>
      <c r="AA565" s="118"/>
      <c r="AB565" s="118"/>
      <c r="AC565" s="118"/>
      <c r="AD565" s="111"/>
      <c r="AE565" s="122"/>
      <c r="AF565" s="122"/>
      <c r="AG565" s="122"/>
      <c r="AH565" s="122"/>
    </row>
    <row r="566" ht="22.5" customHeight="1">
      <c r="A566" s="73"/>
      <c r="B566" s="73"/>
      <c r="C566" s="73"/>
      <c r="D566" s="73"/>
      <c r="E566" s="330"/>
      <c r="F566" s="118"/>
      <c r="G566" s="118"/>
      <c r="H566" s="118"/>
      <c r="I566" s="118"/>
      <c r="J566" s="119"/>
      <c r="K566" s="120"/>
      <c r="L566" s="120"/>
      <c r="M566" s="120"/>
      <c r="N566" s="120"/>
      <c r="O566" s="118"/>
      <c r="P566" s="120"/>
      <c r="Q566" s="121"/>
      <c r="R566" s="109" t="b">
        <v>0</v>
      </c>
      <c r="S566" s="143"/>
      <c r="T566" s="110"/>
      <c r="U566" s="118"/>
      <c r="V566" s="118"/>
      <c r="W566" s="118"/>
      <c r="X566" s="118"/>
      <c r="Y566" s="118"/>
      <c r="Z566" s="118"/>
      <c r="AA566" s="118"/>
      <c r="AB566" s="118"/>
      <c r="AC566" s="118"/>
      <c r="AD566" s="111"/>
      <c r="AE566" s="122"/>
      <c r="AF566" s="122"/>
      <c r="AG566" s="122"/>
      <c r="AH566" s="122"/>
    </row>
    <row r="567" ht="22.5" customHeight="1">
      <c r="A567" s="73"/>
      <c r="B567" s="73"/>
      <c r="C567" s="73"/>
      <c r="D567" s="73"/>
      <c r="E567" s="330"/>
      <c r="F567" s="118"/>
      <c r="G567" s="118"/>
      <c r="H567" s="118"/>
      <c r="I567" s="118"/>
      <c r="J567" s="119"/>
      <c r="K567" s="120"/>
      <c r="L567" s="120"/>
      <c r="M567" s="120"/>
      <c r="N567" s="120"/>
      <c r="O567" s="118"/>
      <c r="P567" s="120"/>
      <c r="Q567" s="121"/>
      <c r="R567" s="109" t="b">
        <v>0</v>
      </c>
      <c r="S567" s="143"/>
      <c r="T567" s="110"/>
      <c r="U567" s="118"/>
      <c r="V567" s="118"/>
      <c r="W567" s="118"/>
      <c r="X567" s="118"/>
      <c r="Y567" s="118"/>
      <c r="Z567" s="118"/>
      <c r="AA567" s="118"/>
      <c r="AB567" s="118"/>
      <c r="AC567" s="118"/>
      <c r="AD567" s="111"/>
      <c r="AE567" s="122"/>
      <c r="AF567" s="122"/>
      <c r="AG567" s="122"/>
      <c r="AH567" s="122"/>
    </row>
    <row r="568" ht="22.5" customHeight="1">
      <c r="A568" s="73"/>
      <c r="B568" s="73"/>
      <c r="C568" s="73"/>
      <c r="D568" s="73"/>
      <c r="E568" s="330"/>
      <c r="F568" s="118"/>
      <c r="G568" s="118"/>
      <c r="H568" s="118"/>
      <c r="I568" s="118"/>
      <c r="J568" s="119"/>
      <c r="K568" s="120"/>
      <c r="L568" s="120"/>
      <c r="M568" s="120"/>
      <c r="N568" s="120"/>
      <c r="O568" s="118"/>
      <c r="P568" s="120"/>
      <c r="Q568" s="121"/>
      <c r="R568" s="109" t="b">
        <v>0</v>
      </c>
      <c r="S568" s="143"/>
      <c r="T568" s="110"/>
      <c r="U568" s="118"/>
      <c r="V568" s="118"/>
      <c r="W568" s="118"/>
      <c r="X568" s="118"/>
      <c r="Y568" s="118"/>
      <c r="Z568" s="118"/>
      <c r="AA568" s="118"/>
      <c r="AB568" s="118"/>
      <c r="AC568" s="118"/>
      <c r="AD568" s="111"/>
      <c r="AE568" s="122"/>
      <c r="AF568" s="122"/>
      <c r="AG568" s="122"/>
      <c r="AH568" s="122"/>
    </row>
    <row r="569" ht="22.5" customHeight="1">
      <c r="A569" s="73"/>
      <c r="B569" s="73"/>
      <c r="C569" s="73"/>
      <c r="D569" s="73"/>
      <c r="E569" s="330"/>
      <c r="F569" s="118"/>
      <c r="G569" s="118"/>
      <c r="H569" s="118"/>
      <c r="I569" s="118"/>
      <c r="J569" s="119"/>
      <c r="K569" s="120"/>
      <c r="L569" s="120"/>
      <c r="M569" s="120"/>
      <c r="N569" s="120"/>
      <c r="O569" s="118"/>
      <c r="P569" s="120"/>
      <c r="Q569" s="121"/>
      <c r="R569" s="109" t="b">
        <v>0</v>
      </c>
      <c r="S569" s="143"/>
      <c r="T569" s="110"/>
      <c r="U569" s="118"/>
      <c r="V569" s="118"/>
      <c r="W569" s="118"/>
      <c r="X569" s="118"/>
      <c r="Y569" s="118"/>
      <c r="Z569" s="118"/>
      <c r="AA569" s="118"/>
      <c r="AB569" s="118"/>
      <c r="AC569" s="118"/>
      <c r="AD569" s="111"/>
      <c r="AE569" s="122"/>
      <c r="AF569" s="122"/>
      <c r="AG569" s="122"/>
      <c r="AH569" s="122"/>
    </row>
    <row r="570" ht="22.5" customHeight="1">
      <c r="A570" s="73"/>
      <c r="B570" s="73"/>
      <c r="C570" s="73"/>
      <c r="D570" s="73"/>
      <c r="E570" s="330"/>
      <c r="F570" s="118"/>
      <c r="G570" s="118"/>
      <c r="H570" s="118"/>
      <c r="I570" s="118"/>
      <c r="J570" s="119"/>
      <c r="K570" s="120"/>
      <c r="L570" s="120"/>
      <c r="M570" s="120"/>
      <c r="N570" s="120"/>
      <c r="O570" s="118"/>
      <c r="P570" s="120"/>
      <c r="Q570" s="121"/>
      <c r="R570" s="109" t="b">
        <v>0</v>
      </c>
      <c r="S570" s="143"/>
      <c r="T570" s="110"/>
      <c r="U570" s="118"/>
      <c r="V570" s="118"/>
      <c r="W570" s="118"/>
      <c r="X570" s="118"/>
      <c r="Y570" s="118"/>
      <c r="Z570" s="118"/>
      <c r="AA570" s="118"/>
      <c r="AB570" s="118"/>
      <c r="AC570" s="118"/>
      <c r="AD570" s="111"/>
      <c r="AE570" s="122"/>
      <c r="AF570" s="122"/>
      <c r="AG570" s="122"/>
      <c r="AH570" s="122"/>
    </row>
    <row r="571" ht="22.5" customHeight="1">
      <c r="A571" s="73"/>
      <c r="B571" s="73"/>
      <c r="C571" s="73"/>
      <c r="D571" s="73"/>
      <c r="E571" s="330"/>
      <c r="F571" s="118"/>
      <c r="G571" s="118"/>
      <c r="H571" s="118"/>
      <c r="I571" s="118"/>
      <c r="J571" s="119"/>
      <c r="K571" s="120"/>
      <c r="L571" s="120"/>
      <c r="M571" s="120"/>
      <c r="N571" s="120"/>
      <c r="O571" s="118"/>
      <c r="P571" s="120"/>
      <c r="Q571" s="121"/>
      <c r="R571" s="109" t="b">
        <v>0</v>
      </c>
      <c r="S571" s="143"/>
      <c r="T571" s="110"/>
      <c r="U571" s="118"/>
      <c r="V571" s="118"/>
      <c r="W571" s="118"/>
      <c r="X571" s="118"/>
      <c r="Y571" s="118"/>
      <c r="Z571" s="118"/>
      <c r="AA571" s="118"/>
      <c r="AB571" s="118"/>
      <c r="AC571" s="118"/>
      <c r="AD571" s="111"/>
      <c r="AE571" s="122"/>
      <c r="AF571" s="122"/>
      <c r="AG571" s="122"/>
      <c r="AH571" s="122"/>
    </row>
    <row r="572" ht="22.5" customHeight="1">
      <c r="A572" s="73"/>
      <c r="B572" s="73"/>
      <c r="C572" s="73"/>
      <c r="D572" s="73"/>
      <c r="E572" s="330"/>
      <c r="F572" s="118"/>
      <c r="G572" s="118"/>
      <c r="H572" s="118"/>
      <c r="I572" s="118"/>
      <c r="J572" s="119"/>
      <c r="K572" s="120"/>
      <c r="L572" s="120"/>
      <c r="M572" s="120"/>
      <c r="N572" s="120"/>
      <c r="O572" s="118"/>
      <c r="P572" s="120"/>
      <c r="Q572" s="121"/>
      <c r="R572" s="109" t="b">
        <v>0</v>
      </c>
      <c r="S572" s="143"/>
      <c r="T572" s="110"/>
      <c r="U572" s="118"/>
      <c r="V572" s="118"/>
      <c r="W572" s="118"/>
      <c r="X572" s="118"/>
      <c r="Y572" s="118"/>
      <c r="Z572" s="118"/>
      <c r="AA572" s="118"/>
      <c r="AB572" s="118"/>
      <c r="AC572" s="118"/>
      <c r="AD572" s="111"/>
      <c r="AE572" s="122"/>
      <c r="AF572" s="122"/>
      <c r="AG572" s="122"/>
      <c r="AH572" s="122"/>
    </row>
    <row r="573" ht="22.5" customHeight="1">
      <c r="A573" s="73"/>
      <c r="B573" s="73"/>
      <c r="C573" s="73"/>
      <c r="D573" s="73"/>
      <c r="E573" s="330"/>
      <c r="F573" s="118"/>
      <c r="G573" s="118"/>
      <c r="H573" s="118"/>
      <c r="I573" s="118"/>
      <c r="J573" s="119"/>
      <c r="K573" s="120"/>
      <c r="L573" s="120"/>
      <c r="M573" s="120"/>
      <c r="N573" s="120"/>
      <c r="O573" s="118"/>
      <c r="P573" s="120"/>
      <c r="Q573" s="121"/>
      <c r="R573" s="109" t="b">
        <v>0</v>
      </c>
      <c r="S573" s="143"/>
      <c r="T573" s="110"/>
      <c r="U573" s="118"/>
      <c r="V573" s="118"/>
      <c r="W573" s="118"/>
      <c r="X573" s="118"/>
      <c r="Y573" s="118"/>
      <c r="Z573" s="118"/>
      <c r="AA573" s="118"/>
      <c r="AB573" s="118"/>
      <c r="AC573" s="118"/>
      <c r="AD573" s="111"/>
      <c r="AE573" s="122"/>
      <c r="AF573" s="122"/>
      <c r="AG573" s="122"/>
      <c r="AH573" s="122"/>
    </row>
    <row r="574" ht="22.5" customHeight="1">
      <c r="A574" s="73"/>
      <c r="B574" s="73"/>
      <c r="C574" s="73"/>
      <c r="D574" s="73"/>
      <c r="E574" s="330"/>
      <c r="F574" s="118"/>
      <c r="G574" s="118"/>
      <c r="H574" s="118"/>
      <c r="I574" s="118"/>
      <c r="J574" s="119"/>
      <c r="K574" s="120"/>
      <c r="L574" s="120"/>
      <c r="M574" s="120"/>
      <c r="N574" s="120"/>
      <c r="O574" s="118"/>
      <c r="P574" s="120"/>
      <c r="Q574" s="121"/>
      <c r="R574" s="109" t="b">
        <v>0</v>
      </c>
      <c r="S574" s="143"/>
      <c r="T574" s="110"/>
      <c r="U574" s="118"/>
      <c r="V574" s="118"/>
      <c r="W574" s="118"/>
      <c r="X574" s="118"/>
      <c r="Y574" s="118"/>
      <c r="Z574" s="118"/>
      <c r="AA574" s="118"/>
      <c r="AB574" s="118"/>
      <c r="AC574" s="118"/>
      <c r="AD574" s="111"/>
      <c r="AE574" s="122"/>
      <c r="AF574" s="122"/>
      <c r="AG574" s="122"/>
      <c r="AH574" s="122"/>
    </row>
    <row r="575" ht="22.5" customHeight="1">
      <c r="A575" s="73"/>
      <c r="B575" s="73"/>
      <c r="C575" s="73"/>
      <c r="D575" s="73"/>
      <c r="E575" s="330"/>
      <c r="F575" s="118"/>
      <c r="G575" s="118"/>
      <c r="H575" s="118"/>
      <c r="I575" s="118"/>
      <c r="J575" s="119"/>
      <c r="K575" s="120"/>
      <c r="L575" s="120"/>
      <c r="M575" s="120"/>
      <c r="N575" s="120"/>
      <c r="O575" s="118"/>
      <c r="P575" s="120"/>
      <c r="Q575" s="121"/>
      <c r="R575" s="109" t="b">
        <v>0</v>
      </c>
      <c r="S575" s="143"/>
      <c r="T575" s="110"/>
      <c r="U575" s="118"/>
      <c r="V575" s="118"/>
      <c r="W575" s="118"/>
      <c r="X575" s="118"/>
      <c r="Y575" s="118"/>
      <c r="Z575" s="118"/>
      <c r="AA575" s="118"/>
      <c r="AB575" s="118"/>
      <c r="AC575" s="118"/>
      <c r="AD575" s="111"/>
      <c r="AE575" s="122"/>
      <c r="AF575" s="122"/>
      <c r="AG575" s="122"/>
      <c r="AH575" s="122"/>
    </row>
    <row r="576" ht="22.5" customHeight="1">
      <c r="A576" s="73"/>
      <c r="B576" s="73"/>
      <c r="C576" s="73"/>
      <c r="D576" s="73"/>
      <c r="E576" s="330"/>
      <c r="F576" s="118"/>
      <c r="G576" s="118"/>
      <c r="H576" s="118"/>
      <c r="I576" s="118"/>
      <c r="J576" s="119"/>
      <c r="K576" s="120"/>
      <c r="L576" s="120"/>
      <c r="M576" s="120"/>
      <c r="N576" s="120"/>
      <c r="O576" s="118"/>
      <c r="P576" s="120"/>
      <c r="Q576" s="121"/>
      <c r="R576" s="109" t="b">
        <v>0</v>
      </c>
      <c r="S576" s="143"/>
      <c r="T576" s="110"/>
      <c r="U576" s="118"/>
      <c r="V576" s="118"/>
      <c r="W576" s="118"/>
      <c r="X576" s="118"/>
      <c r="Y576" s="118"/>
      <c r="Z576" s="118"/>
      <c r="AA576" s="118"/>
      <c r="AB576" s="118"/>
      <c r="AC576" s="118"/>
      <c r="AD576" s="111"/>
      <c r="AE576" s="122"/>
      <c r="AF576" s="122"/>
      <c r="AG576" s="122"/>
      <c r="AH576" s="122"/>
    </row>
    <row r="577" ht="22.5" customHeight="1">
      <c r="A577" s="73"/>
      <c r="B577" s="73"/>
      <c r="C577" s="73"/>
      <c r="D577" s="73"/>
      <c r="E577" s="330"/>
      <c r="F577" s="118"/>
      <c r="G577" s="118"/>
      <c r="H577" s="118"/>
      <c r="I577" s="118"/>
      <c r="J577" s="119"/>
      <c r="K577" s="120"/>
      <c r="L577" s="120"/>
      <c r="M577" s="120"/>
      <c r="N577" s="120"/>
      <c r="O577" s="118"/>
      <c r="P577" s="120"/>
      <c r="Q577" s="121"/>
      <c r="R577" s="109" t="b">
        <v>0</v>
      </c>
      <c r="S577" s="143"/>
      <c r="T577" s="110"/>
      <c r="U577" s="118"/>
      <c r="V577" s="118"/>
      <c r="W577" s="118"/>
      <c r="X577" s="118"/>
      <c r="Y577" s="118"/>
      <c r="Z577" s="118"/>
      <c r="AA577" s="118"/>
      <c r="AB577" s="118"/>
      <c r="AC577" s="118"/>
      <c r="AD577" s="111"/>
      <c r="AE577" s="122"/>
      <c r="AF577" s="122"/>
      <c r="AG577" s="122"/>
      <c r="AH577" s="122"/>
    </row>
    <row r="578" ht="22.5" customHeight="1">
      <c r="A578" s="73"/>
      <c r="B578" s="73"/>
      <c r="C578" s="73"/>
      <c r="D578" s="73"/>
      <c r="E578" s="330"/>
      <c r="F578" s="118"/>
      <c r="G578" s="118"/>
      <c r="H578" s="118"/>
      <c r="I578" s="118"/>
      <c r="J578" s="119"/>
      <c r="K578" s="120"/>
      <c r="L578" s="120"/>
      <c r="M578" s="120"/>
      <c r="N578" s="120"/>
      <c r="O578" s="118"/>
      <c r="P578" s="120"/>
      <c r="Q578" s="121"/>
      <c r="R578" s="109" t="b">
        <v>0</v>
      </c>
      <c r="S578" s="143"/>
      <c r="T578" s="110"/>
      <c r="U578" s="118"/>
      <c r="V578" s="118"/>
      <c r="W578" s="118"/>
      <c r="X578" s="118"/>
      <c r="Y578" s="118"/>
      <c r="Z578" s="118"/>
      <c r="AA578" s="118"/>
      <c r="AB578" s="118"/>
      <c r="AC578" s="118"/>
      <c r="AD578" s="111"/>
      <c r="AE578" s="122"/>
      <c r="AF578" s="122"/>
      <c r="AG578" s="122"/>
      <c r="AH578" s="122"/>
    </row>
    <row r="579" ht="22.5" customHeight="1">
      <c r="A579" s="73"/>
      <c r="B579" s="73"/>
      <c r="C579" s="73"/>
      <c r="D579" s="73"/>
      <c r="E579" s="330"/>
      <c r="F579" s="118"/>
      <c r="G579" s="118"/>
      <c r="H579" s="118"/>
      <c r="I579" s="118"/>
      <c r="J579" s="119"/>
      <c r="K579" s="120"/>
      <c r="L579" s="120"/>
      <c r="M579" s="120"/>
      <c r="N579" s="120"/>
      <c r="O579" s="118"/>
      <c r="P579" s="120"/>
      <c r="Q579" s="121"/>
      <c r="R579" s="109" t="b">
        <v>0</v>
      </c>
      <c r="S579" s="143"/>
      <c r="T579" s="110"/>
      <c r="U579" s="118"/>
      <c r="V579" s="118"/>
      <c r="W579" s="118"/>
      <c r="X579" s="118"/>
      <c r="Y579" s="118"/>
      <c r="Z579" s="118"/>
      <c r="AA579" s="118"/>
      <c r="AB579" s="118"/>
      <c r="AC579" s="118"/>
      <c r="AD579" s="111"/>
      <c r="AE579" s="122"/>
      <c r="AF579" s="122"/>
      <c r="AG579" s="122"/>
      <c r="AH579" s="122"/>
    </row>
    <row r="580" ht="22.5" customHeight="1">
      <c r="A580" s="73"/>
      <c r="B580" s="73"/>
      <c r="C580" s="73"/>
      <c r="D580" s="73"/>
      <c r="E580" s="330"/>
      <c r="F580" s="118"/>
      <c r="G580" s="118"/>
      <c r="H580" s="118"/>
      <c r="I580" s="118"/>
      <c r="J580" s="119"/>
      <c r="K580" s="120"/>
      <c r="L580" s="120"/>
      <c r="M580" s="120"/>
      <c r="N580" s="120"/>
      <c r="O580" s="118"/>
      <c r="P580" s="120"/>
      <c r="Q580" s="121"/>
      <c r="R580" s="109" t="b">
        <v>0</v>
      </c>
      <c r="S580" s="143"/>
      <c r="T580" s="110"/>
      <c r="U580" s="118"/>
      <c r="V580" s="118"/>
      <c r="W580" s="118"/>
      <c r="X580" s="118"/>
      <c r="Y580" s="118"/>
      <c r="Z580" s="118"/>
      <c r="AA580" s="118"/>
      <c r="AB580" s="118"/>
      <c r="AC580" s="118"/>
      <c r="AD580" s="111"/>
      <c r="AE580" s="122"/>
      <c r="AF580" s="122"/>
      <c r="AG580" s="122"/>
      <c r="AH580" s="122"/>
    </row>
    <row r="581" ht="22.5" customHeight="1">
      <c r="A581" s="73"/>
      <c r="B581" s="73"/>
      <c r="C581" s="73"/>
      <c r="D581" s="73"/>
      <c r="E581" s="330"/>
      <c r="F581" s="118"/>
      <c r="G581" s="118"/>
      <c r="H581" s="118"/>
      <c r="I581" s="118"/>
      <c r="J581" s="119"/>
      <c r="K581" s="120"/>
      <c r="L581" s="120"/>
      <c r="M581" s="120"/>
      <c r="N581" s="120"/>
      <c r="O581" s="118"/>
      <c r="P581" s="120"/>
      <c r="Q581" s="121"/>
      <c r="R581" s="109" t="b">
        <v>0</v>
      </c>
      <c r="S581" s="143"/>
      <c r="T581" s="110"/>
      <c r="U581" s="118"/>
      <c r="V581" s="118"/>
      <c r="W581" s="118"/>
      <c r="X581" s="118"/>
      <c r="Y581" s="118"/>
      <c r="Z581" s="118"/>
      <c r="AA581" s="118"/>
      <c r="AB581" s="118"/>
      <c r="AC581" s="118"/>
      <c r="AD581" s="111"/>
      <c r="AE581" s="122"/>
      <c r="AF581" s="122"/>
      <c r="AG581" s="122"/>
      <c r="AH581" s="122"/>
    </row>
    <row r="582" ht="22.5" customHeight="1">
      <c r="A582" s="73"/>
      <c r="B582" s="73"/>
      <c r="C582" s="73"/>
      <c r="D582" s="73"/>
      <c r="E582" s="330"/>
      <c r="F582" s="118"/>
      <c r="G582" s="118"/>
      <c r="H582" s="118"/>
      <c r="I582" s="118"/>
      <c r="J582" s="119"/>
      <c r="K582" s="120"/>
      <c r="L582" s="120"/>
      <c r="M582" s="120"/>
      <c r="N582" s="120"/>
      <c r="O582" s="118"/>
      <c r="P582" s="120"/>
      <c r="Q582" s="121"/>
      <c r="R582" s="109" t="b">
        <v>0</v>
      </c>
      <c r="S582" s="143"/>
      <c r="T582" s="110"/>
      <c r="U582" s="118"/>
      <c r="V582" s="118"/>
      <c r="W582" s="118"/>
      <c r="X582" s="118"/>
      <c r="Y582" s="118"/>
      <c r="Z582" s="118"/>
      <c r="AA582" s="118"/>
      <c r="AB582" s="118"/>
      <c r="AC582" s="118"/>
      <c r="AD582" s="111"/>
      <c r="AE582" s="122"/>
      <c r="AF582" s="122"/>
      <c r="AG582" s="122"/>
      <c r="AH582" s="122"/>
    </row>
    <row r="583" ht="22.5" customHeight="1">
      <c r="A583" s="73"/>
      <c r="B583" s="73"/>
      <c r="C583" s="73"/>
      <c r="D583" s="73"/>
      <c r="E583" s="330"/>
      <c r="F583" s="118"/>
      <c r="G583" s="118"/>
      <c r="H583" s="118"/>
      <c r="I583" s="118"/>
      <c r="J583" s="119"/>
      <c r="K583" s="120"/>
      <c r="L583" s="120"/>
      <c r="M583" s="120"/>
      <c r="N583" s="120"/>
      <c r="O583" s="118"/>
      <c r="P583" s="120"/>
      <c r="Q583" s="121"/>
      <c r="R583" s="109" t="b">
        <v>0</v>
      </c>
      <c r="S583" s="143"/>
      <c r="T583" s="110"/>
      <c r="U583" s="118"/>
      <c r="V583" s="118"/>
      <c r="W583" s="118"/>
      <c r="X583" s="118"/>
      <c r="Y583" s="118"/>
      <c r="Z583" s="118"/>
      <c r="AA583" s="118"/>
      <c r="AB583" s="118"/>
      <c r="AC583" s="118"/>
      <c r="AD583" s="111"/>
      <c r="AE583" s="122"/>
      <c r="AF583" s="122"/>
      <c r="AG583" s="122"/>
      <c r="AH583" s="122"/>
    </row>
    <row r="584" ht="22.5" customHeight="1">
      <c r="A584" s="73"/>
      <c r="B584" s="73"/>
      <c r="C584" s="73"/>
      <c r="D584" s="73"/>
      <c r="E584" s="330"/>
      <c r="F584" s="118"/>
      <c r="G584" s="118"/>
      <c r="H584" s="118"/>
      <c r="I584" s="118"/>
      <c r="J584" s="119"/>
      <c r="K584" s="120"/>
      <c r="L584" s="120"/>
      <c r="M584" s="120"/>
      <c r="N584" s="120"/>
      <c r="O584" s="118"/>
      <c r="P584" s="120"/>
      <c r="Q584" s="121"/>
      <c r="R584" s="109" t="b">
        <v>0</v>
      </c>
      <c r="S584" s="143"/>
      <c r="T584" s="110"/>
      <c r="U584" s="118"/>
      <c r="V584" s="118"/>
      <c r="W584" s="118"/>
      <c r="X584" s="118"/>
      <c r="Y584" s="118"/>
      <c r="Z584" s="118"/>
      <c r="AA584" s="118"/>
      <c r="AB584" s="118"/>
      <c r="AC584" s="118"/>
      <c r="AD584" s="111"/>
      <c r="AE584" s="122"/>
      <c r="AF584" s="122"/>
      <c r="AG584" s="122"/>
      <c r="AH584" s="122"/>
    </row>
    <row r="585" ht="22.5" customHeight="1">
      <c r="A585" s="73"/>
      <c r="B585" s="73"/>
      <c r="C585" s="73"/>
      <c r="D585" s="73"/>
      <c r="E585" s="330"/>
      <c r="F585" s="118"/>
      <c r="G585" s="118"/>
      <c r="H585" s="118"/>
      <c r="I585" s="118"/>
      <c r="J585" s="119"/>
      <c r="K585" s="120"/>
      <c r="L585" s="120"/>
      <c r="M585" s="120"/>
      <c r="N585" s="120"/>
      <c r="O585" s="118"/>
      <c r="P585" s="120"/>
      <c r="Q585" s="121"/>
      <c r="R585" s="109" t="b">
        <v>0</v>
      </c>
      <c r="S585" s="143"/>
      <c r="T585" s="110"/>
      <c r="U585" s="118"/>
      <c r="V585" s="118"/>
      <c r="W585" s="118"/>
      <c r="X585" s="118"/>
      <c r="Y585" s="118"/>
      <c r="Z585" s="118"/>
      <c r="AA585" s="118"/>
      <c r="AB585" s="118"/>
      <c r="AC585" s="118"/>
      <c r="AD585" s="111"/>
      <c r="AE585" s="122"/>
      <c r="AF585" s="122"/>
      <c r="AG585" s="122"/>
      <c r="AH585" s="122"/>
    </row>
    <row r="586" ht="22.5" customHeight="1">
      <c r="A586" s="73"/>
      <c r="B586" s="73"/>
      <c r="C586" s="73"/>
      <c r="D586" s="73"/>
      <c r="E586" s="330"/>
      <c r="F586" s="118"/>
      <c r="G586" s="118"/>
      <c r="H586" s="118"/>
      <c r="I586" s="118"/>
      <c r="J586" s="119"/>
      <c r="K586" s="120"/>
      <c r="L586" s="120"/>
      <c r="M586" s="120"/>
      <c r="N586" s="120"/>
      <c r="O586" s="118"/>
      <c r="P586" s="120"/>
      <c r="Q586" s="121"/>
      <c r="R586" s="109" t="b">
        <v>0</v>
      </c>
      <c r="S586" s="143"/>
      <c r="T586" s="110"/>
      <c r="U586" s="118"/>
      <c r="V586" s="118"/>
      <c r="W586" s="118"/>
      <c r="X586" s="118"/>
      <c r="Y586" s="118"/>
      <c r="Z586" s="118"/>
      <c r="AA586" s="118"/>
      <c r="AB586" s="118"/>
      <c r="AC586" s="118"/>
      <c r="AD586" s="111"/>
      <c r="AE586" s="122"/>
      <c r="AF586" s="122"/>
      <c r="AG586" s="122"/>
      <c r="AH586" s="122"/>
    </row>
    <row r="587" ht="22.5" customHeight="1">
      <c r="A587" s="73"/>
      <c r="B587" s="73"/>
      <c r="C587" s="73"/>
      <c r="D587" s="73"/>
      <c r="E587" s="330"/>
      <c r="F587" s="118"/>
      <c r="G587" s="118"/>
      <c r="H587" s="118"/>
      <c r="I587" s="118"/>
      <c r="J587" s="119"/>
      <c r="K587" s="120"/>
      <c r="L587" s="120"/>
      <c r="M587" s="120"/>
      <c r="N587" s="120"/>
      <c r="O587" s="118"/>
      <c r="P587" s="120"/>
      <c r="Q587" s="121"/>
      <c r="R587" s="109" t="b">
        <v>0</v>
      </c>
      <c r="S587" s="143"/>
      <c r="T587" s="110"/>
      <c r="U587" s="118"/>
      <c r="V587" s="118"/>
      <c r="W587" s="118"/>
      <c r="X587" s="118"/>
      <c r="Y587" s="118"/>
      <c r="Z587" s="118"/>
      <c r="AA587" s="118"/>
      <c r="AB587" s="118"/>
      <c r="AC587" s="118"/>
      <c r="AD587" s="111"/>
      <c r="AE587" s="122"/>
      <c r="AF587" s="122"/>
      <c r="AG587" s="122"/>
      <c r="AH587" s="122"/>
    </row>
    <row r="588" ht="22.5" customHeight="1">
      <c r="A588" s="73"/>
      <c r="B588" s="73"/>
      <c r="C588" s="73"/>
      <c r="D588" s="73"/>
      <c r="E588" s="330"/>
      <c r="F588" s="118"/>
      <c r="G588" s="118"/>
      <c r="H588" s="118"/>
      <c r="I588" s="118"/>
      <c r="J588" s="119"/>
      <c r="K588" s="120"/>
      <c r="L588" s="120"/>
      <c r="M588" s="120"/>
      <c r="N588" s="120"/>
      <c r="O588" s="118"/>
      <c r="P588" s="120"/>
      <c r="Q588" s="121"/>
      <c r="R588" s="109" t="b">
        <v>0</v>
      </c>
      <c r="S588" s="143"/>
      <c r="T588" s="110"/>
      <c r="U588" s="118"/>
      <c r="V588" s="118"/>
      <c r="W588" s="118"/>
      <c r="X588" s="118"/>
      <c r="Y588" s="118"/>
      <c r="Z588" s="118"/>
      <c r="AA588" s="118"/>
      <c r="AB588" s="118"/>
      <c r="AC588" s="118"/>
      <c r="AD588" s="111"/>
      <c r="AE588" s="122"/>
      <c r="AF588" s="122"/>
      <c r="AG588" s="122"/>
      <c r="AH588" s="122"/>
    </row>
    <row r="589" ht="22.5" customHeight="1">
      <c r="A589" s="73"/>
      <c r="B589" s="73"/>
      <c r="C589" s="73"/>
      <c r="D589" s="73"/>
      <c r="E589" s="330"/>
      <c r="F589" s="118"/>
      <c r="G589" s="118"/>
      <c r="H589" s="118"/>
      <c r="I589" s="118"/>
      <c r="J589" s="119"/>
      <c r="K589" s="120"/>
      <c r="L589" s="120"/>
      <c r="M589" s="120"/>
      <c r="N589" s="120"/>
      <c r="O589" s="118"/>
      <c r="P589" s="120"/>
      <c r="Q589" s="121"/>
      <c r="R589" s="109" t="b">
        <v>0</v>
      </c>
      <c r="S589" s="143"/>
      <c r="T589" s="110"/>
      <c r="U589" s="118"/>
      <c r="V589" s="118"/>
      <c r="W589" s="118"/>
      <c r="X589" s="118"/>
      <c r="Y589" s="118"/>
      <c r="Z589" s="118"/>
      <c r="AA589" s="118"/>
      <c r="AB589" s="118"/>
      <c r="AC589" s="118"/>
      <c r="AD589" s="111"/>
      <c r="AE589" s="122"/>
      <c r="AF589" s="122"/>
      <c r="AG589" s="122"/>
      <c r="AH589" s="122"/>
    </row>
    <row r="590" ht="22.5" customHeight="1">
      <c r="A590" s="73"/>
      <c r="B590" s="73"/>
      <c r="C590" s="73"/>
      <c r="D590" s="73"/>
      <c r="E590" s="330"/>
      <c r="F590" s="118"/>
      <c r="G590" s="118"/>
      <c r="H590" s="118"/>
      <c r="I590" s="118"/>
      <c r="J590" s="119"/>
      <c r="K590" s="120"/>
      <c r="L590" s="120"/>
      <c r="M590" s="120"/>
      <c r="N590" s="120"/>
      <c r="O590" s="118"/>
      <c r="P590" s="120"/>
      <c r="Q590" s="121"/>
      <c r="R590" s="109" t="b">
        <v>0</v>
      </c>
      <c r="S590" s="143"/>
      <c r="T590" s="110"/>
      <c r="U590" s="118"/>
      <c r="V590" s="118"/>
      <c r="W590" s="118"/>
      <c r="X590" s="118"/>
      <c r="Y590" s="118"/>
      <c r="Z590" s="118"/>
      <c r="AA590" s="118"/>
      <c r="AB590" s="118"/>
      <c r="AC590" s="118"/>
      <c r="AD590" s="111"/>
      <c r="AE590" s="122"/>
      <c r="AF590" s="122"/>
      <c r="AG590" s="122"/>
      <c r="AH590" s="122"/>
    </row>
    <row r="591" ht="22.5" customHeight="1">
      <c r="A591" s="73"/>
      <c r="B591" s="73"/>
      <c r="C591" s="73"/>
      <c r="D591" s="73"/>
      <c r="E591" s="330"/>
      <c r="F591" s="118"/>
      <c r="G591" s="118"/>
      <c r="H591" s="118"/>
      <c r="I591" s="118"/>
      <c r="J591" s="119"/>
      <c r="K591" s="120"/>
      <c r="L591" s="120"/>
      <c r="M591" s="120"/>
      <c r="N591" s="120"/>
      <c r="O591" s="118"/>
      <c r="P591" s="120"/>
      <c r="Q591" s="121"/>
      <c r="R591" s="109" t="b">
        <v>0</v>
      </c>
      <c r="S591" s="143"/>
      <c r="T591" s="110"/>
      <c r="U591" s="118"/>
      <c r="V591" s="118"/>
      <c r="W591" s="118"/>
      <c r="X591" s="118"/>
      <c r="Y591" s="118"/>
      <c r="Z591" s="118"/>
      <c r="AA591" s="118"/>
      <c r="AB591" s="118"/>
      <c r="AC591" s="118"/>
      <c r="AD591" s="111"/>
      <c r="AE591" s="122"/>
      <c r="AF591" s="122"/>
      <c r="AG591" s="122"/>
      <c r="AH591" s="122"/>
    </row>
    <row r="592" ht="22.5" customHeight="1">
      <c r="A592" s="73"/>
      <c r="B592" s="73"/>
      <c r="C592" s="73"/>
      <c r="D592" s="73"/>
      <c r="E592" s="330"/>
      <c r="F592" s="118"/>
      <c r="G592" s="118"/>
      <c r="H592" s="118"/>
      <c r="I592" s="118"/>
      <c r="J592" s="119"/>
      <c r="K592" s="120"/>
      <c r="L592" s="120"/>
      <c r="M592" s="120"/>
      <c r="N592" s="120"/>
      <c r="O592" s="118"/>
      <c r="P592" s="120"/>
      <c r="Q592" s="121"/>
      <c r="R592" s="109" t="b">
        <v>0</v>
      </c>
      <c r="S592" s="143"/>
      <c r="T592" s="110"/>
      <c r="U592" s="118"/>
      <c r="V592" s="118"/>
      <c r="W592" s="118"/>
      <c r="X592" s="118"/>
      <c r="Y592" s="118"/>
      <c r="Z592" s="118"/>
      <c r="AA592" s="118"/>
      <c r="AB592" s="118"/>
      <c r="AC592" s="118"/>
      <c r="AD592" s="111"/>
      <c r="AE592" s="122"/>
      <c r="AF592" s="122"/>
      <c r="AG592" s="122"/>
      <c r="AH592" s="122"/>
    </row>
    <row r="593" ht="22.5" customHeight="1">
      <c r="A593" s="73"/>
      <c r="B593" s="73"/>
      <c r="C593" s="73"/>
      <c r="D593" s="73"/>
      <c r="E593" s="330"/>
      <c r="F593" s="118"/>
      <c r="G593" s="118"/>
      <c r="H593" s="118"/>
      <c r="I593" s="118"/>
      <c r="J593" s="119"/>
      <c r="K593" s="120"/>
      <c r="L593" s="120"/>
      <c r="M593" s="120"/>
      <c r="N593" s="120"/>
      <c r="O593" s="118"/>
      <c r="P593" s="120"/>
      <c r="Q593" s="121"/>
      <c r="R593" s="109" t="b">
        <v>0</v>
      </c>
      <c r="S593" s="143"/>
      <c r="T593" s="110"/>
      <c r="U593" s="118"/>
      <c r="V593" s="118"/>
      <c r="W593" s="118"/>
      <c r="X593" s="118"/>
      <c r="Y593" s="118"/>
      <c r="Z593" s="118"/>
      <c r="AA593" s="118"/>
      <c r="AB593" s="118"/>
      <c r="AC593" s="118"/>
      <c r="AD593" s="111"/>
      <c r="AE593" s="122"/>
      <c r="AF593" s="122"/>
      <c r="AG593" s="122"/>
      <c r="AH593" s="122"/>
    </row>
    <row r="594" ht="22.5" customHeight="1">
      <c r="A594" s="73"/>
      <c r="B594" s="73"/>
      <c r="C594" s="73"/>
      <c r="D594" s="73"/>
      <c r="E594" s="330"/>
      <c r="F594" s="118"/>
      <c r="G594" s="118"/>
      <c r="H594" s="118"/>
      <c r="I594" s="118"/>
      <c r="J594" s="119"/>
      <c r="K594" s="120"/>
      <c r="L594" s="120"/>
      <c r="M594" s="120"/>
      <c r="N594" s="120"/>
      <c r="O594" s="118"/>
      <c r="P594" s="120"/>
      <c r="Q594" s="121"/>
      <c r="R594" s="109" t="b">
        <v>0</v>
      </c>
      <c r="S594" s="143"/>
      <c r="T594" s="110"/>
      <c r="U594" s="118"/>
      <c r="V594" s="118"/>
      <c r="W594" s="118"/>
      <c r="X594" s="118"/>
      <c r="Y594" s="118"/>
      <c r="Z594" s="118"/>
      <c r="AA594" s="118"/>
      <c r="AB594" s="118"/>
      <c r="AC594" s="118"/>
      <c r="AD594" s="111"/>
      <c r="AE594" s="122"/>
      <c r="AF594" s="122"/>
      <c r="AG594" s="122"/>
      <c r="AH594" s="122"/>
    </row>
    <row r="595" ht="22.5" customHeight="1">
      <c r="A595" s="73"/>
      <c r="B595" s="73"/>
      <c r="C595" s="73"/>
      <c r="D595" s="73"/>
      <c r="E595" s="330"/>
      <c r="F595" s="118"/>
      <c r="G595" s="118"/>
      <c r="H595" s="118"/>
      <c r="I595" s="118"/>
      <c r="J595" s="119"/>
      <c r="K595" s="120"/>
      <c r="L595" s="120"/>
      <c r="M595" s="120"/>
      <c r="N595" s="120"/>
      <c r="O595" s="118"/>
      <c r="P595" s="120"/>
      <c r="Q595" s="121"/>
      <c r="R595" s="109" t="b">
        <v>0</v>
      </c>
      <c r="S595" s="143"/>
      <c r="T595" s="110"/>
      <c r="U595" s="118"/>
      <c r="V595" s="118"/>
      <c r="W595" s="118"/>
      <c r="X595" s="118"/>
      <c r="Y595" s="118"/>
      <c r="Z595" s="118"/>
      <c r="AA595" s="118"/>
      <c r="AB595" s="118"/>
      <c r="AC595" s="118"/>
      <c r="AD595" s="111"/>
      <c r="AE595" s="122"/>
      <c r="AF595" s="122"/>
      <c r="AG595" s="122"/>
      <c r="AH595" s="122"/>
    </row>
    <row r="596" ht="22.5" customHeight="1">
      <c r="A596" s="73"/>
      <c r="B596" s="73"/>
      <c r="C596" s="73"/>
      <c r="D596" s="73"/>
      <c r="E596" s="330"/>
      <c r="F596" s="118"/>
      <c r="G596" s="118"/>
      <c r="H596" s="118"/>
      <c r="I596" s="118"/>
      <c r="J596" s="119"/>
      <c r="K596" s="120"/>
      <c r="L596" s="120"/>
      <c r="M596" s="120"/>
      <c r="N596" s="120"/>
      <c r="O596" s="118"/>
      <c r="P596" s="120"/>
      <c r="Q596" s="121"/>
      <c r="R596" s="109" t="b">
        <v>0</v>
      </c>
      <c r="S596" s="143"/>
      <c r="T596" s="110"/>
      <c r="U596" s="118"/>
      <c r="V596" s="118"/>
      <c r="W596" s="118"/>
      <c r="X596" s="118"/>
      <c r="Y596" s="118"/>
      <c r="Z596" s="118"/>
      <c r="AA596" s="118"/>
      <c r="AB596" s="118"/>
      <c r="AC596" s="118"/>
      <c r="AD596" s="111"/>
      <c r="AE596" s="122"/>
      <c r="AF596" s="122"/>
      <c r="AG596" s="122"/>
      <c r="AH596" s="122"/>
    </row>
    <row r="597" ht="22.5" customHeight="1">
      <c r="A597" s="73"/>
      <c r="B597" s="73"/>
      <c r="C597" s="73"/>
      <c r="D597" s="73"/>
      <c r="E597" s="330"/>
      <c r="F597" s="118"/>
      <c r="G597" s="118"/>
      <c r="H597" s="118"/>
      <c r="I597" s="118"/>
      <c r="J597" s="119"/>
      <c r="K597" s="120"/>
      <c r="L597" s="120"/>
      <c r="M597" s="120"/>
      <c r="N597" s="120"/>
      <c r="O597" s="118"/>
      <c r="P597" s="120"/>
      <c r="Q597" s="121"/>
      <c r="R597" s="109" t="b">
        <v>0</v>
      </c>
      <c r="S597" s="143"/>
      <c r="T597" s="110"/>
      <c r="U597" s="118"/>
      <c r="V597" s="118"/>
      <c r="W597" s="118"/>
      <c r="X597" s="118"/>
      <c r="Y597" s="118"/>
      <c r="Z597" s="118"/>
      <c r="AA597" s="118"/>
      <c r="AB597" s="118"/>
      <c r="AC597" s="118"/>
      <c r="AD597" s="111"/>
      <c r="AE597" s="122"/>
      <c r="AF597" s="122"/>
      <c r="AG597" s="122"/>
      <c r="AH597" s="122"/>
    </row>
    <row r="598" ht="22.5" customHeight="1">
      <c r="A598" s="73"/>
      <c r="B598" s="73"/>
      <c r="C598" s="73"/>
      <c r="D598" s="73"/>
      <c r="E598" s="330"/>
      <c r="F598" s="118"/>
      <c r="G598" s="118"/>
      <c r="H598" s="118"/>
      <c r="I598" s="118"/>
      <c r="J598" s="119"/>
      <c r="K598" s="120"/>
      <c r="L598" s="120"/>
      <c r="M598" s="120"/>
      <c r="N598" s="120"/>
      <c r="O598" s="118"/>
      <c r="P598" s="120"/>
      <c r="Q598" s="121"/>
      <c r="R598" s="109" t="b">
        <v>0</v>
      </c>
      <c r="S598" s="143"/>
      <c r="T598" s="110"/>
      <c r="U598" s="118"/>
      <c r="V598" s="118"/>
      <c r="W598" s="118"/>
      <c r="X598" s="118"/>
      <c r="Y598" s="118"/>
      <c r="Z598" s="118"/>
      <c r="AA598" s="118"/>
      <c r="AB598" s="118"/>
      <c r="AC598" s="118"/>
      <c r="AD598" s="111"/>
      <c r="AE598" s="122"/>
      <c r="AF598" s="122"/>
      <c r="AG598" s="122"/>
      <c r="AH598" s="122"/>
    </row>
    <row r="599" ht="22.5" customHeight="1">
      <c r="A599" s="73"/>
      <c r="B599" s="73"/>
      <c r="C599" s="73"/>
      <c r="D599" s="73"/>
      <c r="E599" s="330"/>
      <c r="F599" s="118"/>
      <c r="G599" s="118"/>
      <c r="H599" s="118"/>
      <c r="I599" s="118"/>
      <c r="J599" s="119"/>
      <c r="K599" s="120"/>
      <c r="L599" s="120"/>
      <c r="M599" s="120"/>
      <c r="N599" s="120"/>
      <c r="O599" s="118"/>
      <c r="P599" s="120"/>
      <c r="Q599" s="121"/>
      <c r="R599" s="109" t="b">
        <v>0</v>
      </c>
      <c r="S599" s="143"/>
      <c r="T599" s="110"/>
      <c r="U599" s="118"/>
      <c r="V599" s="118"/>
      <c r="W599" s="118"/>
      <c r="X599" s="118"/>
      <c r="Y599" s="118"/>
      <c r="Z599" s="118"/>
      <c r="AA599" s="118"/>
      <c r="AB599" s="118"/>
      <c r="AC599" s="118"/>
      <c r="AD599" s="111"/>
      <c r="AE599" s="122"/>
      <c r="AF599" s="122"/>
      <c r="AG599" s="122"/>
      <c r="AH599" s="122"/>
    </row>
    <row r="600" ht="22.5" customHeight="1">
      <c r="A600" s="73"/>
      <c r="B600" s="73"/>
      <c r="C600" s="73"/>
      <c r="D600" s="73"/>
      <c r="E600" s="330"/>
      <c r="F600" s="118"/>
      <c r="G600" s="118"/>
      <c r="H600" s="118"/>
      <c r="I600" s="118"/>
      <c r="J600" s="119"/>
      <c r="K600" s="120"/>
      <c r="L600" s="120"/>
      <c r="M600" s="120"/>
      <c r="N600" s="120"/>
      <c r="O600" s="118"/>
      <c r="P600" s="120"/>
      <c r="Q600" s="121"/>
      <c r="R600" s="109" t="b">
        <v>0</v>
      </c>
      <c r="S600" s="143"/>
      <c r="T600" s="110"/>
      <c r="U600" s="118"/>
      <c r="V600" s="118"/>
      <c r="W600" s="118"/>
      <c r="X600" s="118"/>
      <c r="Y600" s="118"/>
      <c r="Z600" s="118"/>
      <c r="AA600" s="118"/>
      <c r="AB600" s="118"/>
      <c r="AC600" s="118"/>
      <c r="AD600" s="111"/>
      <c r="AE600" s="122"/>
      <c r="AF600" s="122"/>
      <c r="AG600" s="122"/>
      <c r="AH600" s="122"/>
    </row>
    <row r="601" ht="22.5" customHeight="1">
      <c r="A601" s="73"/>
      <c r="B601" s="73"/>
      <c r="C601" s="73"/>
      <c r="D601" s="73"/>
      <c r="E601" s="330"/>
      <c r="F601" s="118"/>
      <c r="G601" s="118"/>
      <c r="H601" s="118"/>
      <c r="I601" s="118"/>
      <c r="J601" s="119"/>
      <c r="K601" s="120"/>
      <c r="L601" s="120"/>
      <c r="M601" s="120"/>
      <c r="N601" s="120"/>
      <c r="O601" s="118"/>
      <c r="P601" s="120"/>
      <c r="Q601" s="121"/>
      <c r="R601" s="109" t="b">
        <v>0</v>
      </c>
      <c r="S601" s="143"/>
      <c r="T601" s="110"/>
      <c r="U601" s="118"/>
      <c r="V601" s="118"/>
      <c r="W601" s="118"/>
      <c r="X601" s="118"/>
      <c r="Y601" s="118"/>
      <c r="Z601" s="118"/>
      <c r="AA601" s="118"/>
      <c r="AB601" s="118"/>
      <c r="AC601" s="118"/>
      <c r="AD601" s="111"/>
      <c r="AE601" s="122"/>
      <c r="AF601" s="122"/>
      <c r="AG601" s="122"/>
      <c r="AH601" s="122"/>
    </row>
    <row r="602" ht="22.5" customHeight="1">
      <c r="A602" s="73"/>
      <c r="B602" s="73"/>
      <c r="C602" s="73"/>
      <c r="D602" s="73"/>
      <c r="E602" s="330"/>
      <c r="F602" s="118"/>
      <c r="G602" s="118"/>
      <c r="H602" s="118"/>
      <c r="I602" s="118"/>
      <c r="J602" s="119"/>
      <c r="K602" s="120"/>
      <c r="L602" s="120"/>
      <c r="M602" s="120"/>
      <c r="N602" s="120"/>
      <c r="O602" s="118"/>
      <c r="P602" s="120"/>
      <c r="Q602" s="121"/>
      <c r="R602" s="109" t="b">
        <v>0</v>
      </c>
      <c r="S602" s="143"/>
      <c r="T602" s="110"/>
      <c r="U602" s="118"/>
      <c r="V602" s="118"/>
      <c r="W602" s="118"/>
      <c r="X602" s="118"/>
      <c r="Y602" s="118"/>
      <c r="Z602" s="118"/>
      <c r="AA602" s="118"/>
      <c r="AB602" s="118"/>
      <c r="AC602" s="118"/>
      <c r="AD602" s="111"/>
      <c r="AE602" s="122"/>
      <c r="AF602" s="122"/>
      <c r="AG602" s="122"/>
      <c r="AH602" s="122"/>
    </row>
    <row r="603" ht="22.5" customHeight="1">
      <c r="A603" s="73"/>
      <c r="B603" s="73"/>
      <c r="C603" s="73"/>
      <c r="D603" s="73"/>
      <c r="E603" s="330"/>
      <c r="F603" s="118"/>
      <c r="G603" s="118"/>
      <c r="H603" s="118"/>
      <c r="I603" s="118"/>
      <c r="J603" s="119"/>
      <c r="K603" s="120"/>
      <c r="L603" s="120"/>
      <c r="M603" s="120"/>
      <c r="N603" s="120"/>
      <c r="O603" s="118"/>
      <c r="P603" s="120"/>
      <c r="Q603" s="121"/>
      <c r="R603" s="109" t="b">
        <v>0</v>
      </c>
      <c r="S603" s="143"/>
      <c r="T603" s="110"/>
      <c r="U603" s="118"/>
      <c r="V603" s="118"/>
      <c r="W603" s="118"/>
      <c r="X603" s="118"/>
      <c r="Y603" s="118"/>
      <c r="Z603" s="118"/>
      <c r="AA603" s="118"/>
      <c r="AB603" s="118"/>
      <c r="AC603" s="118"/>
      <c r="AD603" s="111"/>
      <c r="AE603" s="122"/>
      <c r="AF603" s="122"/>
      <c r="AG603" s="122"/>
      <c r="AH603" s="122"/>
    </row>
    <row r="604" ht="22.5" customHeight="1">
      <c r="A604" s="73"/>
      <c r="B604" s="73"/>
      <c r="C604" s="73"/>
      <c r="D604" s="73"/>
      <c r="E604" s="330"/>
      <c r="F604" s="118"/>
      <c r="G604" s="118"/>
      <c r="H604" s="118"/>
      <c r="I604" s="118"/>
      <c r="J604" s="119"/>
      <c r="K604" s="120"/>
      <c r="L604" s="120"/>
      <c r="M604" s="120"/>
      <c r="N604" s="120"/>
      <c r="O604" s="118"/>
      <c r="P604" s="120"/>
      <c r="Q604" s="121"/>
      <c r="R604" s="109" t="b">
        <v>0</v>
      </c>
      <c r="S604" s="143"/>
      <c r="T604" s="110"/>
      <c r="U604" s="118"/>
      <c r="V604" s="118"/>
      <c r="W604" s="118"/>
      <c r="X604" s="118"/>
      <c r="Y604" s="118"/>
      <c r="Z604" s="118"/>
      <c r="AA604" s="118"/>
      <c r="AB604" s="118"/>
      <c r="AC604" s="118"/>
      <c r="AD604" s="111"/>
      <c r="AE604" s="122"/>
      <c r="AF604" s="122"/>
      <c r="AG604" s="122"/>
      <c r="AH604" s="122"/>
    </row>
    <row r="605" ht="22.5" customHeight="1">
      <c r="A605" s="73"/>
      <c r="B605" s="73"/>
      <c r="C605" s="73"/>
      <c r="D605" s="73"/>
      <c r="E605" s="330"/>
      <c r="F605" s="118"/>
      <c r="G605" s="118"/>
      <c r="H605" s="118"/>
      <c r="I605" s="118"/>
      <c r="J605" s="119"/>
      <c r="K605" s="120"/>
      <c r="L605" s="120"/>
      <c r="M605" s="120"/>
      <c r="N605" s="120"/>
      <c r="O605" s="118"/>
      <c r="P605" s="120"/>
      <c r="Q605" s="121"/>
      <c r="R605" s="109" t="b">
        <v>0</v>
      </c>
      <c r="S605" s="143"/>
      <c r="T605" s="110"/>
      <c r="U605" s="118"/>
      <c r="V605" s="118"/>
      <c r="W605" s="118"/>
      <c r="X605" s="118"/>
      <c r="Y605" s="118"/>
      <c r="Z605" s="118"/>
      <c r="AA605" s="118"/>
      <c r="AB605" s="118"/>
      <c r="AC605" s="118"/>
      <c r="AD605" s="111"/>
      <c r="AE605" s="122"/>
      <c r="AF605" s="122"/>
      <c r="AG605" s="122"/>
      <c r="AH605" s="122"/>
    </row>
    <row r="606" ht="22.5" customHeight="1">
      <c r="A606" s="73"/>
      <c r="B606" s="73"/>
      <c r="C606" s="73"/>
      <c r="D606" s="73"/>
      <c r="E606" s="330"/>
      <c r="F606" s="118"/>
      <c r="G606" s="118"/>
      <c r="H606" s="118"/>
      <c r="I606" s="118"/>
      <c r="J606" s="119"/>
      <c r="K606" s="120"/>
      <c r="L606" s="120"/>
      <c r="M606" s="120"/>
      <c r="N606" s="120"/>
      <c r="O606" s="118"/>
      <c r="P606" s="120"/>
      <c r="Q606" s="121"/>
      <c r="R606" s="109" t="b">
        <v>0</v>
      </c>
      <c r="S606" s="143"/>
      <c r="T606" s="110"/>
      <c r="U606" s="118"/>
      <c r="V606" s="118"/>
      <c r="W606" s="118"/>
      <c r="X606" s="118"/>
      <c r="Y606" s="118"/>
      <c r="Z606" s="118"/>
      <c r="AA606" s="118"/>
      <c r="AB606" s="118"/>
      <c r="AC606" s="118"/>
      <c r="AD606" s="111"/>
      <c r="AE606" s="122"/>
      <c r="AF606" s="122"/>
      <c r="AG606" s="122"/>
      <c r="AH606" s="122"/>
    </row>
    <row r="607" ht="22.5" customHeight="1">
      <c r="A607" s="73"/>
      <c r="B607" s="73"/>
      <c r="C607" s="73"/>
      <c r="D607" s="73"/>
      <c r="E607" s="330"/>
      <c r="F607" s="118"/>
      <c r="G607" s="118"/>
      <c r="H607" s="118"/>
      <c r="I607" s="118"/>
      <c r="J607" s="119"/>
      <c r="K607" s="120"/>
      <c r="L607" s="120"/>
      <c r="M607" s="120"/>
      <c r="N607" s="120"/>
      <c r="O607" s="118"/>
      <c r="P607" s="120"/>
      <c r="Q607" s="121"/>
      <c r="R607" s="109" t="b">
        <v>0</v>
      </c>
      <c r="S607" s="143"/>
      <c r="T607" s="110"/>
      <c r="U607" s="118"/>
      <c r="V607" s="118"/>
      <c r="W607" s="118"/>
      <c r="X607" s="118"/>
      <c r="Y607" s="118"/>
      <c r="Z607" s="118"/>
      <c r="AA607" s="118"/>
      <c r="AB607" s="118"/>
      <c r="AC607" s="118"/>
      <c r="AD607" s="111"/>
      <c r="AE607" s="122"/>
      <c r="AF607" s="122"/>
      <c r="AG607" s="122"/>
      <c r="AH607" s="122"/>
    </row>
    <row r="608" ht="22.5" customHeight="1">
      <c r="A608" s="73"/>
      <c r="B608" s="73"/>
      <c r="C608" s="73"/>
      <c r="D608" s="73"/>
      <c r="E608" s="330"/>
      <c r="F608" s="118"/>
      <c r="G608" s="118"/>
      <c r="H608" s="118"/>
      <c r="I608" s="118"/>
      <c r="J608" s="119"/>
      <c r="K608" s="120"/>
      <c r="L608" s="120"/>
      <c r="M608" s="120"/>
      <c r="N608" s="120"/>
      <c r="O608" s="118"/>
      <c r="P608" s="120"/>
      <c r="Q608" s="121"/>
      <c r="R608" s="109" t="b">
        <v>0</v>
      </c>
      <c r="S608" s="143"/>
      <c r="T608" s="110"/>
      <c r="U608" s="118"/>
      <c r="V608" s="118"/>
      <c r="W608" s="118"/>
      <c r="X608" s="118"/>
      <c r="Y608" s="118"/>
      <c r="Z608" s="118"/>
      <c r="AA608" s="118"/>
      <c r="AB608" s="118"/>
      <c r="AC608" s="118"/>
      <c r="AD608" s="111"/>
      <c r="AE608" s="122"/>
      <c r="AF608" s="122"/>
      <c r="AG608" s="122"/>
      <c r="AH608" s="122"/>
    </row>
    <row r="609" ht="22.5" customHeight="1">
      <c r="A609" s="73"/>
      <c r="B609" s="73"/>
      <c r="C609" s="73"/>
      <c r="D609" s="73"/>
      <c r="E609" s="330"/>
      <c r="F609" s="118"/>
      <c r="G609" s="118"/>
      <c r="H609" s="118"/>
      <c r="I609" s="118"/>
      <c r="J609" s="119"/>
      <c r="K609" s="120"/>
      <c r="L609" s="120"/>
      <c r="M609" s="120"/>
      <c r="N609" s="120"/>
      <c r="O609" s="118"/>
      <c r="P609" s="120"/>
      <c r="Q609" s="121"/>
      <c r="R609" s="109" t="b">
        <v>0</v>
      </c>
      <c r="S609" s="143"/>
      <c r="T609" s="110"/>
      <c r="U609" s="118"/>
      <c r="V609" s="118"/>
      <c r="W609" s="118"/>
      <c r="X609" s="118"/>
      <c r="Y609" s="118"/>
      <c r="Z609" s="118"/>
      <c r="AA609" s="118"/>
      <c r="AB609" s="118"/>
      <c r="AC609" s="118"/>
      <c r="AD609" s="111"/>
      <c r="AE609" s="122"/>
      <c r="AF609" s="122"/>
      <c r="AG609" s="122"/>
      <c r="AH609" s="122"/>
    </row>
    <row r="610" ht="22.5" customHeight="1">
      <c r="A610" s="73"/>
      <c r="B610" s="73"/>
      <c r="C610" s="73"/>
      <c r="D610" s="73"/>
      <c r="E610" s="330"/>
      <c r="F610" s="118"/>
      <c r="G610" s="118"/>
      <c r="H610" s="118"/>
      <c r="I610" s="118"/>
      <c r="J610" s="119"/>
      <c r="K610" s="120"/>
      <c r="L610" s="120"/>
      <c r="M610" s="120"/>
      <c r="N610" s="120"/>
      <c r="O610" s="118"/>
      <c r="P610" s="120"/>
      <c r="Q610" s="121"/>
      <c r="R610" s="109" t="b">
        <v>0</v>
      </c>
      <c r="S610" s="143"/>
      <c r="T610" s="110"/>
      <c r="U610" s="118"/>
      <c r="V610" s="118"/>
      <c r="W610" s="118"/>
      <c r="X610" s="118"/>
      <c r="Y610" s="118"/>
      <c r="Z610" s="118"/>
      <c r="AA610" s="118"/>
      <c r="AB610" s="118"/>
      <c r="AC610" s="118"/>
      <c r="AD610" s="111"/>
      <c r="AE610" s="122"/>
      <c r="AF610" s="122"/>
      <c r="AG610" s="122"/>
      <c r="AH610" s="122"/>
    </row>
    <row r="611" ht="22.5" customHeight="1">
      <c r="A611" s="73"/>
      <c r="B611" s="73"/>
      <c r="C611" s="73"/>
      <c r="D611" s="73"/>
      <c r="E611" s="330"/>
      <c r="F611" s="118"/>
      <c r="G611" s="118"/>
      <c r="H611" s="118"/>
      <c r="I611" s="118"/>
      <c r="J611" s="119"/>
      <c r="K611" s="120"/>
      <c r="L611" s="120"/>
      <c r="M611" s="120"/>
      <c r="N611" s="120"/>
      <c r="O611" s="118"/>
      <c r="P611" s="120"/>
      <c r="Q611" s="121"/>
      <c r="R611" s="109" t="b">
        <v>0</v>
      </c>
      <c r="S611" s="143"/>
      <c r="T611" s="110"/>
      <c r="U611" s="118"/>
      <c r="V611" s="118"/>
      <c r="W611" s="118"/>
      <c r="X611" s="118"/>
      <c r="Y611" s="118"/>
      <c r="Z611" s="118"/>
      <c r="AA611" s="118"/>
      <c r="AB611" s="118"/>
      <c r="AC611" s="118"/>
      <c r="AD611" s="111"/>
      <c r="AE611" s="122"/>
      <c r="AF611" s="122"/>
      <c r="AG611" s="122"/>
      <c r="AH611" s="122"/>
    </row>
    <row r="612" ht="22.5" customHeight="1">
      <c r="A612" s="73"/>
      <c r="B612" s="73"/>
      <c r="C612" s="73"/>
      <c r="D612" s="73"/>
      <c r="E612" s="330"/>
      <c r="F612" s="118"/>
      <c r="G612" s="118"/>
      <c r="H612" s="118"/>
      <c r="I612" s="118"/>
      <c r="J612" s="119"/>
      <c r="K612" s="120"/>
      <c r="L612" s="120"/>
      <c r="M612" s="120"/>
      <c r="N612" s="120"/>
      <c r="O612" s="118"/>
      <c r="P612" s="120"/>
      <c r="Q612" s="121"/>
      <c r="R612" s="109" t="b">
        <v>0</v>
      </c>
      <c r="S612" s="143"/>
      <c r="T612" s="110"/>
      <c r="U612" s="118"/>
      <c r="V612" s="118"/>
      <c r="W612" s="118"/>
      <c r="X612" s="118"/>
      <c r="Y612" s="118"/>
      <c r="Z612" s="118"/>
      <c r="AA612" s="118"/>
      <c r="AB612" s="118"/>
      <c r="AC612" s="118"/>
      <c r="AD612" s="111"/>
      <c r="AE612" s="122"/>
      <c r="AF612" s="122"/>
      <c r="AG612" s="122"/>
      <c r="AH612" s="122"/>
    </row>
    <row r="613" ht="22.5" customHeight="1">
      <c r="A613" s="73"/>
      <c r="B613" s="73"/>
      <c r="C613" s="73"/>
      <c r="D613" s="73"/>
      <c r="E613" s="330"/>
      <c r="F613" s="118"/>
      <c r="G613" s="118"/>
      <c r="H613" s="118"/>
      <c r="I613" s="118"/>
      <c r="J613" s="119"/>
      <c r="K613" s="120"/>
      <c r="L613" s="120"/>
      <c r="M613" s="120"/>
      <c r="N613" s="120"/>
      <c r="O613" s="118"/>
      <c r="P613" s="120"/>
      <c r="Q613" s="121"/>
      <c r="R613" s="109" t="b">
        <v>0</v>
      </c>
      <c r="S613" s="143"/>
      <c r="T613" s="110"/>
      <c r="U613" s="118"/>
      <c r="V613" s="118"/>
      <c r="W613" s="118"/>
      <c r="X613" s="118"/>
      <c r="Y613" s="118"/>
      <c r="Z613" s="118"/>
      <c r="AA613" s="118"/>
      <c r="AB613" s="118"/>
      <c r="AC613" s="118"/>
      <c r="AD613" s="111"/>
      <c r="AE613" s="122"/>
      <c r="AF613" s="122"/>
      <c r="AG613" s="122"/>
      <c r="AH613" s="122"/>
    </row>
    <row r="614" ht="22.5" customHeight="1">
      <c r="A614" s="73"/>
      <c r="B614" s="73"/>
      <c r="C614" s="73"/>
      <c r="D614" s="73"/>
      <c r="E614" s="330"/>
      <c r="F614" s="118"/>
      <c r="G614" s="118"/>
      <c r="H614" s="118"/>
      <c r="I614" s="118"/>
      <c r="J614" s="119"/>
      <c r="K614" s="120"/>
      <c r="L614" s="120"/>
      <c r="M614" s="120"/>
      <c r="N614" s="120"/>
      <c r="O614" s="118"/>
      <c r="P614" s="120"/>
      <c r="Q614" s="121"/>
      <c r="R614" s="109" t="b">
        <v>0</v>
      </c>
      <c r="S614" s="143"/>
      <c r="T614" s="110"/>
      <c r="U614" s="118"/>
      <c r="V614" s="118"/>
      <c r="W614" s="118"/>
      <c r="X614" s="118"/>
      <c r="Y614" s="118"/>
      <c r="Z614" s="118"/>
      <c r="AA614" s="118"/>
      <c r="AB614" s="118"/>
      <c r="AC614" s="118"/>
      <c r="AD614" s="111"/>
      <c r="AE614" s="122"/>
      <c r="AF614" s="122"/>
      <c r="AG614" s="122"/>
      <c r="AH614" s="122"/>
    </row>
    <row r="615" ht="22.5" customHeight="1">
      <c r="A615" s="73"/>
      <c r="B615" s="73"/>
      <c r="C615" s="73"/>
      <c r="D615" s="73"/>
      <c r="E615" s="330"/>
      <c r="F615" s="118"/>
      <c r="G615" s="118"/>
      <c r="H615" s="118"/>
      <c r="I615" s="118"/>
      <c r="J615" s="119"/>
      <c r="K615" s="120"/>
      <c r="L615" s="120"/>
      <c r="M615" s="120"/>
      <c r="N615" s="120"/>
      <c r="O615" s="118"/>
      <c r="P615" s="120"/>
      <c r="Q615" s="121"/>
      <c r="R615" s="109" t="b">
        <v>0</v>
      </c>
      <c r="S615" s="143"/>
      <c r="T615" s="110"/>
      <c r="U615" s="118"/>
      <c r="V615" s="118"/>
      <c r="W615" s="118"/>
      <c r="X615" s="118"/>
      <c r="Y615" s="118"/>
      <c r="Z615" s="118"/>
      <c r="AA615" s="118"/>
      <c r="AB615" s="118"/>
      <c r="AC615" s="118"/>
      <c r="AD615" s="111"/>
      <c r="AE615" s="122"/>
      <c r="AF615" s="122"/>
      <c r="AG615" s="122"/>
      <c r="AH615" s="122"/>
    </row>
    <row r="616" ht="22.5" customHeight="1">
      <c r="A616" s="73"/>
      <c r="B616" s="73"/>
      <c r="C616" s="73"/>
      <c r="D616" s="73"/>
      <c r="E616" s="330"/>
      <c r="F616" s="118"/>
      <c r="G616" s="118"/>
      <c r="H616" s="118"/>
      <c r="I616" s="118"/>
      <c r="J616" s="119"/>
      <c r="K616" s="120"/>
      <c r="L616" s="120"/>
      <c r="M616" s="120"/>
      <c r="N616" s="120"/>
      <c r="O616" s="118"/>
      <c r="P616" s="120"/>
      <c r="Q616" s="121"/>
      <c r="R616" s="109" t="b">
        <v>0</v>
      </c>
      <c r="S616" s="143"/>
      <c r="T616" s="110"/>
      <c r="U616" s="118"/>
      <c r="V616" s="118"/>
      <c r="W616" s="118"/>
      <c r="X616" s="118"/>
      <c r="Y616" s="118"/>
      <c r="Z616" s="118"/>
      <c r="AA616" s="118"/>
      <c r="AB616" s="118"/>
      <c r="AC616" s="118"/>
      <c r="AD616" s="111"/>
      <c r="AE616" s="122"/>
      <c r="AF616" s="122"/>
      <c r="AG616" s="122"/>
      <c r="AH616" s="122"/>
    </row>
    <row r="617" ht="22.5" customHeight="1">
      <c r="A617" s="73"/>
      <c r="B617" s="73"/>
      <c r="C617" s="73"/>
      <c r="D617" s="73"/>
      <c r="E617" s="330"/>
      <c r="F617" s="118"/>
      <c r="G617" s="118"/>
      <c r="H617" s="118"/>
      <c r="I617" s="118"/>
      <c r="J617" s="119"/>
      <c r="K617" s="120"/>
      <c r="L617" s="120"/>
      <c r="M617" s="120"/>
      <c r="N617" s="120"/>
      <c r="O617" s="118"/>
      <c r="P617" s="120"/>
      <c r="Q617" s="121"/>
      <c r="R617" s="109" t="b">
        <v>0</v>
      </c>
      <c r="S617" s="143"/>
      <c r="T617" s="110"/>
      <c r="U617" s="118"/>
      <c r="V617" s="118"/>
      <c r="W617" s="118"/>
      <c r="X617" s="118"/>
      <c r="Y617" s="118"/>
      <c r="Z617" s="118"/>
      <c r="AA617" s="118"/>
      <c r="AB617" s="118"/>
      <c r="AC617" s="118"/>
      <c r="AD617" s="111"/>
      <c r="AE617" s="122"/>
      <c r="AF617" s="122"/>
      <c r="AG617" s="122"/>
      <c r="AH617" s="122"/>
    </row>
    <row r="618" ht="22.5" customHeight="1">
      <c r="A618" s="73"/>
      <c r="B618" s="73"/>
      <c r="C618" s="73"/>
      <c r="D618" s="73"/>
      <c r="E618" s="330"/>
      <c r="F618" s="118"/>
      <c r="G618" s="118"/>
      <c r="H618" s="118"/>
      <c r="I618" s="118"/>
      <c r="J618" s="119"/>
      <c r="K618" s="120"/>
      <c r="L618" s="120"/>
      <c r="M618" s="120"/>
      <c r="N618" s="120"/>
      <c r="O618" s="118"/>
      <c r="P618" s="120"/>
      <c r="Q618" s="121"/>
      <c r="R618" s="109" t="b">
        <v>0</v>
      </c>
      <c r="S618" s="143"/>
      <c r="T618" s="110"/>
      <c r="U618" s="118"/>
      <c r="V618" s="118"/>
      <c r="W618" s="118"/>
      <c r="X618" s="118"/>
      <c r="Y618" s="118"/>
      <c r="Z618" s="118"/>
      <c r="AA618" s="118"/>
      <c r="AB618" s="118"/>
      <c r="AC618" s="118"/>
      <c r="AD618" s="111"/>
      <c r="AE618" s="122"/>
      <c r="AF618" s="122"/>
      <c r="AG618" s="122"/>
      <c r="AH618" s="122"/>
    </row>
    <row r="619" ht="22.5" customHeight="1">
      <c r="A619" s="73"/>
      <c r="B619" s="73"/>
      <c r="C619" s="73"/>
      <c r="D619" s="73"/>
      <c r="E619" s="330"/>
      <c r="F619" s="118"/>
      <c r="G619" s="118"/>
      <c r="H619" s="118"/>
      <c r="I619" s="118"/>
      <c r="J619" s="119"/>
      <c r="K619" s="120"/>
      <c r="L619" s="120"/>
      <c r="M619" s="120"/>
      <c r="N619" s="120"/>
      <c r="O619" s="118"/>
      <c r="P619" s="120"/>
      <c r="Q619" s="121"/>
      <c r="R619" s="109" t="b">
        <v>0</v>
      </c>
      <c r="S619" s="143"/>
      <c r="T619" s="110"/>
      <c r="U619" s="118"/>
      <c r="V619" s="118"/>
      <c r="W619" s="118"/>
      <c r="X619" s="118"/>
      <c r="Y619" s="118"/>
      <c r="Z619" s="118"/>
      <c r="AA619" s="118"/>
      <c r="AB619" s="118"/>
      <c r="AC619" s="118"/>
      <c r="AD619" s="111"/>
      <c r="AE619" s="122"/>
      <c r="AF619" s="122"/>
      <c r="AG619" s="122"/>
      <c r="AH619" s="122"/>
    </row>
    <row r="620" ht="22.5" customHeight="1">
      <c r="A620" s="73"/>
      <c r="B620" s="73"/>
      <c r="C620" s="73"/>
      <c r="D620" s="73"/>
      <c r="E620" s="330"/>
      <c r="F620" s="118"/>
      <c r="G620" s="118"/>
      <c r="H620" s="118"/>
      <c r="I620" s="118"/>
      <c r="J620" s="119"/>
      <c r="K620" s="120"/>
      <c r="L620" s="120"/>
      <c r="M620" s="120"/>
      <c r="N620" s="120"/>
      <c r="O620" s="118"/>
      <c r="P620" s="120"/>
      <c r="Q620" s="121"/>
      <c r="R620" s="109" t="b">
        <v>0</v>
      </c>
      <c r="S620" s="143"/>
      <c r="T620" s="110"/>
      <c r="U620" s="118"/>
      <c r="V620" s="118"/>
      <c r="W620" s="118"/>
      <c r="X620" s="118"/>
      <c r="Y620" s="118"/>
      <c r="Z620" s="118"/>
      <c r="AA620" s="118"/>
      <c r="AB620" s="118"/>
      <c r="AC620" s="118"/>
      <c r="AD620" s="111"/>
      <c r="AE620" s="122"/>
      <c r="AF620" s="122"/>
      <c r="AG620" s="122"/>
      <c r="AH620" s="122"/>
    </row>
    <row r="621" ht="22.5" customHeight="1">
      <c r="A621" s="73"/>
      <c r="B621" s="73"/>
      <c r="C621" s="73"/>
      <c r="D621" s="73"/>
      <c r="E621" s="330"/>
      <c r="F621" s="118"/>
      <c r="G621" s="118"/>
      <c r="H621" s="118"/>
      <c r="I621" s="118"/>
      <c r="J621" s="119"/>
      <c r="K621" s="120"/>
      <c r="L621" s="120"/>
      <c r="M621" s="120"/>
      <c r="N621" s="120"/>
      <c r="O621" s="118"/>
      <c r="P621" s="120"/>
      <c r="Q621" s="121"/>
      <c r="R621" s="109" t="b">
        <v>0</v>
      </c>
      <c r="S621" s="143"/>
      <c r="T621" s="110"/>
      <c r="U621" s="118"/>
      <c r="V621" s="118"/>
      <c r="W621" s="118"/>
      <c r="X621" s="118"/>
      <c r="Y621" s="118"/>
      <c r="Z621" s="118"/>
      <c r="AA621" s="118"/>
      <c r="AB621" s="118"/>
      <c r="AC621" s="118"/>
      <c r="AD621" s="111"/>
      <c r="AE621" s="122"/>
      <c r="AF621" s="122"/>
      <c r="AG621" s="122"/>
      <c r="AH621" s="122"/>
    </row>
    <row r="622" ht="22.5" customHeight="1">
      <c r="A622" s="73"/>
      <c r="B622" s="73"/>
      <c r="C622" s="73"/>
      <c r="D622" s="73"/>
      <c r="E622" s="330"/>
      <c r="F622" s="118"/>
      <c r="G622" s="118"/>
      <c r="H622" s="118"/>
      <c r="I622" s="118"/>
      <c r="J622" s="119"/>
      <c r="K622" s="120"/>
      <c r="L622" s="120"/>
      <c r="M622" s="120"/>
      <c r="N622" s="120"/>
      <c r="O622" s="118"/>
      <c r="P622" s="120"/>
      <c r="Q622" s="121"/>
      <c r="R622" s="109" t="b">
        <v>0</v>
      </c>
      <c r="S622" s="143"/>
      <c r="T622" s="110"/>
      <c r="U622" s="118"/>
      <c r="V622" s="118"/>
      <c r="W622" s="118"/>
      <c r="X622" s="118"/>
      <c r="Y622" s="118"/>
      <c r="Z622" s="118"/>
      <c r="AA622" s="118"/>
      <c r="AB622" s="118"/>
      <c r="AC622" s="118"/>
      <c r="AD622" s="111"/>
      <c r="AE622" s="122"/>
      <c r="AF622" s="122"/>
      <c r="AG622" s="122"/>
      <c r="AH622" s="122"/>
    </row>
    <row r="623" ht="22.5" customHeight="1">
      <c r="A623" s="73"/>
      <c r="B623" s="73"/>
      <c r="C623" s="73"/>
      <c r="D623" s="73"/>
      <c r="E623" s="330"/>
      <c r="F623" s="118"/>
      <c r="G623" s="118"/>
      <c r="H623" s="118"/>
      <c r="I623" s="118"/>
      <c r="J623" s="119"/>
      <c r="K623" s="120"/>
      <c r="L623" s="120"/>
      <c r="M623" s="120"/>
      <c r="N623" s="120"/>
      <c r="O623" s="118"/>
      <c r="P623" s="120"/>
      <c r="Q623" s="121"/>
      <c r="R623" s="109" t="b">
        <v>0</v>
      </c>
      <c r="S623" s="143"/>
      <c r="T623" s="110"/>
      <c r="U623" s="118"/>
      <c r="V623" s="118"/>
      <c r="W623" s="118"/>
      <c r="X623" s="118"/>
      <c r="Y623" s="118"/>
      <c r="Z623" s="118"/>
      <c r="AA623" s="118"/>
      <c r="AB623" s="118"/>
      <c r="AC623" s="118"/>
      <c r="AD623" s="111"/>
      <c r="AE623" s="122"/>
      <c r="AF623" s="122"/>
      <c r="AG623" s="122"/>
      <c r="AH623" s="122"/>
    </row>
    <row r="624" ht="22.5" customHeight="1">
      <c r="A624" s="73"/>
      <c r="B624" s="73"/>
      <c r="C624" s="73"/>
      <c r="D624" s="73"/>
      <c r="E624" s="330"/>
      <c r="F624" s="118"/>
      <c r="G624" s="118"/>
      <c r="H624" s="118"/>
      <c r="I624" s="118"/>
      <c r="J624" s="119"/>
      <c r="K624" s="120"/>
      <c r="L624" s="120"/>
      <c r="M624" s="120"/>
      <c r="N624" s="120"/>
      <c r="O624" s="118"/>
      <c r="P624" s="120"/>
      <c r="Q624" s="121"/>
      <c r="R624" s="109" t="b">
        <v>0</v>
      </c>
      <c r="S624" s="143"/>
      <c r="T624" s="110"/>
      <c r="U624" s="118"/>
      <c r="V624" s="118"/>
      <c r="W624" s="118"/>
      <c r="X624" s="118"/>
      <c r="Y624" s="118"/>
      <c r="Z624" s="118"/>
      <c r="AA624" s="118"/>
      <c r="AB624" s="118"/>
      <c r="AC624" s="118"/>
      <c r="AD624" s="111"/>
      <c r="AE624" s="122"/>
      <c r="AF624" s="122"/>
      <c r="AG624" s="122"/>
      <c r="AH624" s="122"/>
    </row>
    <row r="625" ht="22.5" customHeight="1">
      <c r="A625" s="73"/>
      <c r="B625" s="73"/>
      <c r="C625" s="73"/>
      <c r="D625" s="73"/>
      <c r="E625" s="330"/>
      <c r="F625" s="118"/>
      <c r="G625" s="118"/>
      <c r="H625" s="118"/>
      <c r="I625" s="118"/>
      <c r="J625" s="119"/>
      <c r="K625" s="120"/>
      <c r="L625" s="120"/>
      <c r="M625" s="120"/>
      <c r="N625" s="120"/>
      <c r="O625" s="118"/>
      <c r="P625" s="120"/>
      <c r="Q625" s="121"/>
      <c r="R625" s="109" t="b">
        <v>0</v>
      </c>
      <c r="S625" s="143"/>
      <c r="T625" s="110"/>
      <c r="U625" s="118"/>
      <c r="V625" s="118"/>
      <c r="W625" s="118"/>
      <c r="X625" s="118"/>
      <c r="Y625" s="118"/>
      <c r="Z625" s="118"/>
      <c r="AA625" s="118"/>
      <c r="AB625" s="118"/>
      <c r="AC625" s="118"/>
      <c r="AD625" s="111"/>
      <c r="AE625" s="122"/>
      <c r="AF625" s="122"/>
      <c r="AG625" s="122"/>
      <c r="AH625" s="122"/>
    </row>
    <row r="626" ht="22.5" customHeight="1">
      <c r="A626" s="73"/>
      <c r="B626" s="73"/>
      <c r="C626" s="73"/>
      <c r="D626" s="73"/>
      <c r="E626" s="330"/>
      <c r="F626" s="118"/>
      <c r="G626" s="118"/>
      <c r="H626" s="118"/>
      <c r="I626" s="118"/>
      <c r="J626" s="119"/>
      <c r="K626" s="120"/>
      <c r="L626" s="120"/>
      <c r="M626" s="120"/>
      <c r="N626" s="120"/>
      <c r="O626" s="118"/>
      <c r="P626" s="120"/>
      <c r="Q626" s="121"/>
      <c r="R626" s="109" t="b">
        <v>0</v>
      </c>
      <c r="S626" s="143"/>
      <c r="T626" s="110"/>
      <c r="U626" s="118"/>
      <c r="V626" s="118"/>
      <c r="W626" s="118"/>
      <c r="X626" s="118"/>
      <c r="Y626" s="118"/>
      <c r="Z626" s="118"/>
      <c r="AA626" s="118"/>
      <c r="AB626" s="118"/>
      <c r="AC626" s="118"/>
      <c r="AD626" s="111"/>
      <c r="AE626" s="122"/>
      <c r="AF626" s="122"/>
      <c r="AG626" s="122"/>
      <c r="AH626" s="122"/>
    </row>
    <row r="627" ht="22.5" customHeight="1">
      <c r="A627" s="73"/>
      <c r="B627" s="73"/>
      <c r="C627" s="73"/>
      <c r="D627" s="73"/>
      <c r="E627" s="330"/>
      <c r="F627" s="118"/>
      <c r="G627" s="118"/>
      <c r="H627" s="118"/>
      <c r="I627" s="118"/>
      <c r="J627" s="119"/>
      <c r="K627" s="120"/>
      <c r="L627" s="120"/>
      <c r="M627" s="120"/>
      <c r="N627" s="120"/>
      <c r="O627" s="118"/>
      <c r="P627" s="120"/>
      <c r="Q627" s="121"/>
      <c r="R627" s="109" t="b">
        <v>0</v>
      </c>
      <c r="S627" s="143"/>
      <c r="T627" s="110"/>
      <c r="U627" s="118"/>
      <c r="V627" s="118"/>
      <c r="W627" s="118"/>
      <c r="X627" s="118"/>
      <c r="Y627" s="118"/>
      <c r="Z627" s="118"/>
      <c r="AA627" s="118"/>
      <c r="AB627" s="118"/>
      <c r="AC627" s="118"/>
      <c r="AD627" s="111"/>
      <c r="AE627" s="122"/>
      <c r="AF627" s="122"/>
      <c r="AG627" s="122"/>
      <c r="AH627" s="122"/>
    </row>
    <row r="628" ht="22.5" customHeight="1">
      <c r="A628" s="73"/>
      <c r="B628" s="73"/>
      <c r="C628" s="73"/>
      <c r="D628" s="73"/>
      <c r="E628" s="330"/>
      <c r="F628" s="118"/>
      <c r="G628" s="118"/>
      <c r="H628" s="118"/>
      <c r="I628" s="118"/>
      <c r="J628" s="119"/>
      <c r="K628" s="120"/>
      <c r="L628" s="120"/>
      <c r="M628" s="120"/>
      <c r="N628" s="120"/>
      <c r="O628" s="118"/>
      <c r="P628" s="120"/>
      <c r="Q628" s="121"/>
      <c r="R628" s="109" t="b">
        <v>0</v>
      </c>
      <c r="S628" s="143"/>
      <c r="T628" s="110"/>
      <c r="U628" s="118"/>
      <c r="V628" s="118"/>
      <c r="W628" s="118"/>
      <c r="X628" s="118"/>
      <c r="Y628" s="118"/>
      <c r="Z628" s="118"/>
      <c r="AA628" s="118"/>
      <c r="AB628" s="118"/>
      <c r="AC628" s="118"/>
      <c r="AD628" s="111"/>
      <c r="AE628" s="122"/>
      <c r="AF628" s="122"/>
      <c r="AG628" s="122"/>
      <c r="AH628" s="122"/>
    </row>
    <row r="629" ht="22.5" customHeight="1">
      <c r="A629" s="73"/>
      <c r="B629" s="73"/>
      <c r="C629" s="73"/>
      <c r="D629" s="73"/>
      <c r="E629" s="330"/>
      <c r="F629" s="118"/>
      <c r="G629" s="118"/>
      <c r="H629" s="118"/>
      <c r="I629" s="118"/>
      <c r="J629" s="119"/>
      <c r="K629" s="120"/>
      <c r="L629" s="120"/>
      <c r="M629" s="120"/>
      <c r="N629" s="120"/>
      <c r="O629" s="118"/>
      <c r="P629" s="120"/>
      <c r="Q629" s="121"/>
      <c r="R629" s="109" t="b">
        <v>0</v>
      </c>
      <c r="S629" s="143"/>
      <c r="T629" s="110"/>
      <c r="U629" s="118"/>
      <c r="V629" s="118"/>
      <c r="W629" s="118"/>
      <c r="X629" s="118"/>
      <c r="Y629" s="118"/>
      <c r="Z629" s="118"/>
      <c r="AA629" s="118"/>
      <c r="AB629" s="118"/>
      <c r="AC629" s="118"/>
      <c r="AD629" s="111"/>
      <c r="AE629" s="122"/>
      <c r="AF629" s="122"/>
      <c r="AG629" s="122"/>
      <c r="AH629" s="122"/>
    </row>
    <row r="630" ht="22.5" customHeight="1">
      <c r="A630" s="73"/>
      <c r="B630" s="73"/>
      <c r="C630" s="73"/>
      <c r="D630" s="73"/>
      <c r="E630" s="330"/>
      <c r="F630" s="118"/>
      <c r="G630" s="118"/>
      <c r="H630" s="118"/>
      <c r="I630" s="118"/>
      <c r="J630" s="119"/>
      <c r="K630" s="120"/>
      <c r="L630" s="120"/>
      <c r="M630" s="120"/>
      <c r="N630" s="120"/>
      <c r="O630" s="118"/>
      <c r="P630" s="120"/>
      <c r="Q630" s="121"/>
      <c r="R630" s="109" t="b">
        <v>0</v>
      </c>
      <c r="S630" s="143"/>
      <c r="T630" s="110"/>
      <c r="U630" s="118"/>
      <c r="V630" s="118"/>
      <c r="W630" s="118"/>
      <c r="X630" s="118"/>
      <c r="Y630" s="118"/>
      <c r="Z630" s="118"/>
      <c r="AA630" s="118"/>
      <c r="AB630" s="118"/>
      <c r="AC630" s="118"/>
      <c r="AD630" s="111"/>
      <c r="AE630" s="122"/>
      <c r="AF630" s="122"/>
      <c r="AG630" s="122"/>
      <c r="AH630" s="122"/>
    </row>
    <row r="631" ht="22.5" customHeight="1">
      <c r="A631" s="73"/>
      <c r="B631" s="73"/>
      <c r="C631" s="73"/>
      <c r="D631" s="73"/>
      <c r="E631" s="330"/>
      <c r="F631" s="118"/>
      <c r="G631" s="118"/>
      <c r="H631" s="118"/>
      <c r="I631" s="118"/>
      <c r="J631" s="119"/>
      <c r="K631" s="120"/>
      <c r="L631" s="120"/>
      <c r="M631" s="120"/>
      <c r="N631" s="120"/>
      <c r="O631" s="118"/>
      <c r="P631" s="120"/>
      <c r="Q631" s="121"/>
      <c r="R631" s="109" t="b">
        <v>0</v>
      </c>
      <c r="S631" s="143"/>
      <c r="T631" s="110"/>
      <c r="U631" s="118"/>
      <c r="V631" s="118"/>
      <c r="W631" s="118"/>
      <c r="X631" s="118"/>
      <c r="Y631" s="118"/>
      <c r="Z631" s="118"/>
      <c r="AA631" s="118"/>
      <c r="AB631" s="118"/>
      <c r="AC631" s="118"/>
      <c r="AD631" s="111"/>
      <c r="AE631" s="122"/>
      <c r="AF631" s="122"/>
      <c r="AG631" s="122"/>
      <c r="AH631" s="122"/>
    </row>
    <row r="632" ht="22.5" customHeight="1">
      <c r="A632" s="73"/>
      <c r="B632" s="73"/>
      <c r="C632" s="73"/>
      <c r="D632" s="73"/>
      <c r="E632" s="330"/>
      <c r="F632" s="118"/>
      <c r="G632" s="118"/>
      <c r="H632" s="118"/>
      <c r="I632" s="118"/>
      <c r="J632" s="119"/>
      <c r="K632" s="120"/>
      <c r="L632" s="120"/>
      <c r="M632" s="120"/>
      <c r="N632" s="120"/>
      <c r="O632" s="118"/>
      <c r="P632" s="120"/>
      <c r="Q632" s="121"/>
      <c r="R632" s="109" t="b">
        <v>0</v>
      </c>
      <c r="S632" s="143"/>
      <c r="T632" s="110"/>
      <c r="U632" s="118"/>
      <c r="V632" s="118"/>
      <c r="W632" s="118"/>
      <c r="X632" s="118"/>
      <c r="Y632" s="118"/>
      <c r="Z632" s="118"/>
      <c r="AA632" s="118"/>
      <c r="AB632" s="118"/>
      <c r="AC632" s="118"/>
      <c r="AD632" s="111"/>
      <c r="AE632" s="122"/>
      <c r="AF632" s="122"/>
      <c r="AG632" s="122"/>
      <c r="AH632" s="122"/>
    </row>
    <row r="633" ht="22.5" customHeight="1">
      <c r="A633" s="73"/>
      <c r="B633" s="73"/>
      <c r="C633" s="73"/>
      <c r="D633" s="73"/>
      <c r="E633" s="330"/>
      <c r="F633" s="118"/>
      <c r="G633" s="118"/>
      <c r="H633" s="118"/>
      <c r="I633" s="118"/>
      <c r="J633" s="119"/>
      <c r="K633" s="120"/>
      <c r="L633" s="120"/>
      <c r="M633" s="120"/>
      <c r="N633" s="120"/>
      <c r="O633" s="118"/>
      <c r="P633" s="120"/>
      <c r="Q633" s="121"/>
      <c r="R633" s="109" t="b">
        <v>0</v>
      </c>
      <c r="S633" s="143"/>
      <c r="T633" s="110"/>
      <c r="U633" s="118"/>
      <c r="V633" s="118"/>
      <c r="W633" s="118"/>
      <c r="X633" s="118"/>
      <c r="Y633" s="118"/>
      <c r="Z633" s="118"/>
      <c r="AA633" s="118"/>
      <c r="AB633" s="118"/>
      <c r="AC633" s="118"/>
      <c r="AD633" s="111"/>
      <c r="AE633" s="122"/>
      <c r="AF633" s="122"/>
      <c r="AG633" s="122"/>
      <c r="AH633" s="122"/>
    </row>
    <row r="634" ht="22.5" customHeight="1">
      <c r="A634" s="73"/>
      <c r="B634" s="73"/>
      <c r="C634" s="73"/>
      <c r="D634" s="73"/>
      <c r="E634" s="330"/>
      <c r="F634" s="118"/>
      <c r="G634" s="118"/>
      <c r="H634" s="118"/>
      <c r="I634" s="118"/>
      <c r="J634" s="119"/>
      <c r="K634" s="120"/>
      <c r="L634" s="120"/>
      <c r="M634" s="120"/>
      <c r="N634" s="120"/>
      <c r="O634" s="118"/>
      <c r="P634" s="120"/>
      <c r="Q634" s="121"/>
      <c r="R634" s="109" t="b">
        <v>0</v>
      </c>
      <c r="S634" s="143"/>
      <c r="T634" s="110"/>
      <c r="U634" s="118"/>
      <c r="V634" s="118"/>
      <c r="W634" s="118"/>
      <c r="X634" s="118"/>
      <c r="Y634" s="118"/>
      <c r="Z634" s="118"/>
      <c r="AA634" s="118"/>
      <c r="AB634" s="118"/>
      <c r="AC634" s="118"/>
      <c r="AD634" s="111"/>
      <c r="AE634" s="122"/>
      <c r="AF634" s="122"/>
      <c r="AG634" s="122"/>
      <c r="AH634" s="122"/>
    </row>
    <row r="635" ht="22.5" customHeight="1">
      <c r="A635" s="73"/>
      <c r="B635" s="73"/>
      <c r="C635" s="73"/>
      <c r="D635" s="73"/>
      <c r="E635" s="330"/>
      <c r="F635" s="118"/>
      <c r="G635" s="118"/>
      <c r="H635" s="118"/>
      <c r="I635" s="118"/>
      <c r="J635" s="119"/>
      <c r="K635" s="120"/>
      <c r="L635" s="120"/>
      <c r="M635" s="120"/>
      <c r="N635" s="120"/>
      <c r="O635" s="118"/>
      <c r="P635" s="120"/>
      <c r="Q635" s="121"/>
      <c r="R635" s="109" t="b">
        <v>0</v>
      </c>
      <c r="S635" s="143"/>
      <c r="T635" s="110"/>
      <c r="U635" s="118"/>
      <c r="V635" s="118"/>
      <c r="W635" s="118"/>
      <c r="X635" s="118"/>
      <c r="Y635" s="118"/>
      <c r="Z635" s="118"/>
      <c r="AA635" s="118"/>
      <c r="AB635" s="118"/>
      <c r="AC635" s="118"/>
      <c r="AD635" s="111"/>
      <c r="AE635" s="122"/>
      <c r="AF635" s="122"/>
      <c r="AG635" s="122"/>
      <c r="AH635" s="122"/>
    </row>
    <row r="636" ht="22.5" customHeight="1">
      <c r="A636" s="73"/>
      <c r="B636" s="73"/>
      <c r="C636" s="73"/>
      <c r="D636" s="73"/>
      <c r="E636" s="330"/>
      <c r="F636" s="118"/>
      <c r="G636" s="118"/>
      <c r="H636" s="118"/>
      <c r="I636" s="118"/>
      <c r="J636" s="119"/>
      <c r="K636" s="120"/>
      <c r="L636" s="120"/>
      <c r="M636" s="120"/>
      <c r="N636" s="120"/>
      <c r="O636" s="118"/>
      <c r="P636" s="120"/>
      <c r="Q636" s="121"/>
      <c r="R636" s="109" t="b">
        <v>0</v>
      </c>
      <c r="S636" s="143"/>
      <c r="T636" s="110"/>
      <c r="U636" s="118"/>
      <c r="V636" s="118"/>
      <c r="W636" s="118"/>
      <c r="X636" s="118"/>
      <c r="Y636" s="118"/>
      <c r="Z636" s="118"/>
      <c r="AA636" s="118"/>
      <c r="AB636" s="118"/>
      <c r="AC636" s="118"/>
      <c r="AD636" s="111"/>
      <c r="AE636" s="122"/>
      <c r="AF636" s="122"/>
      <c r="AG636" s="122"/>
      <c r="AH636" s="122"/>
    </row>
    <row r="637" ht="22.5" customHeight="1">
      <c r="A637" s="73"/>
      <c r="B637" s="73"/>
      <c r="C637" s="73"/>
      <c r="D637" s="73"/>
      <c r="E637" s="330"/>
      <c r="F637" s="118"/>
      <c r="G637" s="118"/>
      <c r="H637" s="118"/>
      <c r="I637" s="118"/>
      <c r="J637" s="119"/>
      <c r="K637" s="120"/>
      <c r="L637" s="120"/>
      <c r="M637" s="120"/>
      <c r="N637" s="120"/>
      <c r="O637" s="118"/>
      <c r="P637" s="120"/>
      <c r="Q637" s="121"/>
      <c r="R637" s="109" t="b">
        <v>0</v>
      </c>
      <c r="S637" s="143"/>
      <c r="T637" s="110"/>
      <c r="U637" s="118"/>
      <c r="V637" s="118"/>
      <c r="W637" s="118"/>
      <c r="X637" s="118"/>
      <c r="Y637" s="118"/>
      <c r="Z637" s="118"/>
      <c r="AA637" s="118"/>
      <c r="AB637" s="118"/>
      <c r="AC637" s="118"/>
      <c r="AD637" s="111"/>
      <c r="AE637" s="122"/>
      <c r="AF637" s="122"/>
      <c r="AG637" s="122"/>
      <c r="AH637" s="122"/>
    </row>
    <row r="638" ht="22.5" customHeight="1">
      <c r="A638" s="73"/>
      <c r="B638" s="73"/>
      <c r="C638" s="73"/>
      <c r="D638" s="73"/>
      <c r="E638" s="330"/>
      <c r="F638" s="118"/>
      <c r="G638" s="118"/>
      <c r="H638" s="118"/>
      <c r="I638" s="118"/>
      <c r="J638" s="119"/>
      <c r="K638" s="120"/>
      <c r="L638" s="120"/>
      <c r="M638" s="120"/>
      <c r="N638" s="120"/>
      <c r="O638" s="118"/>
      <c r="P638" s="120"/>
      <c r="Q638" s="121"/>
      <c r="R638" s="109" t="b">
        <v>0</v>
      </c>
      <c r="S638" s="143"/>
      <c r="T638" s="110"/>
      <c r="U638" s="118"/>
      <c r="V638" s="118"/>
      <c r="W638" s="118"/>
      <c r="X638" s="118"/>
      <c r="Y638" s="118"/>
      <c r="Z638" s="118"/>
      <c r="AA638" s="118"/>
      <c r="AB638" s="118"/>
      <c r="AC638" s="118"/>
      <c r="AD638" s="111"/>
      <c r="AE638" s="122"/>
      <c r="AF638" s="122"/>
      <c r="AG638" s="122"/>
      <c r="AH638" s="122"/>
    </row>
    <row r="639" ht="22.5" customHeight="1">
      <c r="A639" s="73"/>
      <c r="B639" s="73"/>
      <c r="C639" s="73"/>
      <c r="D639" s="73"/>
      <c r="E639" s="330"/>
      <c r="F639" s="118"/>
      <c r="G639" s="118"/>
      <c r="H639" s="118"/>
      <c r="I639" s="118"/>
      <c r="J639" s="119"/>
      <c r="K639" s="120"/>
      <c r="L639" s="120"/>
      <c r="M639" s="120"/>
      <c r="N639" s="120"/>
      <c r="O639" s="118"/>
      <c r="P639" s="120"/>
      <c r="Q639" s="121"/>
      <c r="R639" s="109" t="b">
        <v>0</v>
      </c>
      <c r="S639" s="143"/>
      <c r="T639" s="110"/>
      <c r="U639" s="118"/>
      <c r="V639" s="118"/>
      <c r="W639" s="118"/>
      <c r="X639" s="118"/>
      <c r="Y639" s="118"/>
      <c r="Z639" s="118"/>
      <c r="AA639" s="118"/>
      <c r="AB639" s="118"/>
      <c r="AC639" s="118"/>
      <c r="AD639" s="111"/>
      <c r="AE639" s="122"/>
      <c r="AF639" s="122"/>
      <c r="AG639" s="122"/>
      <c r="AH639" s="122"/>
    </row>
    <row r="640" ht="22.5" customHeight="1">
      <c r="A640" s="73"/>
      <c r="B640" s="73"/>
      <c r="C640" s="73"/>
      <c r="D640" s="73"/>
      <c r="E640" s="330"/>
      <c r="F640" s="118"/>
      <c r="G640" s="118"/>
      <c r="H640" s="118"/>
      <c r="I640" s="118"/>
      <c r="J640" s="119"/>
      <c r="K640" s="120"/>
      <c r="L640" s="120"/>
      <c r="M640" s="120"/>
      <c r="N640" s="120"/>
      <c r="O640" s="118"/>
      <c r="P640" s="120"/>
      <c r="Q640" s="121"/>
      <c r="R640" s="109" t="b">
        <v>0</v>
      </c>
      <c r="S640" s="143"/>
      <c r="T640" s="110"/>
      <c r="U640" s="118"/>
      <c r="V640" s="118"/>
      <c r="W640" s="118"/>
      <c r="X640" s="118"/>
      <c r="Y640" s="118"/>
      <c r="Z640" s="118"/>
      <c r="AA640" s="118"/>
      <c r="AB640" s="118"/>
      <c r="AC640" s="118"/>
      <c r="AD640" s="111"/>
      <c r="AE640" s="122"/>
      <c r="AF640" s="122"/>
      <c r="AG640" s="122"/>
      <c r="AH640" s="122"/>
    </row>
    <row r="641" ht="22.5" customHeight="1">
      <c r="A641" s="73"/>
      <c r="B641" s="73"/>
      <c r="C641" s="73"/>
      <c r="D641" s="73"/>
      <c r="E641" s="330"/>
      <c r="F641" s="118"/>
      <c r="G641" s="118"/>
      <c r="H641" s="118"/>
      <c r="I641" s="118"/>
      <c r="J641" s="119"/>
      <c r="K641" s="120"/>
      <c r="L641" s="120"/>
      <c r="M641" s="120"/>
      <c r="N641" s="120"/>
      <c r="O641" s="118"/>
      <c r="P641" s="120"/>
      <c r="Q641" s="121"/>
      <c r="R641" s="109" t="b">
        <v>0</v>
      </c>
      <c r="S641" s="143"/>
      <c r="T641" s="110"/>
      <c r="U641" s="118"/>
      <c r="V641" s="118"/>
      <c r="W641" s="118"/>
      <c r="X641" s="118"/>
      <c r="Y641" s="118"/>
      <c r="Z641" s="118"/>
      <c r="AA641" s="118"/>
      <c r="AB641" s="118"/>
      <c r="AC641" s="118"/>
      <c r="AD641" s="111"/>
      <c r="AE641" s="122"/>
      <c r="AF641" s="122"/>
      <c r="AG641" s="122"/>
      <c r="AH641" s="122"/>
    </row>
    <row r="642" ht="22.5" customHeight="1">
      <c r="A642" s="73"/>
      <c r="B642" s="73"/>
      <c r="C642" s="73"/>
      <c r="D642" s="73"/>
      <c r="E642" s="330"/>
      <c r="F642" s="118"/>
      <c r="G642" s="118"/>
      <c r="H642" s="118"/>
      <c r="I642" s="118"/>
      <c r="J642" s="119"/>
      <c r="K642" s="120"/>
      <c r="L642" s="120"/>
      <c r="M642" s="120"/>
      <c r="N642" s="120"/>
      <c r="O642" s="118"/>
      <c r="P642" s="120"/>
      <c r="Q642" s="121"/>
      <c r="R642" s="109" t="b">
        <v>0</v>
      </c>
      <c r="S642" s="143"/>
      <c r="T642" s="110"/>
      <c r="U642" s="118"/>
      <c r="V642" s="118"/>
      <c r="W642" s="118"/>
      <c r="X642" s="118"/>
      <c r="Y642" s="118"/>
      <c r="Z642" s="118"/>
      <c r="AA642" s="118"/>
      <c r="AB642" s="118"/>
      <c r="AC642" s="118"/>
      <c r="AD642" s="111"/>
      <c r="AE642" s="122"/>
      <c r="AF642" s="122"/>
      <c r="AG642" s="122"/>
      <c r="AH642" s="122"/>
    </row>
    <row r="643" ht="22.5" customHeight="1">
      <c r="A643" s="73"/>
      <c r="B643" s="73"/>
      <c r="C643" s="73"/>
      <c r="D643" s="73"/>
      <c r="E643" s="330"/>
      <c r="F643" s="118"/>
      <c r="G643" s="118"/>
      <c r="H643" s="118"/>
      <c r="I643" s="118"/>
      <c r="J643" s="119"/>
      <c r="K643" s="120"/>
      <c r="L643" s="120"/>
      <c r="M643" s="120"/>
      <c r="N643" s="120"/>
      <c r="O643" s="118"/>
      <c r="P643" s="120"/>
      <c r="Q643" s="121"/>
      <c r="R643" s="109" t="b">
        <v>0</v>
      </c>
      <c r="S643" s="143"/>
      <c r="T643" s="110"/>
      <c r="U643" s="118"/>
      <c r="V643" s="118"/>
      <c r="W643" s="118"/>
      <c r="X643" s="118"/>
      <c r="Y643" s="118"/>
      <c r="Z643" s="118"/>
      <c r="AA643" s="118"/>
      <c r="AB643" s="118"/>
      <c r="AC643" s="118"/>
      <c r="AD643" s="111"/>
      <c r="AE643" s="122"/>
      <c r="AF643" s="122"/>
      <c r="AG643" s="122"/>
      <c r="AH643" s="122"/>
    </row>
    <row r="644" ht="22.5" customHeight="1">
      <c r="A644" s="73"/>
      <c r="B644" s="73"/>
      <c r="C644" s="73"/>
      <c r="D644" s="73"/>
      <c r="E644" s="330"/>
      <c r="F644" s="118"/>
      <c r="G644" s="118"/>
      <c r="H644" s="118"/>
      <c r="I644" s="118"/>
      <c r="J644" s="119"/>
      <c r="K644" s="120"/>
      <c r="L644" s="120"/>
      <c r="M644" s="120"/>
      <c r="N644" s="120"/>
      <c r="O644" s="118"/>
      <c r="P644" s="120"/>
      <c r="Q644" s="121"/>
      <c r="R644" s="109" t="b">
        <v>0</v>
      </c>
      <c r="S644" s="143"/>
      <c r="T644" s="110"/>
      <c r="U644" s="118"/>
      <c r="V644" s="118"/>
      <c r="W644" s="118"/>
      <c r="X644" s="118"/>
      <c r="Y644" s="118"/>
      <c r="Z644" s="118"/>
      <c r="AA644" s="118"/>
      <c r="AB644" s="118"/>
      <c r="AC644" s="118"/>
      <c r="AD644" s="111"/>
      <c r="AE644" s="122"/>
      <c r="AF644" s="122"/>
      <c r="AG644" s="122"/>
      <c r="AH644" s="122"/>
    </row>
    <row r="645" ht="22.5" customHeight="1">
      <c r="A645" s="73"/>
      <c r="B645" s="73"/>
      <c r="C645" s="73"/>
      <c r="D645" s="73"/>
      <c r="E645" s="330"/>
      <c r="F645" s="118"/>
      <c r="G645" s="118"/>
      <c r="H645" s="118"/>
      <c r="I645" s="118"/>
      <c r="J645" s="119"/>
      <c r="K645" s="120"/>
      <c r="L645" s="120"/>
      <c r="M645" s="120"/>
      <c r="N645" s="120"/>
      <c r="O645" s="118"/>
      <c r="P645" s="120"/>
      <c r="Q645" s="121"/>
      <c r="R645" s="109" t="b">
        <v>0</v>
      </c>
      <c r="S645" s="143"/>
      <c r="T645" s="110"/>
      <c r="U645" s="118"/>
      <c r="V645" s="118"/>
      <c r="W645" s="118"/>
      <c r="X645" s="118"/>
      <c r="Y645" s="118"/>
      <c r="Z645" s="118"/>
      <c r="AA645" s="118"/>
      <c r="AB645" s="118"/>
      <c r="AC645" s="118"/>
      <c r="AD645" s="111"/>
      <c r="AE645" s="122"/>
      <c r="AF645" s="122"/>
      <c r="AG645" s="122"/>
      <c r="AH645" s="122"/>
    </row>
    <row r="646" ht="22.5" customHeight="1">
      <c r="A646" s="73"/>
      <c r="B646" s="73"/>
      <c r="C646" s="73"/>
      <c r="D646" s="73"/>
      <c r="E646" s="330"/>
      <c r="F646" s="118"/>
      <c r="G646" s="118"/>
      <c r="H646" s="118"/>
      <c r="I646" s="118"/>
      <c r="J646" s="119"/>
      <c r="K646" s="120"/>
      <c r="L646" s="120"/>
      <c r="M646" s="120"/>
      <c r="N646" s="120"/>
      <c r="O646" s="118"/>
      <c r="P646" s="120"/>
      <c r="Q646" s="121"/>
      <c r="R646" s="109" t="b">
        <v>0</v>
      </c>
      <c r="S646" s="143"/>
      <c r="T646" s="110"/>
      <c r="U646" s="118"/>
      <c r="V646" s="118"/>
      <c r="W646" s="118"/>
      <c r="X646" s="118"/>
      <c r="Y646" s="118"/>
      <c r="Z646" s="118"/>
      <c r="AA646" s="118"/>
      <c r="AB646" s="118"/>
      <c r="AC646" s="118"/>
      <c r="AD646" s="111"/>
      <c r="AE646" s="122"/>
      <c r="AF646" s="122"/>
      <c r="AG646" s="122"/>
      <c r="AH646" s="122"/>
    </row>
    <row r="647" ht="22.5" customHeight="1">
      <c r="A647" s="73"/>
      <c r="B647" s="73"/>
      <c r="C647" s="73"/>
      <c r="D647" s="73"/>
      <c r="E647" s="330"/>
      <c r="F647" s="118"/>
      <c r="G647" s="118"/>
      <c r="H647" s="118"/>
      <c r="I647" s="118"/>
      <c r="J647" s="119"/>
      <c r="K647" s="120"/>
      <c r="L647" s="120"/>
      <c r="M647" s="120"/>
      <c r="N647" s="120"/>
      <c r="O647" s="118"/>
      <c r="P647" s="120"/>
      <c r="Q647" s="121"/>
      <c r="R647" s="109" t="b">
        <v>0</v>
      </c>
      <c r="S647" s="143"/>
      <c r="T647" s="110"/>
      <c r="U647" s="118"/>
      <c r="V647" s="118"/>
      <c r="W647" s="118"/>
      <c r="X647" s="118"/>
      <c r="Y647" s="118"/>
      <c r="Z647" s="118"/>
      <c r="AA647" s="118"/>
      <c r="AB647" s="118"/>
      <c r="AC647" s="118"/>
      <c r="AD647" s="111"/>
      <c r="AE647" s="122"/>
      <c r="AF647" s="122"/>
      <c r="AG647" s="122"/>
      <c r="AH647" s="122"/>
    </row>
    <row r="648" ht="22.5" customHeight="1">
      <c r="A648" s="73"/>
      <c r="B648" s="73"/>
      <c r="C648" s="73"/>
      <c r="D648" s="73"/>
      <c r="E648" s="330"/>
      <c r="F648" s="118"/>
      <c r="G648" s="118"/>
      <c r="H648" s="118"/>
      <c r="I648" s="118"/>
      <c r="J648" s="119"/>
      <c r="K648" s="120"/>
      <c r="L648" s="120"/>
      <c r="M648" s="120"/>
      <c r="N648" s="120"/>
      <c r="O648" s="118"/>
      <c r="P648" s="120"/>
      <c r="Q648" s="121"/>
      <c r="R648" s="109" t="b">
        <v>0</v>
      </c>
      <c r="S648" s="143"/>
      <c r="T648" s="110"/>
      <c r="U648" s="118"/>
      <c r="V648" s="118"/>
      <c r="W648" s="118"/>
      <c r="X648" s="118"/>
      <c r="Y648" s="118"/>
      <c r="Z648" s="118"/>
      <c r="AA648" s="118"/>
      <c r="AB648" s="118"/>
      <c r="AC648" s="118"/>
      <c r="AD648" s="111"/>
      <c r="AE648" s="122"/>
      <c r="AF648" s="122"/>
      <c r="AG648" s="122"/>
      <c r="AH648" s="122"/>
    </row>
    <row r="649" ht="22.5" customHeight="1">
      <c r="A649" s="73"/>
      <c r="B649" s="73"/>
      <c r="C649" s="73"/>
      <c r="D649" s="73"/>
      <c r="E649" s="330"/>
      <c r="F649" s="118"/>
      <c r="G649" s="118"/>
      <c r="H649" s="118"/>
      <c r="I649" s="118"/>
      <c r="J649" s="119"/>
      <c r="K649" s="120"/>
      <c r="L649" s="120"/>
      <c r="M649" s="120"/>
      <c r="N649" s="120"/>
      <c r="O649" s="118"/>
      <c r="P649" s="120"/>
      <c r="Q649" s="121"/>
      <c r="R649" s="109" t="b">
        <v>0</v>
      </c>
      <c r="S649" s="143"/>
      <c r="T649" s="110"/>
      <c r="U649" s="118"/>
      <c r="V649" s="118"/>
      <c r="W649" s="118"/>
      <c r="X649" s="118"/>
      <c r="Y649" s="118"/>
      <c r="Z649" s="118"/>
      <c r="AA649" s="118"/>
      <c r="AB649" s="118"/>
      <c r="AC649" s="118"/>
      <c r="AD649" s="111"/>
      <c r="AE649" s="122"/>
      <c r="AF649" s="122"/>
      <c r="AG649" s="122"/>
      <c r="AH649" s="122"/>
    </row>
    <row r="650" ht="22.5" customHeight="1">
      <c r="A650" s="73"/>
      <c r="B650" s="73"/>
      <c r="C650" s="73"/>
      <c r="D650" s="73"/>
      <c r="E650" s="330"/>
      <c r="F650" s="118"/>
      <c r="G650" s="118"/>
      <c r="H650" s="118"/>
      <c r="I650" s="118"/>
      <c r="J650" s="119"/>
      <c r="K650" s="120"/>
      <c r="L650" s="120"/>
      <c r="M650" s="120"/>
      <c r="N650" s="120"/>
      <c r="O650" s="118"/>
      <c r="P650" s="120"/>
      <c r="Q650" s="121"/>
      <c r="R650" s="109" t="b">
        <v>0</v>
      </c>
      <c r="S650" s="143"/>
      <c r="T650" s="110"/>
      <c r="U650" s="118"/>
      <c r="V650" s="118"/>
      <c r="W650" s="118"/>
      <c r="X650" s="118"/>
      <c r="Y650" s="118"/>
      <c r="Z650" s="118"/>
      <c r="AA650" s="118"/>
      <c r="AB650" s="118"/>
      <c r="AC650" s="118"/>
      <c r="AD650" s="111"/>
      <c r="AE650" s="122"/>
      <c r="AF650" s="122"/>
      <c r="AG650" s="122"/>
      <c r="AH650" s="122"/>
    </row>
    <row r="651" ht="22.5" customHeight="1">
      <c r="A651" s="73"/>
      <c r="B651" s="73"/>
      <c r="C651" s="73"/>
      <c r="D651" s="73"/>
      <c r="E651" s="330"/>
      <c r="F651" s="118"/>
      <c r="G651" s="118"/>
      <c r="H651" s="118"/>
      <c r="I651" s="118"/>
      <c r="J651" s="119"/>
      <c r="K651" s="120"/>
      <c r="L651" s="120"/>
      <c r="M651" s="120"/>
      <c r="N651" s="120"/>
      <c r="O651" s="118"/>
      <c r="P651" s="120"/>
      <c r="Q651" s="121"/>
      <c r="R651" s="109" t="b">
        <v>0</v>
      </c>
      <c r="S651" s="143"/>
      <c r="T651" s="110"/>
      <c r="U651" s="118"/>
      <c r="V651" s="118"/>
      <c r="W651" s="118"/>
      <c r="X651" s="118"/>
      <c r="Y651" s="118"/>
      <c r="Z651" s="118"/>
      <c r="AA651" s="118"/>
      <c r="AB651" s="118"/>
      <c r="AC651" s="118"/>
      <c r="AD651" s="111"/>
      <c r="AE651" s="122"/>
      <c r="AF651" s="122"/>
      <c r="AG651" s="122"/>
      <c r="AH651" s="122"/>
    </row>
    <row r="652" ht="22.5" customHeight="1">
      <c r="A652" s="73"/>
      <c r="B652" s="73"/>
      <c r="C652" s="73"/>
      <c r="D652" s="73"/>
      <c r="E652" s="330"/>
      <c r="F652" s="118"/>
      <c r="G652" s="118"/>
      <c r="H652" s="118"/>
      <c r="I652" s="118"/>
      <c r="J652" s="119"/>
      <c r="K652" s="120"/>
      <c r="L652" s="120"/>
      <c r="M652" s="120"/>
      <c r="N652" s="120"/>
      <c r="O652" s="118"/>
      <c r="P652" s="120"/>
      <c r="Q652" s="121"/>
      <c r="R652" s="109" t="b">
        <v>0</v>
      </c>
      <c r="S652" s="143"/>
      <c r="T652" s="110"/>
      <c r="U652" s="118"/>
      <c r="V652" s="118"/>
      <c r="W652" s="118"/>
      <c r="X652" s="118"/>
      <c r="Y652" s="118"/>
      <c r="Z652" s="118"/>
      <c r="AA652" s="118"/>
      <c r="AB652" s="118"/>
      <c r="AC652" s="118"/>
      <c r="AD652" s="111"/>
      <c r="AE652" s="122"/>
      <c r="AF652" s="122"/>
      <c r="AG652" s="122"/>
      <c r="AH652" s="122"/>
    </row>
    <row r="653" ht="22.5" customHeight="1">
      <c r="A653" s="73"/>
      <c r="B653" s="73"/>
      <c r="C653" s="73"/>
      <c r="D653" s="73"/>
      <c r="E653" s="330"/>
      <c r="F653" s="118"/>
      <c r="G653" s="118"/>
      <c r="H653" s="118"/>
      <c r="I653" s="118"/>
      <c r="J653" s="119"/>
      <c r="K653" s="120"/>
      <c r="L653" s="120"/>
      <c r="M653" s="120"/>
      <c r="N653" s="120"/>
      <c r="O653" s="118"/>
      <c r="P653" s="120"/>
      <c r="Q653" s="121"/>
      <c r="R653" s="109" t="b">
        <v>0</v>
      </c>
      <c r="S653" s="143"/>
      <c r="T653" s="110"/>
      <c r="U653" s="118"/>
      <c r="V653" s="118"/>
      <c r="W653" s="118"/>
      <c r="X653" s="118"/>
      <c r="Y653" s="118"/>
      <c r="Z653" s="118"/>
      <c r="AA653" s="118"/>
      <c r="AB653" s="118"/>
      <c r="AC653" s="118"/>
      <c r="AD653" s="111"/>
      <c r="AE653" s="122"/>
      <c r="AF653" s="122"/>
      <c r="AG653" s="122"/>
      <c r="AH653" s="122"/>
    </row>
    <row r="654" ht="22.5" customHeight="1">
      <c r="A654" s="73"/>
      <c r="B654" s="73"/>
      <c r="C654" s="73"/>
      <c r="D654" s="73"/>
      <c r="E654" s="330"/>
      <c r="F654" s="118"/>
      <c r="G654" s="118"/>
      <c r="H654" s="118"/>
      <c r="I654" s="118"/>
      <c r="J654" s="119"/>
      <c r="K654" s="120"/>
      <c r="L654" s="120"/>
      <c r="M654" s="120"/>
      <c r="N654" s="120"/>
      <c r="O654" s="118"/>
      <c r="P654" s="120"/>
      <c r="Q654" s="121"/>
      <c r="R654" s="109" t="b">
        <v>0</v>
      </c>
      <c r="S654" s="143"/>
      <c r="T654" s="110"/>
      <c r="U654" s="118"/>
      <c r="V654" s="118"/>
      <c r="W654" s="118"/>
      <c r="X654" s="118"/>
      <c r="Y654" s="118"/>
      <c r="Z654" s="118"/>
      <c r="AA654" s="118"/>
      <c r="AB654" s="118"/>
      <c r="AC654" s="118"/>
      <c r="AD654" s="111"/>
      <c r="AE654" s="122"/>
      <c r="AF654" s="122"/>
      <c r="AG654" s="122"/>
      <c r="AH654" s="122"/>
    </row>
    <row r="655" ht="22.5" customHeight="1">
      <c r="A655" s="73"/>
      <c r="B655" s="73"/>
      <c r="C655" s="73"/>
      <c r="D655" s="73"/>
      <c r="E655" s="330"/>
      <c r="F655" s="118"/>
      <c r="G655" s="118"/>
      <c r="H655" s="118"/>
      <c r="I655" s="118"/>
      <c r="J655" s="119"/>
      <c r="K655" s="120"/>
      <c r="L655" s="120"/>
      <c r="M655" s="120"/>
      <c r="N655" s="120"/>
      <c r="O655" s="118"/>
      <c r="P655" s="120"/>
      <c r="Q655" s="121"/>
      <c r="R655" s="109" t="b">
        <v>0</v>
      </c>
      <c r="S655" s="143"/>
      <c r="T655" s="110"/>
      <c r="U655" s="118"/>
      <c r="V655" s="118"/>
      <c r="W655" s="118"/>
      <c r="X655" s="118"/>
      <c r="Y655" s="118"/>
      <c r="Z655" s="118"/>
      <c r="AA655" s="118"/>
      <c r="AB655" s="118"/>
      <c r="AC655" s="118"/>
      <c r="AD655" s="111"/>
      <c r="AE655" s="122"/>
      <c r="AF655" s="122"/>
      <c r="AG655" s="122"/>
      <c r="AH655" s="122"/>
    </row>
    <row r="656" ht="22.5" customHeight="1">
      <c r="A656" s="73"/>
      <c r="B656" s="73"/>
      <c r="C656" s="73"/>
      <c r="D656" s="73"/>
      <c r="E656" s="330"/>
      <c r="F656" s="118"/>
      <c r="G656" s="118"/>
      <c r="H656" s="118"/>
      <c r="I656" s="118"/>
      <c r="J656" s="119"/>
      <c r="K656" s="120"/>
      <c r="L656" s="120"/>
      <c r="M656" s="120"/>
      <c r="N656" s="120"/>
      <c r="O656" s="118"/>
      <c r="P656" s="120"/>
      <c r="Q656" s="121"/>
      <c r="R656" s="109" t="b">
        <v>0</v>
      </c>
      <c r="S656" s="143"/>
      <c r="T656" s="110"/>
      <c r="U656" s="118"/>
      <c r="V656" s="118"/>
      <c r="W656" s="118"/>
      <c r="X656" s="118"/>
      <c r="Y656" s="118"/>
      <c r="Z656" s="118"/>
      <c r="AA656" s="118"/>
      <c r="AB656" s="118"/>
      <c r="AC656" s="118"/>
      <c r="AD656" s="111"/>
      <c r="AE656" s="122"/>
      <c r="AF656" s="122"/>
      <c r="AG656" s="122"/>
      <c r="AH656" s="122"/>
    </row>
    <row r="657" ht="22.5" customHeight="1">
      <c r="A657" s="73"/>
      <c r="B657" s="73"/>
      <c r="C657" s="73"/>
      <c r="D657" s="73"/>
      <c r="E657" s="330"/>
      <c r="F657" s="118"/>
      <c r="G657" s="118"/>
      <c r="H657" s="118"/>
      <c r="I657" s="118"/>
      <c r="J657" s="119"/>
      <c r="K657" s="120"/>
      <c r="L657" s="120"/>
      <c r="M657" s="120"/>
      <c r="N657" s="120"/>
      <c r="O657" s="118"/>
      <c r="P657" s="120"/>
      <c r="Q657" s="121"/>
      <c r="R657" s="109" t="b">
        <v>0</v>
      </c>
      <c r="S657" s="143"/>
      <c r="T657" s="110"/>
      <c r="U657" s="118"/>
      <c r="V657" s="118"/>
      <c r="W657" s="118"/>
      <c r="X657" s="118"/>
      <c r="Y657" s="118"/>
      <c r="Z657" s="118"/>
      <c r="AA657" s="118"/>
      <c r="AB657" s="118"/>
      <c r="AC657" s="118"/>
      <c r="AD657" s="111"/>
      <c r="AE657" s="122"/>
      <c r="AF657" s="122"/>
      <c r="AG657" s="122"/>
      <c r="AH657" s="122"/>
    </row>
    <row r="658" ht="22.5" customHeight="1">
      <c r="A658" s="73"/>
      <c r="B658" s="73"/>
      <c r="C658" s="73"/>
      <c r="D658" s="73"/>
      <c r="E658" s="330"/>
      <c r="F658" s="118"/>
      <c r="G658" s="118"/>
      <c r="H658" s="118"/>
      <c r="I658" s="118"/>
      <c r="J658" s="119"/>
      <c r="K658" s="120"/>
      <c r="L658" s="120"/>
      <c r="M658" s="120"/>
      <c r="N658" s="120"/>
      <c r="O658" s="118"/>
      <c r="P658" s="120"/>
      <c r="Q658" s="121"/>
      <c r="R658" s="109" t="b">
        <v>0</v>
      </c>
      <c r="S658" s="143"/>
      <c r="T658" s="110"/>
      <c r="U658" s="118"/>
      <c r="V658" s="118"/>
      <c r="W658" s="118"/>
      <c r="X658" s="118"/>
      <c r="Y658" s="118"/>
      <c r="Z658" s="118"/>
      <c r="AA658" s="118"/>
      <c r="AB658" s="118"/>
      <c r="AC658" s="118"/>
      <c r="AD658" s="111"/>
      <c r="AE658" s="122"/>
      <c r="AF658" s="122"/>
      <c r="AG658" s="122"/>
      <c r="AH658" s="122"/>
    </row>
    <row r="659" ht="22.5" customHeight="1">
      <c r="A659" s="73"/>
      <c r="B659" s="73"/>
      <c r="C659" s="73"/>
      <c r="D659" s="73"/>
      <c r="E659" s="330"/>
      <c r="F659" s="118"/>
      <c r="G659" s="118"/>
      <c r="H659" s="118"/>
      <c r="I659" s="118"/>
      <c r="J659" s="119"/>
      <c r="K659" s="120"/>
      <c r="L659" s="120"/>
      <c r="M659" s="120"/>
      <c r="N659" s="120"/>
      <c r="O659" s="118"/>
      <c r="P659" s="120"/>
      <c r="Q659" s="121"/>
      <c r="R659" s="109" t="b">
        <v>0</v>
      </c>
      <c r="S659" s="143"/>
      <c r="T659" s="110"/>
      <c r="U659" s="118"/>
      <c r="V659" s="118"/>
      <c r="W659" s="118"/>
      <c r="X659" s="118"/>
      <c r="Y659" s="118"/>
      <c r="Z659" s="118"/>
      <c r="AA659" s="118"/>
      <c r="AB659" s="118"/>
      <c r="AC659" s="118"/>
      <c r="AD659" s="111"/>
      <c r="AE659" s="122"/>
      <c r="AF659" s="122"/>
      <c r="AG659" s="122"/>
      <c r="AH659" s="122"/>
    </row>
    <row r="660" ht="22.5" customHeight="1">
      <c r="A660" s="73"/>
      <c r="B660" s="73"/>
      <c r="C660" s="73"/>
      <c r="D660" s="73"/>
      <c r="E660" s="330"/>
      <c r="F660" s="118"/>
      <c r="G660" s="118"/>
      <c r="H660" s="118"/>
      <c r="I660" s="118"/>
      <c r="J660" s="119"/>
      <c r="K660" s="120"/>
      <c r="L660" s="120"/>
      <c r="M660" s="120"/>
      <c r="N660" s="120"/>
      <c r="O660" s="118"/>
      <c r="P660" s="120"/>
      <c r="Q660" s="121"/>
      <c r="R660" s="109" t="b">
        <v>0</v>
      </c>
      <c r="S660" s="143"/>
      <c r="T660" s="110"/>
      <c r="U660" s="118"/>
      <c r="V660" s="118"/>
      <c r="W660" s="118"/>
      <c r="X660" s="118"/>
      <c r="Y660" s="118"/>
      <c r="Z660" s="118"/>
      <c r="AA660" s="118"/>
      <c r="AB660" s="118"/>
      <c r="AC660" s="118"/>
      <c r="AD660" s="111"/>
      <c r="AE660" s="122"/>
      <c r="AF660" s="122"/>
      <c r="AG660" s="122"/>
      <c r="AH660" s="122"/>
    </row>
    <row r="661" ht="22.5" customHeight="1">
      <c r="A661" s="73"/>
      <c r="B661" s="73"/>
      <c r="C661" s="73"/>
      <c r="D661" s="73"/>
      <c r="E661" s="330"/>
      <c r="F661" s="118"/>
      <c r="G661" s="118"/>
      <c r="H661" s="118"/>
      <c r="I661" s="118"/>
      <c r="J661" s="119"/>
      <c r="K661" s="120"/>
      <c r="L661" s="120"/>
      <c r="M661" s="120"/>
      <c r="N661" s="120"/>
      <c r="O661" s="118"/>
      <c r="P661" s="120"/>
      <c r="Q661" s="121"/>
      <c r="R661" s="109" t="b">
        <v>0</v>
      </c>
      <c r="S661" s="143"/>
      <c r="T661" s="110"/>
      <c r="U661" s="118"/>
      <c r="V661" s="118"/>
      <c r="W661" s="118"/>
      <c r="X661" s="118"/>
      <c r="Y661" s="118"/>
      <c r="Z661" s="118"/>
      <c r="AA661" s="118"/>
      <c r="AB661" s="118"/>
      <c r="AC661" s="118"/>
      <c r="AD661" s="111"/>
      <c r="AE661" s="122"/>
      <c r="AF661" s="122"/>
      <c r="AG661" s="122"/>
      <c r="AH661" s="122"/>
    </row>
    <row r="662" ht="22.5" customHeight="1">
      <c r="A662" s="73"/>
      <c r="B662" s="73"/>
      <c r="C662" s="73"/>
      <c r="D662" s="73"/>
      <c r="E662" s="330"/>
      <c r="F662" s="118"/>
      <c r="G662" s="118"/>
      <c r="H662" s="118"/>
      <c r="I662" s="118"/>
      <c r="J662" s="119"/>
      <c r="K662" s="120"/>
      <c r="L662" s="120"/>
      <c r="M662" s="120"/>
      <c r="N662" s="120"/>
      <c r="O662" s="118"/>
      <c r="P662" s="120"/>
      <c r="Q662" s="121"/>
      <c r="R662" s="109" t="b">
        <v>0</v>
      </c>
      <c r="S662" s="143"/>
      <c r="T662" s="110"/>
      <c r="U662" s="118"/>
      <c r="V662" s="118"/>
      <c r="W662" s="118"/>
      <c r="X662" s="118"/>
      <c r="Y662" s="118"/>
      <c r="Z662" s="118"/>
      <c r="AA662" s="118"/>
      <c r="AB662" s="118"/>
      <c r="AC662" s="118"/>
      <c r="AD662" s="111"/>
      <c r="AE662" s="122"/>
      <c r="AF662" s="122"/>
      <c r="AG662" s="122"/>
      <c r="AH662" s="122"/>
    </row>
    <row r="663" ht="22.5" customHeight="1">
      <c r="A663" s="73"/>
      <c r="B663" s="73"/>
      <c r="C663" s="73"/>
      <c r="D663" s="73"/>
      <c r="E663" s="330"/>
      <c r="F663" s="118"/>
      <c r="G663" s="118"/>
      <c r="H663" s="118"/>
      <c r="I663" s="118"/>
      <c r="J663" s="119"/>
      <c r="K663" s="120"/>
      <c r="L663" s="120"/>
      <c r="M663" s="120"/>
      <c r="N663" s="120"/>
      <c r="O663" s="118"/>
      <c r="P663" s="120"/>
      <c r="Q663" s="121"/>
      <c r="R663" s="109" t="b">
        <v>0</v>
      </c>
      <c r="S663" s="143"/>
      <c r="T663" s="110"/>
      <c r="U663" s="118"/>
      <c r="V663" s="118"/>
      <c r="W663" s="118"/>
      <c r="X663" s="118"/>
      <c r="Y663" s="118"/>
      <c r="Z663" s="118"/>
      <c r="AA663" s="118"/>
      <c r="AB663" s="118"/>
      <c r="AC663" s="118"/>
      <c r="AD663" s="111"/>
      <c r="AE663" s="122"/>
      <c r="AF663" s="122"/>
      <c r="AG663" s="122"/>
      <c r="AH663" s="122"/>
    </row>
    <row r="664" ht="22.5" customHeight="1">
      <c r="A664" s="73"/>
      <c r="B664" s="73"/>
      <c r="C664" s="73"/>
      <c r="D664" s="73"/>
      <c r="E664" s="330"/>
      <c r="F664" s="118"/>
      <c r="G664" s="118"/>
      <c r="H664" s="118"/>
      <c r="I664" s="118"/>
      <c r="J664" s="119"/>
      <c r="K664" s="120"/>
      <c r="L664" s="120"/>
      <c r="M664" s="120"/>
      <c r="N664" s="120"/>
      <c r="O664" s="118"/>
      <c r="P664" s="120"/>
      <c r="Q664" s="121"/>
      <c r="R664" s="109" t="b">
        <v>0</v>
      </c>
      <c r="S664" s="143"/>
      <c r="T664" s="110"/>
      <c r="U664" s="118"/>
      <c r="V664" s="118"/>
      <c r="W664" s="118"/>
      <c r="X664" s="118"/>
      <c r="Y664" s="118"/>
      <c r="Z664" s="118"/>
      <c r="AA664" s="118"/>
      <c r="AB664" s="118"/>
      <c r="AC664" s="118"/>
      <c r="AD664" s="111"/>
      <c r="AE664" s="122"/>
      <c r="AF664" s="122"/>
      <c r="AG664" s="122"/>
      <c r="AH664" s="122"/>
    </row>
    <row r="665" ht="22.5" customHeight="1">
      <c r="A665" s="73"/>
      <c r="B665" s="73"/>
      <c r="C665" s="73"/>
      <c r="D665" s="73"/>
      <c r="E665" s="330"/>
      <c r="F665" s="118"/>
      <c r="G665" s="118"/>
      <c r="H665" s="118"/>
      <c r="I665" s="118"/>
      <c r="J665" s="119"/>
      <c r="K665" s="120"/>
      <c r="L665" s="120"/>
      <c r="M665" s="120"/>
      <c r="N665" s="120"/>
      <c r="O665" s="118"/>
      <c r="P665" s="120"/>
      <c r="Q665" s="121"/>
      <c r="R665" s="109" t="b">
        <v>0</v>
      </c>
      <c r="S665" s="143"/>
      <c r="T665" s="110"/>
      <c r="U665" s="118"/>
      <c r="V665" s="118"/>
      <c r="W665" s="118"/>
      <c r="X665" s="118"/>
      <c r="Y665" s="118"/>
      <c r="Z665" s="118"/>
      <c r="AA665" s="118"/>
      <c r="AB665" s="118"/>
      <c r="AC665" s="118"/>
      <c r="AD665" s="111"/>
      <c r="AE665" s="122"/>
      <c r="AF665" s="122"/>
      <c r="AG665" s="122"/>
      <c r="AH665" s="122"/>
    </row>
    <row r="666" ht="22.5" customHeight="1">
      <c r="A666" s="73"/>
      <c r="B666" s="73"/>
      <c r="C666" s="73"/>
      <c r="D666" s="73"/>
      <c r="E666" s="330"/>
      <c r="F666" s="118"/>
      <c r="G666" s="118"/>
      <c r="H666" s="118"/>
      <c r="I666" s="118"/>
      <c r="J666" s="119"/>
      <c r="K666" s="120"/>
      <c r="L666" s="120"/>
      <c r="M666" s="120"/>
      <c r="N666" s="120"/>
      <c r="O666" s="118"/>
      <c r="P666" s="120"/>
      <c r="Q666" s="121"/>
      <c r="R666" s="109" t="b">
        <v>0</v>
      </c>
      <c r="S666" s="143"/>
      <c r="T666" s="110"/>
      <c r="U666" s="118"/>
      <c r="V666" s="118"/>
      <c r="W666" s="118"/>
      <c r="X666" s="118"/>
      <c r="Y666" s="118"/>
      <c r="Z666" s="118"/>
      <c r="AA666" s="118"/>
      <c r="AB666" s="118"/>
      <c r="AC666" s="118"/>
      <c r="AD666" s="111"/>
      <c r="AE666" s="122"/>
      <c r="AF666" s="122"/>
      <c r="AG666" s="122"/>
      <c r="AH666" s="122"/>
    </row>
    <row r="667" ht="22.5" customHeight="1">
      <c r="A667" s="73"/>
      <c r="B667" s="73"/>
      <c r="C667" s="73"/>
      <c r="D667" s="73"/>
      <c r="E667" s="330"/>
      <c r="F667" s="118"/>
      <c r="G667" s="118"/>
      <c r="H667" s="118"/>
      <c r="I667" s="118"/>
      <c r="J667" s="119"/>
      <c r="K667" s="120"/>
      <c r="L667" s="120"/>
      <c r="M667" s="120"/>
      <c r="N667" s="120"/>
      <c r="O667" s="118"/>
      <c r="P667" s="120"/>
      <c r="Q667" s="121"/>
      <c r="R667" s="109" t="b">
        <v>0</v>
      </c>
      <c r="S667" s="143"/>
      <c r="T667" s="110"/>
      <c r="U667" s="118"/>
      <c r="V667" s="118"/>
      <c r="W667" s="118"/>
      <c r="X667" s="118"/>
      <c r="Y667" s="118"/>
      <c r="Z667" s="118"/>
      <c r="AA667" s="118"/>
      <c r="AB667" s="118"/>
      <c r="AC667" s="118"/>
      <c r="AD667" s="111"/>
      <c r="AE667" s="122"/>
      <c r="AF667" s="122"/>
      <c r="AG667" s="122"/>
      <c r="AH667" s="122"/>
    </row>
    <row r="668" ht="22.5" customHeight="1">
      <c r="A668" s="73"/>
      <c r="B668" s="73"/>
      <c r="C668" s="73"/>
      <c r="D668" s="73"/>
      <c r="E668" s="330"/>
      <c r="F668" s="118"/>
      <c r="G668" s="118"/>
      <c r="H668" s="118"/>
      <c r="I668" s="118"/>
      <c r="J668" s="119"/>
      <c r="K668" s="120"/>
      <c r="L668" s="120"/>
      <c r="M668" s="120"/>
      <c r="N668" s="120"/>
      <c r="O668" s="118"/>
      <c r="P668" s="120"/>
      <c r="Q668" s="121"/>
      <c r="R668" s="109" t="b">
        <v>0</v>
      </c>
      <c r="S668" s="143"/>
      <c r="T668" s="110"/>
      <c r="U668" s="118"/>
      <c r="V668" s="118"/>
      <c r="W668" s="118"/>
      <c r="X668" s="118"/>
      <c r="Y668" s="118"/>
      <c r="Z668" s="118"/>
      <c r="AA668" s="118"/>
      <c r="AB668" s="118"/>
      <c r="AC668" s="118"/>
      <c r="AD668" s="111"/>
      <c r="AE668" s="122"/>
      <c r="AF668" s="122"/>
      <c r="AG668" s="122"/>
      <c r="AH668" s="122"/>
    </row>
    <row r="669" ht="22.5" customHeight="1">
      <c r="A669" s="73"/>
      <c r="B669" s="73"/>
      <c r="C669" s="73"/>
      <c r="D669" s="73"/>
      <c r="E669" s="330"/>
      <c r="F669" s="118"/>
      <c r="G669" s="118"/>
      <c r="H669" s="118"/>
      <c r="I669" s="118"/>
      <c r="J669" s="119"/>
      <c r="K669" s="120"/>
      <c r="L669" s="120"/>
      <c r="M669" s="120"/>
      <c r="N669" s="120"/>
      <c r="O669" s="118"/>
      <c r="P669" s="120"/>
      <c r="Q669" s="121"/>
      <c r="R669" s="109" t="b">
        <v>0</v>
      </c>
      <c r="S669" s="143"/>
      <c r="T669" s="110"/>
      <c r="U669" s="118"/>
      <c r="V669" s="118"/>
      <c r="W669" s="118"/>
      <c r="X669" s="118"/>
      <c r="Y669" s="118"/>
      <c r="Z669" s="118"/>
      <c r="AA669" s="118"/>
      <c r="AB669" s="118"/>
      <c r="AC669" s="118"/>
      <c r="AD669" s="111"/>
      <c r="AE669" s="122"/>
      <c r="AF669" s="122"/>
      <c r="AG669" s="122"/>
      <c r="AH669" s="122"/>
    </row>
    <row r="670" ht="22.5" customHeight="1">
      <c r="A670" s="73"/>
      <c r="B670" s="73"/>
      <c r="C670" s="73"/>
      <c r="D670" s="73"/>
      <c r="E670" s="330"/>
      <c r="F670" s="118"/>
      <c r="G670" s="118"/>
      <c r="H670" s="118"/>
      <c r="I670" s="118"/>
      <c r="J670" s="119"/>
      <c r="K670" s="120"/>
      <c r="L670" s="120"/>
      <c r="M670" s="120"/>
      <c r="N670" s="120"/>
      <c r="O670" s="118"/>
      <c r="P670" s="120"/>
      <c r="Q670" s="121"/>
      <c r="R670" s="109" t="b">
        <v>0</v>
      </c>
      <c r="S670" s="143"/>
      <c r="T670" s="110"/>
      <c r="U670" s="118"/>
      <c r="V670" s="118"/>
      <c r="W670" s="118"/>
      <c r="X670" s="118"/>
      <c r="Y670" s="118"/>
      <c r="Z670" s="118"/>
      <c r="AA670" s="118"/>
      <c r="AB670" s="118"/>
      <c r="AC670" s="118"/>
      <c r="AD670" s="111"/>
      <c r="AE670" s="122"/>
      <c r="AF670" s="122"/>
      <c r="AG670" s="122"/>
      <c r="AH670" s="122"/>
    </row>
    <row r="671" ht="22.5" customHeight="1">
      <c r="A671" s="73"/>
      <c r="B671" s="73"/>
      <c r="C671" s="73"/>
      <c r="D671" s="73"/>
      <c r="E671" s="330"/>
      <c r="F671" s="118"/>
      <c r="G671" s="118"/>
      <c r="H671" s="118"/>
      <c r="I671" s="118"/>
      <c r="J671" s="119"/>
      <c r="K671" s="120"/>
      <c r="L671" s="120"/>
      <c r="M671" s="120"/>
      <c r="N671" s="120"/>
      <c r="O671" s="118"/>
      <c r="P671" s="120"/>
      <c r="Q671" s="121"/>
      <c r="R671" s="109" t="b">
        <v>0</v>
      </c>
      <c r="S671" s="143"/>
      <c r="T671" s="110"/>
      <c r="U671" s="118"/>
      <c r="V671" s="118"/>
      <c r="W671" s="118"/>
      <c r="X671" s="118"/>
      <c r="Y671" s="118"/>
      <c r="Z671" s="118"/>
      <c r="AA671" s="118"/>
      <c r="AB671" s="118"/>
      <c r="AC671" s="118"/>
      <c r="AD671" s="111"/>
      <c r="AE671" s="122"/>
      <c r="AF671" s="122"/>
      <c r="AG671" s="122"/>
      <c r="AH671" s="122"/>
    </row>
    <row r="672" ht="22.5" customHeight="1">
      <c r="A672" s="73"/>
      <c r="B672" s="73"/>
      <c r="C672" s="73"/>
      <c r="D672" s="73"/>
      <c r="E672" s="330"/>
      <c r="F672" s="118"/>
      <c r="G672" s="118"/>
      <c r="H672" s="118"/>
      <c r="I672" s="118"/>
      <c r="J672" s="119"/>
      <c r="K672" s="120"/>
      <c r="L672" s="120"/>
      <c r="M672" s="120"/>
      <c r="N672" s="120"/>
      <c r="O672" s="118"/>
      <c r="P672" s="120"/>
      <c r="Q672" s="121"/>
      <c r="R672" s="109" t="b">
        <v>0</v>
      </c>
      <c r="S672" s="143"/>
      <c r="T672" s="110"/>
      <c r="U672" s="118"/>
      <c r="V672" s="118"/>
      <c r="W672" s="118"/>
      <c r="X672" s="118"/>
      <c r="Y672" s="118"/>
      <c r="Z672" s="118"/>
      <c r="AA672" s="118"/>
      <c r="AB672" s="118"/>
      <c r="AC672" s="118"/>
      <c r="AD672" s="111"/>
      <c r="AE672" s="122"/>
      <c r="AF672" s="122"/>
      <c r="AG672" s="122"/>
      <c r="AH672" s="122"/>
    </row>
    <row r="673" ht="22.5" customHeight="1">
      <c r="A673" s="73"/>
      <c r="B673" s="73"/>
      <c r="C673" s="73"/>
      <c r="D673" s="73"/>
      <c r="E673" s="330"/>
      <c r="F673" s="118"/>
      <c r="G673" s="118"/>
      <c r="H673" s="118"/>
      <c r="I673" s="118"/>
      <c r="J673" s="119"/>
      <c r="K673" s="120"/>
      <c r="L673" s="120"/>
      <c r="M673" s="120"/>
      <c r="N673" s="120"/>
      <c r="O673" s="118"/>
      <c r="P673" s="120"/>
      <c r="Q673" s="121"/>
      <c r="R673" s="109" t="b">
        <v>0</v>
      </c>
      <c r="S673" s="143"/>
      <c r="T673" s="110"/>
      <c r="U673" s="118"/>
      <c r="V673" s="118"/>
      <c r="W673" s="118"/>
      <c r="X673" s="118"/>
      <c r="Y673" s="118"/>
      <c r="Z673" s="118"/>
      <c r="AA673" s="118"/>
      <c r="AB673" s="118"/>
      <c r="AC673" s="118"/>
      <c r="AD673" s="111"/>
      <c r="AE673" s="122"/>
      <c r="AF673" s="122"/>
      <c r="AG673" s="122"/>
      <c r="AH673" s="122"/>
    </row>
    <row r="674" ht="22.5" customHeight="1">
      <c r="A674" s="73"/>
      <c r="B674" s="73"/>
      <c r="C674" s="73"/>
      <c r="D674" s="73"/>
      <c r="E674" s="330"/>
      <c r="F674" s="118"/>
      <c r="G674" s="118"/>
      <c r="H674" s="118"/>
      <c r="I674" s="118"/>
      <c r="J674" s="119"/>
      <c r="K674" s="120"/>
      <c r="L674" s="120"/>
      <c r="M674" s="120"/>
      <c r="N674" s="120"/>
      <c r="O674" s="118"/>
      <c r="P674" s="120"/>
      <c r="Q674" s="121"/>
      <c r="R674" s="109" t="b">
        <v>0</v>
      </c>
      <c r="S674" s="143"/>
      <c r="T674" s="110"/>
      <c r="U674" s="118"/>
      <c r="V674" s="118"/>
      <c r="W674" s="118"/>
      <c r="X674" s="118"/>
      <c r="Y674" s="118"/>
      <c r="Z674" s="118"/>
      <c r="AA674" s="118"/>
      <c r="AB674" s="118"/>
      <c r="AC674" s="118"/>
      <c r="AD674" s="111"/>
      <c r="AE674" s="122"/>
      <c r="AF674" s="122"/>
      <c r="AG674" s="122"/>
      <c r="AH674" s="122"/>
    </row>
    <row r="675" ht="22.5" customHeight="1">
      <c r="A675" s="73"/>
      <c r="B675" s="73"/>
      <c r="C675" s="73"/>
      <c r="D675" s="73"/>
      <c r="E675" s="330"/>
      <c r="F675" s="118"/>
      <c r="G675" s="118"/>
      <c r="H675" s="118"/>
      <c r="I675" s="118"/>
      <c r="J675" s="119"/>
      <c r="K675" s="120"/>
      <c r="L675" s="120"/>
      <c r="M675" s="120"/>
      <c r="N675" s="120"/>
      <c r="O675" s="118"/>
      <c r="P675" s="120"/>
      <c r="Q675" s="121"/>
      <c r="R675" s="109" t="b">
        <v>0</v>
      </c>
      <c r="S675" s="143"/>
      <c r="T675" s="110"/>
      <c r="U675" s="118"/>
      <c r="V675" s="118"/>
      <c r="W675" s="118"/>
      <c r="X675" s="118"/>
      <c r="Y675" s="118"/>
      <c r="Z675" s="118"/>
      <c r="AA675" s="118"/>
      <c r="AB675" s="118"/>
      <c r="AC675" s="118"/>
      <c r="AD675" s="111"/>
      <c r="AE675" s="122"/>
      <c r="AF675" s="122"/>
      <c r="AG675" s="122"/>
      <c r="AH675" s="122"/>
    </row>
    <row r="676" ht="22.5" customHeight="1">
      <c r="A676" s="73"/>
      <c r="B676" s="73"/>
      <c r="C676" s="73"/>
      <c r="D676" s="73"/>
      <c r="E676" s="330"/>
      <c r="F676" s="118"/>
      <c r="G676" s="118"/>
      <c r="H676" s="118"/>
      <c r="I676" s="118"/>
      <c r="J676" s="119"/>
      <c r="K676" s="120"/>
      <c r="L676" s="120"/>
      <c r="M676" s="120"/>
      <c r="N676" s="120"/>
      <c r="O676" s="118"/>
      <c r="P676" s="120"/>
      <c r="Q676" s="121"/>
      <c r="R676" s="109" t="b">
        <v>0</v>
      </c>
      <c r="S676" s="143"/>
      <c r="T676" s="110"/>
      <c r="U676" s="118"/>
      <c r="V676" s="118"/>
      <c r="W676" s="118"/>
      <c r="X676" s="118"/>
      <c r="Y676" s="118"/>
      <c r="Z676" s="118"/>
      <c r="AA676" s="118"/>
      <c r="AB676" s="118"/>
      <c r="AC676" s="118"/>
      <c r="AD676" s="111"/>
      <c r="AE676" s="122"/>
      <c r="AF676" s="122"/>
      <c r="AG676" s="122"/>
      <c r="AH676" s="122"/>
    </row>
    <row r="677" ht="22.5" customHeight="1">
      <c r="A677" s="73"/>
      <c r="B677" s="73"/>
      <c r="C677" s="73"/>
      <c r="D677" s="73"/>
      <c r="E677" s="330"/>
      <c r="F677" s="118"/>
      <c r="G677" s="118"/>
      <c r="H677" s="118"/>
      <c r="I677" s="118"/>
      <c r="J677" s="119"/>
      <c r="K677" s="120"/>
      <c r="L677" s="120"/>
      <c r="M677" s="120"/>
      <c r="N677" s="120"/>
      <c r="O677" s="118"/>
      <c r="P677" s="120"/>
      <c r="Q677" s="121"/>
      <c r="R677" s="109" t="b">
        <v>0</v>
      </c>
      <c r="S677" s="143"/>
      <c r="T677" s="110"/>
      <c r="U677" s="118"/>
      <c r="V677" s="118"/>
      <c r="W677" s="118"/>
      <c r="X677" s="118"/>
      <c r="Y677" s="118"/>
      <c r="Z677" s="118"/>
      <c r="AA677" s="118"/>
      <c r="AB677" s="118"/>
      <c r="AC677" s="118"/>
      <c r="AD677" s="111"/>
      <c r="AE677" s="122"/>
      <c r="AF677" s="122"/>
      <c r="AG677" s="122"/>
      <c r="AH677" s="122"/>
    </row>
    <row r="678" ht="22.5" customHeight="1">
      <c r="A678" s="73"/>
      <c r="B678" s="73"/>
      <c r="C678" s="73"/>
      <c r="D678" s="73"/>
      <c r="E678" s="330"/>
      <c r="F678" s="118"/>
      <c r="G678" s="118"/>
      <c r="H678" s="118"/>
      <c r="I678" s="118"/>
      <c r="J678" s="119"/>
      <c r="K678" s="120"/>
      <c r="L678" s="120"/>
      <c r="M678" s="120"/>
      <c r="N678" s="120"/>
      <c r="O678" s="118"/>
      <c r="P678" s="120"/>
      <c r="Q678" s="121"/>
      <c r="R678" s="109" t="b">
        <v>0</v>
      </c>
      <c r="S678" s="143"/>
      <c r="T678" s="110"/>
      <c r="U678" s="118"/>
      <c r="V678" s="118"/>
      <c r="W678" s="118"/>
      <c r="X678" s="118"/>
      <c r="Y678" s="118"/>
      <c r="Z678" s="118"/>
      <c r="AA678" s="118"/>
      <c r="AB678" s="118"/>
      <c r="AC678" s="118"/>
      <c r="AD678" s="111"/>
      <c r="AE678" s="122"/>
      <c r="AF678" s="122"/>
      <c r="AG678" s="122"/>
      <c r="AH678" s="122"/>
    </row>
    <row r="679" ht="22.5" customHeight="1">
      <c r="A679" s="73"/>
      <c r="B679" s="73"/>
      <c r="C679" s="73"/>
      <c r="D679" s="73"/>
      <c r="E679" s="330"/>
      <c r="F679" s="118"/>
      <c r="G679" s="118"/>
      <c r="H679" s="118"/>
      <c r="I679" s="118"/>
      <c r="J679" s="119"/>
      <c r="K679" s="120"/>
      <c r="L679" s="120"/>
      <c r="M679" s="120"/>
      <c r="N679" s="120"/>
      <c r="O679" s="118"/>
      <c r="P679" s="120"/>
      <c r="Q679" s="121"/>
      <c r="R679" s="109" t="b">
        <v>0</v>
      </c>
      <c r="S679" s="143"/>
      <c r="T679" s="110"/>
      <c r="U679" s="118"/>
      <c r="V679" s="118"/>
      <c r="W679" s="118"/>
      <c r="X679" s="118"/>
      <c r="Y679" s="118"/>
      <c r="Z679" s="118"/>
      <c r="AA679" s="118"/>
      <c r="AB679" s="118"/>
      <c r="AC679" s="118"/>
      <c r="AD679" s="111"/>
      <c r="AE679" s="122"/>
      <c r="AF679" s="122"/>
      <c r="AG679" s="122"/>
      <c r="AH679" s="122"/>
    </row>
    <row r="680" ht="22.5" customHeight="1">
      <c r="A680" s="73"/>
      <c r="B680" s="73"/>
      <c r="C680" s="73"/>
      <c r="D680" s="73"/>
      <c r="E680" s="330"/>
      <c r="F680" s="118"/>
      <c r="G680" s="118"/>
      <c r="H680" s="118"/>
      <c r="I680" s="118"/>
      <c r="J680" s="119"/>
      <c r="K680" s="120"/>
      <c r="L680" s="120"/>
      <c r="M680" s="120"/>
      <c r="N680" s="120"/>
      <c r="O680" s="118"/>
      <c r="P680" s="120"/>
      <c r="Q680" s="121"/>
      <c r="R680" s="109" t="b">
        <v>0</v>
      </c>
      <c r="S680" s="143"/>
      <c r="T680" s="110"/>
      <c r="U680" s="118"/>
      <c r="V680" s="118"/>
      <c r="W680" s="118"/>
      <c r="X680" s="118"/>
      <c r="Y680" s="118"/>
      <c r="Z680" s="118"/>
      <c r="AA680" s="118"/>
      <c r="AB680" s="118"/>
      <c r="AC680" s="118"/>
      <c r="AD680" s="111"/>
      <c r="AE680" s="122"/>
      <c r="AF680" s="122"/>
      <c r="AG680" s="122"/>
      <c r="AH680" s="122"/>
    </row>
    <row r="681" ht="22.5" customHeight="1">
      <c r="A681" s="73"/>
      <c r="B681" s="73"/>
      <c r="C681" s="73"/>
      <c r="D681" s="73"/>
      <c r="E681" s="330"/>
      <c r="F681" s="118"/>
      <c r="G681" s="118"/>
      <c r="H681" s="118"/>
      <c r="I681" s="118"/>
      <c r="J681" s="119"/>
      <c r="K681" s="120"/>
      <c r="L681" s="120"/>
      <c r="M681" s="120"/>
      <c r="N681" s="120"/>
      <c r="O681" s="118"/>
      <c r="P681" s="120"/>
      <c r="Q681" s="121"/>
      <c r="R681" s="109" t="b">
        <v>0</v>
      </c>
      <c r="S681" s="143"/>
      <c r="T681" s="110"/>
      <c r="U681" s="118"/>
      <c r="V681" s="118"/>
      <c r="W681" s="118"/>
      <c r="X681" s="118"/>
      <c r="Y681" s="118"/>
      <c r="Z681" s="118"/>
      <c r="AA681" s="118"/>
      <c r="AB681" s="118"/>
      <c r="AC681" s="118"/>
      <c r="AD681" s="111"/>
      <c r="AE681" s="122"/>
      <c r="AF681" s="122"/>
      <c r="AG681" s="122"/>
      <c r="AH681" s="122"/>
    </row>
    <row r="682" ht="22.5" customHeight="1">
      <c r="A682" s="73"/>
      <c r="B682" s="73"/>
      <c r="C682" s="73"/>
      <c r="D682" s="73"/>
      <c r="E682" s="330"/>
      <c r="F682" s="118"/>
      <c r="G682" s="118"/>
      <c r="H682" s="118"/>
      <c r="I682" s="118"/>
      <c r="J682" s="119"/>
      <c r="K682" s="120"/>
      <c r="L682" s="120"/>
      <c r="M682" s="120"/>
      <c r="N682" s="120"/>
      <c r="O682" s="118"/>
      <c r="P682" s="120"/>
      <c r="Q682" s="121"/>
      <c r="R682" s="109" t="b">
        <v>0</v>
      </c>
      <c r="S682" s="143"/>
      <c r="T682" s="110"/>
      <c r="U682" s="118"/>
      <c r="V682" s="118"/>
      <c r="W682" s="118"/>
      <c r="X682" s="118"/>
      <c r="Y682" s="118"/>
      <c r="Z682" s="118"/>
      <c r="AA682" s="118"/>
      <c r="AB682" s="118"/>
      <c r="AC682" s="118"/>
      <c r="AD682" s="111"/>
      <c r="AE682" s="122"/>
      <c r="AF682" s="122"/>
      <c r="AG682" s="122"/>
      <c r="AH682" s="122"/>
    </row>
    <row r="683" ht="22.5" customHeight="1">
      <c r="A683" s="73"/>
      <c r="B683" s="73"/>
      <c r="C683" s="73"/>
      <c r="D683" s="73"/>
      <c r="E683" s="330"/>
      <c r="F683" s="118"/>
      <c r="G683" s="118"/>
      <c r="H683" s="118"/>
      <c r="I683" s="118"/>
      <c r="J683" s="119"/>
      <c r="K683" s="120"/>
      <c r="L683" s="120"/>
      <c r="M683" s="120"/>
      <c r="N683" s="120"/>
      <c r="O683" s="118"/>
      <c r="P683" s="120"/>
      <c r="Q683" s="121"/>
      <c r="R683" s="109" t="b">
        <v>0</v>
      </c>
      <c r="S683" s="143"/>
      <c r="T683" s="110"/>
      <c r="U683" s="118"/>
      <c r="V683" s="118"/>
      <c r="W683" s="118"/>
      <c r="X683" s="118"/>
      <c r="Y683" s="118"/>
      <c r="Z683" s="118"/>
      <c r="AA683" s="118"/>
      <c r="AB683" s="118"/>
      <c r="AC683" s="118"/>
      <c r="AD683" s="111"/>
      <c r="AE683" s="122"/>
      <c r="AF683" s="122"/>
      <c r="AG683" s="122"/>
      <c r="AH683" s="122"/>
    </row>
    <row r="684" ht="22.5" customHeight="1">
      <c r="A684" s="73"/>
      <c r="B684" s="73"/>
      <c r="C684" s="73"/>
      <c r="D684" s="73"/>
      <c r="E684" s="330"/>
      <c r="F684" s="118"/>
      <c r="G684" s="118"/>
      <c r="H684" s="118"/>
      <c r="I684" s="118"/>
      <c r="J684" s="119"/>
      <c r="K684" s="120"/>
      <c r="L684" s="120"/>
      <c r="M684" s="120"/>
      <c r="N684" s="120"/>
      <c r="O684" s="118"/>
      <c r="P684" s="120"/>
      <c r="Q684" s="121"/>
      <c r="R684" s="109" t="b">
        <v>0</v>
      </c>
      <c r="S684" s="143"/>
      <c r="T684" s="110"/>
      <c r="U684" s="118"/>
      <c r="V684" s="118"/>
      <c r="W684" s="118"/>
      <c r="X684" s="118"/>
      <c r="Y684" s="118"/>
      <c r="Z684" s="118"/>
      <c r="AA684" s="118"/>
      <c r="AB684" s="118"/>
      <c r="AC684" s="118"/>
      <c r="AD684" s="111"/>
      <c r="AE684" s="122"/>
      <c r="AF684" s="122"/>
      <c r="AG684" s="122"/>
      <c r="AH684" s="122"/>
    </row>
    <row r="685" ht="22.5" customHeight="1">
      <c r="A685" s="73"/>
      <c r="B685" s="73"/>
      <c r="C685" s="73"/>
      <c r="D685" s="73"/>
      <c r="E685" s="330"/>
      <c r="F685" s="118"/>
      <c r="G685" s="118"/>
      <c r="H685" s="118"/>
      <c r="I685" s="118"/>
      <c r="J685" s="119"/>
      <c r="K685" s="120"/>
      <c r="L685" s="120"/>
      <c r="M685" s="120"/>
      <c r="N685" s="120"/>
      <c r="O685" s="118"/>
      <c r="P685" s="120"/>
      <c r="Q685" s="121"/>
      <c r="R685" s="109" t="b">
        <v>0</v>
      </c>
      <c r="S685" s="143"/>
      <c r="T685" s="110"/>
      <c r="U685" s="118"/>
      <c r="V685" s="118"/>
      <c r="W685" s="118"/>
      <c r="X685" s="118"/>
      <c r="Y685" s="118"/>
      <c r="Z685" s="118"/>
      <c r="AA685" s="118"/>
      <c r="AB685" s="118"/>
      <c r="AC685" s="118"/>
      <c r="AD685" s="111"/>
      <c r="AE685" s="122"/>
      <c r="AF685" s="122"/>
      <c r="AG685" s="122"/>
      <c r="AH685" s="122"/>
    </row>
    <row r="686" ht="22.5" customHeight="1">
      <c r="A686" s="73"/>
      <c r="B686" s="73"/>
      <c r="C686" s="73"/>
      <c r="D686" s="73"/>
      <c r="E686" s="330"/>
      <c r="F686" s="118"/>
      <c r="G686" s="118"/>
      <c r="H686" s="118"/>
      <c r="I686" s="118"/>
      <c r="J686" s="119"/>
      <c r="K686" s="120"/>
      <c r="L686" s="120"/>
      <c r="M686" s="120"/>
      <c r="N686" s="120"/>
      <c r="O686" s="118"/>
      <c r="P686" s="120"/>
      <c r="Q686" s="121"/>
      <c r="R686" s="109" t="b">
        <v>0</v>
      </c>
      <c r="S686" s="143"/>
      <c r="T686" s="110"/>
      <c r="U686" s="118"/>
      <c r="V686" s="118"/>
      <c r="W686" s="118"/>
      <c r="X686" s="118"/>
      <c r="Y686" s="118"/>
      <c r="Z686" s="118"/>
      <c r="AA686" s="118"/>
      <c r="AB686" s="118"/>
      <c r="AC686" s="118"/>
      <c r="AD686" s="111"/>
      <c r="AE686" s="122"/>
      <c r="AF686" s="122"/>
      <c r="AG686" s="122"/>
      <c r="AH686" s="122"/>
    </row>
    <row r="687" ht="22.5" customHeight="1">
      <c r="A687" s="73"/>
      <c r="B687" s="73"/>
      <c r="C687" s="73"/>
      <c r="D687" s="73"/>
      <c r="E687" s="330"/>
      <c r="F687" s="118"/>
      <c r="G687" s="118"/>
      <c r="H687" s="118"/>
      <c r="I687" s="118"/>
      <c r="J687" s="119"/>
      <c r="K687" s="120"/>
      <c r="L687" s="120"/>
      <c r="M687" s="120"/>
      <c r="N687" s="120"/>
      <c r="O687" s="118"/>
      <c r="P687" s="120"/>
      <c r="Q687" s="121"/>
      <c r="R687" s="109" t="b">
        <v>0</v>
      </c>
      <c r="S687" s="143"/>
      <c r="T687" s="110"/>
      <c r="U687" s="118"/>
      <c r="V687" s="118"/>
      <c r="W687" s="118"/>
      <c r="X687" s="118"/>
      <c r="Y687" s="118"/>
      <c r="Z687" s="118"/>
      <c r="AA687" s="118"/>
      <c r="AB687" s="118"/>
      <c r="AC687" s="118"/>
      <c r="AD687" s="111"/>
      <c r="AE687" s="122"/>
      <c r="AF687" s="122"/>
      <c r="AG687" s="122"/>
      <c r="AH687" s="122"/>
    </row>
    <row r="688" ht="22.5" customHeight="1">
      <c r="A688" s="73"/>
      <c r="B688" s="73"/>
      <c r="C688" s="73"/>
      <c r="D688" s="73"/>
      <c r="E688" s="330"/>
      <c r="F688" s="118"/>
      <c r="G688" s="118"/>
      <c r="H688" s="118"/>
      <c r="I688" s="118"/>
      <c r="J688" s="119"/>
      <c r="K688" s="120"/>
      <c r="L688" s="120"/>
      <c r="M688" s="120"/>
      <c r="N688" s="120"/>
      <c r="O688" s="118"/>
      <c r="P688" s="120"/>
      <c r="Q688" s="121"/>
      <c r="R688" s="109" t="b">
        <v>0</v>
      </c>
      <c r="S688" s="143"/>
      <c r="T688" s="110"/>
      <c r="U688" s="118"/>
      <c r="V688" s="118"/>
      <c r="W688" s="118"/>
      <c r="X688" s="118"/>
      <c r="Y688" s="118"/>
      <c r="Z688" s="118"/>
      <c r="AA688" s="118"/>
      <c r="AB688" s="118"/>
      <c r="AC688" s="118"/>
      <c r="AD688" s="111"/>
      <c r="AE688" s="122"/>
      <c r="AF688" s="122"/>
      <c r="AG688" s="122"/>
      <c r="AH688" s="122"/>
    </row>
    <row r="689" ht="22.5" customHeight="1">
      <c r="A689" s="73"/>
      <c r="B689" s="73"/>
      <c r="C689" s="73"/>
      <c r="D689" s="73"/>
      <c r="E689" s="330"/>
      <c r="F689" s="118"/>
      <c r="G689" s="118"/>
      <c r="H689" s="118"/>
      <c r="I689" s="118"/>
      <c r="J689" s="119"/>
      <c r="K689" s="120"/>
      <c r="L689" s="120"/>
      <c r="M689" s="120"/>
      <c r="N689" s="120"/>
      <c r="O689" s="118"/>
      <c r="P689" s="120"/>
      <c r="Q689" s="121"/>
      <c r="R689" s="109" t="b">
        <v>0</v>
      </c>
      <c r="S689" s="143"/>
      <c r="T689" s="110"/>
      <c r="U689" s="118"/>
      <c r="V689" s="118"/>
      <c r="W689" s="118"/>
      <c r="X689" s="118"/>
      <c r="Y689" s="118"/>
      <c r="Z689" s="118"/>
      <c r="AA689" s="118"/>
      <c r="AB689" s="118"/>
      <c r="AC689" s="118"/>
      <c r="AD689" s="111"/>
      <c r="AE689" s="122"/>
      <c r="AF689" s="122"/>
      <c r="AG689" s="122"/>
      <c r="AH689" s="122"/>
    </row>
    <row r="690" ht="22.5" customHeight="1">
      <c r="A690" s="73"/>
      <c r="B690" s="73"/>
      <c r="C690" s="73"/>
      <c r="D690" s="73"/>
      <c r="E690" s="330"/>
      <c r="F690" s="118"/>
      <c r="G690" s="118"/>
      <c r="H690" s="118"/>
      <c r="I690" s="118"/>
      <c r="J690" s="119"/>
      <c r="K690" s="120"/>
      <c r="L690" s="120"/>
      <c r="M690" s="120"/>
      <c r="N690" s="120"/>
      <c r="O690" s="118"/>
      <c r="P690" s="120"/>
      <c r="Q690" s="121"/>
      <c r="R690" s="109" t="b">
        <v>0</v>
      </c>
      <c r="S690" s="143"/>
      <c r="T690" s="110"/>
      <c r="U690" s="118"/>
      <c r="V690" s="118"/>
      <c r="W690" s="118"/>
      <c r="X690" s="118"/>
      <c r="Y690" s="118"/>
      <c r="Z690" s="118"/>
      <c r="AA690" s="118"/>
      <c r="AB690" s="118"/>
      <c r="AC690" s="118"/>
      <c r="AD690" s="111"/>
      <c r="AE690" s="122"/>
      <c r="AF690" s="122"/>
      <c r="AG690" s="122"/>
      <c r="AH690" s="122"/>
    </row>
    <row r="691" ht="22.5" customHeight="1">
      <c r="A691" s="73"/>
      <c r="B691" s="73"/>
      <c r="C691" s="73"/>
      <c r="D691" s="73"/>
      <c r="E691" s="330"/>
      <c r="F691" s="118"/>
      <c r="G691" s="118"/>
      <c r="H691" s="118"/>
      <c r="I691" s="118"/>
      <c r="J691" s="119"/>
      <c r="K691" s="120"/>
      <c r="L691" s="120"/>
      <c r="M691" s="120"/>
      <c r="N691" s="120"/>
      <c r="O691" s="118"/>
      <c r="P691" s="120"/>
      <c r="Q691" s="121"/>
      <c r="R691" s="109" t="b">
        <v>0</v>
      </c>
      <c r="S691" s="143"/>
      <c r="T691" s="110"/>
      <c r="U691" s="118"/>
      <c r="V691" s="118"/>
      <c r="W691" s="118"/>
      <c r="X691" s="118"/>
      <c r="Y691" s="118"/>
      <c r="Z691" s="118"/>
      <c r="AA691" s="118"/>
      <c r="AB691" s="118"/>
      <c r="AC691" s="118"/>
      <c r="AD691" s="111"/>
      <c r="AE691" s="122"/>
      <c r="AF691" s="122"/>
      <c r="AG691" s="122"/>
      <c r="AH691" s="122"/>
    </row>
    <row r="692" ht="22.5" customHeight="1">
      <c r="A692" s="73"/>
      <c r="B692" s="73"/>
      <c r="C692" s="73"/>
      <c r="D692" s="73"/>
      <c r="E692" s="330"/>
      <c r="F692" s="118"/>
      <c r="G692" s="118"/>
      <c r="H692" s="118"/>
      <c r="I692" s="118"/>
      <c r="J692" s="119"/>
      <c r="K692" s="120"/>
      <c r="L692" s="120"/>
      <c r="M692" s="120"/>
      <c r="N692" s="120"/>
      <c r="O692" s="118"/>
      <c r="P692" s="120"/>
      <c r="Q692" s="121"/>
      <c r="R692" s="109" t="b">
        <v>0</v>
      </c>
      <c r="S692" s="143"/>
      <c r="T692" s="110"/>
      <c r="U692" s="118"/>
      <c r="V692" s="118"/>
      <c r="W692" s="118"/>
      <c r="X692" s="118"/>
      <c r="Y692" s="118"/>
      <c r="Z692" s="118"/>
      <c r="AA692" s="118"/>
      <c r="AB692" s="118"/>
      <c r="AC692" s="118"/>
      <c r="AD692" s="111"/>
      <c r="AE692" s="122"/>
      <c r="AF692" s="122"/>
      <c r="AG692" s="122"/>
      <c r="AH692" s="122"/>
    </row>
    <row r="693" ht="22.5" customHeight="1">
      <c r="A693" s="73"/>
      <c r="B693" s="73"/>
      <c r="C693" s="73"/>
      <c r="D693" s="73"/>
      <c r="E693" s="330"/>
      <c r="F693" s="118"/>
      <c r="G693" s="118"/>
      <c r="H693" s="118"/>
      <c r="I693" s="118"/>
      <c r="J693" s="119"/>
      <c r="K693" s="120"/>
      <c r="L693" s="120"/>
      <c r="M693" s="120"/>
      <c r="N693" s="120"/>
      <c r="O693" s="118"/>
      <c r="P693" s="120"/>
      <c r="Q693" s="121"/>
      <c r="R693" s="109" t="b">
        <v>0</v>
      </c>
      <c r="S693" s="143"/>
      <c r="T693" s="110"/>
      <c r="U693" s="118"/>
      <c r="V693" s="118"/>
      <c r="W693" s="118"/>
      <c r="X693" s="118"/>
      <c r="Y693" s="118"/>
      <c r="Z693" s="118"/>
      <c r="AA693" s="118"/>
      <c r="AB693" s="118"/>
      <c r="AC693" s="118"/>
      <c r="AD693" s="111"/>
      <c r="AE693" s="122"/>
      <c r="AF693" s="122"/>
      <c r="AG693" s="122"/>
      <c r="AH693" s="122"/>
    </row>
    <row r="694" ht="22.5" customHeight="1">
      <c r="A694" s="73"/>
      <c r="B694" s="73"/>
      <c r="C694" s="73"/>
      <c r="D694" s="73"/>
      <c r="E694" s="330"/>
      <c r="F694" s="118"/>
      <c r="G694" s="118"/>
      <c r="H694" s="118"/>
      <c r="I694" s="118"/>
      <c r="J694" s="119"/>
      <c r="K694" s="120"/>
      <c r="L694" s="120"/>
      <c r="M694" s="120"/>
      <c r="N694" s="120"/>
      <c r="O694" s="118"/>
      <c r="P694" s="120"/>
      <c r="Q694" s="121"/>
      <c r="R694" s="109" t="b">
        <v>0</v>
      </c>
      <c r="S694" s="143"/>
      <c r="T694" s="110"/>
      <c r="U694" s="118"/>
      <c r="V694" s="118"/>
      <c r="W694" s="118"/>
      <c r="X694" s="118"/>
      <c r="Y694" s="118"/>
      <c r="Z694" s="118"/>
      <c r="AA694" s="118"/>
      <c r="AB694" s="118"/>
      <c r="AC694" s="118"/>
      <c r="AD694" s="111"/>
      <c r="AE694" s="122"/>
      <c r="AF694" s="122"/>
      <c r="AG694" s="122"/>
      <c r="AH694" s="122"/>
    </row>
    <row r="695" ht="22.5" customHeight="1">
      <c r="A695" s="73"/>
      <c r="B695" s="73"/>
      <c r="C695" s="73"/>
      <c r="D695" s="73"/>
      <c r="E695" s="330"/>
      <c r="F695" s="118"/>
      <c r="G695" s="118"/>
      <c r="H695" s="118"/>
      <c r="I695" s="118"/>
      <c r="J695" s="119"/>
      <c r="K695" s="120"/>
      <c r="L695" s="120"/>
      <c r="M695" s="120"/>
      <c r="N695" s="120"/>
      <c r="O695" s="118"/>
      <c r="P695" s="120"/>
      <c r="Q695" s="121"/>
      <c r="R695" s="109" t="b">
        <v>0</v>
      </c>
      <c r="S695" s="143"/>
      <c r="T695" s="110"/>
      <c r="U695" s="118"/>
      <c r="V695" s="118"/>
      <c r="W695" s="118"/>
      <c r="X695" s="118"/>
      <c r="Y695" s="118"/>
      <c r="Z695" s="118"/>
      <c r="AA695" s="118"/>
      <c r="AB695" s="118"/>
      <c r="AC695" s="118"/>
      <c r="AD695" s="111"/>
      <c r="AE695" s="122"/>
      <c r="AF695" s="122"/>
      <c r="AG695" s="122"/>
      <c r="AH695" s="122"/>
    </row>
    <row r="696" ht="22.5" customHeight="1">
      <c r="A696" s="73"/>
      <c r="B696" s="73"/>
      <c r="C696" s="73"/>
      <c r="D696" s="73"/>
      <c r="E696" s="330"/>
      <c r="F696" s="118"/>
      <c r="G696" s="118"/>
      <c r="H696" s="118"/>
      <c r="I696" s="118"/>
      <c r="J696" s="119"/>
      <c r="K696" s="120"/>
      <c r="L696" s="120"/>
      <c r="M696" s="120"/>
      <c r="N696" s="120"/>
      <c r="O696" s="118"/>
      <c r="P696" s="120"/>
      <c r="Q696" s="121"/>
      <c r="R696" s="109" t="b">
        <v>0</v>
      </c>
      <c r="S696" s="143"/>
      <c r="T696" s="110"/>
      <c r="U696" s="118"/>
      <c r="V696" s="118"/>
      <c r="W696" s="118"/>
      <c r="X696" s="118"/>
      <c r="Y696" s="118"/>
      <c r="Z696" s="118"/>
      <c r="AA696" s="118"/>
      <c r="AB696" s="118"/>
      <c r="AC696" s="118"/>
      <c r="AD696" s="111"/>
      <c r="AE696" s="122"/>
      <c r="AF696" s="122"/>
      <c r="AG696" s="122"/>
      <c r="AH696" s="122"/>
    </row>
    <row r="697" ht="22.5" customHeight="1">
      <c r="A697" s="73"/>
      <c r="B697" s="73"/>
      <c r="C697" s="73"/>
      <c r="D697" s="73"/>
      <c r="E697" s="330"/>
      <c r="F697" s="118"/>
      <c r="G697" s="118"/>
      <c r="H697" s="118"/>
      <c r="I697" s="118"/>
      <c r="J697" s="119"/>
      <c r="K697" s="120"/>
      <c r="L697" s="120"/>
      <c r="M697" s="120"/>
      <c r="N697" s="120"/>
      <c r="O697" s="118"/>
      <c r="P697" s="120"/>
      <c r="Q697" s="121"/>
      <c r="R697" s="109" t="b">
        <v>0</v>
      </c>
      <c r="S697" s="143"/>
      <c r="T697" s="110"/>
      <c r="U697" s="118"/>
      <c r="V697" s="118"/>
      <c r="W697" s="118"/>
      <c r="X697" s="118"/>
      <c r="Y697" s="118"/>
      <c r="Z697" s="118"/>
      <c r="AA697" s="118"/>
      <c r="AB697" s="118"/>
      <c r="AC697" s="118"/>
      <c r="AD697" s="111"/>
      <c r="AE697" s="122"/>
      <c r="AF697" s="122"/>
      <c r="AG697" s="122"/>
      <c r="AH697" s="122"/>
    </row>
    <row r="698" ht="22.5" customHeight="1">
      <c r="A698" s="73"/>
      <c r="B698" s="73"/>
      <c r="C698" s="73"/>
      <c r="D698" s="73"/>
      <c r="E698" s="330"/>
      <c r="F698" s="118"/>
      <c r="G698" s="118"/>
      <c r="H698" s="118"/>
      <c r="I698" s="118"/>
      <c r="J698" s="119"/>
      <c r="K698" s="120"/>
      <c r="L698" s="120"/>
      <c r="M698" s="120"/>
      <c r="N698" s="120"/>
      <c r="O698" s="118"/>
      <c r="P698" s="120"/>
      <c r="Q698" s="121"/>
      <c r="R698" s="109" t="b">
        <v>0</v>
      </c>
      <c r="S698" s="143"/>
      <c r="T698" s="110"/>
      <c r="U698" s="118"/>
      <c r="V698" s="118"/>
      <c r="W698" s="118"/>
      <c r="X698" s="118"/>
      <c r="Y698" s="118"/>
      <c r="Z698" s="118"/>
      <c r="AA698" s="118"/>
      <c r="AB698" s="118"/>
      <c r="AC698" s="118"/>
      <c r="AD698" s="111"/>
      <c r="AE698" s="122"/>
      <c r="AF698" s="122"/>
      <c r="AG698" s="122"/>
      <c r="AH698" s="122"/>
    </row>
    <row r="699" ht="22.5" customHeight="1">
      <c r="A699" s="73"/>
      <c r="B699" s="73"/>
      <c r="C699" s="73"/>
      <c r="D699" s="73"/>
      <c r="E699" s="330"/>
      <c r="F699" s="118"/>
      <c r="G699" s="118"/>
      <c r="H699" s="118"/>
      <c r="I699" s="118"/>
      <c r="J699" s="119"/>
      <c r="K699" s="120"/>
      <c r="L699" s="120"/>
      <c r="M699" s="120"/>
      <c r="N699" s="120"/>
      <c r="O699" s="118"/>
      <c r="P699" s="120"/>
      <c r="Q699" s="121"/>
      <c r="R699" s="109" t="b">
        <v>0</v>
      </c>
      <c r="S699" s="143"/>
      <c r="T699" s="110"/>
      <c r="U699" s="118"/>
      <c r="V699" s="118"/>
      <c r="W699" s="118"/>
      <c r="X699" s="118"/>
      <c r="Y699" s="118"/>
      <c r="Z699" s="118"/>
      <c r="AA699" s="118"/>
      <c r="AB699" s="118"/>
      <c r="AC699" s="118"/>
      <c r="AD699" s="111"/>
      <c r="AE699" s="122"/>
      <c r="AF699" s="122"/>
      <c r="AG699" s="122"/>
      <c r="AH699" s="122"/>
    </row>
    <row r="700" ht="22.5" customHeight="1">
      <c r="A700" s="73"/>
      <c r="B700" s="73"/>
      <c r="C700" s="73"/>
      <c r="D700" s="73"/>
      <c r="E700" s="330"/>
      <c r="F700" s="118"/>
      <c r="G700" s="118"/>
      <c r="H700" s="118"/>
      <c r="I700" s="118"/>
      <c r="J700" s="119"/>
      <c r="K700" s="120"/>
      <c r="L700" s="120"/>
      <c r="M700" s="120"/>
      <c r="N700" s="120"/>
      <c r="O700" s="118"/>
      <c r="P700" s="120"/>
      <c r="Q700" s="121"/>
      <c r="R700" s="109" t="b">
        <v>0</v>
      </c>
      <c r="S700" s="143"/>
      <c r="T700" s="110"/>
      <c r="U700" s="118"/>
      <c r="V700" s="118"/>
      <c r="W700" s="118"/>
      <c r="X700" s="118"/>
      <c r="Y700" s="118"/>
      <c r="Z700" s="118"/>
      <c r="AA700" s="118"/>
      <c r="AB700" s="118"/>
      <c r="AC700" s="118"/>
      <c r="AD700" s="111"/>
      <c r="AE700" s="122"/>
      <c r="AF700" s="122"/>
      <c r="AG700" s="122"/>
      <c r="AH700" s="122"/>
    </row>
    <row r="701" ht="22.5" customHeight="1">
      <c r="A701" s="73"/>
      <c r="B701" s="73"/>
      <c r="C701" s="73"/>
      <c r="D701" s="73"/>
      <c r="E701" s="330"/>
      <c r="F701" s="118"/>
      <c r="G701" s="118"/>
      <c r="H701" s="118"/>
      <c r="I701" s="118"/>
      <c r="J701" s="119"/>
      <c r="K701" s="120"/>
      <c r="L701" s="120"/>
      <c r="M701" s="120"/>
      <c r="N701" s="120"/>
      <c r="O701" s="118"/>
      <c r="P701" s="120"/>
      <c r="Q701" s="121"/>
      <c r="R701" s="109" t="b">
        <v>0</v>
      </c>
      <c r="S701" s="143"/>
      <c r="T701" s="110"/>
      <c r="U701" s="118"/>
      <c r="V701" s="118"/>
      <c r="W701" s="118"/>
      <c r="X701" s="118"/>
      <c r="Y701" s="118"/>
      <c r="Z701" s="118"/>
      <c r="AA701" s="118"/>
      <c r="AB701" s="118"/>
      <c r="AC701" s="118"/>
      <c r="AD701" s="111"/>
      <c r="AE701" s="122"/>
      <c r="AF701" s="122"/>
      <c r="AG701" s="122"/>
      <c r="AH701" s="122"/>
    </row>
    <row r="702" ht="22.5" customHeight="1">
      <c r="A702" s="73"/>
      <c r="B702" s="73"/>
      <c r="C702" s="73"/>
      <c r="D702" s="73"/>
      <c r="E702" s="330"/>
      <c r="F702" s="118"/>
      <c r="G702" s="118"/>
      <c r="H702" s="118"/>
      <c r="I702" s="118"/>
      <c r="J702" s="119"/>
      <c r="K702" s="120"/>
      <c r="L702" s="120"/>
      <c r="M702" s="120"/>
      <c r="N702" s="120"/>
      <c r="O702" s="118"/>
      <c r="P702" s="120"/>
      <c r="Q702" s="121"/>
      <c r="R702" s="109" t="b">
        <v>0</v>
      </c>
      <c r="S702" s="143"/>
      <c r="T702" s="110"/>
      <c r="U702" s="118"/>
      <c r="V702" s="118"/>
      <c r="W702" s="118"/>
      <c r="X702" s="118"/>
      <c r="Y702" s="118"/>
      <c r="Z702" s="118"/>
      <c r="AA702" s="118"/>
      <c r="AB702" s="118"/>
      <c r="AC702" s="118"/>
      <c r="AD702" s="111"/>
      <c r="AE702" s="122"/>
      <c r="AF702" s="122"/>
      <c r="AG702" s="122"/>
      <c r="AH702" s="122"/>
    </row>
    <row r="703" ht="22.5" customHeight="1">
      <c r="A703" s="73"/>
      <c r="B703" s="73"/>
      <c r="C703" s="73"/>
      <c r="D703" s="73"/>
      <c r="E703" s="330"/>
      <c r="F703" s="118"/>
      <c r="G703" s="118"/>
      <c r="H703" s="118"/>
      <c r="I703" s="118"/>
      <c r="J703" s="119"/>
      <c r="K703" s="120"/>
      <c r="L703" s="120"/>
      <c r="M703" s="120"/>
      <c r="N703" s="120"/>
      <c r="O703" s="118"/>
      <c r="P703" s="120"/>
      <c r="Q703" s="121"/>
      <c r="R703" s="109" t="b">
        <v>0</v>
      </c>
      <c r="S703" s="143"/>
      <c r="T703" s="110"/>
      <c r="U703" s="118"/>
      <c r="V703" s="118"/>
      <c r="W703" s="118"/>
      <c r="X703" s="118"/>
      <c r="Y703" s="118"/>
      <c r="Z703" s="118"/>
      <c r="AA703" s="118"/>
      <c r="AB703" s="118"/>
      <c r="AC703" s="118"/>
      <c r="AD703" s="111"/>
      <c r="AE703" s="122"/>
      <c r="AF703" s="122"/>
      <c r="AG703" s="122"/>
      <c r="AH703" s="122"/>
    </row>
    <row r="704" ht="22.5" customHeight="1">
      <c r="A704" s="73"/>
      <c r="B704" s="73"/>
      <c r="C704" s="73"/>
      <c r="D704" s="73"/>
      <c r="E704" s="330"/>
      <c r="F704" s="118"/>
      <c r="G704" s="118"/>
      <c r="H704" s="118"/>
      <c r="I704" s="118"/>
      <c r="J704" s="119"/>
      <c r="K704" s="120"/>
      <c r="L704" s="120"/>
      <c r="M704" s="120"/>
      <c r="N704" s="120"/>
      <c r="O704" s="118"/>
      <c r="P704" s="120"/>
      <c r="Q704" s="121"/>
      <c r="R704" s="109" t="b">
        <v>0</v>
      </c>
      <c r="S704" s="143"/>
      <c r="T704" s="110"/>
      <c r="U704" s="118"/>
      <c r="V704" s="118"/>
      <c r="W704" s="118"/>
      <c r="X704" s="118"/>
      <c r="Y704" s="118"/>
      <c r="Z704" s="118"/>
      <c r="AA704" s="118"/>
      <c r="AB704" s="118"/>
      <c r="AC704" s="118"/>
      <c r="AD704" s="111"/>
      <c r="AE704" s="122"/>
      <c r="AF704" s="122"/>
      <c r="AG704" s="122"/>
      <c r="AH704" s="122"/>
    </row>
    <row r="705" ht="22.5" customHeight="1">
      <c r="A705" s="73"/>
      <c r="B705" s="73"/>
      <c r="C705" s="73"/>
      <c r="D705" s="73"/>
      <c r="E705" s="330"/>
      <c r="F705" s="118"/>
      <c r="G705" s="118"/>
      <c r="H705" s="118"/>
      <c r="I705" s="118"/>
      <c r="J705" s="119"/>
      <c r="K705" s="120"/>
      <c r="L705" s="120"/>
      <c r="M705" s="120"/>
      <c r="N705" s="120"/>
      <c r="O705" s="118"/>
      <c r="P705" s="120"/>
      <c r="Q705" s="121"/>
      <c r="R705" s="109" t="b">
        <v>0</v>
      </c>
      <c r="S705" s="143"/>
      <c r="T705" s="110"/>
      <c r="U705" s="118"/>
      <c r="V705" s="118"/>
      <c r="W705" s="118"/>
      <c r="X705" s="118"/>
      <c r="Y705" s="118"/>
      <c r="Z705" s="118"/>
      <c r="AA705" s="118"/>
      <c r="AB705" s="118"/>
      <c r="AC705" s="118"/>
      <c r="AD705" s="111"/>
      <c r="AE705" s="122"/>
      <c r="AF705" s="122"/>
      <c r="AG705" s="122"/>
      <c r="AH705" s="122"/>
    </row>
    <row r="706" ht="22.5" customHeight="1">
      <c r="A706" s="73"/>
      <c r="B706" s="73"/>
      <c r="C706" s="73"/>
      <c r="D706" s="73"/>
      <c r="E706" s="330"/>
      <c r="F706" s="118"/>
      <c r="G706" s="118"/>
      <c r="H706" s="118"/>
      <c r="I706" s="118"/>
      <c r="J706" s="119"/>
      <c r="K706" s="120"/>
      <c r="L706" s="120"/>
      <c r="M706" s="120"/>
      <c r="N706" s="120"/>
      <c r="O706" s="118"/>
      <c r="P706" s="120"/>
      <c r="Q706" s="121"/>
      <c r="R706" s="109" t="b">
        <v>0</v>
      </c>
      <c r="S706" s="143"/>
      <c r="T706" s="110"/>
      <c r="U706" s="118"/>
      <c r="V706" s="118"/>
      <c r="W706" s="118"/>
      <c r="X706" s="118"/>
      <c r="Y706" s="118"/>
      <c r="Z706" s="118"/>
      <c r="AA706" s="118"/>
      <c r="AB706" s="118"/>
      <c r="AC706" s="118"/>
      <c r="AD706" s="111"/>
      <c r="AE706" s="122"/>
      <c r="AF706" s="122"/>
      <c r="AG706" s="122"/>
      <c r="AH706" s="122"/>
    </row>
    <row r="707" ht="22.5" customHeight="1">
      <c r="A707" s="73"/>
      <c r="B707" s="73"/>
      <c r="C707" s="73"/>
      <c r="D707" s="73"/>
      <c r="E707" s="330"/>
      <c r="F707" s="118"/>
      <c r="G707" s="118"/>
      <c r="H707" s="118"/>
      <c r="I707" s="118"/>
      <c r="J707" s="119"/>
      <c r="K707" s="120"/>
      <c r="L707" s="120"/>
      <c r="M707" s="120"/>
      <c r="N707" s="120"/>
      <c r="O707" s="118"/>
      <c r="P707" s="120"/>
      <c r="Q707" s="121"/>
      <c r="R707" s="109" t="b">
        <v>0</v>
      </c>
      <c r="S707" s="143"/>
      <c r="T707" s="110"/>
      <c r="U707" s="118"/>
      <c r="V707" s="118"/>
      <c r="W707" s="118"/>
      <c r="X707" s="118"/>
      <c r="Y707" s="118"/>
      <c r="Z707" s="118"/>
      <c r="AA707" s="118"/>
      <c r="AB707" s="118"/>
      <c r="AC707" s="118"/>
      <c r="AD707" s="111"/>
      <c r="AE707" s="122"/>
      <c r="AF707" s="122"/>
      <c r="AG707" s="122"/>
      <c r="AH707" s="122"/>
    </row>
    <row r="708" ht="22.5" customHeight="1">
      <c r="A708" s="73"/>
      <c r="B708" s="73"/>
      <c r="C708" s="73"/>
      <c r="D708" s="73"/>
      <c r="E708" s="330"/>
      <c r="F708" s="118"/>
      <c r="G708" s="118"/>
      <c r="H708" s="118"/>
      <c r="I708" s="118"/>
      <c r="J708" s="119"/>
      <c r="K708" s="120"/>
      <c r="L708" s="120"/>
      <c r="M708" s="120"/>
      <c r="N708" s="120"/>
      <c r="O708" s="118"/>
      <c r="P708" s="120"/>
      <c r="Q708" s="121"/>
      <c r="R708" s="109" t="b">
        <v>0</v>
      </c>
      <c r="S708" s="143"/>
      <c r="T708" s="110"/>
      <c r="U708" s="118"/>
      <c r="V708" s="118"/>
      <c r="W708" s="118"/>
      <c r="X708" s="118"/>
      <c r="Y708" s="118"/>
      <c r="Z708" s="118"/>
      <c r="AA708" s="118"/>
      <c r="AB708" s="118"/>
      <c r="AC708" s="118"/>
      <c r="AD708" s="111"/>
      <c r="AE708" s="122"/>
      <c r="AF708" s="122"/>
      <c r="AG708" s="122"/>
      <c r="AH708" s="122"/>
    </row>
    <row r="709" ht="22.5" customHeight="1">
      <c r="A709" s="73"/>
      <c r="B709" s="73"/>
      <c r="C709" s="73"/>
      <c r="D709" s="73"/>
      <c r="E709" s="330"/>
      <c r="F709" s="118"/>
      <c r="G709" s="118"/>
      <c r="H709" s="118"/>
      <c r="I709" s="118"/>
      <c r="J709" s="119"/>
      <c r="K709" s="120"/>
      <c r="L709" s="120"/>
      <c r="M709" s="120"/>
      <c r="N709" s="120"/>
      <c r="O709" s="118"/>
      <c r="P709" s="120"/>
      <c r="Q709" s="121"/>
      <c r="R709" s="109" t="b">
        <v>0</v>
      </c>
      <c r="S709" s="143"/>
      <c r="T709" s="110"/>
      <c r="U709" s="118"/>
      <c r="V709" s="118"/>
      <c r="W709" s="118"/>
      <c r="X709" s="118"/>
      <c r="Y709" s="118"/>
      <c r="Z709" s="118"/>
      <c r="AA709" s="118"/>
      <c r="AB709" s="118"/>
      <c r="AC709" s="118"/>
      <c r="AD709" s="111"/>
      <c r="AE709" s="122"/>
      <c r="AF709" s="122"/>
      <c r="AG709" s="122"/>
      <c r="AH709" s="122"/>
    </row>
    <row r="710" ht="22.5" customHeight="1">
      <c r="A710" s="73"/>
      <c r="B710" s="73"/>
      <c r="C710" s="73"/>
      <c r="D710" s="73"/>
      <c r="E710" s="330"/>
      <c r="F710" s="118"/>
      <c r="G710" s="118"/>
      <c r="H710" s="118"/>
      <c r="I710" s="118"/>
      <c r="J710" s="119"/>
      <c r="K710" s="120"/>
      <c r="L710" s="120"/>
      <c r="M710" s="120"/>
      <c r="N710" s="120"/>
      <c r="O710" s="118"/>
      <c r="P710" s="120"/>
      <c r="Q710" s="121"/>
      <c r="R710" s="109" t="b">
        <v>0</v>
      </c>
      <c r="S710" s="143"/>
      <c r="T710" s="110"/>
      <c r="U710" s="118"/>
      <c r="V710" s="118"/>
      <c r="W710" s="118"/>
      <c r="X710" s="118"/>
      <c r="Y710" s="118"/>
      <c r="Z710" s="118"/>
      <c r="AA710" s="118"/>
      <c r="AB710" s="118"/>
      <c r="AC710" s="118"/>
      <c r="AD710" s="111"/>
      <c r="AE710" s="122"/>
      <c r="AF710" s="122"/>
      <c r="AG710" s="122"/>
      <c r="AH710" s="122"/>
    </row>
    <row r="711" ht="22.5" customHeight="1">
      <c r="A711" s="73"/>
      <c r="B711" s="73"/>
      <c r="C711" s="73"/>
      <c r="D711" s="73"/>
      <c r="E711" s="330"/>
      <c r="F711" s="118"/>
      <c r="G711" s="118"/>
      <c r="H711" s="118"/>
      <c r="I711" s="118"/>
      <c r="J711" s="119"/>
      <c r="K711" s="120"/>
      <c r="L711" s="120"/>
      <c r="M711" s="120"/>
      <c r="N711" s="120"/>
      <c r="O711" s="118"/>
      <c r="P711" s="120"/>
      <c r="Q711" s="121"/>
      <c r="R711" s="109" t="b">
        <v>0</v>
      </c>
      <c r="S711" s="143"/>
      <c r="T711" s="110"/>
      <c r="U711" s="118"/>
      <c r="V711" s="118"/>
      <c r="W711" s="118"/>
      <c r="X711" s="118"/>
      <c r="Y711" s="118"/>
      <c r="Z711" s="118"/>
      <c r="AA711" s="118"/>
      <c r="AB711" s="118"/>
      <c r="AC711" s="118"/>
      <c r="AD711" s="111"/>
      <c r="AE711" s="122"/>
      <c r="AF711" s="122"/>
      <c r="AG711" s="122"/>
      <c r="AH711" s="122"/>
    </row>
    <row r="712" ht="22.5" customHeight="1">
      <c r="A712" s="73"/>
      <c r="B712" s="73"/>
      <c r="C712" s="73"/>
      <c r="D712" s="73"/>
      <c r="E712" s="330"/>
      <c r="F712" s="118"/>
      <c r="G712" s="118"/>
      <c r="H712" s="118"/>
      <c r="I712" s="118"/>
      <c r="J712" s="119"/>
      <c r="K712" s="120"/>
      <c r="L712" s="120"/>
      <c r="M712" s="120"/>
      <c r="N712" s="120"/>
      <c r="O712" s="118"/>
      <c r="P712" s="120"/>
      <c r="Q712" s="121"/>
      <c r="R712" s="109" t="b">
        <v>0</v>
      </c>
      <c r="S712" s="143"/>
      <c r="T712" s="110"/>
      <c r="U712" s="118"/>
      <c r="V712" s="118"/>
      <c r="W712" s="118"/>
      <c r="X712" s="118"/>
      <c r="Y712" s="118"/>
      <c r="Z712" s="118"/>
      <c r="AA712" s="118"/>
      <c r="AB712" s="118"/>
      <c r="AC712" s="118"/>
      <c r="AD712" s="111"/>
      <c r="AE712" s="122"/>
      <c r="AF712" s="122"/>
      <c r="AG712" s="122"/>
      <c r="AH712" s="122"/>
    </row>
    <row r="713" ht="22.5" customHeight="1">
      <c r="A713" s="73"/>
      <c r="B713" s="73"/>
      <c r="C713" s="73"/>
      <c r="D713" s="73"/>
      <c r="E713" s="330"/>
      <c r="F713" s="118"/>
      <c r="G713" s="118"/>
      <c r="H713" s="118"/>
      <c r="I713" s="118"/>
      <c r="J713" s="119"/>
      <c r="K713" s="120"/>
      <c r="L713" s="120"/>
      <c r="M713" s="120"/>
      <c r="N713" s="120"/>
      <c r="O713" s="118"/>
      <c r="P713" s="120"/>
      <c r="Q713" s="121"/>
      <c r="R713" s="109" t="b">
        <v>0</v>
      </c>
      <c r="S713" s="143"/>
      <c r="T713" s="110"/>
      <c r="U713" s="118"/>
      <c r="V713" s="118"/>
      <c r="W713" s="118"/>
      <c r="X713" s="118"/>
      <c r="Y713" s="118"/>
      <c r="Z713" s="118"/>
      <c r="AA713" s="118"/>
      <c r="AB713" s="118"/>
      <c r="AC713" s="118"/>
      <c r="AD713" s="111"/>
      <c r="AE713" s="122"/>
      <c r="AF713" s="122"/>
      <c r="AG713" s="122"/>
      <c r="AH713" s="122"/>
    </row>
    <row r="714" ht="22.5" customHeight="1">
      <c r="A714" s="73"/>
      <c r="B714" s="73"/>
      <c r="C714" s="73"/>
      <c r="D714" s="73"/>
      <c r="E714" s="330"/>
      <c r="F714" s="118"/>
      <c r="G714" s="118"/>
      <c r="H714" s="118"/>
      <c r="I714" s="118"/>
      <c r="J714" s="119"/>
      <c r="K714" s="120"/>
      <c r="L714" s="120"/>
      <c r="M714" s="120"/>
      <c r="N714" s="120"/>
      <c r="O714" s="118"/>
      <c r="P714" s="120"/>
      <c r="Q714" s="121"/>
      <c r="R714" s="109" t="b">
        <v>0</v>
      </c>
      <c r="S714" s="143"/>
      <c r="T714" s="110"/>
      <c r="U714" s="118"/>
      <c r="V714" s="118"/>
      <c r="W714" s="118"/>
      <c r="X714" s="118"/>
      <c r="Y714" s="118"/>
      <c r="Z714" s="118"/>
      <c r="AA714" s="118"/>
      <c r="AB714" s="118"/>
      <c r="AC714" s="118"/>
      <c r="AD714" s="111"/>
      <c r="AE714" s="122"/>
      <c r="AF714" s="122"/>
      <c r="AG714" s="122"/>
      <c r="AH714" s="122"/>
    </row>
    <row r="715" ht="22.5" customHeight="1">
      <c r="A715" s="73"/>
      <c r="B715" s="73"/>
      <c r="C715" s="73"/>
      <c r="D715" s="73"/>
      <c r="E715" s="330"/>
      <c r="F715" s="118"/>
      <c r="G715" s="118"/>
      <c r="H715" s="118"/>
      <c r="I715" s="118"/>
      <c r="J715" s="119"/>
      <c r="K715" s="120"/>
      <c r="L715" s="120"/>
      <c r="M715" s="120"/>
      <c r="N715" s="120"/>
      <c r="O715" s="118"/>
      <c r="P715" s="120"/>
      <c r="Q715" s="121"/>
      <c r="R715" s="109" t="b">
        <v>0</v>
      </c>
      <c r="S715" s="143"/>
      <c r="T715" s="110"/>
      <c r="U715" s="118"/>
      <c r="V715" s="118"/>
      <c r="W715" s="118"/>
      <c r="X715" s="118"/>
      <c r="Y715" s="118"/>
      <c r="Z715" s="118"/>
      <c r="AA715" s="118"/>
      <c r="AB715" s="118"/>
      <c r="AC715" s="118"/>
      <c r="AD715" s="111"/>
      <c r="AE715" s="122"/>
      <c r="AF715" s="122"/>
      <c r="AG715" s="122"/>
      <c r="AH715" s="122"/>
    </row>
    <row r="716" ht="22.5" customHeight="1">
      <c r="A716" s="73"/>
      <c r="B716" s="73"/>
      <c r="C716" s="73"/>
      <c r="D716" s="73"/>
      <c r="E716" s="330"/>
      <c r="F716" s="118"/>
      <c r="G716" s="118"/>
      <c r="H716" s="118"/>
      <c r="I716" s="118"/>
      <c r="J716" s="119"/>
      <c r="K716" s="120"/>
      <c r="L716" s="120"/>
      <c r="M716" s="120"/>
      <c r="N716" s="120"/>
      <c r="O716" s="118"/>
      <c r="P716" s="120"/>
      <c r="Q716" s="121"/>
      <c r="R716" s="109" t="b">
        <v>0</v>
      </c>
      <c r="S716" s="143"/>
      <c r="T716" s="110"/>
      <c r="U716" s="118"/>
      <c r="V716" s="118"/>
      <c r="W716" s="118"/>
      <c r="X716" s="118"/>
      <c r="Y716" s="118"/>
      <c r="Z716" s="118"/>
      <c r="AA716" s="118"/>
      <c r="AB716" s="118"/>
      <c r="AC716" s="118"/>
      <c r="AD716" s="111"/>
      <c r="AE716" s="122"/>
      <c r="AF716" s="122"/>
      <c r="AG716" s="122"/>
      <c r="AH716" s="122"/>
    </row>
    <row r="717" ht="22.5" customHeight="1">
      <c r="A717" s="73"/>
      <c r="B717" s="73"/>
      <c r="C717" s="73"/>
      <c r="D717" s="73"/>
      <c r="E717" s="330"/>
      <c r="F717" s="118"/>
      <c r="G717" s="118"/>
      <c r="H717" s="118"/>
      <c r="I717" s="118"/>
      <c r="J717" s="119"/>
      <c r="K717" s="120"/>
      <c r="L717" s="120"/>
      <c r="M717" s="120"/>
      <c r="N717" s="120"/>
      <c r="O717" s="118"/>
      <c r="P717" s="120"/>
      <c r="Q717" s="121"/>
      <c r="R717" s="109" t="b">
        <v>0</v>
      </c>
      <c r="S717" s="143"/>
      <c r="T717" s="110"/>
      <c r="U717" s="118"/>
      <c r="V717" s="118"/>
      <c r="W717" s="118"/>
      <c r="X717" s="118"/>
      <c r="Y717" s="118"/>
      <c r="Z717" s="118"/>
      <c r="AA717" s="118"/>
      <c r="AB717" s="118"/>
      <c r="AC717" s="118"/>
      <c r="AD717" s="111"/>
      <c r="AE717" s="122"/>
      <c r="AF717" s="122"/>
      <c r="AG717" s="122"/>
      <c r="AH717" s="122"/>
    </row>
    <row r="718" ht="22.5" customHeight="1">
      <c r="A718" s="73"/>
      <c r="B718" s="73"/>
      <c r="C718" s="73"/>
      <c r="D718" s="73"/>
      <c r="E718" s="330"/>
      <c r="F718" s="118"/>
      <c r="G718" s="118"/>
      <c r="H718" s="118"/>
      <c r="I718" s="118"/>
      <c r="J718" s="119"/>
      <c r="K718" s="120"/>
      <c r="L718" s="120"/>
      <c r="M718" s="120"/>
      <c r="N718" s="120"/>
      <c r="O718" s="118"/>
      <c r="P718" s="120"/>
      <c r="Q718" s="121"/>
      <c r="R718" s="109" t="b">
        <v>0</v>
      </c>
      <c r="S718" s="143"/>
      <c r="T718" s="110"/>
      <c r="U718" s="118"/>
      <c r="V718" s="118"/>
      <c r="W718" s="118"/>
      <c r="X718" s="118"/>
      <c r="Y718" s="118"/>
      <c r="Z718" s="118"/>
      <c r="AA718" s="118"/>
      <c r="AB718" s="118"/>
      <c r="AC718" s="118"/>
      <c r="AD718" s="111"/>
      <c r="AE718" s="122"/>
      <c r="AF718" s="122"/>
      <c r="AG718" s="122"/>
      <c r="AH718" s="122"/>
    </row>
    <row r="719" ht="22.5" customHeight="1">
      <c r="A719" s="73"/>
      <c r="B719" s="73"/>
      <c r="C719" s="73"/>
      <c r="D719" s="73"/>
      <c r="E719" s="330"/>
      <c r="F719" s="118"/>
      <c r="G719" s="118"/>
      <c r="H719" s="118"/>
      <c r="I719" s="118"/>
      <c r="J719" s="119"/>
      <c r="K719" s="120"/>
      <c r="L719" s="120"/>
      <c r="M719" s="120"/>
      <c r="N719" s="120"/>
      <c r="O719" s="118"/>
      <c r="P719" s="120"/>
      <c r="Q719" s="121"/>
      <c r="R719" s="109" t="b">
        <v>0</v>
      </c>
      <c r="S719" s="143"/>
      <c r="T719" s="110"/>
      <c r="U719" s="118"/>
      <c r="V719" s="118"/>
      <c r="W719" s="118"/>
      <c r="X719" s="118"/>
      <c r="Y719" s="118"/>
      <c r="Z719" s="118"/>
      <c r="AA719" s="118"/>
      <c r="AB719" s="118"/>
      <c r="AC719" s="118"/>
      <c r="AD719" s="111"/>
      <c r="AE719" s="122"/>
      <c r="AF719" s="122"/>
      <c r="AG719" s="122"/>
      <c r="AH719" s="122"/>
    </row>
    <row r="720" ht="22.5" customHeight="1">
      <c r="A720" s="73"/>
      <c r="B720" s="73"/>
      <c r="C720" s="73"/>
      <c r="D720" s="73"/>
      <c r="E720" s="330"/>
      <c r="F720" s="118"/>
      <c r="G720" s="118"/>
      <c r="H720" s="118"/>
      <c r="I720" s="118"/>
      <c r="J720" s="119"/>
      <c r="K720" s="120"/>
      <c r="L720" s="120"/>
      <c r="M720" s="120"/>
      <c r="N720" s="120"/>
      <c r="O720" s="118"/>
      <c r="P720" s="120"/>
      <c r="Q720" s="121"/>
      <c r="R720" s="109" t="b">
        <v>0</v>
      </c>
      <c r="S720" s="143"/>
      <c r="T720" s="110"/>
      <c r="U720" s="118"/>
      <c r="V720" s="118"/>
      <c r="W720" s="118"/>
      <c r="X720" s="118"/>
      <c r="Y720" s="118"/>
      <c r="Z720" s="118"/>
      <c r="AA720" s="118"/>
      <c r="AB720" s="118"/>
      <c r="AC720" s="118"/>
      <c r="AD720" s="111"/>
      <c r="AE720" s="122"/>
      <c r="AF720" s="122"/>
      <c r="AG720" s="122"/>
      <c r="AH720" s="122"/>
    </row>
    <row r="721" ht="22.5" customHeight="1">
      <c r="A721" s="73"/>
      <c r="B721" s="73"/>
      <c r="C721" s="73"/>
      <c r="D721" s="73"/>
      <c r="E721" s="330"/>
      <c r="F721" s="118"/>
      <c r="G721" s="118"/>
      <c r="H721" s="118"/>
      <c r="I721" s="118"/>
      <c r="J721" s="119"/>
      <c r="K721" s="120"/>
      <c r="L721" s="120"/>
      <c r="M721" s="120"/>
      <c r="N721" s="120"/>
      <c r="O721" s="118"/>
      <c r="P721" s="120"/>
      <c r="Q721" s="121"/>
      <c r="R721" s="109" t="b">
        <v>0</v>
      </c>
      <c r="S721" s="143"/>
      <c r="T721" s="110"/>
      <c r="U721" s="118"/>
      <c r="V721" s="118"/>
      <c r="W721" s="118"/>
      <c r="X721" s="118"/>
      <c r="Y721" s="118"/>
      <c r="Z721" s="118"/>
      <c r="AA721" s="118"/>
      <c r="AB721" s="118"/>
      <c r="AC721" s="118"/>
      <c r="AD721" s="111"/>
      <c r="AE721" s="122"/>
      <c r="AF721" s="122"/>
      <c r="AG721" s="122"/>
      <c r="AH721" s="122"/>
    </row>
    <row r="722" ht="22.5" customHeight="1">
      <c r="A722" s="73"/>
      <c r="B722" s="73"/>
      <c r="C722" s="73"/>
      <c r="D722" s="73"/>
      <c r="E722" s="330"/>
      <c r="F722" s="118"/>
      <c r="G722" s="118"/>
      <c r="H722" s="118"/>
      <c r="I722" s="118"/>
      <c r="J722" s="119"/>
      <c r="K722" s="120"/>
      <c r="L722" s="120"/>
      <c r="M722" s="120"/>
      <c r="N722" s="120"/>
      <c r="O722" s="118"/>
      <c r="P722" s="120"/>
      <c r="Q722" s="121"/>
      <c r="R722" s="109" t="b">
        <v>0</v>
      </c>
      <c r="S722" s="143"/>
      <c r="T722" s="110"/>
      <c r="U722" s="118"/>
      <c r="V722" s="118"/>
      <c r="W722" s="118"/>
      <c r="X722" s="118"/>
      <c r="Y722" s="118"/>
      <c r="Z722" s="118"/>
      <c r="AA722" s="118"/>
      <c r="AB722" s="118"/>
      <c r="AC722" s="118"/>
      <c r="AD722" s="111"/>
      <c r="AE722" s="122"/>
      <c r="AF722" s="122"/>
      <c r="AG722" s="122"/>
      <c r="AH722" s="122"/>
    </row>
    <row r="723" ht="22.5" customHeight="1">
      <c r="A723" s="73"/>
      <c r="B723" s="73"/>
      <c r="C723" s="73"/>
      <c r="D723" s="73"/>
      <c r="E723" s="330"/>
      <c r="F723" s="118"/>
      <c r="G723" s="118"/>
      <c r="H723" s="118"/>
      <c r="I723" s="118"/>
      <c r="J723" s="119"/>
      <c r="K723" s="120"/>
      <c r="L723" s="120"/>
      <c r="M723" s="120"/>
      <c r="N723" s="120"/>
      <c r="O723" s="118"/>
      <c r="P723" s="120"/>
      <c r="Q723" s="121"/>
      <c r="R723" s="109" t="b">
        <v>0</v>
      </c>
      <c r="S723" s="143"/>
      <c r="T723" s="110"/>
      <c r="U723" s="118"/>
      <c r="V723" s="118"/>
      <c r="W723" s="118"/>
      <c r="X723" s="118"/>
      <c r="Y723" s="118"/>
      <c r="Z723" s="118"/>
      <c r="AA723" s="118"/>
      <c r="AB723" s="118"/>
      <c r="AC723" s="118"/>
      <c r="AD723" s="111"/>
      <c r="AE723" s="122"/>
      <c r="AF723" s="122"/>
      <c r="AG723" s="122"/>
      <c r="AH723" s="122"/>
    </row>
    <row r="724" ht="22.5" customHeight="1">
      <c r="A724" s="73"/>
      <c r="B724" s="73"/>
      <c r="C724" s="73"/>
      <c r="D724" s="73"/>
      <c r="E724" s="330"/>
      <c r="F724" s="118"/>
      <c r="G724" s="118"/>
      <c r="H724" s="118"/>
      <c r="I724" s="118"/>
      <c r="J724" s="119"/>
      <c r="K724" s="120"/>
      <c r="L724" s="120"/>
      <c r="M724" s="120"/>
      <c r="N724" s="120"/>
      <c r="O724" s="118"/>
      <c r="P724" s="120"/>
      <c r="Q724" s="121"/>
      <c r="R724" s="109" t="b">
        <v>0</v>
      </c>
      <c r="S724" s="143"/>
      <c r="T724" s="110"/>
      <c r="U724" s="118"/>
      <c r="V724" s="118"/>
      <c r="W724" s="118"/>
      <c r="X724" s="118"/>
      <c r="Y724" s="118"/>
      <c r="Z724" s="118"/>
      <c r="AA724" s="118"/>
      <c r="AB724" s="118"/>
      <c r="AC724" s="118"/>
      <c r="AD724" s="111"/>
      <c r="AE724" s="122"/>
      <c r="AF724" s="122"/>
      <c r="AG724" s="122"/>
      <c r="AH724" s="122"/>
    </row>
    <row r="725" ht="22.5" customHeight="1">
      <c r="A725" s="73"/>
      <c r="B725" s="73"/>
      <c r="C725" s="73"/>
      <c r="D725" s="73"/>
      <c r="E725" s="330"/>
      <c r="F725" s="118"/>
      <c r="G725" s="118"/>
      <c r="H725" s="118"/>
      <c r="I725" s="118"/>
      <c r="J725" s="119"/>
      <c r="K725" s="120"/>
      <c r="L725" s="120"/>
      <c r="M725" s="120"/>
      <c r="N725" s="120"/>
      <c r="O725" s="118"/>
      <c r="P725" s="120"/>
      <c r="Q725" s="121"/>
      <c r="R725" s="109" t="b">
        <v>0</v>
      </c>
      <c r="S725" s="143"/>
      <c r="T725" s="110"/>
      <c r="U725" s="118"/>
      <c r="V725" s="118"/>
      <c r="W725" s="118"/>
      <c r="X725" s="118"/>
      <c r="Y725" s="118"/>
      <c r="Z725" s="118"/>
      <c r="AA725" s="118"/>
      <c r="AB725" s="118"/>
      <c r="AC725" s="118"/>
      <c r="AD725" s="111"/>
      <c r="AE725" s="122"/>
      <c r="AF725" s="122"/>
      <c r="AG725" s="122"/>
      <c r="AH725" s="122"/>
    </row>
    <row r="726" ht="22.5" customHeight="1">
      <c r="A726" s="73"/>
      <c r="B726" s="73"/>
      <c r="C726" s="73"/>
      <c r="D726" s="73"/>
      <c r="E726" s="330"/>
      <c r="F726" s="118"/>
      <c r="G726" s="118"/>
      <c r="H726" s="118"/>
      <c r="I726" s="118"/>
      <c r="J726" s="119"/>
      <c r="K726" s="120"/>
      <c r="L726" s="120"/>
      <c r="M726" s="120"/>
      <c r="N726" s="120"/>
      <c r="O726" s="118"/>
      <c r="P726" s="120"/>
      <c r="Q726" s="121"/>
      <c r="R726" s="109" t="b">
        <v>0</v>
      </c>
      <c r="S726" s="143"/>
      <c r="T726" s="110"/>
      <c r="U726" s="118"/>
      <c r="V726" s="118"/>
      <c r="W726" s="118"/>
      <c r="X726" s="118"/>
      <c r="Y726" s="118"/>
      <c r="Z726" s="118"/>
      <c r="AA726" s="118"/>
      <c r="AB726" s="118"/>
      <c r="AC726" s="118"/>
      <c r="AD726" s="111"/>
      <c r="AE726" s="122"/>
      <c r="AF726" s="122"/>
      <c r="AG726" s="122"/>
      <c r="AH726" s="122"/>
    </row>
    <row r="727" ht="22.5" customHeight="1">
      <c r="A727" s="73"/>
      <c r="B727" s="73"/>
      <c r="C727" s="73"/>
      <c r="D727" s="73"/>
      <c r="E727" s="330"/>
      <c r="F727" s="118"/>
      <c r="G727" s="118"/>
      <c r="H727" s="118"/>
      <c r="I727" s="118"/>
      <c r="J727" s="119"/>
      <c r="K727" s="120"/>
      <c r="L727" s="120"/>
      <c r="M727" s="120"/>
      <c r="N727" s="120"/>
      <c r="O727" s="118"/>
      <c r="P727" s="120"/>
      <c r="Q727" s="121"/>
      <c r="R727" s="109" t="b">
        <v>0</v>
      </c>
      <c r="S727" s="143"/>
      <c r="T727" s="110"/>
      <c r="U727" s="118"/>
      <c r="V727" s="118"/>
      <c r="W727" s="118"/>
      <c r="X727" s="118"/>
      <c r="Y727" s="118"/>
      <c r="Z727" s="118"/>
      <c r="AA727" s="118"/>
      <c r="AB727" s="118"/>
      <c r="AC727" s="118"/>
      <c r="AD727" s="111"/>
      <c r="AE727" s="122"/>
      <c r="AF727" s="122"/>
      <c r="AG727" s="122"/>
      <c r="AH727" s="122"/>
    </row>
    <row r="728" ht="22.5" customHeight="1">
      <c r="A728" s="73"/>
      <c r="B728" s="73"/>
      <c r="C728" s="73"/>
      <c r="D728" s="73"/>
      <c r="E728" s="330"/>
      <c r="F728" s="118"/>
      <c r="G728" s="118"/>
      <c r="H728" s="118"/>
      <c r="I728" s="118"/>
      <c r="J728" s="119"/>
      <c r="K728" s="120"/>
      <c r="L728" s="120"/>
      <c r="M728" s="120"/>
      <c r="N728" s="120"/>
      <c r="O728" s="118"/>
      <c r="P728" s="120"/>
      <c r="Q728" s="121"/>
      <c r="R728" s="109" t="b">
        <v>0</v>
      </c>
      <c r="S728" s="143"/>
      <c r="T728" s="110"/>
      <c r="U728" s="118"/>
      <c r="V728" s="118"/>
      <c r="W728" s="118"/>
      <c r="X728" s="118"/>
      <c r="Y728" s="118"/>
      <c r="Z728" s="118"/>
      <c r="AA728" s="118"/>
      <c r="AB728" s="118"/>
      <c r="AC728" s="118"/>
      <c r="AD728" s="111"/>
      <c r="AE728" s="122"/>
      <c r="AF728" s="122"/>
      <c r="AG728" s="122"/>
      <c r="AH728" s="122"/>
    </row>
    <row r="729" ht="22.5" customHeight="1">
      <c r="A729" s="73"/>
      <c r="B729" s="73"/>
      <c r="C729" s="73"/>
      <c r="D729" s="73"/>
      <c r="E729" s="330"/>
      <c r="F729" s="118"/>
      <c r="G729" s="118"/>
      <c r="H729" s="118"/>
      <c r="I729" s="118"/>
      <c r="J729" s="119"/>
      <c r="K729" s="120"/>
      <c r="L729" s="120"/>
      <c r="M729" s="120"/>
      <c r="N729" s="120"/>
      <c r="O729" s="118"/>
      <c r="P729" s="120"/>
      <c r="Q729" s="121"/>
      <c r="R729" s="109" t="b">
        <v>0</v>
      </c>
      <c r="S729" s="143"/>
      <c r="T729" s="110"/>
      <c r="U729" s="118"/>
      <c r="V729" s="118"/>
      <c r="W729" s="118"/>
      <c r="X729" s="118"/>
      <c r="Y729" s="118"/>
      <c r="Z729" s="118"/>
      <c r="AA729" s="118"/>
      <c r="AB729" s="118"/>
      <c r="AC729" s="118"/>
      <c r="AD729" s="111"/>
      <c r="AE729" s="122"/>
      <c r="AF729" s="122"/>
      <c r="AG729" s="122"/>
      <c r="AH729" s="122"/>
    </row>
    <row r="730" ht="22.5" customHeight="1">
      <c r="A730" s="73"/>
      <c r="B730" s="73"/>
      <c r="C730" s="73"/>
      <c r="D730" s="73"/>
      <c r="E730" s="330"/>
      <c r="F730" s="118"/>
      <c r="G730" s="118"/>
      <c r="H730" s="118"/>
      <c r="I730" s="118"/>
      <c r="J730" s="119"/>
      <c r="K730" s="120"/>
      <c r="L730" s="120"/>
      <c r="M730" s="120"/>
      <c r="N730" s="120"/>
      <c r="O730" s="118"/>
      <c r="P730" s="120"/>
      <c r="Q730" s="121"/>
      <c r="R730" s="109" t="b">
        <v>0</v>
      </c>
      <c r="S730" s="143"/>
      <c r="T730" s="110"/>
      <c r="U730" s="118"/>
      <c r="V730" s="118"/>
      <c r="W730" s="118"/>
      <c r="X730" s="118"/>
      <c r="Y730" s="118"/>
      <c r="Z730" s="118"/>
      <c r="AA730" s="118"/>
      <c r="AB730" s="118"/>
      <c r="AC730" s="118"/>
      <c r="AD730" s="111"/>
      <c r="AE730" s="122"/>
      <c r="AF730" s="122"/>
      <c r="AG730" s="122"/>
      <c r="AH730" s="122"/>
    </row>
    <row r="731" ht="22.5" customHeight="1">
      <c r="A731" s="73"/>
      <c r="B731" s="73"/>
      <c r="C731" s="73"/>
      <c r="D731" s="73"/>
      <c r="E731" s="330"/>
      <c r="F731" s="118"/>
      <c r="G731" s="118"/>
      <c r="H731" s="118"/>
      <c r="I731" s="118"/>
      <c r="J731" s="119"/>
      <c r="K731" s="120"/>
      <c r="L731" s="120"/>
      <c r="M731" s="120"/>
      <c r="N731" s="120"/>
      <c r="O731" s="118"/>
      <c r="P731" s="120"/>
      <c r="Q731" s="121"/>
      <c r="R731" s="109" t="b">
        <v>0</v>
      </c>
      <c r="S731" s="143"/>
      <c r="T731" s="110"/>
      <c r="U731" s="118"/>
      <c r="V731" s="118"/>
      <c r="W731" s="118"/>
      <c r="X731" s="118"/>
      <c r="Y731" s="118"/>
      <c r="Z731" s="118"/>
      <c r="AA731" s="118"/>
      <c r="AB731" s="118"/>
      <c r="AC731" s="118"/>
      <c r="AD731" s="111"/>
      <c r="AE731" s="122"/>
      <c r="AF731" s="122"/>
      <c r="AG731" s="122"/>
      <c r="AH731" s="122"/>
    </row>
    <row r="732" ht="22.5" customHeight="1">
      <c r="A732" s="73"/>
      <c r="B732" s="73"/>
      <c r="C732" s="73"/>
      <c r="D732" s="73"/>
      <c r="E732" s="330"/>
      <c r="F732" s="118"/>
      <c r="G732" s="118"/>
      <c r="H732" s="118"/>
      <c r="I732" s="118"/>
      <c r="J732" s="119"/>
      <c r="K732" s="120"/>
      <c r="L732" s="120"/>
      <c r="M732" s="120"/>
      <c r="N732" s="120"/>
      <c r="O732" s="118"/>
      <c r="P732" s="120"/>
      <c r="Q732" s="121"/>
      <c r="R732" s="109" t="b">
        <v>0</v>
      </c>
      <c r="S732" s="143"/>
      <c r="T732" s="110"/>
      <c r="U732" s="118"/>
      <c r="V732" s="118"/>
      <c r="W732" s="118"/>
      <c r="X732" s="118"/>
      <c r="Y732" s="118"/>
      <c r="Z732" s="118"/>
      <c r="AA732" s="118"/>
      <c r="AB732" s="118"/>
      <c r="AC732" s="118"/>
      <c r="AD732" s="111"/>
      <c r="AE732" s="122"/>
      <c r="AF732" s="122"/>
      <c r="AG732" s="122"/>
      <c r="AH732" s="122"/>
    </row>
    <row r="733" ht="22.5" customHeight="1">
      <c r="A733" s="73"/>
      <c r="B733" s="73"/>
      <c r="C733" s="73"/>
      <c r="D733" s="73"/>
      <c r="E733" s="330"/>
      <c r="F733" s="118"/>
      <c r="G733" s="118"/>
      <c r="H733" s="118"/>
      <c r="I733" s="118"/>
      <c r="J733" s="119"/>
      <c r="K733" s="120"/>
      <c r="L733" s="120"/>
      <c r="M733" s="120"/>
      <c r="N733" s="120"/>
      <c r="O733" s="118"/>
      <c r="P733" s="120"/>
      <c r="Q733" s="121"/>
      <c r="R733" s="109" t="b">
        <v>0</v>
      </c>
      <c r="S733" s="143"/>
      <c r="T733" s="110"/>
      <c r="U733" s="118"/>
      <c r="V733" s="118"/>
      <c r="W733" s="118"/>
      <c r="X733" s="118"/>
      <c r="Y733" s="118"/>
      <c r="Z733" s="118"/>
      <c r="AA733" s="118"/>
      <c r="AB733" s="118"/>
      <c r="AC733" s="118"/>
      <c r="AD733" s="111"/>
      <c r="AE733" s="122"/>
      <c r="AF733" s="122"/>
      <c r="AG733" s="122"/>
      <c r="AH733" s="122"/>
    </row>
    <row r="734" ht="22.5" customHeight="1">
      <c r="A734" s="73"/>
      <c r="B734" s="73"/>
      <c r="C734" s="73"/>
      <c r="D734" s="73"/>
      <c r="E734" s="330"/>
      <c r="F734" s="118"/>
      <c r="G734" s="118"/>
      <c r="H734" s="118"/>
      <c r="I734" s="118"/>
      <c r="J734" s="119"/>
      <c r="K734" s="120"/>
      <c r="L734" s="120"/>
      <c r="M734" s="120"/>
      <c r="N734" s="120"/>
      <c r="O734" s="118"/>
      <c r="P734" s="120"/>
      <c r="Q734" s="121"/>
      <c r="R734" s="109" t="b">
        <v>0</v>
      </c>
      <c r="S734" s="143"/>
      <c r="T734" s="110"/>
      <c r="U734" s="118"/>
      <c r="V734" s="118"/>
      <c r="W734" s="118"/>
      <c r="X734" s="118"/>
      <c r="Y734" s="118"/>
      <c r="Z734" s="118"/>
      <c r="AA734" s="118"/>
      <c r="AB734" s="118"/>
      <c r="AC734" s="118"/>
      <c r="AD734" s="111"/>
      <c r="AE734" s="122"/>
      <c r="AF734" s="122"/>
      <c r="AG734" s="122"/>
      <c r="AH734" s="122"/>
    </row>
    <row r="735" ht="22.5" customHeight="1">
      <c r="A735" s="73"/>
      <c r="B735" s="73"/>
      <c r="C735" s="73"/>
      <c r="D735" s="73"/>
      <c r="E735" s="330"/>
      <c r="F735" s="118"/>
      <c r="G735" s="118"/>
      <c r="H735" s="118"/>
      <c r="I735" s="118"/>
      <c r="J735" s="119"/>
      <c r="K735" s="120"/>
      <c r="L735" s="120"/>
      <c r="M735" s="120"/>
      <c r="N735" s="120"/>
      <c r="O735" s="118"/>
      <c r="P735" s="120"/>
      <c r="Q735" s="121"/>
      <c r="R735" s="109" t="b">
        <v>0</v>
      </c>
      <c r="S735" s="143"/>
      <c r="T735" s="110"/>
      <c r="U735" s="118"/>
      <c r="V735" s="118"/>
      <c r="W735" s="118"/>
      <c r="X735" s="118"/>
      <c r="Y735" s="118"/>
      <c r="Z735" s="118"/>
      <c r="AA735" s="118"/>
      <c r="AB735" s="118"/>
      <c r="AC735" s="118"/>
      <c r="AD735" s="111"/>
      <c r="AE735" s="122"/>
      <c r="AF735" s="122"/>
      <c r="AG735" s="122"/>
      <c r="AH735" s="122"/>
    </row>
    <row r="736" ht="22.5" customHeight="1">
      <c r="A736" s="73"/>
      <c r="B736" s="73"/>
      <c r="C736" s="73"/>
      <c r="D736" s="73"/>
      <c r="E736" s="330"/>
      <c r="F736" s="118"/>
      <c r="G736" s="118"/>
      <c r="H736" s="118"/>
      <c r="I736" s="118"/>
      <c r="J736" s="119"/>
      <c r="K736" s="120"/>
      <c r="L736" s="120"/>
      <c r="M736" s="120"/>
      <c r="N736" s="120"/>
      <c r="O736" s="118"/>
      <c r="P736" s="120"/>
      <c r="Q736" s="121"/>
      <c r="R736" s="109" t="b">
        <v>0</v>
      </c>
      <c r="S736" s="143"/>
      <c r="T736" s="110"/>
      <c r="U736" s="118"/>
      <c r="V736" s="118"/>
      <c r="W736" s="118"/>
      <c r="X736" s="118"/>
      <c r="Y736" s="118"/>
      <c r="Z736" s="118"/>
      <c r="AA736" s="118"/>
      <c r="AB736" s="118"/>
      <c r="AC736" s="118"/>
      <c r="AD736" s="111"/>
      <c r="AE736" s="122"/>
      <c r="AF736" s="122"/>
      <c r="AG736" s="122"/>
      <c r="AH736" s="122"/>
    </row>
    <row r="737" ht="22.5" customHeight="1">
      <c r="A737" s="73"/>
      <c r="B737" s="73"/>
      <c r="C737" s="73"/>
      <c r="D737" s="73"/>
      <c r="E737" s="330"/>
      <c r="F737" s="118"/>
      <c r="G737" s="118"/>
      <c r="H737" s="118"/>
      <c r="I737" s="118"/>
      <c r="J737" s="119"/>
      <c r="K737" s="120"/>
      <c r="L737" s="120"/>
      <c r="M737" s="120"/>
      <c r="N737" s="120"/>
      <c r="O737" s="118"/>
      <c r="P737" s="120"/>
      <c r="Q737" s="121"/>
      <c r="R737" s="109" t="b">
        <v>0</v>
      </c>
      <c r="S737" s="143"/>
      <c r="T737" s="110"/>
      <c r="U737" s="118"/>
      <c r="V737" s="118"/>
      <c r="W737" s="118"/>
      <c r="X737" s="118"/>
      <c r="Y737" s="118"/>
      <c r="Z737" s="118"/>
      <c r="AA737" s="118"/>
      <c r="AB737" s="118"/>
      <c r="AC737" s="118"/>
      <c r="AD737" s="111"/>
      <c r="AE737" s="122"/>
      <c r="AF737" s="122"/>
      <c r="AG737" s="122"/>
      <c r="AH737" s="122"/>
    </row>
    <row r="738" ht="22.5" customHeight="1">
      <c r="A738" s="73"/>
      <c r="B738" s="73"/>
      <c r="C738" s="73"/>
      <c r="D738" s="73"/>
      <c r="E738" s="330"/>
      <c r="F738" s="118"/>
      <c r="G738" s="118"/>
      <c r="H738" s="118"/>
      <c r="I738" s="118"/>
      <c r="J738" s="119"/>
      <c r="K738" s="120"/>
      <c r="L738" s="120"/>
      <c r="M738" s="120"/>
      <c r="N738" s="120"/>
      <c r="O738" s="118"/>
      <c r="P738" s="120"/>
      <c r="Q738" s="121"/>
      <c r="R738" s="109" t="b">
        <v>0</v>
      </c>
      <c r="S738" s="143"/>
      <c r="T738" s="110"/>
      <c r="U738" s="118"/>
      <c r="V738" s="118"/>
      <c r="W738" s="118"/>
      <c r="X738" s="118"/>
      <c r="Y738" s="118"/>
      <c r="Z738" s="118"/>
      <c r="AA738" s="118"/>
      <c r="AB738" s="118"/>
      <c r="AC738" s="118"/>
      <c r="AD738" s="111"/>
      <c r="AE738" s="122"/>
      <c r="AF738" s="122"/>
      <c r="AG738" s="122"/>
      <c r="AH738" s="122"/>
    </row>
    <row r="739" ht="22.5" customHeight="1">
      <c r="A739" s="73"/>
      <c r="B739" s="73"/>
      <c r="C739" s="73"/>
      <c r="D739" s="73"/>
      <c r="E739" s="330"/>
      <c r="F739" s="118"/>
      <c r="G739" s="118"/>
      <c r="H739" s="118"/>
      <c r="I739" s="118"/>
      <c r="J739" s="119"/>
      <c r="K739" s="120"/>
      <c r="L739" s="120"/>
      <c r="M739" s="120"/>
      <c r="N739" s="120"/>
      <c r="O739" s="118"/>
      <c r="P739" s="120"/>
      <c r="Q739" s="121"/>
      <c r="R739" s="109" t="b">
        <v>0</v>
      </c>
      <c r="S739" s="143"/>
      <c r="T739" s="110"/>
      <c r="U739" s="118"/>
      <c r="V739" s="118"/>
      <c r="W739" s="118"/>
      <c r="X739" s="118"/>
      <c r="Y739" s="118"/>
      <c r="Z739" s="118"/>
      <c r="AA739" s="118"/>
      <c r="AB739" s="118"/>
      <c r="AC739" s="118"/>
      <c r="AD739" s="111"/>
      <c r="AE739" s="122"/>
      <c r="AF739" s="122"/>
      <c r="AG739" s="122"/>
      <c r="AH739" s="122"/>
    </row>
    <row r="740" ht="22.5" customHeight="1">
      <c r="A740" s="73"/>
      <c r="B740" s="73"/>
      <c r="C740" s="73"/>
      <c r="D740" s="73"/>
      <c r="E740" s="330"/>
      <c r="F740" s="118"/>
      <c r="G740" s="118"/>
      <c r="H740" s="118"/>
      <c r="I740" s="118"/>
      <c r="J740" s="119"/>
      <c r="K740" s="120"/>
      <c r="L740" s="120"/>
      <c r="M740" s="120"/>
      <c r="N740" s="120"/>
      <c r="O740" s="118"/>
      <c r="P740" s="120"/>
      <c r="Q740" s="121"/>
      <c r="R740" s="109" t="b">
        <v>0</v>
      </c>
      <c r="S740" s="143"/>
      <c r="T740" s="110"/>
      <c r="U740" s="118"/>
      <c r="V740" s="118"/>
      <c r="W740" s="118"/>
      <c r="X740" s="118"/>
      <c r="Y740" s="118"/>
      <c r="Z740" s="118"/>
      <c r="AA740" s="118"/>
      <c r="AB740" s="118"/>
      <c r="AC740" s="118"/>
      <c r="AD740" s="111"/>
      <c r="AE740" s="122"/>
      <c r="AF740" s="122"/>
      <c r="AG740" s="122"/>
      <c r="AH740" s="122"/>
    </row>
    <row r="741" ht="22.5" customHeight="1">
      <c r="A741" s="73"/>
      <c r="B741" s="73"/>
      <c r="C741" s="73"/>
      <c r="D741" s="73"/>
      <c r="E741" s="330"/>
      <c r="F741" s="118"/>
      <c r="G741" s="118"/>
      <c r="H741" s="118"/>
      <c r="I741" s="118"/>
      <c r="J741" s="119"/>
      <c r="K741" s="120"/>
      <c r="L741" s="120"/>
      <c r="M741" s="120"/>
      <c r="N741" s="120"/>
      <c r="O741" s="118"/>
      <c r="P741" s="120"/>
      <c r="Q741" s="121"/>
      <c r="R741" s="109" t="b">
        <v>0</v>
      </c>
      <c r="S741" s="143"/>
      <c r="T741" s="110"/>
      <c r="U741" s="118"/>
      <c r="V741" s="118"/>
      <c r="W741" s="118"/>
      <c r="X741" s="118"/>
      <c r="Y741" s="118"/>
      <c r="Z741" s="118"/>
      <c r="AA741" s="118"/>
      <c r="AB741" s="118"/>
      <c r="AC741" s="118"/>
      <c r="AD741" s="111"/>
      <c r="AE741" s="122"/>
      <c r="AF741" s="122"/>
      <c r="AG741" s="122"/>
      <c r="AH741" s="122"/>
    </row>
    <row r="742" ht="22.5" customHeight="1">
      <c r="A742" s="73"/>
      <c r="B742" s="73"/>
      <c r="C742" s="73"/>
      <c r="D742" s="73"/>
      <c r="E742" s="330"/>
      <c r="F742" s="118"/>
      <c r="G742" s="118"/>
      <c r="H742" s="118"/>
      <c r="I742" s="118"/>
      <c r="J742" s="119"/>
      <c r="K742" s="120"/>
      <c r="L742" s="120"/>
      <c r="M742" s="120"/>
      <c r="N742" s="120"/>
      <c r="O742" s="118"/>
      <c r="P742" s="120"/>
      <c r="Q742" s="121"/>
      <c r="R742" s="109" t="b">
        <v>0</v>
      </c>
      <c r="S742" s="143"/>
      <c r="T742" s="110"/>
      <c r="U742" s="118"/>
      <c r="V742" s="118"/>
      <c r="W742" s="118"/>
      <c r="X742" s="118"/>
      <c r="Y742" s="118"/>
      <c r="Z742" s="118"/>
      <c r="AA742" s="118"/>
      <c r="AB742" s="118"/>
      <c r="AC742" s="118"/>
      <c r="AD742" s="111"/>
      <c r="AE742" s="122"/>
      <c r="AF742" s="122"/>
      <c r="AG742" s="122"/>
      <c r="AH742" s="122"/>
    </row>
    <row r="743" ht="22.5" customHeight="1">
      <c r="A743" s="73"/>
      <c r="B743" s="73"/>
      <c r="C743" s="73"/>
      <c r="D743" s="73"/>
      <c r="E743" s="330"/>
      <c r="F743" s="118"/>
      <c r="G743" s="118"/>
      <c r="H743" s="118"/>
      <c r="I743" s="118"/>
      <c r="J743" s="119"/>
      <c r="K743" s="120"/>
      <c r="L743" s="120"/>
      <c r="M743" s="120"/>
      <c r="N743" s="120"/>
      <c r="O743" s="118"/>
      <c r="P743" s="120"/>
      <c r="Q743" s="121"/>
      <c r="R743" s="109" t="b">
        <v>0</v>
      </c>
      <c r="S743" s="143"/>
      <c r="T743" s="110"/>
      <c r="U743" s="118"/>
      <c r="V743" s="118"/>
      <c r="W743" s="118"/>
      <c r="X743" s="118"/>
      <c r="Y743" s="118"/>
      <c r="Z743" s="118"/>
      <c r="AA743" s="118"/>
      <c r="AB743" s="118"/>
      <c r="AC743" s="118"/>
      <c r="AD743" s="111"/>
      <c r="AE743" s="122"/>
      <c r="AF743" s="122"/>
      <c r="AG743" s="122"/>
      <c r="AH743" s="122"/>
    </row>
    <row r="744" ht="22.5" customHeight="1">
      <c r="A744" s="73"/>
      <c r="B744" s="73"/>
      <c r="C744" s="73"/>
      <c r="D744" s="73"/>
      <c r="E744" s="330"/>
      <c r="F744" s="118"/>
      <c r="G744" s="118"/>
      <c r="H744" s="118"/>
      <c r="I744" s="118"/>
      <c r="J744" s="119"/>
      <c r="K744" s="120"/>
      <c r="L744" s="120"/>
      <c r="M744" s="120"/>
      <c r="N744" s="120"/>
      <c r="O744" s="118"/>
      <c r="P744" s="120"/>
      <c r="Q744" s="121"/>
      <c r="R744" s="109" t="b">
        <v>0</v>
      </c>
      <c r="S744" s="143"/>
      <c r="T744" s="110"/>
      <c r="U744" s="118"/>
      <c r="V744" s="118"/>
      <c r="W744" s="118"/>
      <c r="X744" s="118"/>
      <c r="Y744" s="118"/>
      <c r="Z744" s="118"/>
      <c r="AA744" s="118"/>
      <c r="AB744" s="118"/>
      <c r="AC744" s="118"/>
      <c r="AD744" s="111"/>
      <c r="AE744" s="122"/>
      <c r="AF744" s="122"/>
      <c r="AG744" s="122"/>
      <c r="AH744" s="122"/>
    </row>
    <row r="745" ht="22.5" customHeight="1">
      <c r="A745" s="73"/>
      <c r="B745" s="73"/>
      <c r="C745" s="73"/>
      <c r="D745" s="73"/>
      <c r="E745" s="330"/>
      <c r="F745" s="118"/>
      <c r="G745" s="118"/>
      <c r="H745" s="118"/>
      <c r="I745" s="118"/>
      <c r="J745" s="119"/>
      <c r="K745" s="120"/>
      <c r="L745" s="120"/>
      <c r="M745" s="120"/>
      <c r="N745" s="120"/>
      <c r="O745" s="118"/>
      <c r="P745" s="120"/>
      <c r="Q745" s="121"/>
      <c r="R745" s="109" t="b">
        <v>0</v>
      </c>
      <c r="S745" s="143"/>
      <c r="T745" s="110"/>
      <c r="U745" s="118"/>
      <c r="V745" s="118"/>
      <c r="W745" s="118"/>
      <c r="X745" s="118"/>
      <c r="Y745" s="118"/>
      <c r="Z745" s="118"/>
      <c r="AA745" s="118"/>
      <c r="AB745" s="118"/>
      <c r="AC745" s="118"/>
      <c r="AD745" s="111"/>
      <c r="AE745" s="122"/>
      <c r="AF745" s="122"/>
      <c r="AG745" s="122"/>
      <c r="AH745" s="122"/>
    </row>
    <row r="746" ht="22.5" customHeight="1">
      <c r="A746" s="73"/>
      <c r="B746" s="73"/>
      <c r="C746" s="73"/>
      <c r="D746" s="73"/>
      <c r="E746" s="330"/>
      <c r="F746" s="118"/>
      <c r="G746" s="118"/>
      <c r="H746" s="118"/>
      <c r="I746" s="118"/>
      <c r="J746" s="119"/>
      <c r="K746" s="120"/>
      <c r="L746" s="120"/>
      <c r="M746" s="120"/>
      <c r="N746" s="120"/>
      <c r="O746" s="118"/>
      <c r="P746" s="120"/>
      <c r="Q746" s="121"/>
      <c r="R746" s="109" t="b">
        <v>0</v>
      </c>
      <c r="S746" s="143"/>
      <c r="T746" s="110"/>
      <c r="U746" s="118"/>
      <c r="V746" s="118"/>
      <c r="W746" s="118"/>
      <c r="X746" s="118"/>
      <c r="Y746" s="118"/>
      <c r="Z746" s="118"/>
      <c r="AA746" s="118"/>
      <c r="AB746" s="118"/>
      <c r="AC746" s="118"/>
      <c r="AD746" s="111"/>
      <c r="AE746" s="122"/>
      <c r="AF746" s="122"/>
      <c r="AG746" s="122"/>
      <c r="AH746" s="122"/>
    </row>
    <row r="747" ht="22.5" customHeight="1">
      <c r="A747" s="73"/>
      <c r="B747" s="73"/>
      <c r="C747" s="73"/>
      <c r="D747" s="73"/>
      <c r="E747" s="330"/>
      <c r="F747" s="118"/>
      <c r="G747" s="118"/>
      <c r="H747" s="118"/>
      <c r="I747" s="118"/>
      <c r="J747" s="119"/>
      <c r="K747" s="120"/>
      <c r="L747" s="120"/>
      <c r="M747" s="120"/>
      <c r="N747" s="120"/>
      <c r="O747" s="118"/>
      <c r="P747" s="120"/>
      <c r="Q747" s="121"/>
      <c r="R747" s="109" t="b">
        <v>0</v>
      </c>
      <c r="S747" s="143"/>
      <c r="T747" s="110"/>
      <c r="U747" s="118"/>
      <c r="V747" s="118"/>
      <c r="W747" s="118"/>
      <c r="X747" s="118"/>
      <c r="Y747" s="118"/>
      <c r="Z747" s="118"/>
      <c r="AA747" s="118"/>
      <c r="AB747" s="118"/>
      <c r="AC747" s="118"/>
      <c r="AD747" s="111"/>
      <c r="AE747" s="122"/>
      <c r="AF747" s="122"/>
      <c r="AG747" s="122"/>
      <c r="AH747" s="122"/>
    </row>
    <row r="748" ht="22.5" customHeight="1">
      <c r="A748" s="73"/>
      <c r="B748" s="73"/>
      <c r="C748" s="73"/>
      <c r="D748" s="73"/>
      <c r="E748" s="330"/>
      <c r="F748" s="118"/>
      <c r="G748" s="118"/>
      <c r="H748" s="118"/>
      <c r="I748" s="118"/>
      <c r="J748" s="119"/>
      <c r="K748" s="120"/>
      <c r="L748" s="120"/>
      <c r="M748" s="120"/>
      <c r="N748" s="120"/>
      <c r="O748" s="118"/>
      <c r="P748" s="120"/>
      <c r="Q748" s="121"/>
      <c r="R748" s="109" t="b">
        <v>0</v>
      </c>
      <c r="S748" s="143"/>
      <c r="T748" s="110"/>
      <c r="U748" s="118"/>
      <c r="V748" s="118"/>
      <c r="W748" s="118"/>
      <c r="X748" s="118"/>
      <c r="Y748" s="118"/>
      <c r="Z748" s="118"/>
      <c r="AA748" s="118"/>
      <c r="AB748" s="118"/>
      <c r="AC748" s="118"/>
      <c r="AD748" s="111"/>
      <c r="AE748" s="122"/>
      <c r="AF748" s="122"/>
      <c r="AG748" s="122"/>
      <c r="AH748" s="122"/>
    </row>
    <row r="749" ht="22.5" customHeight="1">
      <c r="A749" s="73"/>
      <c r="B749" s="73"/>
      <c r="C749" s="73"/>
      <c r="D749" s="73"/>
      <c r="E749" s="330"/>
      <c r="F749" s="118"/>
      <c r="G749" s="118"/>
      <c r="H749" s="118"/>
      <c r="I749" s="118"/>
      <c r="J749" s="119"/>
      <c r="K749" s="120"/>
      <c r="L749" s="120"/>
      <c r="M749" s="120"/>
      <c r="N749" s="120"/>
      <c r="O749" s="118"/>
      <c r="P749" s="120"/>
      <c r="Q749" s="121"/>
      <c r="R749" s="109" t="b">
        <v>0</v>
      </c>
      <c r="S749" s="143"/>
      <c r="T749" s="110"/>
      <c r="U749" s="118"/>
      <c r="V749" s="118"/>
      <c r="W749" s="118"/>
      <c r="X749" s="118"/>
      <c r="Y749" s="118"/>
      <c r="Z749" s="118"/>
      <c r="AA749" s="118"/>
      <c r="AB749" s="118"/>
      <c r="AC749" s="118"/>
      <c r="AD749" s="111"/>
      <c r="AE749" s="122"/>
      <c r="AF749" s="122"/>
      <c r="AG749" s="122"/>
      <c r="AH749" s="122"/>
    </row>
    <row r="750" ht="22.5" customHeight="1">
      <c r="A750" s="73"/>
      <c r="B750" s="73"/>
      <c r="C750" s="73"/>
      <c r="D750" s="73"/>
      <c r="E750" s="330"/>
      <c r="F750" s="118"/>
      <c r="G750" s="118"/>
      <c r="H750" s="118"/>
      <c r="I750" s="118"/>
      <c r="J750" s="119"/>
      <c r="K750" s="120"/>
      <c r="L750" s="120"/>
      <c r="M750" s="120"/>
      <c r="N750" s="120"/>
      <c r="O750" s="118"/>
      <c r="P750" s="120"/>
      <c r="Q750" s="121"/>
      <c r="R750" s="109" t="b">
        <v>0</v>
      </c>
      <c r="S750" s="143"/>
      <c r="T750" s="110"/>
      <c r="U750" s="118"/>
      <c r="V750" s="118"/>
      <c r="W750" s="118"/>
      <c r="X750" s="118"/>
      <c r="Y750" s="118"/>
      <c r="Z750" s="118"/>
      <c r="AA750" s="118"/>
      <c r="AB750" s="118"/>
      <c r="AC750" s="118"/>
      <c r="AD750" s="111"/>
      <c r="AE750" s="122"/>
      <c r="AF750" s="122"/>
      <c r="AG750" s="122"/>
      <c r="AH750" s="122"/>
    </row>
    <row r="751" ht="22.5" customHeight="1">
      <c r="A751" s="73"/>
      <c r="B751" s="73"/>
      <c r="C751" s="73"/>
      <c r="D751" s="73"/>
      <c r="E751" s="330"/>
      <c r="F751" s="118"/>
      <c r="G751" s="118"/>
      <c r="H751" s="118"/>
      <c r="I751" s="118"/>
      <c r="J751" s="119"/>
      <c r="K751" s="120"/>
      <c r="L751" s="120"/>
      <c r="M751" s="120"/>
      <c r="N751" s="120"/>
      <c r="O751" s="118"/>
      <c r="P751" s="120"/>
      <c r="Q751" s="121"/>
      <c r="R751" s="109" t="b">
        <v>0</v>
      </c>
      <c r="S751" s="143"/>
      <c r="T751" s="110"/>
      <c r="U751" s="118"/>
      <c r="V751" s="118"/>
      <c r="W751" s="118"/>
      <c r="X751" s="118"/>
      <c r="Y751" s="118"/>
      <c r="Z751" s="118"/>
      <c r="AA751" s="118"/>
      <c r="AB751" s="118"/>
      <c r="AC751" s="118"/>
      <c r="AD751" s="111"/>
      <c r="AE751" s="122"/>
      <c r="AF751" s="122"/>
      <c r="AG751" s="122"/>
      <c r="AH751" s="122"/>
    </row>
    <row r="752" ht="22.5" customHeight="1">
      <c r="A752" s="73"/>
      <c r="B752" s="73"/>
      <c r="C752" s="73"/>
      <c r="D752" s="73"/>
      <c r="E752" s="330"/>
      <c r="F752" s="118"/>
      <c r="G752" s="118"/>
      <c r="H752" s="118"/>
      <c r="I752" s="118"/>
      <c r="J752" s="119"/>
      <c r="K752" s="120"/>
      <c r="L752" s="120"/>
      <c r="M752" s="120"/>
      <c r="N752" s="120"/>
      <c r="O752" s="118"/>
      <c r="P752" s="120"/>
      <c r="Q752" s="121"/>
      <c r="R752" s="109" t="b">
        <v>0</v>
      </c>
      <c r="S752" s="143"/>
      <c r="T752" s="110"/>
      <c r="U752" s="118"/>
      <c r="V752" s="118"/>
      <c r="W752" s="118"/>
      <c r="X752" s="118"/>
      <c r="Y752" s="118"/>
      <c r="Z752" s="118"/>
      <c r="AA752" s="118"/>
      <c r="AB752" s="118"/>
      <c r="AC752" s="118"/>
      <c r="AD752" s="111"/>
      <c r="AE752" s="122"/>
      <c r="AF752" s="122"/>
      <c r="AG752" s="122"/>
      <c r="AH752" s="122"/>
    </row>
    <row r="753" ht="22.5" customHeight="1">
      <c r="A753" s="73"/>
      <c r="B753" s="73"/>
      <c r="C753" s="73"/>
      <c r="D753" s="73"/>
      <c r="E753" s="330"/>
      <c r="F753" s="118"/>
      <c r="G753" s="118"/>
      <c r="H753" s="118"/>
      <c r="I753" s="118"/>
      <c r="J753" s="119"/>
      <c r="K753" s="120"/>
      <c r="L753" s="120"/>
      <c r="M753" s="120"/>
      <c r="N753" s="120"/>
      <c r="O753" s="118"/>
      <c r="P753" s="120"/>
      <c r="Q753" s="121"/>
      <c r="R753" s="109" t="b">
        <v>0</v>
      </c>
      <c r="S753" s="143"/>
      <c r="T753" s="110"/>
      <c r="U753" s="118"/>
      <c r="V753" s="118"/>
      <c r="W753" s="118"/>
      <c r="X753" s="118"/>
      <c r="Y753" s="118"/>
      <c r="Z753" s="118"/>
      <c r="AA753" s="118"/>
      <c r="AB753" s="118"/>
      <c r="AC753" s="118"/>
      <c r="AD753" s="111"/>
      <c r="AE753" s="122"/>
      <c r="AF753" s="122"/>
      <c r="AG753" s="122"/>
      <c r="AH753" s="122"/>
    </row>
    <row r="754" ht="22.5" customHeight="1">
      <c r="A754" s="73"/>
      <c r="B754" s="73"/>
      <c r="C754" s="73"/>
      <c r="D754" s="73"/>
      <c r="E754" s="330"/>
      <c r="F754" s="118"/>
      <c r="G754" s="118"/>
      <c r="H754" s="118"/>
      <c r="I754" s="118"/>
      <c r="J754" s="119"/>
      <c r="K754" s="120"/>
      <c r="L754" s="120"/>
      <c r="M754" s="120"/>
      <c r="N754" s="120"/>
      <c r="O754" s="118"/>
      <c r="P754" s="120"/>
      <c r="Q754" s="121"/>
      <c r="R754" s="109" t="b">
        <v>0</v>
      </c>
      <c r="S754" s="143"/>
      <c r="T754" s="110"/>
      <c r="U754" s="118"/>
      <c r="V754" s="118"/>
      <c r="W754" s="118"/>
      <c r="X754" s="118"/>
      <c r="Y754" s="118"/>
      <c r="Z754" s="118"/>
      <c r="AA754" s="118"/>
      <c r="AB754" s="118"/>
      <c r="AC754" s="118"/>
      <c r="AD754" s="111"/>
      <c r="AE754" s="122"/>
      <c r="AF754" s="122"/>
      <c r="AG754" s="122"/>
      <c r="AH754" s="122"/>
    </row>
    <row r="755" ht="22.5" customHeight="1">
      <c r="A755" s="73"/>
      <c r="B755" s="73"/>
      <c r="C755" s="73"/>
      <c r="D755" s="73"/>
      <c r="E755" s="330"/>
      <c r="F755" s="118"/>
      <c r="G755" s="118"/>
      <c r="H755" s="118"/>
      <c r="I755" s="118"/>
      <c r="J755" s="119"/>
      <c r="K755" s="120"/>
      <c r="L755" s="120"/>
      <c r="M755" s="120"/>
      <c r="N755" s="120"/>
      <c r="O755" s="118"/>
      <c r="P755" s="120"/>
      <c r="Q755" s="121"/>
      <c r="R755" s="109" t="b">
        <v>0</v>
      </c>
      <c r="S755" s="143"/>
      <c r="T755" s="110"/>
      <c r="U755" s="118"/>
      <c r="V755" s="118"/>
      <c r="W755" s="118"/>
      <c r="X755" s="118"/>
      <c r="Y755" s="118"/>
      <c r="Z755" s="118"/>
      <c r="AA755" s="118"/>
      <c r="AB755" s="118"/>
      <c r="AC755" s="118"/>
      <c r="AD755" s="111"/>
      <c r="AE755" s="122"/>
      <c r="AF755" s="122"/>
      <c r="AG755" s="122"/>
      <c r="AH755" s="122"/>
    </row>
    <row r="756" ht="22.5" customHeight="1">
      <c r="A756" s="73"/>
      <c r="B756" s="73"/>
      <c r="C756" s="73"/>
      <c r="D756" s="73"/>
      <c r="E756" s="330"/>
      <c r="F756" s="118"/>
      <c r="G756" s="118"/>
      <c r="H756" s="118"/>
      <c r="I756" s="118"/>
      <c r="J756" s="119"/>
      <c r="K756" s="120"/>
      <c r="L756" s="120"/>
      <c r="M756" s="120"/>
      <c r="N756" s="120"/>
      <c r="O756" s="118"/>
      <c r="P756" s="120"/>
      <c r="Q756" s="121"/>
      <c r="R756" s="109" t="b">
        <v>0</v>
      </c>
      <c r="S756" s="143"/>
      <c r="T756" s="110"/>
      <c r="U756" s="118"/>
      <c r="V756" s="118"/>
      <c r="W756" s="118"/>
      <c r="X756" s="118"/>
      <c r="Y756" s="118"/>
      <c r="Z756" s="118"/>
      <c r="AA756" s="118"/>
      <c r="AB756" s="118"/>
      <c r="AC756" s="118"/>
      <c r="AD756" s="111"/>
      <c r="AE756" s="122"/>
      <c r="AF756" s="122"/>
      <c r="AG756" s="122"/>
      <c r="AH756" s="122"/>
    </row>
    <row r="757" ht="22.5" customHeight="1">
      <c r="A757" s="73"/>
      <c r="B757" s="73"/>
      <c r="C757" s="73"/>
      <c r="D757" s="73"/>
      <c r="E757" s="330"/>
      <c r="F757" s="118"/>
      <c r="G757" s="118"/>
      <c r="H757" s="118"/>
      <c r="I757" s="118"/>
      <c r="J757" s="119"/>
      <c r="K757" s="120"/>
      <c r="L757" s="120"/>
      <c r="M757" s="120"/>
      <c r="N757" s="120"/>
      <c r="O757" s="118"/>
      <c r="P757" s="120"/>
      <c r="Q757" s="121"/>
      <c r="R757" s="109" t="b">
        <v>0</v>
      </c>
      <c r="S757" s="143"/>
      <c r="T757" s="110"/>
      <c r="U757" s="118"/>
      <c r="V757" s="118"/>
      <c r="W757" s="118"/>
      <c r="X757" s="118"/>
      <c r="Y757" s="118"/>
      <c r="Z757" s="118"/>
      <c r="AA757" s="118"/>
      <c r="AB757" s="118"/>
      <c r="AC757" s="118"/>
      <c r="AD757" s="111"/>
      <c r="AE757" s="122"/>
      <c r="AF757" s="122"/>
      <c r="AG757" s="122"/>
      <c r="AH757" s="122"/>
    </row>
    <row r="758" ht="22.5" customHeight="1">
      <c r="A758" s="73"/>
      <c r="B758" s="73"/>
      <c r="C758" s="73"/>
      <c r="D758" s="73"/>
      <c r="E758" s="330"/>
      <c r="F758" s="118"/>
      <c r="G758" s="118"/>
      <c r="H758" s="118"/>
      <c r="I758" s="118"/>
      <c r="J758" s="119"/>
      <c r="K758" s="120"/>
      <c r="L758" s="120"/>
      <c r="M758" s="120"/>
      <c r="N758" s="120"/>
      <c r="O758" s="118"/>
      <c r="P758" s="120"/>
      <c r="Q758" s="121"/>
      <c r="R758" s="109" t="b">
        <v>0</v>
      </c>
      <c r="S758" s="143"/>
      <c r="T758" s="110"/>
      <c r="U758" s="118"/>
      <c r="V758" s="118"/>
      <c r="W758" s="118"/>
      <c r="X758" s="118"/>
      <c r="Y758" s="118"/>
      <c r="Z758" s="118"/>
      <c r="AA758" s="118"/>
      <c r="AB758" s="118"/>
      <c r="AC758" s="118"/>
      <c r="AD758" s="111"/>
      <c r="AE758" s="122"/>
      <c r="AF758" s="122"/>
      <c r="AG758" s="122"/>
      <c r="AH758" s="122"/>
    </row>
    <row r="759" ht="22.5" customHeight="1">
      <c r="A759" s="73"/>
      <c r="B759" s="73"/>
      <c r="C759" s="73"/>
      <c r="D759" s="73"/>
      <c r="E759" s="330"/>
      <c r="F759" s="118"/>
      <c r="G759" s="118"/>
      <c r="H759" s="118"/>
      <c r="I759" s="118"/>
      <c r="J759" s="119"/>
      <c r="K759" s="120"/>
      <c r="L759" s="120"/>
      <c r="M759" s="120"/>
      <c r="N759" s="120"/>
      <c r="O759" s="118"/>
      <c r="P759" s="120"/>
      <c r="Q759" s="121"/>
      <c r="R759" s="109" t="b">
        <v>0</v>
      </c>
      <c r="S759" s="143"/>
      <c r="T759" s="110"/>
      <c r="U759" s="118"/>
      <c r="V759" s="118"/>
      <c r="W759" s="118"/>
      <c r="X759" s="118"/>
      <c r="Y759" s="118"/>
      <c r="Z759" s="118"/>
      <c r="AA759" s="118"/>
      <c r="AB759" s="118"/>
      <c r="AC759" s="118"/>
      <c r="AD759" s="111"/>
      <c r="AE759" s="122"/>
      <c r="AF759" s="122"/>
      <c r="AG759" s="122"/>
      <c r="AH759" s="122"/>
    </row>
    <row r="760" ht="22.5" customHeight="1">
      <c r="A760" s="73"/>
      <c r="B760" s="73"/>
      <c r="C760" s="73"/>
      <c r="D760" s="73"/>
      <c r="E760" s="330"/>
      <c r="F760" s="118"/>
      <c r="G760" s="118"/>
      <c r="H760" s="118"/>
      <c r="I760" s="118"/>
      <c r="J760" s="119"/>
      <c r="K760" s="120"/>
      <c r="L760" s="120"/>
      <c r="M760" s="120"/>
      <c r="N760" s="120"/>
      <c r="O760" s="118"/>
      <c r="P760" s="120"/>
      <c r="Q760" s="121"/>
      <c r="R760" s="109" t="b">
        <v>0</v>
      </c>
      <c r="S760" s="143"/>
      <c r="T760" s="110"/>
      <c r="U760" s="118"/>
      <c r="V760" s="118"/>
      <c r="W760" s="118"/>
      <c r="X760" s="118"/>
      <c r="Y760" s="118"/>
      <c r="Z760" s="118"/>
      <c r="AA760" s="118"/>
      <c r="AB760" s="118"/>
      <c r="AC760" s="118"/>
      <c r="AD760" s="111"/>
      <c r="AE760" s="122"/>
      <c r="AF760" s="122"/>
      <c r="AG760" s="122"/>
      <c r="AH760" s="122"/>
    </row>
    <row r="761" ht="22.5" customHeight="1">
      <c r="A761" s="73"/>
      <c r="B761" s="73"/>
      <c r="C761" s="73"/>
      <c r="D761" s="73"/>
      <c r="E761" s="330"/>
      <c r="F761" s="118"/>
      <c r="G761" s="118"/>
      <c r="H761" s="118"/>
      <c r="I761" s="118"/>
      <c r="J761" s="119"/>
      <c r="K761" s="120"/>
      <c r="L761" s="120"/>
      <c r="M761" s="120"/>
      <c r="N761" s="120"/>
      <c r="O761" s="118"/>
      <c r="P761" s="120"/>
      <c r="Q761" s="121"/>
      <c r="R761" s="109" t="b">
        <v>0</v>
      </c>
      <c r="S761" s="143"/>
      <c r="T761" s="110"/>
      <c r="U761" s="118"/>
      <c r="V761" s="118"/>
      <c r="W761" s="118"/>
      <c r="X761" s="118"/>
      <c r="Y761" s="118"/>
      <c r="Z761" s="118"/>
      <c r="AA761" s="118"/>
      <c r="AB761" s="118"/>
      <c r="AC761" s="118"/>
      <c r="AD761" s="111"/>
      <c r="AE761" s="122"/>
      <c r="AF761" s="122"/>
      <c r="AG761" s="122"/>
      <c r="AH761" s="122"/>
    </row>
    <row r="762" ht="22.5" customHeight="1">
      <c r="A762" s="73"/>
      <c r="B762" s="73"/>
      <c r="C762" s="73"/>
      <c r="D762" s="73"/>
      <c r="E762" s="330"/>
      <c r="F762" s="118"/>
      <c r="G762" s="118"/>
      <c r="H762" s="118"/>
      <c r="I762" s="118"/>
      <c r="J762" s="119"/>
      <c r="K762" s="120"/>
      <c r="L762" s="120"/>
      <c r="M762" s="120"/>
      <c r="N762" s="120"/>
      <c r="O762" s="118"/>
      <c r="P762" s="120"/>
      <c r="Q762" s="121"/>
      <c r="R762" s="109" t="b">
        <v>0</v>
      </c>
      <c r="S762" s="143"/>
      <c r="T762" s="110"/>
      <c r="U762" s="118"/>
      <c r="V762" s="118"/>
      <c r="W762" s="118"/>
      <c r="X762" s="118"/>
      <c r="Y762" s="118"/>
      <c r="Z762" s="118"/>
      <c r="AA762" s="118"/>
      <c r="AB762" s="118"/>
      <c r="AC762" s="118"/>
      <c r="AD762" s="111"/>
      <c r="AE762" s="122"/>
      <c r="AF762" s="122"/>
      <c r="AG762" s="122"/>
      <c r="AH762" s="122"/>
    </row>
    <row r="763" ht="22.5" customHeight="1">
      <c r="A763" s="73"/>
      <c r="B763" s="73"/>
      <c r="C763" s="73"/>
      <c r="D763" s="73"/>
      <c r="E763" s="330"/>
      <c r="F763" s="118"/>
      <c r="G763" s="118"/>
      <c r="H763" s="118"/>
      <c r="I763" s="118"/>
      <c r="J763" s="119"/>
      <c r="K763" s="120"/>
      <c r="L763" s="120"/>
      <c r="M763" s="120"/>
      <c r="N763" s="120"/>
      <c r="O763" s="118"/>
      <c r="P763" s="120"/>
      <c r="Q763" s="121"/>
      <c r="R763" s="109" t="b">
        <v>0</v>
      </c>
      <c r="S763" s="143"/>
      <c r="T763" s="110"/>
      <c r="U763" s="118"/>
      <c r="V763" s="118"/>
      <c r="W763" s="118"/>
      <c r="X763" s="118"/>
      <c r="Y763" s="118"/>
      <c r="Z763" s="118"/>
      <c r="AA763" s="118"/>
      <c r="AB763" s="118"/>
      <c r="AC763" s="118"/>
      <c r="AD763" s="111"/>
      <c r="AE763" s="122"/>
      <c r="AF763" s="122"/>
      <c r="AG763" s="122"/>
      <c r="AH763" s="122"/>
    </row>
    <row r="764" ht="22.5" customHeight="1">
      <c r="A764" s="73"/>
      <c r="B764" s="73"/>
      <c r="C764" s="73"/>
      <c r="D764" s="73"/>
      <c r="E764" s="330"/>
      <c r="F764" s="118"/>
      <c r="G764" s="118"/>
      <c r="H764" s="118"/>
      <c r="I764" s="118"/>
      <c r="J764" s="119"/>
      <c r="K764" s="120"/>
      <c r="L764" s="120"/>
      <c r="M764" s="120"/>
      <c r="N764" s="120"/>
      <c r="O764" s="118"/>
      <c r="P764" s="120"/>
      <c r="Q764" s="121"/>
      <c r="R764" s="109" t="b">
        <v>0</v>
      </c>
      <c r="S764" s="143"/>
      <c r="T764" s="110"/>
      <c r="U764" s="118"/>
      <c r="V764" s="118"/>
      <c r="W764" s="118"/>
      <c r="X764" s="118"/>
      <c r="Y764" s="118"/>
      <c r="Z764" s="118"/>
      <c r="AA764" s="118"/>
      <c r="AB764" s="118"/>
      <c r="AC764" s="118"/>
      <c r="AD764" s="111"/>
      <c r="AE764" s="122"/>
      <c r="AF764" s="122"/>
      <c r="AG764" s="122"/>
      <c r="AH764" s="122"/>
    </row>
    <row r="765" ht="22.5" customHeight="1">
      <c r="A765" s="73"/>
      <c r="B765" s="73"/>
      <c r="C765" s="73"/>
      <c r="D765" s="73"/>
      <c r="E765" s="330"/>
      <c r="F765" s="118"/>
      <c r="G765" s="118"/>
      <c r="H765" s="118"/>
      <c r="I765" s="118"/>
      <c r="J765" s="119"/>
      <c r="K765" s="120"/>
      <c r="L765" s="120"/>
      <c r="M765" s="120"/>
      <c r="N765" s="120"/>
      <c r="O765" s="118"/>
      <c r="P765" s="120"/>
      <c r="Q765" s="121"/>
      <c r="R765" s="109" t="b">
        <v>0</v>
      </c>
      <c r="S765" s="143"/>
      <c r="T765" s="110"/>
      <c r="U765" s="118"/>
      <c r="V765" s="118"/>
      <c r="W765" s="118"/>
      <c r="X765" s="118"/>
      <c r="Y765" s="118"/>
      <c r="Z765" s="118"/>
      <c r="AA765" s="118"/>
      <c r="AB765" s="118"/>
      <c r="AC765" s="118"/>
      <c r="AD765" s="111"/>
      <c r="AE765" s="122"/>
      <c r="AF765" s="122"/>
      <c r="AG765" s="122"/>
      <c r="AH765" s="122"/>
    </row>
    <row r="766" ht="22.5" customHeight="1">
      <c r="A766" s="73"/>
      <c r="B766" s="73"/>
      <c r="C766" s="73"/>
      <c r="D766" s="73"/>
      <c r="E766" s="330"/>
      <c r="F766" s="118"/>
      <c r="G766" s="118"/>
      <c r="H766" s="118"/>
      <c r="I766" s="118"/>
      <c r="J766" s="119"/>
      <c r="K766" s="120"/>
      <c r="L766" s="120"/>
      <c r="M766" s="120"/>
      <c r="N766" s="120"/>
      <c r="O766" s="118"/>
      <c r="P766" s="120"/>
      <c r="Q766" s="121"/>
      <c r="R766" s="109" t="b">
        <v>0</v>
      </c>
      <c r="S766" s="143"/>
      <c r="T766" s="110"/>
      <c r="U766" s="118"/>
      <c r="V766" s="118"/>
      <c r="W766" s="118"/>
      <c r="X766" s="118"/>
      <c r="Y766" s="118"/>
      <c r="Z766" s="118"/>
      <c r="AA766" s="118"/>
      <c r="AB766" s="118"/>
      <c r="AC766" s="118"/>
      <c r="AD766" s="111"/>
      <c r="AE766" s="122"/>
      <c r="AF766" s="122"/>
      <c r="AG766" s="122"/>
      <c r="AH766" s="122"/>
    </row>
    <row r="767" ht="22.5" customHeight="1">
      <c r="A767" s="73"/>
      <c r="B767" s="73"/>
      <c r="C767" s="73"/>
      <c r="D767" s="73"/>
      <c r="E767" s="330"/>
      <c r="F767" s="118"/>
      <c r="G767" s="118"/>
      <c r="H767" s="118"/>
      <c r="I767" s="118"/>
      <c r="J767" s="119"/>
      <c r="K767" s="120"/>
      <c r="L767" s="120"/>
      <c r="M767" s="120"/>
      <c r="N767" s="120"/>
      <c r="O767" s="118"/>
      <c r="P767" s="120"/>
      <c r="Q767" s="121"/>
      <c r="R767" s="109" t="b">
        <v>0</v>
      </c>
      <c r="S767" s="143"/>
      <c r="T767" s="110"/>
      <c r="U767" s="118"/>
      <c r="V767" s="118"/>
      <c r="W767" s="118"/>
      <c r="X767" s="118"/>
      <c r="Y767" s="118"/>
      <c r="Z767" s="118"/>
      <c r="AA767" s="118"/>
      <c r="AB767" s="118"/>
      <c r="AC767" s="118"/>
      <c r="AD767" s="111"/>
      <c r="AE767" s="122"/>
      <c r="AF767" s="122"/>
      <c r="AG767" s="122"/>
      <c r="AH767" s="122"/>
    </row>
    <row r="768" ht="22.5" customHeight="1">
      <c r="A768" s="73"/>
      <c r="B768" s="73"/>
      <c r="C768" s="73"/>
      <c r="D768" s="73"/>
      <c r="E768" s="330"/>
      <c r="F768" s="118"/>
      <c r="G768" s="118"/>
      <c r="H768" s="118"/>
      <c r="I768" s="118"/>
      <c r="J768" s="119"/>
      <c r="K768" s="120"/>
      <c r="L768" s="120"/>
      <c r="M768" s="120"/>
      <c r="N768" s="120"/>
      <c r="O768" s="118"/>
      <c r="P768" s="120"/>
      <c r="Q768" s="121"/>
      <c r="R768" s="109" t="b">
        <v>0</v>
      </c>
      <c r="S768" s="143"/>
      <c r="T768" s="110"/>
      <c r="U768" s="118"/>
      <c r="V768" s="118"/>
      <c r="W768" s="118"/>
      <c r="X768" s="118"/>
      <c r="Y768" s="118"/>
      <c r="Z768" s="118"/>
      <c r="AA768" s="118"/>
      <c r="AB768" s="118"/>
      <c r="AC768" s="118"/>
      <c r="AD768" s="111"/>
      <c r="AE768" s="122"/>
      <c r="AF768" s="122"/>
      <c r="AG768" s="122"/>
      <c r="AH768" s="122"/>
    </row>
    <row r="769" ht="22.5" customHeight="1">
      <c r="A769" s="73"/>
      <c r="B769" s="73"/>
      <c r="C769" s="73"/>
      <c r="D769" s="73"/>
      <c r="E769" s="330"/>
      <c r="F769" s="118"/>
      <c r="G769" s="118"/>
      <c r="H769" s="118"/>
      <c r="I769" s="118"/>
      <c r="J769" s="119"/>
      <c r="K769" s="120"/>
      <c r="L769" s="120"/>
      <c r="M769" s="120"/>
      <c r="N769" s="120"/>
      <c r="O769" s="118"/>
      <c r="P769" s="120"/>
      <c r="Q769" s="121"/>
      <c r="R769" s="109" t="b">
        <v>0</v>
      </c>
      <c r="S769" s="143"/>
      <c r="T769" s="110"/>
      <c r="U769" s="118"/>
      <c r="V769" s="118"/>
      <c r="W769" s="118"/>
      <c r="X769" s="118"/>
      <c r="Y769" s="118"/>
      <c r="Z769" s="118"/>
      <c r="AA769" s="118"/>
      <c r="AB769" s="118"/>
      <c r="AC769" s="118"/>
      <c r="AD769" s="111"/>
      <c r="AE769" s="122"/>
      <c r="AF769" s="122"/>
      <c r="AG769" s="122"/>
      <c r="AH769" s="122"/>
    </row>
    <row r="770" ht="22.5" customHeight="1">
      <c r="A770" s="73"/>
      <c r="B770" s="73"/>
      <c r="C770" s="73"/>
      <c r="D770" s="73"/>
      <c r="E770" s="330"/>
      <c r="F770" s="118"/>
      <c r="G770" s="118"/>
      <c r="H770" s="118"/>
      <c r="I770" s="118"/>
      <c r="J770" s="119"/>
      <c r="K770" s="120"/>
      <c r="L770" s="120"/>
      <c r="M770" s="120"/>
      <c r="N770" s="120"/>
      <c r="O770" s="118"/>
      <c r="P770" s="120"/>
      <c r="Q770" s="121"/>
      <c r="R770" s="109" t="b">
        <v>0</v>
      </c>
      <c r="S770" s="143"/>
      <c r="T770" s="110"/>
      <c r="U770" s="118"/>
      <c r="V770" s="118"/>
      <c r="W770" s="118"/>
      <c r="X770" s="118"/>
      <c r="Y770" s="118"/>
      <c r="Z770" s="118"/>
      <c r="AA770" s="118"/>
      <c r="AB770" s="118"/>
      <c r="AC770" s="118"/>
      <c r="AD770" s="111"/>
      <c r="AE770" s="122"/>
      <c r="AF770" s="122"/>
      <c r="AG770" s="122"/>
      <c r="AH770" s="122"/>
    </row>
    <row r="771" ht="22.5" customHeight="1">
      <c r="A771" s="73"/>
      <c r="B771" s="73"/>
      <c r="C771" s="73"/>
      <c r="D771" s="73"/>
      <c r="E771" s="330"/>
      <c r="F771" s="118"/>
      <c r="G771" s="118"/>
      <c r="H771" s="118"/>
      <c r="I771" s="118"/>
      <c r="J771" s="119"/>
      <c r="K771" s="120"/>
      <c r="L771" s="120"/>
      <c r="M771" s="120"/>
      <c r="N771" s="120"/>
      <c r="O771" s="118"/>
      <c r="P771" s="120"/>
      <c r="Q771" s="121"/>
      <c r="R771" s="109" t="b">
        <v>0</v>
      </c>
      <c r="S771" s="143"/>
      <c r="T771" s="110"/>
      <c r="U771" s="118"/>
      <c r="V771" s="118"/>
      <c r="W771" s="118"/>
      <c r="X771" s="118"/>
      <c r="Y771" s="118"/>
      <c r="Z771" s="118"/>
      <c r="AA771" s="118"/>
      <c r="AB771" s="118"/>
      <c r="AC771" s="118"/>
      <c r="AD771" s="111"/>
      <c r="AE771" s="122"/>
      <c r="AF771" s="122"/>
      <c r="AG771" s="122"/>
      <c r="AH771" s="122"/>
    </row>
    <row r="772" ht="22.5" customHeight="1">
      <c r="A772" s="73"/>
      <c r="B772" s="73"/>
      <c r="C772" s="73"/>
      <c r="D772" s="73"/>
      <c r="E772" s="330"/>
      <c r="F772" s="118"/>
      <c r="G772" s="118"/>
      <c r="H772" s="118"/>
      <c r="I772" s="118"/>
      <c r="J772" s="119"/>
      <c r="K772" s="120"/>
      <c r="L772" s="120"/>
      <c r="M772" s="120"/>
      <c r="N772" s="120"/>
      <c r="O772" s="118"/>
      <c r="P772" s="120"/>
      <c r="Q772" s="121"/>
      <c r="R772" s="109" t="b">
        <v>0</v>
      </c>
      <c r="S772" s="143"/>
      <c r="T772" s="110"/>
      <c r="U772" s="118"/>
      <c r="V772" s="118"/>
      <c r="W772" s="118"/>
      <c r="X772" s="118"/>
      <c r="Y772" s="118"/>
      <c r="Z772" s="118"/>
      <c r="AA772" s="118"/>
      <c r="AB772" s="118"/>
      <c r="AC772" s="118"/>
      <c r="AD772" s="111"/>
      <c r="AE772" s="122"/>
      <c r="AF772" s="122"/>
      <c r="AG772" s="122"/>
      <c r="AH772" s="122"/>
    </row>
    <row r="773" ht="22.5" customHeight="1">
      <c r="A773" s="73"/>
      <c r="B773" s="73"/>
      <c r="C773" s="73"/>
      <c r="D773" s="73"/>
      <c r="E773" s="330"/>
      <c r="F773" s="118"/>
      <c r="G773" s="118"/>
      <c r="H773" s="118"/>
      <c r="I773" s="118"/>
      <c r="J773" s="119"/>
      <c r="K773" s="120"/>
      <c r="L773" s="120"/>
      <c r="M773" s="120"/>
      <c r="N773" s="120"/>
      <c r="O773" s="118"/>
      <c r="P773" s="120"/>
      <c r="Q773" s="121"/>
      <c r="R773" s="109" t="b">
        <v>0</v>
      </c>
      <c r="S773" s="143"/>
      <c r="T773" s="110"/>
      <c r="U773" s="118"/>
      <c r="V773" s="118"/>
      <c r="W773" s="118"/>
      <c r="X773" s="118"/>
      <c r="Y773" s="118"/>
      <c r="Z773" s="118"/>
      <c r="AA773" s="118"/>
      <c r="AB773" s="118"/>
      <c r="AC773" s="118"/>
      <c r="AD773" s="111"/>
      <c r="AE773" s="122"/>
      <c r="AF773" s="122"/>
      <c r="AG773" s="122"/>
      <c r="AH773" s="122"/>
    </row>
    <row r="774" ht="22.5" customHeight="1">
      <c r="A774" s="73"/>
      <c r="B774" s="73"/>
      <c r="C774" s="73"/>
      <c r="D774" s="73"/>
      <c r="E774" s="330"/>
      <c r="F774" s="118"/>
      <c r="G774" s="118"/>
      <c r="H774" s="118"/>
      <c r="I774" s="118"/>
      <c r="J774" s="119"/>
      <c r="K774" s="120"/>
      <c r="L774" s="120"/>
      <c r="M774" s="120"/>
      <c r="N774" s="120"/>
      <c r="O774" s="118"/>
      <c r="P774" s="120"/>
      <c r="Q774" s="121"/>
      <c r="R774" s="109" t="b">
        <v>0</v>
      </c>
      <c r="S774" s="143"/>
      <c r="T774" s="110"/>
      <c r="U774" s="118"/>
      <c r="V774" s="118"/>
      <c r="W774" s="118"/>
      <c r="X774" s="118"/>
      <c r="Y774" s="118"/>
      <c r="Z774" s="118"/>
      <c r="AA774" s="118"/>
      <c r="AB774" s="118"/>
      <c r="AC774" s="118"/>
      <c r="AD774" s="111"/>
      <c r="AE774" s="122"/>
      <c r="AF774" s="122"/>
      <c r="AG774" s="122"/>
      <c r="AH774" s="122"/>
    </row>
    <row r="775" ht="22.5" customHeight="1">
      <c r="A775" s="73"/>
      <c r="B775" s="73"/>
      <c r="C775" s="73"/>
      <c r="D775" s="73"/>
      <c r="E775" s="330"/>
      <c r="F775" s="118"/>
      <c r="G775" s="118"/>
      <c r="H775" s="118"/>
      <c r="I775" s="118"/>
      <c r="J775" s="119"/>
      <c r="K775" s="120"/>
      <c r="L775" s="120"/>
      <c r="M775" s="120"/>
      <c r="N775" s="120"/>
      <c r="O775" s="118"/>
      <c r="P775" s="120"/>
      <c r="Q775" s="121"/>
      <c r="R775" s="109" t="b">
        <v>0</v>
      </c>
      <c r="S775" s="143"/>
      <c r="T775" s="110"/>
      <c r="U775" s="118"/>
      <c r="V775" s="118"/>
      <c r="W775" s="118"/>
      <c r="X775" s="118"/>
      <c r="Y775" s="118"/>
      <c r="Z775" s="118"/>
      <c r="AA775" s="118"/>
      <c r="AB775" s="118"/>
      <c r="AC775" s="118"/>
      <c r="AD775" s="111"/>
      <c r="AE775" s="122"/>
      <c r="AF775" s="122"/>
      <c r="AG775" s="122"/>
      <c r="AH775" s="122"/>
    </row>
    <row r="776" ht="22.5" customHeight="1">
      <c r="A776" s="73"/>
      <c r="B776" s="73"/>
      <c r="C776" s="73"/>
      <c r="D776" s="73"/>
      <c r="E776" s="330"/>
      <c r="F776" s="118"/>
      <c r="G776" s="118"/>
      <c r="H776" s="118"/>
      <c r="I776" s="118"/>
      <c r="J776" s="119"/>
      <c r="K776" s="120"/>
      <c r="L776" s="120"/>
      <c r="M776" s="120"/>
      <c r="N776" s="120"/>
      <c r="O776" s="118"/>
      <c r="P776" s="120"/>
      <c r="Q776" s="121"/>
      <c r="R776" s="109" t="b">
        <v>0</v>
      </c>
      <c r="S776" s="143"/>
      <c r="T776" s="110"/>
      <c r="U776" s="118"/>
      <c r="V776" s="118"/>
      <c r="W776" s="118"/>
      <c r="X776" s="118"/>
      <c r="Y776" s="118"/>
      <c r="Z776" s="118"/>
      <c r="AA776" s="118"/>
      <c r="AB776" s="118"/>
      <c r="AC776" s="118"/>
      <c r="AD776" s="111"/>
      <c r="AE776" s="122"/>
      <c r="AF776" s="122"/>
      <c r="AG776" s="122"/>
      <c r="AH776" s="122"/>
    </row>
    <row r="777" ht="22.5" customHeight="1">
      <c r="A777" s="73"/>
      <c r="B777" s="73"/>
      <c r="C777" s="73"/>
      <c r="D777" s="73"/>
      <c r="E777" s="330"/>
      <c r="F777" s="118"/>
      <c r="G777" s="118"/>
      <c r="H777" s="118"/>
      <c r="I777" s="118"/>
      <c r="J777" s="119"/>
      <c r="K777" s="120"/>
      <c r="L777" s="120"/>
      <c r="M777" s="120"/>
      <c r="N777" s="120"/>
      <c r="O777" s="118"/>
      <c r="P777" s="120"/>
      <c r="Q777" s="121"/>
      <c r="R777" s="109" t="b">
        <v>0</v>
      </c>
      <c r="S777" s="143"/>
      <c r="T777" s="110"/>
      <c r="U777" s="118"/>
      <c r="V777" s="118"/>
      <c r="W777" s="118"/>
      <c r="X777" s="118"/>
      <c r="Y777" s="118"/>
      <c r="Z777" s="118"/>
      <c r="AA777" s="118"/>
      <c r="AB777" s="118"/>
      <c r="AC777" s="118"/>
      <c r="AD777" s="111"/>
      <c r="AE777" s="122"/>
      <c r="AF777" s="122"/>
      <c r="AG777" s="122"/>
      <c r="AH777" s="122"/>
    </row>
    <row r="778" ht="22.5" customHeight="1">
      <c r="A778" s="73"/>
      <c r="B778" s="73"/>
      <c r="C778" s="73"/>
      <c r="D778" s="73"/>
      <c r="E778" s="330"/>
      <c r="F778" s="118"/>
      <c r="G778" s="118"/>
      <c r="H778" s="118"/>
      <c r="I778" s="118"/>
      <c r="J778" s="119"/>
      <c r="K778" s="120"/>
      <c r="L778" s="120"/>
      <c r="M778" s="120"/>
      <c r="N778" s="120"/>
      <c r="O778" s="118"/>
      <c r="P778" s="120"/>
      <c r="Q778" s="121"/>
      <c r="R778" s="109" t="b">
        <v>0</v>
      </c>
      <c r="S778" s="143"/>
      <c r="T778" s="110"/>
      <c r="U778" s="118"/>
      <c r="V778" s="118"/>
      <c r="W778" s="118"/>
      <c r="X778" s="118"/>
      <c r="Y778" s="118"/>
      <c r="Z778" s="118"/>
      <c r="AA778" s="118"/>
      <c r="AB778" s="118"/>
      <c r="AC778" s="118"/>
      <c r="AD778" s="111"/>
      <c r="AE778" s="122"/>
      <c r="AF778" s="122"/>
      <c r="AG778" s="122"/>
      <c r="AH778" s="122"/>
    </row>
    <row r="779" ht="22.5" customHeight="1">
      <c r="A779" s="73"/>
      <c r="B779" s="73"/>
      <c r="C779" s="73"/>
      <c r="D779" s="73"/>
      <c r="E779" s="330"/>
      <c r="F779" s="118"/>
      <c r="G779" s="118"/>
      <c r="H779" s="118"/>
      <c r="I779" s="118"/>
      <c r="J779" s="119"/>
      <c r="K779" s="120"/>
      <c r="L779" s="120"/>
      <c r="M779" s="120"/>
      <c r="N779" s="120"/>
      <c r="O779" s="118"/>
      <c r="P779" s="120"/>
      <c r="Q779" s="121"/>
      <c r="R779" s="109" t="b">
        <v>0</v>
      </c>
      <c r="S779" s="143"/>
      <c r="T779" s="110"/>
      <c r="U779" s="118"/>
      <c r="V779" s="118"/>
      <c r="W779" s="118"/>
      <c r="X779" s="118"/>
      <c r="Y779" s="118"/>
      <c r="Z779" s="118"/>
      <c r="AA779" s="118"/>
      <c r="AB779" s="118"/>
      <c r="AC779" s="118"/>
      <c r="AD779" s="111"/>
      <c r="AE779" s="122"/>
      <c r="AF779" s="122"/>
      <c r="AG779" s="122"/>
      <c r="AH779" s="122"/>
    </row>
    <row r="780" ht="22.5" customHeight="1">
      <c r="A780" s="73"/>
      <c r="B780" s="73"/>
      <c r="C780" s="73"/>
      <c r="D780" s="73"/>
      <c r="E780" s="330"/>
      <c r="F780" s="118"/>
      <c r="G780" s="118"/>
      <c r="H780" s="118"/>
      <c r="I780" s="118"/>
      <c r="J780" s="119"/>
      <c r="K780" s="120"/>
      <c r="L780" s="120"/>
      <c r="M780" s="120"/>
      <c r="N780" s="120"/>
      <c r="O780" s="118"/>
      <c r="P780" s="120"/>
      <c r="Q780" s="121"/>
      <c r="R780" s="109" t="b">
        <v>0</v>
      </c>
      <c r="S780" s="143"/>
      <c r="T780" s="110"/>
      <c r="U780" s="118"/>
      <c r="V780" s="118"/>
      <c r="W780" s="118"/>
      <c r="X780" s="118"/>
      <c r="Y780" s="118"/>
      <c r="Z780" s="118"/>
      <c r="AA780" s="118"/>
      <c r="AB780" s="118"/>
      <c r="AC780" s="118"/>
      <c r="AD780" s="111"/>
      <c r="AE780" s="122"/>
      <c r="AF780" s="122"/>
      <c r="AG780" s="122"/>
      <c r="AH780" s="122"/>
    </row>
    <row r="781" ht="22.5" customHeight="1">
      <c r="A781" s="73"/>
      <c r="B781" s="73"/>
      <c r="C781" s="73"/>
      <c r="D781" s="73"/>
      <c r="E781" s="330"/>
      <c r="F781" s="118"/>
      <c r="G781" s="118"/>
      <c r="H781" s="118"/>
      <c r="I781" s="118"/>
      <c r="J781" s="119"/>
      <c r="K781" s="120"/>
      <c r="L781" s="120"/>
      <c r="M781" s="120"/>
      <c r="N781" s="120"/>
      <c r="O781" s="118"/>
      <c r="P781" s="120"/>
      <c r="Q781" s="121"/>
      <c r="R781" s="109" t="b">
        <v>0</v>
      </c>
      <c r="S781" s="143"/>
      <c r="T781" s="110"/>
      <c r="U781" s="118"/>
      <c r="V781" s="118"/>
      <c r="W781" s="118"/>
      <c r="X781" s="118"/>
      <c r="Y781" s="118"/>
      <c r="Z781" s="118"/>
      <c r="AA781" s="118"/>
      <c r="AB781" s="118"/>
      <c r="AC781" s="118"/>
      <c r="AD781" s="111"/>
      <c r="AE781" s="122"/>
      <c r="AF781" s="122"/>
      <c r="AG781" s="122"/>
      <c r="AH781" s="122"/>
    </row>
    <row r="782" ht="22.5" customHeight="1">
      <c r="A782" s="73"/>
      <c r="B782" s="73"/>
      <c r="C782" s="73"/>
      <c r="D782" s="73"/>
      <c r="E782" s="330"/>
      <c r="F782" s="118"/>
      <c r="G782" s="118"/>
      <c r="H782" s="118"/>
      <c r="I782" s="118"/>
      <c r="J782" s="119"/>
      <c r="K782" s="120"/>
      <c r="L782" s="120"/>
      <c r="M782" s="120"/>
      <c r="N782" s="120"/>
      <c r="O782" s="118"/>
      <c r="P782" s="120"/>
      <c r="Q782" s="121"/>
      <c r="R782" s="109" t="b">
        <v>0</v>
      </c>
      <c r="S782" s="143"/>
      <c r="T782" s="110"/>
      <c r="U782" s="118"/>
      <c r="V782" s="118"/>
      <c r="W782" s="118"/>
      <c r="X782" s="118"/>
      <c r="Y782" s="118"/>
      <c r="Z782" s="118"/>
      <c r="AA782" s="118"/>
      <c r="AB782" s="118"/>
      <c r="AC782" s="118"/>
      <c r="AD782" s="111"/>
      <c r="AE782" s="122"/>
      <c r="AF782" s="122"/>
      <c r="AG782" s="122"/>
      <c r="AH782" s="122"/>
    </row>
    <row r="783" ht="22.5" customHeight="1">
      <c r="A783" s="73"/>
      <c r="B783" s="73"/>
      <c r="C783" s="73"/>
      <c r="D783" s="73"/>
      <c r="E783" s="330"/>
      <c r="F783" s="118"/>
      <c r="G783" s="118"/>
      <c r="H783" s="118"/>
      <c r="I783" s="118"/>
      <c r="J783" s="119"/>
      <c r="K783" s="120"/>
      <c r="L783" s="120"/>
      <c r="M783" s="120"/>
      <c r="N783" s="120"/>
      <c r="O783" s="118"/>
      <c r="P783" s="120"/>
      <c r="Q783" s="121"/>
      <c r="R783" s="109" t="b">
        <v>0</v>
      </c>
      <c r="S783" s="143"/>
      <c r="T783" s="110"/>
      <c r="U783" s="118"/>
      <c r="V783" s="118"/>
      <c r="W783" s="118"/>
      <c r="X783" s="118"/>
      <c r="Y783" s="118"/>
      <c r="Z783" s="118"/>
      <c r="AA783" s="118"/>
      <c r="AB783" s="118"/>
      <c r="AC783" s="118"/>
      <c r="AD783" s="111"/>
      <c r="AE783" s="122"/>
      <c r="AF783" s="122"/>
      <c r="AG783" s="122"/>
      <c r="AH783" s="122"/>
    </row>
    <row r="784" ht="22.5" customHeight="1">
      <c r="A784" s="73"/>
      <c r="B784" s="73"/>
      <c r="C784" s="73"/>
      <c r="D784" s="73"/>
      <c r="E784" s="330"/>
      <c r="F784" s="118"/>
      <c r="G784" s="118"/>
      <c r="H784" s="118"/>
      <c r="I784" s="118"/>
      <c r="J784" s="119"/>
      <c r="K784" s="120"/>
      <c r="L784" s="120"/>
      <c r="M784" s="120"/>
      <c r="N784" s="120"/>
      <c r="O784" s="118"/>
      <c r="P784" s="120"/>
      <c r="Q784" s="121"/>
      <c r="R784" s="109" t="b">
        <v>0</v>
      </c>
      <c r="S784" s="143"/>
      <c r="T784" s="110"/>
      <c r="U784" s="118"/>
      <c r="V784" s="118"/>
      <c r="W784" s="118"/>
      <c r="X784" s="118"/>
      <c r="Y784" s="118"/>
      <c r="Z784" s="118"/>
      <c r="AA784" s="118"/>
      <c r="AB784" s="118"/>
      <c r="AC784" s="118"/>
      <c r="AD784" s="111"/>
      <c r="AE784" s="122"/>
      <c r="AF784" s="122"/>
      <c r="AG784" s="122"/>
      <c r="AH784" s="122"/>
    </row>
    <row r="785" ht="22.5" customHeight="1">
      <c r="A785" s="73"/>
      <c r="B785" s="73"/>
      <c r="C785" s="73"/>
      <c r="D785" s="73"/>
      <c r="E785" s="330"/>
      <c r="F785" s="118"/>
      <c r="G785" s="118"/>
      <c r="H785" s="118"/>
      <c r="I785" s="118"/>
      <c r="J785" s="119"/>
      <c r="K785" s="120"/>
      <c r="L785" s="120"/>
      <c r="M785" s="120"/>
      <c r="N785" s="120"/>
      <c r="O785" s="118"/>
      <c r="P785" s="120"/>
      <c r="Q785" s="121"/>
      <c r="R785" s="109" t="b">
        <v>0</v>
      </c>
      <c r="S785" s="143"/>
      <c r="T785" s="110"/>
      <c r="U785" s="118"/>
      <c r="V785" s="118"/>
      <c r="W785" s="118"/>
      <c r="X785" s="118"/>
      <c r="Y785" s="118"/>
      <c r="Z785" s="118"/>
      <c r="AA785" s="118"/>
      <c r="AB785" s="118"/>
      <c r="AC785" s="118"/>
      <c r="AD785" s="111"/>
      <c r="AE785" s="122"/>
      <c r="AF785" s="122"/>
      <c r="AG785" s="122"/>
      <c r="AH785" s="122"/>
    </row>
    <row r="786" ht="22.5" customHeight="1">
      <c r="A786" s="73"/>
      <c r="B786" s="73"/>
      <c r="C786" s="73"/>
      <c r="D786" s="73"/>
      <c r="E786" s="330"/>
      <c r="F786" s="118"/>
      <c r="G786" s="118"/>
      <c r="H786" s="118"/>
      <c r="I786" s="118"/>
      <c r="J786" s="119"/>
      <c r="K786" s="120"/>
      <c r="L786" s="120"/>
      <c r="M786" s="120"/>
      <c r="N786" s="120"/>
      <c r="O786" s="118"/>
      <c r="P786" s="120"/>
      <c r="Q786" s="121"/>
      <c r="R786" s="109" t="b">
        <v>0</v>
      </c>
      <c r="S786" s="143"/>
      <c r="T786" s="110"/>
      <c r="U786" s="118"/>
      <c r="V786" s="118"/>
      <c r="W786" s="118"/>
      <c r="X786" s="118"/>
      <c r="Y786" s="118"/>
      <c r="Z786" s="118"/>
      <c r="AA786" s="118"/>
      <c r="AB786" s="118"/>
      <c r="AC786" s="118"/>
      <c r="AD786" s="111"/>
      <c r="AE786" s="122"/>
      <c r="AF786" s="122"/>
      <c r="AG786" s="122"/>
      <c r="AH786" s="122"/>
    </row>
    <row r="787" ht="22.5" customHeight="1">
      <c r="A787" s="73"/>
      <c r="B787" s="73"/>
      <c r="C787" s="73"/>
      <c r="D787" s="73"/>
      <c r="E787" s="330"/>
      <c r="F787" s="118"/>
      <c r="G787" s="118"/>
      <c r="H787" s="118"/>
      <c r="I787" s="118"/>
      <c r="J787" s="119"/>
      <c r="K787" s="120"/>
      <c r="L787" s="120"/>
      <c r="M787" s="120"/>
      <c r="N787" s="120"/>
      <c r="O787" s="118"/>
      <c r="P787" s="120"/>
      <c r="Q787" s="121"/>
      <c r="R787" s="109" t="b">
        <v>0</v>
      </c>
      <c r="S787" s="143"/>
      <c r="T787" s="110"/>
      <c r="U787" s="118"/>
      <c r="V787" s="118"/>
      <c r="W787" s="118"/>
      <c r="X787" s="118"/>
      <c r="Y787" s="118"/>
      <c r="Z787" s="118"/>
      <c r="AA787" s="118"/>
      <c r="AB787" s="118"/>
      <c r="AC787" s="118"/>
      <c r="AD787" s="111"/>
      <c r="AE787" s="122"/>
      <c r="AF787" s="122"/>
      <c r="AG787" s="122"/>
      <c r="AH787" s="122"/>
    </row>
    <row r="788" ht="22.5" customHeight="1">
      <c r="A788" s="73"/>
      <c r="B788" s="73"/>
      <c r="C788" s="73"/>
      <c r="D788" s="73"/>
      <c r="E788" s="330"/>
      <c r="F788" s="118"/>
      <c r="G788" s="118"/>
      <c r="H788" s="118"/>
      <c r="I788" s="118"/>
      <c r="J788" s="119"/>
      <c r="K788" s="120"/>
      <c r="L788" s="120"/>
      <c r="M788" s="120"/>
      <c r="N788" s="120"/>
      <c r="O788" s="118"/>
      <c r="P788" s="120"/>
      <c r="Q788" s="121"/>
      <c r="R788" s="109" t="b">
        <v>0</v>
      </c>
      <c r="S788" s="143"/>
      <c r="T788" s="110"/>
      <c r="U788" s="118"/>
      <c r="V788" s="118"/>
      <c r="W788" s="118"/>
      <c r="X788" s="118"/>
      <c r="Y788" s="118"/>
      <c r="Z788" s="118"/>
      <c r="AA788" s="118"/>
      <c r="AB788" s="118"/>
      <c r="AC788" s="118"/>
      <c r="AD788" s="111"/>
      <c r="AE788" s="122"/>
      <c r="AF788" s="122"/>
      <c r="AG788" s="122"/>
      <c r="AH788" s="122"/>
    </row>
    <row r="789" ht="22.5" customHeight="1">
      <c r="A789" s="73"/>
      <c r="B789" s="73"/>
      <c r="C789" s="73"/>
      <c r="D789" s="73"/>
      <c r="E789" s="330"/>
      <c r="F789" s="118"/>
      <c r="G789" s="118"/>
      <c r="H789" s="118"/>
      <c r="I789" s="118"/>
      <c r="J789" s="119"/>
      <c r="K789" s="120"/>
      <c r="L789" s="120"/>
      <c r="M789" s="120"/>
      <c r="N789" s="120"/>
      <c r="O789" s="118"/>
      <c r="P789" s="120"/>
      <c r="Q789" s="121"/>
      <c r="R789" s="109" t="b">
        <v>0</v>
      </c>
      <c r="S789" s="143"/>
      <c r="T789" s="110"/>
      <c r="U789" s="118"/>
      <c r="V789" s="118"/>
      <c r="W789" s="118"/>
      <c r="X789" s="118"/>
      <c r="Y789" s="118"/>
      <c r="Z789" s="118"/>
      <c r="AA789" s="118"/>
      <c r="AB789" s="118"/>
      <c r="AC789" s="118"/>
      <c r="AD789" s="111"/>
      <c r="AE789" s="122"/>
      <c r="AF789" s="122"/>
      <c r="AG789" s="122"/>
      <c r="AH789" s="122"/>
    </row>
    <row r="790" ht="22.5" customHeight="1">
      <c r="A790" s="73"/>
      <c r="B790" s="73"/>
      <c r="C790" s="73"/>
      <c r="D790" s="73"/>
      <c r="E790" s="330"/>
      <c r="F790" s="118"/>
      <c r="G790" s="118"/>
      <c r="H790" s="118"/>
      <c r="I790" s="118"/>
      <c r="J790" s="119"/>
      <c r="K790" s="120"/>
      <c r="L790" s="120"/>
      <c r="M790" s="120"/>
      <c r="N790" s="120"/>
      <c r="O790" s="118"/>
      <c r="P790" s="120"/>
      <c r="Q790" s="121"/>
      <c r="R790" s="109" t="b">
        <v>0</v>
      </c>
      <c r="S790" s="143"/>
      <c r="T790" s="110"/>
      <c r="U790" s="118"/>
      <c r="V790" s="118"/>
      <c r="W790" s="118"/>
      <c r="X790" s="118"/>
      <c r="Y790" s="118"/>
      <c r="Z790" s="118"/>
      <c r="AA790" s="118"/>
      <c r="AB790" s="118"/>
      <c r="AC790" s="118"/>
      <c r="AD790" s="111"/>
      <c r="AE790" s="122"/>
      <c r="AF790" s="122"/>
      <c r="AG790" s="122"/>
      <c r="AH790" s="122"/>
    </row>
    <row r="791" ht="22.5" customHeight="1">
      <c r="A791" s="73"/>
      <c r="B791" s="73"/>
      <c r="C791" s="73"/>
      <c r="D791" s="73"/>
      <c r="E791" s="330"/>
      <c r="F791" s="118"/>
      <c r="G791" s="118"/>
      <c r="H791" s="118"/>
      <c r="I791" s="118"/>
      <c r="J791" s="119"/>
      <c r="K791" s="120"/>
      <c r="L791" s="120"/>
      <c r="M791" s="120"/>
      <c r="N791" s="120"/>
      <c r="O791" s="118"/>
      <c r="P791" s="120"/>
      <c r="Q791" s="121"/>
      <c r="R791" s="109" t="b">
        <v>0</v>
      </c>
      <c r="S791" s="143"/>
      <c r="T791" s="110"/>
      <c r="U791" s="118"/>
      <c r="V791" s="118"/>
      <c r="W791" s="118"/>
      <c r="X791" s="118"/>
      <c r="Y791" s="118"/>
      <c r="Z791" s="118"/>
      <c r="AA791" s="118"/>
      <c r="AB791" s="118"/>
      <c r="AC791" s="118"/>
      <c r="AD791" s="111"/>
      <c r="AE791" s="122"/>
      <c r="AF791" s="122"/>
      <c r="AG791" s="122"/>
      <c r="AH791" s="122"/>
    </row>
    <row r="792" ht="22.5" customHeight="1">
      <c r="A792" s="73"/>
      <c r="B792" s="73"/>
      <c r="C792" s="73"/>
      <c r="D792" s="73"/>
      <c r="E792" s="330"/>
      <c r="F792" s="118"/>
      <c r="G792" s="118"/>
      <c r="H792" s="118"/>
      <c r="I792" s="118"/>
      <c r="J792" s="119"/>
      <c r="K792" s="120"/>
      <c r="L792" s="120"/>
      <c r="M792" s="120"/>
      <c r="N792" s="120"/>
      <c r="O792" s="118"/>
      <c r="P792" s="120"/>
      <c r="Q792" s="121"/>
      <c r="R792" s="109" t="b">
        <v>0</v>
      </c>
      <c r="S792" s="143"/>
      <c r="T792" s="110"/>
      <c r="U792" s="118"/>
      <c r="V792" s="118"/>
      <c r="W792" s="118"/>
      <c r="X792" s="118"/>
      <c r="Y792" s="118"/>
      <c r="Z792" s="118"/>
      <c r="AA792" s="118"/>
      <c r="AB792" s="118"/>
      <c r="AC792" s="118"/>
      <c r="AD792" s="111"/>
      <c r="AE792" s="122"/>
      <c r="AF792" s="122"/>
      <c r="AG792" s="122"/>
      <c r="AH792" s="122"/>
    </row>
    <row r="793" ht="22.5" customHeight="1">
      <c r="A793" s="73"/>
      <c r="B793" s="73"/>
      <c r="C793" s="73"/>
      <c r="D793" s="73"/>
      <c r="E793" s="330"/>
      <c r="F793" s="118"/>
      <c r="G793" s="118"/>
      <c r="H793" s="118"/>
      <c r="I793" s="118"/>
      <c r="J793" s="119"/>
      <c r="K793" s="120"/>
      <c r="L793" s="120"/>
      <c r="M793" s="120"/>
      <c r="N793" s="120"/>
      <c r="O793" s="118"/>
      <c r="P793" s="120"/>
      <c r="Q793" s="121"/>
      <c r="R793" s="109" t="b">
        <v>0</v>
      </c>
      <c r="S793" s="143"/>
      <c r="T793" s="110"/>
      <c r="U793" s="118"/>
      <c r="V793" s="118"/>
      <c r="W793" s="118"/>
      <c r="X793" s="118"/>
      <c r="Y793" s="118"/>
      <c r="Z793" s="118"/>
      <c r="AA793" s="118"/>
      <c r="AB793" s="118"/>
      <c r="AC793" s="118"/>
      <c r="AD793" s="111"/>
      <c r="AE793" s="122"/>
      <c r="AF793" s="122"/>
      <c r="AG793" s="122"/>
      <c r="AH793" s="122"/>
    </row>
    <row r="794" ht="22.5" customHeight="1">
      <c r="A794" s="73"/>
      <c r="B794" s="73"/>
      <c r="C794" s="73"/>
      <c r="D794" s="73"/>
      <c r="E794" s="330"/>
      <c r="F794" s="118"/>
      <c r="G794" s="118"/>
      <c r="H794" s="118"/>
      <c r="I794" s="118"/>
      <c r="J794" s="119"/>
      <c r="K794" s="120"/>
      <c r="L794" s="120"/>
      <c r="M794" s="120"/>
      <c r="N794" s="120"/>
      <c r="O794" s="118"/>
      <c r="P794" s="120"/>
      <c r="Q794" s="121"/>
      <c r="R794" s="109" t="b">
        <v>0</v>
      </c>
      <c r="S794" s="143"/>
      <c r="T794" s="110"/>
      <c r="U794" s="118"/>
      <c r="V794" s="118"/>
      <c r="W794" s="118"/>
      <c r="X794" s="118"/>
      <c r="Y794" s="118"/>
      <c r="Z794" s="118"/>
      <c r="AA794" s="118"/>
      <c r="AB794" s="118"/>
      <c r="AC794" s="118"/>
      <c r="AD794" s="111"/>
      <c r="AE794" s="122"/>
      <c r="AF794" s="122"/>
      <c r="AG794" s="122"/>
      <c r="AH794" s="122"/>
    </row>
    <row r="795" ht="22.5" customHeight="1">
      <c r="A795" s="73"/>
      <c r="B795" s="73"/>
      <c r="C795" s="73"/>
      <c r="D795" s="73"/>
      <c r="E795" s="330"/>
      <c r="F795" s="118"/>
      <c r="G795" s="118"/>
      <c r="H795" s="118"/>
      <c r="I795" s="118"/>
      <c r="J795" s="119"/>
      <c r="K795" s="120"/>
      <c r="L795" s="120"/>
      <c r="M795" s="120"/>
      <c r="N795" s="120"/>
      <c r="O795" s="118"/>
      <c r="P795" s="120"/>
      <c r="Q795" s="121"/>
      <c r="R795" s="109" t="b">
        <v>0</v>
      </c>
      <c r="S795" s="143"/>
      <c r="T795" s="110"/>
      <c r="U795" s="118"/>
      <c r="V795" s="118"/>
      <c r="W795" s="118"/>
      <c r="X795" s="118"/>
      <c r="Y795" s="118"/>
      <c r="Z795" s="118"/>
      <c r="AA795" s="118"/>
      <c r="AB795" s="118"/>
      <c r="AC795" s="118"/>
      <c r="AD795" s="111"/>
      <c r="AE795" s="122"/>
      <c r="AF795" s="122"/>
      <c r="AG795" s="122"/>
      <c r="AH795" s="122"/>
    </row>
    <row r="796" ht="22.5" customHeight="1">
      <c r="A796" s="73"/>
      <c r="B796" s="73"/>
      <c r="C796" s="73"/>
      <c r="D796" s="73"/>
      <c r="E796" s="330"/>
      <c r="F796" s="118"/>
      <c r="G796" s="118"/>
      <c r="H796" s="118"/>
      <c r="I796" s="118"/>
      <c r="J796" s="119"/>
      <c r="K796" s="120"/>
      <c r="L796" s="120"/>
      <c r="M796" s="120"/>
      <c r="N796" s="120"/>
      <c r="O796" s="118"/>
      <c r="P796" s="120"/>
      <c r="Q796" s="121"/>
      <c r="R796" s="109" t="b">
        <v>0</v>
      </c>
      <c r="S796" s="143"/>
      <c r="T796" s="110"/>
      <c r="U796" s="118"/>
      <c r="V796" s="118"/>
      <c r="W796" s="118"/>
      <c r="X796" s="118"/>
      <c r="Y796" s="118"/>
      <c r="Z796" s="118"/>
      <c r="AA796" s="118"/>
      <c r="AB796" s="118"/>
      <c r="AC796" s="118"/>
      <c r="AD796" s="111"/>
      <c r="AE796" s="122"/>
      <c r="AF796" s="122"/>
      <c r="AG796" s="122"/>
      <c r="AH796" s="122"/>
    </row>
    <row r="797" ht="22.5" customHeight="1">
      <c r="A797" s="73"/>
      <c r="B797" s="73"/>
      <c r="C797" s="73"/>
      <c r="D797" s="73"/>
      <c r="E797" s="330"/>
      <c r="F797" s="118"/>
      <c r="G797" s="118"/>
      <c r="H797" s="118"/>
      <c r="I797" s="118"/>
      <c r="J797" s="119"/>
      <c r="K797" s="120"/>
      <c r="L797" s="120"/>
      <c r="M797" s="120"/>
      <c r="N797" s="120"/>
      <c r="O797" s="118"/>
      <c r="P797" s="120"/>
      <c r="Q797" s="121"/>
      <c r="R797" s="109" t="b">
        <v>0</v>
      </c>
      <c r="S797" s="143"/>
      <c r="T797" s="110"/>
      <c r="U797" s="118"/>
      <c r="V797" s="118"/>
      <c r="W797" s="118"/>
      <c r="X797" s="118"/>
      <c r="Y797" s="118"/>
      <c r="Z797" s="118"/>
      <c r="AA797" s="118"/>
      <c r="AB797" s="118"/>
      <c r="AC797" s="118"/>
      <c r="AD797" s="111"/>
      <c r="AE797" s="122"/>
      <c r="AF797" s="122"/>
      <c r="AG797" s="122"/>
      <c r="AH797" s="122"/>
    </row>
    <row r="798" ht="22.5" customHeight="1">
      <c r="A798" s="73"/>
      <c r="B798" s="73"/>
      <c r="C798" s="73"/>
      <c r="D798" s="73"/>
      <c r="E798" s="330"/>
      <c r="F798" s="118"/>
      <c r="G798" s="118"/>
      <c r="H798" s="118"/>
      <c r="I798" s="118"/>
      <c r="J798" s="119"/>
      <c r="K798" s="120"/>
      <c r="L798" s="120"/>
      <c r="M798" s="120"/>
      <c r="N798" s="120"/>
      <c r="O798" s="118"/>
      <c r="P798" s="120"/>
      <c r="Q798" s="121"/>
      <c r="R798" s="109" t="b">
        <v>0</v>
      </c>
      <c r="S798" s="143"/>
      <c r="T798" s="110"/>
      <c r="U798" s="118"/>
      <c r="V798" s="118"/>
      <c r="W798" s="118"/>
      <c r="X798" s="118"/>
      <c r="Y798" s="118"/>
      <c r="Z798" s="118"/>
      <c r="AA798" s="118"/>
      <c r="AB798" s="118"/>
      <c r="AC798" s="118"/>
      <c r="AD798" s="111"/>
      <c r="AE798" s="122"/>
      <c r="AF798" s="122"/>
      <c r="AG798" s="122"/>
      <c r="AH798" s="122"/>
    </row>
    <row r="799" ht="22.5" customHeight="1">
      <c r="A799" s="73"/>
      <c r="B799" s="73"/>
      <c r="C799" s="73"/>
      <c r="D799" s="73"/>
      <c r="E799" s="330"/>
      <c r="F799" s="118"/>
      <c r="G799" s="118"/>
      <c r="H799" s="118"/>
      <c r="I799" s="118"/>
      <c r="J799" s="119"/>
      <c r="K799" s="120"/>
      <c r="L799" s="120"/>
      <c r="M799" s="120"/>
      <c r="N799" s="120"/>
      <c r="O799" s="118"/>
      <c r="P799" s="120"/>
      <c r="Q799" s="121"/>
      <c r="R799" s="109" t="b">
        <v>0</v>
      </c>
      <c r="S799" s="143"/>
      <c r="T799" s="110"/>
      <c r="U799" s="118"/>
      <c r="V799" s="118"/>
      <c r="W799" s="118"/>
      <c r="X799" s="118"/>
      <c r="Y799" s="118"/>
      <c r="Z799" s="118"/>
      <c r="AA799" s="118"/>
      <c r="AB799" s="118"/>
      <c r="AC799" s="118"/>
      <c r="AD799" s="111"/>
      <c r="AE799" s="122"/>
      <c r="AF799" s="122"/>
      <c r="AG799" s="122"/>
      <c r="AH799" s="122"/>
    </row>
    <row r="800" ht="22.5" customHeight="1">
      <c r="A800" s="73"/>
      <c r="B800" s="73"/>
      <c r="C800" s="73"/>
      <c r="D800" s="73"/>
      <c r="E800" s="330"/>
      <c r="F800" s="118"/>
      <c r="G800" s="118"/>
      <c r="H800" s="118"/>
      <c r="I800" s="118"/>
      <c r="J800" s="119"/>
      <c r="K800" s="120"/>
      <c r="L800" s="120"/>
      <c r="M800" s="120"/>
      <c r="N800" s="120"/>
      <c r="O800" s="118"/>
      <c r="P800" s="120"/>
      <c r="Q800" s="121"/>
      <c r="R800" s="109" t="b">
        <v>0</v>
      </c>
      <c r="S800" s="143"/>
      <c r="T800" s="110"/>
      <c r="U800" s="118"/>
      <c r="V800" s="118"/>
      <c r="W800" s="118"/>
      <c r="X800" s="118"/>
      <c r="Y800" s="118"/>
      <c r="Z800" s="118"/>
      <c r="AA800" s="118"/>
      <c r="AB800" s="118"/>
      <c r="AC800" s="118"/>
      <c r="AD800" s="111"/>
      <c r="AE800" s="122"/>
      <c r="AF800" s="122"/>
      <c r="AG800" s="122"/>
      <c r="AH800" s="122"/>
    </row>
    <row r="801" ht="22.5" customHeight="1">
      <c r="A801" s="73"/>
      <c r="B801" s="73"/>
      <c r="C801" s="73"/>
      <c r="D801" s="73"/>
      <c r="E801" s="330"/>
      <c r="F801" s="118"/>
      <c r="G801" s="118"/>
      <c r="H801" s="118"/>
      <c r="I801" s="118"/>
      <c r="J801" s="119"/>
      <c r="K801" s="120"/>
      <c r="L801" s="120"/>
      <c r="M801" s="120"/>
      <c r="N801" s="120"/>
      <c r="O801" s="118"/>
      <c r="P801" s="120"/>
      <c r="Q801" s="121"/>
      <c r="R801" s="109" t="b">
        <v>0</v>
      </c>
      <c r="S801" s="143"/>
      <c r="T801" s="110"/>
      <c r="U801" s="118"/>
      <c r="V801" s="118"/>
      <c r="W801" s="118"/>
      <c r="X801" s="118"/>
      <c r="Y801" s="118"/>
      <c r="Z801" s="118"/>
      <c r="AA801" s="118"/>
      <c r="AB801" s="118"/>
      <c r="AC801" s="118"/>
      <c r="AD801" s="111"/>
      <c r="AE801" s="122"/>
      <c r="AF801" s="122"/>
      <c r="AG801" s="122"/>
      <c r="AH801" s="122"/>
    </row>
    <row r="802" ht="22.5" customHeight="1">
      <c r="A802" s="73"/>
      <c r="B802" s="73"/>
      <c r="C802" s="73"/>
      <c r="D802" s="73"/>
      <c r="E802" s="330"/>
      <c r="F802" s="118"/>
      <c r="G802" s="118"/>
      <c r="H802" s="118"/>
      <c r="I802" s="118"/>
      <c r="J802" s="119"/>
      <c r="K802" s="120"/>
      <c r="L802" s="120"/>
      <c r="M802" s="120"/>
      <c r="N802" s="120"/>
      <c r="O802" s="118"/>
      <c r="P802" s="120"/>
      <c r="Q802" s="121"/>
      <c r="R802" s="109" t="b">
        <v>0</v>
      </c>
      <c r="S802" s="143"/>
      <c r="T802" s="110"/>
      <c r="U802" s="118"/>
      <c r="V802" s="118"/>
      <c r="W802" s="118"/>
      <c r="X802" s="118"/>
      <c r="Y802" s="118"/>
      <c r="Z802" s="118"/>
      <c r="AA802" s="118"/>
      <c r="AB802" s="118"/>
      <c r="AC802" s="118"/>
      <c r="AD802" s="111"/>
      <c r="AE802" s="122"/>
      <c r="AF802" s="122"/>
      <c r="AG802" s="122"/>
      <c r="AH802" s="122"/>
    </row>
    <row r="803" ht="22.5" customHeight="1">
      <c r="A803" s="73"/>
      <c r="B803" s="73"/>
      <c r="C803" s="73"/>
      <c r="D803" s="73"/>
      <c r="E803" s="330"/>
      <c r="F803" s="118"/>
      <c r="G803" s="118"/>
      <c r="H803" s="118"/>
      <c r="I803" s="118"/>
      <c r="J803" s="119"/>
      <c r="K803" s="120"/>
      <c r="L803" s="120"/>
      <c r="M803" s="120"/>
      <c r="N803" s="120"/>
      <c r="O803" s="118"/>
      <c r="P803" s="120"/>
      <c r="Q803" s="121"/>
      <c r="R803" s="109" t="b">
        <v>0</v>
      </c>
      <c r="S803" s="143"/>
      <c r="T803" s="110"/>
      <c r="U803" s="118"/>
      <c r="V803" s="118"/>
      <c r="W803" s="118"/>
      <c r="X803" s="118"/>
      <c r="Y803" s="118"/>
      <c r="Z803" s="118"/>
      <c r="AA803" s="118"/>
      <c r="AB803" s="118"/>
      <c r="AC803" s="118"/>
      <c r="AD803" s="111"/>
      <c r="AE803" s="122"/>
      <c r="AF803" s="122"/>
      <c r="AG803" s="122"/>
      <c r="AH803" s="122"/>
    </row>
    <row r="804" ht="22.5" customHeight="1">
      <c r="A804" s="73"/>
      <c r="B804" s="73"/>
      <c r="C804" s="73"/>
      <c r="D804" s="73"/>
      <c r="E804" s="330"/>
      <c r="F804" s="118"/>
      <c r="G804" s="118"/>
      <c r="H804" s="118"/>
      <c r="I804" s="118"/>
      <c r="J804" s="119"/>
      <c r="K804" s="120"/>
      <c r="L804" s="120"/>
      <c r="M804" s="120"/>
      <c r="N804" s="120"/>
      <c r="O804" s="118"/>
      <c r="P804" s="120"/>
      <c r="Q804" s="121"/>
      <c r="R804" s="109" t="b">
        <v>0</v>
      </c>
      <c r="S804" s="143"/>
      <c r="T804" s="110"/>
      <c r="U804" s="118"/>
      <c r="V804" s="118"/>
      <c r="W804" s="118"/>
      <c r="X804" s="118"/>
      <c r="Y804" s="118"/>
      <c r="Z804" s="118"/>
      <c r="AA804" s="118"/>
      <c r="AB804" s="118"/>
      <c r="AC804" s="118"/>
      <c r="AD804" s="111"/>
      <c r="AE804" s="122"/>
      <c r="AF804" s="122"/>
      <c r="AG804" s="122"/>
      <c r="AH804" s="122"/>
    </row>
    <row r="805" ht="22.5" customHeight="1">
      <c r="A805" s="73"/>
      <c r="B805" s="73"/>
      <c r="C805" s="73"/>
      <c r="D805" s="73"/>
      <c r="E805" s="330"/>
      <c r="F805" s="118"/>
      <c r="G805" s="118"/>
      <c r="H805" s="118"/>
      <c r="I805" s="118"/>
      <c r="J805" s="119"/>
      <c r="K805" s="120"/>
      <c r="L805" s="120"/>
      <c r="M805" s="120"/>
      <c r="N805" s="120"/>
      <c r="O805" s="118"/>
      <c r="P805" s="120"/>
      <c r="Q805" s="121"/>
      <c r="R805" s="109" t="b">
        <v>0</v>
      </c>
      <c r="S805" s="143"/>
      <c r="T805" s="110"/>
      <c r="U805" s="118"/>
      <c r="V805" s="118"/>
      <c r="W805" s="118"/>
      <c r="X805" s="118"/>
      <c r="Y805" s="118"/>
      <c r="Z805" s="118"/>
      <c r="AA805" s="118"/>
      <c r="AB805" s="118"/>
      <c r="AC805" s="118"/>
      <c r="AD805" s="111"/>
      <c r="AE805" s="122"/>
      <c r="AF805" s="122"/>
      <c r="AG805" s="122"/>
      <c r="AH805" s="122"/>
    </row>
    <row r="806" ht="22.5" customHeight="1">
      <c r="A806" s="73"/>
      <c r="B806" s="73"/>
      <c r="C806" s="73"/>
      <c r="D806" s="73"/>
      <c r="E806" s="330"/>
      <c r="F806" s="118"/>
      <c r="G806" s="118"/>
      <c r="H806" s="118"/>
      <c r="I806" s="118"/>
      <c r="J806" s="119"/>
      <c r="K806" s="120"/>
      <c r="L806" s="120"/>
      <c r="M806" s="120"/>
      <c r="N806" s="120"/>
      <c r="O806" s="118"/>
      <c r="P806" s="120"/>
      <c r="Q806" s="121"/>
      <c r="R806" s="109" t="b">
        <v>0</v>
      </c>
      <c r="S806" s="143"/>
      <c r="T806" s="110"/>
      <c r="U806" s="118"/>
      <c r="V806" s="118"/>
      <c r="W806" s="118"/>
      <c r="X806" s="118"/>
      <c r="Y806" s="118"/>
      <c r="Z806" s="118"/>
      <c r="AA806" s="118"/>
      <c r="AB806" s="118"/>
      <c r="AC806" s="118"/>
      <c r="AD806" s="111"/>
      <c r="AE806" s="122"/>
      <c r="AF806" s="122"/>
      <c r="AG806" s="122"/>
      <c r="AH806" s="122"/>
    </row>
    <row r="807" ht="22.5" customHeight="1">
      <c r="A807" s="73"/>
      <c r="B807" s="73"/>
      <c r="C807" s="73"/>
      <c r="D807" s="73"/>
      <c r="E807" s="330"/>
      <c r="F807" s="118"/>
      <c r="G807" s="118"/>
      <c r="H807" s="118"/>
      <c r="I807" s="118"/>
      <c r="J807" s="119"/>
      <c r="K807" s="120"/>
      <c r="L807" s="120"/>
      <c r="M807" s="120"/>
      <c r="N807" s="120"/>
      <c r="O807" s="118"/>
      <c r="P807" s="120"/>
      <c r="Q807" s="121"/>
      <c r="R807" s="109" t="b">
        <v>0</v>
      </c>
      <c r="S807" s="143"/>
      <c r="T807" s="110"/>
      <c r="U807" s="118"/>
      <c r="V807" s="118"/>
      <c r="W807" s="118"/>
      <c r="X807" s="118"/>
      <c r="Y807" s="118"/>
      <c r="Z807" s="118"/>
      <c r="AA807" s="118"/>
      <c r="AB807" s="118"/>
      <c r="AC807" s="118"/>
      <c r="AD807" s="111"/>
      <c r="AE807" s="122"/>
      <c r="AF807" s="122"/>
      <c r="AG807" s="122"/>
      <c r="AH807" s="122"/>
    </row>
    <row r="808" ht="22.5" customHeight="1">
      <c r="A808" s="73"/>
      <c r="B808" s="73"/>
      <c r="C808" s="73"/>
      <c r="D808" s="73"/>
      <c r="E808" s="330"/>
      <c r="F808" s="118"/>
      <c r="G808" s="118"/>
      <c r="H808" s="118"/>
      <c r="I808" s="118"/>
      <c r="J808" s="119"/>
      <c r="K808" s="120"/>
      <c r="L808" s="120"/>
      <c r="M808" s="120"/>
      <c r="N808" s="120"/>
      <c r="O808" s="118"/>
      <c r="P808" s="120"/>
      <c r="Q808" s="121"/>
      <c r="R808" s="109" t="b">
        <v>0</v>
      </c>
      <c r="S808" s="143"/>
      <c r="T808" s="110"/>
      <c r="U808" s="118"/>
      <c r="V808" s="118"/>
      <c r="W808" s="118"/>
      <c r="X808" s="118"/>
      <c r="Y808" s="118"/>
      <c r="Z808" s="118"/>
      <c r="AA808" s="118"/>
      <c r="AB808" s="118"/>
      <c r="AC808" s="118"/>
      <c r="AD808" s="111"/>
      <c r="AE808" s="122"/>
      <c r="AF808" s="122"/>
      <c r="AG808" s="122"/>
      <c r="AH808" s="122"/>
    </row>
    <row r="809" ht="22.5" customHeight="1">
      <c r="A809" s="73"/>
      <c r="B809" s="73"/>
      <c r="C809" s="73"/>
      <c r="D809" s="73"/>
      <c r="E809" s="330"/>
      <c r="F809" s="118"/>
      <c r="G809" s="118"/>
      <c r="H809" s="118"/>
      <c r="I809" s="118"/>
      <c r="J809" s="119"/>
      <c r="K809" s="120"/>
      <c r="L809" s="120"/>
      <c r="M809" s="120"/>
      <c r="N809" s="120"/>
      <c r="O809" s="118"/>
      <c r="P809" s="120"/>
      <c r="Q809" s="121"/>
      <c r="R809" s="109" t="b">
        <v>0</v>
      </c>
      <c r="S809" s="143"/>
      <c r="T809" s="110"/>
      <c r="U809" s="118"/>
      <c r="V809" s="118"/>
      <c r="W809" s="118"/>
      <c r="X809" s="118"/>
      <c r="Y809" s="118"/>
      <c r="Z809" s="118"/>
      <c r="AA809" s="118"/>
      <c r="AB809" s="118"/>
      <c r="AC809" s="118"/>
      <c r="AD809" s="111"/>
      <c r="AE809" s="122"/>
      <c r="AF809" s="122"/>
      <c r="AG809" s="122"/>
      <c r="AH809" s="122"/>
    </row>
    <row r="810" ht="22.5" customHeight="1">
      <c r="A810" s="73"/>
      <c r="B810" s="73"/>
      <c r="C810" s="73"/>
      <c r="D810" s="73"/>
      <c r="E810" s="330"/>
      <c r="F810" s="118"/>
      <c r="G810" s="118"/>
      <c r="H810" s="118"/>
      <c r="I810" s="118"/>
      <c r="J810" s="119"/>
      <c r="K810" s="120"/>
      <c r="L810" s="120"/>
      <c r="M810" s="120"/>
      <c r="N810" s="120"/>
      <c r="O810" s="118"/>
      <c r="P810" s="120"/>
      <c r="Q810" s="121"/>
      <c r="R810" s="109" t="b">
        <v>0</v>
      </c>
      <c r="S810" s="143"/>
      <c r="T810" s="110"/>
      <c r="U810" s="118"/>
      <c r="V810" s="118"/>
      <c r="W810" s="118"/>
      <c r="X810" s="118"/>
      <c r="Y810" s="118"/>
      <c r="Z810" s="118"/>
      <c r="AA810" s="118"/>
      <c r="AB810" s="118"/>
      <c r="AC810" s="118"/>
      <c r="AD810" s="111"/>
      <c r="AE810" s="122"/>
      <c r="AF810" s="122"/>
      <c r="AG810" s="122"/>
      <c r="AH810" s="122"/>
    </row>
    <row r="811" ht="22.5" customHeight="1">
      <c r="A811" s="73"/>
      <c r="B811" s="73"/>
      <c r="C811" s="73"/>
      <c r="D811" s="73"/>
      <c r="E811" s="330"/>
      <c r="F811" s="118"/>
      <c r="G811" s="118"/>
      <c r="H811" s="118"/>
      <c r="I811" s="118"/>
      <c r="J811" s="119"/>
      <c r="K811" s="120"/>
      <c r="L811" s="120"/>
      <c r="M811" s="120"/>
      <c r="N811" s="120"/>
      <c r="O811" s="118"/>
      <c r="P811" s="120"/>
      <c r="Q811" s="121"/>
      <c r="R811" s="109" t="b">
        <v>0</v>
      </c>
      <c r="S811" s="143"/>
      <c r="T811" s="110"/>
      <c r="U811" s="118"/>
      <c r="V811" s="118"/>
      <c r="W811" s="118"/>
      <c r="X811" s="118"/>
      <c r="Y811" s="118"/>
      <c r="Z811" s="118"/>
      <c r="AA811" s="118"/>
      <c r="AB811" s="118"/>
      <c r="AC811" s="118"/>
      <c r="AD811" s="111"/>
      <c r="AE811" s="122"/>
      <c r="AF811" s="122"/>
      <c r="AG811" s="122"/>
      <c r="AH811" s="122"/>
    </row>
    <row r="812" ht="22.5" customHeight="1">
      <c r="A812" s="73"/>
      <c r="B812" s="73"/>
      <c r="C812" s="73"/>
      <c r="D812" s="73"/>
      <c r="E812" s="330"/>
      <c r="F812" s="118"/>
      <c r="G812" s="118"/>
      <c r="H812" s="118"/>
      <c r="I812" s="118"/>
      <c r="J812" s="119"/>
      <c r="K812" s="120"/>
      <c r="L812" s="120"/>
      <c r="M812" s="120"/>
      <c r="N812" s="120"/>
      <c r="O812" s="118"/>
      <c r="P812" s="120"/>
      <c r="Q812" s="121"/>
      <c r="R812" s="109" t="b">
        <v>0</v>
      </c>
      <c r="S812" s="143"/>
      <c r="T812" s="110"/>
      <c r="U812" s="118"/>
      <c r="V812" s="118"/>
      <c r="W812" s="118"/>
      <c r="X812" s="118"/>
      <c r="Y812" s="118"/>
      <c r="Z812" s="118"/>
      <c r="AA812" s="118"/>
      <c r="AB812" s="118"/>
      <c r="AC812" s="118"/>
      <c r="AD812" s="111"/>
      <c r="AE812" s="122"/>
      <c r="AF812" s="122"/>
      <c r="AG812" s="122"/>
      <c r="AH812" s="122"/>
    </row>
    <row r="813" ht="22.5" customHeight="1">
      <c r="A813" s="73"/>
      <c r="B813" s="73"/>
      <c r="C813" s="73"/>
      <c r="D813" s="73"/>
      <c r="E813" s="330"/>
      <c r="F813" s="118"/>
      <c r="G813" s="118"/>
      <c r="H813" s="118"/>
      <c r="I813" s="118"/>
      <c r="J813" s="119"/>
      <c r="K813" s="120"/>
      <c r="L813" s="120"/>
      <c r="M813" s="120"/>
      <c r="N813" s="120"/>
      <c r="O813" s="118"/>
      <c r="P813" s="120"/>
      <c r="Q813" s="121"/>
      <c r="R813" s="109" t="b">
        <v>0</v>
      </c>
      <c r="S813" s="143"/>
      <c r="T813" s="110"/>
      <c r="U813" s="118"/>
      <c r="V813" s="118"/>
      <c r="W813" s="118"/>
      <c r="X813" s="118"/>
      <c r="Y813" s="118"/>
      <c r="Z813" s="118"/>
      <c r="AA813" s="118"/>
      <c r="AB813" s="118"/>
      <c r="AC813" s="118"/>
      <c r="AD813" s="111"/>
      <c r="AE813" s="122"/>
      <c r="AF813" s="122"/>
      <c r="AG813" s="122"/>
      <c r="AH813" s="122"/>
    </row>
    <row r="814" ht="22.5" customHeight="1">
      <c r="A814" s="73"/>
      <c r="B814" s="73"/>
      <c r="C814" s="73"/>
      <c r="D814" s="73"/>
      <c r="E814" s="330"/>
      <c r="F814" s="118"/>
      <c r="G814" s="118"/>
      <c r="H814" s="118"/>
      <c r="I814" s="118"/>
      <c r="J814" s="119"/>
      <c r="K814" s="120"/>
      <c r="L814" s="120"/>
      <c r="M814" s="120"/>
      <c r="N814" s="120"/>
      <c r="O814" s="118"/>
      <c r="P814" s="120"/>
      <c r="Q814" s="121"/>
      <c r="R814" s="109" t="b">
        <v>0</v>
      </c>
      <c r="S814" s="143"/>
      <c r="T814" s="110"/>
      <c r="U814" s="118"/>
      <c r="V814" s="118"/>
      <c r="W814" s="118"/>
      <c r="X814" s="118"/>
      <c r="Y814" s="118"/>
      <c r="Z814" s="118"/>
      <c r="AA814" s="118"/>
      <c r="AB814" s="118"/>
      <c r="AC814" s="118"/>
      <c r="AD814" s="111"/>
      <c r="AE814" s="122"/>
      <c r="AF814" s="122"/>
      <c r="AG814" s="122"/>
      <c r="AH814" s="122"/>
    </row>
    <row r="815" ht="22.5" customHeight="1">
      <c r="A815" s="73"/>
      <c r="B815" s="73"/>
      <c r="C815" s="73"/>
      <c r="D815" s="73"/>
      <c r="E815" s="330"/>
      <c r="F815" s="118"/>
      <c r="G815" s="118"/>
      <c r="H815" s="118"/>
      <c r="I815" s="118"/>
      <c r="J815" s="119"/>
      <c r="K815" s="120"/>
      <c r="L815" s="120"/>
      <c r="M815" s="120"/>
      <c r="N815" s="120"/>
      <c r="O815" s="118"/>
      <c r="P815" s="120"/>
      <c r="Q815" s="121"/>
      <c r="R815" s="109" t="b">
        <v>0</v>
      </c>
      <c r="S815" s="143"/>
      <c r="T815" s="110"/>
      <c r="U815" s="118"/>
      <c r="V815" s="118"/>
      <c r="W815" s="118"/>
      <c r="X815" s="118"/>
      <c r="Y815" s="118"/>
      <c r="Z815" s="118"/>
      <c r="AA815" s="118"/>
      <c r="AB815" s="118"/>
      <c r="AC815" s="118"/>
      <c r="AD815" s="111"/>
      <c r="AE815" s="122"/>
      <c r="AF815" s="122"/>
      <c r="AG815" s="122"/>
      <c r="AH815" s="122"/>
    </row>
    <row r="816" ht="22.5" customHeight="1">
      <c r="A816" s="73"/>
      <c r="B816" s="73"/>
      <c r="C816" s="73"/>
      <c r="D816" s="73"/>
      <c r="E816" s="330"/>
      <c r="F816" s="118"/>
      <c r="G816" s="118"/>
      <c r="H816" s="118"/>
      <c r="I816" s="118"/>
      <c r="J816" s="119"/>
      <c r="K816" s="120"/>
      <c r="L816" s="120"/>
      <c r="M816" s="120"/>
      <c r="N816" s="120"/>
      <c r="O816" s="118"/>
      <c r="P816" s="120"/>
      <c r="Q816" s="121"/>
      <c r="R816" s="109" t="b">
        <v>0</v>
      </c>
      <c r="S816" s="143"/>
      <c r="T816" s="110"/>
      <c r="U816" s="118"/>
      <c r="V816" s="118"/>
      <c r="W816" s="118"/>
      <c r="X816" s="118"/>
      <c r="Y816" s="118"/>
      <c r="Z816" s="118"/>
      <c r="AA816" s="118"/>
      <c r="AB816" s="118"/>
      <c r="AC816" s="118"/>
      <c r="AD816" s="111"/>
      <c r="AE816" s="122"/>
      <c r="AF816" s="122"/>
      <c r="AG816" s="122"/>
      <c r="AH816" s="122"/>
    </row>
    <row r="817" ht="22.5" customHeight="1">
      <c r="A817" s="73"/>
      <c r="B817" s="73"/>
      <c r="C817" s="73"/>
      <c r="D817" s="73"/>
      <c r="E817" s="330"/>
      <c r="F817" s="118"/>
      <c r="G817" s="118"/>
      <c r="H817" s="118"/>
      <c r="I817" s="118"/>
      <c r="J817" s="119"/>
      <c r="K817" s="120"/>
      <c r="L817" s="120"/>
      <c r="M817" s="120"/>
      <c r="N817" s="120"/>
      <c r="O817" s="118"/>
      <c r="P817" s="120"/>
      <c r="Q817" s="121"/>
      <c r="R817" s="109" t="b">
        <v>0</v>
      </c>
      <c r="S817" s="143"/>
      <c r="T817" s="110"/>
      <c r="U817" s="118"/>
      <c r="V817" s="118"/>
      <c r="W817" s="118"/>
      <c r="X817" s="118"/>
      <c r="Y817" s="118"/>
      <c r="Z817" s="118"/>
      <c r="AA817" s="118"/>
      <c r="AB817" s="118"/>
      <c r="AC817" s="118"/>
      <c r="AD817" s="111"/>
      <c r="AE817" s="122"/>
      <c r="AF817" s="122"/>
      <c r="AG817" s="122"/>
      <c r="AH817" s="122"/>
    </row>
    <row r="818" ht="22.5" customHeight="1">
      <c r="A818" s="73"/>
      <c r="B818" s="73"/>
      <c r="C818" s="73"/>
      <c r="D818" s="73"/>
      <c r="E818" s="330"/>
      <c r="F818" s="118"/>
      <c r="G818" s="118"/>
      <c r="H818" s="118"/>
      <c r="I818" s="118"/>
      <c r="J818" s="119"/>
      <c r="K818" s="120"/>
      <c r="L818" s="120"/>
      <c r="M818" s="120"/>
      <c r="N818" s="120"/>
      <c r="O818" s="118"/>
      <c r="P818" s="120"/>
      <c r="Q818" s="121"/>
      <c r="R818" s="109" t="b">
        <v>0</v>
      </c>
      <c r="S818" s="143"/>
      <c r="T818" s="110"/>
      <c r="U818" s="118"/>
      <c r="V818" s="118"/>
      <c r="W818" s="118"/>
      <c r="X818" s="118"/>
      <c r="Y818" s="118"/>
      <c r="Z818" s="118"/>
      <c r="AA818" s="118"/>
      <c r="AB818" s="118"/>
      <c r="AC818" s="118"/>
      <c r="AD818" s="111"/>
      <c r="AE818" s="122"/>
      <c r="AF818" s="122"/>
      <c r="AG818" s="122"/>
      <c r="AH818" s="122"/>
    </row>
    <row r="819" ht="22.5" customHeight="1">
      <c r="A819" s="73"/>
      <c r="B819" s="73"/>
      <c r="C819" s="73"/>
      <c r="D819" s="73"/>
      <c r="E819" s="330"/>
      <c r="F819" s="118"/>
      <c r="G819" s="118"/>
      <c r="H819" s="118"/>
      <c r="I819" s="118"/>
      <c r="J819" s="119"/>
      <c r="K819" s="120"/>
      <c r="L819" s="120"/>
      <c r="M819" s="120"/>
      <c r="N819" s="120"/>
      <c r="O819" s="118"/>
      <c r="P819" s="120"/>
      <c r="Q819" s="121"/>
      <c r="R819" s="109" t="b">
        <v>0</v>
      </c>
      <c r="S819" s="143"/>
      <c r="T819" s="110"/>
      <c r="U819" s="118"/>
      <c r="V819" s="118"/>
      <c r="W819" s="118"/>
      <c r="X819" s="118"/>
      <c r="Y819" s="118"/>
      <c r="Z819" s="118"/>
      <c r="AA819" s="118"/>
      <c r="AB819" s="118"/>
      <c r="AC819" s="118"/>
      <c r="AD819" s="111"/>
      <c r="AE819" s="122"/>
      <c r="AF819" s="122"/>
      <c r="AG819" s="122"/>
      <c r="AH819" s="122"/>
    </row>
    <row r="820" ht="22.5" customHeight="1">
      <c r="A820" s="73"/>
      <c r="B820" s="73"/>
      <c r="C820" s="73"/>
      <c r="D820" s="73"/>
      <c r="E820" s="330"/>
      <c r="F820" s="118"/>
      <c r="G820" s="118"/>
      <c r="H820" s="118"/>
      <c r="I820" s="118"/>
      <c r="J820" s="119"/>
      <c r="K820" s="120"/>
      <c r="L820" s="120"/>
      <c r="M820" s="120"/>
      <c r="N820" s="120"/>
      <c r="O820" s="118"/>
      <c r="P820" s="120"/>
      <c r="Q820" s="121"/>
      <c r="R820" s="109" t="b">
        <v>0</v>
      </c>
      <c r="S820" s="143"/>
      <c r="T820" s="110"/>
      <c r="U820" s="118"/>
      <c r="V820" s="118"/>
      <c r="W820" s="118"/>
      <c r="X820" s="118"/>
      <c r="Y820" s="118"/>
      <c r="Z820" s="118"/>
      <c r="AA820" s="118"/>
      <c r="AB820" s="118"/>
      <c r="AC820" s="118"/>
      <c r="AD820" s="111"/>
      <c r="AE820" s="122"/>
      <c r="AF820" s="122"/>
      <c r="AG820" s="122"/>
      <c r="AH820" s="122"/>
    </row>
    <row r="821" ht="22.5" customHeight="1">
      <c r="A821" s="73"/>
      <c r="B821" s="73"/>
      <c r="C821" s="73"/>
      <c r="D821" s="73"/>
      <c r="E821" s="330"/>
      <c r="F821" s="118"/>
      <c r="G821" s="118"/>
      <c r="H821" s="118"/>
      <c r="I821" s="118"/>
      <c r="J821" s="119"/>
      <c r="K821" s="120"/>
      <c r="L821" s="120"/>
      <c r="M821" s="120"/>
      <c r="N821" s="120"/>
      <c r="O821" s="118"/>
      <c r="P821" s="120"/>
      <c r="Q821" s="121"/>
      <c r="R821" s="109" t="b">
        <v>0</v>
      </c>
      <c r="S821" s="143"/>
      <c r="T821" s="110"/>
      <c r="U821" s="118"/>
      <c r="V821" s="118"/>
      <c r="W821" s="118"/>
      <c r="X821" s="118"/>
      <c r="Y821" s="118"/>
      <c r="Z821" s="118"/>
      <c r="AA821" s="118"/>
      <c r="AB821" s="118"/>
      <c r="AC821" s="118"/>
      <c r="AD821" s="111"/>
      <c r="AE821" s="122"/>
      <c r="AF821" s="122"/>
      <c r="AG821" s="122"/>
      <c r="AH821" s="122"/>
    </row>
    <row r="822" ht="22.5" customHeight="1">
      <c r="A822" s="73"/>
      <c r="B822" s="73"/>
      <c r="C822" s="73"/>
      <c r="D822" s="73"/>
      <c r="E822" s="330"/>
      <c r="F822" s="118"/>
      <c r="G822" s="118"/>
      <c r="H822" s="118"/>
      <c r="I822" s="118"/>
      <c r="J822" s="119"/>
      <c r="K822" s="120"/>
      <c r="L822" s="120"/>
      <c r="M822" s="120"/>
      <c r="N822" s="120"/>
      <c r="O822" s="118"/>
      <c r="P822" s="120"/>
      <c r="Q822" s="121"/>
      <c r="R822" s="109" t="b">
        <v>0</v>
      </c>
      <c r="S822" s="143"/>
      <c r="T822" s="110"/>
      <c r="U822" s="118"/>
      <c r="V822" s="118"/>
      <c r="W822" s="118"/>
      <c r="X822" s="118"/>
      <c r="Y822" s="118"/>
      <c r="Z822" s="118"/>
      <c r="AA822" s="118"/>
      <c r="AB822" s="118"/>
      <c r="AC822" s="118"/>
      <c r="AD822" s="111"/>
      <c r="AE822" s="122"/>
      <c r="AF822" s="122"/>
      <c r="AG822" s="122"/>
      <c r="AH822" s="122"/>
    </row>
    <row r="823" ht="22.5" customHeight="1">
      <c r="A823" s="73"/>
      <c r="B823" s="73"/>
      <c r="C823" s="73"/>
      <c r="D823" s="73"/>
      <c r="E823" s="330"/>
      <c r="F823" s="118"/>
      <c r="G823" s="118"/>
      <c r="H823" s="118"/>
      <c r="I823" s="118"/>
      <c r="J823" s="119"/>
      <c r="K823" s="120"/>
      <c r="L823" s="120"/>
      <c r="M823" s="120"/>
      <c r="N823" s="120"/>
      <c r="O823" s="118"/>
      <c r="P823" s="120"/>
      <c r="Q823" s="121"/>
      <c r="R823" s="109" t="b">
        <v>0</v>
      </c>
      <c r="S823" s="143"/>
      <c r="T823" s="110"/>
      <c r="U823" s="118"/>
      <c r="V823" s="118"/>
      <c r="W823" s="118"/>
      <c r="X823" s="118"/>
      <c r="Y823" s="118"/>
      <c r="Z823" s="118"/>
      <c r="AA823" s="118"/>
      <c r="AB823" s="118"/>
      <c r="AC823" s="118"/>
      <c r="AD823" s="111"/>
      <c r="AE823" s="122"/>
      <c r="AF823" s="122"/>
      <c r="AG823" s="122"/>
      <c r="AH823" s="122"/>
    </row>
    <row r="824" ht="22.5" customHeight="1">
      <c r="A824" s="73"/>
      <c r="B824" s="73"/>
      <c r="C824" s="73"/>
      <c r="D824" s="73"/>
      <c r="E824" s="330"/>
      <c r="F824" s="118"/>
      <c r="G824" s="118"/>
      <c r="H824" s="118"/>
      <c r="I824" s="118"/>
      <c r="J824" s="119"/>
      <c r="K824" s="120"/>
      <c r="L824" s="120"/>
      <c r="M824" s="120"/>
      <c r="N824" s="120"/>
      <c r="O824" s="118"/>
      <c r="P824" s="120"/>
      <c r="Q824" s="121"/>
      <c r="R824" s="109" t="b">
        <v>0</v>
      </c>
      <c r="S824" s="143"/>
      <c r="T824" s="110"/>
      <c r="U824" s="118"/>
      <c r="V824" s="118"/>
      <c r="W824" s="118"/>
      <c r="X824" s="118"/>
      <c r="Y824" s="118"/>
      <c r="Z824" s="118"/>
      <c r="AA824" s="118"/>
      <c r="AB824" s="118"/>
      <c r="AC824" s="118"/>
      <c r="AD824" s="111"/>
      <c r="AE824" s="122"/>
      <c r="AF824" s="122"/>
      <c r="AG824" s="122"/>
      <c r="AH824" s="122"/>
    </row>
    <row r="825" ht="22.5" customHeight="1">
      <c r="A825" s="73"/>
      <c r="B825" s="73"/>
      <c r="C825" s="73"/>
      <c r="D825" s="73"/>
      <c r="E825" s="330"/>
      <c r="F825" s="118"/>
      <c r="G825" s="118"/>
      <c r="H825" s="118"/>
      <c r="I825" s="118"/>
      <c r="J825" s="119"/>
      <c r="K825" s="120"/>
      <c r="L825" s="120"/>
      <c r="M825" s="120"/>
      <c r="N825" s="120"/>
      <c r="O825" s="118"/>
      <c r="P825" s="120"/>
      <c r="Q825" s="121"/>
      <c r="R825" s="109" t="b">
        <v>0</v>
      </c>
      <c r="S825" s="143"/>
      <c r="T825" s="110"/>
      <c r="U825" s="118"/>
      <c r="V825" s="118"/>
      <c r="W825" s="118"/>
      <c r="X825" s="118"/>
      <c r="Y825" s="118"/>
      <c r="Z825" s="118"/>
      <c r="AA825" s="118"/>
      <c r="AB825" s="118"/>
      <c r="AC825" s="118"/>
      <c r="AD825" s="111"/>
      <c r="AE825" s="122"/>
      <c r="AF825" s="122"/>
      <c r="AG825" s="122"/>
      <c r="AH825" s="122"/>
    </row>
    <row r="826" ht="22.5" customHeight="1">
      <c r="A826" s="73"/>
      <c r="B826" s="73"/>
      <c r="C826" s="73"/>
      <c r="D826" s="73"/>
      <c r="E826" s="330"/>
      <c r="F826" s="118"/>
      <c r="G826" s="118"/>
      <c r="H826" s="118"/>
      <c r="I826" s="118"/>
      <c r="J826" s="119"/>
      <c r="K826" s="120"/>
      <c r="L826" s="120"/>
      <c r="M826" s="120"/>
      <c r="N826" s="120"/>
      <c r="O826" s="118"/>
      <c r="P826" s="120"/>
      <c r="Q826" s="121"/>
      <c r="R826" s="109" t="b">
        <v>0</v>
      </c>
      <c r="S826" s="143"/>
      <c r="T826" s="110"/>
      <c r="U826" s="118"/>
      <c r="V826" s="118"/>
      <c r="W826" s="118"/>
      <c r="X826" s="118"/>
      <c r="Y826" s="118"/>
      <c r="Z826" s="118"/>
      <c r="AA826" s="118"/>
      <c r="AB826" s="118"/>
      <c r="AC826" s="118"/>
      <c r="AD826" s="111"/>
      <c r="AE826" s="122"/>
      <c r="AF826" s="122"/>
      <c r="AG826" s="122"/>
      <c r="AH826" s="122"/>
    </row>
    <row r="827" ht="22.5" customHeight="1">
      <c r="A827" s="73"/>
      <c r="B827" s="73"/>
      <c r="C827" s="73"/>
      <c r="D827" s="73"/>
      <c r="E827" s="330"/>
      <c r="F827" s="118"/>
      <c r="G827" s="118"/>
      <c r="H827" s="118"/>
      <c r="I827" s="118"/>
      <c r="J827" s="119"/>
      <c r="K827" s="120"/>
      <c r="L827" s="120"/>
      <c r="M827" s="120"/>
      <c r="N827" s="120"/>
      <c r="O827" s="118"/>
      <c r="P827" s="120"/>
      <c r="Q827" s="121"/>
      <c r="R827" s="109" t="b">
        <v>0</v>
      </c>
      <c r="S827" s="143"/>
      <c r="T827" s="110"/>
      <c r="U827" s="118"/>
      <c r="V827" s="118"/>
      <c r="W827" s="118"/>
      <c r="X827" s="118"/>
      <c r="Y827" s="118"/>
      <c r="Z827" s="118"/>
      <c r="AA827" s="118"/>
      <c r="AB827" s="118"/>
      <c r="AC827" s="118"/>
      <c r="AD827" s="111"/>
      <c r="AE827" s="122"/>
      <c r="AF827" s="122"/>
      <c r="AG827" s="122"/>
      <c r="AH827" s="122"/>
    </row>
    <row r="828" ht="22.5" customHeight="1">
      <c r="A828" s="73"/>
      <c r="B828" s="73"/>
      <c r="C828" s="73"/>
      <c r="D828" s="73"/>
      <c r="E828" s="330"/>
      <c r="F828" s="118"/>
      <c r="G828" s="118"/>
      <c r="H828" s="118"/>
      <c r="I828" s="118"/>
      <c r="J828" s="119"/>
      <c r="K828" s="120"/>
      <c r="L828" s="120"/>
      <c r="M828" s="120"/>
      <c r="N828" s="120"/>
      <c r="O828" s="118"/>
      <c r="P828" s="120"/>
      <c r="Q828" s="121"/>
      <c r="R828" s="109" t="b">
        <v>0</v>
      </c>
      <c r="S828" s="143"/>
      <c r="T828" s="110"/>
      <c r="U828" s="118"/>
      <c r="V828" s="118"/>
      <c r="W828" s="118"/>
      <c r="X828" s="118"/>
      <c r="Y828" s="118"/>
      <c r="Z828" s="118"/>
      <c r="AA828" s="118"/>
      <c r="AB828" s="118"/>
      <c r="AC828" s="118"/>
      <c r="AD828" s="111"/>
      <c r="AE828" s="122"/>
      <c r="AF828" s="122"/>
      <c r="AG828" s="122"/>
      <c r="AH828" s="122"/>
    </row>
    <row r="829" ht="22.5" customHeight="1">
      <c r="A829" s="73"/>
      <c r="B829" s="73"/>
      <c r="C829" s="73"/>
      <c r="D829" s="73"/>
      <c r="E829" s="330"/>
      <c r="F829" s="118"/>
      <c r="G829" s="118"/>
      <c r="H829" s="118"/>
      <c r="I829" s="118"/>
      <c r="J829" s="119"/>
      <c r="K829" s="120"/>
      <c r="L829" s="120"/>
      <c r="M829" s="120"/>
      <c r="N829" s="120"/>
      <c r="O829" s="118"/>
      <c r="P829" s="120"/>
      <c r="Q829" s="121"/>
      <c r="R829" s="109" t="b">
        <v>0</v>
      </c>
      <c r="S829" s="143"/>
      <c r="T829" s="110"/>
      <c r="U829" s="118"/>
      <c r="V829" s="118"/>
      <c r="W829" s="118"/>
      <c r="X829" s="118"/>
      <c r="Y829" s="118"/>
      <c r="Z829" s="118"/>
      <c r="AA829" s="118"/>
      <c r="AB829" s="118"/>
      <c r="AC829" s="118"/>
      <c r="AD829" s="111"/>
      <c r="AE829" s="122"/>
      <c r="AF829" s="122"/>
      <c r="AG829" s="122"/>
      <c r="AH829" s="122"/>
    </row>
    <row r="830" ht="22.5" customHeight="1">
      <c r="A830" s="73"/>
      <c r="B830" s="73"/>
      <c r="C830" s="73"/>
      <c r="D830" s="73"/>
      <c r="E830" s="330"/>
      <c r="F830" s="118"/>
      <c r="G830" s="118"/>
      <c r="H830" s="118"/>
      <c r="I830" s="118"/>
      <c r="J830" s="119"/>
      <c r="K830" s="120"/>
      <c r="L830" s="120"/>
      <c r="M830" s="120"/>
      <c r="N830" s="120"/>
      <c r="O830" s="118"/>
      <c r="P830" s="120"/>
      <c r="Q830" s="121"/>
      <c r="R830" s="109" t="b">
        <v>0</v>
      </c>
      <c r="S830" s="143"/>
      <c r="T830" s="110"/>
      <c r="U830" s="118"/>
      <c r="V830" s="118"/>
      <c r="W830" s="118"/>
      <c r="X830" s="118"/>
      <c r="Y830" s="118"/>
      <c r="Z830" s="118"/>
      <c r="AA830" s="118"/>
      <c r="AB830" s="118"/>
      <c r="AC830" s="118"/>
      <c r="AD830" s="111"/>
      <c r="AE830" s="122"/>
      <c r="AF830" s="122"/>
      <c r="AG830" s="122"/>
      <c r="AH830" s="122"/>
    </row>
    <row r="831" ht="22.5" customHeight="1">
      <c r="A831" s="73"/>
      <c r="B831" s="73"/>
      <c r="C831" s="73"/>
      <c r="D831" s="73"/>
      <c r="E831" s="330"/>
      <c r="F831" s="118"/>
      <c r="G831" s="118"/>
      <c r="H831" s="118"/>
      <c r="I831" s="118"/>
      <c r="J831" s="119"/>
      <c r="K831" s="120"/>
      <c r="L831" s="120"/>
      <c r="M831" s="120"/>
      <c r="N831" s="120"/>
      <c r="O831" s="118"/>
      <c r="P831" s="120"/>
      <c r="Q831" s="121"/>
      <c r="R831" s="109" t="b">
        <v>0</v>
      </c>
      <c r="S831" s="143"/>
      <c r="T831" s="110"/>
      <c r="U831" s="118"/>
      <c r="V831" s="118"/>
      <c r="W831" s="118"/>
      <c r="X831" s="118"/>
      <c r="Y831" s="118"/>
      <c r="Z831" s="118"/>
      <c r="AA831" s="118"/>
      <c r="AB831" s="118"/>
      <c r="AC831" s="118"/>
      <c r="AD831" s="111"/>
      <c r="AE831" s="122"/>
      <c r="AF831" s="122"/>
      <c r="AG831" s="122"/>
      <c r="AH831" s="122"/>
    </row>
    <row r="832" ht="22.5" customHeight="1">
      <c r="A832" s="73"/>
      <c r="B832" s="73"/>
      <c r="C832" s="73"/>
      <c r="D832" s="73"/>
      <c r="E832" s="330"/>
      <c r="F832" s="118"/>
      <c r="G832" s="118"/>
      <c r="H832" s="118"/>
      <c r="I832" s="118"/>
      <c r="J832" s="119"/>
      <c r="K832" s="120"/>
      <c r="L832" s="120"/>
      <c r="M832" s="120"/>
      <c r="N832" s="120"/>
      <c r="O832" s="118"/>
      <c r="P832" s="120"/>
      <c r="Q832" s="121"/>
      <c r="R832" s="109" t="b">
        <v>0</v>
      </c>
      <c r="S832" s="143"/>
      <c r="T832" s="110"/>
      <c r="U832" s="118"/>
      <c r="V832" s="118"/>
      <c r="W832" s="118"/>
      <c r="X832" s="118"/>
      <c r="Y832" s="118"/>
      <c r="Z832" s="118"/>
      <c r="AA832" s="118"/>
      <c r="AB832" s="118"/>
      <c r="AC832" s="118"/>
      <c r="AD832" s="111"/>
      <c r="AE832" s="122"/>
      <c r="AF832" s="122"/>
      <c r="AG832" s="122"/>
      <c r="AH832" s="122"/>
    </row>
    <row r="833" ht="22.5" customHeight="1">
      <c r="A833" s="73"/>
      <c r="B833" s="73"/>
      <c r="C833" s="73"/>
      <c r="D833" s="73"/>
      <c r="E833" s="330"/>
      <c r="F833" s="118"/>
      <c r="G833" s="118"/>
      <c r="H833" s="118"/>
      <c r="I833" s="118"/>
      <c r="J833" s="119"/>
      <c r="K833" s="120"/>
      <c r="L833" s="120"/>
      <c r="M833" s="120"/>
      <c r="N833" s="120"/>
      <c r="O833" s="118"/>
      <c r="P833" s="120"/>
      <c r="Q833" s="121"/>
      <c r="R833" s="109" t="b">
        <v>0</v>
      </c>
      <c r="S833" s="143"/>
      <c r="T833" s="110"/>
      <c r="U833" s="118"/>
      <c r="V833" s="118"/>
      <c r="W833" s="118"/>
      <c r="X833" s="118"/>
      <c r="Y833" s="118"/>
      <c r="Z833" s="118"/>
      <c r="AA833" s="118"/>
      <c r="AB833" s="118"/>
      <c r="AC833" s="118"/>
      <c r="AD833" s="111"/>
      <c r="AE833" s="122"/>
      <c r="AF833" s="122"/>
      <c r="AG833" s="122"/>
      <c r="AH833" s="122"/>
    </row>
    <row r="834" ht="22.5" customHeight="1">
      <c r="A834" s="73"/>
      <c r="B834" s="73"/>
      <c r="C834" s="73"/>
      <c r="D834" s="73"/>
      <c r="E834" s="330"/>
      <c r="F834" s="118"/>
      <c r="G834" s="118"/>
      <c r="H834" s="118"/>
      <c r="I834" s="118"/>
      <c r="J834" s="119"/>
      <c r="K834" s="120"/>
      <c r="L834" s="120"/>
      <c r="M834" s="120"/>
      <c r="N834" s="120"/>
      <c r="O834" s="118"/>
      <c r="P834" s="120"/>
      <c r="Q834" s="121"/>
      <c r="R834" s="109" t="b">
        <v>0</v>
      </c>
      <c r="S834" s="143"/>
      <c r="T834" s="110"/>
      <c r="U834" s="118"/>
      <c r="V834" s="118"/>
      <c r="W834" s="118"/>
      <c r="X834" s="118"/>
      <c r="Y834" s="118"/>
      <c r="Z834" s="118"/>
      <c r="AA834" s="118"/>
      <c r="AB834" s="118"/>
      <c r="AC834" s="118"/>
      <c r="AD834" s="111"/>
      <c r="AE834" s="122"/>
      <c r="AF834" s="122"/>
      <c r="AG834" s="122"/>
      <c r="AH834" s="122"/>
    </row>
    <row r="835" ht="22.5" customHeight="1">
      <c r="A835" s="73"/>
      <c r="B835" s="73"/>
      <c r="C835" s="73"/>
      <c r="D835" s="73"/>
      <c r="E835" s="330"/>
      <c r="F835" s="118"/>
      <c r="G835" s="118"/>
      <c r="H835" s="118"/>
      <c r="I835" s="118"/>
      <c r="J835" s="119"/>
      <c r="K835" s="120"/>
      <c r="L835" s="120"/>
      <c r="M835" s="120"/>
      <c r="N835" s="120"/>
      <c r="O835" s="118"/>
      <c r="P835" s="120"/>
      <c r="Q835" s="121"/>
      <c r="R835" s="109" t="b">
        <v>0</v>
      </c>
      <c r="S835" s="143"/>
      <c r="T835" s="110"/>
      <c r="U835" s="118"/>
      <c r="V835" s="118"/>
      <c r="W835" s="118"/>
      <c r="X835" s="118"/>
      <c r="Y835" s="118"/>
      <c r="Z835" s="118"/>
      <c r="AA835" s="118"/>
      <c r="AB835" s="118"/>
      <c r="AC835" s="118"/>
      <c r="AD835" s="111"/>
      <c r="AE835" s="122"/>
      <c r="AF835" s="122"/>
      <c r="AG835" s="122"/>
      <c r="AH835" s="122"/>
    </row>
    <row r="836" ht="22.5" customHeight="1">
      <c r="A836" s="73"/>
      <c r="B836" s="73"/>
      <c r="C836" s="73"/>
      <c r="D836" s="73"/>
      <c r="E836" s="330"/>
      <c r="F836" s="118"/>
      <c r="G836" s="118"/>
      <c r="H836" s="118"/>
      <c r="I836" s="118"/>
      <c r="J836" s="119"/>
      <c r="K836" s="120"/>
      <c r="L836" s="120"/>
      <c r="M836" s="120"/>
      <c r="N836" s="120"/>
      <c r="O836" s="118"/>
      <c r="P836" s="120"/>
      <c r="Q836" s="121"/>
      <c r="R836" s="109" t="b">
        <v>0</v>
      </c>
      <c r="S836" s="143"/>
      <c r="T836" s="110"/>
      <c r="U836" s="118"/>
      <c r="V836" s="118"/>
      <c r="W836" s="118"/>
      <c r="X836" s="118"/>
      <c r="Y836" s="118"/>
      <c r="Z836" s="118"/>
      <c r="AA836" s="118"/>
      <c r="AB836" s="118"/>
      <c r="AC836" s="118"/>
      <c r="AD836" s="111"/>
      <c r="AE836" s="122"/>
      <c r="AF836" s="122"/>
      <c r="AG836" s="122"/>
      <c r="AH836" s="122"/>
    </row>
    <row r="837" ht="22.5" customHeight="1">
      <c r="A837" s="73"/>
      <c r="B837" s="73"/>
      <c r="C837" s="73"/>
      <c r="D837" s="73"/>
      <c r="E837" s="330"/>
      <c r="F837" s="118"/>
      <c r="G837" s="118"/>
      <c r="H837" s="118"/>
      <c r="I837" s="118"/>
      <c r="J837" s="119"/>
      <c r="K837" s="120"/>
      <c r="L837" s="120"/>
      <c r="M837" s="120"/>
      <c r="N837" s="120"/>
      <c r="O837" s="118"/>
      <c r="P837" s="120"/>
      <c r="Q837" s="121"/>
      <c r="R837" s="109" t="b">
        <v>0</v>
      </c>
      <c r="S837" s="143"/>
      <c r="T837" s="110"/>
      <c r="U837" s="118"/>
      <c r="V837" s="118"/>
      <c r="W837" s="118"/>
      <c r="X837" s="118"/>
      <c r="Y837" s="118"/>
      <c r="Z837" s="118"/>
      <c r="AA837" s="118"/>
      <c r="AB837" s="118"/>
      <c r="AC837" s="118"/>
      <c r="AD837" s="111"/>
      <c r="AE837" s="122"/>
      <c r="AF837" s="122"/>
      <c r="AG837" s="122"/>
      <c r="AH837" s="122"/>
    </row>
    <row r="838" ht="22.5" customHeight="1">
      <c r="A838" s="73"/>
      <c r="B838" s="73"/>
      <c r="C838" s="73"/>
      <c r="D838" s="73"/>
      <c r="E838" s="330"/>
      <c r="F838" s="118"/>
      <c r="G838" s="118"/>
      <c r="H838" s="118"/>
      <c r="I838" s="118"/>
      <c r="J838" s="119"/>
      <c r="K838" s="120"/>
      <c r="L838" s="120"/>
      <c r="M838" s="120"/>
      <c r="N838" s="120"/>
      <c r="O838" s="118"/>
      <c r="P838" s="120"/>
      <c r="Q838" s="121"/>
      <c r="R838" s="109" t="b">
        <v>0</v>
      </c>
      <c r="S838" s="143"/>
      <c r="T838" s="110"/>
      <c r="U838" s="118"/>
      <c r="V838" s="118"/>
      <c r="W838" s="118"/>
      <c r="X838" s="118"/>
      <c r="Y838" s="118"/>
      <c r="Z838" s="118"/>
      <c r="AA838" s="118"/>
      <c r="AB838" s="118"/>
      <c r="AC838" s="118"/>
      <c r="AD838" s="111"/>
      <c r="AE838" s="122"/>
      <c r="AF838" s="122"/>
      <c r="AG838" s="122"/>
      <c r="AH838" s="122"/>
    </row>
    <row r="839" ht="22.5" customHeight="1">
      <c r="A839" s="73"/>
      <c r="B839" s="73"/>
      <c r="C839" s="73"/>
      <c r="D839" s="73"/>
      <c r="E839" s="330"/>
      <c r="F839" s="118"/>
      <c r="G839" s="118"/>
      <c r="H839" s="118"/>
      <c r="I839" s="118"/>
      <c r="J839" s="119"/>
      <c r="K839" s="120"/>
      <c r="L839" s="120"/>
      <c r="M839" s="120"/>
      <c r="N839" s="120"/>
      <c r="O839" s="118"/>
      <c r="P839" s="120"/>
      <c r="Q839" s="121"/>
      <c r="R839" s="109" t="b">
        <v>0</v>
      </c>
      <c r="S839" s="143"/>
      <c r="T839" s="110"/>
      <c r="U839" s="118"/>
      <c r="V839" s="118"/>
      <c r="W839" s="118"/>
      <c r="X839" s="118"/>
      <c r="Y839" s="118"/>
      <c r="Z839" s="118"/>
      <c r="AA839" s="118"/>
      <c r="AB839" s="118"/>
      <c r="AC839" s="118"/>
      <c r="AD839" s="111"/>
      <c r="AE839" s="122"/>
      <c r="AF839" s="122"/>
      <c r="AG839" s="122"/>
      <c r="AH839" s="122"/>
    </row>
    <row r="840" ht="22.5" customHeight="1">
      <c r="A840" s="73"/>
      <c r="B840" s="73"/>
      <c r="C840" s="73"/>
      <c r="D840" s="73"/>
      <c r="E840" s="330"/>
      <c r="F840" s="118"/>
      <c r="G840" s="118"/>
      <c r="H840" s="118"/>
      <c r="I840" s="118"/>
      <c r="J840" s="119"/>
      <c r="K840" s="120"/>
      <c r="L840" s="120"/>
      <c r="M840" s="120"/>
      <c r="N840" s="120"/>
      <c r="O840" s="118"/>
      <c r="P840" s="120"/>
      <c r="Q840" s="121"/>
      <c r="R840" s="109" t="b">
        <v>0</v>
      </c>
      <c r="S840" s="143"/>
      <c r="T840" s="110"/>
      <c r="U840" s="118"/>
      <c r="V840" s="118"/>
      <c r="W840" s="118"/>
      <c r="X840" s="118"/>
      <c r="Y840" s="118"/>
      <c r="Z840" s="118"/>
      <c r="AA840" s="118"/>
      <c r="AB840" s="118"/>
      <c r="AC840" s="118"/>
      <c r="AD840" s="111"/>
      <c r="AE840" s="122"/>
      <c r="AF840" s="122"/>
      <c r="AG840" s="122"/>
      <c r="AH840" s="122"/>
    </row>
    <row r="841" ht="22.5" customHeight="1">
      <c r="A841" s="73"/>
      <c r="B841" s="73"/>
      <c r="C841" s="73"/>
      <c r="D841" s="73"/>
      <c r="E841" s="330"/>
      <c r="F841" s="118"/>
      <c r="G841" s="118"/>
      <c r="H841" s="118"/>
      <c r="I841" s="118"/>
      <c r="J841" s="119"/>
      <c r="K841" s="120"/>
      <c r="L841" s="120"/>
      <c r="M841" s="120"/>
      <c r="N841" s="120"/>
      <c r="O841" s="118"/>
      <c r="P841" s="120"/>
      <c r="Q841" s="121"/>
      <c r="R841" s="109" t="b">
        <v>0</v>
      </c>
      <c r="S841" s="143"/>
      <c r="T841" s="110"/>
      <c r="U841" s="118"/>
      <c r="V841" s="118"/>
      <c r="W841" s="118"/>
      <c r="X841" s="118"/>
      <c r="Y841" s="118"/>
      <c r="Z841" s="118"/>
      <c r="AA841" s="118"/>
      <c r="AB841" s="118"/>
      <c r="AC841" s="118"/>
      <c r="AD841" s="111"/>
      <c r="AE841" s="122"/>
      <c r="AF841" s="122"/>
      <c r="AG841" s="122"/>
      <c r="AH841" s="122"/>
    </row>
    <row r="842" ht="22.5" customHeight="1">
      <c r="A842" s="73"/>
      <c r="B842" s="73"/>
      <c r="C842" s="73"/>
      <c r="D842" s="73"/>
      <c r="E842" s="330"/>
      <c r="F842" s="118"/>
      <c r="G842" s="118"/>
      <c r="H842" s="118"/>
      <c r="I842" s="118"/>
      <c r="J842" s="119"/>
      <c r="K842" s="120"/>
      <c r="L842" s="120"/>
      <c r="M842" s="120"/>
      <c r="N842" s="120"/>
      <c r="O842" s="118"/>
      <c r="P842" s="120"/>
      <c r="Q842" s="121"/>
      <c r="R842" s="109" t="b">
        <v>0</v>
      </c>
      <c r="S842" s="143"/>
      <c r="T842" s="110"/>
      <c r="U842" s="118"/>
      <c r="V842" s="118"/>
      <c r="W842" s="118"/>
      <c r="X842" s="118"/>
      <c r="Y842" s="118"/>
      <c r="Z842" s="118"/>
      <c r="AA842" s="118"/>
      <c r="AB842" s="118"/>
      <c r="AC842" s="118"/>
      <c r="AD842" s="111"/>
      <c r="AE842" s="122"/>
      <c r="AF842" s="122"/>
      <c r="AG842" s="122"/>
      <c r="AH842" s="122"/>
    </row>
    <row r="843" ht="22.5" customHeight="1">
      <c r="A843" s="73"/>
      <c r="B843" s="73"/>
      <c r="C843" s="73"/>
      <c r="D843" s="73"/>
      <c r="E843" s="330"/>
      <c r="F843" s="118"/>
      <c r="G843" s="118"/>
      <c r="H843" s="118"/>
      <c r="I843" s="118"/>
      <c r="J843" s="119"/>
      <c r="K843" s="120"/>
      <c r="L843" s="120"/>
      <c r="M843" s="120"/>
      <c r="N843" s="120"/>
      <c r="O843" s="118"/>
      <c r="P843" s="120"/>
      <c r="Q843" s="121"/>
      <c r="R843" s="109" t="b">
        <v>0</v>
      </c>
      <c r="S843" s="143"/>
      <c r="T843" s="110"/>
      <c r="U843" s="118"/>
      <c r="V843" s="118"/>
      <c r="W843" s="118"/>
      <c r="X843" s="118"/>
      <c r="Y843" s="118"/>
      <c r="Z843" s="118"/>
      <c r="AA843" s="118"/>
      <c r="AB843" s="118"/>
      <c r="AC843" s="118"/>
      <c r="AD843" s="111"/>
      <c r="AE843" s="122"/>
      <c r="AF843" s="122"/>
      <c r="AG843" s="122"/>
      <c r="AH843" s="122"/>
    </row>
    <row r="844" ht="22.5" customHeight="1">
      <c r="A844" s="73"/>
      <c r="B844" s="73"/>
      <c r="C844" s="73"/>
      <c r="D844" s="73"/>
      <c r="E844" s="330"/>
      <c r="F844" s="118"/>
      <c r="G844" s="118"/>
      <c r="H844" s="118"/>
      <c r="I844" s="118"/>
      <c r="J844" s="119"/>
      <c r="K844" s="120"/>
      <c r="L844" s="120"/>
      <c r="M844" s="120"/>
      <c r="N844" s="120"/>
      <c r="O844" s="118"/>
      <c r="P844" s="120"/>
      <c r="Q844" s="121"/>
      <c r="R844" s="109" t="b">
        <v>0</v>
      </c>
      <c r="S844" s="143"/>
      <c r="T844" s="110"/>
      <c r="U844" s="118"/>
      <c r="V844" s="118"/>
      <c r="W844" s="118"/>
      <c r="X844" s="118"/>
      <c r="Y844" s="118"/>
      <c r="Z844" s="118"/>
      <c r="AA844" s="118"/>
      <c r="AB844" s="118"/>
      <c r="AC844" s="118"/>
      <c r="AD844" s="111"/>
      <c r="AE844" s="122"/>
      <c r="AF844" s="122"/>
      <c r="AG844" s="122"/>
      <c r="AH844" s="122"/>
    </row>
    <row r="845" ht="22.5" customHeight="1">
      <c r="A845" s="73"/>
      <c r="B845" s="73"/>
      <c r="C845" s="73"/>
      <c r="D845" s="73"/>
      <c r="E845" s="330"/>
      <c r="F845" s="118"/>
      <c r="G845" s="118"/>
      <c r="H845" s="118"/>
      <c r="I845" s="118"/>
      <c r="J845" s="119"/>
      <c r="K845" s="120"/>
      <c r="L845" s="120"/>
      <c r="M845" s="120"/>
      <c r="N845" s="120"/>
      <c r="O845" s="118"/>
      <c r="P845" s="120"/>
      <c r="Q845" s="121"/>
      <c r="R845" s="109" t="b">
        <v>0</v>
      </c>
      <c r="S845" s="143"/>
      <c r="T845" s="110"/>
      <c r="U845" s="118"/>
      <c r="V845" s="118"/>
      <c r="W845" s="118"/>
      <c r="X845" s="118"/>
      <c r="Y845" s="118"/>
      <c r="Z845" s="118"/>
      <c r="AA845" s="118"/>
      <c r="AB845" s="118"/>
      <c r="AC845" s="118"/>
      <c r="AD845" s="111"/>
      <c r="AE845" s="122"/>
      <c r="AF845" s="122"/>
      <c r="AG845" s="122"/>
      <c r="AH845" s="122"/>
    </row>
    <row r="846" ht="22.5" customHeight="1">
      <c r="A846" s="73"/>
      <c r="B846" s="73"/>
      <c r="C846" s="73"/>
      <c r="D846" s="73"/>
      <c r="E846" s="330"/>
      <c r="F846" s="118"/>
      <c r="G846" s="118"/>
      <c r="H846" s="118"/>
      <c r="I846" s="118"/>
      <c r="J846" s="119"/>
      <c r="K846" s="120"/>
      <c r="L846" s="120"/>
      <c r="M846" s="120"/>
      <c r="N846" s="120"/>
      <c r="O846" s="118"/>
      <c r="P846" s="120"/>
      <c r="Q846" s="121"/>
      <c r="R846" s="109" t="b">
        <v>0</v>
      </c>
      <c r="S846" s="143"/>
      <c r="T846" s="110"/>
      <c r="U846" s="118"/>
      <c r="V846" s="118"/>
      <c r="W846" s="118"/>
      <c r="X846" s="118"/>
      <c r="Y846" s="118"/>
      <c r="Z846" s="118"/>
      <c r="AA846" s="118"/>
      <c r="AB846" s="118"/>
      <c r="AC846" s="118"/>
      <c r="AD846" s="111"/>
      <c r="AE846" s="122"/>
      <c r="AF846" s="122"/>
      <c r="AG846" s="122"/>
      <c r="AH846" s="122"/>
    </row>
    <row r="847" ht="22.5" customHeight="1">
      <c r="A847" s="73"/>
      <c r="B847" s="73"/>
      <c r="C847" s="73"/>
      <c r="D847" s="73"/>
      <c r="E847" s="330"/>
      <c r="F847" s="118"/>
      <c r="G847" s="118"/>
      <c r="H847" s="118"/>
      <c r="I847" s="118"/>
      <c r="J847" s="119"/>
      <c r="K847" s="120"/>
      <c r="L847" s="120"/>
      <c r="M847" s="120"/>
      <c r="N847" s="120"/>
      <c r="O847" s="118"/>
      <c r="P847" s="120"/>
      <c r="Q847" s="121"/>
      <c r="R847" s="109" t="b">
        <v>0</v>
      </c>
      <c r="S847" s="143"/>
      <c r="T847" s="110"/>
      <c r="U847" s="118"/>
      <c r="V847" s="118"/>
      <c r="W847" s="118"/>
      <c r="X847" s="118"/>
      <c r="Y847" s="118"/>
      <c r="Z847" s="118"/>
      <c r="AA847" s="118"/>
      <c r="AB847" s="118"/>
      <c r="AC847" s="118"/>
      <c r="AD847" s="111"/>
      <c r="AE847" s="122"/>
      <c r="AF847" s="122"/>
      <c r="AG847" s="122"/>
      <c r="AH847" s="122"/>
    </row>
    <row r="848" ht="22.5" customHeight="1">
      <c r="A848" s="73"/>
      <c r="B848" s="73"/>
      <c r="C848" s="73"/>
      <c r="D848" s="73"/>
      <c r="E848" s="330"/>
      <c r="F848" s="118"/>
      <c r="G848" s="118"/>
      <c r="H848" s="118"/>
      <c r="I848" s="118"/>
      <c r="J848" s="119"/>
      <c r="K848" s="120"/>
      <c r="L848" s="120"/>
      <c r="M848" s="120"/>
      <c r="N848" s="120"/>
      <c r="O848" s="118"/>
      <c r="P848" s="120"/>
      <c r="Q848" s="121"/>
      <c r="R848" s="109" t="b">
        <v>0</v>
      </c>
      <c r="S848" s="143"/>
      <c r="T848" s="110"/>
      <c r="U848" s="118"/>
      <c r="V848" s="118"/>
      <c r="W848" s="118"/>
      <c r="X848" s="118"/>
      <c r="Y848" s="118"/>
      <c r="Z848" s="118"/>
      <c r="AA848" s="118"/>
      <c r="AB848" s="118"/>
      <c r="AC848" s="118"/>
      <c r="AD848" s="111"/>
      <c r="AE848" s="122"/>
      <c r="AF848" s="122"/>
      <c r="AG848" s="122"/>
      <c r="AH848" s="122"/>
    </row>
    <row r="849" ht="22.5" customHeight="1">
      <c r="A849" s="73"/>
      <c r="B849" s="73"/>
      <c r="C849" s="73"/>
      <c r="D849" s="73"/>
      <c r="E849" s="330"/>
      <c r="F849" s="118"/>
      <c r="G849" s="118"/>
      <c r="H849" s="118"/>
      <c r="I849" s="118"/>
      <c r="J849" s="119"/>
      <c r="K849" s="120"/>
      <c r="L849" s="120"/>
      <c r="M849" s="120"/>
      <c r="N849" s="120"/>
      <c r="O849" s="118"/>
      <c r="P849" s="120"/>
      <c r="Q849" s="121"/>
      <c r="R849" s="109" t="b">
        <v>0</v>
      </c>
      <c r="S849" s="143"/>
      <c r="T849" s="110"/>
      <c r="U849" s="118"/>
      <c r="V849" s="118"/>
      <c r="W849" s="118"/>
      <c r="X849" s="118"/>
      <c r="Y849" s="118"/>
      <c r="Z849" s="118"/>
      <c r="AA849" s="118"/>
      <c r="AB849" s="118"/>
      <c r="AC849" s="118"/>
      <c r="AD849" s="111"/>
      <c r="AE849" s="122"/>
      <c r="AF849" s="122"/>
      <c r="AG849" s="122"/>
      <c r="AH849" s="122"/>
    </row>
    <row r="850" ht="22.5" customHeight="1">
      <c r="A850" s="73"/>
      <c r="B850" s="73"/>
      <c r="C850" s="73"/>
      <c r="D850" s="73"/>
      <c r="E850" s="330"/>
      <c r="F850" s="118"/>
      <c r="G850" s="118"/>
      <c r="H850" s="118"/>
      <c r="I850" s="118"/>
      <c r="J850" s="119"/>
      <c r="K850" s="120"/>
      <c r="L850" s="120"/>
      <c r="M850" s="120"/>
      <c r="N850" s="120"/>
      <c r="O850" s="118"/>
      <c r="P850" s="120"/>
      <c r="Q850" s="121"/>
      <c r="R850" s="109" t="b">
        <v>0</v>
      </c>
      <c r="S850" s="143"/>
      <c r="T850" s="110"/>
      <c r="U850" s="118"/>
      <c r="V850" s="118"/>
      <c r="W850" s="118"/>
      <c r="X850" s="118"/>
      <c r="Y850" s="118"/>
      <c r="Z850" s="118"/>
      <c r="AA850" s="118"/>
      <c r="AB850" s="118"/>
      <c r="AC850" s="118"/>
      <c r="AD850" s="111"/>
      <c r="AE850" s="122"/>
      <c r="AF850" s="122"/>
      <c r="AG850" s="122"/>
      <c r="AH850" s="122"/>
    </row>
    <row r="851" ht="22.5" customHeight="1">
      <c r="A851" s="73"/>
      <c r="B851" s="73"/>
      <c r="C851" s="73"/>
      <c r="D851" s="73"/>
      <c r="E851" s="330"/>
      <c r="F851" s="118"/>
      <c r="G851" s="118"/>
      <c r="H851" s="118"/>
      <c r="I851" s="118"/>
      <c r="J851" s="119"/>
      <c r="K851" s="120"/>
      <c r="L851" s="120"/>
      <c r="M851" s="120"/>
      <c r="N851" s="120"/>
      <c r="O851" s="118"/>
      <c r="P851" s="120"/>
      <c r="Q851" s="121"/>
      <c r="R851" s="109" t="b">
        <v>0</v>
      </c>
      <c r="S851" s="143"/>
      <c r="T851" s="110"/>
      <c r="U851" s="118"/>
      <c r="V851" s="118"/>
      <c r="W851" s="118"/>
      <c r="X851" s="118"/>
      <c r="Y851" s="118"/>
      <c r="Z851" s="118"/>
      <c r="AA851" s="118"/>
      <c r="AB851" s="118"/>
      <c r="AC851" s="118"/>
      <c r="AD851" s="111"/>
      <c r="AE851" s="122"/>
      <c r="AF851" s="122"/>
      <c r="AG851" s="122"/>
      <c r="AH851" s="122"/>
    </row>
    <row r="852" ht="22.5" customHeight="1">
      <c r="A852" s="73"/>
      <c r="B852" s="73"/>
      <c r="C852" s="73"/>
      <c r="D852" s="73"/>
      <c r="E852" s="330"/>
      <c r="F852" s="118"/>
      <c r="G852" s="118"/>
      <c r="H852" s="118"/>
      <c r="I852" s="118"/>
      <c r="J852" s="119"/>
      <c r="K852" s="120"/>
      <c r="L852" s="120"/>
      <c r="M852" s="120"/>
      <c r="N852" s="120"/>
      <c r="O852" s="118"/>
      <c r="P852" s="120"/>
      <c r="Q852" s="121"/>
      <c r="R852" s="109" t="b">
        <v>0</v>
      </c>
      <c r="S852" s="143"/>
      <c r="T852" s="110"/>
      <c r="U852" s="118"/>
      <c r="V852" s="118"/>
      <c r="W852" s="118"/>
      <c r="X852" s="118"/>
      <c r="Y852" s="118"/>
      <c r="Z852" s="118"/>
      <c r="AA852" s="118"/>
      <c r="AB852" s="118"/>
      <c r="AC852" s="118"/>
      <c r="AD852" s="111"/>
      <c r="AE852" s="122"/>
      <c r="AF852" s="122"/>
      <c r="AG852" s="122"/>
      <c r="AH852" s="122"/>
    </row>
    <row r="853" ht="22.5" customHeight="1">
      <c r="A853" s="73"/>
      <c r="B853" s="73"/>
      <c r="C853" s="73"/>
      <c r="D853" s="73"/>
      <c r="E853" s="330"/>
      <c r="F853" s="118"/>
      <c r="G853" s="118"/>
      <c r="H853" s="118"/>
      <c r="I853" s="118"/>
      <c r="J853" s="119"/>
      <c r="K853" s="120"/>
      <c r="L853" s="120"/>
      <c r="M853" s="120"/>
      <c r="N853" s="120"/>
      <c r="O853" s="118"/>
      <c r="P853" s="120"/>
      <c r="Q853" s="121"/>
      <c r="R853" s="109" t="b">
        <v>0</v>
      </c>
      <c r="S853" s="143"/>
      <c r="T853" s="110"/>
      <c r="U853" s="118"/>
      <c r="V853" s="118"/>
      <c r="W853" s="118"/>
      <c r="X853" s="118"/>
      <c r="Y853" s="118"/>
      <c r="Z853" s="118"/>
      <c r="AA853" s="118"/>
      <c r="AB853" s="118"/>
      <c r="AC853" s="118"/>
      <c r="AD853" s="111"/>
      <c r="AE853" s="122"/>
      <c r="AF853" s="122"/>
      <c r="AG853" s="122"/>
      <c r="AH853" s="122"/>
    </row>
    <row r="854" ht="22.5" customHeight="1">
      <c r="A854" s="73"/>
      <c r="B854" s="73"/>
      <c r="C854" s="73"/>
      <c r="D854" s="73"/>
      <c r="E854" s="330"/>
      <c r="F854" s="118"/>
      <c r="G854" s="118"/>
      <c r="H854" s="118"/>
      <c r="I854" s="118"/>
      <c r="J854" s="119"/>
      <c r="K854" s="120"/>
      <c r="L854" s="120"/>
      <c r="M854" s="120"/>
      <c r="N854" s="120"/>
      <c r="O854" s="118"/>
      <c r="P854" s="120"/>
      <c r="Q854" s="121"/>
      <c r="R854" s="109" t="b">
        <v>0</v>
      </c>
      <c r="S854" s="143"/>
      <c r="T854" s="110"/>
      <c r="U854" s="118"/>
      <c r="V854" s="118"/>
      <c r="W854" s="118"/>
      <c r="X854" s="118"/>
      <c r="Y854" s="118"/>
      <c r="Z854" s="118"/>
      <c r="AA854" s="118"/>
      <c r="AB854" s="118"/>
      <c r="AC854" s="118"/>
      <c r="AD854" s="111"/>
      <c r="AE854" s="122"/>
      <c r="AF854" s="122"/>
      <c r="AG854" s="122"/>
      <c r="AH854" s="122"/>
    </row>
    <row r="855" ht="22.5" customHeight="1">
      <c r="A855" s="73"/>
      <c r="B855" s="73"/>
      <c r="C855" s="73"/>
      <c r="D855" s="73"/>
      <c r="E855" s="330"/>
      <c r="F855" s="118"/>
      <c r="G855" s="118"/>
      <c r="H855" s="118"/>
      <c r="I855" s="118"/>
      <c r="J855" s="119"/>
      <c r="K855" s="120"/>
      <c r="L855" s="120"/>
      <c r="M855" s="120"/>
      <c r="N855" s="120"/>
      <c r="O855" s="118"/>
      <c r="P855" s="120"/>
      <c r="Q855" s="121"/>
      <c r="R855" s="109" t="b">
        <v>0</v>
      </c>
      <c r="S855" s="143"/>
      <c r="T855" s="110"/>
      <c r="U855" s="118"/>
      <c r="V855" s="118"/>
      <c r="W855" s="118"/>
      <c r="X855" s="118"/>
      <c r="Y855" s="118"/>
      <c r="Z855" s="118"/>
      <c r="AA855" s="118"/>
      <c r="AB855" s="118"/>
      <c r="AC855" s="118"/>
      <c r="AD855" s="111"/>
      <c r="AE855" s="122"/>
      <c r="AF855" s="122"/>
      <c r="AG855" s="122"/>
      <c r="AH855" s="122"/>
    </row>
    <row r="856" ht="22.5" customHeight="1">
      <c r="A856" s="73"/>
      <c r="B856" s="73"/>
      <c r="C856" s="73"/>
      <c r="D856" s="73"/>
      <c r="E856" s="330"/>
      <c r="F856" s="118"/>
      <c r="G856" s="118"/>
      <c r="H856" s="118"/>
      <c r="I856" s="118"/>
      <c r="J856" s="119"/>
      <c r="K856" s="120"/>
      <c r="L856" s="120"/>
      <c r="M856" s="120"/>
      <c r="N856" s="120"/>
      <c r="O856" s="118"/>
      <c r="P856" s="120"/>
      <c r="Q856" s="121"/>
      <c r="R856" s="109" t="b">
        <v>0</v>
      </c>
      <c r="S856" s="143"/>
      <c r="T856" s="110"/>
      <c r="U856" s="118"/>
      <c r="V856" s="118"/>
      <c r="W856" s="118"/>
      <c r="X856" s="118"/>
      <c r="Y856" s="118"/>
      <c r="Z856" s="118"/>
      <c r="AA856" s="118"/>
      <c r="AB856" s="118"/>
      <c r="AC856" s="118"/>
      <c r="AD856" s="111"/>
      <c r="AE856" s="122"/>
      <c r="AF856" s="122"/>
      <c r="AG856" s="122"/>
      <c r="AH856" s="122"/>
    </row>
    <row r="857" ht="22.5" customHeight="1">
      <c r="A857" s="73"/>
      <c r="B857" s="73"/>
      <c r="C857" s="73"/>
      <c r="D857" s="73"/>
      <c r="E857" s="330"/>
      <c r="F857" s="118"/>
      <c r="G857" s="118"/>
      <c r="H857" s="118"/>
      <c r="I857" s="118"/>
      <c r="J857" s="119"/>
      <c r="K857" s="120"/>
      <c r="L857" s="120"/>
      <c r="M857" s="120"/>
      <c r="N857" s="120"/>
      <c r="O857" s="118"/>
      <c r="P857" s="120"/>
      <c r="Q857" s="121"/>
      <c r="R857" s="109" t="b">
        <v>0</v>
      </c>
      <c r="S857" s="143"/>
      <c r="T857" s="110"/>
      <c r="U857" s="118"/>
      <c r="V857" s="118"/>
      <c r="W857" s="118"/>
      <c r="X857" s="118"/>
      <c r="Y857" s="118"/>
      <c r="Z857" s="118"/>
      <c r="AA857" s="118"/>
      <c r="AB857" s="118"/>
      <c r="AC857" s="118"/>
      <c r="AD857" s="111"/>
      <c r="AE857" s="122"/>
      <c r="AF857" s="122"/>
      <c r="AG857" s="122"/>
      <c r="AH857" s="122"/>
    </row>
    <row r="858" ht="22.5" customHeight="1">
      <c r="A858" s="73"/>
      <c r="B858" s="73"/>
      <c r="C858" s="73"/>
      <c r="D858" s="73"/>
      <c r="E858" s="330"/>
      <c r="F858" s="118"/>
      <c r="G858" s="118"/>
      <c r="H858" s="118"/>
      <c r="I858" s="118"/>
      <c r="J858" s="119"/>
      <c r="K858" s="120"/>
      <c r="L858" s="120"/>
      <c r="M858" s="120"/>
      <c r="N858" s="120"/>
      <c r="O858" s="118"/>
      <c r="P858" s="120"/>
      <c r="Q858" s="121"/>
      <c r="R858" s="109" t="b">
        <v>0</v>
      </c>
      <c r="S858" s="143"/>
      <c r="T858" s="110"/>
      <c r="U858" s="118"/>
      <c r="V858" s="118"/>
      <c r="W858" s="118"/>
      <c r="X858" s="118"/>
      <c r="Y858" s="118"/>
      <c r="Z858" s="118"/>
      <c r="AA858" s="118"/>
      <c r="AB858" s="118"/>
      <c r="AC858" s="118"/>
      <c r="AD858" s="111"/>
      <c r="AE858" s="122"/>
      <c r="AF858" s="122"/>
      <c r="AG858" s="122"/>
      <c r="AH858" s="122"/>
    </row>
    <row r="859" ht="22.5" customHeight="1">
      <c r="A859" s="73"/>
      <c r="B859" s="73"/>
      <c r="C859" s="73"/>
      <c r="D859" s="73"/>
      <c r="E859" s="330"/>
      <c r="F859" s="118"/>
      <c r="G859" s="118"/>
      <c r="H859" s="118"/>
      <c r="I859" s="118"/>
      <c r="J859" s="119"/>
      <c r="K859" s="120"/>
      <c r="L859" s="120"/>
      <c r="M859" s="120"/>
      <c r="N859" s="120"/>
      <c r="O859" s="118"/>
      <c r="P859" s="120"/>
      <c r="Q859" s="121"/>
      <c r="R859" s="109" t="b">
        <v>0</v>
      </c>
      <c r="S859" s="143"/>
      <c r="T859" s="110"/>
      <c r="U859" s="118"/>
      <c r="V859" s="118"/>
      <c r="W859" s="118"/>
      <c r="X859" s="118"/>
      <c r="Y859" s="118"/>
      <c r="Z859" s="118"/>
      <c r="AA859" s="118"/>
      <c r="AB859" s="118"/>
      <c r="AC859" s="118"/>
      <c r="AD859" s="111"/>
      <c r="AE859" s="122"/>
      <c r="AF859" s="122"/>
      <c r="AG859" s="122"/>
      <c r="AH859" s="122"/>
    </row>
    <row r="860" ht="22.5" customHeight="1">
      <c r="A860" s="73"/>
      <c r="B860" s="73"/>
      <c r="C860" s="73"/>
      <c r="D860" s="73"/>
      <c r="E860" s="330"/>
      <c r="F860" s="118"/>
      <c r="G860" s="118"/>
      <c r="H860" s="118"/>
      <c r="I860" s="118"/>
      <c r="J860" s="119"/>
      <c r="K860" s="120"/>
      <c r="L860" s="120"/>
      <c r="M860" s="120"/>
      <c r="N860" s="120"/>
      <c r="O860" s="118"/>
      <c r="P860" s="120"/>
      <c r="Q860" s="121"/>
      <c r="R860" s="109" t="b">
        <v>0</v>
      </c>
      <c r="S860" s="143"/>
      <c r="T860" s="110"/>
      <c r="U860" s="118"/>
      <c r="V860" s="118"/>
      <c r="W860" s="118"/>
      <c r="X860" s="118"/>
      <c r="Y860" s="118"/>
      <c r="Z860" s="118"/>
      <c r="AA860" s="118"/>
      <c r="AB860" s="118"/>
      <c r="AC860" s="118"/>
      <c r="AD860" s="111"/>
      <c r="AE860" s="122"/>
      <c r="AF860" s="122"/>
      <c r="AG860" s="122"/>
      <c r="AH860" s="122"/>
    </row>
    <row r="861" ht="22.5" customHeight="1">
      <c r="A861" s="73"/>
      <c r="B861" s="73"/>
      <c r="C861" s="73"/>
      <c r="D861" s="73"/>
      <c r="E861" s="330"/>
      <c r="F861" s="118"/>
      <c r="G861" s="118"/>
      <c r="H861" s="118"/>
      <c r="I861" s="118"/>
      <c r="J861" s="119"/>
      <c r="K861" s="120"/>
      <c r="L861" s="120"/>
      <c r="M861" s="120"/>
      <c r="N861" s="120"/>
      <c r="O861" s="118"/>
      <c r="P861" s="120"/>
      <c r="Q861" s="121"/>
      <c r="R861" s="109" t="b">
        <v>0</v>
      </c>
      <c r="S861" s="143"/>
      <c r="T861" s="110"/>
      <c r="U861" s="118"/>
      <c r="V861" s="118"/>
      <c r="W861" s="118"/>
      <c r="X861" s="118"/>
      <c r="Y861" s="118"/>
      <c r="Z861" s="118"/>
      <c r="AA861" s="118"/>
      <c r="AB861" s="118"/>
      <c r="AC861" s="118"/>
      <c r="AD861" s="111"/>
      <c r="AE861" s="122"/>
      <c r="AF861" s="122"/>
      <c r="AG861" s="122"/>
      <c r="AH861" s="122"/>
    </row>
    <row r="862" ht="22.5" customHeight="1">
      <c r="A862" s="73"/>
      <c r="B862" s="73"/>
      <c r="C862" s="73"/>
      <c r="D862" s="73"/>
      <c r="E862" s="330"/>
      <c r="F862" s="118"/>
      <c r="G862" s="118"/>
      <c r="H862" s="118"/>
      <c r="I862" s="118"/>
      <c r="J862" s="119"/>
      <c r="K862" s="120"/>
      <c r="L862" s="120"/>
      <c r="M862" s="120"/>
      <c r="N862" s="120"/>
      <c r="O862" s="118"/>
      <c r="P862" s="120"/>
      <c r="Q862" s="121"/>
      <c r="R862" s="109" t="b">
        <v>0</v>
      </c>
      <c r="S862" s="143"/>
      <c r="T862" s="110"/>
      <c r="U862" s="118"/>
      <c r="V862" s="118"/>
      <c r="W862" s="118"/>
      <c r="X862" s="118"/>
      <c r="Y862" s="118"/>
      <c r="Z862" s="118"/>
      <c r="AA862" s="118"/>
      <c r="AB862" s="118"/>
      <c r="AC862" s="118"/>
      <c r="AD862" s="111"/>
      <c r="AE862" s="122"/>
      <c r="AF862" s="122"/>
      <c r="AG862" s="122"/>
      <c r="AH862" s="122"/>
    </row>
    <row r="863" ht="22.5" customHeight="1">
      <c r="A863" s="73"/>
      <c r="B863" s="73"/>
      <c r="C863" s="73"/>
      <c r="D863" s="73"/>
      <c r="E863" s="330"/>
      <c r="F863" s="118"/>
      <c r="G863" s="118"/>
      <c r="H863" s="118"/>
      <c r="I863" s="118"/>
      <c r="J863" s="119"/>
      <c r="K863" s="120"/>
      <c r="L863" s="120"/>
      <c r="M863" s="120"/>
      <c r="N863" s="120"/>
      <c r="O863" s="118"/>
      <c r="P863" s="120"/>
      <c r="Q863" s="121"/>
      <c r="R863" s="109" t="b">
        <v>0</v>
      </c>
      <c r="S863" s="143"/>
      <c r="T863" s="110"/>
      <c r="U863" s="118"/>
      <c r="V863" s="118"/>
      <c r="W863" s="118"/>
      <c r="X863" s="118"/>
      <c r="Y863" s="118"/>
      <c r="Z863" s="118"/>
      <c r="AA863" s="118"/>
      <c r="AB863" s="118"/>
      <c r="AC863" s="118"/>
      <c r="AD863" s="111"/>
      <c r="AE863" s="122"/>
      <c r="AF863" s="122"/>
      <c r="AG863" s="122"/>
      <c r="AH863" s="122"/>
    </row>
    <row r="864" ht="22.5" customHeight="1">
      <c r="A864" s="73"/>
      <c r="B864" s="73"/>
      <c r="C864" s="73"/>
      <c r="D864" s="73"/>
      <c r="E864" s="330"/>
      <c r="F864" s="118"/>
      <c r="G864" s="118"/>
      <c r="H864" s="118"/>
      <c r="I864" s="118"/>
      <c r="J864" s="119"/>
      <c r="K864" s="120"/>
      <c r="L864" s="120"/>
      <c r="M864" s="120"/>
      <c r="N864" s="120"/>
      <c r="O864" s="118"/>
      <c r="P864" s="120"/>
      <c r="Q864" s="121"/>
      <c r="R864" s="109" t="b">
        <v>0</v>
      </c>
      <c r="S864" s="143"/>
      <c r="T864" s="110"/>
      <c r="U864" s="118"/>
      <c r="V864" s="118"/>
      <c r="W864" s="118"/>
      <c r="X864" s="118"/>
      <c r="Y864" s="118"/>
      <c r="Z864" s="118"/>
      <c r="AA864" s="118"/>
      <c r="AB864" s="118"/>
      <c r="AC864" s="118"/>
      <c r="AD864" s="111"/>
      <c r="AE864" s="122"/>
      <c r="AF864" s="122"/>
      <c r="AG864" s="122"/>
      <c r="AH864" s="122"/>
    </row>
    <row r="865" ht="22.5" customHeight="1">
      <c r="A865" s="73"/>
      <c r="B865" s="73"/>
      <c r="C865" s="73"/>
      <c r="D865" s="73"/>
      <c r="E865" s="330"/>
      <c r="F865" s="118"/>
      <c r="G865" s="118"/>
      <c r="H865" s="118"/>
      <c r="I865" s="118"/>
      <c r="J865" s="119"/>
      <c r="K865" s="120"/>
      <c r="L865" s="120"/>
      <c r="M865" s="120"/>
      <c r="N865" s="120"/>
      <c r="O865" s="118"/>
      <c r="P865" s="120"/>
      <c r="Q865" s="121"/>
      <c r="R865" s="109" t="b">
        <v>0</v>
      </c>
      <c r="S865" s="143"/>
      <c r="T865" s="110"/>
      <c r="U865" s="118"/>
      <c r="V865" s="118"/>
      <c r="W865" s="118"/>
      <c r="X865" s="118"/>
      <c r="Y865" s="118"/>
      <c r="Z865" s="118"/>
      <c r="AA865" s="118"/>
      <c r="AB865" s="118"/>
      <c r="AC865" s="118"/>
      <c r="AD865" s="111"/>
      <c r="AE865" s="122"/>
      <c r="AF865" s="122"/>
      <c r="AG865" s="122"/>
      <c r="AH865" s="122"/>
    </row>
    <row r="866" ht="22.5" customHeight="1">
      <c r="A866" s="73"/>
      <c r="B866" s="73"/>
      <c r="C866" s="73"/>
      <c r="D866" s="73"/>
      <c r="E866" s="330"/>
      <c r="F866" s="118"/>
      <c r="G866" s="118"/>
      <c r="H866" s="118"/>
      <c r="I866" s="118"/>
      <c r="J866" s="119"/>
      <c r="K866" s="120"/>
      <c r="L866" s="120"/>
      <c r="M866" s="120"/>
      <c r="N866" s="120"/>
      <c r="O866" s="118"/>
      <c r="P866" s="120"/>
      <c r="Q866" s="121"/>
      <c r="R866" s="109" t="b">
        <v>0</v>
      </c>
      <c r="S866" s="143"/>
      <c r="T866" s="110"/>
      <c r="U866" s="118"/>
      <c r="V866" s="118"/>
      <c r="W866" s="118"/>
      <c r="X866" s="118"/>
      <c r="Y866" s="118"/>
      <c r="Z866" s="118"/>
      <c r="AA866" s="118"/>
      <c r="AB866" s="118"/>
      <c r="AC866" s="118"/>
      <c r="AD866" s="111"/>
      <c r="AE866" s="122"/>
      <c r="AF866" s="122"/>
      <c r="AG866" s="122"/>
      <c r="AH866" s="122"/>
    </row>
    <row r="867" ht="22.5" customHeight="1">
      <c r="A867" s="73"/>
      <c r="B867" s="73"/>
      <c r="C867" s="73"/>
      <c r="D867" s="73"/>
      <c r="E867" s="330"/>
      <c r="F867" s="118"/>
      <c r="G867" s="118"/>
      <c r="H867" s="118"/>
      <c r="I867" s="118"/>
      <c r="J867" s="119"/>
      <c r="K867" s="120"/>
      <c r="L867" s="120"/>
      <c r="M867" s="120"/>
      <c r="N867" s="120"/>
      <c r="O867" s="118"/>
      <c r="P867" s="120"/>
      <c r="Q867" s="121"/>
      <c r="R867" s="109" t="b">
        <v>0</v>
      </c>
      <c r="S867" s="143"/>
      <c r="T867" s="110"/>
      <c r="U867" s="118"/>
      <c r="V867" s="118"/>
      <c r="W867" s="118"/>
      <c r="X867" s="118"/>
      <c r="Y867" s="118"/>
      <c r="Z867" s="118"/>
      <c r="AA867" s="118"/>
      <c r="AB867" s="118"/>
      <c r="AC867" s="118"/>
      <c r="AD867" s="111"/>
      <c r="AE867" s="122"/>
      <c r="AF867" s="122"/>
      <c r="AG867" s="122"/>
      <c r="AH867" s="122"/>
    </row>
    <row r="868" ht="22.5" customHeight="1">
      <c r="A868" s="73"/>
      <c r="B868" s="73"/>
      <c r="C868" s="73"/>
      <c r="D868" s="73"/>
      <c r="E868" s="330"/>
      <c r="F868" s="118"/>
      <c r="G868" s="118"/>
      <c r="H868" s="118"/>
      <c r="I868" s="118"/>
      <c r="J868" s="119"/>
      <c r="K868" s="120"/>
      <c r="L868" s="120"/>
      <c r="M868" s="120"/>
      <c r="N868" s="120"/>
      <c r="O868" s="118"/>
      <c r="P868" s="120"/>
      <c r="Q868" s="121"/>
      <c r="R868" s="109" t="b">
        <v>0</v>
      </c>
      <c r="S868" s="143"/>
      <c r="T868" s="110"/>
      <c r="U868" s="118"/>
      <c r="V868" s="118"/>
      <c r="W868" s="118"/>
      <c r="X868" s="118"/>
      <c r="Y868" s="118"/>
      <c r="Z868" s="118"/>
      <c r="AA868" s="118"/>
      <c r="AB868" s="118"/>
      <c r="AC868" s="118"/>
      <c r="AD868" s="111"/>
      <c r="AE868" s="122"/>
      <c r="AF868" s="122"/>
      <c r="AG868" s="122"/>
      <c r="AH868" s="122"/>
    </row>
    <row r="869" ht="22.5" customHeight="1">
      <c r="A869" s="73"/>
      <c r="B869" s="73"/>
      <c r="C869" s="73"/>
      <c r="D869" s="73"/>
      <c r="E869" s="330"/>
      <c r="F869" s="118"/>
      <c r="G869" s="118"/>
      <c r="H869" s="118"/>
      <c r="I869" s="118"/>
      <c r="J869" s="119"/>
      <c r="K869" s="120"/>
      <c r="L869" s="120"/>
      <c r="M869" s="120"/>
      <c r="N869" s="120"/>
      <c r="O869" s="118"/>
      <c r="P869" s="120"/>
      <c r="Q869" s="121"/>
      <c r="R869" s="109" t="b">
        <v>0</v>
      </c>
      <c r="S869" s="143"/>
      <c r="T869" s="110"/>
      <c r="U869" s="118"/>
      <c r="V869" s="118"/>
      <c r="W869" s="118"/>
      <c r="X869" s="118"/>
      <c r="Y869" s="118"/>
      <c r="Z869" s="118"/>
      <c r="AA869" s="118"/>
      <c r="AB869" s="118"/>
      <c r="AC869" s="118"/>
      <c r="AD869" s="111"/>
      <c r="AE869" s="122"/>
      <c r="AF869" s="122"/>
      <c r="AG869" s="122"/>
      <c r="AH869" s="122"/>
    </row>
    <row r="870" ht="22.5" customHeight="1">
      <c r="A870" s="73"/>
      <c r="B870" s="73"/>
      <c r="C870" s="73"/>
      <c r="D870" s="73"/>
      <c r="E870" s="330"/>
      <c r="F870" s="118"/>
      <c r="G870" s="118"/>
      <c r="H870" s="118"/>
      <c r="I870" s="118"/>
      <c r="J870" s="119"/>
      <c r="K870" s="120"/>
      <c r="L870" s="120"/>
      <c r="M870" s="120"/>
      <c r="N870" s="120"/>
      <c r="O870" s="118"/>
      <c r="P870" s="120"/>
      <c r="Q870" s="121"/>
      <c r="R870" s="109" t="b">
        <v>0</v>
      </c>
      <c r="S870" s="143"/>
      <c r="T870" s="110"/>
      <c r="U870" s="118"/>
      <c r="V870" s="118"/>
      <c r="W870" s="118"/>
      <c r="X870" s="118"/>
      <c r="Y870" s="118"/>
      <c r="Z870" s="118"/>
      <c r="AA870" s="118"/>
      <c r="AB870" s="118"/>
      <c r="AC870" s="118"/>
      <c r="AD870" s="111"/>
      <c r="AE870" s="122"/>
      <c r="AF870" s="122"/>
      <c r="AG870" s="122"/>
      <c r="AH870" s="122"/>
    </row>
    <row r="871" ht="22.5" customHeight="1">
      <c r="A871" s="73"/>
      <c r="B871" s="73"/>
      <c r="C871" s="73"/>
      <c r="D871" s="73"/>
      <c r="E871" s="330"/>
      <c r="F871" s="118"/>
      <c r="G871" s="118"/>
      <c r="H871" s="118"/>
      <c r="I871" s="118"/>
      <c r="J871" s="119"/>
      <c r="K871" s="120"/>
      <c r="L871" s="120"/>
      <c r="M871" s="120"/>
      <c r="N871" s="120"/>
      <c r="O871" s="118"/>
      <c r="P871" s="120"/>
      <c r="Q871" s="121"/>
      <c r="R871" s="109" t="b">
        <v>0</v>
      </c>
      <c r="S871" s="143"/>
      <c r="T871" s="110"/>
      <c r="U871" s="118"/>
      <c r="V871" s="118"/>
      <c r="W871" s="118"/>
      <c r="X871" s="118"/>
      <c r="Y871" s="118"/>
      <c r="Z871" s="118"/>
      <c r="AA871" s="118"/>
      <c r="AB871" s="118"/>
      <c r="AC871" s="118"/>
      <c r="AD871" s="111"/>
      <c r="AE871" s="122"/>
      <c r="AF871" s="122"/>
      <c r="AG871" s="122"/>
      <c r="AH871" s="122"/>
    </row>
    <row r="872" ht="22.5" customHeight="1">
      <c r="A872" s="73"/>
      <c r="B872" s="73"/>
      <c r="C872" s="73"/>
      <c r="D872" s="73"/>
      <c r="E872" s="330"/>
      <c r="F872" s="118"/>
      <c r="G872" s="118"/>
      <c r="H872" s="118"/>
      <c r="I872" s="118"/>
      <c r="J872" s="119"/>
      <c r="K872" s="120"/>
      <c r="L872" s="120"/>
      <c r="M872" s="120"/>
      <c r="N872" s="120"/>
      <c r="O872" s="118"/>
      <c r="P872" s="120"/>
      <c r="Q872" s="121"/>
      <c r="R872" s="109" t="b">
        <v>0</v>
      </c>
      <c r="S872" s="143"/>
      <c r="T872" s="110"/>
      <c r="U872" s="118"/>
      <c r="V872" s="118"/>
      <c r="W872" s="118"/>
      <c r="X872" s="118"/>
      <c r="Y872" s="118"/>
      <c r="Z872" s="118"/>
      <c r="AA872" s="118"/>
      <c r="AB872" s="118"/>
      <c r="AC872" s="118"/>
      <c r="AD872" s="111"/>
      <c r="AE872" s="122"/>
      <c r="AF872" s="122"/>
      <c r="AG872" s="122"/>
      <c r="AH872" s="122"/>
    </row>
    <row r="873" ht="22.5" customHeight="1">
      <c r="A873" s="73"/>
      <c r="B873" s="73"/>
      <c r="C873" s="73"/>
      <c r="D873" s="73"/>
      <c r="E873" s="330"/>
      <c r="F873" s="118"/>
      <c r="G873" s="118"/>
      <c r="H873" s="118"/>
      <c r="I873" s="118"/>
      <c r="J873" s="119"/>
      <c r="K873" s="120"/>
      <c r="L873" s="120"/>
      <c r="M873" s="120"/>
      <c r="N873" s="120"/>
      <c r="O873" s="118"/>
      <c r="P873" s="120"/>
      <c r="Q873" s="121"/>
      <c r="R873" s="109" t="b">
        <v>0</v>
      </c>
      <c r="S873" s="143"/>
      <c r="T873" s="110"/>
      <c r="U873" s="118"/>
      <c r="V873" s="118"/>
      <c r="W873" s="118"/>
      <c r="X873" s="118"/>
      <c r="Y873" s="118"/>
      <c r="Z873" s="118"/>
      <c r="AA873" s="118"/>
      <c r="AB873" s="118"/>
      <c r="AC873" s="118"/>
      <c r="AD873" s="111"/>
      <c r="AE873" s="122"/>
      <c r="AF873" s="122"/>
      <c r="AG873" s="122"/>
      <c r="AH873" s="122"/>
    </row>
    <row r="874" ht="22.5" customHeight="1">
      <c r="A874" s="73"/>
      <c r="B874" s="73"/>
      <c r="C874" s="73"/>
      <c r="D874" s="73"/>
      <c r="E874" s="330"/>
      <c r="F874" s="118"/>
      <c r="G874" s="118"/>
      <c r="H874" s="118"/>
      <c r="I874" s="118"/>
      <c r="J874" s="119"/>
      <c r="K874" s="120"/>
      <c r="L874" s="120"/>
      <c r="M874" s="120"/>
      <c r="N874" s="120"/>
      <c r="O874" s="118"/>
      <c r="P874" s="120"/>
      <c r="Q874" s="121"/>
      <c r="R874" s="109" t="b">
        <v>0</v>
      </c>
      <c r="S874" s="143"/>
      <c r="T874" s="110"/>
      <c r="U874" s="118"/>
      <c r="V874" s="118"/>
      <c r="W874" s="118"/>
      <c r="X874" s="118"/>
      <c r="Y874" s="118"/>
      <c r="Z874" s="118"/>
      <c r="AA874" s="118"/>
      <c r="AB874" s="118"/>
      <c r="AC874" s="118"/>
      <c r="AD874" s="111"/>
      <c r="AE874" s="122"/>
      <c r="AF874" s="122"/>
      <c r="AG874" s="122"/>
      <c r="AH874" s="122"/>
    </row>
    <row r="875" ht="22.5" customHeight="1">
      <c r="A875" s="73"/>
      <c r="B875" s="73"/>
      <c r="C875" s="73"/>
      <c r="D875" s="73"/>
      <c r="E875" s="330"/>
      <c r="F875" s="118"/>
      <c r="G875" s="118"/>
      <c r="H875" s="118"/>
      <c r="I875" s="118"/>
      <c r="J875" s="119"/>
      <c r="K875" s="120"/>
      <c r="L875" s="120"/>
      <c r="M875" s="120"/>
      <c r="N875" s="120"/>
      <c r="O875" s="118"/>
      <c r="P875" s="120"/>
      <c r="Q875" s="121"/>
      <c r="R875" s="109" t="b">
        <v>0</v>
      </c>
      <c r="S875" s="143"/>
      <c r="T875" s="110"/>
      <c r="U875" s="118"/>
      <c r="V875" s="118"/>
      <c r="W875" s="118"/>
      <c r="X875" s="118"/>
      <c r="Y875" s="118"/>
      <c r="Z875" s="118"/>
      <c r="AA875" s="118"/>
      <c r="AB875" s="118"/>
      <c r="AC875" s="118"/>
      <c r="AD875" s="111"/>
      <c r="AE875" s="122"/>
      <c r="AF875" s="122"/>
      <c r="AG875" s="122"/>
      <c r="AH875" s="122"/>
    </row>
    <row r="876" ht="22.5" customHeight="1">
      <c r="A876" s="73"/>
      <c r="B876" s="73"/>
      <c r="C876" s="73"/>
      <c r="D876" s="73"/>
      <c r="E876" s="330"/>
      <c r="F876" s="118"/>
      <c r="G876" s="118"/>
      <c r="H876" s="118"/>
      <c r="I876" s="118"/>
      <c r="J876" s="119"/>
      <c r="K876" s="120"/>
      <c r="L876" s="120"/>
      <c r="M876" s="120"/>
      <c r="N876" s="120"/>
      <c r="O876" s="118"/>
      <c r="P876" s="120"/>
      <c r="Q876" s="121"/>
      <c r="R876" s="109" t="b">
        <v>0</v>
      </c>
      <c r="S876" s="143"/>
      <c r="T876" s="110"/>
      <c r="U876" s="118"/>
      <c r="V876" s="118"/>
      <c r="W876" s="118"/>
      <c r="X876" s="118"/>
      <c r="Y876" s="118"/>
      <c r="Z876" s="118"/>
      <c r="AA876" s="118"/>
      <c r="AB876" s="118"/>
      <c r="AC876" s="118"/>
      <c r="AD876" s="111"/>
      <c r="AE876" s="122"/>
      <c r="AF876" s="122"/>
      <c r="AG876" s="122"/>
      <c r="AH876" s="122"/>
    </row>
    <row r="877" ht="22.5" customHeight="1">
      <c r="A877" s="73"/>
      <c r="B877" s="73"/>
      <c r="C877" s="73"/>
      <c r="D877" s="73"/>
      <c r="E877" s="330"/>
      <c r="F877" s="118"/>
      <c r="G877" s="118"/>
      <c r="H877" s="118"/>
      <c r="I877" s="118"/>
      <c r="J877" s="119"/>
      <c r="K877" s="120"/>
      <c r="L877" s="120"/>
      <c r="M877" s="120"/>
      <c r="N877" s="120"/>
      <c r="O877" s="118"/>
      <c r="P877" s="120"/>
      <c r="Q877" s="121"/>
      <c r="R877" s="109" t="b">
        <v>0</v>
      </c>
      <c r="S877" s="143"/>
      <c r="T877" s="110"/>
      <c r="U877" s="118"/>
      <c r="V877" s="118"/>
      <c r="W877" s="118"/>
      <c r="X877" s="118"/>
      <c r="Y877" s="118"/>
      <c r="Z877" s="118"/>
      <c r="AA877" s="118"/>
      <c r="AB877" s="118"/>
      <c r="AC877" s="118"/>
      <c r="AD877" s="111"/>
      <c r="AE877" s="122"/>
      <c r="AF877" s="122"/>
      <c r="AG877" s="122"/>
      <c r="AH877" s="122"/>
    </row>
    <row r="878" ht="22.5" customHeight="1">
      <c r="A878" s="73"/>
      <c r="B878" s="73"/>
      <c r="C878" s="73"/>
      <c r="D878" s="73"/>
      <c r="E878" s="330"/>
      <c r="F878" s="118"/>
      <c r="G878" s="118"/>
      <c r="H878" s="118"/>
      <c r="I878" s="118"/>
      <c r="J878" s="119"/>
      <c r="K878" s="120"/>
      <c r="L878" s="120"/>
      <c r="M878" s="120"/>
      <c r="N878" s="120"/>
      <c r="O878" s="118"/>
      <c r="P878" s="120"/>
      <c r="Q878" s="121"/>
      <c r="R878" s="109" t="b">
        <v>0</v>
      </c>
      <c r="S878" s="143"/>
      <c r="T878" s="110"/>
      <c r="U878" s="118"/>
      <c r="V878" s="118"/>
      <c r="W878" s="118"/>
      <c r="X878" s="118"/>
      <c r="Y878" s="118"/>
      <c r="Z878" s="118"/>
      <c r="AA878" s="118"/>
      <c r="AB878" s="118"/>
      <c r="AC878" s="118"/>
      <c r="AD878" s="111"/>
      <c r="AE878" s="122"/>
      <c r="AF878" s="122"/>
      <c r="AG878" s="122"/>
      <c r="AH878" s="122"/>
    </row>
    <row r="879" ht="22.5" customHeight="1">
      <c r="A879" s="73"/>
      <c r="B879" s="73"/>
      <c r="C879" s="73"/>
      <c r="D879" s="73"/>
      <c r="E879" s="330"/>
      <c r="F879" s="118"/>
      <c r="G879" s="118"/>
      <c r="H879" s="118"/>
      <c r="I879" s="118"/>
      <c r="J879" s="119"/>
      <c r="K879" s="120"/>
      <c r="L879" s="120"/>
      <c r="M879" s="120"/>
      <c r="N879" s="120"/>
      <c r="O879" s="118"/>
      <c r="P879" s="120"/>
      <c r="Q879" s="121"/>
      <c r="R879" s="109" t="b">
        <v>0</v>
      </c>
      <c r="S879" s="143"/>
      <c r="T879" s="110"/>
      <c r="U879" s="118"/>
      <c r="V879" s="118"/>
      <c r="W879" s="118"/>
      <c r="X879" s="118"/>
      <c r="Y879" s="118"/>
      <c r="Z879" s="118"/>
      <c r="AA879" s="118"/>
      <c r="AB879" s="118"/>
      <c r="AC879" s="118"/>
      <c r="AD879" s="111"/>
      <c r="AE879" s="122"/>
      <c r="AF879" s="122"/>
      <c r="AG879" s="122"/>
      <c r="AH879" s="122"/>
    </row>
    <row r="880" ht="22.5" customHeight="1">
      <c r="A880" s="73"/>
      <c r="B880" s="73"/>
      <c r="C880" s="73"/>
      <c r="D880" s="73"/>
      <c r="E880" s="330"/>
      <c r="F880" s="118"/>
      <c r="G880" s="118"/>
      <c r="H880" s="118"/>
      <c r="I880" s="118"/>
      <c r="J880" s="119"/>
      <c r="K880" s="120"/>
      <c r="L880" s="120"/>
      <c r="M880" s="120"/>
      <c r="N880" s="120"/>
      <c r="O880" s="118"/>
      <c r="P880" s="120"/>
      <c r="Q880" s="121"/>
      <c r="R880" s="109" t="b">
        <v>0</v>
      </c>
      <c r="S880" s="143"/>
      <c r="T880" s="110"/>
      <c r="U880" s="118"/>
      <c r="V880" s="118"/>
      <c r="W880" s="118"/>
      <c r="X880" s="118"/>
      <c r="Y880" s="118"/>
      <c r="Z880" s="118"/>
      <c r="AA880" s="118"/>
      <c r="AB880" s="118"/>
      <c r="AC880" s="118"/>
      <c r="AD880" s="111"/>
      <c r="AE880" s="122"/>
      <c r="AF880" s="122"/>
      <c r="AG880" s="122"/>
      <c r="AH880" s="122"/>
    </row>
    <row r="881" ht="22.5" customHeight="1">
      <c r="A881" s="73"/>
      <c r="B881" s="73"/>
      <c r="C881" s="73"/>
      <c r="D881" s="73"/>
      <c r="E881" s="330"/>
      <c r="F881" s="118"/>
      <c r="G881" s="118"/>
      <c r="H881" s="118"/>
      <c r="I881" s="118"/>
      <c r="J881" s="119"/>
      <c r="K881" s="120"/>
      <c r="L881" s="120"/>
      <c r="M881" s="120"/>
      <c r="N881" s="120"/>
      <c r="O881" s="118"/>
      <c r="P881" s="120"/>
      <c r="Q881" s="121"/>
      <c r="R881" s="109" t="b">
        <v>0</v>
      </c>
      <c r="S881" s="143"/>
      <c r="T881" s="110"/>
      <c r="U881" s="118"/>
      <c r="V881" s="118"/>
      <c r="W881" s="118"/>
      <c r="X881" s="118"/>
      <c r="Y881" s="118"/>
      <c r="Z881" s="118"/>
      <c r="AA881" s="118"/>
      <c r="AB881" s="118"/>
      <c r="AC881" s="118"/>
      <c r="AD881" s="111"/>
      <c r="AE881" s="122"/>
      <c r="AF881" s="122"/>
      <c r="AG881" s="122"/>
      <c r="AH881" s="122"/>
    </row>
    <row r="882" ht="22.5" customHeight="1">
      <c r="A882" s="73"/>
      <c r="B882" s="73"/>
      <c r="C882" s="73"/>
      <c r="D882" s="73"/>
      <c r="E882" s="330"/>
      <c r="F882" s="118"/>
      <c r="G882" s="118"/>
      <c r="H882" s="118"/>
      <c r="I882" s="118"/>
      <c r="J882" s="119"/>
      <c r="K882" s="120"/>
      <c r="L882" s="120"/>
      <c r="M882" s="120"/>
      <c r="N882" s="120"/>
      <c r="O882" s="118"/>
      <c r="P882" s="120"/>
      <c r="Q882" s="121"/>
      <c r="R882" s="109" t="b">
        <v>0</v>
      </c>
      <c r="S882" s="143"/>
      <c r="T882" s="110"/>
      <c r="U882" s="118"/>
      <c r="V882" s="118"/>
      <c r="W882" s="118"/>
      <c r="X882" s="118"/>
      <c r="Y882" s="118"/>
      <c r="Z882" s="118"/>
      <c r="AA882" s="118"/>
      <c r="AB882" s="118"/>
      <c r="AC882" s="118"/>
      <c r="AD882" s="111"/>
      <c r="AE882" s="122"/>
      <c r="AF882" s="122"/>
      <c r="AG882" s="122"/>
      <c r="AH882" s="122"/>
    </row>
    <row r="883" ht="22.5" customHeight="1">
      <c r="A883" s="73"/>
      <c r="B883" s="73"/>
      <c r="C883" s="73"/>
      <c r="D883" s="73"/>
      <c r="E883" s="330"/>
      <c r="F883" s="118"/>
      <c r="G883" s="118"/>
      <c r="H883" s="118"/>
      <c r="I883" s="118"/>
      <c r="J883" s="119"/>
      <c r="K883" s="120"/>
      <c r="L883" s="120"/>
      <c r="M883" s="120"/>
      <c r="N883" s="120"/>
      <c r="O883" s="118"/>
      <c r="P883" s="120"/>
      <c r="Q883" s="121"/>
      <c r="R883" s="109" t="b">
        <v>0</v>
      </c>
      <c r="S883" s="143"/>
      <c r="T883" s="110"/>
      <c r="U883" s="118"/>
      <c r="V883" s="118"/>
      <c r="W883" s="118"/>
      <c r="X883" s="118"/>
      <c r="Y883" s="118"/>
      <c r="Z883" s="118"/>
      <c r="AA883" s="118"/>
      <c r="AB883" s="118"/>
      <c r="AC883" s="118"/>
      <c r="AD883" s="111"/>
      <c r="AE883" s="122"/>
      <c r="AF883" s="122"/>
      <c r="AG883" s="122"/>
      <c r="AH883" s="122"/>
    </row>
    <row r="884" ht="22.5" customHeight="1">
      <c r="A884" s="73"/>
      <c r="B884" s="73"/>
      <c r="C884" s="73"/>
      <c r="D884" s="73"/>
      <c r="E884" s="330"/>
      <c r="F884" s="118"/>
      <c r="G884" s="118"/>
      <c r="H884" s="118"/>
      <c r="I884" s="118"/>
      <c r="J884" s="119"/>
      <c r="K884" s="120"/>
      <c r="L884" s="120"/>
      <c r="M884" s="120"/>
      <c r="N884" s="120"/>
      <c r="O884" s="118"/>
      <c r="P884" s="120"/>
      <c r="Q884" s="121"/>
      <c r="R884" s="109" t="b">
        <v>0</v>
      </c>
      <c r="S884" s="143"/>
      <c r="T884" s="110"/>
      <c r="U884" s="118"/>
      <c r="V884" s="118"/>
      <c r="W884" s="118"/>
      <c r="X884" s="118"/>
      <c r="Y884" s="118"/>
      <c r="Z884" s="118"/>
      <c r="AA884" s="118"/>
      <c r="AB884" s="118"/>
      <c r="AC884" s="118"/>
      <c r="AD884" s="111"/>
      <c r="AE884" s="122"/>
      <c r="AF884" s="122"/>
      <c r="AG884" s="122"/>
      <c r="AH884" s="122"/>
    </row>
    <row r="885" ht="22.5" customHeight="1">
      <c r="A885" s="73"/>
      <c r="B885" s="73"/>
      <c r="C885" s="73"/>
      <c r="D885" s="73"/>
      <c r="E885" s="330"/>
      <c r="F885" s="118"/>
      <c r="G885" s="118"/>
      <c r="H885" s="118"/>
      <c r="I885" s="118"/>
      <c r="J885" s="119"/>
      <c r="K885" s="120"/>
      <c r="L885" s="120"/>
      <c r="M885" s="120"/>
      <c r="N885" s="120"/>
      <c r="O885" s="118"/>
      <c r="P885" s="120"/>
      <c r="Q885" s="121"/>
      <c r="R885" s="109" t="b">
        <v>0</v>
      </c>
      <c r="S885" s="143"/>
      <c r="T885" s="110"/>
      <c r="U885" s="118"/>
      <c r="V885" s="118"/>
      <c r="W885" s="118"/>
      <c r="X885" s="118"/>
      <c r="Y885" s="118"/>
      <c r="Z885" s="118"/>
      <c r="AA885" s="118"/>
      <c r="AB885" s="118"/>
      <c r="AC885" s="118"/>
      <c r="AD885" s="111"/>
      <c r="AE885" s="122"/>
      <c r="AF885" s="122"/>
      <c r="AG885" s="122"/>
      <c r="AH885" s="122"/>
    </row>
    <row r="886" ht="22.5" customHeight="1">
      <c r="A886" s="73"/>
      <c r="B886" s="73"/>
      <c r="C886" s="73"/>
      <c r="D886" s="73"/>
      <c r="E886" s="330"/>
      <c r="F886" s="118"/>
      <c r="G886" s="118"/>
      <c r="H886" s="118"/>
      <c r="I886" s="118"/>
      <c r="J886" s="119"/>
      <c r="K886" s="120"/>
      <c r="L886" s="120"/>
      <c r="M886" s="120"/>
      <c r="N886" s="120"/>
      <c r="O886" s="118"/>
      <c r="P886" s="120"/>
      <c r="Q886" s="121"/>
      <c r="R886" s="109" t="b">
        <v>0</v>
      </c>
      <c r="S886" s="143"/>
      <c r="T886" s="110"/>
      <c r="U886" s="118"/>
      <c r="V886" s="118"/>
      <c r="W886" s="118"/>
      <c r="X886" s="118"/>
      <c r="Y886" s="118"/>
      <c r="Z886" s="118"/>
      <c r="AA886" s="118"/>
      <c r="AB886" s="118"/>
      <c r="AC886" s="118"/>
      <c r="AD886" s="111"/>
      <c r="AE886" s="122"/>
      <c r="AF886" s="122"/>
      <c r="AG886" s="122"/>
      <c r="AH886" s="122"/>
    </row>
    <row r="887" ht="22.5" customHeight="1">
      <c r="A887" s="73"/>
      <c r="B887" s="73"/>
      <c r="C887" s="73"/>
      <c r="D887" s="73"/>
      <c r="E887" s="330"/>
      <c r="F887" s="118"/>
      <c r="G887" s="118"/>
      <c r="H887" s="118"/>
      <c r="I887" s="118"/>
      <c r="J887" s="119"/>
      <c r="K887" s="120"/>
      <c r="L887" s="120"/>
      <c r="M887" s="120"/>
      <c r="N887" s="120"/>
      <c r="O887" s="118"/>
      <c r="P887" s="120"/>
      <c r="Q887" s="121"/>
      <c r="R887" s="109" t="b">
        <v>0</v>
      </c>
      <c r="S887" s="143"/>
      <c r="T887" s="110"/>
      <c r="U887" s="118"/>
      <c r="V887" s="118"/>
      <c r="W887" s="118"/>
      <c r="X887" s="118"/>
      <c r="Y887" s="118"/>
      <c r="Z887" s="118"/>
      <c r="AA887" s="118"/>
      <c r="AB887" s="118"/>
      <c r="AC887" s="118"/>
      <c r="AD887" s="111"/>
      <c r="AE887" s="122"/>
      <c r="AF887" s="122"/>
      <c r="AG887" s="122"/>
      <c r="AH887" s="122"/>
    </row>
    <row r="888" ht="22.5" customHeight="1">
      <c r="A888" s="73"/>
      <c r="B888" s="73"/>
      <c r="C888" s="73"/>
      <c r="D888" s="73"/>
      <c r="E888" s="330"/>
      <c r="F888" s="118"/>
      <c r="G888" s="118"/>
      <c r="H888" s="118"/>
      <c r="I888" s="118"/>
      <c r="J888" s="119"/>
      <c r="K888" s="120"/>
      <c r="L888" s="120"/>
      <c r="M888" s="120"/>
      <c r="N888" s="120"/>
      <c r="O888" s="118"/>
      <c r="P888" s="120"/>
      <c r="Q888" s="121"/>
      <c r="R888" s="109" t="b">
        <v>0</v>
      </c>
      <c r="S888" s="143"/>
      <c r="T888" s="110"/>
      <c r="U888" s="118"/>
      <c r="V888" s="118"/>
      <c r="W888" s="118"/>
      <c r="X888" s="118"/>
      <c r="Y888" s="118"/>
      <c r="Z888" s="118"/>
      <c r="AA888" s="118"/>
      <c r="AB888" s="118"/>
      <c r="AC888" s="118"/>
      <c r="AD888" s="111"/>
      <c r="AE888" s="122"/>
      <c r="AF888" s="122"/>
      <c r="AG888" s="122"/>
      <c r="AH888" s="122"/>
    </row>
    <row r="889" ht="22.5" customHeight="1">
      <c r="A889" s="73"/>
      <c r="B889" s="73"/>
      <c r="C889" s="73"/>
      <c r="D889" s="73"/>
      <c r="E889" s="330"/>
      <c r="F889" s="118"/>
      <c r="G889" s="118"/>
      <c r="H889" s="118"/>
      <c r="I889" s="118"/>
      <c r="J889" s="119"/>
      <c r="K889" s="120"/>
      <c r="L889" s="120"/>
      <c r="M889" s="120"/>
      <c r="N889" s="120"/>
      <c r="O889" s="118"/>
      <c r="P889" s="120"/>
      <c r="Q889" s="121"/>
      <c r="R889" s="109" t="b">
        <v>0</v>
      </c>
      <c r="S889" s="143"/>
      <c r="T889" s="110"/>
      <c r="U889" s="118"/>
      <c r="V889" s="118"/>
      <c r="W889" s="118"/>
      <c r="X889" s="118"/>
      <c r="Y889" s="118"/>
      <c r="Z889" s="118"/>
      <c r="AA889" s="118"/>
      <c r="AB889" s="118"/>
      <c r="AC889" s="118"/>
      <c r="AD889" s="111"/>
      <c r="AE889" s="122"/>
      <c r="AF889" s="122"/>
      <c r="AG889" s="122"/>
      <c r="AH889" s="122"/>
    </row>
    <row r="890" ht="22.5" customHeight="1">
      <c r="A890" s="73"/>
      <c r="B890" s="73"/>
      <c r="C890" s="73"/>
      <c r="D890" s="73"/>
      <c r="E890" s="330"/>
      <c r="F890" s="118"/>
      <c r="G890" s="118"/>
      <c r="H890" s="118"/>
      <c r="I890" s="118"/>
      <c r="J890" s="119"/>
      <c r="K890" s="120"/>
      <c r="L890" s="120"/>
      <c r="M890" s="120"/>
      <c r="N890" s="120"/>
      <c r="O890" s="118"/>
      <c r="P890" s="120"/>
      <c r="Q890" s="121"/>
      <c r="R890" s="109" t="b">
        <v>0</v>
      </c>
      <c r="S890" s="143"/>
      <c r="T890" s="110"/>
      <c r="U890" s="118"/>
      <c r="V890" s="118"/>
      <c r="W890" s="118"/>
      <c r="X890" s="118"/>
      <c r="Y890" s="118"/>
      <c r="Z890" s="118"/>
      <c r="AA890" s="118"/>
      <c r="AB890" s="118"/>
      <c r="AC890" s="118"/>
      <c r="AD890" s="111"/>
      <c r="AE890" s="122"/>
      <c r="AF890" s="122"/>
      <c r="AG890" s="122"/>
      <c r="AH890" s="122"/>
    </row>
    <row r="891" ht="22.5" customHeight="1">
      <c r="A891" s="73"/>
      <c r="B891" s="73"/>
      <c r="C891" s="73"/>
      <c r="D891" s="73"/>
      <c r="E891" s="330"/>
      <c r="F891" s="118"/>
      <c r="G891" s="118"/>
      <c r="H891" s="118"/>
      <c r="I891" s="118"/>
      <c r="J891" s="119"/>
      <c r="K891" s="120"/>
      <c r="L891" s="120"/>
      <c r="M891" s="120"/>
      <c r="N891" s="120"/>
      <c r="O891" s="118"/>
      <c r="P891" s="120"/>
      <c r="Q891" s="121"/>
      <c r="R891" s="109" t="b">
        <v>0</v>
      </c>
      <c r="S891" s="143"/>
      <c r="T891" s="110"/>
      <c r="U891" s="118"/>
      <c r="V891" s="118"/>
      <c r="W891" s="118"/>
      <c r="X891" s="118"/>
      <c r="Y891" s="118"/>
      <c r="Z891" s="118"/>
      <c r="AA891" s="118"/>
      <c r="AB891" s="118"/>
      <c r="AC891" s="118"/>
      <c r="AD891" s="111"/>
      <c r="AE891" s="122"/>
      <c r="AF891" s="122"/>
      <c r="AG891" s="122"/>
      <c r="AH891" s="122"/>
    </row>
    <row r="892" ht="22.5" customHeight="1">
      <c r="A892" s="73"/>
      <c r="B892" s="73"/>
      <c r="C892" s="73"/>
      <c r="D892" s="73"/>
      <c r="E892" s="330"/>
      <c r="F892" s="118"/>
      <c r="G892" s="118"/>
      <c r="H892" s="118"/>
      <c r="I892" s="118"/>
      <c r="J892" s="119"/>
      <c r="K892" s="120"/>
      <c r="L892" s="120"/>
      <c r="M892" s="120"/>
      <c r="N892" s="120"/>
      <c r="O892" s="118"/>
      <c r="P892" s="120"/>
      <c r="Q892" s="121"/>
      <c r="R892" s="109" t="b">
        <v>0</v>
      </c>
      <c r="S892" s="143"/>
      <c r="T892" s="110"/>
      <c r="U892" s="118"/>
      <c r="V892" s="118"/>
      <c r="W892" s="118"/>
      <c r="X892" s="118"/>
      <c r="Y892" s="118"/>
      <c r="Z892" s="118"/>
      <c r="AA892" s="118"/>
      <c r="AB892" s="118"/>
      <c r="AC892" s="118"/>
      <c r="AD892" s="111"/>
      <c r="AE892" s="122"/>
      <c r="AF892" s="122"/>
      <c r="AG892" s="122"/>
      <c r="AH892" s="122"/>
    </row>
    <row r="893" ht="22.5" customHeight="1">
      <c r="A893" s="73"/>
      <c r="B893" s="73"/>
      <c r="C893" s="73"/>
      <c r="D893" s="73"/>
      <c r="E893" s="330"/>
      <c r="F893" s="118"/>
      <c r="G893" s="118"/>
      <c r="H893" s="118"/>
      <c r="I893" s="118"/>
      <c r="J893" s="119"/>
      <c r="K893" s="120"/>
      <c r="L893" s="120"/>
      <c r="M893" s="120"/>
      <c r="N893" s="120"/>
      <c r="O893" s="118"/>
      <c r="P893" s="120"/>
      <c r="Q893" s="121"/>
      <c r="R893" s="109" t="b">
        <v>0</v>
      </c>
      <c r="S893" s="143"/>
      <c r="T893" s="110"/>
      <c r="U893" s="118"/>
      <c r="V893" s="118"/>
      <c r="W893" s="118"/>
      <c r="X893" s="118"/>
      <c r="Y893" s="118"/>
      <c r="Z893" s="118"/>
      <c r="AA893" s="118"/>
      <c r="AB893" s="118"/>
      <c r="AC893" s="118"/>
      <c r="AD893" s="111"/>
      <c r="AE893" s="122"/>
      <c r="AF893" s="122"/>
      <c r="AG893" s="122"/>
      <c r="AH893" s="122"/>
    </row>
    <row r="894" ht="22.5" customHeight="1">
      <c r="A894" s="73"/>
      <c r="B894" s="73"/>
      <c r="C894" s="73"/>
      <c r="D894" s="73"/>
      <c r="E894" s="330"/>
      <c r="F894" s="118"/>
      <c r="G894" s="118"/>
      <c r="H894" s="118"/>
      <c r="I894" s="118"/>
      <c r="J894" s="119"/>
      <c r="K894" s="120"/>
      <c r="L894" s="120"/>
      <c r="M894" s="120"/>
      <c r="N894" s="120"/>
      <c r="O894" s="118"/>
      <c r="P894" s="120"/>
      <c r="Q894" s="121"/>
      <c r="R894" s="109" t="b">
        <v>0</v>
      </c>
      <c r="S894" s="143"/>
      <c r="T894" s="110"/>
      <c r="U894" s="118"/>
      <c r="V894" s="118"/>
      <c r="W894" s="118"/>
      <c r="X894" s="118"/>
      <c r="Y894" s="118"/>
      <c r="Z894" s="118"/>
      <c r="AA894" s="118"/>
      <c r="AB894" s="118"/>
      <c r="AC894" s="118"/>
      <c r="AD894" s="111"/>
      <c r="AE894" s="122"/>
      <c r="AF894" s="122"/>
      <c r="AG894" s="122"/>
      <c r="AH894" s="122"/>
    </row>
    <row r="895" ht="22.5" customHeight="1">
      <c r="A895" s="73"/>
      <c r="B895" s="73"/>
      <c r="C895" s="73"/>
      <c r="D895" s="73"/>
      <c r="E895" s="330"/>
      <c r="F895" s="118"/>
      <c r="G895" s="118"/>
      <c r="H895" s="118"/>
      <c r="I895" s="118"/>
      <c r="J895" s="119"/>
      <c r="K895" s="120"/>
      <c r="L895" s="120"/>
      <c r="M895" s="120"/>
      <c r="N895" s="120"/>
      <c r="O895" s="118"/>
      <c r="P895" s="120"/>
      <c r="Q895" s="121"/>
      <c r="R895" s="109" t="b">
        <v>0</v>
      </c>
      <c r="S895" s="143"/>
      <c r="T895" s="110"/>
      <c r="U895" s="118"/>
      <c r="V895" s="118"/>
      <c r="W895" s="118"/>
      <c r="X895" s="118"/>
      <c r="Y895" s="118"/>
      <c r="Z895" s="118"/>
      <c r="AA895" s="118"/>
      <c r="AB895" s="118"/>
      <c r="AC895" s="118"/>
      <c r="AD895" s="111"/>
      <c r="AE895" s="122"/>
      <c r="AF895" s="122"/>
      <c r="AG895" s="122"/>
      <c r="AH895" s="122"/>
    </row>
    <row r="896" ht="22.5" customHeight="1">
      <c r="A896" s="73"/>
      <c r="B896" s="73"/>
      <c r="C896" s="73"/>
      <c r="D896" s="73"/>
      <c r="E896" s="330"/>
      <c r="F896" s="118"/>
      <c r="G896" s="118"/>
      <c r="H896" s="118"/>
      <c r="I896" s="118"/>
      <c r="J896" s="119"/>
      <c r="K896" s="120"/>
      <c r="L896" s="120"/>
      <c r="M896" s="120"/>
      <c r="N896" s="120"/>
      <c r="O896" s="118"/>
      <c r="P896" s="120"/>
      <c r="Q896" s="121"/>
      <c r="R896" s="109" t="b">
        <v>0</v>
      </c>
      <c r="S896" s="143"/>
      <c r="T896" s="110"/>
      <c r="U896" s="118"/>
      <c r="V896" s="118"/>
      <c r="W896" s="118"/>
      <c r="X896" s="118"/>
      <c r="Y896" s="118"/>
      <c r="Z896" s="118"/>
      <c r="AA896" s="118"/>
      <c r="AB896" s="118"/>
      <c r="AC896" s="118"/>
      <c r="AD896" s="111"/>
      <c r="AE896" s="122"/>
      <c r="AF896" s="122"/>
      <c r="AG896" s="122"/>
      <c r="AH896" s="122"/>
    </row>
    <row r="897" ht="22.5" customHeight="1">
      <c r="A897" s="73"/>
      <c r="B897" s="73"/>
      <c r="C897" s="73"/>
      <c r="D897" s="73"/>
      <c r="E897" s="330"/>
      <c r="F897" s="118"/>
      <c r="G897" s="118"/>
      <c r="H897" s="118"/>
      <c r="I897" s="118"/>
      <c r="J897" s="119"/>
      <c r="K897" s="120"/>
      <c r="L897" s="120"/>
      <c r="M897" s="120"/>
      <c r="N897" s="120"/>
      <c r="O897" s="118"/>
      <c r="P897" s="120"/>
      <c r="Q897" s="121"/>
      <c r="R897" s="109" t="b">
        <v>0</v>
      </c>
      <c r="S897" s="143"/>
      <c r="T897" s="110"/>
      <c r="U897" s="118"/>
      <c r="V897" s="118"/>
      <c r="W897" s="118"/>
      <c r="X897" s="118"/>
      <c r="Y897" s="118"/>
      <c r="Z897" s="118"/>
      <c r="AA897" s="118"/>
      <c r="AB897" s="118"/>
      <c r="AC897" s="118"/>
      <c r="AD897" s="111"/>
      <c r="AE897" s="122"/>
      <c r="AF897" s="122"/>
      <c r="AG897" s="122"/>
      <c r="AH897" s="122"/>
    </row>
    <row r="898" ht="22.5" customHeight="1">
      <c r="A898" s="73"/>
      <c r="B898" s="73"/>
      <c r="C898" s="73"/>
      <c r="D898" s="73"/>
      <c r="E898" s="330"/>
      <c r="F898" s="118"/>
      <c r="G898" s="118"/>
      <c r="H898" s="118"/>
      <c r="I898" s="118"/>
      <c r="J898" s="119"/>
      <c r="K898" s="120"/>
      <c r="L898" s="120"/>
      <c r="M898" s="120"/>
      <c r="N898" s="120"/>
      <c r="O898" s="118"/>
      <c r="P898" s="120"/>
      <c r="Q898" s="121"/>
      <c r="R898" s="109" t="b">
        <v>0</v>
      </c>
      <c r="S898" s="143"/>
      <c r="T898" s="110"/>
      <c r="U898" s="118"/>
      <c r="V898" s="118"/>
      <c r="W898" s="118"/>
      <c r="X898" s="118"/>
      <c r="Y898" s="118"/>
      <c r="Z898" s="118"/>
      <c r="AA898" s="118"/>
      <c r="AB898" s="118"/>
      <c r="AC898" s="118"/>
      <c r="AD898" s="111"/>
      <c r="AE898" s="122"/>
      <c r="AF898" s="122"/>
      <c r="AG898" s="122"/>
      <c r="AH898" s="122"/>
    </row>
    <row r="899" ht="22.5" customHeight="1">
      <c r="A899" s="73"/>
      <c r="B899" s="73"/>
      <c r="C899" s="73"/>
      <c r="D899" s="73"/>
      <c r="E899" s="330"/>
      <c r="F899" s="118"/>
      <c r="G899" s="118"/>
      <c r="H899" s="118"/>
      <c r="I899" s="118"/>
      <c r="J899" s="119"/>
      <c r="K899" s="120"/>
      <c r="L899" s="120"/>
      <c r="M899" s="120"/>
      <c r="N899" s="120"/>
      <c r="O899" s="118"/>
      <c r="P899" s="120"/>
      <c r="Q899" s="121"/>
      <c r="R899" s="109" t="b">
        <v>0</v>
      </c>
      <c r="S899" s="143"/>
      <c r="T899" s="110"/>
      <c r="U899" s="118"/>
      <c r="V899" s="118"/>
      <c r="W899" s="118"/>
      <c r="X899" s="118"/>
      <c r="Y899" s="118"/>
      <c r="Z899" s="118"/>
      <c r="AA899" s="118"/>
      <c r="AB899" s="118"/>
      <c r="AC899" s="118"/>
      <c r="AD899" s="111"/>
      <c r="AE899" s="122"/>
      <c r="AF899" s="122"/>
      <c r="AG899" s="122"/>
      <c r="AH899" s="122"/>
    </row>
    <row r="900" ht="22.5" customHeight="1">
      <c r="A900" s="73"/>
      <c r="B900" s="73"/>
      <c r="C900" s="73"/>
      <c r="D900" s="73"/>
      <c r="E900" s="330"/>
      <c r="F900" s="118"/>
      <c r="G900" s="118"/>
      <c r="H900" s="118"/>
      <c r="I900" s="118"/>
      <c r="J900" s="119"/>
      <c r="K900" s="120"/>
      <c r="L900" s="120"/>
      <c r="M900" s="120"/>
      <c r="N900" s="120"/>
      <c r="O900" s="118"/>
      <c r="P900" s="120"/>
      <c r="Q900" s="121"/>
      <c r="R900" s="109" t="b">
        <v>0</v>
      </c>
      <c r="S900" s="143"/>
      <c r="T900" s="110"/>
      <c r="U900" s="118"/>
      <c r="V900" s="118"/>
      <c r="W900" s="118"/>
      <c r="X900" s="118"/>
      <c r="Y900" s="118"/>
      <c r="Z900" s="118"/>
      <c r="AA900" s="118"/>
      <c r="AB900" s="118"/>
      <c r="AC900" s="118"/>
      <c r="AD900" s="111"/>
      <c r="AE900" s="122"/>
      <c r="AF900" s="122"/>
      <c r="AG900" s="122"/>
      <c r="AH900" s="122"/>
    </row>
    <row r="901" ht="22.5" customHeight="1">
      <c r="A901" s="73"/>
      <c r="B901" s="73"/>
      <c r="C901" s="73"/>
      <c r="D901" s="73"/>
      <c r="E901" s="330"/>
      <c r="F901" s="118"/>
      <c r="G901" s="118"/>
      <c r="H901" s="118"/>
      <c r="I901" s="118"/>
      <c r="J901" s="119"/>
      <c r="K901" s="120"/>
      <c r="L901" s="120"/>
      <c r="M901" s="120"/>
      <c r="N901" s="120"/>
      <c r="O901" s="118"/>
      <c r="P901" s="120"/>
      <c r="Q901" s="121"/>
      <c r="R901" s="109" t="b">
        <v>0</v>
      </c>
      <c r="S901" s="143"/>
      <c r="T901" s="110"/>
      <c r="U901" s="118"/>
      <c r="V901" s="118"/>
      <c r="W901" s="118"/>
      <c r="X901" s="118"/>
      <c r="Y901" s="118"/>
      <c r="Z901" s="118"/>
      <c r="AA901" s="118"/>
      <c r="AB901" s="118"/>
      <c r="AC901" s="118"/>
      <c r="AD901" s="111"/>
      <c r="AE901" s="122"/>
      <c r="AF901" s="122"/>
      <c r="AG901" s="122"/>
      <c r="AH901" s="122"/>
    </row>
    <row r="902" ht="22.5" customHeight="1">
      <c r="A902" s="73"/>
      <c r="B902" s="73"/>
      <c r="C902" s="73"/>
      <c r="D902" s="73"/>
      <c r="E902" s="330"/>
      <c r="F902" s="118"/>
      <c r="G902" s="118"/>
      <c r="H902" s="118"/>
      <c r="I902" s="118"/>
      <c r="J902" s="119"/>
      <c r="K902" s="120"/>
      <c r="L902" s="120"/>
      <c r="M902" s="120"/>
      <c r="N902" s="120"/>
      <c r="O902" s="118"/>
      <c r="P902" s="120"/>
      <c r="Q902" s="121"/>
      <c r="R902" s="109" t="b">
        <v>0</v>
      </c>
      <c r="S902" s="143"/>
      <c r="T902" s="110"/>
      <c r="U902" s="118"/>
      <c r="V902" s="118"/>
      <c r="W902" s="118"/>
      <c r="X902" s="118"/>
      <c r="Y902" s="118"/>
      <c r="Z902" s="118"/>
      <c r="AA902" s="118"/>
      <c r="AB902" s="118"/>
      <c r="AC902" s="118"/>
      <c r="AD902" s="111"/>
      <c r="AE902" s="122"/>
      <c r="AF902" s="122"/>
      <c r="AG902" s="122"/>
      <c r="AH902" s="122"/>
    </row>
    <row r="903" ht="22.5" customHeight="1">
      <c r="A903" s="73"/>
      <c r="B903" s="73"/>
      <c r="C903" s="73"/>
      <c r="D903" s="73"/>
      <c r="E903" s="330"/>
      <c r="F903" s="118"/>
      <c r="G903" s="118"/>
      <c r="H903" s="118"/>
      <c r="I903" s="118"/>
      <c r="J903" s="119"/>
      <c r="K903" s="120"/>
      <c r="L903" s="120"/>
      <c r="M903" s="120"/>
      <c r="N903" s="120"/>
      <c r="O903" s="118"/>
      <c r="P903" s="120"/>
      <c r="Q903" s="121"/>
      <c r="R903" s="109" t="b">
        <v>0</v>
      </c>
      <c r="S903" s="143"/>
      <c r="T903" s="110"/>
      <c r="U903" s="118"/>
      <c r="V903" s="118"/>
      <c r="W903" s="118"/>
      <c r="X903" s="118"/>
      <c r="Y903" s="118"/>
      <c r="Z903" s="118"/>
      <c r="AA903" s="118"/>
      <c r="AB903" s="118"/>
      <c r="AC903" s="118"/>
      <c r="AD903" s="111"/>
      <c r="AE903" s="122"/>
      <c r="AF903" s="122"/>
      <c r="AG903" s="122"/>
      <c r="AH903" s="122"/>
    </row>
    <row r="904" ht="22.5" customHeight="1">
      <c r="A904" s="73"/>
      <c r="B904" s="73"/>
      <c r="C904" s="73"/>
      <c r="D904" s="73"/>
      <c r="E904" s="330"/>
      <c r="F904" s="118"/>
      <c r="G904" s="118"/>
      <c r="H904" s="118"/>
      <c r="I904" s="118"/>
      <c r="J904" s="119"/>
      <c r="K904" s="120"/>
      <c r="L904" s="120"/>
      <c r="M904" s="120"/>
      <c r="N904" s="120"/>
      <c r="O904" s="118"/>
      <c r="P904" s="120"/>
      <c r="Q904" s="121"/>
      <c r="R904" s="109" t="b">
        <v>0</v>
      </c>
      <c r="S904" s="143"/>
      <c r="T904" s="110"/>
      <c r="U904" s="118"/>
      <c r="V904" s="118"/>
      <c r="W904" s="118"/>
      <c r="X904" s="118"/>
      <c r="Y904" s="118"/>
      <c r="Z904" s="118"/>
      <c r="AA904" s="118"/>
      <c r="AB904" s="118"/>
      <c r="AC904" s="118"/>
      <c r="AD904" s="111"/>
      <c r="AE904" s="122"/>
      <c r="AF904" s="122"/>
      <c r="AG904" s="122"/>
      <c r="AH904" s="122"/>
    </row>
    <row r="905" ht="22.5" customHeight="1">
      <c r="A905" s="73"/>
      <c r="B905" s="73"/>
      <c r="C905" s="73"/>
      <c r="D905" s="73"/>
      <c r="E905" s="330"/>
      <c r="F905" s="118"/>
      <c r="G905" s="118"/>
      <c r="H905" s="118"/>
      <c r="I905" s="118"/>
      <c r="J905" s="119"/>
      <c r="K905" s="120"/>
      <c r="L905" s="120"/>
      <c r="M905" s="120"/>
      <c r="N905" s="120"/>
      <c r="O905" s="118"/>
      <c r="P905" s="120"/>
      <c r="Q905" s="121"/>
      <c r="R905" s="109" t="b">
        <v>0</v>
      </c>
      <c r="S905" s="143"/>
      <c r="T905" s="110"/>
      <c r="U905" s="118"/>
      <c r="V905" s="118"/>
      <c r="W905" s="118"/>
      <c r="X905" s="118"/>
      <c r="Y905" s="118"/>
      <c r="Z905" s="118"/>
      <c r="AA905" s="118"/>
      <c r="AB905" s="118"/>
      <c r="AC905" s="118"/>
      <c r="AD905" s="111"/>
      <c r="AE905" s="122"/>
      <c r="AF905" s="122"/>
      <c r="AG905" s="122"/>
      <c r="AH905" s="122"/>
    </row>
    <row r="906" ht="22.5" customHeight="1">
      <c r="A906" s="73"/>
      <c r="B906" s="73"/>
      <c r="C906" s="73"/>
      <c r="D906" s="73"/>
      <c r="E906" s="330"/>
      <c r="F906" s="118"/>
      <c r="G906" s="118"/>
      <c r="H906" s="118"/>
      <c r="I906" s="118"/>
      <c r="J906" s="119"/>
      <c r="K906" s="120"/>
      <c r="L906" s="120"/>
      <c r="M906" s="120"/>
      <c r="N906" s="120"/>
      <c r="O906" s="118"/>
      <c r="P906" s="120"/>
      <c r="Q906" s="121"/>
      <c r="R906" s="109" t="b">
        <v>0</v>
      </c>
      <c r="S906" s="143"/>
      <c r="T906" s="110"/>
      <c r="U906" s="118"/>
      <c r="V906" s="118"/>
      <c r="W906" s="118"/>
      <c r="X906" s="118"/>
      <c r="Y906" s="118"/>
      <c r="Z906" s="118"/>
      <c r="AA906" s="118"/>
      <c r="AB906" s="118"/>
      <c r="AC906" s="118"/>
      <c r="AD906" s="111"/>
      <c r="AE906" s="122"/>
      <c r="AF906" s="122"/>
      <c r="AG906" s="122"/>
      <c r="AH906" s="122"/>
    </row>
    <row r="907" ht="22.5" customHeight="1">
      <c r="A907" s="73"/>
      <c r="B907" s="73"/>
      <c r="C907" s="73"/>
      <c r="D907" s="73"/>
      <c r="E907" s="330"/>
      <c r="F907" s="118"/>
      <c r="G907" s="118"/>
      <c r="H907" s="118"/>
      <c r="I907" s="118"/>
      <c r="J907" s="119"/>
      <c r="K907" s="120"/>
      <c r="L907" s="120"/>
      <c r="M907" s="120"/>
      <c r="N907" s="120"/>
      <c r="O907" s="118"/>
      <c r="P907" s="120"/>
      <c r="Q907" s="121"/>
      <c r="R907" s="109" t="b">
        <v>0</v>
      </c>
      <c r="S907" s="143"/>
      <c r="T907" s="110"/>
      <c r="U907" s="118"/>
      <c r="V907" s="118"/>
      <c r="W907" s="118"/>
      <c r="X907" s="118"/>
      <c r="Y907" s="118"/>
      <c r="Z907" s="118"/>
      <c r="AA907" s="118"/>
      <c r="AB907" s="118"/>
      <c r="AC907" s="118"/>
      <c r="AD907" s="111"/>
      <c r="AE907" s="122"/>
      <c r="AF907" s="122"/>
      <c r="AG907" s="122"/>
      <c r="AH907" s="122"/>
    </row>
    <row r="908" ht="22.5" customHeight="1">
      <c r="A908" s="73"/>
      <c r="B908" s="73"/>
      <c r="C908" s="73"/>
      <c r="D908" s="73"/>
      <c r="E908" s="330"/>
      <c r="F908" s="118"/>
      <c r="G908" s="118"/>
      <c r="H908" s="118"/>
      <c r="I908" s="118"/>
      <c r="J908" s="119"/>
      <c r="K908" s="120"/>
      <c r="L908" s="120"/>
      <c r="M908" s="120"/>
      <c r="N908" s="120"/>
      <c r="O908" s="118"/>
      <c r="P908" s="120"/>
      <c r="Q908" s="121"/>
      <c r="R908" s="109" t="b">
        <v>0</v>
      </c>
      <c r="S908" s="143"/>
      <c r="T908" s="110"/>
      <c r="U908" s="118"/>
      <c r="V908" s="118"/>
      <c r="W908" s="118"/>
      <c r="X908" s="118"/>
      <c r="Y908" s="118"/>
      <c r="Z908" s="118"/>
      <c r="AA908" s="118"/>
      <c r="AB908" s="118"/>
      <c r="AC908" s="118"/>
      <c r="AD908" s="111"/>
      <c r="AE908" s="122"/>
      <c r="AF908" s="122"/>
      <c r="AG908" s="122"/>
      <c r="AH908" s="122"/>
    </row>
    <row r="909" ht="22.5" customHeight="1">
      <c r="A909" s="73"/>
      <c r="B909" s="73"/>
      <c r="C909" s="73"/>
      <c r="D909" s="73"/>
      <c r="E909" s="330"/>
      <c r="F909" s="118"/>
      <c r="G909" s="118"/>
      <c r="H909" s="118"/>
      <c r="I909" s="118"/>
      <c r="J909" s="119"/>
      <c r="K909" s="120"/>
      <c r="L909" s="120"/>
      <c r="M909" s="120"/>
      <c r="N909" s="120"/>
      <c r="O909" s="118"/>
      <c r="P909" s="120"/>
      <c r="Q909" s="121"/>
      <c r="R909" s="109" t="b">
        <v>0</v>
      </c>
      <c r="S909" s="143"/>
      <c r="T909" s="110"/>
      <c r="U909" s="118"/>
      <c r="V909" s="118"/>
      <c r="W909" s="118"/>
      <c r="X909" s="118"/>
      <c r="Y909" s="118"/>
      <c r="Z909" s="118"/>
      <c r="AA909" s="118"/>
      <c r="AB909" s="118"/>
      <c r="AC909" s="118"/>
      <c r="AD909" s="111"/>
      <c r="AE909" s="122"/>
      <c r="AF909" s="122"/>
      <c r="AG909" s="122"/>
      <c r="AH909" s="122"/>
    </row>
    <row r="910" ht="22.5" customHeight="1">
      <c r="A910" s="73"/>
      <c r="B910" s="73"/>
      <c r="C910" s="73"/>
      <c r="D910" s="73"/>
      <c r="E910" s="330"/>
      <c r="F910" s="118"/>
      <c r="G910" s="118"/>
      <c r="H910" s="118"/>
      <c r="I910" s="118"/>
      <c r="J910" s="119"/>
      <c r="K910" s="120"/>
      <c r="L910" s="120"/>
      <c r="M910" s="120"/>
      <c r="N910" s="120"/>
      <c r="O910" s="118"/>
      <c r="P910" s="120"/>
      <c r="Q910" s="121"/>
      <c r="R910" s="109" t="b">
        <v>0</v>
      </c>
      <c r="S910" s="143"/>
      <c r="T910" s="110"/>
      <c r="U910" s="118"/>
      <c r="V910" s="118"/>
      <c r="W910" s="118"/>
      <c r="X910" s="118"/>
      <c r="Y910" s="118"/>
      <c r="Z910" s="118"/>
      <c r="AA910" s="118"/>
      <c r="AB910" s="118"/>
      <c r="AC910" s="118"/>
      <c r="AD910" s="111"/>
      <c r="AE910" s="122"/>
      <c r="AF910" s="122"/>
      <c r="AG910" s="122"/>
      <c r="AH910" s="122"/>
    </row>
    <row r="911" ht="22.5" customHeight="1">
      <c r="A911" s="73"/>
      <c r="B911" s="73"/>
      <c r="C911" s="73"/>
      <c r="D911" s="73"/>
      <c r="E911" s="330"/>
      <c r="F911" s="118"/>
      <c r="G911" s="118"/>
      <c r="H911" s="118"/>
      <c r="I911" s="118"/>
      <c r="J911" s="119"/>
      <c r="K911" s="120"/>
      <c r="L911" s="120"/>
      <c r="M911" s="120"/>
      <c r="N911" s="120"/>
      <c r="O911" s="118"/>
      <c r="P911" s="120"/>
      <c r="Q911" s="121"/>
      <c r="R911" s="109" t="b">
        <v>0</v>
      </c>
      <c r="S911" s="143"/>
      <c r="T911" s="110"/>
      <c r="U911" s="118"/>
      <c r="V911" s="118"/>
      <c r="W911" s="118"/>
      <c r="X911" s="118"/>
      <c r="Y911" s="118"/>
      <c r="Z911" s="118"/>
      <c r="AA911" s="118"/>
      <c r="AB911" s="118"/>
      <c r="AC911" s="118"/>
      <c r="AD911" s="111"/>
      <c r="AE911" s="122"/>
      <c r="AF911" s="122"/>
      <c r="AG911" s="122"/>
      <c r="AH911" s="122"/>
    </row>
    <row r="912" ht="22.5" customHeight="1">
      <c r="A912" s="73"/>
      <c r="B912" s="73"/>
      <c r="C912" s="73"/>
      <c r="D912" s="73"/>
      <c r="E912" s="330"/>
      <c r="F912" s="118"/>
      <c r="G912" s="118"/>
      <c r="H912" s="118"/>
      <c r="I912" s="118"/>
      <c r="J912" s="119"/>
      <c r="K912" s="120"/>
      <c r="L912" s="120"/>
      <c r="M912" s="120"/>
      <c r="N912" s="120"/>
      <c r="O912" s="118"/>
      <c r="P912" s="120"/>
      <c r="Q912" s="121"/>
      <c r="R912" s="109" t="b">
        <v>0</v>
      </c>
      <c r="S912" s="143"/>
      <c r="T912" s="110"/>
      <c r="U912" s="118"/>
      <c r="V912" s="118"/>
      <c r="W912" s="118"/>
      <c r="X912" s="118"/>
      <c r="Y912" s="118"/>
      <c r="Z912" s="118"/>
      <c r="AA912" s="118"/>
      <c r="AB912" s="118"/>
      <c r="AC912" s="118"/>
      <c r="AD912" s="111"/>
      <c r="AE912" s="122"/>
      <c r="AF912" s="122"/>
      <c r="AG912" s="122"/>
      <c r="AH912" s="122"/>
    </row>
    <row r="913" ht="22.5" customHeight="1">
      <c r="A913" s="73"/>
      <c r="B913" s="73"/>
      <c r="C913" s="73"/>
      <c r="D913" s="73"/>
      <c r="E913" s="330"/>
      <c r="F913" s="118"/>
      <c r="G913" s="118"/>
      <c r="H913" s="118"/>
      <c r="I913" s="118"/>
      <c r="J913" s="119"/>
      <c r="K913" s="120"/>
      <c r="L913" s="120"/>
      <c r="M913" s="120"/>
      <c r="N913" s="120"/>
      <c r="O913" s="118"/>
      <c r="P913" s="120"/>
      <c r="Q913" s="121"/>
      <c r="R913" s="109" t="b">
        <v>0</v>
      </c>
      <c r="S913" s="143"/>
      <c r="T913" s="110"/>
      <c r="U913" s="118"/>
      <c r="V913" s="118"/>
      <c r="W913" s="118"/>
      <c r="X913" s="118"/>
      <c r="Y913" s="118"/>
      <c r="Z913" s="118"/>
      <c r="AA913" s="118"/>
      <c r="AB913" s="118"/>
      <c r="AC913" s="118"/>
      <c r="AD913" s="111"/>
      <c r="AE913" s="122"/>
      <c r="AF913" s="122"/>
      <c r="AG913" s="122"/>
      <c r="AH913" s="122"/>
    </row>
    <row r="914" ht="22.5" customHeight="1">
      <c r="A914" s="73"/>
      <c r="B914" s="73"/>
      <c r="C914" s="73"/>
      <c r="D914" s="73"/>
      <c r="E914" s="330"/>
      <c r="F914" s="118"/>
      <c r="G914" s="118"/>
      <c r="H914" s="118"/>
      <c r="I914" s="118"/>
      <c r="J914" s="119"/>
      <c r="K914" s="120"/>
      <c r="L914" s="120"/>
      <c r="M914" s="120"/>
      <c r="N914" s="120"/>
      <c r="O914" s="118"/>
      <c r="P914" s="120"/>
      <c r="Q914" s="121"/>
      <c r="R914" s="109" t="b">
        <v>0</v>
      </c>
      <c r="S914" s="143"/>
      <c r="T914" s="110"/>
      <c r="U914" s="118"/>
      <c r="V914" s="118"/>
      <c r="W914" s="118"/>
      <c r="X914" s="118"/>
      <c r="Y914" s="118"/>
      <c r="Z914" s="118"/>
      <c r="AA914" s="118"/>
      <c r="AB914" s="118"/>
      <c r="AC914" s="118"/>
      <c r="AD914" s="111"/>
      <c r="AE914" s="122"/>
      <c r="AF914" s="122"/>
      <c r="AG914" s="122"/>
      <c r="AH914" s="122"/>
    </row>
    <row r="915" ht="22.5" customHeight="1">
      <c r="A915" s="73"/>
      <c r="B915" s="73"/>
      <c r="C915" s="73"/>
      <c r="D915" s="73"/>
      <c r="E915" s="330"/>
      <c r="F915" s="118"/>
      <c r="G915" s="118"/>
      <c r="H915" s="118"/>
      <c r="I915" s="118"/>
      <c r="J915" s="119"/>
      <c r="K915" s="120"/>
      <c r="L915" s="120"/>
      <c r="M915" s="120"/>
      <c r="N915" s="120"/>
      <c r="O915" s="118"/>
      <c r="P915" s="120"/>
      <c r="Q915" s="121"/>
      <c r="R915" s="109" t="b">
        <v>0</v>
      </c>
      <c r="S915" s="143"/>
      <c r="T915" s="110"/>
      <c r="U915" s="118"/>
      <c r="V915" s="118"/>
      <c r="W915" s="118"/>
      <c r="X915" s="118"/>
      <c r="Y915" s="118"/>
      <c r="Z915" s="118"/>
      <c r="AA915" s="118"/>
      <c r="AB915" s="118"/>
      <c r="AC915" s="118"/>
      <c r="AD915" s="111"/>
      <c r="AE915" s="122"/>
      <c r="AF915" s="122"/>
      <c r="AG915" s="122"/>
      <c r="AH915" s="122"/>
    </row>
    <row r="916" ht="22.5" customHeight="1">
      <c r="A916" s="73"/>
      <c r="B916" s="73"/>
      <c r="C916" s="73"/>
      <c r="D916" s="73"/>
      <c r="E916" s="330"/>
      <c r="F916" s="118"/>
      <c r="G916" s="118"/>
      <c r="H916" s="118"/>
      <c r="I916" s="118"/>
      <c r="J916" s="119"/>
      <c r="K916" s="120"/>
      <c r="L916" s="120"/>
      <c r="M916" s="120"/>
      <c r="N916" s="120"/>
      <c r="O916" s="118"/>
      <c r="P916" s="120"/>
      <c r="Q916" s="121"/>
      <c r="R916" s="109" t="b">
        <v>0</v>
      </c>
      <c r="S916" s="143"/>
      <c r="T916" s="110"/>
      <c r="U916" s="118"/>
      <c r="V916" s="118"/>
      <c r="W916" s="118"/>
      <c r="X916" s="118"/>
      <c r="Y916" s="118"/>
      <c r="Z916" s="118"/>
      <c r="AA916" s="118"/>
      <c r="AB916" s="118"/>
      <c r="AC916" s="118"/>
      <c r="AD916" s="111"/>
      <c r="AE916" s="122"/>
      <c r="AF916" s="122"/>
      <c r="AG916" s="122"/>
      <c r="AH916" s="122"/>
    </row>
    <row r="917" ht="22.5" customHeight="1">
      <c r="A917" s="73"/>
      <c r="B917" s="73"/>
      <c r="C917" s="73"/>
      <c r="D917" s="73"/>
      <c r="E917" s="330"/>
      <c r="F917" s="118"/>
      <c r="G917" s="118"/>
      <c r="H917" s="118"/>
      <c r="I917" s="118"/>
      <c r="J917" s="119"/>
      <c r="K917" s="120"/>
      <c r="L917" s="120"/>
      <c r="M917" s="120"/>
      <c r="N917" s="120"/>
      <c r="O917" s="118"/>
      <c r="P917" s="120"/>
      <c r="Q917" s="121"/>
      <c r="R917" s="109" t="b">
        <v>0</v>
      </c>
      <c r="S917" s="143"/>
      <c r="T917" s="110"/>
      <c r="U917" s="118"/>
      <c r="V917" s="118"/>
      <c r="W917" s="118"/>
      <c r="X917" s="118"/>
      <c r="Y917" s="118"/>
      <c r="Z917" s="118"/>
      <c r="AA917" s="118"/>
      <c r="AB917" s="118"/>
      <c r="AC917" s="118"/>
      <c r="AD917" s="111"/>
      <c r="AE917" s="122"/>
      <c r="AF917" s="122"/>
      <c r="AG917" s="122"/>
      <c r="AH917" s="122"/>
    </row>
    <row r="918" ht="22.5" customHeight="1">
      <c r="A918" s="73"/>
      <c r="B918" s="73"/>
      <c r="C918" s="73"/>
      <c r="D918" s="73"/>
      <c r="E918" s="330"/>
      <c r="F918" s="118"/>
      <c r="G918" s="118"/>
      <c r="H918" s="118"/>
      <c r="I918" s="118"/>
      <c r="J918" s="119"/>
      <c r="K918" s="120"/>
      <c r="L918" s="120"/>
      <c r="M918" s="120"/>
      <c r="N918" s="120"/>
      <c r="O918" s="118"/>
      <c r="P918" s="120"/>
      <c r="Q918" s="121"/>
      <c r="R918" s="109" t="b">
        <v>0</v>
      </c>
      <c r="S918" s="143"/>
      <c r="T918" s="110"/>
      <c r="U918" s="118"/>
      <c r="V918" s="118"/>
      <c r="W918" s="118"/>
      <c r="X918" s="118"/>
      <c r="Y918" s="118"/>
      <c r="Z918" s="118"/>
      <c r="AA918" s="118"/>
      <c r="AB918" s="118"/>
      <c r="AC918" s="118"/>
      <c r="AD918" s="111"/>
      <c r="AE918" s="122"/>
      <c r="AF918" s="122"/>
      <c r="AG918" s="122"/>
      <c r="AH918" s="122"/>
    </row>
    <row r="919" ht="22.5" customHeight="1">
      <c r="A919" s="73"/>
      <c r="B919" s="73"/>
      <c r="C919" s="73"/>
      <c r="D919" s="73"/>
      <c r="E919" s="330"/>
      <c r="F919" s="118"/>
      <c r="G919" s="118"/>
      <c r="H919" s="118"/>
      <c r="I919" s="118"/>
      <c r="J919" s="119"/>
      <c r="K919" s="120"/>
      <c r="L919" s="120"/>
      <c r="M919" s="120"/>
      <c r="N919" s="120"/>
      <c r="O919" s="118"/>
      <c r="P919" s="120"/>
      <c r="Q919" s="121"/>
      <c r="R919" s="109" t="b">
        <v>0</v>
      </c>
      <c r="S919" s="143"/>
      <c r="T919" s="110"/>
      <c r="U919" s="118"/>
      <c r="V919" s="118"/>
      <c r="W919" s="118"/>
      <c r="X919" s="118"/>
      <c r="Y919" s="118"/>
      <c r="Z919" s="118"/>
      <c r="AA919" s="118"/>
      <c r="AB919" s="118"/>
      <c r="AC919" s="118"/>
      <c r="AD919" s="111"/>
      <c r="AE919" s="122"/>
      <c r="AF919" s="122"/>
      <c r="AG919" s="122"/>
      <c r="AH919" s="122"/>
    </row>
    <row r="920" ht="22.5" customHeight="1">
      <c r="A920" s="73"/>
      <c r="B920" s="73"/>
      <c r="C920" s="73"/>
      <c r="D920" s="73"/>
      <c r="E920" s="330"/>
      <c r="F920" s="118"/>
      <c r="G920" s="118"/>
      <c r="H920" s="118"/>
      <c r="I920" s="118"/>
      <c r="J920" s="119"/>
      <c r="K920" s="120"/>
      <c r="L920" s="120"/>
      <c r="M920" s="120"/>
      <c r="N920" s="120"/>
      <c r="O920" s="118"/>
      <c r="P920" s="120"/>
      <c r="Q920" s="121"/>
      <c r="R920" s="109" t="b">
        <v>0</v>
      </c>
      <c r="S920" s="143"/>
      <c r="T920" s="110"/>
      <c r="U920" s="118"/>
      <c r="V920" s="118"/>
      <c r="W920" s="118"/>
      <c r="X920" s="118"/>
      <c r="Y920" s="118"/>
      <c r="Z920" s="118"/>
      <c r="AA920" s="118"/>
      <c r="AB920" s="118"/>
      <c r="AC920" s="118"/>
      <c r="AD920" s="111"/>
      <c r="AE920" s="122"/>
      <c r="AF920" s="122"/>
      <c r="AG920" s="122"/>
      <c r="AH920" s="122"/>
    </row>
    <row r="921" ht="22.5" customHeight="1">
      <c r="A921" s="73"/>
      <c r="B921" s="73"/>
      <c r="C921" s="73"/>
      <c r="D921" s="73"/>
      <c r="E921" s="330"/>
      <c r="F921" s="118"/>
      <c r="G921" s="118"/>
      <c r="H921" s="118"/>
      <c r="I921" s="118"/>
      <c r="J921" s="119"/>
      <c r="K921" s="120"/>
      <c r="L921" s="120"/>
      <c r="M921" s="120"/>
      <c r="N921" s="120"/>
      <c r="O921" s="118"/>
      <c r="P921" s="120"/>
      <c r="Q921" s="121"/>
      <c r="R921" s="109" t="b">
        <v>0</v>
      </c>
      <c r="S921" s="143"/>
      <c r="T921" s="110"/>
      <c r="U921" s="118"/>
      <c r="V921" s="118"/>
      <c r="W921" s="118"/>
      <c r="X921" s="118"/>
      <c r="Y921" s="118"/>
      <c r="Z921" s="118"/>
      <c r="AA921" s="118"/>
      <c r="AB921" s="118"/>
      <c r="AC921" s="118"/>
      <c r="AD921" s="111"/>
      <c r="AE921" s="122"/>
      <c r="AF921" s="122"/>
      <c r="AG921" s="122"/>
      <c r="AH921" s="122"/>
    </row>
    <row r="922" ht="22.5" customHeight="1">
      <c r="A922" s="73"/>
      <c r="B922" s="73"/>
      <c r="C922" s="73"/>
      <c r="D922" s="73"/>
      <c r="E922" s="330"/>
      <c r="F922" s="118"/>
      <c r="G922" s="118"/>
      <c r="H922" s="118"/>
      <c r="I922" s="118"/>
      <c r="J922" s="119"/>
      <c r="K922" s="120"/>
      <c r="L922" s="120"/>
      <c r="M922" s="120"/>
      <c r="N922" s="120"/>
      <c r="O922" s="118"/>
      <c r="P922" s="120"/>
      <c r="Q922" s="121"/>
      <c r="R922" s="109" t="b">
        <v>0</v>
      </c>
      <c r="S922" s="143"/>
      <c r="T922" s="110"/>
      <c r="U922" s="118"/>
      <c r="V922" s="118"/>
      <c r="W922" s="118"/>
      <c r="X922" s="118"/>
      <c r="Y922" s="118"/>
      <c r="Z922" s="118"/>
      <c r="AA922" s="118"/>
      <c r="AB922" s="118"/>
      <c r="AC922" s="118"/>
      <c r="AD922" s="111"/>
      <c r="AE922" s="122"/>
      <c r="AF922" s="122"/>
      <c r="AG922" s="122"/>
      <c r="AH922" s="122"/>
    </row>
    <row r="923" ht="22.5" customHeight="1">
      <c r="A923" s="73"/>
      <c r="B923" s="73"/>
      <c r="C923" s="73"/>
      <c r="D923" s="73"/>
      <c r="E923" s="330"/>
      <c r="F923" s="118"/>
      <c r="G923" s="118"/>
      <c r="H923" s="118"/>
      <c r="I923" s="118"/>
      <c r="J923" s="119"/>
      <c r="K923" s="120"/>
      <c r="L923" s="120"/>
      <c r="M923" s="120"/>
      <c r="N923" s="120"/>
      <c r="O923" s="118"/>
      <c r="P923" s="120"/>
      <c r="Q923" s="121"/>
      <c r="R923" s="109" t="b">
        <v>0</v>
      </c>
      <c r="S923" s="143"/>
      <c r="T923" s="110"/>
      <c r="U923" s="118"/>
      <c r="V923" s="118"/>
      <c r="W923" s="118"/>
      <c r="X923" s="118"/>
      <c r="Y923" s="118"/>
      <c r="Z923" s="118"/>
      <c r="AA923" s="118"/>
      <c r="AB923" s="118"/>
      <c r="AC923" s="118"/>
      <c r="AD923" s="111"/>
      <c r="AE923" s="122"/>
      <c r="AF923" s="122"/>
      <c r="AG923" s="122"/>
      <c r="AH923" s="122"/>
    </row>
    <row r="924" ht="22.5" customHeight="1">
      <c r="A924" s="73"/>
      <c r="B924" s="73"/>
      <c r="C924" s="73"/>
      <c r="D924" s="73"/>
      <c r="E924" s="330"/>
      <c r="F924" s="118"/>
      <c r="G924" s="118"/>
      <c r="H924" s="118"/>
      <c r="I924" s="118"/>
      <c r="J924" s="119"/>
      <c r="K924" s="120"/>
      <c r="L924" s="120"/>
      <c r="M924" s="120"/>
      <c r="N924" s="120"/>
      <c r="O924" s="118"/>
      <c r="P924" s="120"/>
      <c r="Q924" s="121"/>
      <c r="R924" s="109" t="b">
        <v>0</v>
      </c>
      <c r="S924" s="143"/>
      <c r="T924" s="110"/>
      <c r="U924" s="118"/>
      <c r="V924" s="118"/>
      <c r="W924" s="118"/>
      <c r="X924" s="118"/>
      <c r="Y924" s="118"/>
      <c r="Z924" s="118"/>
      <c r="AA924" s="118"/>
      <c r="AB924" s="118"/>
      <c r="AC924" s="118"/>
      <c r="AD924" s="111"/>
      <c r="AE924" s="122"/>
      <c r="AF924" s="122"/>
      <c r="AG924" s="122"/>
      <c r="AH924" s="122"/>
    </row>
    <row r="925" ht="22.5" customHeight="1">
      <c r="A925" s="73"/>
      <c r="B925" s="73"/>
      <c r="C925" s="73"/>
      <c r="D925" s="73"/>
      <c r="E925" s="330"/>
      <c r="F925" s="118"/>
      <c r="G925" s="118"/>
      <c r="H925" s="118"/>
      <c r="I925" s="118"/>
      <c r="J925" s="119"/>
      <c r="K925" s="120"/>
      <c r="L925" s="120"/>
      <c r="M925" s="120"/>
      <c r="N925" s="120"/>
      <c r="O925" s="118"/>
      <c r="P925" s="120"/>
      <c r="Q925" s="121"/>
      <c r="R925" s="109" t="b">
        <v>0</v>
      </c>
      <c r="S925" s="143"/>
      <c r="T925" s="110"/>
      <c r="U925" s="118"/>
      <c r="V925" s="118"/>
      <c r="W925" s="118"/>
      <c r="X925" s="118"/>
      <c r="Y925" s="118"/>
      <c r="Z925" s="118"/>
      <c r="AA925" s="118"/>
      <c r="AB925" s="118"/>
      <c r="AC925" s="118"/>
      <c r="AD925" s="111"/>
      <c r="AE925" s="122"/>
      <c r="AF925" s="122"/>
      <c r="AG925" s="122"/>
      <c r="AH925" s="122"/>
    </row>
    <row r="926" ht="22.5" customHeight="1">
      <c r="A926" s="73"/>
      <c r="B926" s="73"/>
      <c r="C926" s="73"/>
      <c r="D926" s="73"/>
      <c r="E926" s="330"/>
      <c r="F926" s="118"/>
      <c r="G926" s="118"/>
      <c r="H926" s="118"/>
      <c r="I926" s="118"/>
      <c r="J926" s="119"/>
      <c r="K926" s="120"/>
      <c r="L926" s="120"/>
      <c r="M926" s="120"/>
      <c r="N926" s="120"/>
      <c r="O926" s="118"/>
      <c r="P926" s="120"/>
      <c r="Q926" s="121"/>
      <c r="R926" s="109" t="b">
        <v>0</v>
      </c>
      <c r="S926" s="143"/>
      <c r="T926" s="110"/>
      <c r="U926" s="118"/>
      <c r="V926" s="118"/>
      <c r="W926" s="118"/>
      <c r="X926" s="118"/>
      <c r="Y926" s="118"/>
      <c r="Z926" s="118"/>
      <c r="AA926" s="118"/>
      <c r="AB926" s="118"/>
      <c r="AC926" s="118"/>
      <c r="AD926" s="111"/>
      <c r="AE926" s="122"/>
      <c r="AF926" s="122"/>
      <c r="AG926" s="122"/>
      <c r="AH926" s="122"/>
    </row>
    <row r="927" ht="22.5" customHeight="1">
      <c r="A927" s="73"/>
      <c r="B927" s="73"/>
      <c r="C927" s="73"/>
      <c r="D927" s="73"/>
      <c r="E927" s="330"/>
      <c r="F927" s="118"/>
      <c r="G927" s="118"/>
      <c r="H927" s="118"/>
      <c r="I927" s="118"/>
      <c r="J927" s="119"/>
      <c r="K927" s="120"/>
      <c r="L927" s="120"/>
      <c r="M927" s="120"/>
      <c r="N927" s="120"/>
      <c r="O927" s="118"/>
      <c r="P927" s="120"/>
      <c r="Q927" s="121"/>
      <c r="R927" s="109" t="b">
        <v>0</v>
      </c>
      <c r="S927" s="143"/>
      <c r="T927" s="110"/>
      <c r="U927" s="118"/>
      <c r="V927" s="118"/>
      <c r="W927" s="118"/>
      <c r="X927" s="118"/>
      <c r="Y927" s="118"/>
      <c r="Z927" s="118"/>
      <c r="AA927" s="118"/>
      <c r="AB927" s="118"/>
      <c r="AC927" s="118"/>
      <c r="AD927" s="111"/>
      <c r="AE927" s="122"/>
      <c r="AF927" s="122"/>
      <c r="AG927" s="122"/>
      <c r="AH927" s="122"/>
    </row>
    <row r="928" ht="22.5" customHeight="1">
      <c r="A928" s="73"/>
      <c r="B928" s="73"/>
      <c r="C928" s="73"/>
      <c r="D928" s="73"/>
      <c r="E928" s="330"/>
      <c r="F928" s="118"/>
      <c r="G928" s="118"/>
      <c r="H928" s="118"/>
      <c r="I928" s="118"/>
      <c r="J928" s="119"/>
      <c r="K928" s="120"/>
      <c r="L928" s="120"/>
      <c r="M928" s="120"/>
      <c r="N928" s="120"/>
      <c r="O928" s="118"/>
      <c r="P928" s="120"/>
      <c r="Q928" s="121"/>
      <c r="R928" s="109" t="b">
        <v>0</v>
      </c>
      <c r="S928" s="143"/>
      <c r="T928" s="110"/>
      <c r="U928" s="118"/>
      <c r="V928" s="118"/>
      <c r="W928" s="118"/>
      <c r="X928" s="118"/>
      <c r="Y928" s="118"/>
      <c r="Z928" s="118"/>
      <c r="AA928" s="118"/>
      <c r="AB928" s="118"/>
      <c r="AC928" s="118"/>
      <c r="AD928" s="111"/>
      <c r="AE928" s="122"/>
      <c r="AF928" s="122"/>
      <c r="AG928" s="122"/>
      <c r="AH928" s="122"/>
    </row>
    <row r="929" ht="22.5" customHeight="1">
      <c r="A929" s="73"/>
      <c r="B929" s="73"/>
      <c r="C929" s="73"/>
      <c r="D929" s="73"/>
      <c r="E929" s="330"/>
      <c r="F929" s="118"/>
      <c r="G929" s="118"/>
      <c r="H929" s="118"/>
      <c r="I929" s="118"/>
      <c r="J929" s="119"/>
      <c r="K929" s="120"/>
      <c r="L929" s="120"/>
      <c r="M929" s="120"/>
      <c r="N929" s="120"/>
      <c r="O929" s="118"/>
      <c r="P929" s="120"/>
      <c r="Q929" s="121"/>
      <c r="R929" s="109" t="b">
        <v>0</v>
      </c>
      <c r="S929" s="143"/>
      <c r="T929" s="110"/>
      <c r="U929" s="118"/>
      <c r="V929" s="118"/>
      <c r="W929" s="118"/>
      <c r="X929" s="118"/>
      <c r="Y929" s="118"/>
      <c r="Z929" s="118"/>
      <c r="AA929" s="118"/>
      <c r="AB929" s="118"/>
      <c r="AC929" s="118"/>
      <c r="AD929" s="111"/>
      <c r="AE929" s="122"/>
      <c r="AF929" s="122"/>
      <c r="AG929" s="122"/>
      <c r="AH929" s="122"/>
    </row>
    <row r="930" ht="22.5" customHeight="1">
      <c r="A930" s="73"/>
      <c r="B930" s="73"/>
      <c r="C930" s="73"/>
      <c r="D930" s="73"/>
      <c r="E930" s="330"/>
      <c r="F930" s="118"/>
      <c r="G930" s="118"/>
      <c r="H930" s="118"/>
      <c r="I930" s="118"/>
      <c r="J930" s="119"/>
      <c r="K930" s="120"/>
      <c r="L930" s="120"/>
      <c r="M930" s="120"/>
      <c r="N930" s="120"/>
      <c r="O930" s="118"/>
      <c r="P930" s="120"/>
      <c r="Q930" s="121"/>
      <c r="R930" s="109" t="b">
        <v>0</v>
      </c>
      <c r="S930" s="143"/>
      <c r="T930" s="110"/>
      <c r="U930" s="118"/>
      <c r="V930" s="118"/>
      <c r="W930" s="118"/>
      <c r="X930" s="118"/>
      <c r="Y930" s="118"/>
      <c r="Z930" s="118"/>
      <c r="AA930" s="118"/>
      <c r="AB930" s="118"/>
      <c r="AC930" s="118"/>
      <c r="AD930" s="111"/>
      <c r="AE930" s="122"/>
      <c r="AF930" s="122"/>
      <c r="AG930" s="122"/>
      <c r="AH930" s="122"/>
    </row>
    <row r="931" ht="22.5" customHeight="1">
      <c r="A931" s="73"/>
      <c r="B931" s="73"/>
      <c r="C931" s="73"/>
      <c r="D931" s="73"/>
      <c r="E931" s="330"/>
      <c r="F931" s="118"/>
      <c r="G931" s="118"/>
      <c r="H931" s="118"/>
      <c r="I931" s="118"/>
      <c r="J931" s="119"/>
      <c r="K931" s="120"/>
      <c r="L931" s="120"/>
      <c r="M931" s="120"/>
      <c r="N931" s="120"/>
      <c r="O931" s="118"/>
      <c r="P931" s="120"/>
      <c r="Q931" s="121"/>
      <c r="R931" s="109" t="b">
        <v>0</v>
      </c>
      <c r="S931" s="143"/>
      <c r="T931" s="110"/>
      <c r="U931" s="118"/>
      <c r="V931" s="118"/>
      <c r="W931" s="118"/>
      <c r="X931" s="118"/>
      <c r="Y931" s="118"/>
      <c r="Z931" s="118"/>
      <c r="AA931" s="118"/>
      <c r="AB931" s="118"/>
      <c r="AC931" s="118"/>
      <c r="AD931" s="111"/>
      <c r="AE931" s="122"/>
      <c r="AF931" s="122"/>
      <c r="AG931" s="122"/>
      <c r="AH931" s="122"/>
    </row>
    <row r="932" ht="22.5" customHeight="1">
      <c r="A932" s="73"/>
      <c r="B932" s="73"/>
      <c r="C932" s="73"/>
      <c r="D932" s="73"/>
      <c r="E932" s="330"/>
      <c r="F932" s="118"/>
      <c r="G932" s="118"/>
      <c r="H932" s="118"/>
      <c r="I932" s="118"/>
      <c r="J932" s="119"/>
      <c r="K932" s="120"/>
      <c r="L932" s="120"/>
      <c r="M932" s="120"/>
      <c r="N932" s="120"/>
      <c r="O932" s="118"/>
      <c r="P932" s="120"/>
      <c r="Q932" s="121"/>
      <c r="R932" s="109" t="b">
        <v>0</v>
      </c>
      <c r="S932" s="143"/>
      <c r="T932" s="110"/>
      <c r="U932" s="118"/>
      <c r="V932" s="118"/>
      <c r="W932" s="118"/>
      <c r="X932" s="118"/>
      <c r="Y932" s="118"/>
      <c r="Z932" s="118"/>
      <c r="AA932" s="118"/>
      <c r="AB932" s="118"/>
      <c r="AC932" s="118"/>
      <c r="AD932" s="111"/>
      <c r="AE932" s="122"/>
      <c r="AF932" s="122"/>
      <c r="AG932" s="122"/>
      <c r="AH932" s="122"/>
    </row>
    <row r="933" ht="22.5" customHeight="1">
      <c r="A933" s="73"/>
      <c r="B933" s="73"/>
      <c r="C933" s="73"/>
      <c r="D933" s="73"/>
      <c r="E933" s="330"/>
      <c r="F933" s="118"/>
      <c r="G933" s="118"/>
      <c r="H933" s="118"/>
      <c r="I933" s="118"/>
      <c r="J933" s="119"/>
      <c r="K933" s="120"/>
      <c r="L933" s="120"/>
      <c r="M933" s="120"/>
      <c r="N933" s="120"/>
      <c r="O933" s="118"/>
      <c r="P933" s="120"/>
      <c r="Q933" s="121"/>
      <c r="R933" s="109" t="b">
        <v>0</v>
      </c>
      <c r="S933" s="143"/>
      <c r="T933" s="110"/>
      <c r="U933" s="118"/>
      <c r="V933" s="118"/>
      <c r="W933" s="118"/>
      <c r="X933" s="118"/>
      <c r="Y933" s="118"/>
      <c r="Z933" s="118"/>
      <c r="AA933" s="118"/>
      <c r="AB933" s="118"/>
      <c r="AC933" s="118"/>
      <c r="AD933" s="111"/>
      <c r="AE933" s="122"/>
      <c r="AF933" s="122"/>
      <c r="AG933" s="122"/>
      <c r="AH933" s="122"/>
    </row>
    <row r="934" ht="22.5" customHeight="1">
      <c r="A934" s="73"/>
      <c r="B934" s="73"/>
      <c r="C934" s="73"/>
      <c r="D934" s="73"/>
      <c r="E934" s="330"/>
      <c r="F934" s="118"/>
      <c r="G934" s="118"/>
      <c r="H934" s="118"/>
      <c r="I934" s="118"/>
      <c r="J934" s="119"/>
      <c r="K934" s="120"/>
      <c r="L934" s="120"/>
      <c r="M934" s="120"/>
      <c r="N934" s="120"/>
      <c r="O934" s="118"/>
      <c r="P934" s="120"/>
      <c r="Q934" s="121"/>
      <c r="R934" s="109" t="b">
        <v>0</v>
      </c>
      <c r="S934" s="143"/>
      <c r="T934" s="110"/>
      <c r="U934" s="118"/>
      <c r="V934" s="118"/>
      <c r="W934" s="118"/>
      <c r="X934" s="118"/>
      <c r="Y934" s="118"/>
      <c r="Z934" s="118"/>
      <c r="AA934" s="118"/>
      <c r="AB934" s="118"/>
      <c r="AC934" s="118"/>
      <c r="AD934" s="111"/>
      <c r="AE934" s="122"/>
      <c r="AF934" s="122"/>
      <c r="AG934" s="122"/>
      <c r="AH934" s="122"/>
    </row>
    <row r="935" ht="22.5" customHeight="1">
      <c r="A935" s="73"/>
      <c r="B935" s="73"/>
      <c r="C935" s="73"/>
      <c r="D935" s="73"/>
      <c r="E935" s="330"/>
      <c r="F935" s="118"/>
      <c r="G935" s="118"/>
      <c r="H935" s="118"/>
      <c r="I935" s="118"/>
      <c r="J935" s="119"/>
      <c r="K935" s="120"/>
      <c r="L935" s="120"/>
      <c r="M935" s="120"/>
      <c r="N935" s="120"/>
      <c r="O935" s="118"/>
      <c r="P935" s="120"/>
      <c r="Q935" s="121"/>
      <c r="R935" s="109" t="b">
        <v>0</v>
      </c>
      <c r="S935" s="143"/>
      <c r="T935" s="110"/>
      <c r="U935" s="118"/>
      <c r="V935" s="118"/>
      <c r="W935" s="118"/>
      <c r="X935" s="118"/>
      <c r="Y935" s="118"/>
      <c r="Z935" s="118"/>
      <c r="AA935" s="118"/>
      <c r="AB935" s="118"/>
      <c r="AC935" s="118"/>
      <c r="AD935" s="111"/>
      <c r="AE935" s="122"/>
      <c r="AF935" s="122"/>
      <c r="AG935" s="122"/>
      <c r="AH935" s="122"/>
    </row>
    <row r="936" ht="22.5" customHeight="1">
      <c r="A936" s="73"/>
      <c r="B936" s="73"/>
      <c r="C936" s="73"/>
      <c r="D936" s="73"/>
      <c r="E936" s="330"/>
      <c r="F936" s="118"/>
      <c r="G936" s="118"/>
      <c r="H936" s="118"/>
      <c r="I936" s="118"/>
      <c r="J936" s="119"/>
      <c r="K936" s="120"/>
      <c r="L936" s="120"/>
      <c r="M936" s="120"/>
      <c r="N936" s="120"/>
      <c r="O936" s="118"/>
      <c r="P936" s="120"/>
      <c r="Q936" s="121"/>
      <c r="R936" s="109" t="b">
        <v>0</v>
      </c>
      <c r="S936" s="143"/>
      <c r="T936" s="110"/>
      <c r="U936" s="118"/>
      <c r="V936" s="118"/>
      <c r="W936" s="118"/>
      <c r="X936" s="118"/>
      <c r="Y936" s="118"/>
      <c r="Z936" s="118"/>
      <c r="AA936" s="118"/>
      <c r="AB936" s="118"/>
      <c r="AC936" s="118"/>
      <c r="AD936" s="111"/>
      <c r="AE936" s="122"/>
      <c r="AF936" s="122"/>
      <c r="AG936" s="122"/>
      <c r="AH936" s="122"/>
    </row>
    <row r="937" ht="22.5" customHeight="1">
      <c r="A937" s="73"/>
      <c r="B937" s="73"/>
      <c r="C937" s="73"/>
      <c r="D937" s="73"/>
      <c r="E937" s="330"/>
      <c r="F937" s="118"/>
      <c r="G937" s="118"/>
      <c r="H937" s="118"/>
      <c r="I937" s="118"/>
      <c r="J937" s="119"/>
      <c r="K937" s="120"/>
      <c r="L937" s="120"/>
      <c r="M937" s="120"/>
      <c r="N937" s="120"/>
      <c r="O937" s="118"/>
      <c r="P937" s="120"/>
      <c r="Q937" s="121"/>
      <c r="R937" s="109" t="b">
        <v>0</v>
      </c>
      <c r="S937" s="143"/>
      <c r="T937" s="110"/>
      <c r="U937" s="118"/>
      <c r="V937" s="118"/>
      <c r="W937" s="118"/>
      <c r="X937" s="118"/>
      <c r="Y937" s="118"/>
      <c r="Z937" s="118"/>
      <c r="AA937" s="118"/>
      <c r="AB937" s="118"/>
      <c r="AC937" s="118"/>
      <c r="AD937" s="111"/>
      <c r="AE937" s="122"/>
      <c r="AF937" s="122"/>
      <c r="AG937" s="122"/>
      <c r="AH937" s="122"/>
    </row>
    <row r="938" ht="22.5" customHeight="1">
      <c r="A938" s="73"/>
      <c r="B938" s="73"/>
      <c r="C938" s="73"/>
      <c r="D938" s="73"/>
      <c r="E938" s="330"/>
      <c r="F938" s="118"/>
      <c r="G938" s="118"/>
      <c r="H938" s="118"/>
      <c r="I938" s="118"/>
      <c r="J938" s="119"/>
      <c r="K938" s="120"/>
      <c r="L938" s="120"/>
      <c r="M938" s="120"/>
      <c r="N938" s="120"/>
      <c r="O938" s="118"/>
      <c r="P938" s="120"/>
      <c r="Q938" s="121"/>
      <c r="R938" s="109" t="b">
        <v>0</v>
      </c>
      <c r="S938" s="143"/>
      <c r="T938" s="110"/>
      <c r="U938" s="118"/>
      <c r="V938" s="118"/>
      <c r="W938" s="118"/>
      <c r="X938" s="118"/>
      <c r="Y938" s="118"/>
      <c r="Z938" s="118"/>
      <c r="AA938" s="118"/>
      <c r="AB938" s="118"/>
      <c r="AC938" s="118"/>
      <c r="AD938" s="111"/>
      <c r="AE938" s="122"/>
      <c r="AF938" s="122"/>
      <c r="AG938" s="122"/>
      <c r="AH938" s="122"/>
    </row>
    <row r="939" ht="22.5" customHeight="1">
      <c r="A939" s="73"/>
      <c r="B939" s="73"/>
      <c r="C939" s="73"/>
      <c r="D939" s="73"/>
      <c r="E939" s="330"/>
      <c r="F939" s="118"/>
      <c r="G939" s="118"/>
      <c r="H939" s="118"/>
      <c r="I939" s="118"/>
      <c r="J939" s="119"/>
      <c r="K939" s="120"/>
      <c r="L939" s="120"/>
      <c r="M939" s="120"/>
      <c r="N939" s="120"/>
      <c r="O939" s="118"/>
      <c r="P939" s="120"/>
      <c r="Q939" s="121"/>
      <c r="R939" s="109" t="b">
        <v>0</v>
      </c>
      <c r="S939" s="143"/>
      <c r="T939" s="110"/>
      <c r="U939" s="118"/>
      <c r="V939" s="118"/>
      <c r="W939" s="118"/>
      <c r="X939" s="118"/>
      <c r="Y939" s="118"/>
      <c r="Z939" s="118"/>
      <c r="AA939" s="118"/>
      <c r="AB939" s="118"/>
      <c r="AC939" s="118"/>
      <c r="AD939" s="111"/>
      <c r="AE939" s="122"/>
      <c r="AF939" s="122"/>
      <c r="AG939" s="122"/>
      <c r="AH939" s="122"/>
    </row>
    <row r="940" ht="22.5" customHeight="1">
      <c r="A940" s="73"/>
      <c r="B940" s="73"/>
      <c r="C940" s="73"/>
      <c r="D940" s="73"/>
      <c r="E940" s="330"/>
      <c r="F940" s="118"/>
      <c r="G940" s="118"/>
      <c r="H940" s="118"/>
      <c r="I940" s="118"/>
      <c r="J940" s="119"/>
      <c r="K940" s="120"/>
      <c r="L940" s="120"/>
      <c r="M940" s="120"/>
      <c r="N940" s="120"/>
      <c r="O940" s="118"/>
      <c r="P940" s="120"/>
      <c r="Q940" s="121"/>
      <c r="R940" s="109" t="b">
        <v>0</v>
      </c>
      <c r="S940" s="143"/>
      <c r="T940" s="110"/>
      <c r="U940" s="118"/>
      <c r="V940" s="118"/>
      <c r="W940" s="118"/>
      <c r="X940" s="118"/>
      <c r="Y940" s="118"/>
      <c r="Z940" s="118"/>
      <c r="AA940" s="118"/>
      <c r="AB940" s="118"/>
      <c r="AC940" s="118"/>
      <c r="AD940" s="111"/>
      <c r="AE940" s="122"/>
      <c r="AF940" s="122"/>
      <c r="AG940" s="122"/>
      <c r="AH940" s="122"/>
    </row>
    <row r="941" ht="22.5" customHeight="1">
      <c r="A941" s="73"/>
      <c r="B941" s="73"/>
      <c r="C941" s="73"/>
      <c r="D941" s="73"/>
      <c r="E941" s="330"/>
      <c r="F941" s="118"/>
      <c r="G941" s="118"/>
      <c r="H941" s="118"/>
      <c r="I941" s="118"/>
      <c r="J941" s="119"/>
      <c r="K941" s="120"/>
      <c r="L941" s="120"/>
      <c r="M941" s="120"/>
      <c r="N941" s="120"/>
      <c r="O941" s="118"/>
      <c r="P941" s="120"/>
      <c r="Q941" s="121"/>
      <c r="R941" s="109" t="b">
        <v>0</v>
      </c>
      <c r="S941" s="143"/>
      <c r="T941" s="110"/>
      <c r="U941" s="118"/>
      <c r="V941" s="118"/>
      <c r="W941" s="118"/>
      <c r="X941" s="118"/>
      <c r="Y941" s="118"/>
      <c r="Z941" s="118"/>
      <c r="AA941" s="118"/>
      <c r="AB941" s="118"/>
      <c r="AC941" s="118"/>
      <c r="AD941" s="111"/>
      <c r="AE941" s="122"/>
      <c r="AF941" s="122"/>
      <c r="AG941" s="122"/>
      <c r="AH941" s="122"/>
    </row>
    <row r="942" ht="22.5" customHeight="1">
      <c r="A942" s="73"/>
      <c r="B942" s="73"/>
      <c r="C942" s="73"/>
      <c r="D942" s="73"/>
      <c r="E942" s="330"/>
      <c r="F942" s="118"/>
      <c r="G942" s="118"/>
      <c r="H942" s="118"/>
      <c r="I942" s="118"/>
      <c r="J942" s="119"/>
      <c r="K942" s="120"/>
      <c r="L942" s="120"/>
      <c r="M942" s="120"/>
      <c r="N942" s="120"/>
      <c r="O942" s="118"/>
      <c r="P942" s="120"/>
      <c r="Q942" s="121"/>
      <c r="R942" s="109" t="b">
        <v>0</v>
      </c>
      <c r="S942" s="143"/>
      <c r="T942" s="110"/>
      <c r="U942" s="118"/>
      <c r="V942" s="118"/>
      <c r="W942" s="118"/>
      <c r="X942" s="118"/>
      <c r="Y942" s="118"/>
      <c r="Z942" s="118"/>
      <c r="AA942" s="118"/>
      <c r="AB942" s="118"/>
      <c r="AC942" s="118"/>
      <c r="AD942" s="111"/>
      <c r="AE942" s="122"/>
      <c r="AF942" s="122"/>
      <c r="AG942" s="122"/>
      <c r="AH942" s="122"/>
    </row>
    <row r="943" ht="22.5" customHeight="1">
      <c r="A943" s="73"/>
      <c r="B943" s="73"/>
      <c r="C943" s="73"/>
      <c r="D943" s="73"/>
      <c r="E943" s="330"/>
      <c r="F943" s="118"/>
      <c r="G943" s="118"/>
      <c r="H943" s="118"/>
      <c r="I943" s="118"/>
      <c r="J943" s="119"/>
      <c r="K943" s="120"/>
      <c r="L943" s="120"/>
      <c r="M943" s="120"/>
      <c r="N943" s="120"/>
      <c r="O943" s="118"/>
      <c r="P943" s="120"/>
      <c r="Q943" s="121"/>
      <c r="R943" s="109" t="b">
        <v>0</v>
      </c>
      <c r="S943" s="143"/>
      <c r="T943" s="110"/>
      <c r="U943" s="118"/>
      <c r="V943" s="118"/>
      <c r="W943" s="118"/>
      <c r="X943" s="118"/>
      <c r="Y943" s="118"/>
      <c r="Z943" s="118"/>
      <c r="AA943" s="118"/>
      <c r="AB943" s="118"/>
      <c r="AC943" s="118"/>
      <c r="AD943" s="111"/>
      <c r="AE943" s="122"/>
      <c r="AF943" s="122"/>
      <c r="AG943" s="122"/>
      <c r="AH943" s="122"/>
    </row>
    <row r="944" ht="22.5" customHeight="1">
      <c r="A944" s="73"/>
      <c r="B944" s="73"/>
      <c r="C944" s="73"/>
      <c r="D944" s="73"/>
      <c r="E944" s="330"/>
      <c r="F944" s="118"/>
      <c r="G944" s="118"/>
      <c r="H944" s="118"/>
      <c r="I944" s="118"/>
      <c r="J944" s="119"/>
      <c r="K944" s="120"/>
      <c r="L944" s="120"/>
      <c r="M944" s="120"/>
      <c r="N944" s="120"/>
      <c r="O944" s="118"/>
      <c r="P944" s="120"/>
      <c r="Q944" s="121"/>
      <c r="R944" s="109" t="b">
        <v>0</v>
      </c>
      <c r="S944" s="143"/>
      <c r="T944" s="110"/>
      <c r="U944" s="118"/>
      <c r="V944" s="118"/>
      <c r="W944" s="118"/>
      <c r="X944" s="118"/>
      <c r="Y944" s="118"/>
      <c r="Z944" s="118"/>
      <c r="AA944" s="118"/>
      <c r="AB944" s="118"/>
      <c r="AC944" s="118"/>
      <c r="AD944" s="111"/>
      <c r="AE944" s="122"/>
      <c r="AF944" s="122"/>
      <c r="AG944" s="122"/>
      <c r="AH944" s="122"/>
    </row>
    <row r="945" ht="22.5" customHeight="1">
      <c r="A945" s="73"/>
      <c r="B945" s="73"/>
      <c r="C945" s="73"/>
      <c r="D945" s="73"/>
      <c r="E945" s="330"/>
      <c r="F945" s="118"/>
      <c r="G945" s="118"/>
      <c r="H945" s="118"/>
      <c r="I945" s="118"/>
      <c r="J945" s="119"/>
      <c r="K945" s="120"/>
      <c r="L945" s="120"/>
      <c r="M945" s="120"/>
      <c r="N945" s="120"/>
      <c r="O945" s="118"/>
      <c r="P945" s="120"/>
      <c r="Q945" s="121"/>
      <c r="R945" s="109" t="b">
        <v>0</v>
      </c>
      <c r="S945" s="143"/>
      <c r="T945" s="110"/>
      <c r="U945" s="118"/>
      <c r="V945" s="118"/>
      <c r="W945" s="118"/>
      <c r="X945" s="118"/>
      <c r="Y945" s="118"/>
      <c r="Z945" s="118"/>
      <c r="AA945" s="118"/>
      <c r="AB945" s="118"/>
      <c r="AC945" s="118"/>
      <c r="AD945" s="111"/>
      <c r="AE945" s="122"/>
      <c r="AF945" s="122"/>
      <c r="AG945" s="122"/>
      <c r="AH945" s="122"/>
    </row>
    <row r="946" ht="22.5" customHeight="1">
      <c r="A946" s="73"/>
      <c r="B946" s="73"/>
      <c r="C946" s="73"/>
      <c r="D946" s="73"/>
      <c r="E946" s="330"/>
      <c r="F946" s="118"/>
      <c r="G946" s="118"/>
      <c r="H946" s="118"/>
      <c r="I946" s="118"/>
      <c r="J946" s="119"/>
      <c r="K946" s="120"/>
      <c r="L946" s="120"/>
      <c r="M946" s="120"/>
      <c r="N946" s="120"/>
      <c r="O946" s="118"/>
      <c r="P946" s="120"/>
      <c r="Q946" s="121"/>
      <c r="R946" s="109" t="b">
        <v>0</v>
      </c>
      <c r="S946" s="143"/>
      <c r="T946" s="110"/>
      <c r="U946" s="118"/>
      <c r="V946" s="118"/>
      <c r="W946" s="118"/>
      <c r="X946" s="118"/>
      <c r="Y946" s="118"/>
      <c r="Z946" s="118"/>
      <c r="AA946" s="118"/>
      <c r="AB946" s="118"/>
      <c r="AC946" s="118"/>
      <c r="AD946" s="111"/>
      <c r="AE946" s="122"/>
      <c r="AF946" s="122"/>
      <c r="AG946" s="122"/>
      <c r="AH946" s="122"/>
    </row>
    <row r="947" ht="22.5" customHeight="1">
      <c r="A947" s="73"/>
      <c r="B947" s="73"/>
      <c r="C947" s="73"/>
      <c r="D947" s="73"/>
      <c r="E947" s="330"/>
      <c r="F947" s="118"/>
      <c r="G947" s="118"/>
      <c r="H947" s="118"/>
      <c r="I947" s="118"/>
      <c r="J947" s="119"/>
      <c r="K947" s="120"/>
      <c r="L947" s="120"/>
      <c r="M947" s="120"/>
      <c r="N947" s="120"/>
      <c r="O947" s="118"/>
      <c r="P947" s="120"/>
      <c r="Q947" s="121"/>
      <c r="R947" s="109" t="b">
        <v>0</v>
      </c>
      <c r="S947" s="143"/>
      <c r="T947" s="110"/>
      <c r="U947" s="118"/>
      <c r="V947" s="118"/>
      <c r="W947" s="118"/>
      <c r="X947" s="118"/>
      <c r="Y947" s="118"/>
      <c r="Z947" s="118"/>
      <c r="AA947" s="118"/>
      <c r="AB947" s="118"/>
      <c r="AC947" s="118"/>
      <c r="AD947" s="111"/>
      <c r="AE947" s="122"/>
      <c r="AF947" s="122"/>
      <c r="AG947" s="122"/>
      <c r="AH947" s="122"/>
    </row>
    <row r="948" ht="22.5" customHeight="1">
      <c r="A948" s="73"/>
      <c r="B948" s="73"/>
      <c r="C948" s="73"/>
      <c r="D948" s="73"/>
      <c r="E948" s="330"/>
      <c r="F948" s="118"/>
      <c r="G948" s="118"/>
      <c r="H948" s="118"/>
      <c r="I948" s="118"/>
      <c r="J948" s="119"/>
      <c r="K948" s="120"/>
      <c r="L948" s="120"/>
      <c r="M948" s="120"/>
      <c r="N948" s="120"/>
      <c r="O948" s="118"/>
      <c r="P948" s="120"/>
      <c r="Q948" s="121"/>
      <c r="R948" s="109" t="b">
        <v>0</v>
      </c>
      <c r="S948" s="143"/>
      <c r="T948" s="110"/>
      <c r="U948" s="118"/>
      <c r="V948" s="118"/>
      <c r="W948" s="118"/>
      <c r="X948" s="118"/>
      <c r="Y948" s="118"/>
      <c r="Z948" s="118"/>
      <c r="AA948" s="118"/>
      <c r="AB948" s="118"/>
      <c r="AC948" s="118"/>
      <c r="AD948" s="111"/>
      <c r="AE948" s="122"/>
      <c r="AF948" s="122"/>
      <c r="AG948" s="122"/>
      <c r="AH948" s="122"/>
    </row>
    <row r="949" ht="22.5" customHeight="1">
      <c r="A949" s="73"/>
      <c r="B949" s="73"/>
      <c r="C949" s="73"/>
      <c r="D949" s="73"/>
      <c r="E949" s="330"/>
      <c r="F949" s="118"/>
      <c r="G949" s="118"/>
      <c r="H949" s="118"/>
      <c r="I949" s="118"/>
      <c r="J949" s="119"/>
      <c r="K949" s="120"/>
      <c r="L949" s="120"/>
      <c r="M949" s="120"/>
      <c r="N949" s="120"/>
      <c r="O949" s="118"/>
      <c r="P949" s="120"/>
      <c r="Q949" s="121"/>
      <c r="R949" s="109" t="b">
        <v>0</v>
      </c>
      <c r="S949" s="143"/>
      <c r="T949" s="110"/>
      <c r="U949" s="118"/>
      <c r="V949" s="118"/>
      <c r="W949" s="118"/>
      <c r="X949" s="118"/>
      <c r="Y949" s="118"/>
      <c r="Z949" s="118"/>
      <c r="AA949" s="118"/>
      <c r="AB949" s="118"/>
      <c r="AC949" s="118"/>
      <c r="AD949" s="111"/>
      <c r="AE949" s="122"/>
      <c r="AF949" s="122"/>
      <c r="AG949" s="122"/>
      <c r="AH949" s="122"/>
    </row>
    <row r="950" ht="22.5" customHeight="1">
      <c r="A950" s="73"/>
      <c r="B950" s="73"/>
      <c r="C950" s="73"/>
      <c r="D950" s="73"/>
      <c r="E950" s="330"/>
      <c r="F950" s="118"/>
      <c r="G950" s="118"/>
      <c r="H950" s="118"/>
      <c r="I950" s="118"/>
      <c r="J950" s="119"/>
      <c r="K950" s="120"/>
      <c r="L950" s="120"/>
      <c r="M950" s="120"/>
      <c r="N950" s="120"/>
      <c r="O950" s="118"/>
      <c r="P950" s="120"/>
      <c r="Q950" s="121"/>
      <c r="R950" s="109" t="b">
        <v>0</v>
      </c>
      <c r="S950" s="143"/>
      <c r="T950" s="110"/>
      <c r="U950" s="118"/>
      <c r="V950" s="118"/>
      <c r="W950" s="118"/>
      <c r="X950" s="118"/>
      <c r="Y950" s="118"/>
      <c r="Z950" s="118"/>
      <c r="AA950" s="118"/>
      <c r="AB950" s="118"/>
      <c r="AC950" s="118"/>
      <c r="AD950" s="111"/>
      <c r="AE950" s="122"/>
      <c r="AF950" s="122"/>
      <c r="AG950" s="122"/>
      <c r="AH950" s="122"/>
    </row>
    <row r="951" ht="22.5" customHeight="1">
      <c r="A951" s="73"/>
      <c r="B951" s="73"/>
      <c r="C951" s="73"/>
      <c r="D951" s="73"/>
      <c r="E951" s="330"/>
      <c r="F951" s="118"/>
      <c r="G951" s="118"/>
      <c r="H951" s="118"/>
      <c r="I951" s="118"/>
      <c r="J951" s="119"/>
      <c r="K951" s="120"/>
      <c r="L951" s="120"/>
      <c r="M951" s="120"/>
      <c r="N951" s="120"/>
      <c r="O951" s="118"/>
      <c r="P951" s="120"/>
      <c r="Q951" s="121"/>
      <c r="R951" s="109" t="b">
        <v>0</v>
      </c>
      <c r="S951" s="143"/>
      <c r="T951" s="110"/>
      <c r="U951" s="118"/>
      <c r="V951" s="118"/>
      <c r="W951" s="118"/>
      <c r="X951" s="118"/>
      <c r="Y951" s="118"/>
      <c r="Z951" s="118"/>
      <c r="AA951" s="118"/>
      <c r="AB951" s="118"/>
      <c r="AC951" s="118"/>
      <c r="AD951" s="111"/>
      <c r="AE951" s="122"/>
      <c r="AF951" s="122"/>
      <c r="AG951" s="122"/>
      <c r="AH951" s="122"/>
    </row>
    <row r="952" ht="22.5" customHeight="1">
      <c r="A952" s="73"/>
      <c r="B952" s="73"/>
      <c r="C952" s="73"/>
      <c r="D952" s="73"/>
      <c r="E952" s="330"/>
      <c r="F952" s="118"/>
      <c r="G952" s="118"/>
      <c r="H952" s="118"/>
      <c r="I952" s="118"/>
      <c r="J952" s="119"/>
      <c r="K952" s="120"/>
      <c r="L952" s="120"/>
      <c r="M952" s="120"/>
      <c r="N952" s="120"/>
      <c r="O952" s="118"/>
      <c r="P952" s="120"/>
      <c r="Q952" s="121"/>
      <c r="R952" s="109" t="b">
        <v>0</v>
      </c>
      <c r="S952" s="143"/>
      <c r="T952" s="110"/>
      <c r="U952" s="118"/>
      <c r="V952" s="118"/>
      <c r="W952" s="118"/>
      <c r="X952" s="118"/>
      <c r="Y952" s="118"/>
      <c r="Z952" s="118"/>
      <c r="AA952" s="118"/>
      <c r="AB952" s="118"/>
      <c r="AC952" s="118"/>
      <c r="AD952" s="111"/>
      <c r="AE952" s="122"/>
      <c r="AF952" s="122"/>
      <c r="AG952" s="122"/>
      <c r="AH952" s="122"/>
    </row>
    <row r="953" ht="22.5" customHeight="1">
      <c r="A953" s="73"/>
      <c r="B953" s="73"/>
      <c r="C953" s="73"/>
      <c r="D953" s="73"/>
      <c r="E953" s="330"/>
      <c r="F953" s="118"/>
      <c r="G953" s="118"/>
      <c r="H953" s="118"/>
      <c r="I953" s="118"/>
      <c r="J953" s="119"/>
      <c r="K953" s="120"/>
      <c r="L953" s="120"/>
      <c r="M953" s="120"/>
      <c r="N953" s="120"/>
      <c r="O953" s="118"/>
      <c r="P953" s="120"/>
      <c r="Q953" s="121"/>
      <c r="R953" s="109" t="b">
        <v>0</v>
      </c>
      <c r="S953" s="143"/>
      <c r="T953" s="110"/>
      <c r="U953" s="118"/>
      <c r="V953" s="118"/>
      <c r="W953" s="118"/>
      <c r="X953" s="118"/>
      <c r="Y953" s="118"/>
      <c r="Z953" s="118"/>
      <c r="AA953" s="118"/>
      <c r="AB953" s="118"/>
      <c r="AC953" s="118"/>
      <c r="AD953" s="111"/>
      <c r="AE953" s="122"/>
      <c r="AF953" s="122"/>
      <c r="AG953" s="122"/>
      <c r="AH953" s="122"/>
    </row>
    <row r="954" ht="22.5" customHeight="1">
      <c r="A954" s="73"/>
      <c r="B954" s="73"/>
      <c r="C954" s="73"/>
      <c r="D954" s="73"/>
      <c r="E954" s="330"/>
      <c r="F954" s="118"/>
      <c r="G954" s="118"/>
      <c r="H954" s="118"/>
      <c r="I954" s="118"/>
      <c r="J954" s="119"/>
      <c r="K954" s="120"/>
      <c r="L954" s="120"/>
      <c r="M954" s="120"/>
      <c r="N954" s="120"/>
      <c r="O954" s="118"/>
      <c r="P954" s="120"/>
      <c r="Q954" s="121"/>
      <c r="R954" s="109" t="b">
        <v>0</v>
      </c>
      <c r="S954" s="143"/>
      <c r="T954" s="110"/>
      <c r="U954" s="118"/>
      <c r="V954" s="118"/>
      <c r="W954" s="118"/>
      <c r="X954" s="118"/>
      <c r="Y954" s="118"/>
      <c r="Z954" s="118"/>
      <c r="AA954" s="118"/>
      <c r="AB954" s="118"/>
      <c r="AC954" s="118"/>
      <c r="AD954" s="111"/>
      <c r="AE954" s="122"/>
      <c r="AF954" s="122"/>
      <c r="AG954" s="122"/>
      <c r="AH954" s="122"/>
    </row>
    <row r="955" ht="22.5" customHeight="1">
      <c r="A955" s="73"/>
      <c r="B955" s="73"/>
      <c r="C955" s="73"/>
      <c r="D955" s="73"/>
      <c r="E955" s="330"/>
      <c r="F955" s="118"/>
      <c r="G955" s="118"/>
      <c r="H955" s="118"/>
      <c r="I955" s="118"/>
      <c r="J955" s="119"/>
      <c r="K955" s="120"/>
      <c r="L955" s="120"/>
      <c r="M955" s="120"/>
      <c r="N955" s="120"/>
      <c r="O955" s="118"/>
      <c r="P955" s="120"/>
      <c r="Q955" s="121"/>
      <c r="R955" s="109" t="b">
        <v>0</v>
      </c>
      <c r="S955" s="143"/>
      <c r="T955" s="110"/>
      <c r="U955" s="118"/>
      <c r="V955" s="118"/>
      <c r="W955" s="118"/>
      <c r="X955" s="118"/>
      <c r="Y955" s="118"/>
      <c r="Z955" s="118"/>
      <c r="AA955" s="118"/>
      <c r="AB955" s="118"/>
      <c r="AC955" s="118"/>
      <c r="AD955" s="111"/>
      <c r="AE955" s="122"/>
      <c r="AF955" s="122"/>
      <c r="AG955" s="122"/>
      <c r="AH955" s="122"/>
    </row>
    <row r="956" ht="22.5" customHeight="1">
      <c r="A956" s="73"/>
      <c r="B956" s="73"/>
      <c r="C956" s="73"/>
      <c r="D956" s="73"/>
      <c r="E956" s="330"/>
      <c r="F956" s="118"/>
      <c r="G956" s="118"/>
      <c r="H956" s="118"/>
      <c r="I956" s="118"/>
      <c r="J956" s="119"/>
      <c r="K956" s="120"/>
      <c r="L956" s="120"/>
      <c r="M956" s="120"/>
      <c r="N956" s="120"/>
      <c r="O956" s="118"/>
      <c r="P956" s="120"/>
      <c r="Q956" s="121"/>
      <c r="R956" s="109" t="b">
        <v>0</v>
      </c>
      <c r="S956" s="143"/>
      <c r="T956" s="110"/>
      <c r="U956" s="118"/>
      <c r="V956" s="118"/>
      <c r="W956" s="118"/>
      <c r="X956" s="118"/>
      <c r="Y956" s="118"/>
      <c r="Z956" s="118"/>
      <c r="AA956" s="118"/>
      <c r="AB956" s="118"/>
      <c r="AC956" s="118"/>
      <c r="AD956" s="111"/>
      <c r="AE956" s="122"/>
      <c r="AF956" s="122"/>
      <c r="AG956" s="122"/>
      <c r="AH956" s="122"/>
    </row>
    <row r="957" ht="22.5" customHeight="1">
      <c r="A957" s="73"/>
      <c r="B957" s="73"/>
      <c r="C957" s="73"/>
      <c r="D957" s="73"/>
      <c r="E957" s="330"/>
      <c r="F957" s="118"/>
      <c r="G957" s="118"/>
      <c r="H957" s="118"/>
      <c r="I957" s="118"/>
      <c r="J957" s="119"/>
      <c r="K957" s="120"/>
      <c r="L957" s="120"/>
      <c r="M957" s="120"/>
      <c r="N957" s="120"/>
      <c r="O957" s="118"/>
      <c r="P957" s="120"/>
      <c r="Q957" s="121"/>
      <c r="R957" s="109" t="b">
        <v>0</v>
      </c>
      <c r="S957" s="143"/>
      <c r="T957" s="110"/>
      <c r="U957" s="118"/>
      <c r="V957" s="118"/>
      <c r="W957" s="118"/>
      <c r="X957" s="118"/>
      <c r="Y957" s="118"/>
      <c r="Z957" s="118"/>
      <c r="AA957" s="118"/>
      <c r="AB957" s="118"/>
      <c r="AC957" s="118"/>
      <c r="AD957" s="111"/>
      <c r="AE957" s="122"/>
      <c r="AF957" s="122"/>
      <c r="AG957" s="122"/>
      <c r="AH957" s="122"/>
    </row>
    <row r="958" ht="22.5" customHeight="1">
      <c r="A958" s="73"/>
      <c r="B958" s="73"/>
      <c r="C958" s="73"/>
      <c r="D958" s="73"/>
      <c r="E958" s="330"/>
      <c r="F958" s="118"/>
      <c r="G958" s="118"/>
      <c r="H958" s="118"/>
      <c r="I958" s="118"/>
      <c r="J958" s="119"/>
      <c r="K958" s="120"/>
      <c r="L958" s="120"/>
      <c r="M958" s="120"/>
      <c r="N958" s="120"/>
      <c r="O958" s="118"/>
      <c r="P958" s="120"/>
      <c r="Q958" s="121"/>
      <c r="R958" s="109" t="b">
        <v>0</v>
      </c>
      <c r="S958" s="143"/>
      <c r="T958" s="110"/>
      <c r="U958" s="118"/>
      <c r="V958" s="118"/>
      <c r="W958" s="118"/>
      <c r="X958" s="118"/>
      <c r="Y958" s="118"/>
      <c r="Z958" s="118"/>
      <c r="AA958" s="118"/>
      <c r="AB958" s="118"/>
      <c r="AC958" s="118"/>
      <c r="AD958" s="111"/>
      <c r="AE958" s="122"/>
      <c r="AF958" s="122"/>
      <c r="AG958" s="122"/>
      <c r="AH958" s="122"/>
    </row>
    <row r="959" ht="22.5" customHeight="1">
      <c r="A959" s="73"/>
      <c r="B959" s="73"/>
      <c r="C959" s="73"/>
      <c r="D959" s="73"/>
      <c r="E959" s="330"/>
      <c r="F959" s="118"/>
      <c r="G959" s="118"/>
      <c r="H959" s="118"/>
      <c r="I959" s="118"/>
      <c r="J959" s="119"/>
      <c r="K959" s="120"/>
      <c r="L959" s="120"/>
      <c r="M959" s="120"/>
      <c r="N959" s="120"/>
      <c r="O959" s="118"/>
      <c r="P959" s="120"/>
      <c r="Q959" s="121"/>
      <c r="R959" s="109" t="b">
        <v>0</v>
      </c>
      <c r="S959" s="143"/>
      <c r="T959" s="110"/>
      <c r="U959" s="118"/>
      <c r="V959" s="118"/>
      <c r="W959" s="118"/>
      <c r="X959" s="118"/>
      <c r="Y959" s="118"/>
      <c r="Z959" s="118"/>
      <c r="AA959" s="118"/>
      <c r="AB959" s="118"/>
      <c r="AC959" s="118"/>
      <c r="AD959" s="111"/>
      <c r="AE959" s="122"/>
      <c r="AF959" s="122"/>
      <c r="AG959" s="122"/>
      <c r="AH959" s="122"/>
    </row>
    <row r="960" ht="22.5" customHeight="1">
      <c r="A960" s="73"/>
      <c r="B960" s="73"/>
      <c r="C960" s="73"/>
      <c r="D960" s="73"/>
      <c r="E960" s="330"/>
      <c r="F960" s="118"/>
      <c r="G960" s="118"/>
      <c r="H960" s="118"/>
      <c r="I960" s="118"/>
      <c r="J960" s="119"/>
      <c r="K960" s="120"/>
      <c r="L960" s="120"/>
      <c r="M960" s="120"/>
      <c r="N960" s="120"/>
      <c r="O960" s="118"/>
      <c r="P960" s="120"/>
      <c r="Q960" s="121"/>
      <c r="R960" s="109" t="b">
        <v>0</v>
      </c>
      <c r="S960" s="143"/>
      <c r="T960" s="110"/>
      <c r="U960" s="118"/>
      <c r="V960" s="118"/>
      <c r="W960" s="118"/>
      <c r="X960" s="118"/>
      <c r="Y960" s="118"/>
      <c r="Z960" s="118"/>
      <c r="AA960" s="118"/>
      <c r="AB960" s="118"/>
      <c r="AC960" s="118"/>
      <c r="AD960" s="111"/>
      <c r="AE960" s="122"/>
      <c r="AF960" s="122"/>
      <c r="AG960" s="122"/>
      <c r="AH960" s="122"/>
    </row>
    <row r="961" ht="22.5" customHeight="1">
      <c r="A961" s="73"/>
      <c r="B961" s="73"/>
      <c r="C961" s="73"/>
      <c r="D961" s="73"/>
      <c r="E961" s="330"/>
      <c r="F961" s="118"/>
      <c r="G961" s="118"/>
      <c r="H961" s="118"/>
      <c r="I961" s="118"/>
      <c r="J961" s="119"/>
      <c r="K961" s="120"/>
      <c r="L961" s="120"/>
      <c r="M961" s="120"/>
      <c r="N961" s="120"/>
      <c r="O961" s="118"/>
      <c r="P961" s="120"/>
      <c r="Q961" s="121"/>
      <c r="R961" s="109" t="b">
        <v>0</v>
      </c>
      <c r="S961" s="143"/>
      <c r="T961" s="110"/>
      <c r="U961" s="118"/>
      <c r="V961" s="118"/>
      <c r="W961" s="118"/>
      <c r="X961" s="118"/>
      <c r="Y961" s="118"/>
      <c r="Z961" s="118"/>
      <c r="AA961" s="118"/>
      <c r="AB961" s="118"/>
      <c r="AC961" s="118"/>
      <c r="AD961" s="111"/>
      <c r="AE961" s="122"/>
      <c r="AF961" s="122"/>
      <c r="AG961" s="122"/>
      <c r="AH961" s="122"/>
    </row>
    <row r="962" ht="22.5" customHeight="1">
      <c r="A962" s="73"/>
      <c r="B962" s="73"/>
      <c r="C962" s="73"/>
      <c r="D962" s="73"/>
      <c r="E962" s="330"/>
      <c r="F962" s="118"/>
      <c r="G962" s="118"/>
      <c r="H962" s="118"/>
      <c r="I962" s="118"/>
      <c r="J962" s="119"/>
      <c r="K962" s="120"/>
      <c r="L962" s="120"/>
      <c r="M962" s="120"/>
      <c r="N962" s="120"/>
      <c r="O962" s="118"/>
      <c r="P962" s="120"/>
      <c r="Q962" s="121"/>
      <c r="R962" s="109" t="b">
        <v>0</v>
      </c>
      <c r="S962" s="143"/>
      <c r="T962" s="110"/>
      <c r="U962" s="118"/>
      <c r="V962" s="118"/>
      <c r="W962" s="118"/>
      <c r="X962" s="118"/>
      <c r="Y962" s="118"/>
      <c r="Z962" s="118"/>
      <c r="AA962" s="118"/>
      <c r="AB962" s="118"/>
      <c r="AC962" s="118"/>
      <c r="AD962" s="111"/>
      <c r="AE962" s="122"/>
      <c r="AF962" s="122"/>
      <c r="AG962" s="122"/>
      <c r="AH962" s="122"/>
    </row>
    <row r="963" ht="22.5" customHeight="1">
      <c r="A963" s="73"/>
      <c r="B963" s="73"/>
      <c r="C963" s="73"/>
      <c r="D963" s="73"/>
      <c r="E963" s="330"/>
      <c r="F963" s="118"/>
      <c r="G963" s="118"/>
      <c r="H963" s="118"/>
      <c r="I963" s="118"/>
      <c r="J963" s="119"/>
      <c r="K963" s="120"/>
      <c r="L963" s="120"/>
      <c r="M963" s="120"/>
      <c r="N963" s="120"/>
      <c r="O963" s="118"/>
      <c r="P963" s="120"/>
      <c r="Q963" s="121"/>
      <c r="R963" s="109" t="b">
        <v>0</v>
      </c>
      <c r="S963" s="143"/>
      <c r="T963" s="110"/>
      <c r="U963" s="118"/>
      <c r="V963" s="118"/>
      <c r="W963" s="118"/>
      <c r="X963" s="118"/>
      <c r="Y963" s="118"/>
      <c r="Z963" s="118"/>
      <c r="AA963" s="118"/>
      <c r="AB963" s="118"/>
      <c r="AC963" s="118"/>
      <c r="AD963" s="111"/>
      <c r="AE963" s="122"/>
      <c r="AF963" s="122"/>
      <c r="AG963" s="122"/>
      <c r="AH963" s="122"/>
    </row>
    <row r="964" ht="22.5" customHeight="1">
      <c r="A964" s="73"/>
      <c r="B964" s="73"/>
      <c r="C964" s="73"/>
      <c r="D964" s="73"/>
      <c r="E964" s="330"/>
      <c r="F964" s="118"/>
      <c r="G964" s="118"/>
      <c r="H964" s="118"/>
      <c r="I964" s="118"/>
      <c r="J964" s="119"/>
      <c r="K964" s="120"/>
      <c r="L964" s="120"/>
      <c r="M964" s="120"/>
      <c r="N964" s="120"/>
      <c r="O964" s="118"/>
      <c r="P964" s="120"/>
      <c r="Q964" s="121"/>
      <c r="R964" s="109" t="b">
        <v>0</v>
      </c>
      <c r="S964" s="143"/>
      <c r="T964" s="110"/>
      <c r="U964" s="118"/>
      <c r="V964" s="118"/>
      <c r="W964" s="118"/>
      <c r="X964" s="118"/>
      <c r="Y964" s="118"/>
      <c r="Z964" s="118"/>
      <c r="AA964" s="118"/>
      <c r="AB964" s="118"/>
      <c r="AC964" s="118"/>
      <c r="AD964" s="111"/>
      <c r="AE964" s="122"/>
      <c r="AF964" s="122"/>
      <c r="AG964" s="122"/>
      <c r="AH964" s="122"/>
    </row>
    <row r="965" ht="22.5" customHeight="1">
      <c r="A965" s="73"/>
      <c r="B965" s="73"/>
      <c r="C965" s="73"/>
      <c r="D965" s="73"/>
      <c r="E965" s="330"/>
      <c r="F965" s="118"/>
      <c r="G965" s="118"/>
      <c r="H965" s="118"/>
      <c r="I965" s="118"/>
      <c r="J965" s="119"/>
      <c r="K965" s="120"/>
      <c r="L965" s="120"/>
      <c r="M965" s="120"/>
      <c r="N965" s="120"/>
      <c r="O965" s="118"/>
      <c r="P965" s="120"/>
      <c r="Q965" s="121"/>
      <c r="R965" s="109" t="b">
        <v>0</v>
      </c>
      <c r="S965" s="143"/>
      <c r="T965" s="110"/>
      <c r="U965" s="118"/>
      <c r="V965" s="118"/>
      <c r="W965" s="118"/>
      <c r="X965" s="118"/>
      <c r="Y965" s="118"/>
      <c r="Z965" s="118"/>
      <c r="AA965" s="118"/>
      <c r="AB965" s="118"/>
      <c r="AC965" s="118"/>
      <c r="AD965" s="111"/>
      <c r="AE965" s="122"/>
      <c r="AF965" s="122"/>
      <c r="AG965" s="122"/>
      <c r="AH965" s="122"/>
    </row>
    <row r="966" ht="22.5" customHeight="1">
      <c r="A966" s="73"/>
      <c r="B966" s="73"/>
      <c r="C966" s="73"/>
      <c r="D966" s="73"/>
      <c r="E966" s="330"/>
      <c r="F966" s="118"/>
      <c r="G966" s="118"/>
      <c r="H966" s="118"/>
      <c r="I966" s="118"/>
      <c r="J966" s="119"/>
      <c r="K966" s="120"/>
      <c r="L966" s="120"/>
      <c r="M966" s="120"/>
      <c r="N966" s="120"/>
      <c r="O966" s="118"/>
      <c r="P966" s="120"/>
      <c r="Q966" s="121"/>
      <c r="R966" s="109" t="b">
        <v>0</v>
      </c>
      <c r="S966" s="143"/>
      <c r="T966" s="110"/>
      <c r="U966" s="118"/>
      <c r="V966" s="118"/>
      <c r="W966" s="118"/>
      <c r="X966" s="118"/>
      <c r="Y966" s="118"/>
      <c r="Z966" s="118"/>
      <c r="AA966" s="118"/>
      <c r="AB966" s="118"/>
      <c r="AC966" s="118"/>
      <c r="AD966" s="111"/>
      <c r="AE966" s="122"/>
      <c r="AF966" s="122"/>
      <c r="AG966" s="122"/>
      <c r="AH966" s="122"/>
    </row>
    <row r="967" ht="22.5" customHeight="1">
      <c r="A967" s="73"/>
      <c r="B967" s="73"/>
      <c r="C967" s="73"/>
      <c r="D967" s="73"/>
      <c r="E967" s="330"/>
      <c r="F967" s="118"/>
      <c r="G967" s="118"/>
      <c r="H967" s="118"/>
      <c r="I967" s="118"/>
      <c r="J967" s="119"/>
      <c r="K967" s="120"/>
      <c r="L967" s="120"/>
      <c r="M967" s="120"/>
      <c r="N967" s="120"/>
      <c r="O967" s="118"/>
      <c r="P967" s="120"/>
      <c r="Q967" s="121"/>
      <c r="R967" s="109" t="b">
        <v>0</v>
      </c>
      <c r="S967" s="143"/>
      <c r="T967" s="110"/>
      <c r="U967" s="118"/>
      <c r="V967" s="118"/>
      <c r="W967" s="118"/>
      <c r="X967" s="118"/>
      <c r="Y967" s="118"/>
      <c r="Z967" s="118"/>
      <c r="AA967" s="118"/>
      <c r="AB967" s="118"/>
      <c r="AC967" s="118"/>
      <c r="AD967" s="111"/>
      <c r="AE967" s="122"/>
      <c r="AF967" s="122"/>
      <c r="AG967" s="122"/>
      <c r="AH967" s="122"/>
    </row>
    <row r="968" ht="22.5" customHeight="1">
      <c r="A968" s="73"/>
      <c r="B968" s="73"/>
      <c r="C968" s="73"/>
      <c r="D968" s="73"/>
      <c r="E968" s="330"/>
      <c r="F968" s="118"/>
      <c r="G968" s="118"/>
      <c r="H968" s="118"/>
      <c r="I968" s="118"/>
      <c r="J968" s="119"/>
      <c r="K968" s="120"/>
      <c r="L968" s="120"/>
      <c r="M968" s="120"/>
      <c r="N968" s="120"/>
      <c r="O968" s="118"/>
      <c r="P968" s="120"/>
      <c r="Q968" s="121"/>
      <c r="R968" s="109" t="b">
        <v>0</v>
      </c>
      <c r="S968" s="143"/>
      <c r="T968" s="110"/>
      <c r="U968" s="118"/>
      <c r="V968" s="118"/>
      <c r="W968" s="118"/>
      <c r="X968" s="118"/>
      <c r="Y968" s="118"/>
      <c r="Z968" s="118"/>
      <c r="AA968" s="118"/>
      <c r="AB968" s="118"/>
      <c r="AC968" s="118"/>
      <c r="AD968" s="111"/>
      <c r="AE968" s="122"/>
      <c r="AF968" s="122"/>
      <c r="AG968" s="122"/>
      <c r="AH968" s="122"/>
    </row>
    <row r="969" ht="22.5" customHeight="1">
      <c r="A969" s="73"/>
      <c r="B969" s="73"/>
      <c r="C969" s="73"/>
      <c r="D969" s="73"/>
      <c r="E969" s="330"/>
      <c r="F969" s="118"/>
      <c r="G969" s="118"/>
      <c r="H969" s="118"/>
      <c r="I969" s="118"/>
      <c r="J969" s="119"/>
      <c r="K969" s="120"/>
      <c r="L969" s="120"/>
      <c r="M969" s="120"/>
      <c r="N969" s="120"/>
      <c r="O969" s="118"/>
      <c r="P969" s="120"/>
      <c r="Q969" s="121"/>
      <c r="R969" s="109" t="b">
        <v>0</v>
      </c>
      <c r="S969" s="143"/>
      <c r="T969" s="110"/>
      <c r="U969" s="118"/>
      <c r="V969" s="118"/>
      <c r="W969" s="118"/>
      <c r="X969" s="118"/>
      <c r="Y969" s="118"/>
      <c r="Z969" s="118"/>
      <c r="AA969" s="118"/>
      <c r="AB969" s="118"/>
      <c r="AC969" s="118"/>
      <c r="AD969" s="111"/>
      <c r="AE969" s="122"/>
      <c r="AF969" s="122"/>
      <c r="AG969" s="122"/>
      <c r="AH969" s="122"/>
    </row>
    <row r="970" ht="22.5" customHeight="1">
      <c r="A970" s="73"/>
      <c r="B970" s="73"/>
      <c r="C970" s="73"/>
      <c r="D970" s="73"/>
      <c r="E970" s="330"/>
      <c r="F970" s="118"/>
      <c r="G970" s="118"/>
      <c r="H970" s="118"/>
      <c r="I970" s="118"/>
      <c r="J970" s="119"/>
      <c r="K970" s="120"/>
      <c r="L970" s="120"/>
      <c r="M970" s="120"/>
      <c r="N970" s="120"/>
      <c r="O970" s="118"/>
      <c r="P970" s="120"/>
      <c r="Q970" s="121"/>
      <c r="R970" s="109" t="b">
        <v>0</v>
      </c>
      <c r="S970" s="143"/>
      <c r="T970" s="110"/>
      <c r="U970" s="118"/>
      <c r="V970" s="118"/>
      <c r="W970" s="118"/>
      <c r="X970" s="118"/>
      <c r="Y970" s="118"/>
      <c r="Z970" s="118"/>
      <c r="AA970" s="118"/>
      <c r="AB970" s="118"/>
      <c r="AC970" s="118"/>
      <c r="AD970" s="111"/>
      <c r="AE970" s="122"/>
      <c r="AF970" s="122"/>
      <c r="AG970" s="122"/>
      <c r="AH970" s="122"/>
    </row>
    <row r="971" ht="22.5" customHeight="1">
      <c r="A971" s="73"/>
      <c r="B971" s="73"/>
      <c r="C971" s="73"/>
      <c r="D971" s="73"/>
      <c r="E971" s="330"/>
      <c r="F971" s="118"/>
      <c r="G971" s="118"/>
      <c r="H971" s="118"/>
      <c r="I971" s="118"/>
      <c r="J971" s="119"/>
      <c r="K971" s="120"/>
      <c r="L971" s="120"/>
      <c r="M971" s="120"/>
      <c r="N971" s="120"/>
      <c r="O971" s="118"/>
      <c r="P971" s="120"/>
      <c r="Q971" s="121"/>
      <c r="R971" s="109" t="b">
        <v>0</v>
      </c>
      <c r="S971" s="143"/>
      <c r="T971" s="110"/>
      <c r="U971" s="118"/>
      <c r="V971" s="118"/>
      <c r="W971" s="118"/>
      <c r="X971" s="118"/>
      <c r="Y971" s="118"/>
      <c r="Z971" s="118"/>
      <c r="AA971" s="118"/>
      <c r="AB971" s="118"/>
      <c r="AC971" s="118"/>
      <c r="AD971" s="111"/>
      <c r="AE971" s="122"/>
      <c r="AF971" s="122"/>
      <c r="AG971" s="122"/>
      <c r="AH971" s="122"/>
    </row>
    <row r="972" ht="22.5" customHeight="1">
      <c r="A972" s="73"/>
      <c r="B972" s="73"/>
      <c r="C972" s="73"/>
      <c r="D972" s="73"/>
      <c r="E972" s="330"/>
      <c r="F972" s="118"/>
      <c r="G972" s="118"/>
      <c r="H972" s="118"/>
      <c r="I972" s="118"/>
      <c r="J972" s="119"/>
      <c r="K972" s="120"/>
      <c r="L972" s="120"/>
      <c r="M972" s="120"/>
      <c r="N972" s="120"/>
      <c r="O972" s="118"/>
      <c r="P972" s="120"/>
      <c r="Q972" s="121"/>
      <c r="R972" s="109" t="b">
        <v>0</v>
      </c>
      <c r="S972" s="143"/>
      <c r="T972" s="110"/>
      <c r="U972" s="118"/>
      <c r="V972" s="118"/>
      <c r="W972" s="118"/>
      <c r="X972" s="118"/>
      <c r="Y972" s="118"/>
      <c r="Z972" s="118"/>
      <c r="AA972" s="118"/>
      <c r="AB972" s="118"/>
      <c r="AC972" s="118"/>
      <c r="AD972" s="111"/>
      <c r="AE972" s="122"/>
      <c r="AF972" s="122"/>
      <c r="AG972" s="122"/>
      <c r="AH972" s="122"/>
    </row>
    <row r="973" ht="22.5" customHeight="1">
      <c r="A973" s="73"/>
      <c r="B973" s="73"/>
      <c r="C973" s="73"/>
      <c r="D973" s="73"/>
      <c r="E973" s="330"/>
      <c r="F973" s="118"/>
      <c r="G973" s="118"/>
      <c r="H973" s="118"/>
      <c r="I973" s="118"/>
      <c r="J973" s="119"/>
      <c r="K973" s="120"/>
      <c r="L973" s="120"/>
      <c r="M973" s="120"/>
      <c r="N973" s="120"/>
      <c r="O973" s="118"/>
      <c r="P973" s="120"/>
      <c r="Q973" s="121"/>
      <c r="R973" s="109" t="b">
        <v>0</v>
      </c>
      <c r="S973" s="143"/>
      <c r="T973" s="110"/>
      <c r="U973" s="118"/>
      <c r="V973" s="118"/>
      <c r="W973" s="118"/>
      <c r="X973" s="118"/>
      <c r="Y973" s="118"/>
      <c r="Z973" s="118"/>
      <c r="AA973" s="118"/>
      <c r="AB973" s="118"/>
      <c r="AC973" s="118"/>
      <c r="AD973" s="111"/>
      <c r="AE973" s="122"/>
      <c r="AF973" s="122"/>
      <c r="AG973" s="122"/>
      <c r="AH973" s="122"/>
    </row>
    <row r="974" ht="22.5" customHeight="1">
      <c r="A974" s="73"/>
      <c r="B974" s="73"/>
      <c r="C974" s="73"/>
      <c r="D974" s="73"/>
      <c r="E974" s="330"/>
      <c r="F974" s="118"/>
      <c r="G974" s="118"/>
      <c r="H974" s="118"/>
      <c r="I974" s="118"/>
      <c r="J974" s="119"/>
      <c r="K974" s="120"/>
      <c r="L974" s="120"/>
      <c r="M974" s="120"/>
      <c r="N974" s="120"/>
      <c r="O974" s="118"/>
      <c r="P974" s="120"/>
      <c r="Q974" s="121"/>
      <c r="R974" s="109" t="b">
        <v>0</v>
      </c>
      <c r="S974" s="143"/>
      <c r="T974" s="110"/>
      <c r="U974" s="118"/>
      <c r="V974" s="118"/>
      <c r="W974" s="118"/>
      <c r="X974" s="118"/>
      <c r="Y974" s="118"/>
      <c r="Z974" s="118"/>
      <c r="AA974" s="118"/>
      <c r="AB974" s="118"/>
      <c r="AC974" s="118"/>
      <c r="AD974" s="111"/>
      <c r="AE974" s="122"/>
      <c r="AF974" s="122"/>
      <c r="AG974" s="122"/>
      <c r="AH974" s="122"/>
    </row>
    <row r="975" ht="22.5" customHeight="1">
      <c r="A975" s="73"/>
      <c r="B975" s="73"/>
      <c r="C975" s="73"/>
      <c r="D975" s="73"/>
      <c r="E975" s="330"/>
      <c r="F975" s="118"/>
      <c r="G975" s="118"/>
      <c r="H975" s="118"/>
      <c r="I975" s="118"/>
      <c r="J975" s="119"/>
      <c r="K975" s="120"/>
      <c r="L975" s="120"/>
      <c r="M975" s="120"/>
      <c r="N975" s="120"/>
      <c r="O975" s="118"/>
      <c r="P975" s="120"/>
      <c r="Q975" s="121"/>
      <c r="R975" s="109" t="b">
        <v>0</v>
      </c>
      <c r="S975" s="143"/>
      <c r="T975" s="110"/>
      <c r="U975" s="118"/>
      <c r="V975" s="118"/>
      <c r="W975" s="118"/>
      <c r="X975" s="118"/>
      <c r="Y975" s="118"/>
      <c r="Z975" s="118"/>
      <c r="AA975" s="118"/>
      <c r="AB975" s="118"/>
      <c r="AC975" s="118"/>
      <c r="AD975" s="111"/>
      <c r="AE975" s="122"/>
      <c r="AF975" s="122"/>
      <c r="AG975" s="122"/>
      <c r="AH975" s="122"/>
    </row>
    <row r="976" ht="22.5" customHeight="1">
      <c r="A976" s="73"/>
      <c r="B976" s="73"/>
      <c r="C976" s="73"/>
      <c r="D976" s="73"/>
      <c r="E976" s="330"/>
      <c r="F976" s="118"/>
      <c r="G976" s="118"/>
      <c r="H976" s="118"/>
      <c r="I976" s="118"/>
      <c r="J976" s="119"/>
      <c r="K976" s="120"/>
      <c r="L976" s="120"/>
      <c r="M976" s="120"/>
      <c r="N976" s="120"/>
      <c r="O976" s="118"/>
      <c r="P976" s="120"/>
      <c r="Q976" s="121"/>
      <c r="R976" s="109" t="b">
        <v>0</v>
      </c>
      <c r="S976" s="143"/>
      <c r="T976" s="110"/>
      <c r="U976" s="118"/>
      <c r="V976" s="118"/>
      <c r="W976" s="118"/>
      <c r="X976" s="118"/>
      <c r="Y976" s="118"/>
      <c r="Z976" s="118"/>
      <c r="AA976" s="118"/>
      <c r="AB976" s="118"/>
      <c r="AC976" s="118"/>
      <c r="AD976" s="111"/>
      <c r="AE976" s="122"/>
      <c r="AF976" s="122"/>
      <c r="AG976" s="122"/>
      <c r="AH976" s="122"/>
    </row>
    <row r="977" ht="22.5" customHeight="1">
      <c r="A977" s="73"/>
      <c r="B977" s="73"/>
      <c r="C977" s="73"/>
      <c r="D977" s="73"/>
      <c r="E977" s="330"/>
      <c r="F977" s="118"/>
      <c r="G977" s="118"/>
      <c r="H977" s="118"/>
      <c r="I977" s="118"/>
      <c r="J977" s="119"/>
      <c r="K977" s="120"/>
      <c r="L977" s="120"/>
      <c r="M977" s="120"/>
      <c r="N977" s="120"/>
      <c r="O977" s="118"/>
      <c r="P977" s="120"/>
      <c r="Q977" s="121"/>
      <c r="R977" s="109" t="b">
        <v>0</v>
      </c>
      <c r="S977" s="143"/>
      <c r="T977" s="110"/>
      <c r="U977" s="118"/>
      <c r="V977" s="118"/>
      <c r="W977" s="118"/>
      <c r="X977" s="118"/>
      <c r="Y977" s="118"/>
      <c r="Z977" s="118"/>
      <c r="AA977" s="118"/>
      <c r="AB977" s="118"/>
      <c r="AC977" s="118"/>
      <c r="AD977" s="111"/>
      <c r="AE977" s="122"/>
      <c r="AF977" s="122"/>
      <c r="AG977" s="122"/>
      <c r="AH977" s="122"/>
    </row>
    <row r="978" ht="22.5" customHeight="1">
      <c r="A978" s="73"/>
      <c r="B978" s="73"/>
      <c r="C978" s="73"/>
      <c r="D978" s="73"/>
      <c r="E978" s="330"/>
      <c r="F978" s="118"/>
      <c r="G978" s="118"/>
      <c r="H978" s="118"/>
      <c r="I978" s="118"/>
      <c r="J978" s="119"/>
      <c r="K978" s="120"/>
      <c r="L978" s="120"/>
      <c r="M978" s="120"/>
      <c r="N978" s="120"/>
      <c r="O978" s="118"/>
      <c r="P978" s="120"/>
      <c r="Q978" s="121"/>
      <c r="R978" s="109" t="b">
        <v>0</v>
      </c>
      <c r="S978" s="143"/>
      <c r="T978" s="110"/>
      <c r="U978" s="118"/>
      <c r="V978" s="118"/>
      <c r="W978" s="118"/>
      <c r="X978" s="118"/>
      <c r="Y978" s="118"/>
      <c r="Z978" s="118"/>
      <c r="AA978" s="118"/>
      <c r="AB978" s="118"/>
      <c r="AC978" s="118"/>
      <c r="AD978" s="111"/>
      <c r="AE978" s="122"/>
      <c r="AF978" s="122"/>
      <c r="AG978" s="122"/>
      <c r="AH978" s="122"/>
    </row>
    <row r="979" ht="22.5" customHeight="1">
      <c r="A979" s="73"/>
      <c r="B979" s="73"/>
      <c r="C979" s="73"/>
      <c r="D979" s="73"/>
      <c r="E979" s="330"/>
      <c r="F979" s="118"/>
      <c r="G979" s="118"/>
      <c r="H979" s="118"/>
      <c r="I979" s="118"/>
      <c r="J979" s="119"/>
      <c r="K979" s="120"/>
      <c r="L979" s="120"/>
      <c r="M979" s="120"/>
      <c r="N979" s="120"/>
      <c r="O979" s="118"/>
      <c r="P979" s="120"/>
      <c r="Q979" s="121"/>
      <c r="R979" s="109" t="b">
        <v>0</v>
      </c>
      <c r="S979" s="143"/>
      <c r="T979" s="110"/>
      <c r="U979" s="118"/>
      <c r="V979" s="118"/>
      <c r="W979" s="118"/>
      <c r="X979" s="118"/>
      <c r="Y979" s="118"/>
      <c r="Z979" s="118"/>
      <c r="AA979" s="118"/>
      <c r="AB979" s="118"/>
      <c r="AC979" s="118"/>
      <c r="AD979" s="111"/>
      <c r="AE979" s="122"/>
      <c r="AF979" s="122"/>
      <c r="AG979" s="122"/>
      <c r="AH979" s="122"/>
    </row>
    <row r="980" ht="22.5" customHeight="1">
      <c r="A980" s="73"/>
      <c r="B980" s="73"/>
      <c r="C980" s="73"/>
      <c r="D980" s="73"/>
      <c r="E980" s="330"/>
      <c r="F980" s="118"/>
      <c r="G980" s="118"/>
      <c r="H980" s="118"/>
      <c r="I980" s="118"/>
      <c r="J980" s="119"/>
      <c r="K980" s="120"/>
      <c r="L980" s="120"/>
      <c r="M980" s="120"/>
      <c r="N980" s="120"/>
      <c r="O980" s="118"/>
      <c r="P980" s="120"/>
      <c r="Q980" s="121"/>
      <c r="R980" s="109" t="b">
        <v>0</v>
      </c>
      <c r="S980" s="143"/>
      <c r="T980" s="110"/>
      <c r="U980" s="118"/>
      <c r="V980" s="118"/>
      <c r="W980" s="118"/>
      <c r="X980" s="118"/>
      <c r="Y980" s="118"/>
      <c r="Z980" s="118"/>
      <c r="AA980" s="118"/>
      <c r="AB980" s="118"/>
      <c r="AC980" s="118"/>
      <c r="AD980" s="111"/>
      <c r="AE980" s="122"/>
      <c r="AF980" s="122"/>
      <c r="AG980" s="122"/>
      <c r="AH980" s="122"/>
    </row>
    <row r="981" ht="22.5" customHeight="1">
      <c r="A981" s="73"/>
      <c r="B981" s="73"/>
      <c r="C981" s="73"/>
      <c r="D981" s="73"/>
      <c r="E981" s="330"/>
      <c r="F981" s="118"/>
      <c r="G981" s="118"/>
      <c r="H981" s="118"/>
      <c r="I981" s="118"/>
      <c r="J981" s="119"/>
      <c r="K981" s="120"/>
      <c r="L981" s="120"/>
      <c r="M981" s="120"/>
      <c r="N981" s="120"/>
      <c r="O981" s="118"/>
      <c r="P981" s="120"/>
      <c r="Q981" s="121"/>
      <c r="R981" s="109" t="b">
        <v>0</v>
      </c>
      <c r="S981" s="143"/>
      <c r="T981" s="110"/>
      <c r="U981" s="118"/>
      <c r="V981" s="118"/>
      <c r="W981" s="118"/>
      <c r="X981" s="118"/>
      <c r="Y981" s="118"/>
      <c r="Z981" s="118"/>
      <c r="AA981" s="118"/>
      <c r="AB981" s="118"/>
      <c r="AC981" s="118"/>
      <c r="AD981" s="111"/>
      <c r="AE981" s="122"/>
      <c r="AF981" s="122"/>
      <c r="AG981" s="122"/>
      <c r="AH981" s="122"/>
    </row>
    <row r="982" ht="22.5" customHeight="1">
      <c r="A982" s="73"/>
      <c r="B982" s="73"/>
      <c r="C982" s="73"/>
      <c r="D982" s="73"/>
      <c r="E982" s="330"/>
      <c r="F982" s="118"/>
      <c r="G982" s="118"/>
      <c r="H982" s="118"/>
      <c r="I982" s="118"/>
      <c r="J982" s="119"/>
      <c r="K982" s="120"/>
      <c r="L982" s="120"/>
      <c r="M982" s="120"/>
      <c r="N982" s="120"/>
      <c r="O982" s="118"/>
      <c r="P982" s="120"/>
      <c r="Q982" s="121"/>
      <c r="R982" s="109" t="b">
        <v>0</v>
      </c>
      <c r="S982" s="143"/>
      <c r="T982" s="110"/>
      <c r="U982" s="118"/>
      <c r="V982" s="118"/>
      <c r="W982" s="118"/>
      <c r="X982" s="118"/>
      <c r="Y982" s="118"/>
      <c r="Z982" s="118"/>
      <c r="AA982" s="118"/>
      <c r="AB982" s="118"/>
      <c r="AC982" s="118"/>
      <c r="AD982" s="111"/>
      <c r="AE982" s="122"/>
      <c r="AF982" s="122"/>
      <c r="AG982" s="122"/>
      <c r="AH982" s="122"/>
    </row>
    <row r="983" ht="22.5" customHeight="1">
      <c r="A983" s="73"/>
      <c r="B983" s="73"/>
      <c r="C983" s="73"/>
      <c r="D983" s="73"/>
      <c r="E983" s="330"/>
      <c r="F983" s="118"/>
      <c r="G983" s="118"/>
      <c r="H983" s="118"/>
      <c r="I983" s="118"/>
      <c r="J983" s="119"/>
      <c r="K983" s="120"/>
      <c r="L983" s="120"/>
      <c r="M983" s="120"/>
      <c r="N983" s="120"/>
      <c r="O983" s="118"/>
      <c r="P983" s="120"/>
      <c r="Q983" s="121"/>
      <c r="R983" s="109" t="b">
        <v>0</v>
      </c>
      <c r="S983" s="143"/>
      <c r="T983" s="110"/>
      <c r="U983" s="118"/>
      <c r="V983" s="118"/>
      <c r="W983" s="118"/>
      <c r="X983" s="118"/>
      <c r="Y983" s="118"/>
      <c r="Z983" s="118"/>
      <c r="AA983" s="118"/>
      <c r="AB983" s="118"/>
      <c r="AC983" s="118"/>
      <c r="AD983" s="111"/>
      <c r="AE983" s="122"/>
      <c r="AF983" s="122"/>
      <c r="AG983" s="122"/>
      <c r="AH983" s="122"/>
    </row>
    <row r="984" ht="22.5" customHeight="1">
      <c r="A984" s="73"/>
      <c r="B984" s="73"/>
      <c r="C984" s="73"/>
      <c r="D984" s="73"/>
      <c r="E984" s="330"/>
      <c r="F984" s="118"/>
      <c r="G984" s="118"/>
      <c r="H984" s="118"/>
      <c r="I984" s="118"/>
      <c r="J984" s="119"/>
      <c r="K984" s="120"/>
      <c r="L984" s="120"/>
      <c r="M984" s="120"/>
      <c r="N984" s="120"/>
      <c r="O984" s="118"/>
      <c r="P984" s="120"/>
      <c r="Q984" s="121"/>
      <c r="R984" s="109" t="b">
        <v>0</v>
      </c>
      <c r="S984" s="143"/>
      <c r="T984" s="110"/>
      <c r="U984" s="118"/>
      <c r="V984" s="118"/>
      <c r="W984" s="118"/>
      <c r="X984" s="118"/>
      <c r="Y984" s="118"/>
      <c r="Z984" s="118"/>
      <c r="AA984" s="118"/>
      <c r="AB984" s="118"/>
      <c r="AC984" s="118"/>
      <c r="AD984" s="111"/>
      <c r="AE984" s="122"/>
      <c r="AF984" s="122"/>
      <c r="AG984" s="122"/>
      <c r="AH984" s="122"/>
    </row>
    <row r="985" ht="22.5" customHeight="1">
      <c r="A985" s="73"/>
      <c r="B985" s="73"/>
      <c r="C985" s="73"/>
      <c r="D985" s="73"/>
      <c r="E985" s="330"/>
      <c r="F985" s="118"/>
      <c r="G985" s="118"/>
      <c r="H985" s="118"/>
      <c r="I985" s="118"/>
      <c r="J985" s="119"/>
      <c r="K985" s="120"/>
      <c r="L985" s="120"/>
      <c r="M985" s="120"/>
      <c r="N985" s="120"/>
      <c r="O985" s="118"/>
      <c r="P985" s="120"/>
      <c r="Q985" s="121"/>
      <c r="R985" s="109" t="b">
        <v>0</v>
      </c>
      <c r="S985" s="143"/>
      <c r="T985" s="110"/>
      <c r="U985" s="118"/>
      <c r="V985" s="118"/>
      <c r="W985" s="118"/>
      <c r="X985" s="118"/>
      <c r="Y985" s="118"/>
      <c r="Z985" s="118"/>
      <c r="AA985" s="118"/>
      <c r="AB985" s="118"/>
      <c r="AC985" s="118"/>
      <c r="AD985" s="111"/>
      <c r="AE985" s="122"/>
      <c r="AF985" s="122"/>
      <c r="AG985" s="122"/>
      <c r="AH985" s="122"/>
    </row>
    <row r="986" ht="22.5" customHeight="1">
      <c r="A986" s="73"/>
      <c r="B986" s="73"/>
      <c r="C986" s="73"/>
      <c r="D986" s="73"/>
      <c r="E986" s="330"/>
      <c r="F986" s="118"/>
      <c r="G986" s="118"/>
      <c r="H986" s="118"/>
      <c r="I986" s="118"/>
      <c r="J986" s="119"/>
      <c r="K986" s="120"/>
      <c r="L986" s="120"/>
      <c r="M986" s="120"/>
      <c r="N986" s="120"/>
      <c r="O986" s="118"/>
      <c r="P986" s="120"/>
      <c r="Q986" s="121"/>
      <c r="R986" s="109" t="b">
        <v>0</v>
      </c>
      <c r="S986" s="143"/>
      <c r="T986" s="110"/>
      <c r="U986" s="118"/>
      <c r="V986" s="118"/>
      <c r="W986" s="118"/>
      <c r="X986" s="118"/>
      <c r="Y986" s="118"/>
      <c r="Z986" s="118"/>
      <c r="AA986" s="118"/>
      <c r="AB986" s="118"/>
      <c r="AC986" s="118"/>
      <c r="AD986" s="111"/>
      <c r="AE986" s="122"/>
      <c r="AF986" s="122"/>
      <c r="AG986" s="122"/>
      <c r="AH986" s="122"/>
    </row>
    <row r="987" ht="22.5" customHeight="1">
      <c r="A987" s="73"/>
      <c r="B987" s="73"/>
      <c r="C987" s="73"/>
      <c r="D987" s="73"/>
      <c r="E987" s="330"/>
      <c r="F987" s="118"/>
      <c r="G987" s="118"/>
      <c r="H987" s="118"/>
      <c r="I987" s="118"/>
      <c r="J987" s="119"/>
      <c r="K987" s="120"/>
      <c r="L987" s="120"/>
      <c r="M987" s="120"/>
      <c r="N987" s="120"/>
      <c r="O987" s="118"/>
      <c r="P987" s="120"/>
      <c r="Q987" s="121"/>
      <c r="R987" s="109" t="b">
        <v>0</v>
      </c>
      <c r="S987" s="143"/>
      <c r="T987" s="110"/>
      <c r="U987" s="118"/>
      <c r="V987" s="118"/>
      <c r="W987" s="118"/>
      <c r="X987" s="118"/>
      <c r="Y987" s="118"/>
      <c r="Z987" s="118"/>
      <c r="AA987" s="118"/>
      <c r="AB987" s="118"/>
      <c r="AC987" s="118"/>
      <c r="AD987" s="111"/>
      <c r="AE987" s="122"/>
      <c r="AF987" s="122"/>
      <c r="AG987" s="122"/>
      <c r="AH987" s="122"/>
    </row>
    <row r="988" ht="22.5" customHeight="1">
      <c r="A988" s="73"/>
      <c r="B988" s="73"/>
      <c r="C988" s="73"/>
      <c r="D988" s="73"/>
      <c r="E988" s="330"/>
      <c r="F988" s="118"/>
      <c r="G988" s="118"/>
      <c r="H988" s="118"/>
      <c r="I988" s="118"/>
      <c r="J988" s="119"/>
      <c r="K988" s="120"/>
      <c r="L988" s="120"/>
      <c r="M988" s="120"/>
      <c r="N988" s="120"/>
      <c r="O988" s="118"/>
      <c r="P988" s="120"/>
      <c r="Q988" s="121"/>
      <c r="R988" s="109" t="b">
        <v>0</v>
      </c>
      <c r="S988" s="143"/>
      <c r="T988" s="110"/>
      <c r="U988" s="118"/>
      <c r="V988" s="118"/>
      <c r="W988" s="118"/>
      <c r="X988" s="118"/>
      <c r="Y988" s="118"/>
      <c r="Z988" s="118"/>
      <c r="AA988" s="118"/>
      <c r="AB988" s="118"/>
      <c r="AC988" s="118"/>
      <c r="AD988" s="111"/>
      <c r="AE988" s="122"/>
      <c r="AF988" s="122"/>
      <c r="AG988" s="122"/>
      <c r="AH988" s="122"/>
    </row>
    <row r="989" ht="22.5" customHeight="1">
      <c r="A989" s="73"/>
      <c r="B989" s="73"/>
      <c r="C989" s="73"/>
      <c r="D989" s="73"/>
      <c r="E989" s="330"/>
      <c r="F989" s="118"/>
      <c r="G989" s="118"/>
      <c r="H989" s="118"/>
      <c r="I989" s="118"/>
      <c r="J989" s="119"/>
      <c r="K989" s="120"/>
      <c r="L989" s="120"/>
      <c r="M989" s="120"/>
      <c r="N989" s="120"/>
      <c r="O989" s="118"/>
      <c r="P989" s="120"/>
      <c r="Q989" s="121"/>
      <c r="R989" s="109" t="b">
        <v>0</v>
      </c>
      <c r="S989" s="143"/>
      <c r="T989" s="110"/>
      <c r="U989" s="118"/>
      <c r="V989" s="118"/>
      <c r="W989" s="118"/>
      <c r="X989" s="118"/>
      <c r="Y989" s="118"/>
      <c r="Z989" s="118"/>
      <c r="AA989" s="118"/>
      <c r="AB989" s="118"/>
      <c r="AC989" s="118"/>
      <c r="AD989" s="111"/>
      <c r="AE989" s="122"/>
      <c r="AF989" s="122"/>
      <c r="AG989" s="122"/>
      <c r="AH989" s="122"/>
    </row>
    <row r="990" ht="22.5" customHeight="1">
      <c r="A990" s="73"/>
      <c r="B990" s="73"/>
      <c r="C990" s="73"/>
      <c r="D990" s="73"/>
      <c r="E990" s="330"/>
      <c r="F990" s="118"/>
      <c r="G990" s="118"/>
      <c r="H990" s="118"/>
      <c r="I990" s="118"/>
      <c r="J990" s="119"/>
      <c r="K990" s="120"/>
      <c r="L990" s="120"/>
      <c r="M990" s="120"/>
      <c r="N990" s="120"/>
      <c r="O990" s="118"/>
      <c r="P990" s="120"/>
      <c r="Q990" s="121"/>
      <c r="R990" s="109" t="b">
        <v>0</v>
      </c>
      <c r="S990" s="143"/>
      <c r="T990" s="110"/>
      <c r="U990" s="118"/>
      <c r="V990" s="118"/>
      <c r="W990" s="118"/>
      <c r="X990" s="118"/>
      <c r="Y990" s="118"/>
      <c r="Z990" s="118"/>
      <c r="AA990" s="118"/>
      <c r="AB990" s="118"/>
      <c r="AC990" s="118"/>
      <c r="AD990" s="111"/>
      <c r="AE990" s="122"/>
      <c r="AF990" s="122"/>
      <c r="AG990" s="122"/>
      <c r="AH990" s="122"/>
    </row>
    <row r="991" ht="22.5" customHeight="1">
      <c r="A991" s="73"/>
      <c r="B991" s="73"/>
      <c r="C991" s="73"/>
      <c r="D991" s="73"/>
      <c r="E991" s="330"/>
      <c r="F991" s="118"/>
      <c r="G991" s="118"/>
      <c r="H991" s="118"/>
      <c r="I991" s="118"/>
      <c r="J991" s="119"/>
      <c r="K991" s="120"/>
      <c r="L991" s="120"/>
      <c r="M991" s="120"/>
      <c r="N991" s="120"/>
      <c r="O991" s="118"/>
      <c r="P991" s="120"/>
      <c r="Q991" s="121"/>
      <c r="R991" s="109" t="b">
        <v>0</v>
      </c>
      <c r="S991" s="143"/>
      <c r="T991" s="110"/>
      <c r="U991" s="118"/>
      <c r="V991" s="118"/>
      <c r="W991" s="118"/>
      <c r="X991" s="118"/>
      <c r="Y991" s="118"/>
      <c r="Z991" s="118"/>
      <c r="AA991" s="118"/>
      <c r="AB991" s="118"/>
      <c r="AC991" s="118"/>
      <c r="AD991" s="111"/>
      <c r="AE991" s="122"/>
      <c r="AF991" s="122"/>
      <c r="AG991" s="122"/>
      <c r="AH991" s="122"/>
    </row>
    <row r="992" ht="22.5" customHeight="1">
      <c r="A992" s="73"/>
      <c r="B992" s="73"/>
      <c r="C992" s="73"/>
      <c r="D992" s="73"/>
      <c r="E992" s="330"/>
      <c r="F992" s="118"/>
      <c r="G992" s="118"/>
      <c r="H992" s="118"/>
      <c r="I992" s="118"/>
      <c r="J992" s="119"/>
      <c r="K992" s="120"/>
      <c r="L992" s="120"/>
      <c r="M992" s="120"/>
      <c r="N992" s="120"/>
      <c r="O992" s="118"/>
      <c r="P992" s="120"/>
      <c r="Q992" s="121"/>
      <c r="R992" s="109" t="b">
        <v>0</v>
      </c>
      <c r="S992" s="143"/>
      <c r="T992" s="110"/>
      <c r="U992" s="118"/>
      <c r="V992" s="118"/>
      <c r="W992" s="118"/>
      <c r="X992" s="118"/>
      <c r="Y992" s="118"/>
      <c r="Z992" s="118"/>
      <c r="AA992" s="118"/>
      <c r="AB992" s="118"/>
      <c r="AC992" s="118"/>
      <c r="AD992" s="111"/>
      <c r="AE992" s="122"/>
      <c r="AF992" s="122"/>
      <c r="AG992" s="122"/>
      <c r="AH992" s="122"/>
    </row>
    <row r="993" ht="22.5" customHeight="1">
      <c r="A993" s="73"/>
      <c r="B993" s="73"/>
      <c r="C993" s="73"/>
      <c r="D993" s="73"/>
      <c r="E993" s="330"/>
      <c r="F993" s="118"/>
      <c r="G993" s="118"/>
      <c r="H993" s="118"/>
      <c r="I993" s="118"/>
      <c r="J993" s="119"/>
      <c r="K993" s="120"/>
      <c r="L993" s="120"/>
      <c r="M993" s="120"/>
      <c r="N993" s="120"/>
      <c r="O993" s="118"/>
      <c r="P993" s="120"/>
      <c r="Q993" s="121"/>
      <c r="R993" s="109" t="b">
        <v>0</v>
      </c>
      <c r="S993" s="143"/>
      <c r="T993" s="110"/>
      <c r="U993" s="118"/>
      <c r="V993" s="118"/>
      <c r="W993" s="118"/>
      <c r="X993" s="118"/>
      <c r="Y993" s="118"/>
      <c r="Z993" s="118"/>
      <c r="AA993" s="118"/>
      <c r="AB993" s="118"/>
      <c r="AC993" s="118"/>
      <c r="AD993" s="111"/>
      <c r="AE993" s="122"/>
      <c r="AF993" s="122"/>
      <c r="AG993" s="122"/>
      <c r="AH993" s="122"/>
    </row>
    <row r="994" ht="22.5" customHeight="1">
      <c r="A994" s="73"/>
      <c r="B994" s="73"/>
      <c r="C994" s="73"/>
      <c r="D994" s="73"/>
      <c r="E994" s="330"/>
      <c r="F994" s="118"/>
      <c r="G994" s="118"/>
      <c r="H994" s="118"/>
      <c r="I994" s="118"/>
      <c r="J994" s="119"/>
      <c r="K994" s="120"/>
      <c r="L994" s="120"/>
      <c r="M994" s="120"/>
      <c r="N994" s="120"/>
      <c r="O994" s="118"/>
      <c r="P994" s="120"/>
      <c r="Q994" s="121"/>
      <c r="R994" s="109" t="b">
        <v>0</v>
      </c>
      <c r="S994" s="143"/>
      <c r="T994" s="110"/>
      <c r="U994" s="118"/>
      <c r="V994" s="118"/>
      <c r="W994" s="118"/>
      <c r="X994" s="118"/>
      <c r="Y994" s="118"/>
      <c r="Z994" s="118"/>
      <c r="AA994" s="118"/>
      <c r="AB994" s="118"/>
      <c r="AC994" s="118"/>
      <c r="AD994" s="111"/>
      <c r="AE994" s="122"/>
      <c r="AF994" s="122"/>
      <c r="AG994" s="122"/>
      <c r="AH994" s="122"/>
    </row>
    <row r="995" ht="22.5" customHeight="1">
      <c r="A995" s="73"/>
      <c r="B995" s="73"/>
      <c r="C995" s="73"/>
      <c r="D995" s="73"/>
      <c r="E995" s="330"/>
      <c r="F995" s="118"/>
      <c r="G995" s="118"/>
      <c r="H995" s="118"/>
      <c r="I995" s="118"/>
      <c r="J995" s="119"/>
      <c r="K995" s="120"/>
      <c r="L995" s="120"/>
      <c r="M995" s="120"/>
      <c r="N995" s="120"/>
      <c r="O995" s="118"/>
      <c r="P995" s="120"/>
      <c r="Q995" s="121"/>
      <c r="R995" s="109" t="b">
        <v>0</v>
      </c>
      <c r="S995" s="143"/>
      <c r="T995" s="110"/>
      <c r="U995" s="118"/>
      <c r="V995" s="118"/>
      <c r="W995" s="118"/>
      <c r="X995" s="118"/>
      <c r="Y995" s="118"/>
      <c r="Z995" s="118"/>
      <c r="AA995" s="118"/>
      <c r="AB995" s="118"/>
      <c r="AC995" s="118"/>
      <c r="AD995" s="111"/>
      <c r="AE995" s="122"/>
      <c r="AF995" s="122"/>
      <c r="AG995" s="122"/>
      <c r="AH995" s="122"/>
    </row>
    <row r="996" ht="22.5" customHeight="1">
      <c r="A996" s="73"/>
      <c r="B996" s="73"/>
      <c r="C996" s="73"/>
      <c r="D996" s="73"/>
      <c r="E996" s="330"/>
      <c r="F996" s="118"/>
      <c r="G996" s="118"/>
      <c r="H996" s="118"/>
      <c r="I996" s="118"/>
      <c r="J996" s="119"/>
      <c r="K996" s="120"/>
      <c r="L996" s="120"/>
      <c r="M996" s="120"/>
      <c r="N996" s="120"/>
      <c r="O996" s="118"/>
      <c r="P996" s="120"/>
      <c r="Q996" s="121"/>
      <c r="R996" s="109" t="b">
        <v>0</v>
      </c>
      <c r="S996" s="143"/>
      <c r="T996" s="110"/>
      <c r="U996" s="118"/>
      <c r="V996" s="118"/>
      <c r="W996" s="118"/>
      <c r="X996" s="118"/>
      <c r="Y996" s="118"/>
      <c r="Z996" s="118"/>
      <c r="AA996" s="118"/>
      <c r="AB996" s="118"/>
      <c r="AC996" s="118"/>
      <c r="AD996" s="111"/>
      <c r="AE996" s="122"/>
      <c r="AF996" s="122"/>
      <c r="AG996" s="122"/>
      <c r="AH996" s="122"/>
    </row>
    <row r="997" ht="22.5" customHeight="1">
      <c r="A997" s="73"/>
      <c r="B997" s="73"/>
      <c r="C997" s="73"/>
      <c r="D997" s="73"/>
      <c r="E997" s="330"/>
      <c r="F997" s="118"/>
      <c r="G997" s="118"/>
      <c r="H997" s="118"/>
      <c r="I997" s="118"/>
      <c r="J997" s="119"/>
      <c r="K997" s="120"/>
      <c r="L997" s="120"/>
      <c r="M997" s="120"/>
      <c r="N997" s="120"/>
      <c r="O997" s="118"/>
      <c r="P997" s="120"/>
      <c r="Q997" s="121"/>
      <c r="R997" s="109" t="b">
        <v>0</v>
      </c>
      <c r="S997" s="143"/>
      <c r="T997" s="110"/>
      <c r="U997" s="118"/>
      <c r="V997" s="118"/>
      <c r="W997" s="118"/>
      <c r="X997" s="118"/>
      <c r="Y997" s="118"/>
      <c r="Z997" s="118"/>
      <c r="AA997" s="118"/>
      <c r="AB997" s="118"/>
      <c r="AC997" s="118"/>
      <c r="AD997" s="111"/>
      <c r="AE997" s="122"/>
      <c r="AF997" s="122"/>
      <c r="AG997" s="122"/>
      <c r="AH997" s="122"/>
    </row>
    <row r="998" ht="22.5" customHeight="1">
      <c r="A998" s="73"/>
      <c r="B998" s="73"/>
      <c r="C998" s="73"/>
      <c r="D998" s="73"/>
      <c r="E998" s="330"/>
      <c r="F998" s="118"/>
      <c r="G998" s="118"/>
      <c r="H998" s="118"/>
      <c r="I998" s="118"/>
      <c r="J998" s="119"/>
      <c r="K998" s="120"/>
      <c r="L998" s="120"/>
      <c r="M998" s="120"/>
      <c r="N998" s="120"/>
      <c r="O998" s="118"/>
      <c r="P998" s="120"/>
      <c r="Q998" s="121"/>
      <c r="R998" s="109" t="b">
        <v>0</v>
      </c>
      <c r="S998" s="143"/>
      <c r="T998" s="110"/>
      <c r="U998" s="118"/>
      <c r="V998" s="118"/>
      <c r="W998" s="118"/>
      <c r="X998" s="118"/>
      <c r="Y998" s="118"/>
      <c r="Z998" s="118"/>
      <c r="AA998" s="118"/>
      <c r="AB998" s="118"/>
      <c r="AC998" s="118"/>
      <c r="AD998" s="111"/>
      <c r="AE998" s="122"/>
      <c r="AF998" s="122"/>
      <c r="AG998" s="122"/>
      <c r="AH998" s="122"/>
    </row>
    <row r="999" ht="22.5" customHeight="1">
      <c r="A999" s="73"/>
      <c r="B999" s="73"/>
      <c r="C999" s="73"/>
      <c r="D999" s="73"/>
      <c r="E999" s="330"/>
      <c r="F999" s="118"/>
      <c r="G999" s="118"/>
      <c r="H999" s="118"/>
      <c r="I999" s="118"/>
      <c r="J999" s="119"/>
      <c r="K999" s="120"/>
      <c r="L999" s="120"/>
      <c r="M999" s="120"/>
      <c r="N999" s="120"/>
      <c r="O999" s="118"/>
      <c r="P999" s="120"/>
      <c r="Q999" s="121"/>
      <c r="R999" s="109" t="b">
        <v>0</v>
      </c>
      <c r="S999" s="143"/>
      <c r="T999" s="110"/>
      <c r="U999" s="118"/>
      <c r="V999" s="118"/>
      <c r="W999" s="118"/>
      <c r="X999" s="118"/>
      <c r="Y999" s="118"/>
      <c r="Z999" s="118"/>
      <c r="AA999" s="118"/>
      <c r="AB999" s="118"/>
      <c r="AC999" s="118"/>
      <c r="AD999" s="111"/>
      <c r="AE999" s="122"/>
      <c r="AF999" s="122"/>
      <c r="AG999" s="122"/>
      <c r="AH999" s="122"/>
    </row>
    <row r="1000" ht="22.5" customHeight="1">
      <c r="A1000" s="73"/>
      <c r="B1000" s="73"/>
      <c r="C1000" s="73"/>
      <c r="D1000" s="73"/>
      <c r="E1000" s="330"/>
      <c r="F1000" s="118"/>
      <c r="G1000" s="118"/>
      <c r="H1000" s="118"/>
      <c r="I1000" s="118"/>
      <c r="J1000" s="119"/>
      <c r="K1000" s="120"/>
      <c r="L1000" s="120"/>
      <c r="M1000" s="120"/>
      <c r="N1000" s="120"/>
      <c r="O1000" s="118"/>
      <c r="P1000" s="120"/>
      <c r="Q1000" s="121"/>
      <c r="R1000" s="109" t="b">
        <v>0</v>
      </c>
      <c r="S1000" s="143"/>
      <c r="T1000" s="110"/>
      <c r="U1000" s="118"/>
      <c r="V1000" s="118"/>
      <c r="W1000" s="118"/>
      <c r="X1000" s="118"/>
      <c r="Y1000" s="118"/>
      <c r="Z1000" s="118"/>
      <c r="AA1000" s="118"/>
      <c r="AB1000" s="118"/>
      <c r="AC1000" s="118"/>
      <c r="AD1000" s="111"/>
      <c r="AE1000" s="122"/>
      <c r="AF1000" s="122"/>
      <c r="AG1000" s="122"/>
      <c r="AH1000" s="122"/>
    </row>
    <row r="1001" ht="22.5" customHeight="1">
      <c r="A1001" s="73"/>
      <c r="B1001" s="73"/>
      <c r="C1001" s="73"/>
      <c r="D1001" s="73"/>
      <c r="E1001" s="330"/>
      <c r="F1001" s="118"/>
      <c r="G1001" s="118"/>
      <c r="H1001" s="118"/>
      <c r="I1001" s="118"/>
      <c r="J1001" s="119"/>
      <c r="K1001" s="120"/>
      <c r="L1001" s="120"/>
      <c r="M1001" s="120"/>
      <c r="N1001" s="120"/>
      <c r="O1001" s="118"/>
      <c r="P1001" s="120"/>
      <c r="Q1001" s="121"/>
      <c r="R1001" s="109" t="b">
        <v>0</v>
      </c>
      <c r="S1001" s="143"/>
      <c r="T1001" s="110"/>
      <c r="U1001" s="118"/>
      <c r="V1001" s="118"/>
      <c r="W1001" s="118"/>
      <c r="X1001" s="118"/>
      <c r="Y1001" s="118"/>
      <c r="Z1001" s="118"/>
      <c r="AA1001" s="118"/>
      <c r="AB1001" s="118"/>
      <c r="AC1001" s="118"/>
      <c r="AD1001" s="111"/>
      <c r="AE1001" s="122"/>
      <c r="AF1001" s="122"/>
      <c r="AG1001" s="122"/>
      <c r="AH1001" s="122"/>
    </row>
    <row r="1002" ht="22.5" customHeight="1">
      <c r="A1002" s="73"/>
      <c r="B1002" s="73"/>
      <c r="C1002" s="73"/>
      <c r="D1002" s="73"/>
      <c r="E1002" s="330"/>
      <c r="F1002" s="118"/>
      <c r="G1002" s="118"/>
      <c r="H1002" s="118"/>
      <c r="I1002" s="118"/>
      <c r="J1002" s="119"/>
      <c r="K1002" s="120"/>
      <c r="L1002" s="120"/>
      <c r="M1002" s="120"/>
      <c r="N1002" s="120"/>
      <c r="O1002" s="118"/>
      <c r="P1002" s="120"/>
      <c r="Q1002" s="121"/>
      <c r="R1002" s="109" t="b">
        <v>0</v>
      </c>
      <c r="S1002" s="143"/>
      <c r="T1002" s="110"/>
      <c r="U1002" s="118"/>
      <c r="V1002" s="118"/>
      <c r="W1002" s="118"/>
      <c r="X1002" s="118"/>
      <c r="Y1002" s="118"/>
      <c r="Z1002" s="118"/>
      <c r="AA1002" s="118"/>
      <c r="AB1002" s="118"/>
      <c r="AC1002" s="118"/>
      <c r="AD1002" s="111"/>
      <c r="AE1002" s="122"/>
      <c r="AF1002" s="122"/>
      <c r="AG1002" s="122"/>
      <c r="AH1002" s="122"/>
    </row>
    <row r="1003" ht="22.5" customHeight="1">
      <c r="A1003" s="73"/>
      <c r="B1003" s="73"/>
      <c r="C1003" s="73"/>
      <c r="D1003" s="73"/>
      <c r="E1003" s="330"/>
      <c r="F1003" s="118"/>
      <c r="G1003" s="118"/>
      <c r="H1003" s="118"/>
      <c r="I1003" s="118"/>
      <c r="J1003" s="119"/>
      <c r="K1003" s="120"/>
      <c r="L1003" s="120"/>
      <c r="M1003" s="120"/>
      <c r="N1003" s="120"/>
      <c r="O1003" s="118"/>
      <c r="P1003" s="120"/>
      <c r="Q1003" s="121"/>
      <c r="R1003" s="109" t="b">
        <v>0</v>
      </c>
      <c r="S1003" s="143"/>
      <c r="T1003" s="110"/>
      <c r="U1003" s="118"/>
      <c r="V1003" s="118"/>
      <c r="W1003" s="118"/>
      <c r="X1003" s="118"/>
      <c r="Y1003" s="118"/>
      <c r="Z1003" s="118"/>
      <c r="AA1003" s="118"/>
      <c r="AB1003" s="118"/>
      <c r="AC1003" s="118"/>
      <c r="AD1003" s="111"/>
      <c r="AE1003" s="122"/>
      <c r="AF1003" s="122"/>
      <c r="AG1003" s="122"/>
      <c r="AH1003" s="122"/>
    </row>
    <row r="1004" ht="22.5" customHeight="1">
      <c r="A1004" s="73"/>
      <c r="B1004" s="73"/>
      <c r="C1004" s="73"/>
      <c r="D1004" s="73"/>
      <c r="E1004" s="330"/>
      <c r="F1004" s="118"/>
      <c r="G1004" s="118"/>
      <c r="H1004" s="118"/>
      <c r="I1004" s="118"/>
      <c r="J1004" s="119"/>
      <c r="K1004" s="120"/>
      <c r="L1004" s="120"/>
      <c r="M1004" s="120"/>
      <c r="N1004" s="120"/>
      <c r="O1004" s="118"/>
      <c r="P1004" s="120"/>
      <c r="Q1004" s="121"/>
      <c r="R1004" s="109" t="b">
        <v>0</v>
      </c>
      <c r="S1004" s="143"/>
      <c r="T1004" s="110"/>
      <c r="U1004" s="118"/>
      <c r="V1004" s="118"/>
      <c r="W1004" s="118"/>
      <c r="X1004" s="118"/>
      <c r="Y1004" s="118"/>
      <c r="Z1004" s="118"/>
      <c r="AA1004" s="118"/>
      <c r="AB1004" s="118"/>
      <c r="AC1004" s="118"/>
      <c r="AD1004" s="111"/>
      <c r="AE1004" s="122"/>
      <c r="AF1004" s="122"/>
      <c r="AG1004" s="122"/>
      <c r="AH1004" s="122"/>
    </row>
    <row r="1005" ht="22.5" customHeight="1">
      <c r="A1005" s="73"/>
      <c r="B1005" s="73"/>
      <c r="C1005" s="73"/>
      <c r="D1005" s="73"/>
      <c r="E1005" s="330"/>
      <c r="F1005" s="118"/>
      <c r="G1005" s="118"/>
      <c r="H1005" s="118"/>
      <c r="I1005" s="118"/>
      <c r="J1005" s="119"/>
      <c r="K1005" s="120"/>
      <c r="L1005" s="120"/>
      <c r="M1005" s="120"/>
      <c r="N1005" s="120"/>
      <c r="O1005" s="118"/>
      <c r="P1005" s="120"/>
      <c r="Q1005" s="121"/>
      <c r="R1005" s="109" t="b">
        <v>0</v>
      </c>
      <c r="S1005" s="143"/>
      <c r="T1005" s="110"/>
      <c r="U1005" s="118"/>
      <c r="V1005" s="118"/>
      <c r="W1005" s="118"/>
      <c r="X1005" s="118"/>
      <c r="Y1005" s="118"/>
      <c r="Z1005" s="118"/>
      <c r="AA1005" s="118"/>
      <c r="AB1005" s="118"/>
      <c r="AC1005" s="118"/>
      <c r="AD1005" s="111"/>
      <c r="AE1005" s="122"/>
      <c r="AF1005" s="122"/>
      <c r="AG1005" s="122"/>
      <c r="AH1005" s="122"/>
    </row>
    <row r="1006" ht="22.5" customHeight="1">
      <c r="A1006" s="73"/>
      <c r="B1006" s="73"/>
      <c r="C1006" s="73"/>
      <c r="D1006" s="73"/>
      <c r="E1006" s="330"/>
      <c r="F1006" s="118"/>
      <c r="G1006" s="118"/>
      <c r="H1006" s="118"/>
      <c r="I1006" s="118"/>
      <c r="J1006" s="119"/>
      <c r="K1006" s="120"/>
      <c r="L1006" s="120"/>
      <c r="M1006" s="120"/>
      <c r="N1006" s="120"/>
      <c r="O1006" s="118"/>
      <c r="P1006" s="120"/>
      <c r="Q1006" s="121"/>
      <c r="R1006" s="109" t="b">
        <v>0</v>
      </c>
      <c r="S1006" s="143"/>
      <c r="T1006" s="110"/>
      <c r="U1006" s="118"/>
      <c r="V1006" s="118"/>
      <c r="W1006" s="118"/>
      <c r="X1006" s="118"/>
      <c r="Y1006" s="118"/>
      <c r="Z1006" s="118"/>
      <c r="AA1006" s="118"/>
      <c r="AB1006" s="118"/>
      <c r="AC1006" s="118"/>
      <c r="AD1006" s="111"/>
      <c r="AE1006" s="122"/>
      <c r="AF1006" s="122"/>
      <c r="AG1006" s="122"/>
      <c r="AH1006" s="122"/>
    </row>
    <row r="1007" ht="22.5" customHeight="1">
      <c r="A1007" s="73"/>
      <c r="B1007" s="73"/>
      <c r="C1007" s="73"/>
      <c r="D1007" s="73"/>
      <c r="E1007" s="330"/>
      <c r="F1007" s="118"/>
      <c r="G1007" s="118"/>
      <c r="H1007" s="118"/>
      <c r="I1007" s="118"/>
      <c r="J1007" s="119"/>
      <c r="K1007" s="120"/>
      <c r="L1007" s="120"/>
      <c r="M1007" s="120"/>
      <c r="N1007" s="120"/>
      <c r="O1007" s="118"/>
      <c r="P1007" s="120"/>
      <c r="Q1007" s="121"/>
      <c r="R1007" s="109" t="b">
        <v>0</v>
      </c>
      <c r="S1007" s="143"/>
      <c r="T1007" s="110"/>
      <c r="U1007" s="118"/>
      <c r="V1007" s="118"/>
      <c r="W1007" s="118"/>
      <c r="X1007" s="118"/>
      <c r="Y1007" s="118"/>
      <c r="Z1007" s="118"/>
      <c r="AA1007" s="118"/>
      <c r="AB1007" s="118"/>
      <c r="AC1007" s="118"/>
      <c r="AD1007" s="111"/>
      <c r="AE1007" s="122"/>
      <c r="AF1007" s="122"/>
      <c r="AG1007" s="122"/>
      <c r="AH1007" s="122"/>
    </row>
    <row r="1008" ht="22.5" customHeight="1">
      <c r="A1008" s="73"/>
      <c r="B1008" s="73"/>
      <c r="C1008" s="73"/>
      <c r="D1008" s="73"/>
      <c r="E1008" s="330"/>
      <c r="F1008" s="118"/>
      <c r="G1008" s="118"/>
      <c r="H1008" s="118"/>
      <c r="I1008" s="118"/>
      <c r="J1008" s="119"/>
      <c r="K1008" s="120"/>
      <c r="L1008" s="120"/>
      <c r="M1008" s="120"/>
      <c r="N1008" s="120"/>
      <c r="O1008" s="118"/>
      <c r="P1008" s="120"/>
      <c r="Q1008" s="121"/>
      <c r="R1008" s="109" t="b">
        <v>0</v>
      </c>
      <c r="S1008" s="143"/>
      <c r="T1008" s="110"/>
      <c r="U1008" s="118"/>
      <c r="V1008" s="118"/>
      <c r="W1008" s="118"/>
      <c r="X1008" s="118"/>
      <c r="Y1008" s="118"/>
      <c r="Z1008" s="118"/>
      <c r="AA1008" s="118"/>
      <c r="AB1008" s="118"/>
      <c r="AC1008" s="118"/>
      <c r="AD1008" s="111"/>
      <c r="AE1008" s="122"/>
      <c r="AF1008" s="122"/>
      <c r="AG1008" s="122"/>
      <c r="AH1008" s="122"/>
    </row>
    <row r="1009" ht="22.5" customHeight="1">
      <c r="A1009" s="73"/>
      <c r="B1009" s="73"/>
      <c r="C1009" s="73"/>
      <c r="D1009" s="73"/>
      <c r="E1009" s="330"/>
      <c r="F1009" s="118"/>
      <c r="G1009" s="118"/>
      <c r="H1009" s="118"/>
      <c r="I1009" s="118"/>
      <c r="J1009" s="119"/>
      <c r="K1009" s="120"/>
      <c r="L1009" s="120"/>
      <c r="M1009" s="120"/>
      <c r="N1009" s="120"/>
      <c r="O1009" s="118"/>
      <c r="P1009" s="120"/>
      <c r="Q1009" s="121"/>
      <c r="R1009" s="109" t="b">
        <v>0</v>
      </c>
      <c r="S1009" s="143"/>
      <c r="T1009" s="110"/>
      <c r="U1009" s="118"/>
      <c r="V1009" s="118"/>
      <c r="W1009" s="118"/>
      <c r="X1009" s="118"/>
      <c r="Y1009" s="118"/>
      <c r="Z1009" s="118"/>
      <c r="AA1009" s="118"/>
      <c r="AB1009" s="118"/>
      <c r="AC1009" s="118"/>
      <c r="AD1009" s="111"/>
      <c r="AE1009" s="122"/>
      <c r="AF1009" s="122"/>
      <c r="AG1009" s="122"/>
      <c r="AH1009" s="122"/>
    </row>
    <row r="1010" ht="22.5" customHeight="1">
      <c r="A1010" s="73"/>
      <c r="B1010" s="73"/>
      <c r="C1010" s="73"/>
      <c r="D1010" s="73"/>
      <c r="E1010" s="330"/>
      <c r="F1010" s="118"/>
      <c r="G1010" s="118"/>
      <c r="H1010" s="118"/>
      <c r="I1010" s="118"/>
      <c r="J1010" s="119"/>
      <c r="K1010" s="120"/>
      <c r="L1010" s="120"/>
      <c r="M1010" s="120"/>
      <c r="N1010" s="120"/>
      <c r="O1010" s="118"/>
      <c r="P1010" s="120"/>
      <c r="Q1010" s="121"/>
      <c r="R1010" s="109" t="b">
        <v>0</v>
      </c>
      <c r="S1010" s="143"/>
      <c r="T1010" s="110"/>
      <c r="U1010" s="118"/>
      <c r="V1010" s="118"/>
      <c r="W1010" s="118"/>
      <c r="X1010" s="118"/>
      <c r="Y1010" s="118"/>
      <c r="Z1010" s="118"/>
      <c r="AA1010" s="118"/>
      <c r="AB1010" s="118"/>
      <c r="AC1010" s="118"/>
      <c r="AD1010" s="111"/>
      <c r="AE1010" s="122"/>
      <c r="AF1010" s="122"/>
      <c r="AG1010" s="122"/>
      <c r="AH1010" s="122"/>
    </row>
    <row r="1011" ht="22.5" customHeight="1">
      <c r="A1011" s="73"/>
      <c r="B1011" s="73"/>
      <c r="C1011" s="73"/>
      <c r="D1011" s="73"/>
      <c r="E1011" s="330"/>
      <c r="F1011" s="118"/>
      <c r="G1011" s="118"/>
      <c r="H1011" s="118"/>
      <c r="I1011" s="118"/>
      <c r="J1011" s="119"/>
      <c r="K1011" s="120"/>
      <c r="L1011" s="120"/>
      <c r="M1011" s="120"/>
      <c r="N1011" s="120"/>
      <c r="O1011" s="118"/>
      <c r="P1011" s="120"/>
      <c r="Q1011" s="121"/>
      <c r="R1011" s="109" t="b">
        <v>0</v>
      </c>
      <c r="S1011" s="143"/>
      <c r="T1011" s="110"/>
      <c r="U1011" s="118"/>
      <c r="V1011" s="118"/>
      <c r="W1011" s="118"/>
      <c r="X1011" s="118"/>
      <c r="Y1011" s="118"/>
      <c r="Z1011" s="118"/>
      <c r="AA1011" s="118"/>
      <c r="AB1011" s="118"/>
      <c r="AC1011" s="118"/>
      <c r="AD1011" s="111"/>
      <c r="AE1011" s="122"/>
      <c r="AF1011" s="122"/>
      <c r="AG1011" s="122"/>
      <c r="AH1011" s="122"/>
    </row>
    <row r="1012" ht="22.5" customHeight="1">
      <c r="A1012" s="73"/>
      <c r="B1012" s="73"/>
      <c r="C1012" s="73"/>
      <c r="D1012" s="73"/>
      <c r="E1012" s="330"/>
      <c r="F1012" s="118"/>
      <c r="G1012" s="118"/>
      <c r="H1012" s="118"/>
      <c r="I1012" s="118"/>
      <c r="J1012" s="119"/>
      <c r="K1012" s="120"/>
      <c r="L1012" s="120"/>
      <c r="M1012" s="120"/>
      <c r="N1012" s="120"/>
      <c r="O1012" s="118"/>
      <c r="P1012" s="120"/>
      <c r="Q1012" s="121"/>
      <c r="R1012" s="109" t="b">
        <v>0</v>
      </c>
      <c r="S1012" s="143"/>
      <c r="T1012" s="110"/>
      <c r="U1012" s="118"/>
      <c r="V1012" s="118"/>
      <c r="W1012" s="118"/>
      <c r="X1012" s="118"/>
      <c r="Y1012" s="118"/>
      <c r="Z1012" s="118"/>
      <c r="AA1012" s="118"/>
      <c r="AB1012" s="118"/>
      <c r="AC1012" s="118"/>
      <c r="AD1012" s="111"/>
      <c r="AE1012" s="122"/>
      <c r="AF1012" s="122"/>
      <c r="AG1012" s="122"/>
      <c r="AH1012" s="122"/>
    </row>
    <row r="1013" ht="22.5" customHeight="1">
      <c r="A1013" s="73"/>
      <c r="B1013" s="73"/>
      <c r="C1013" s="73"/>
      <c r="D1013" s="73"/>
      <c r="E1013" s="330"/>
      <c r="F1013" s="118"/>
      <c r="G1013" s="118"/>
      <c r="H1013" s="118"/>
      <c r="I1013" s="118"/>
      <c r="J1013" s="119"/>
      <c r="K1013" s="120"/>
      <c r="L1013" s="120"/>
      <c r="M1013" s="120"/>
      <c r="N1013" s="120"/>
      <c r="O1013" s="118"/>
      <c r="P1013" s="120"/>
      <c r="Q1013" s="121"/>
      <c r="R1013" s="109" t="b">
        <v>0</v>
      </c>
      <c r="S1013" s="143"/>
      <c r="T1013" s="110"/>
      <c r="U1013" s="118"/>
      <c r="V1013" s="118"/>
      <c r="W1013" s="118"/>
      <c r="X1013" s="118"/>
      <c r="Y1013" s="118"/>
      <c r="Z1013" s="118"/>
      <c r="AA1013" s="118"/>
      <c r="AB1013" s="118"/>
      <c r="AC1013" s="118"/>
      <c r="AD1013" s="111"/>
      <c r="AE1013" s="122"/>
      <c r="AF1013" s="122"/>
      <c r="AG1013" s="122"/>
      <c r="AH1013" s="122"/>
    </row>
    <row r="1014" ht="22.5" customHeight="1">
      <c r="A1014" s="73"/>
      <c r="B1014" s="73"/>
      <c r="C1014" s="73"/>
      <c r="D1014" s="73"/>
      <c r="E1014" s="330"/>
      <c r="F1014" s="118"/>
      <c r="G1014" s="118"/>
      <c r="H1014" s="118"/>
      <c r="I1014" s="118"/>
      <c r="J1014" s="119"/>
      <c r="K1014" s="120"/>
      <c r="L1014" s="120"/>
      <c r="M1014" s="120"/>
      <c r="N1014" s="120"/>
      <c r="O1014" s="118"/>
      <c r="P1014" s="120"/>
      <c r="Q1014" s="121"/>
      <c r="R1014" s="109" t="b">
        <v>0</v>
      </c>
      <c r="S1014" s="143"/>
      <c r="T1014" s="110"/>
      <c r="U1014" s="118"/>
      <c r="V1014" s="118"/>
      <c r="W1014" s="118"/>
      <c r="X1014" s="118"/>
      <c r="Y1014" s="118"/>
      <c r="Z1014" s="118"/>
      <c r="AA1014" s="118"/>
      <c r="AB1014" s="118"/>
      <c r="AC1014" s="118"/>
      <c r="AD1014" s="111"/>
      <c r="AE1014" s="122"/>
      <c r="AF1014" s="122"/>
      <c r="AG1014" s="122"/>
      <c r="AH1014" s="122"/>
    </row>
    <row r="1015" ht="22.5" customHeight="1">
      <c r="A1015" s="73"/>
      <c r="B1015" s="73"/>
      <c r="C1015" s="73"/>
      <c r="D1015" s="73"/>
      <c r="E1015" s="330"/>
      <c r="F1015" s="118"/>
      <c r="G1015" s="118"/>
      <c r="H1015" s="118"/>
      <c r="I1015" s="118"/>
      <c r="J1015" s="119"/>
      <c r="K1015" s="120"/>
      <c r="L1015" s="120"/>
      <c r="M1015" s="120"/>
      <c r="N1015" s="120"/>
      <c r="O1015" s="118"/>
      <c r="P1015" s="120"/>
      <c r="Q1015" s="121"/>
      <c r="R1015" s="109" t="b">
        <v>0</v>
      </c>
      <c r="S1015" s="143"/>
      <c r="T1015" s="110"/>
      <c r="U1015" s="118"/>
      <c r="V1015" s="118"/>
      <c r="W1015" s="118"/>
      <c r="X1015" s="118"/>
      <c r="Y1015" s="118"/>
      <c r="Z1015" s="118"/>
      <c r="AA1015" s="118"/>
      <c r="AB1015" s="118"/>
      <c r="AC1015" s="118"/>
      <c r="AD1015" s="111"/>
      <c r="AE1015" s="122"/>
      <c r="AF1015" s="122"/>
      <c r="AG1015" s="122"/>
      <c r="AH1015" s="122"/>
    </row>
  </sheetData>
  <conditionalFormatting sqref="S1:S1015">
    <cfRule type="containsText" dxfId="7" priority="1" operator="containsText" text="Observar">
      <formula>NOT(ISERROR(SEARCH(("Observar"),(S1))))</formula>
    </cfRule>
  </conditionalFormatting>
  <conditionalFormatting sqref="S1:S1015">
    <cfRule type="containsText" dxfId="8" priority="2" operator="containsText" text="Aguardar Recuo">
      <formula>NOT(ISERROR(SEARCH(("Aguardar Recuo"),(S1))))</formula>
    </cfRule>
  </conditionalFormatting>
  <conditionalFormatting sqref="S1:S1015">
    <cfRule type="containsText" dxfId="5" priority="3" operator="containsText" text="Forca Consolidada">
      <formula>NOT(ISERROR(SEARCH(("Forca Consolidada"),(S1))))</formula>
    </cfRule>
  </conditionalFormatting>
  <dataValidations>
    <dataValidation type="list" allowBlank="1" sqref="J3:J1015">
      <formula1>"ACTIVA,W,SB,N"</formula1>
    </dataValidation>
    <dataValidation type="custom" allowBlank="1" showDropDown="1" sqref="Q3:Q1015">
      <formula1>OR(NOT(ISERROR(DATEVALUE(Q3))), AND(ISNUMBER(Q3), LEFT(CELL("format", Q3))="D"))</formula1>
    </dataValidation>
    <dataValidation type="custom" allowBlank="1" showDropDown="1" sqref="K3:N1015 P3:P1015">
      <formula1>AND(ISNUMBER(K3),(NOT(OR(NOT(ISERROR(DATEVALUE(K3))), AND(ISNUMBER(K3), LEFT(CELL("format", K3))="D")))))</formula1>
    </dataValidation>
  </dataValidations>
  <hyperlinks>
    <hyperlink r:id="rId1" ref="F14"/>
    <hyperlink r:id="rId2" ref="F99"/>
  </hyperlinks>
  <drawing r:id="rId3"/>
  <tableParts count="1">
    <tablePart r:id="rId5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7.88"/>
  </cols>
  <sheetData>
    <row r="3">
      <c r="A3" s="214"/>
      <c r="B3" s="215" t="s">
        <v>3291</v>
      </c>
      <c r="C3" s="215" t="s">
        <v>957</v>
      </c>
      <c r="D3" s="215" t="s">
        <v>3292</v>
      </c>
      <c r="E3" s="215" t="s">
        <v>3294</v>
      </c>
      <c r="F3" s="215" t="s">
        <v>3295</v>
      </c>
      <c r="G3" s="215" t="s">
        <v>3296</v>
      </c>
      <c r="H3" s="215" t="s">
        <v>3297</v>
      </c>
      <c r="I3" s="215" t="s">
        <v>121</v>
      </c>
      <c r="J3" s="215" t="s">
        <v>3298</v>
      </c>
      <c r="K3" s="215" t="s">
        <v>506</v>
      </c>
      <c r="L3" s="215" t="s">
        <v>3300</v>
      </c>
      <c r="M3" s="215" t="s">
        <v>120</v>
      </c>
      <c r="N3" s="215" t="s">
        <v>3301</v>
      </c>
    </row>
    <row r="4">
      <c r="A4" s="215">
        <v>1.0</v>
      </c>
      <c r="B4" s="216"/>
      <c r="C4" s="217"/>
      <c r="D4" s="217"/>
      <c r="E4" s="218"/>
      <c r="F4" s="218"/>
      <c r="G4" s="217"/>
      <c r="H4" s="218"/>
      <c r="I4" s="218"/>
      <c r="J4" s="218"/>
      <c r="K4" s="218"/>
      <c r="L4" s="218"/>
      <c r="M4" s="218"/>
      <c r="N4" s="218"/>
    </row>
    <row r="5">
      <c r="A5" s="215">
        <v>2.0</v>
      </c>
      <c r="B5" s="219"/>
      <c r="C5" s="220" t="s">
        <v>3303</v>
      </c>
      <c r="D5" s="221"/>
      <c r="E5" s="222"/>
      <c r="F5" s="223"/>
      <c r="G5" s="224"/>
      <c r="H5" s="222"/>
      <c r="I5" s="222"/>
      <c r="J5" s="222"/>
      <c r="K5" s="222"/>
      <c r="L5" s="222"/>
      <c r="M5" s="222"/>
      <c r="N5" s="222"/>
    </row>
    <row r="6">
      <c r="A6" s="215">
        <v>3.0</v>
      </c>
      <c r="B6" s="216"/>
      <c r="C6" s="225" t="s">
        <v>3305</v>
      </c>
      <c r="D6" s="226"/>
      <c r="E6" s="227"/>
      <c r="F6" s="227"/>
      <c r="G6" s="228"/>
      <c r="H6" s="227"/>
      <c r="I6" s="227"/>
      <c r="J6" s="227"/>
      <c r="K6" s="227"/>
      <c r="L6" s="227"/>
      <c r="M6" s="227"/>
      <c r="N6" s="227"/>
    </row>
    <row r="7">
      <c r="A7" s="215">
        <v>4.0</v>
      </c>
      <c r="B7" s="216"/>
      <c r="C7" s="229"/>
      <c r="D7" s="229"/>
      <c r="E7" s="230"/>
      <c r="F7" s="230"/>
      <c r="G7" s="229"/>
      <c r="H7" s="230"/>
      <c r="I7" s="230"/>
      <c r="J7" s="230"/>
      <c r="K7" s="230"/>
      <c r="L7" s="230"/>
      <c r="M7" s="230"/>
      <c r="N7" s="230"/>
    </row>
    <row r="8">
      <c r="A8" s="215">
        <v>5.0</v>
      </c>
      <c r="B8" s="231"/>
      <c r="C8" s="232" t="s">
        <v>3312</v>
      </c>
      <c r="D8" s="232" t="s">
        <v>3313</v>
      </c>
      <c r="E8" s="233" t="s">
        <v>3315</v>
      </c>
      <c r="F8" s="233" t="s">
        <v>3316</v>
      </c>
      <c r="G8" s="232" t="s">
        <v>3317</v>
      </c>
      <c r="H8" s="234" t="s">
        <v>3319</v>
      </c>
      <c r="I8" s="232" t="s">
        <v>3320</v>
      </c>
      <c r="J8" s="234" t="s">
        <v>3321</v>
      </c>
      <c r="K8" s="232" t="s">
        <v>3322</v>
      </c>
      <c r="L8" s="232" t="s">
        <v>3323</v>
      </c>
      <c r="M8" s="232" t="s">
        <v>3324</v>
      </c>
      <c r="N8" s="232" t="s">
        <v>3325</v>
      </c>
    </row>
    <row r="9">
      <c r="A9" s="235"/>
      <c r="B9" s="236"/>
      <c r="C9" s="236"/>
      <c r="D9" s="236"/>
      <c r="E9" s="236"/>
      <c r="F9" s="236"/>
      <c r="G9" s="236"/>
      <c r="H9" s="236"/>
      <c r="I9" s="236"/>
      <c r="J9" s="236"/>
      <c r="K9" s="236"/>
      <c r="L9" s="236"/>
      <c r="M9" s="236"/>
      <c r="N9" s="236"/>
    </row>
    <row r="10">
      <c r="A10" s="215">
        <v>6.0</v>
      </c>
      <c r="B10" s="237"/>
      <c r="C10" s="238">
        <v>140.0</v>
      </c>
      <c r="D10" s="238">
        <v>8086.0</v>
      </c>
      <c r="E10" s="238" t="s">
        <v>3328</v>
      </c>
      <c r="F10" s="238" t="s">
        <v>3329</v>
      </c>
      <c r="G10" s="239" t="s">
        <v>3330</v>
      </c>
      <c r="H10" s="240">
        <v>22.0</v>
      </c>
      <c r="I10" s="240">
        <v>22.0</v>
      </c>
      <c r="J10" s="240">
        <v>0.0</v>
      </c>
      <c r="K10" s="240">
        <v>0.0</v>
      </c>
      <c r="L10" s="240">
        <v>0.0</v>
      </c>
      <c r="M10" s="240" t="s">
        <v>3331</v>
      </c>
      <c r="N10" s="240">
        <v>0.0</v>
      </c>
    </row>
    <row r="11">
      <c r="A11" s="215">
        <v>7.0</v>
      </c>
      <c r="B11" s="237"/>
      <c r="C11" s="238">
        <v>140.0</v>
      </c>
      <c r="D11" s="238">
        <v>9022.0</v>
      </c>
      <c r="E11" s="238" t="s">
        <v>3328</v>
      </c>
      <c r="F11" s="238" t="s">
        <v>3332</v>
      </c>
      <c r="G11" s="239" t="s">
        <v>3333</v>
      </c>
      <c r="H11" s="240">
        <v>16.0</v>
      </c>
      <c r="I11" s="240">
        <v>4.0</v>
      </c>
      <c r="J11" s="240">
        <v>0.0</v>
      </c>
      <c r="K11" s="240">
        <v>0.0</v>
      </c>
      <c r="L11" s="240">
        <v>0.0</v>
      </c>
      <c r="M11" s="241"/>
      <c r="N11" s="240">
        <v>12.0</v>
      </c>
    </row>
    <row r="12">
      <c r="A12" s="215">
        <v>8.0</v>
      </c>
      <c r="B12" s="237"/>
      <c r="C12" s="238">
        <v>140.0</v>
      </c>
      <c r="D12" s="238" t="s">
        <v>3334</v>
      </c>
      <c r="E12" s="238" t="s">
        <v>3328</v>
      </c>
      <c r="F12" s="238" t="s">
        <v>3335</v>
      </c>
      <c r="G12" s="239" t="s">
        <v>3333</v>
      </c>
      <c r="H12" s="240">
        <v>19.0</v>
      </c>
      <c r="I12" s="240">
        <v>6.0</v>
      </c>
      <c r="J12" s="240">
        <v>0.0</v>
      </c>
      <c r="K12" s="240">
        <v>0.0</v>
      </c>
      <c r="L12" s="240">
        <v>0.0</v>
      </c>
      <c r="M12" s="240" t="s">
        <v>3336</v>
      </c>
      <c r="N12" s="240">
        <v>13.0</v>
      </c>
    </row>
    <row r="13">
      <c r="A13" s="215">
        <v>9.0</v>
      </c>
      <c r="B13" s="237"/>
      <c r="C13" s="238">
        <v>150.0</v>
      </c>
      <c r="D13" s="238">
        <v>9135.0</v>
      </c>
      <c r="E13" s="238" t="s">
        <v>3337</v>
      </c>
      <c r="F13" s="238" t="s">
        <v>3338</v>
      </c>
      <c r="G13" s="239" t="s">
        <v>3333</v>
      </c>
      <c r="H13" s="240">
        <v>24.0</v>
      </c>
      <c r="I13" s="240">
        <v>6.0</v>
      </c>
      <c r="J13" s="240">
        <v>0.0</v>
      </c>
      <c r="K13" s="240">
        <v>0.0</v>
      </c>
      <c r="L13" s="240">
        <v>0.0</v>
      </c>
      <c r="M13" s="240" t="s">
        <v>3339</v>
      </c>
      <c r="N13" s="240">
        <v>18.0</v>
      </c>
    </row>
    <row r="14">
      <c r="A14" s="215">
        <v>10.0</v>
      </c>
      <c r="B14" s="237"/>
      <c r="C14" s="238">
        <v>150.0</v>
      </c>
      <c r="D14" s="238">
        <v>9181.0</v>
      </c>
      <c r="E14" s="238" t="s">
        <v>3337</v>
      </c>
      <c r="F14" s="238" t="s">
        <v>3340</v>
      </c>
      <c r="G14" s="239" t="s">
        <v>3333</v>
      </c>
      <c r="H14" s="240">
        <v>25.0</v>
      </c>
      <c r="I14" s="240">
        <v>25.0</v>
      </c>
      <c r="J14" s="240">
        <v>0.0</v>
      </c>
      <c r="K14" s="240">
        <v>0.0</v>
      </c>
      <c r="L14" s="240">
        <v>0.0</v>
      </c>
      <c r="M14" s="240" t="s">
        <v>3341</v>
      </c>
      <c r="N14" s="240">
        <v>0.0</v>
      </c>
    </row>
    <row r="15">
      <c r="A15" s="215">
        <v>11.0</v>
      </c>
      <c r="B15" s="237"/>
      <c r="C15" s="238">
        <v>150.0</v>
      </c>
      <c r="D15" s="238">
        <v>9219.0</v>
      </c>
      <c r="E15" s="238" t="s">
        <v>3337</v>
      </c>
      <c r="F15" s="238" t="s">
        <v>3342</v>
      </c>
      <c r="G15" s="239" t="s">
        <v>3333</v>
      </c>
      <c r="H15" s="240">
        <v>40.0</v>
      </c>
      <c r="I15" s="240">
        <v>40.0</v>
      </c>
      <c r="J15" s="240">
        <v>0.0</v>
      </c>
      <c r="K15" s="240">
        <v>0.0</v>
      </c>
      <c r="L15" s="240">
        <v>0.0</v>
      </c>
      <c r="M15" s="240" t="s">
        <v>3343</v>
      </c>
      <c r="N15" s="240">
        <v>0.0</v>
      </c>
    </row>
    <row r="16">
      <c r="A16" s="215">
        <v>12.0</v>
      </c>
      <c r="B16" s="237"/>
      <c r="C16" s="238">
        <v>150.0</v>
      </c>
      <c r="D16" s="238">
        <v>9238.0</v>
      </c>
      <c r="E16" s="238" t="s">
        <v>3337</v>
      </c>
      <c r="F16" s="238" t="s">
        <v>3344</v>
      </c>
      <c r="G16" s="239" t="s">
        <v>3333</v>
      </c>
      <c r="H16" s="240">
        <v>38.0</v>
      </c>
      <c r="I16" s="240">
        <v>22.0</v>
      </c>
      <c r="J16" s="240">
        <v>0.0</v>
      </c>
      <c r="K16" s="240">
        <v>0.0</v>
      </c>
      <c r="L16" s="240">
        <v>0.0</v>
      </c>
      <c r="M16" s="240" t="s">
        <v>3345</v>
      </c>
      <c r="N16" s="240">
        <v>16.0</v>
      </c>
    </row>
    <row r="17">
      <c r="A17" s="215">
        <v>13.0</v>
      </c>
      <c r="B17" s="237"/>
      <c r="C17" s="238">
        <v>150.0</v>
      </c>
      <c r="D17" s="238">
        <v>9240.0</v>
      </c>
      <c r="E17" s="238" t="s">
        <v>3337</v>
      </c>
      <c r="F17" s="238" t="s">
        <v>3346</v>
      </c>
      <c r="G17" s="239" t="s">
        <v>3333</v>
      </c>
      <c r="H17" s="240">
        <v>30.0</v>
      </c>
      <c r="I17" s="240">
        <v>4.0</v>
      </c>
      <c r="J17" s="240">
        <v>0.0</v>
      </c>
      <c r="K17" s="240">
        <v>0.0</v>
      </c>
      <c r="L17" s="240">
        <v>0.0</v>
      </c>
      <c r="M17" s="240" t="s">
        <v>3347</v>
      </c>
      <c r="N17" s="240">
        <v>26.0</v>
      </c>
    </row>
    <row r="18">
      <c r="A18" s="215">
        <v>14.0</v>
      </c>
      <c r="B18" s="237"/>
      <c r="C18" s="238">
        <v>150.0</v>
      </c>
      <c r="D18" s="238">
        <v>9652.0</v>
      </c>
      <c r="E18" s="238" t="s">
        <v>3337</v>
      </c>
      <c r="F18" s="238" t="s">
        <v>3348</v>
      </c>
      <c r="G18" s="239" t="s">
        <v>3333</v>
      </c>
      <c r="H18" s="240">
        <v>42.0</v>
      </c>
      <c r="I18" s="240">
        <v>20.0</v>
      </c>
      <c r="J18" s="240">
        <v>0.0</v>
      </c>
      <c r="K18" s="240">
        <v>0.0</v>
      </c>
      <c r="L18" s="240">
        <v>0.0</v>
      </c>
      <c r="M18" s="240" t="s">
        <v>3349</v>
      </c>
      <c r="N18" s="240">
        <v>22.0</v>
      </c>
    </row>
    <row r="19">
      <c r="A19" s="215">
        <v>15.0</v>
      </c>
      <c r="B19" s="237"/>
      <c r="C19" s="238">
        <v>150.0</v>
      </c>
      <c r="D19" s="238">
        <v>9853.0</v>
      </c>
      <c r="E19" s="238" t="s">
        <v>3337</v>
      </c>
      <c r="F19" s="238" t="s">
        <v>3350</v>
      </c>
      <c r="G19" s="239" t="s">
        <v>3333</v>
      </c>
      <c r="H19" s="240">
        <v>27.0</v>
      </c>
      <c r="I19" s="240">
        <v>27.0</v>
      </c>
      <c r="J19" s="240">
        <v>0.0</v>
      </c>
      <c r="K19" s="240">
        <v>0.0</v>
      </c>
      <c r="L19" s="240">
        <v>0.0</v>
      </c>
      <c r="M19" s="240" t="s">
        <v>3351</v>
      </c>
      <c r="N19" s="240">
        <v>0.0</v>
      </c>
    </row>
    <row r="20">
      <c r="A20" s="215">
        <v>16.0</v>
      </c>
      <c r="B20" s="237"/>
      <c r="C20" s="238">
        <v>150.0</v>
      </c>
      <c r="D20" s="238" t="s">
        <v>3352</v>
      </c>
      <c r="E20" s="238" t="s">
        <v>3337</v>
      </c>
      <c r="F20" s="238" t="s">
        <v>3353</v>
      </c>
      <c r="G20" s="239" t="s">
        <v>3333</v>
      </c>
      <c r="H20" s="240">
        <v>25.0</v>
      </c>
      <c r="I20" s="240">
        <v>23.0</v>
      </c>
      <c r="J20" s="240">
        <v>0.0</v>
      </c>
      <c r="K20" s="240">
        <v>0.0</v>
      </c>
      <c r="L20" s="240">
        <v>0.0</v>
      </c>
      <c r="M20" s="240" t="s">
        <v>3354</v>
      </c>
      <c r="N20" s="240">
        <v>2.0</v>
      </c>
    </row>
    <row r="21">
      <c r="A21" s="215">
        <v>17.0</v>
      </c>
      <c r="B21" s="237"/>
      <c r="C21" s="238">
        <v>160.0</v>
      </c>
      <c r="D21" s="238">
        <v>8083.0</v>
      </c>
      <c r="E21" s="238" t="s">
        <v>3355</v>
      </c>
      <c r="F21" s="238" t="s">
        <v>3356</v>
      </c>
      <c r="G21" s="239" t="s">
        <v>3330</v>
      </c>
      <c r="H21" s="240">
        <v>50.0</v>
      </c>
      <c r="I21" s="240">
        <v>50.0</v>
      </c>
      <c r="J21" s="240">
        <v>0.0</v>
      </c>
      <c r="K21" s="240">
        <v>0.0</v>
      </c>
      <c r="L21" s="240">
        <v>0.0</v>
      </c>
      <c r="M21" s="240" t="s">
        <v>3358</v>
      </c>
      <c r="N21" s="240">
        <v>0.0</v>
      </c>
    </row>
    <row r="22">
      <c r="A22" s="215">
        <v>18.0</v>
      </c>
      <c r="B22" s="237"/>
      <c r="C22" s="238">
        <v>160.0</v>
      </c>
      <c r="D22" s="238">
        <v>8524.0</v>
      </c>
      <c r="E22" s="238" t="s">
        <v>3355</v>
      </c>
      <c r="F22" s="238" t="s">
        <v>3359</v>
      </c>
      <c r="G22" s="239" t="s">
        <v>3333</v>
      </c>
      <c r="H22" s="240">
        <v>24.0</v>
      </c>
      <c r="I22" s="240">
        <v>2.0</v>
      </c>
      <c r="J22" s="240">
        <v>0.0</v>
      </c>
      <c r="K22" s="240">
        <v>0.0</v>
      </c>
      <c r="L22" s="240">
        <v>0.0</v>
      </c>
      <c r="M22" s="241"/>
      <c r="N22" s="240">
        <v>22.0</v>
      </c>
    </row>
    <row r="23">
      <c r="A23" s="215">
        <v>19.0</v>
      </c>
      <c r="B23" s="237"/>
      <c r="C23" s="238">
        <v>160.0</v>
      </c>
      <c r="D23" s="238">
        <v>8571.0</v>
      </c>
      <c r="E23" s="238" t="s">
        <v>3355</v>
      </c>
      <c r="F23" s="238" t="s">
        <v>3362</v>
      </c>
      <c r="G23" s="239" t="s">
        <v>3363</v>
      </c>
      <c r="H23" s="240">
        <v>20.0</v>
      </c>
      <c r="I23" s="240">
        <v>7.0</v>
      </c>
      <c r="J23" s="240">
        <v>0.0</v>
      </c>
      <c r="K23" s="240">
        <v>0.0</v>
      </c>
      <c r="L23" s="240">
        <v>0.0</v>
      </c>
      <c r="M23" s="240" t="s">
        <v>3364</v>
      </c>
      <c r="N23" s="240">
        <v>13.0</v>
      </c>
    </row>
    <row r="24">
      <c r="A24" s="215">
        <v>20.0</v>
      </c>
      <c r="B24" s="237"/>
      <c r="C24" s="238">
        <v>160.0</v>
      </c>
      <c r="D24" s="238">
        <v>9011.0</v>
      </c>
      <c r="E24" s="238" t="s">
        <v>3355</v>
      </c>
      <c r="F24" s="238" t="s">
        <v>3366</v>
      </c>
      <c r="G24" s="239" t="s">
        <v>3333</v>
      </c>
      <c r="H24" s="240">
        <v>34.0</v>
      </c>
      <c r="I24" s="240">
        <v>12.0</v>
      </c>
      <c r="J24" s="240">
        <v>0.0</v>
      </c>
      <c r="K24" s="240">
        <v>0.0</v>
      </c>
      <c r="L24" s="240">
        <v>0.0</v>
      </c>
      <c r="M24" s="240" t="s">
        <v>3368</v>
      </c>
      <c r="N24" s="240">
        <v>22.0</v>
      </c>
    </row>
    <row r="25">
      <c r="A25" s="215">
        <v>21.0</v>
      </c>
      <c r="B25" s="237"/>
      <c r="C25" s="238">
        <v>160.0</v>
      </c>
      <c r="D25" s="238">
        <v>9185.0</v>
      </c>
      <c r="E25" s="238" t="s">
        <v>3355</v>
      </c>
      <c r="F25" s="238" t="s">
        <v>3370</v>
      </c>
      <c r="G25" s="239" t="s">
        <v>3333</v>
      </c>
      <c r="H25" s="240">
        <v>26.0</v>
      </c>
      <c r="I25" s="240">
        <v>4.0</v>
      </c>
      <c r="J25" s="240">
        <v>0.0</v>
      </c>
      <c r="K25" s="240">
        <v>0.0</v>
      </c>
      <c r="L25" s="240">
        <v>0.0</v>
      </c>
      <c r="M25" s="240" t="s">
        <v>3372</v>
      </c>
      <c r="N25" s="240">
        <v>22.0</v>
      </c>
    </row>
    <row r="26">
      <c r="A26" s="215">
        <v>22.0</v>
      </c>
      <c r="B26" s="237"/>
      <c r="C26" s="238">
        <v>160.0</v>
      </c>
      <c r="D26" s="238" t="s">
        <v>3373</v>
      </c>
      <c r="E26" s="238" t="s">
        <v>3355</v>
      </c>
      <c r="F26" s="238" t="s">
        <v>3374</v>
      </c>
      <c r="G26" s="239" t="s">
        <v>3333</v>
      </c>
      <c r="H26" s="240">
        <v>14.0</v>
      </c>
      <c r="I26" s="240">
        <v>2.0</v>
      </c>
      <c r="J26" s="240">
        <v>0.0</v>
      </c>
      <c r="K26" s="240">
        <v>0.0</v>
      </c>
      <c r="L26" s="240">
        <v>0.0</v>
      </c>
      <c r="M26" s="240" t="s">
        <v>3376</v>
      </c>
      <c r="N26" s="240">
        <v>12.0</v>
      </c>
    </row>
    <row r="27">
      <c r="A27" s="215">
        <v>23.0</v>
      </c>
      <c r="B27" s="237"/>
      <c r="C27" s="238">
        <v>170.0</v>
      </c>
      <c r="D27" s="238">
        <v>9081.0</v>
      </c>
      <c r="E27" s="238" t="s">
        <v>3378</v>
      </c>
      <c r="F27" s="238" t="s">
        <v>3379</v>
      </c>
      <c r="G27" s="239" t="s">
        <v>3333</v>
      </c>
      <c r="H27" s="240">
        <v>16.0</v>
      </c>
      <c r="I27" s="240">
        <v>4.0</v>
      </c>
      <c r="J27" s="240">
        <v>0.0</v>
      </c>
      <c r="K27" s="240">
        <v>0.0</v>
      </c>
      <c r="L27" s="240">
        <v>0.0</v>
      </c>
      <c r="M27" s="240" t="s">
        <v>3380</v>
      </c>
      <c r="N27" s="240">
        <v>12.0</v>
      </c>
    </row>
    <row r="28">
      <c r="A28" s="215">
        <v>24.0</v>
      </c>
      <c r="B28" s="237"/>
      <c r="C28" s="238">
        <v>170.0</v>
      </c>
      <c r="D28" s="238">
        <v>9147.0</v>
      </c>
      <c r="E28" s="238" t="s">
        <v>3378</v>
      </c>
      <c r="F28" s="238" t="s">
        <v>3381</v>
      </c>
      <c r="G28" s="239" t="s">
        <v>3333</v>
      </c>
      <c r="H28" s="240">
        <v>50.0</v>
      </c>
      <c r="I28" s="240">
        <v>46.0</v>
      </c>
      <c r="J28" s="240">
        <v>0.0</v>
      </c>
      <c r="K28" s="240">
        <v>0.0</v>
      </c>
      <c r="L28" s="240">
        <v>0.0</v>
      </c>
      <c r="M28" s="240" t="s">
        <v>3382</v>
      </c>
      <c r="N28" s="240">
        <v>4.0</v>
      </c>
    </row>
    <row r="29">
      <c r="A29" s="215">
        <v>25.0</v>
      </c>
      <c r="B29" s="237"/>
      <c r="C29" s="238">
        <v>170.0</v>
      </c>
      <c r="D29" s="238">
        <v>9254.0</v>
      </c>
      <c r="E29" s="238" t="s">
        <v>3378</v>
      </c>
      <c r="F29" s="238" t="s">
        <v>3383</v>
      </c>
      <c r="G29" s="239" t="s">
        <v>3333</v>
      </c>
      <c r="H29" s="240">
        <v>28.0</v>
      </c>
      <c r="I29" s="240">
        <v>15.0</v>
      </c>
      <c r="J29" s="240">
        <v>0.0</v>
      </c>
      <c r="K29" s="240">
        <v>0.0</v>
      </c>
      <c r="L29" s="240">
        <v>0.0</v>
      </c>
      <c r="M29" s="240" t="s">
        <v>3384</v>
      </c>
      <c r="N29" s="240">
        <v>13.0</v>
      </c>
    </row>
    <row r="30">
      <c r="A30" s="215">
        <v>26.0</v>
      </c>
      <c r="B30" s="237"/>
      <c r="C30" s="238">
        <v>201.0</v>
      </c>
      <c r="D30" s="238">
        <v>8509.0</v>
      </c>
      <c r="E30" s="238" t="s">
        <v>3385</v>
      </c>
      <c r="F30" s="238" t="s">
        <v>3386</v>
      </c>
      <c r="G30" s="239" t="s">
        <v>3333</v>
      </c>
      <c r="H30" s="240">
        <v>30.0</v>
      </c>
      <c r="I30" s="240">
        <v>24.0</v>
      </c>
      <c r="J30" s="240">
        <v>0.0</v>
      </c>
      <c r="K30" s="240">
        <v>0.0</v>
      </c>
      <c r="L30" s="240">
        <v>0.0</v>
      </c>
      <c r="M30" s="240" t="s">
        <v>3387</v>
      </c>
      <c r="N30" s="240">
        <v>6.0</v>
      </c>
    </row>
    <row r="31">
      <c r="A31" s="215">
        <v>27.0</v>
      </c>
      <c r="B31" s="237"/>
      <c r="C31" s="238">
        <v>201.0</v>
      </c>
      <c r="D31" s="238">
        <v>9204.0</v>
      </c>
      <c r="E31" s="238" t="s">
        <v>3385</v>
      </c>
      <c r="F31" s="238" t="s">
        <v>3388</v>
      </c>
      <c r="G31" s="239" t="s">
        <v>3333</v>
      </c>
      <c r="H31" s="240">
        <v>28.0</v>
      </c>
      <c r="I31" s="240">
        <v>28.0</v>
      </c>
      <c r="J31" s="240">
        <v>0.0</v>
      </c>
      <c r="K31" s="240">
        <v>0.0</v>
      </c>
      <c r="L31" s="240">
        <v>0.0</v>
      </c>
      <c r="M31" s="240" t="s">
        <v>3389</v>
      </c>
      <c r="N31" s="240">
        <v>0.0</v>
      </c>
    </row>
    <row r="32">
      <c r="A32" s="215">
        <v>28.0</v>
      </c>
      <c r="B32" s="237"/>
      <c r="C32" s="238">
        <v>201.0</v>
      </c>
      <c r="D32" s="238">
        <v>9219.0</v>
      </c>
      <c r="E32" s="238" t="s">
        <v>3385</v>
      </c>
      <c r="F32" s="238" t="s">
        <v>3342</v>
      </c>
      <c r="G32" s="239" t="s">
        <v>3333</v>
      </c>
      <c r="H32" s="240">
        <v>65.0</v>
      </c>
      <c r="I32" s="240">
        <v>65.0</v>
      </c>
      <c r="J32" s="240">
        <v>0.0</v>
      </c>
      <c r="K32" s="240">
        <v>0.0</v>
      </c>
      <c r="L32" s="240">
        <v>0.0</v>
      </c>
      <c r="M32" s="240" t="s">
        <v>3390</v>
      </c>
      <c r="N32" s="240">
        <v>0.0</v>
      </c>
    </row>
    <row r="33">
      <c r="A33" s="215">
        <v>29.0</v>
      </c>
      <c r="B33" s="237"/>
      <c r="C33" s="238">
        <v>201.0</v>
      </c>
      <c r="D33" s="238">
        <v>9817.0</v>
      </c>
      <c r="E33" s="238" t="s">
        <v>3385</v>
      </c>
      <c r="F33" s="238" t="s">
        <v>3391</v>
      </c>
      <c r="G33" s="239" t="s">
        <v>3333</v>
      </c>
      <c r="H33" s="240">
        <v>27.0</v>
      </c>
      <c r="I33" s="240">
        <v>27.0</v>
      </c>
      <c r="J33" s="240">
        <v>0.0</v>
      </c>
      <c r="K33" s="240">
        <v>4.0</v>
      </c>
      <c r="L33" s="240">
        <v>4.0</v>
      </c>
      <c r="M33" s="240" t="s">
        <v>3392</v>
      </c>
      <c r="N33" s="240">
        <v>0.0</v>
      </c>
    </row>
    <row r="34">
      <c r="A34" s="215">
        <v>30.0</v>
      </c>
      <c r="B34" s="237"/>
      <c r="C34" s="238">
        <v>201.0</v>
      </c>
      <c r="D34" s="238">
        <v>9821.0</v>
      </c>
      <c r="E34" s="238" t="s">
        <v>3385</v>
      </c>
      <c r="F34" s="238" t="s">
        <v>3393</v>
      </c>
      <c r="G34" s="239" t="s">
        <v>3333</v>
      </c>
      <c r="H34" s="240">
        <v>33.0</v>
      </c>
      <c r="I34" s="240">
        <v>23.0</v>
      </c>
      <c r="J34" s="240">
        <v>0.0</v>
      </c>
      <c r="K34" s="240">
        <v>0.0</v>
      </c>
      <c r="L34" s="240">
        <v>0.0</v>
      </c>
      <c r="M34" s="240" t="s">
        <v>3394</v>
      </c>
      <c r="N34" s="240">
        <v>10.0</v>
      </c>
    </row>
    <row r="35">
      <c r="A35" s="215">
        <v>31.0</v>
      </c>
      <c r="B35" s="237"/>
      <c r="C35" s="238">
        <v>201.0</v>
      </c>
      <c r="D35" s="238" t="s">
        <v>3395</v>
      </c>
      <c r="E35" s="238" t="s">
        <v>3385</v>
      </c>
      <c r="F35" s="238" t="s">
        <v>3396</v>
      </c>
      <c r="G35" s="239" t="s">
        <v>3333</v>
      </c>
      <c r="H35" s="240">
        <v>32.0</v>
      </c>
      <c r="I35" s="240">
        <v>32.0</v>
      </c>
      <c r="J35" s="240">
        <v>0.0</v>
      </c>
      <c r="K35" s="240">
        <v>1.0</v>
      </c>
      <c r="L35" s="240">
        <v>1.0</v>
      </c>
      <c r="M35" s="240" t="s">
        <v>3397</v>
      </c>
      <c r="N35" s="240">
        <v>0.0</v>
      </c>
    </row>
    <row r="36">
      <c r="A36" s="215">
        <v>32.0</v>
      </c>
      <c r="B36" s="237"/>
      <c r="C36" s="238">
        <v>203.0</v>
      </c>
      <c r="D36" s="238">
        <v>8258.0</v>
      </c>
      <c r="E36" s="238" t="s">
        <v>3398</v>
      </c>
      <c r="F36" s="238" t="s">
        <v>3399</v>
      </c>
      <c r="G36" s="239" t="s">
        <v>3333</v>
      </c>
      <c r="H36" s="240">
        <v>21.0</v>
      </c>
      <c r="I36" s="240">
        <v>21.0</v>
      </c>
      <c r="J36" s="240">
        <v>0.0</v>
      </c>
      <c r="K36" s="240">
        <v>0.0</v>
      </c>
      <c r="L36" s="240">
        <v>0.0</v>
      </c>
      <c r="M36" s="240" t="s">
        <v>3400</v>
      </c>
      <c r="N36" s="240">
        <v>0.0</v>
      </c>
    </row>
    <row r="37">
      <c r="A37" s="215">
        <v>33.0</v>
      </c>
      <c r="B37" s="237"/>
      <c r="C37" s="238">
        <v>203.0</v>
      </c>
      <c r="D37" s="238">
        <v>9003.0</v>
      </c>
      <c r="E37" s="238" t="s">
        <v>3398</v>
      </c>
      <c r="F37" s="238" t="s">
        <v>3401</v>
      </c>
      <c r="G37" s="239" t="s">
        <v>3333</v>
      </c>
      <c r="H37" s="240">
        <v>21.0</v>
      </c>
      <c r="I37" s="240">
        <v>0.0</v>
      </c>
      <c r="J37" s="240">
        <v>0.0</v>
      </c>
      <c r="K37" s="240">
        <v>0.0</v>
      </c>
      <c r="L37" s="240">
        <v>0.0</v>
      </c>
      <c r="M37" s="241"/>
      <c r="N37" s="240">
        <v>21.0</v>
      </c>
    </row>
    <row r="38">
      <c r="A38" s="215">
        <v>34.0</v>
      </c>
      <c r="B38" s="237"/>
      <c r="C38" s="238">
        <v>203.0</v>
      </c>
      <c r="D38" s="238">
        <v>9011.0</v>
      </c>
      <c r="E38" s="238" t="s">
        <v>3398</v>
      </c>
      <c r="F38" s="238" t="s">
        <v>3366</v>
      </c>
      <c r="G38" s="239" t="s">
        <v>3333</v>
      </c>
      <c r="H38" s="240">
        <v>42.0</v>
      </c>
      <c r="I38" s="240">
        <v>25.0</v>
      </c>
      <c r="J38" s="240">
        <v>0.0</v>
      </c>
      <c r="K38" s="240">
        <v>1.0</v>
      </c>
      <c r="L38" s="240">
        <v>0.0</v>
      </c>
      <c r="M38" s="240" t="s">
        <v>3403</v>
      </c>
      <c r="N38" s="240">
        <v>16.0</v>
      </c>
    </row>
    <row r="39">
      <c r="A39" s="215">
        <v>35.0</v>
      </c>
      <c r="B39" s="237"/>
      <c r="C39" s="238">
        <v>203.0</v>
      </c>
      <c r="D39" s="238">
        <v>9013.0</v>
      </c>
      <c r="E39" s="238" t="s">
        <v>3398</v>
      </c>
      <c r="F39" s="238" t="s">
        <v>3405</v>
      </c>
      <c r="G39" s="239" t="s">
        <v>3333</v>
      </c>
      <c r="H39" s="240">
        <v>64.0</v>
      </c>
      <c r="I39" s="240">
        <v>49.0</v>
      </c>
      <c r="J39" s="240">
        <v>0.0</v>
      </c>
      <c r="K39" s="240">
        <v>0.0</v>
      </c>
      <c r="L39" s="240">
        <v>0.0</v>
      </c>
      <c r="M39" s="240" t="s">
        <v>3407</v>
      </c>
      <c r="N39" s="240">
        <v>15.0</v>
      </c>
    </row>
    <row r="40">
      <c r="A40" s="215">
        <v>36.0</v>
      </c>
      <c r="B40" s="237"/>
      <c r="C40" s="238">
        <v>203.0</v>
      </c>
      <c r="D40" s="238">
        <v>9015.0</v>
      </c>
      <c r="E40" s="238" t="s">
        <v>3398</v>
      </c>
      <c r="F40" s="238" t="s">
        <v>3409</v>
      </c>
      <c r="G40" s="239" t="s">
        <v>3333</v>
      </c>
      <c r="H40" s="240">
        <v>22.0</v>
      </c>
      <c r="I40" s="240">
        <v>12.0</v>
      </c>
      <c r="J40" s="240">
        <v>0.0</v>
      </c>
      <c r="K40" s="240">
        <v>0.0</v>
      </c>
      <c r="L40" s="240">
        <v>0.0</v>
      </c>
      <c r="M40" s="240" t="s">
        <v>3410</v>
      </c>
      <c r="N40" s="240">
        <v>10.0</v>
      </c>
    </row>
    <row r="41">
      <c r="A41" s="215">
        <v>37.0</v>
      </c>
      <c r="B41" s="237"/>
      <c r="C41" s="238">
        <v>203.0</v>
      </c>
      <c r="D41" s="238">
        <v>9016.0</v>
      </c>
      <c r="E41" s="238" t="s">
        <v>3398</v>
      </c>
      <c r="F41" s="238" t="s">
        <v>3412</v>
      </c>
      <c r="G41" s="239" t="s">
        <v>3333</v>
      </c>
      <c r="H41" s="240">
        <v>21.0</v>
      </c>
      <c r="I41" s="240">
        <v>11.0</v>
      </c>
      <c r="J41" s="240">
        <v>0.0</v>
      </c>
      <c r="K41" s="240">
        <v>0.0</v>
      </c>
      <c r="L41" s="240">
        <v>0.0</v>
      </c>
      <c r="M41" s="240" t="s">
        <v>3414</v>
      </c>
      <c r="N41" s="240">
        <v>10.0</v>
      </c>
    </row>
    <row r="42">
      <c r="A42" s="215">
        <v>38.0</v>
      </c>
      <c r="B42" s="237"/>
      <c r="C42" s="238">
        <v>203.0</v>
      </c>
      <c r="D42" s="238">
        <v>9119.0</v>
      </c>
      <c r="E42" s="238" t="s">
        <v>3398</v>
      </c>
      <c r="F42" s="238" t="s">
        <v>3417</v>
      </c>
      <c r="G42" s="239" t="s">
        <v>3333</v>
      </c>
      <c r="H42" s="240">
        <v>84.0</v>
      </c>
      <c r="I42" s="240">
        <v>49.0</v>
      </c>
      <c r="J42" s="240">
        <v>0.0</v>
      </c>
      <c r="K42" s="240">
        <v>0.0</v>
      </c>
      <c r="L42" s="240">
        <v>0.0</v>
      </c>
      <c r="M42" s="240" t="s">
        <v>3419</v>
      </c>
      <c r="N42" s="240">
        <v>35.0</v>
      </c>
    </row>
    <row r="43">
      <c r="A43" s="215">
        <v>39.0</v>
      </c>
      <c r="B43" s="237"/>
      <c r="C43" s="238">
        <v>203.0</v>
      </c>
      <c r="D43" s="238">
        <v>9210.0</v>
      </c>
      <c r="E43" s="238" t="s">
        <v>3398</v>
      </c>
      <c r="F43" s="238" t="s">
        <v>3421</v>
      </c>
      <c r="G43" s="239" t="s">
        <v>3333</v>
      </c>
      <c r="H43" s="240">
        <v>22.0</v>
      </c>
      <c r="I43" s="240">
        <v>12.0</v>
      </c>
      <c r="J43" s="240">
        <v>0.0</v>
      </c>
      <c r="K43" s="240">
        <v>0.0</v>
      </c>
      <c r="L43" s="240">
        <v>0.0</v>
      </c>
      <c r="M43" s="240" t="s">
        <v>3422</v>
      </c>
      <c r="N43" s="240">
        <v>10.0</v>
      </c>
    </row>
    <row r="44">
      <c r="A44" s="215">
        <v>40.0</v>
      </c>
      <c r="B44" s="237"/>
      <c r="C44" s="238">
        <v>203.0</v>
      </c>
      <c r="D44" s="238">
        <v>9494.0</v>
      </c>
      <c r="E44" s="238" t="s">
        <v>3398</v>
      </c>
      <c r="F44" s="238" t="s">
        <v>3424</v>
      </c>
      <c r="G44" s="239" t="s">
        <v>3425</v>
      </c>
      <c r="H44" s="240">
        <v>50.0</v>
      </c>
      <c r="I44" s="240">
        <v>50.0</v>
      </c>
      <c r="J44" s="240">
        <v>0.0</v>
      </c>
      <c r="K44" s="240">
        <v>0.0</v>
      </c>
      <c r="L44" s="240">
        <v>0.0</v>
      </c>
      <c r="M44" s="240" t="s">
        <v>3426</v>
      </c>
      <c r="N44" s="240">
        <v>0.0</v>
      </c>
    </row>
    <row r="45">
      <c r="A45" s="215">
        <v>41.0</v>
      </c>
      <c r="B45" s="237"/>
      <c r="C45" s="238">
        <v>203.0</v>
      </c>
      <c r="D45" s="238">
        <v>9540.0</v>
      </c>
      <c r="E45" s="238" t="s">
        <v>3398</v>
      </c>
      <c r="F45" s="238" t="s">
        <v>3427</v>
      </c>
      <c r="G45" s="239" t="s">
        <v>3333</v>
      </c>
      <c r="H45" s="240">
        <v>20.0</v>
      </c>
      <c r="I45" s="240">
        <v>4.0</v>
      </c>
      <c r="J45" s="240">
        <v>0.0</v>
      </c>
      <c r="K45" s="240">
        <v>0.0</v>
      </c>
      <c r="L45" s="240">
        <v>0.0</v>
      </c>
      <c r="M45" s="240" t="s">
        <v>3428</v>
      </c>
      <c r="N45" s="240">
        <v>16.0</v>
      </c>
    </row>
    <row r="46">
      <c r="A46" s="215">
        <v>42.0</v>
      </c>
      <c r="B46" s="237"/>
      <c r="C46" s="238">
        <v>203.0</v>
      </c>
      <c r="D46" s="238" t="s">
        <v>3429</v>
      </c>
      <c r="E46" s="238" t="s">
        <v>3398</v>
      </c>
      <c r="F46" s="238" t="s">
        <v>3430</v>
      </c>
      <c r="G46" s="239" t="s">
        <v>3333</v>
      </c>
      <c r="H46" s="240">
        <v>28.0</v>
      </c>
      <c r="I46" s="240">
        <v>11.0</v>
      </c>
      <c r="J46" s="240">
        <v>0.0</v>
      </c>
      <c r="K46" s="240">
        <v>0.0</v>
      </c>
      <c r="L46" s="240">
        <v>0.0</v>
      </c>
      <c r="M46" s="240" t="s">
        <v>3431</v>
      </c>
      <c r="N46" s="240">
        <v>17.0</v>
      </c>
    </row>
    <row r="47">
      <c r="A47" s="215">
        <v>43.0</v>
      </c>
      <c r="B47" s="237"/>
      <c r="C47" s="238">
        <v>204.0</v>
      </c>
      <c r="D47" s="238">
        <v>9081.0</v>
      </c>
      <c r="E47" s="238" t="s">
        <v>3432</v>
      </c>
      <c r="F47" s="238" t="s">
        <v>3379</v>
      </c>
      <c r="G47" s="239" t="s">
        <v>3333</v>
      </c>
      <c r="H47" s="240">
        <v>28.0</v>
      </c>
      <c r="I47" s="240">
        <v>24.0</v>
      </c>
      <c r="J47" s="240">
        <v>0.0</v>
      </c>
      <c r="K47" s="240">
        <v>0.0</v>
      </c>
      <c r="L47" s="240">
        <v>0.0</v>
      </c>
      <c r="M47" s="240" t="s">
        <v>3433</v>
      </c>
      <c r="N47" s="240">
        <v>4.0</v>
      </c>
    </row>
    <row r="48">
      <c r="A48" s="215">
        <v>44.0</v>
      </c>
      <c r="B48" s="237"/>
      <c r="C48" s="238">
        <v>204.0</v>
      </c>
      <c r="D48" s="238">
        <v>9152.0</v>
      </c>
      <c r="E48" s="238" t="s">
        <v>3432</v>
      </c>
      <c r="F48" s="238" t="s">
        <v>3434</v>
      </c>
      <c r="G48" s="239" t="s">
        <v>3333</v>
      </c>
      <c r="H48" s="240">
        <v>70.0</v>
      </c>
      <c r="I48" s="240">
        <v>70.0</v>
      </c>
      <c r="J48" s="240">
        <v>0.0</v>
      </c>
      <c r="K48" s="240">
        <v>2.0</v>
      </c>
      <c r="L48" s="240">
        <v>2.0</v>
      </c>
      <c r="M48" s="240" t="s">
        <v>3436</v>
      </c>
      <c r="N48" s="240">
        <v>0.0</v>
      </c>
    </row>
    <row r="49">
      <c r="A49" s="215">
        <v>45.0</v>
      </c>
      <c r="B49" s="237"/>
      <c r="C49" s="238">
        <v>204.0</v>
      </c>
      <c r="D49" s="238">
        <v>9240.0</v>
      </c>
      <c r="E49" s="238" t="s">
        <v>3432</v>
      </c>
      <c r="F49" s="238" t="s">
        <v>3346</v>
      </c>
      <c r="G49" s="239" t="s">
        <v>3333</v>
      </c>
      <c r="H49" s="240">
        <v>40.0</v>
      </c>
      <c r="I49" s="240">
        <v>30.0</v>
      </c>
      <c r="J49" s="240">
        <v>0.0</v>
      </c>
      <c r="K49" s="240">
        <v>2.0</v>
      </c>
      <c r="L49" s="240">
        <v>0.0</v>
      </c>
      <c r="M49" s="240" t="s">
        <v>3438</v>
      </c>
      <c r="N49" s="240">
        <v>8.0</v>
      </c>
    </row>
    <row r="50">
      <c r="A50" s="215">
        <v>46.0</v>
      </c>
      <c r="B50" s="237"/>
      <c r="C50" s="238">
        <v>206.0</v>
      </c>
      <c r="D50" s="238">
        <v>9351.0</v>
      </c>
      <c r="E50" s="238" t="s">
        <v>3439</v>
      </c>
      <c r="F50" s="238" t="s">
        <v>3440</v>
      </c>
      <c r="G50" s="239" t="s">
        <v>3333</v>
      </c>
      <c r="H50" s="240">
        <v>53.0</v>
      </c>
      <c r="I50" s="240">
        <v>53.0</v>
      </c>
      <c r="J50" s="240">
        <v>0.0</v>
      </c>
      <c r="K50" s="240">
        <v>0.0</v>
      </c>
      <c r="L50" s="240">
        <v>0.0</v>
      </c>
      <c r="M50" s="240" t="s">
        <v>3441</v>
      </c>
      <c r="N50" s="240">
        <v>0.0</v>
      </c>
    </row>
    <row r="51">
      <c r="A51" s="215">
        <v>47.0</v>
      </c>
      <c r="B51" s="237"/>
      <c r="C51" s="238">
        <v>300.0</v>
      </c>
      <c r="D51" s="238">
        <v>9002.0</v>
      </c>
      <c r="E51" s="238" t="s">
        <v>3442</v>
      </c>
      <c r="F51" s="238" t="s">
        <v>3443</v>
      </c>
      <c r="G51" s="239" t="s">
        <v>3333</v>
      </c>
      <c r="H51" s="240">
        <v>55.0</v>
      </c>
      <c r="I51" s="240">
        <v>55.0</v>
      </c>
      <c r="J51" s="240">
        <v>0.0</v>
      </c>
      <c r="K51" s="240">
        <v>0.0</v>
      </c>
      <c r="L51" s="240">
        <v>0.0</v>
      </c>
      <c r="M51" s="240" t="s">
        <v>3444</v>
      </c>
      <c r="N51" s="240">
        <v>0.0</v>
      </c>
    </row>
    <row r="52">
      <c r="A52" s="215">
        <v>48.0</v>
      </c>
      <c r="B52" s="237"/>
      <c r="C52" s="238">
        <v>300.0</v>
      </c>
      <c r="D52" s="238">
        <v>9011.0</v>
      </c>
      <c r="E52" s="238" t="s">
        <v>3442</v>
      </c>
      <c r="F52" s="238" t="s">
        <v>3366</v>
      </c>
      <c r="G52" s="239" t="s">
        <v>3333</v>
      </c>
      <c r="H52" s="240">
        <v>98.0</v>
      </c>
      <c r="I52" s="240">
        <v>56.0</v>
      </c>
      <c r="J52" s="240">
        <v>0.0</v>
      </c>
      <c r="K52" s="240">
        <v>0.0</v>
      </c>
      <c r="L52" s="240">
        <v>0.0</v>
      </c>
      <c r="M52" s="240" t="s">
        <v>3445</v>
      </c>
      <c r="N52" s="240">
        <v>42.0</v>
      </c>
    </row>
    <row r="53">
      <c r="A53" s="215">
        <v>49.0</v>
      </c>
      <c r="B53" s="237"/>
      <c r="C53" s="238">
        <v>300.0</v>
      </c>
      <c r="D53" s="238">
        <v>9012.0</v>
      </c>
      <c r="E53" s="238" t="s">
        <v>3442</v>
      </c>
      <c r="F53" s="238" t="s">
        <v>3446</v>
      </c>
      <c r="G53" s="239" t="s">
        <v>3333</v>
      </c>
      <c r="H53" s="240">
        <v>27.0</v>
      </c>
      <c r="I53" s="240">
        <v>16.0</v>
      </c>
      <c r="J53" s="240">
        <v>0.0</v>
      </c>
      <c r="K53" s="240">
        <v>0.0</v>
      </c>
      <c r="L53" s="240">
        <v>0.0</v>
      </c>
      <c r="M53" s="240" t="s">
        <v>3447</v>
      </c>
      <c r="N53" s="240">
        <v>11.0</v>
      </c>
    </row>
    <row r="54">
      <c r="A54" s="215">
        <v>50.0</v>
      </c>
      <c r="B54" s="237"/>
      <c r="C54" s="238">
        <v>300.0</v>
      </c>
      <c r="D54" s="238">
        <v>9015.0</v>
      </c>
      <c r="E54" s="238" t="s">
        <v>3442</v>
      </c>
      <c r="F54" s="238" t="s">
        <v>3409</v>
      </c>
      <c r="G54" s="239" t="s">
        <v>3333</v>
      </c>
      <c r="H54" s="240">
        <v>60.0</v>
      </c>
      <c r="I54" s="240">
        <v>39.0</v>
      </c>
      <c r="J54" s="240">
        <v>0.0</v>
      </c>
      <c r="K54" s="240">
        <v>0.0</v>
      </c>
      <c r="L54" s="240">
        <v>0.0</v>
      </c>
      <c r="M54" s="240" t="s">
        <v>3384</v>
      </c>
      <c r="N54" s="240">
        <v>21.0</v>
      </c>
    </row>
    <row r="55">
      <c r="A55" s="215">
        <v>51.0</v>
      </c>
      <c r="B55" s="237"/>
      <c r="C55" s="238">
        <v>300.0</v>
      </c>
      <c r="D55" s="238">
        <v>9016.0</v>
      </c>
      <c r="E55" s="238" t="s">
        <v>3442</v>
      </c>
      <c r="F55" s="238" t="s">
        <v>3412</v>
      </c>
      <c r="G55" s="239" t="s">
        <v>3333</v>
      </c>
      <c r="H55" s="240">
        <v>58.0</v>
      </c>
      <c r="I55" s="240">
        <v>46.0</v>
      </c>
      <c r="J55" s="240">
        <v>0.0</v>
      </c>
      <c r="K55" s="240">
        <v>1.0</v>
      </c>
      <c r="L55" s="240">
        <v>0.0</v>
      </c>
      <c r="M55" s="240" t="s">
        <v>3428</v>
      </c>
      <c r="N55" s="240">
        <v>11.0</v>
      </c>
    </row>
    <row r="56">
      <c r="A56" s="215">
        <v>52.0</v>
      </c>
      <c r="B56" s="237"/>
      <c r="C56" s="238">
        <v>300.0</v>
      </c>
      <c r="D56" s="238">
        <v>9041.0</v>
      </c>
      <c r="E56" s="238" t="s">
        <v>3442</v>
      </c>
      <c r="F56" s="238" t="s">
        <v>3448</v>
      </c>
      <c r="G56" s="239" t="s">
        <v>3333</v>
      </c>
      <c r="H56" s="240">
        <v>30.0</v>
      </c>
      <c r="I56" s="240">
        <v>3.0</v>
      </c>
      <c r="J56" s="240">
        <v>0.0</v>
      </c>
      <c r="K56" s="240">
        <v>0.0</v>
      </c>
      <c r="L56" s="240">
        <v>0.0</v>
      </c>
      <c r="M56" s="240" t="s">
        <v>3449</v>
      </c>
      <c r="N56" s="240">
        <v>27.0</v>
      </c>
    </row>
    <row r="57">
      <c r="A57" s="215">
        <v>53.0</v>
      </c>
      <c r="B57" s="237"/>
      <c r="C57" s="238">
        <v>300.0</v>
      </c>
      <c r="D57" s="238">
        <v>9069.0</v>
      </c>
      <c r="E57" s="238" t="s">
        <v>3442</v>
      </c>
      <c r="F57" s="238" t="s">
        <v>3451</v>
      </c>
      <c r="G57" s="239" t="s">
        <v>3333</v>
      </c>
      <c r="H57" s="240">
        <v>52.0</v>
      </c>
      <c r="I57" s="240">
        <v>52.0</v>
      </c>
      <c r="J57" s="240">
        <v>0.0</v>
      </c>
      <c r="K57" s="240">
        <v>0.0</v>
      </c>
      <c r="L57" s="240">
        <v>0.0</v>
      </c>
      <c r="M57" s="240" t="s">
        <v>3452</v>
      </c>
      <c r="N57" s="240">
        <v>0.0</v>
      </c>
    </row>
    <row r="58">
      <c r="A58" s="215">
        <v>54.0</v>
      </c>
      <c r="B58" s="237"/>
      <c r="C58" s="238">
        <v>300.0</v>
      </c>
      <c r="D58" s="238">
        <v>9081.0</v>
      </c>
      <c r="E58" s="238" t="s">
        <v>3442</v>
      </c>
      <c r="F58" s="238" t="s">
        <v>3379</v>
      </c>
      <c r="G58" s="239" t="s">
        <v>3333</v>
      </c>
      <c r="H58" s="240">
        <v>47.0</v>
      </c>
      <c r="I58" s="240">
        <v>47.0</v>
      </c>
      <c r="J58" s="240">
        <v>0.0</v>
      </c>
      <c r="K58" s="240">
        <v>0.0</v>
      </c>
      <c r="L58" s="240">
        <v>0.0</v>
      </c>
      <c r="M58" s="240" t="s">
        <v>3454</v>
      </c>
      <c r="N58" s="240">
        <v>0.0</v>
      </c>
    </row>
    <row r="59">
      <c r="A59" s="215">
        <v>55.0</v>
      </c>
      <c r="B59" s="237"/>
      <c r="C59" s="238">
        <v>300.0</v>
      </c>
      <c r="D59" s="238">
        <v>9089.0</v>
      </c>
      <c r="E59" s="238" t="s">
        <v>3442</v>
      </c>
      <c r="F59" s="238" t="s">
        <v>3456</v>
      </c>
      <c r="G59" s="239" t="s">
        <v>3333</v>
      </c>
      <c r="H59" s="240">
        <v>25.0</v>
      </c>
      <c r="I59" s="240">
        <v>25.0</v>
      </c>
      <c r="J59" s="240">
        <v>0.0</v>
      </c>
      <c r="K59" s="240">
        <v>0.0</v>
      </c>
      <c r="L59" s="240">
        <v>0.0</v>
      </c>
      <c r="M59" s="240" t="s">
        <v>3458</v>
      </c>
      <c r="N59" s="240">
        <v>0.0</v>
      </c>
    </row>
    <row r="60">
      <c r="A60" s="215">
        <v>56.0</v>
      </c>
      <c r="B60" s="237"/>
      <c r="C60" s="238">
        <v>300.0</v>
      </c>
      <c r="D60" s="238">
        <v>9096.0</v>
      </c>
      <c r="E60" s="238" t="s">
        <v>3442</v>
      </c>
      <c r="F60" s="238" t="s">
        <v>3460</v>
      </c>
      <c r="G60" s="239" t="s">
        <v>3333</v>
      </c>
      <c r="H60" s="240">
        <v>21.0</v>
      </c>
      <c r="I60" s="240">
        <v>18.0</v>
      </c>
      <c r="J60" s="240">
        <v>0.0</v>
      </c>
      <c r="K60" s="240">
        <v>0.0</v>
      </c>
      <c r="L60" s="240">
        <v>0.0</v>
      </c>
      <c r="M60" s="240" t="s">
        <v>3392</v>
      </c>
      <c r="N60" s="240">
        <v>3.0</v>
      </c>
    </row>
    <row r="61">
      <c r="A61" s="215">
        <v>57.0</v>
      </c>
      <c r="B61" s="237"/>
      <c r="C61" s="238">
        <v>300.0</v>
      </c>
      <c r="D61" s="238">
        <v>9099.0</v>
      </c>
      <c r="E61" s="238" t="s">
        <v>3442</v>
      </c>
      <c r="F61" s="238" t="s">
        <v>3463</v>
      </c>
      <c r="G61" s="239" t="s">
        <v>3333</v>
      </c>
      <c r="H61" s="240">
        <v>15.0</v>
      </c>
      <c r="I61" s="240">
        <v>7.0</v>
      </c>
      <c r="J61" s="240">
        <v>0.0</v>
      </c>
      <c r="K61" s="240">
        <v>0.0</v>
      </c>
      <c r="L61" s="240">
        <v>0.0</v>
      </c>
      <c r="M61" s="240" t="s">
        <v>3336</v>
      </c>
      <c r="N61" s="240">
        <v>8.0</v>
      </c>
    </row>
    <row r="62">
      <c r="A62" s="215">
        <v>58.0</v>
      </c>
      <c r="B62" s="237"/>
      <c r="C62" s="238">
        <v>300.0</v>
      </c>
      <c r="D62" s="238">
        <v>9104.0</v>
      </c>
      <c r="E62" s="238" t="s">
        <v>3442</v>
      </c>
      <c r="F62" s="238" t="s">
        <v>3466</v>
      </c>
      <c r="G62" s="239" t="s">
        <v>3333</v>
      </c>
      <c r="H62" s="240">
        <v>74.0</v>
      </c>
      <c r="I62" s="240">
        <v>74.0</v>
      </c>
      <c r="J62" s="240">
        <v>1.0</v>
      </c>
      <c r="K62" s="240">
        <v>0.0</v>
      </c>
      <c r="L62" s="240">
        <v>0.0</v>
      </c>
      <c r="M62" s="240" t="s">
        <v>3467</v>
      </c>
      <c r="N62" s="240">
        <v>0.0</v>
      </c>
    </row>
    <row r="63">
      <c r="A63" s="215">
        <v>59.0</v>
      </c>
      <c r="B63" s="237"/>
      <c r="C63" s="238">
        <v>300.0</v>
      </c>
      <c r="D63" s="238">
        <v>9113.0</v>
      </c>
      <c r="E63" s="238" t="s">
        <v>3442</v>
      </c>
      <c r="F63" s="238" t="s">
        <v>3469</v>
      </c>
      <c r="G63" s="239" t="s">
        <v>3333</v>
      </c>
      <c r="H63" s="240">
        <v>40.0</v>
      </c>
      <c r="I63" s="240">
        <v>36.0</v>
      </c>
      <c r="J63" s="240">
        <v>0.0</v>
      </c>
      <c r="K63" s="240">
        <v>0.0</v>
      </c>
      <c r="L63" s="240">
        <v>0.0</v>
      </c>
      <c r="M63" s="240" t="s">
        <v>3470</v>
      </c>
      <c r="N63" s="240">
        <v>4.0</v>
      </c>
    </row>
    <row r="64">
      <c r="A64" s="215">
        <v>60.0</v>
      </c>
      <c r="B64" s="237"/>
      <c r="C64" s="238">
        <v>300.0</v>
      </c>
      <c r="D64" s="238">
        <v>9119.0</v>
      </c>
      <c r="E64" s="238" t="s">
        <v>3442</v>
      </c>
      <c r="F64" s="238" t="s">
        <v>3417</v>
      </c>
      <c r="G64" s="239" t="s">
        <v>3333</v>
      </c>
      <c r="H64" s="240">
        <v>78.0</v>
      </c>
      <c r="I64" s="240">
        <v>78.0</v>
      </c>
      <c r="J64" s="240">
        <v>0.0</v>
      </c>
      <c r="K64" s="240">
        <v>0.0</v>
      </c>
      <c r="L64" s="240">
        <v>0.0</v>
      </c>
      <c r="M64" s="240" t="s">
        <v>3454</v>
      </c>
      <c r="N64" s="240">
        <v>0.0</v>
      </c>
    </row>
    <row r="65">
      <c r="A65" s="215">
        <v>61.0</v>
      </c>
      <c r="B65" s="237"/>
      <c r="C65" s="238">
        <v>300.0</v>
      </c>
      <c r="D65" s="238">
        <v>9123.0</v>
      </c>
      <c r="E65" s="238" t="s">
        <v>3442</v>
      </c>
      <c r="F65" s="238" t="s">
        <v>3471</v>
      </c>
      <c r="G65" s="239" t="s">
        <v>3333</v>
      </c>
      <c r="H65" s="240">
        <v>101.0</v>
      </c>
      <c r="I65" s="240">
        <v>101.0</v>
      </c>
      <c r="J65" s="240">
        <v>0.0</v>
      </c>
      <c r="K65" s="240">
        <v>0.0</v>
      </c>
      <c r="L65" s="240">
        <v>0.0</v>
      </c>
      <c r="M65" s="240" t="s">
        <v>3473</v>
      </c>
      <c r="N65" s="240">
        <v>0.0</v>
      </c>
    </row>
    <row r="66">
      <c r="A66" s="215">
        <v>62.0</v>
      </c>
      <c r="B66" s="237"/>
      <c r="C66" s="238">
        <v>300.0</v>
      </c>
      <c r="D66" s="238">
        <v>9125.0</v>
      </c>
      <c r="E66" s="238" t="s">
        <v>3442</v>
      </c>
      <c r="F66" s="238" t="s">
        <v>3475</v>
      </c>
      <c r="G66" s="239" t="s">
        <v>3333</v>
      </c>
      <c r="H66" s="240">
        <v>39.0</v>
      </c>
      <c r="I66" s="240">
        <v>33.0</v>
      </c>
      <c r="J66" s="240">
        <v>0.0</v>
      </c>
      <c r="K66" s="240">
        <v>0.0</v>
      </c>
      <c r="L66" s="240">
        <v>0.0</v>
      </c>
      <c r="M66" s="240" t="s">
        <v>3392</v>
      </c>
      <c r="N66" s="240">
        <v>6.0</v>
      </c>
    </row>
    <row r="67">
      <c r="A67" s="215">
        <v>63.0</v>
      </c>
      <c r="B67" s="237"/>
      <c r="C67" s="238">
        <v>300.0</v>
      </c>
      <c r="D67" s="238">
        <v>9141.0</v>
      </c>
      <c r="E67" s="238" t="s">
        <v>3442</v>
      </c>
      <c r="F67" s="238" t="s">
        <v>3476</v>
      </c>
      <c r="G67" s="239" t="s">
        <v>3333</v>
      </c>
      <c r="H67" s="240">
        <v>15.0</v>
      </c>
      <c r="I67" s="240">
        <v>7.0</v>
      </c>
      <c r="J67" s="240">
        <v>0.0</v>
      </c>
      <c r="K67" s="240">
        <v>0.0</v>
      </c>
      <c r="L67" s="240">
        <v>0.0</v>
      </c>
      <c r="M67" s="240" t="s">
        <v>3477</v>
      </c>
      <c r="N67" s="240">
        <v>8.0</v>
      </c>
    </row>
    <row r="68">
      <c r="A68" s="215">
        <v>64.0</v>
      </c>
      <c r="B68" s="237"/>
      <c r="C68" s="238">
        <v>300.0</v>
      </c>
      <c r="D68" s="238">
        <v>9146.0</v>
      </c>
      <c r="E68" s="238" t="s">
        <v>3442</v>
      </c>
      <c r="F68" s="238" t="s">
        <v>3478</v>
      </c>
      <c r="G68" s="239" t="s">
        <v>3333</v>
      </c>
      <c r="H68" s="240">
        <v>20.0</v>
      </c>
      <c r="I68" s="240">
        <v>1.0</v>
      </c>
      <c r="J68" s="240">
        <v>0.0</v>
      </c>
      <c r="K68" s="240">
        <v>0.0</v>
      </c>
      <c r="L68" s="240">
        <v>0.0</v>
      </c>
      <c r="M68" s="240" t="s">
        <v>3426</v>
      </c>
      <c r="N68" s="240">
        <v>19.0</v>
      </c>
    </row>
    <row r="69">
      <c r="A69" s="215">
        <v>65.0</v>
      </c>
      <c r="B69" s="237"/>
      <c r="C69" s="238">
        <v>300.0</v>
      </c>
      <c r="D69" s="238">
        <v>9147.0</v>
      </c>
      <c r="E69" s="238" t="s">
        <v>3442</v>
      </c>
      <c r="F69" s="238" t="s">
        <v>3381</v>
      </c>
      <c r="G69" s="239" t="s">
        <v>3333</v>
      </c>
      <c r="H69" s="240">
        <v>39.0</v>
      </c>
      <c r="I69" s="240">
        <v>39.0</v>
      </c>
      <c r="J69" s="240">
        <v>0.0</v>
      </c>
      <c r="K69" s="240">
        <v>0.0</v>
      </c>
      <c r="L69" s="240">
        <v>0.0</v>
      </c>
      <c r="M69" s="240" t="s">
        <v>3480</v>
      </c>
      <c r="N69" s="240">
        <v>0.0</v>
      </c>
    </row>
    <row r="70">
      <c r="A70" s="215">
        <v>66.0</v>
      </c>
      <c r="B70" s="237"/>
      <c r="C70" s="238">
        <v>300.0</v>
      </c>
      <c r="D70" s="238">
        <v>9194.0</v>
      </c>
      <c r="E70" s="238" t="s">
        <v>3442</v>
      </c>
      <c r="F70" s="238" t="s">
        <v>3483</v>
      </c>
      <c r="G70" s="239" t="s">
        <v>3333</v>
      </c>
      <c r="H70" s="240">
        <v>24.0</v>
      </c>
      <c r="I70" s="240">
        <v>24.0</v>
      </c>
      <c r="J70" s="240">
        <v>0.0</v>
      </c>
      <c r="K70" s="240">
        <v>0.0</v>
      </c>
      <c r="L70" s="240">
        <v>0.0</v>
      </c>
      <c r="M70" s="240" t="s">
        <v>3376</v>
      </c>
      <c r="N70" s="240">
        <v>0.0</v>
      </c>
    </row>
    <row r="71">
      <c r="A71" s="215">
        <v>67.0</v>
      </c>
      <c r="B71" s="237"/>
      <c r="C71" s="238">
        <v>300.0</v>
      </c>
      <c r="D71" s="238">
        <v>9196.0</v>
      </c>
      <c r="E71" s="238" t="s">
        <v>3442</v>
      </c>
      <c r="F71" s="238" t="s">
        <v>3489</v>
      </c>
      <c r="G71" s="239" t="s">
        <v>3333</v>
      </c>
      <c r="H71" s="240">
        <v>70.0</v>
      </c>
      <c r="I71" s="240">
        <v>70.0</v>
      </c>
      <c r="J71" s="240">
        <v>0.0</v>
      </c>
      <c r="K71" s="240">
        <v>0.0</v>
      </c>
      <c r="L71" s="240">
        <v>0.0</v>
      </c>
      <c r="M71" s="240" t="s">
        <v>3491</v>
      </c>
      <c r="N71" s="240">
        <v>0.0</v>
      </c>
    </row>
    <row r="72">
      <c r="A72" s="215">
        <v>68.0</v>
      </c>
      <c r="B72" s="237"/>
      <c r="C72" s="238">
        <v>300.0</v>
      </c>
      <c r="D72" s="238">
        <v>9204.0</v>
      </c>
      <c r="E72" s="238" t="s">
        <v>3442</v>
      </c>
      <c r="F72" s="238" t="s">
        <v>3388</v>
      </c>
      <c r="G72" s="239" t="s">
        <v>3333</v>
      </c>
      <c r="H72" s="240">
        <v>28.0</v>
      </c>
      <c r="I72" s="240">
        <v>28.0</v>
      </c>
      <c r="J72" s="240">
        <v>0.0</v>
      </c>
      <c r="K72" s="240">
        <v>1.0</v>
      </c>
      <c r="L72" s="240">
        <v>1.0</v>
      </c>
      <c r="M72" s="240" t="s">
        <v>3493</v>
      </c>
      <c r="N72" s="240">
        <v>0.0</v>
      </c>
    </row>
    <row r="73">
      <c r="A73" s="215">
        <v>69.0</v>
      </c>
      <c r="B73" s="237"/>
      <c r="C73" s="238">
        <v>300.0</v>
      </c>
      <c r="D73" s="238">
        <v>9209.0</v>
      </c>
      <c r="E73" s="238" t="s">
        <v>3442</v>
      </c>
      <c r="F73" s="238" t="s">
        <v>3494</v>
      </c>
      <c r="G73" s="239" t="s">
        <v>3333</v>
      </c>
      <c r="H73" s="240">
        <v>37.0</v>
      </c>
      <c r="I73" s="240">
        <v>37.0</v>
      </c>
      <c r="J73" s="240">
        <v>0.0</v>
      </c>
      <c r="K73" s="240">
        <v>0.0</v>
      </c>
      <c r="L73" s="240">
        <v>0.0</v>
      </c>
      <c r="M73" s="240" t="s">
        <v>3495</v>
      </c>
      <c r="N73" s="240">
        <v>0.0</v>
      </c>
    </row>
    <row r="74">
      <c r="A74" s="215">
        <v>70.0</v>
      </c>
      <c r="B74" s="237"/>
      <c r="C74" s="238">
        <v>300.0</v>
      </c>
      <c r="D74" s="238">
        <v>9219.0</v>
      </c>
      <c r="E74" s="238" t="s">
        <v>3442</v>
      </c>
      <c r="F74" s="238" t="s">
        <v>3342</v>
      </c>
      <c r="G74" s="239" t="s">
        <v>3333</v>
      </c>
      <c r="H74" s="240">
        <v>33.0</v>
      </c>
      <c r="I74" s="240">
        <v>33.0</v>
      </c>
      <c r="J74" s="240">
        <v>0.0</v>
      </c>
      <c r="K74" s="240">
        <v>0.0</v>
      </c>
      <c r="L74" s="240">
        <v>0.0</v>
      </c>
      <c r="M74" s="240" t="s">
        <v>3496</v>
      </c>
      <c r="N74" s="240">
        <v>0.0</v>
      </c>
    </row>
    <row r="75">
      <c r="A75" s="215">
        <v>71.0</v>
      </c>
      <c r="B75" s="237"/>
      <c r="C75" s="238">
        <v>300.0</v>
      </c>
      <c r="D75" s="238">
        <v>9223.0</v>
      </c>
      <c r="E75" s="238" t="s">
        <v>3442</v>
      </c>
      <c r="F75" s="238" t="s">
        <v>3497</v>
      </c>
      <c r="G75" s="239" t="s">
        <v>3333</v>
      </c>
      <c r="H75" s="240">
        <v>15.0</v>
      </c>
      <c r="I75" s="240">
        <v>3.0</v>
      </c>
      <c r="J75" s="240">
        <v>0.0</v>
      </c>
      <c r="K75" s="240">
        <v>0.0</v>
      </c>
      <c r="L75" s="240">
        <v>0.0</v>
      </c>
      <c r="M75" s="240" t="s">
        <v>3498</v>
      </c>
      <c r="N75" s="240">
        <v>12.0</v>
      </c>
    </row>
    <row r="76">
      <c r="A76" s="215">
        <v>72.0</v>
      </c>
      <c r="B76" s="237"/>
      <c r="C76" s="238">
        <v>300.0</v>
      </c>
      <c r="D76" s="238">
        <v>9252.0</v>
      </c>
      <c r="E76" s="238" t="s">
        <v>3442</v>
      </c>
      <c r="F76" s="238" t="s">
        <v>3499</v>
      </c>
      <c r="G76" s="239" t="s">
        <v>3333</v>
      </c>
      <c r="H76" s="240">
        <v>35.0</v>
      </c>
      <c r="I76" s="240">
        <v>35.0</v>
      </c>
      <c r="J76" s="240">
        <v>0.0</v>
      </c>
      <c r="K76" s="240">
        <v>0.0</v>
      </c>
      <c r="L76" s="240">
        <v>0.0</v>
      </c>
      <c r="M76" s="240" t="s">
        <v>3500</v>
      </c>
      <c r="N76" s="240">
        <v>0.0</v>
      </c>
    </row>
    <row r="77">
      <c r="A77" s="215">
        <v>73.0</v>
      </c>
      <c r="B77" s="237"/>
      <c r="C77" s="238">
        <v>300.0</v>
      </c>
      <c r="D77" s="238">
        <v>9351.0</v>
      </c>
      <c r="E77" s="238" t="s">
        <v>3442</v>
      </c>
      <c r="F77" s="238" t="s">
        <v>3440</v>
      </c>
      <c r="G77" s="239" t="s">
        <v>3333</v>
      </c>
      <c r="H77" s="240">
        <v>77.0</v>
      </c>
      <c r="I77" s="240">
        <v>77.0</v>
      </c>
      <c r="J77" s="240">
        <v>0.0</v>
      </c>
      <c r="K77" s="240">
        <v>0.0</v>
      </c>
      <c r="L77" s="240">
        <v>0.0</v>
      </c>
      <c r="M77" s="240" t="s">
        <v>3501</v>
      </c>
      <c r="N77" s="240">
        <v>0.0</v>
      </c>
    </row>
    <row r="78">
      <c r="A78" s="215">
        <v>74.0</v>
      </c>
      <c r="B78" s="237"/>
      <c r="C78" s="238">
        <v>300.0</v>
      </c>
      <c r="D78" s="238">
        <v>9455.0</v>
      </c>
      <c r="E78" s="238" t="s">
        <v>3442</v>
      </c>
      <c r="F78" s="238" t="s">
        <v>3502</v>
      </c>
      <c r="G78" s="239" t="s">
        <v>3333</v>
      </c>
      <c r="H78" s="240">
        <v>37.0</v>
      </c>
      <c r="I78" s="240">
        <v>37.0</v>
      </c>
      <c r="J78" s="240">
        <v>0.0</v>
      </c>
      <c r="K78" s="240">
        <v>0.0</v>
      </c>
      <c r="L78" s="240">
        <v>0.0</v>
      </c>
      <c r="M78" s="240" t="s">
        <v>3503</v>
      </c>
      <c r="N78" s="240">
        <v>0.0</v>
      </c>
    </row>
    <row r="79">
      <c r="A79" s="215">
        <v>75.0</v>
      </c>
      <c r="B79" s="237"/>
      <c r="C79" s="238">
        <v>300.0</v>
      </c>
      <c r="D79" s="238">
        <v>9813.0</v>
      </c>
      <c r="E79" s="238" t="s">
        <v>3442</v>
      </c>
      <c r="F79" s="238" t="s">
        <v>3505</v>
      </c>
      <c r="G79" s="239" t="s">
        <v>3425</v>
      </c>
      <c r="H79" s="240">
        <v>40.0</v>
      </c>
      <c r="I79" s="240">
        <v>40.0</v>
      </c>
      <c r="J79" s="240">
        <v>0.0</v>
      </c>
      <c r="K79" s="240">
        <v>0.0</v>
      </c>
      <c r="L79" s="240">
        <v>0.0</v>
      </c>
      <c r="M79" s="240" t="s">
        <v>3506</v>
      </c>
      <c r="N79" s="240">
        <v>0.0</v>
      </c>
    </row>
    <row r="80">
      <c r="A80" s="215">
        <v>76.0</v>
      </c>
      <c r="B80" s="237"/>
      <c r="C80" s="238">
        <v>300.0</v>
      </c>
      <c r="D80" s="238">
        <v>9853.0</v>
      </c>
      <c r="E80" s="238" t="s">
        <v>3442</v>
      </c>
      <c r="F80" s="238" t="s">
        <v>3350</v>
      </c>
      <c r="G80" s="239" t="s">
        <v>3333</v>
      </c>
      <c r="H80" s="240">
        <v>53.0</v>
      </c>
      <c r="I80" s="240">
        <v>53.0</v>
      </c>
      <c r="J80" s="240">
        <v>0.0</v>
      </c>
      <c r="K80" s="240">
        <v>0.0</v>
      </c>
      <c r="L80" s="240">
        <v>0.0</v>
      </c>
      <c r="M80" s="240" t="s">
        <v>3507</v>
      </c>
      <c r="N80" s="240">
        <v>0.0</v>
      </c>
    </row>
    <row r="81">
      <c r="A81" s="215">
        <v>77.0</v>
      </c>
      <c r="B81" s="237"/>
      <c r="C81" s="238">
        <v>300.0</v>
      </c>
      <c r="D81" s="238" t="s">
        <v>3509</v>
      </c>
      <c r="E81" s="238" t="s">
        <v>3442</v>
      </c>
      <c r="F81" s="238" t="s">
        <v>3510</v>
      </c>
      <c r="G81" s="239" t="s">
        <v>3333</v>
      </c>
      <c r="H81" s="240">
        <v>26.0</v>
      </c>
      <c r="I81" s="240">
        <v>26.0</v>
      </c>
      <c r="J81" s="240">
        <v>0.0</v>
      </c>
      <c r="K81" s="240">
        <v>0.0</v>
      </c>
      <c r="L81" s="240">
        <v>0.0</v>
      </c>
      <c r="M81" s="240" t="s">
        <v>3512</v>
      </c>
      <c r="N81" s="240">
        <v>0.0</v>
      </c>
    </row>
    <row r="82">
      <c r="A82" s="215">
        <v>78.0</v>
      </c>
      <c r="B82" s="237"/>
      <c r="C82" s="238">
        <v>300.0</v>
      </c>
      <c r="D82" s="238" t="s">
        <v>3515</v>
      </c>
      <c r="E82" s="238" t="s">
        <v>3442</v>
      </c>
      <c r="F82" s="238" t="s">
        <v>3516</v>
      </c>
      <c r="G82" s="239" t="s">
        <v>3333</v>
      </c>
      <c r="H82" s="240">
        <v>40.0</v>
      </c>
      <c r="I82" s="240">
        <v>22.0</v>
      </c>
      <c r="J82" s="240">
        <v>0.0</v>
      </c>
      <c r="K82" s="240">
        <v>0.0</v>
      </c>
      <c r="L82" s="240">
        <v>0.0</v>
      </c>
      <c r="M82" s="240" t="s">
        <v>3519</v>
      </c>
      <c r="N82" s="240">
        <v>18.0</v>
      </c>
    </row>
    <row r="83">
      <c r="A83" s="215">
        <v>79.0</v>
      </c>
      <c r="B83" s="237"/>
      <c r="C83" s="238">
        <v>300.0</v>
      </c>
      <c r="D83" s="238" t="s">
        <v>3521</v>
      </c>
      <c r="E83" s="238" t="s">
        <v>3442</v>
      </c>
      <c r="F83" s="238" t="s">
        <v>3522</v>
      </c>
      <c r="G83" s="239" t="s">
        <v>3333</v>
      </c>
      <c r="H83" s="240">
        <v>56.0</v>
      </c>
      <c r="I83" s="240">
        <v>56.0</v>
      </c>
      <c r="J83" s="240">
        <v>0.0</v>
      </c>
      <c r="K83" s="240">
        <v>0.0</v>
      </c>
      <c r="L83" s="240">
        <v>0.0</v>
      </c>
      <c r="M83" s="240" t="s">
        <v>3368</v>
      </c>
      <c r="N83" s="240">
        <v>0.0</v>
      </c>
    </row>
    <row r="84">
      <c r="A84" s="215">
        <v>80.0</v>
      </c>
      <c r="B84" s="237"/>
      <c r="C84" s="238">
        <v>300.0</v>
      </c>
      <c r="D84" s="238" t="s">
        <v>3524</v>
      </c>
      <c r="E84" s="238" t="s">
        <v>3442</v>
      </c>
      <c r="F84" s="238" t="s">
        <v>3525</v>
      </c>
      <c r="G84" s="239" t="s">
        <v>3333</v>
      </c>
      <c r="H84" s="240">
        <v>100.0</v>
      </c>
      <c r="I84" s="240">
        <v>54.0</v>
      </c>
      <c r="J84" s="240">
        <v>0.0</v>
      </c>
      <c r="K84" s="240">
        <v>0.0</v>
      </c>
      <c r="L84" s="240">
        <v>0.0</v>
      </c>
      <c r="M84" s="240" t="s">
        <v>3526</v>
      </c>
      <c r="N84" s="240">
        <v>46.0</v>
      </c>
    </row>
    <row r="85">
      <c r="A85" s="215">
        <v>81.0</v>
      </c>
      <c r="B85" s="237"/>
      <c r="C85" s="238">
        <v>300.0</v>
      </c>
      <c r="D85" s="238" t="s">
        <v>3527</v>
      </c>
      <c r="E85" s="238" t="s">
        <v>3442</v>
      </c>
      <c r="F85" s="238" t="s">
        <v>3528</v>
      </c>
      <c r="G85" s="239" t="s">
        <v>3333</v>
      </c>
      <c r="H85" s="240">
        <v>50.0</v>
      </c>
      <c r="I85" s="240">
        <v>50.0</v>
      </c>
      <c r="J85" s="240">
        <v>0.0</v>
      </c>
      <c r="K85" s="240">
        <v>0.0</v>
      </c>
      <c r="L85" s="240">
        <v>0.0</v>
      </c>
      <c r="M85" s="240" t="s">
        <v>3529</v>
      </c>
      <c r="N85" s="240">
        <v>0.0</v>
      </c>
    </row>
    <row r="86">
      <c r="A86" s="215">
        <v>82.0</v>
      </c>
      <c r="B86" s="237"/>
      <c r="C86" s="238">
        <v>300.0</v>
      </c>
      <c r="D86" s="238" t="s">
        <v>3530</v>
      </c>
      <c r="E86" s="238" t="s">
        <v>3442</v>
      </c>
      <c r="F86" s="238" t="s">
        <v>3531</v>
      </c>
      <c r="G86" s="239" t="s">
        <v>3333</v>
      </c>
      <c r="H86" s="240">
        <v>25.0</v>
      </c>
      <c r="I86" s="240">
        <v>18.0</v>
      </c>
      <c r="J86" s="240">
        <v>0.0</v>
      </c>
      <c r="K86" s="240">
        <v>0.0</v>
      </c>
      <c r="L86" s="240">
        <v>0.0</v>
      </c>
      <c r="M86" s="240" t="s">
        <v>3526</v>
      </c>
      <c r="N86" s="240">
        <v>7.0</v>
      </c>
    </row>
    <row r="87">
      <c r="A87" s="215">
        <v>83.0</v>
      </c>
      <c r="B87" s="237"/>
      <c r="C87" s="238">
        <v>300.0</v>
      </c>
      <c r="D87" s="238" t="s">
        <v>3533</v>
      </c>
      <c r="E87" s="238" t="s">
        <v>3442</v>
      </c>
      <c r="F87" s="238" t="s">
        <v>3534</v>
      </c>
      <c r="G87" s="239" t="s">
        <v>3333</v>
      </c>
      <c r="H87" s="240">
        <v>78.0</v>
      </c>
      <c r="I87" s="240">
        <v>65.0</v>
      </c>
      <c r="J87" s="240">
        <v>0.0</v>
      </c>
      <c r="K87" s="240">
        <v>1.0</v>
      </c>
      <c r="L87" s="240">
        <v>0.0</v>
      </c>
      <c r="M87" s="240" t="s">
        <v>3535</v>
      </c>
      <c r="N87" s="240">
        <v>12.0</v>
      </c>
    </row>
    <row r="88">
      <c r="A88" s="215">
        <v>84.0</v>
      </c>
      <c r="B88" s="237"/>
      <c r="C88" s="238">
        <v>300.0</v>
      </c>
      <c r="D88" s="238" t="s">
        <v>3536</v>
      </c>
      <c r="E88" s="238" t="s">
        <v>3442</v>
      </c>
      <c r="F88" s="238" t="s">
        <v>3537</v>
      </c>
      <c r="G88" s="239" t="s">
        <v>3333</v>
      </c>
      <c r="H88" s="240">
        <v>17.0</v>
      </c>
      <c r="I88" s="240">
        <v>1.0</v>
      </c>
      <c r="J88" s="240">
        <v>0.0</v>
      </c>
      <c r="K88" s="240">
        <v>0.0</v>
      </c>
      <c r="L88" s="240">
        <v>0.0</v>
      </c>
      <c r="M88" s="241"/>
      <c r="N88" s="240">
        <v>16.0</v>
      </c>
    </row>
    <row r="89">
      <c r="A89" s="215">
        <v>85.0</v>
      </c>
      <c r="B89" s="237"/>
      <c r="C89" s="238">
        <v>400.0</v>
      </c>
      <c r="D89" s="238">
        <v>8184.0</v>
      </c>
      <c r="E89" s="238" t="s">
        <v>3538</v>
      </c>
      <c r="F89" s="238" t="s">
        <v>3539</v>
      </c>
      <c r="G89" s="239" t="s">
        <v>3333</v>
      </c>
      <c r="H89" s="240">
        <v>39.0</v>
      </c>
      <c r="I89" s="240">
        <v>24.0</v>
      </c>
      <c r="J89" s="240">
        <v>0.0</v>
      </c>
      <c r="K89" s="240">
        <v>1.0</v>
      </c>
      <c r="L89" s="240">
        <v>0.0</v>
      </c>
      <c r="M89" s="240" t="s">
        <v>3384</v>
      </c>
      <c r="N89" s="240">
        <v>14.0</v>
      </c>
    </row>
    <row r="90">
      <c r="A90" s="215">
        <v>86.0</v>
      </c>
      <c r="B90" s="237"/>
      <c r="C90" s="238">
        <v>400.0</v>
      </c>
      <c r="D90" s="238">
        <v>9015.0</v>
      </c>
      <c r="E90" s="238" t="s">
        <v>3538</v>
      </c>
      <c r="F90" s="238" t="s">
        <v>3409</v>
      </c>
      <c r="G90" s="239" t="s">
        <v>3333</v>
      </c>
      <c r="H90" s="240">
        <v>45.0</v>
      </c>
      <c r="I90" s="240">
        <v>34.0</v>
      </c>
      <c r="J90" s="240">
        <v>0.0</v>
      </c>
      <c r="K90" s="240">
        <v>1.0</v>
      </c>
      <c r="L90" s="240">
        <v>0.0</v>
      </c>
      <c r="M90" s="240" t="s">
        <v>3541</v>
      </c>
      <c r="N90" s="240">
        <v>10.0</v>
      </c>
    </row>
    <row r="91">
      <c r="A91" s="215">
        <v>87.0</v>
      </c>
      <c r="B91" s="237"/>
      <c r="C91" s="238">
        <v>400.0</v>
      </c>
      <c r="D91" s="238">
        <v>9016.0</v>
      </c>
      <c r="E91" s="238" t="s">
        <v>3538</v>
      </c>
      <c r="F91" s="238" t="s">
        <v>3412</v>
      </c>
      <c r="G91" s="239" t="s">
        <v>3333</v>
      </c>
      <c r="H91" s="240">
        <v>43.0</v>
      </c>
      <c r="I91" s="240">
        <v>29.0</v>
      </c>
      <c r="J91" s="240">
        <v>0.0</v>
      </c>
      <c r="K91" s="240">
        <v>0.0</v>
      </c>
      <c r="L91" s="240">
        <v>0.0</v>
      </c>
      <c r="M91" s="240" t="s">
        <v>3526</v>
      </c>
      <c r="N91" s="240">
        <v>14.0</v>
      </c>
    </row>
    <row r="92">
      <c r="A92" s="215">
        <v>88.0</v>
      </c>
      <c r="B92" s="237"/>
      <c r="C92" s="238">
        <v>400.0</v>
      </c>
      <c r="D92" s="238">
        <v>9020.0</v>
      </c>
      <c r="E92" s="238" t="s">
        <v>3538</v>
      </c>
      <c r="F92" s="238" t="s">
        <v>3544</v>
      </c>
      <c r="G92" s="239" t="s">
        <v>3333</v>
      </c>
      <c r="H92" s="240">
        <v>31.0</v>
      </c>
      <c r="I92" s="240">
        <v>31.0</v>
      </c>
      <c r="J92" s="240">
        <v>0.0</v>
      </c>
      <c r="K92" s="240">
        <v>1.0</v>
      </c>
      <c r="L92" s="240">
        <v>1.0</v>
      </c>
      <c r="M92" s="240" t="s">
        <v>3547</v>
      </c>
      <c r="N92" s="240">
        <v>0.0</v>
      </c>
    </row>
    <row r="93">
      <c r="A93" s="215">
        <v>89.0</v>
      </c>
      <c r="B93" s="237"/>
      <c r="C93" s="238">
        <v>400.0</v>
      </c>
      <c r="D93" s="238">
        <v>9023.0</v>
      </c>
      <c r="E93" s="238" t="s">
        <v>3538</v>
      </c>
      <c r="F93" s="238" t="s">
        <v>3549</v>
      </c>
      <c r="G93" s="239" t="s">
        <v>3333</v>
      </c>
      <c r="H93" s="240">
        <v>68.0</v>
      </c>
      <c r="I93" s="240">
        <v>68.0</v>
      </c>
      <c r="J93" s="240">
        <v>0.0</v>
      </c>
      <c r="K93" s="240">
        <v>0.0</v>
      </c>
      <c r="L93" s="240">
        <v>0.0</v>
      </c>
      <c r="M93" s="240" t="s">
        <v>3551</v>
      </c>
      <c r="N93" s="240">
        <v>0.0</v>
      </c>
    </row>
    <row r="94">
      <c r="A94" s="215">
        <v>90.0</v>
      </c>
      <c r="B94" s="237"/>
      <c r="C94" s="238">
        <v>400.0</v>
      </c>
      <c r="D94" s="238">
        <v>9025.0</v>
      </c>
      <c r="E94" s="238" t="s">
        <v>3538</v>
      </c>
      <c r="F94" s="238" t="s">
        <v>3552</v>
      </c>
      <c r="G94" s="239" t="s">
        <v>3333</v>
      </c>
      <c r="H94" s="240">
        <v>24.0</v>
      </c>
      <c r="I94" s="240">
        <v>9.0</v>
      </c>
      <c r="J94" s="240">
        <v>0.0</v>
      </c>
      <c r="K94" s="240">
        <v>0.0</v>
      </c>
      <c r="L94" s="240">
        <v>0.0</v>
      </c>
      <c r="M94" s="240" t="s">
        <v>3389</v>
      </c>
      <c r="N94" s="240">
        <v>15.0</v>
      </c>
    </row>
    <row r="95">
      <c r="A95" s="215">
        <v>91.0</v>
      </c>
      <c r="B95" s="237"/>
      <c r="C95" s="238">
        <v>400.0</v>
      </c>
      <c r="D95" s="238">
        <v>9048.0</v>
      </c>
      <c r="E95" s="238" t="s">
        <v>3538</v>
      </c>
      <c r="F95" s="238" t="s">
        <v>3555</v>
      </c>
      <c r="G95" s="239" t="s">
        <v>3333</v>
      </c>
      <c r="H95" s="240">
        <v>50.0</v>
      </c>
      <c r="I95" s="240">
        <v>50.0</v>
      </c>
      <c r="J95" s="240">
        <v>0.0</v>
      </c>
      <c r="K95" s="240">
        <v>2.0</v>
      </c>
      <c r="L95" s="240">
        <v>2.0</v>
      </c>
      <c r="M95" s="240" t="s">
        <v>3560</v>
      </c>
      <c r="N95" s="240">
        <v>0.0</v>
      </c>
    </row>
    <row r="96">
      <c r="A96" s="215">
        <v>92.0</v>
      </c>
      <c r="B96" s="237"/>
      <c r="C96" s="238">
        <v>400.0</v>
      </c>
      <c r="D96" s="238">
        <v>9071.0</v>
      </c>
      <c r="E96" s="238" t="s">
        <v>3538</v>
      </c>
      <c r="F96" s="238" t="s">
        <v>3561</v>
      </c>
      <c r="G96" s="239" t="s">
        <v>3333</v>
      </c>
      <c r="H96" s="240">
        <v>60.0</v>
      </c>
      <c r="I96" s="240">
        <v>60.0</v>
      </c>
      <c r="J96" s="240">
        <v>0.0</v>
      </c>
      <c r="K96" s="240">
        <v>1.0</v>
      </c>
      <c r="L96" s="240">
        <v>1.0</v>
      </c>
      <c r="M96" s="240" t="s">
        <v>3562</v>
      </c>
      <c r="N96" s="240">
        <v>0.0</v>
      </c>
    </row>
    <row r="97">
      <c r="A97" s="215">
        <v>93.0</v>
      </c>
      <c r="B97" s="237"/>
      <c r="C97" s="238">
        <v>400.0</v>
      </c>
      <c r="D97" s="238">
        <v>9074.0</v>
      </c>
      <c r="E97" s="238" t="s">
        <v>3538</v>
      </c>
      <c r="F97" s="238" t="s">
        <v>3565</v>
      </c>
      <c r="G97" s="239" t="s">
        <v>3333</v>
      </c>
      <c r="H97" s="240">
        <v>52.0</v>
      </c>
      <c r="I97" s="240">
        <v>49.0</v>
      </c>
      <c r="J97" s="240">
        <v>0.0</v>
      </c>
      <c r="K97" s="240">
        <v>1.0</v>
      </c>
      <c r="L97" s="240">
        <v>0.0</v>
      </c>
      <c r="M97" s="240" t="s">
        <v>3567</v>
      </c>
      <c r="N97" s="240">
        <v>2.0</v>
      </c>
    </row>
    <row r="98">
      <c r="A98" s="215">
        <v>94.0</v>
      </c>
      <c r="B98" s="237"/>
      <c r="C98" s="238">
        <v>400.0</v>
      </c>
      <c r="D98" s="238">
        <v>9075.0</v>
      </c>
      <c r="E98" s="238" t="s">
        <v>3538</v>
      </c>
      <c r="F98" s="238" t="s">
        <v>3572</v>
      </c>
      <c r="G98" s="239" t="s">
        <v>3333</v>
      </c>
      <c r="H98" s="240">
        <v>49.0</v>
      </c>
      <c r="I98" s="240">
        <v>49.0</v>
      </c>
      <c r="J98" s="240">
        <v>0.0</v>
      </c>
      <c r="K98" s="240">
        <v>0.0</v>
      </c>
      <c r="L98" s="240">
        <v>0.0</v>
      </c>
      <c r="M98" s="240" t="s">
        <v>3574</v>
      </c>
      <c r="N98" s="240">
        <v>0.0</v>
      </c>
    </row>
    <row r="99">
      <c r="A99" s="215">
        <v>95.0</v>
      </c>
      <c r="B99" s="237"/>
      <c r="C99" s="238">
        <v>400.0</v>
      </c>
      <c r="D99" s="238">
        <v>9081.0</v>
      </c>
      <c r="E99" s="238" t="s">
        <v>3538</v>
      </c>
      <c r="F99" s="238" t="s">
        <v>3379</v>
      </c>
      <c r="G99" s="239" t="s">
        <v>3333</v>
      </c>
      <c r="H99" s="240">
        <v>49.0</v>
      </c>
      <c r="I99" s="240">
        <v>31.0</v>
      </c>
      <c r="J99" s="240">
        <v>0.0</v>
      </c>
      <c r="K99" s="240">
        <v>0.0</v>
      </c>
      <c r="L99" s="240">
        <v>0.0</v>
      </c>
      <c r="M99" s="240" t="s">
        <v>3578</v>
      </c>
      <c r="N99" s="240">
        <v>18.0</v>
      </c>
    </row>
    <row r="100">
      <c r="A100" s="215">
        <v>96.0</v>
      </c>
      <c r="B100" s="237"/>
      <c r="C100" s="238">
        <v>400.0</v>
      </c>
      <c r="D100" s="238">
        <v>9089.0</v>
      </c>
      <c r="E100" s="238" t="s">
        <v>3538</v>
      </c>
      <c r="F100" s="238" t="s">
        <v>3456</v>
      </c>
      <c r="G100" s="239" t="s">
        <v>3333</v>
      </c>
      <c r="H100" s="240">
        <v>15.0</v>
      </c>
      <c r="I100" s="240">
        <v>5.0</v>
      </c>
      <c r="J100" s="240">
        <v>0.0</v>
      </c>
      <c r="K100" s="240">
        <v>0.0</v>
      </c>
      <c r="L100" s="240">
        <v>0.0</v>
      </c>
      <c r="M100" s="240" t="s">
        <v>3582</v>
      </c>
      <c r="N100" s="240">
        <v>10.0</v>
      </c>
    </row>
    <row r="101">
      <c r="A101" s="215">
        <v>97.0</v>
      </c>
      <c r="B101" s="237"/>
      <c r="C101" s="238">
        <v>400.0</v>
      </c>
      <c r="D101" s="238">
        <v>9104.0</v>
      </c>
      <c r="E101" s="238" t="s">
        <v>3538</v>
      </c>
      <c r="F101" s="238" t="s">
        <v>3466</v>
      </c>
      <c r="G101" s="239" t="s">
        <v>3333</v>
      </c>
      <c r="H101" s="240">
        <v>20.0</v>
      </c>
      <c r="I101" s="240">
        <v>5.0</v>
      </c>
      <c r="J101" s="240">
        <v>0.0</v>
      </c>
      <c r="K101" s="240">
        <v>0.0</v>
      </c>
      <c r="L101" s="240">
        <v>0.0</v>
      </c>
      <c r="M101" s="240" t="s">
        <v>3586</v>
      </c>
      <c r="N101" s="240">
        <v>15.0</v>
      </c>
    </row>
    <row r="102">
      <c r="A102" s="215">
        <v>98.0</v>
      </c>
      <c r="B102" s="237"/>
      <c r="C102" s="238">
        <v>400.0</v>
      </c>
      <c r="D102" s="238">
        <v>9105.0</v>
      </c>
      <c r="E102" s="238" t="s">
        <v>3538</v>
      </c>
      <c r="F102" s="238" t="s">
        <v>3588</v>
      </c>
      <c r="G102" s="239" t="s">
        <v>3333</v>
      </c>
      <c r="H102" s="240">
        <v>35.0</v>
      </c>
      <c r="I102" s="240">
        <v>11.0</v>
      </c>
      <c r="J102" s="240">
        <v>0.0</v>
      </c>
      <c r="K102" s="240">
        <v>0.0</v>
      </c>
      <c r="L102" s="240">
        <v>0.0</v>
      </c>
      <c r="M102" s="240" t="s">
        <v>3589</v>
      </c>
      <c r="N102" s="240">
        <v>24.0</v>
      </c>
    </row>
    <row r="103">
      <c r="A103" s="215">
        <v>99.0</v>
      </c>
      <c r="B103" s="237"/>
      <c r="C103" s="238">
        <v>400.0</v>
      </c>
      <c r="D103" s="238">
        <v>9112.0</v>
      </c>
      <c r="E103" s="238" t="s">
        <v>3538</v>
      </c>
      <c r="F103" s="238" t="s">
        <v>3522</v>
      </c>
      <c r="G103" s="239" t="s">
        <v>3333</v>
      </c>
      <c r="H103" s="240">
        <v>24.0</v>
      </c>
      <c r="I103" s="240">
        <v>3.0</v>
      </c>
      <c r="J103" s="240">
        <v>0.0</v>
      </c>
      <c r="K103" s="240">
        <v>0.0</v>
      </c>
      <c r="L103" s="240">
        <v>0.0</v>
      </c>
      <c r="M103" s="240" t="s">
        <v>3590</v>
      </c>
      <c r="N103" s="240">
        <v>21.0</v>
      </c>
    </row>
    <row r="104">
      <c r="A104" s="215">
        <v>100.0</v>
      </c>
      <c r="B104" s="237"/>
      <c r="C104" s="238">
        <v>400.0</v>
      </c>
      <c r="D104" s="238">
        <v>9119.0</v>
      </c>
      <c r="E104" s="238" t="s">
        <v>3538</v>
      </c>
      <c r="F104" s="238" t="s">
        <v>3417</v>
      </c>
      <c r="G104" s="239" t="s">
        <v>3333</v>
      </c>
      <c r="H104" s="240">
        <v>80.0</v>
      </c>
      <c r="I104" s="240">
        <v>40.0</v>
      </c>
      <c r="J104" s="240">
        <v>0.0</v>
      </c>
      <c r="K104" s="240">
        <v>0.0</v>
      </c>
      <c r="L104" s="240">
        <v>0.0</v>
      </c>
      <c r="M104" s="240" t="s">
        <v>3433</v>
      </c>
      <c r="N104" s="240">
        <v>40.0</v>
      </c>
    </row>
    <row r="105">
      <c r="A105" s="215">
        <v>101.0</v>
      </c>
      <c r="B105" s="237"/>
      <c r="C105" s="238">
        <v>400.0</v>
      </c>
      <c r="D105" s="238">
        <v>9139.0</v>
      </c>
      <c r="E105" s="238" t="s">
        <v>3538</v>
      </c>
      <c r="F105" s="238" t="s">
        <v>3592</v>
      </c>
      <c r="G105" s="239" t="s">
        <v>3333</v>
      </c>
      <c r="H105" s="240">
        <v>22.0</v>
      </c>
      <c r="I105" s="240">
        <v>11.0</v>
      </c>
      <c r="J105" s="240">
        <v>0.0</v>
      </c>
      <c r="K105" s="240">
        <v>0.0</v>
      </c>
      <c r="L105" s="240">
        <v>0.0</v>
      </c>
      <c r="M105" s="240" t="s">
        <v>3593</v>
      </c>
      <c r="N105" s="240">
        <v>11.0</v>
      </c>
    </row>
    <row r="106">
      <c r="A106" s="215">
        <v>102.0</v>
      </c>
      <c r="B106" s="237"/>
      <c r="C106" s="238">
        <v>400.0</v>
      </c>
      <c r="D106" s="238">
        <v>9147.0</v>
      </c>
      <c r="E106" s="238" t="s">
        <v>3538</v>
      </c>
      <c r="F106" s="238" t="s">
        <v>3381</v>
      </c>
      <c r="G106" s="239" t="s">
        <v>3333</v>
      </c>
      <c r="H106" s="240">
        <v>81.0</v>
      </c>
      <c r="I106" s="240">
        <v>81.0</v>
      </c>
      <c r="J106" s="240">
        <v>0.0</v>
      </c>
      <c r="K106" s="240">
        <v>0.0</v>
      </c>
      <c r="L106" s="240">
        <v>0.0</v>
      </c>
      <c r="M106" s="240" t="s">
        <v>3594</v>
      </c>
      <c r="N106" s="240">
        <v>0.0</v>
      </c>
    </row>
    <row r="107">
      <c r="A107" s="215">
        <v>103.0</v>
      </c>
      <c r="B107" s="237"/>
      <c r="C107" s="238">
        <v>400.0</v>
      </c>
      <c r="D107" s="238">
        <v>9205.0</v>
      </c>
      <c r="E107" s="238" t="s">
        <v>3538</v>
      </c>
      <c r="F107" s="238" t="s">
        <v>3595</v>
      </c>
      <c r="G107" s="239" t="s">
        <v>3333</v>
      </c>
      <c r="H107" s="240">
        <v>39.0</v>
      </c>
      <c r="I107" s="240">
        <v>39.0</v>
      </c>
      <c r="J107" s="240">
        <v>0.0</v>
      </c>
      <c r="K107" s="240">
        <v>1.0</v>
      </c>
      <c r="L107" s="240">
        <v>1.0</v>
      </c>
      <c r="M107" s="240" t="s">
        <v>3596</v>
      </c>
      <c r="N107" s="240">
        <v>0.0</v>
      </c>
    </row>
    <row r="108">
      <c r="A108" s="215">
        <v>104.0</v>
      </c>
      <c r="B108" s="237"/>
      <c r="C108" s="238">
        <v>400.0</v>
      </c>
      <c r="D108" s="238">
        <v>9219.0</v>
      </c>
      <c r="E108" s="238" t="s">
        <v>3538</v>
      </c>
      <c r="F108" s="238" t="s">
        <v>3342</v>
      </c>
      <c r="G108" s="239" t="s">
        <v>3333</v>
      </c>
      <c r="H108" s="240">
        <v>55.0</v>
      </c>
      <c r="I108" s="240">
        <v>55.0</v>
      </c>
      <c r="J108" s="240">
        <v>0.0</v>
      </c>
      <c r="K108" s="240">
        <v>0.0</v>
      </c>
      <c r="L108" s="240">
        <v>0.0</v>
      </c>
      <c r="M108" s="240" t="s">
        <v>3598</v>
      </c>
      <c r="N108" s="240">
        <v>0.0</v>
      </c>
    </row>
    <row r="109">
      <c r="A109" s="215">
        <v>105.0</v>
      </c>
      <c r="B109" s="237"/>
      <c r="C109" s="238">
        <v>400.0</v>
      </c>
      <c r="D109" s="238">
        <v>9225.0</v>
      </c>
      <c r="E109" s="238" t="s">
        <v>3538</v>
      </c>
      <c r="F109" s="238" t="s">
        <v>3599</v>
      </c>
      <c r="G109" s="239" t="s">
        <v>3333</v>
      </c>
      <c r="H109" s="240">
        <v>20.0</v>
      </c>
      <c r="I109" s="240">
        <v>12.0</v>
      </c>
      <c r="J109" s="240">
        <v>0.0</v>
      </c>
      <c r="K109" s="240">
        <v>0.0</v>
      </c>
      <c r="L109" s="240">
        <v>0.0</v>
      </c>
      <c r="M109" s="240" t="s">
        <v>3600</v>
      </c>
      <c r="N109" s="240">
        <v>8.0</v>
      </c>
    </row>
    <row r="110">
      <c r="A110" s="215">
        <v>106.0</v>
      </c>
      <c r="B110" s="237"/>
      <c r="C110" s="238">
        <v>400.0</v>
      </c>
      <c r="D110" s="238">
        <v>9240.0</v>
      </c>
      <c r="E110" s="238" t="s">
        <v>3538</v>
      </c>
      <c r="F110" s="238" t="s">
        <v>3346</v>
      </c>
      <c r="G110" s="239" t="s">
        <v>3333</v>
      </c>
      <c r="H110" s="240">
        <v>47.0</v>
      </c>
      <c r="I110" s="240">
        <v>47.0</v>
      </c>
      <c r="J110" s="240">
        <v>0.0</v>
      </c>
      <c r="K110" s="240">
        <v>0.0</v>
      </c>
      <c r="L110" s="240">
        <v>0.0</v>
      </c>
      <c r="M110" s="240" t="s">
        <v>3403</v>
      </c>
      <c r="N110" s="240">
        <v>0.0</v>
      </c>
    </row>
    <row r="111">
      <c r="A111" s="215">
        <v>107.0</v>
      </c>
      <c r="B111" s="237"/>
      <c r="C111" s="238">
        <v>400.0</v>
      </c>
      <c r="D111" s="238">
        <v>9257.0</v>
      </c>
      <c r="E111" s="238" t="s">
        <v>3538</v>
      </c>
      <c r="F111" s="238" t="s">
        <v>3602</v>
      </c>
      <c r="G111" s="239" t="s">
        <v>3425</v>
      </c>
      <c r="H111" s="240">
        <v>64.0</v>
      </c>
      <c r="I111" s="240">
        <v>64.0</v>
      </c>
      <c r="J111" s="240">
        <v>0.0</v>
      </c>
      <c r="K111" s="240">
        <v>0.0</v>
      </c>
      <c r="L111" s="240">
        <v>0.0</v>
      </c>
      <c r="M111" s="240" t="s">
        <v>3605</v>
      </c>
      <c r="N111" s="240">
        <v>0.0</v>
      </c>
    </row>
    <row r="112">
      <c r="A112" s="215">
        <v>108.0</v>
      </c>
      <c r="B112" s="237"/>
      <c r="C112" s="238">
        <v>400.0</v>
      </c>
      <c r="D112" s="238">
        <v>9351.0</v>
      </c>
      <c r="E112" s="238" t="s">
        <v>3538</v>
      </c>
      <c r="F112" s="238" t="s">
        <v>3440</v>
      </c>
      <c r="G112" s="239" t="s">
        <v>3333</v>
      </c>
      <c r="H112" s="240">
        <v>72.0</v>
      </c>
      <c r="I112" s="240">
        <v>44.0</v>
      </c>
      <c r="J112" s="240">
        <v>0.0</v>
      </c>
      <c r="K112" s="240">
        <v>0.0</v>
      </c>
      <c r="L112" s="240">
        <v>0.0</v>
      </c>
      <c r="M112" s="240" t="s">
        <v>3608</v>
      </c>
      <c r="N112" s="240">
        <v>28.0</v>
      </c>
    </row>
    <row r="113">
      <c r="A113" s="215">
        <v>109.0</v>
      </c>
      <c r="B113" s="237"/>
      <c r="C113" s="238">
        <v>400.0</v>
      </c>
      <c r="D113" s="238">
        <v>9494.0</v>
      </c>
      <c r="E113" s="238" t="s">
        <v>3538</v>
      </c>
      <c r="F113" s="238" t="s">
        <v>3424</v>
      </c>
      <c r="G113" s="239" t="s">
        <v>3425</v>
      </c>
      <c r="H113" s="240">
        <v>62.0</v>
      </c>
      <c r="I113" s="240">
        <v>47.0</v>
      </c>
      <c r="J113" s="240">
        <v>0.0</v>
      </c>
      <c r="K113" s="240">
        <v>0.0</v>
      </c>
      <c r="L113" s="240">
        <v>0.0</v>
      </c>
      <c r="M113" s="240" t="s">
        <v>3611</v>
      </c>
      <c r="N113" s="240">
        <v>15.0</v>
      </c>
    </row>
    <row r="114">
      <c r="A114" s="215">
        <v>110.0</v>
      </c>
      <c r="B114" s="237"/>
      <c r="C114" s="238">
        <v>400.0</v>
      </c>
      <c r="D114" s="238">
        <v>9707.0</v>
      </c>
      <c r="E114" s="238" t="s">
        <v>3538</v>
      </c>
      <c r="F114" s="238" t="s">
        <v>3613</v>
      </c>
      <c r="G114" s="239" t="s">
        <v>3333</v>
      </c>
      <c r="H114" s="240">
        <v>64.0</v>
      </c>
      <c r="I114" s="240">
        <v>32.0</v>
      </c>
      <c r="J114" s="240">
        <v>0.0</v>
      </c>
      <c r="K114" s="240">
        <v>0.0</v>
      </c>
      <c r="L114" s="240">
        <v>0.0</v>
      </c>
      <c r="M114" s="240" t="s">
        <v>3389</v>
      </c>
      <c r="N114" s="240">
        <v>32.0</v>
      </c>
    </row>
    <row r="115">
      <c r="A115" s="215">
        <v>111.0</v>
      </c>
      <c r="B115" s="237"/>
      <c r="C115" s="238">
        <v>400.0</v>
      </c>
      <c r="D115" s="238">
        <v>9740.0</v>
      </c>
      <c r="E115" s="238" t="s">
        <v>3538</v>
      </c>
      <c r="F115" s="238" t="s">
        <v>3615</v>
      </c>
      <c r="G115" s="239" t="s">
        <v>3333</v>
      </c>
      <c r="H115" s="240">
        <v>60.0</v>
      </c>
      <c r="I115" s="240">
        <v>60.0</v>
      </c>
      <c r="J115" s="240">
        <v>0.0</v>
      </c>
      <c r="K115" s="240">
        <v>0.0</v>
      </c>
      <c r="L115" s="240">
        <v>0.0</v>
      </c>
      <c r="M115" s="240" t="s">
        <v>3616</v>
      </c>
      <c r="N115" s="240">
        <v>0.0</v>
      </c>
    </row>
    <row r="116">
      <c r="A116" s="215">
        <v>112.0</v>
      </c>
      <c r="B116" s="237"/>
      <c r="C116" s="238">
        <v>400.0</v>
      </c>
      <c r="D116" s="238">
        <v>9813.0</v>
      </c>
      <c r="E116" s="238" t="s">
        <v>3538</v>
      </c>
      <c r="F116" s="238" t="s">
        <v>3505</v>
      </c>
      <c r="G116" s="239" t="s">
        <v>3425</v>
      </c>
      <c r="H116" s="240">
        <v>150.0</v>
      </c>
      <c r="I116" s="240">
        <v>150.0</v>
      </c>
      <c r="J116" s="240">
        <v>0.0</v>
      </c>
      <c r="K116" s="240">
        <v>0.0</v>
      </c>
      <c r="L116" s="240">
        <v>0.0</v>
      </c>
      <c r="M116" s="240" t="s">
        <v>3617</v>
      </c>
      <c r="N116" s="240">
        <v>0.0</v>
      </c>
    </row>
    <row r="117">
      <c r="A117" s="215">
        <v>113.0</v>
      </c>
      <c r="B117" s="237"/>
      <c r="C117" s="238">
        <v>400.0</v>
      </c>
      <c r="D117" s="238">
        <v>9835.0</v>
      </c>
      <c r="E117" s="238" t="s">
        <v>3538</v>
      </c>
      <c r="F117" s="238" t="s">
        <v>3620</v>
      </c>
      <c r="G117" s="239" t="s">
        <v>3333</v>
      </c>
      <c r="H117" s="240">
        <v>15.0</v>
      </c>
      <c r="I117" s="240">
        <v>3.0</v>
      </c>
      <c r="J117" s="240">
        <v>0.0</v>
      </c>
      <c r="K117" s="240">
        <v>0.0</v>
      </c>
      <c r="L117" s="240">
        <v>0.0</v>
      </c>
      <c r="M117" s="240" t="s">
        <v>3621</v>
      </c>
      <c r="N117" s="240">
        <v>12.0</v>
      </c>
    </row>
    <row r="118">
      <c r="A118" s="215">
        <v>114.0</v>
      </c>
      <c r="B118" s="237"/>
      <c r="C118" s="238">
        <v>400.0</v>
      </c>
      <c r="D118" s="238">
        <v>9918.0</v>
      </c>
      <c r="E118" s="238" t="s">
        <v>3538</v>
      </c>
      <c r="F118" s="238" t="s">
        <v>3622</v>
      </c>
      <c r="G118" s="239" t="s">
        <v>3333</v>
      </c>
      <c r="H118" s="240">
        <v>30.0</v>
      </c>
      <c r="I118" s="240">
        <v>22.0</v>
      </c>
      <c r="J118" s="240">
        <v>0.0</v>
      </c>
      <c r="K118" s="240">
        <v>0.0</v>
      </c>
      <c r="L118" s="240">
        <v>0.0</v>
      </c>
      <c r="M118" s="240" t="s">
        <v>3623</v>
      </c>
      <c r="N118" s="240">
        <v>8.0</v>
      </c>
    </row>
    <row r="119">
      <c r="A119" s="215">
        <v>115.0</v>
      </c>
      <c r="B119" s="237"/>
      <c r="C119" s="238">
        <v>400.0</v>
      </c>
      <c r="D119" s="238" t="s">
        <v>3624</v>
      </c>
      <c r="E119" s="238" t="s">
        <v>3538</v>
      </c>
      <c r="F119" s="238" t="s">
        <v>3625</v>
      </c>
      <c r="G119" s="239" t="s">
        <v>3333</v>
      </c>
      <c r="H119" s="240">
        <v>10.0</v>
      </c>
      <c r="I119" s="240">
        <v>1.0</v>
      </c>
      <c r="J119" s="240">
        <v>0.0</v>
      </c>
      <c r="K119" s="240">
        <v>0.0</v>
      </c>
      <c r="L119" s="240">
        <v>0.0</v>
      </c>
      <c r="M119" s="240" t="s">
        <v>3626</v>
      </c>
      <c r="N119" s="240">
        <v>9.0</v>
      </c>
    </row>
    <row r="120">
      <c r="A120" s="215">
        <v>116.0</v>
      </c>
      <c r="B120" s="237"/>
      <c r="C120" s="238">
        <v>400.0</v>
      </c>
      <c r="D120" s="238" t="s">
        <v>3627</v>
      </c>
      <c r="E120" s="238" t="s">
        <v>3538</v>
      </c>
      <c r="F120" s="238" t="s">
        <v>3628</v>
      </c>
      <c r="G120" s="239" t="s">
        <v>3333</v>
      </c>
      <c r="H120" s="240">
        <v>24.0</v>
      </c>
      <c r="I120" s="240">
        <v>11.0</v>
      </c>
      <c r="J120" s="240">
        <v>0.0</v>
      </c>
      <c r="K120" s="240">
        <v>0.0</v>
      </c>
      <c r="L120" s="240">
        <v>0.0</v>
      </c>
      <c r="M120" s="240" t="s">
        <v>3419</v>
      </c>
      <c r="N120" s="240">
        <v>13.0</v>
      </c>
    </row>
    <row r="121">
      <c r="A121" s="215">
        <v>117.0</v>
      </c>
      <c r="B121" s="237"/>
      <c r="C121" s="238">
        <v>400.0</v>
      </c>
      <c r="D121" s="238" t="s">
        <v>3630</v>
      </c>
      <c r="E121" s="238" t="s">
        <v>3538</v>
      </c>
      <c r="F121" s="238" t="s">
        <v>3631</v>
      </c>
      <c r="G121" s="239" t="s">
        <v>3333</v>
      </c>
      <c r="H121" s="240">
        <v>12.0</v>
      </c>
      <c r="I121" s="240">
        <v>6.0</v>
      </c>
      <c r="J121" s="240">
        <v>0.0</v>
      </c>
      <c r="K121" s="240">
        <v>0.0</v>
      </c>
      <c r="L121" s="240">
        <v>0.0</v>
      </c>
      <c r="M121" s="240" t="s">
        <v>3384</v>
      </c>
      <c r="N121" s="240">
        <v>6.0</v>
      </c>
    </row>
    <row r="122">
      <c r="A122" s="215">
        <v>118.0</v>
      </c>
      <c r="B122" s="237"/>
      <c r="C122" s="238">
        <v>400.0</v>
      </c>
      <c r="D122" s="238" t="s">
        <v>3635</v>
      </c>
      <c r="E122" s="238" t="s">
        <v>3538</v>
      </c>
      <c r="F122" s="238" t="s">
        <v>3636</v>
      </c>
      <c r="G122" s="239" t="s">
        <v>3333</v>
      </c>
      <c r="H122" s="240">
        <v>15.0</v>
      </c>
      <c r="I122" s="240">
        <v>1.0</v>
      </c>
      <c r="J122" s="240">
        <v>0.0</v>
      </c>
      <c r="K122" s="240">
        <v>0.0</v>
      </c>
      <c r="L122" s="240">
        <v>0.0</v>
      </c>
      <c r="M122" s="241"/>
      <c r="N122" s="240">
        <v>14.0</v>
      </c>
    </row>
    <row r="123">
      <c r="A123" s="215">
        <v>119.0</v>
      </c>
      <c r="B123" s="237"/>
      <c r="C123" s="238">
        <v>400.0</v>
      </c>
      <c r="D123" s="238" t="s">
        <v>3639</v>
      </c>
      <c r="E123" s="238" t="s">
        <v>3538</v>
      </c>
      <c r="F123" s="238" t="s">
        <v>3641</v>
      </c>
      <c r="G123" s="239" t="s">
        <v>3333</v>
      </c>
      <c r="H123" s="240">
        <v>30.0</v>
      </c>
      <c r="I123" s="240">
        <v>2.0</v>
      </c>
      <c r="J123" s="240">
        <v>0.0</v>
      </c>
      <c r="K123" s="240">
        <v>0.0</v>
      </c>
      <c r="L123" s="240">
        <v>0.0</v>
      </c>
      <c r="M123" s="240" t="s">
        <v>3422</v>
      </c>
      <c r="N123" s="240">
        <v>28.0</v>
      </c>
    </row>
    <row r="124">
      <c r="A124" s="215">
        <v>120.0</v>
      </c>
      <c r="B124" s="237"/>
      <c r="C124" s="238">
        <v>400.0</v>
      </c>
      <c r="D124" s="238" t="s">
        <v>3644</v>
      </c>
      <c r="E124" s="238" t="s">
        <v>3538</v>
      </c>
      <c r="F124" s="238" t="s">
        <v>3645</v>
      </c>
      <c r="G124" s="239" t="s">
        <v>3333</v>
      </c>
      <c r="H124" s="240">
        <v>20.0</v>
      </c>
      <c r="I124" s="240">
        <v>20.0</v>
      </c>
      <c r="J124" s="240">
        <v>0.0</v>
      </c>
      <c r="K124" s="240">
        <v>0.0</v>
      </c>
      <c r="L124" s="240">
        <v>0.0</v>
      </c>
      <c r="M124" s="240" t="s">
        <v>3647</v>
      </c>
      <c r="N124" s="240">
        <v>0.0</v>
      </c>
    </row>
    <row r="125">
      <c r="A125" s="215">
        <v>121.0</v>
      </c>
      <c r="B125" s="237"/>
      <c r="C125" s="238">
        <v>501.0</v>
      </c>
      <c r="D125" s="238">
        <v>8408.0</v>
      </c>
      <c r="E125" s="238" t="s">
        <v>3648</v>
      </c>
      <c r="F125" s="238" t="s">
        <v>3649</v>
      </c>
      <c r="G125" s="239" t="s">
        <v>3333</v>
      </c>
      <c r="H125" s="240">
        <v>20.0</v>
      </c>
      <c r="I125" s="240">
        <v>4.0</v>
      </c>
      <c r="J125" s="240">
        <v>0.0</v>
      </c>
      <c r="K125" s="240">
        <v>0.0</v>
      </c>
      <c r="L125" s="240">
        <v>0.0</v>
      </c>
      <c r="M125" s="240" t="s">
        <v>3650</v>
      </c>
      <c r="N125" s="240">
        <v>16.0</v>
      </c>
    </row>
    <row r="126">
      <c r="A126" s="215">
        <v>122.0</v>
      </c>
      <c r="B126" s="237"/>
      <c r="C126" s="238">
        <v>501.0</v>
      </c>
      <c r="D126" s="238">
        <v>9011.0</v>
      </c>
      <c r="E126" s="238" t="s">
        <v>3648</v>
      </c>
      <c r="F126" s="238" t="s">
        <v>3366</v>
      </c>
      <c r="G126" s="239" t="s">
        <v>3333</v>
      </c>
      <c r="H126" s="240">
        <v>100.0</v>
      </c>
      <c r="I126" s="240">
        <v>64.0</v>
      </c>
      <c r="J126" s="240">
        <v>0.0</v>
      </c>
      <c r="K126" s="240">
        <v>0.0</v>
      </c>
      <c r="L126" s="240">
        <v>0.0</v>
      </c>
      <c r="M126" s="240" t="s">
        <v>3349</v>
      </c>
      <c r="N126" s="240">
        <v>36.0</v>
      </c>
    </row>
    <row r="127">
      <c r="A127" s="215">
        <v>123.0</v>
      </c>
      <c r="B127" s="237"/>
      <c r="C127" s="238">
        <v>501.0</v>
      </c>
      <c r="D127" s="238">
        <v>9015.0</v>
      </c>
      <c r="E127" s="238" t="s">
        <v>3648</v>
      </c>
      <c r="F127" s="238" t="s">
        <v>3409</v>
      </c>
      <c r="G127" s="239" t="s">
        <v>3333</v>
      </c>
      <c r="H127" s="240">
        <v>65.0</v>
      </c>
      <c r="I127" s="240">
        <v>64.0</v>
      </c>
      <c r="J127" s="240">
        <v>0.0</v>
      </c>
      <c r="K127" s="240">
        <v>0.0</v>
      </c>
      <c r="L127" s="240">
        <v>0.0</v>
      </c>
      <c r="M127" s="240" t="s">
        <v>3653</v>
      </c>
      <c r="N127" s="240">
        <v>1.0</v>
      </c>
    </row>
    <row r="128">
      <c r="A128" s="215">
        <v>124.0</v>
      </c>
      <c r="B128" s="237"/>
      <c r="C128" s="238">
        <v>501.0</v>
      </c>
      <c r="D128" s="238">
        <v>9089.0</v>
      </c>
      <c r="E128" s="238" t="s">
        <v>3648</v>
      </c>
      <c r="F128" s="238" t="s">
        <v>3456</v>
      </c>
      <c r="G128" s="239" t="s">
        <v>3333</v>
      </c>
      <c r="H128" s="240">
        <v>39.0</v>
      </c>
      <c r="I128" s="240">
        <v>39.0</v>
      </c>
      <c r="J128" s="240">
        <v>0.0</v>
      </c>
      <c r="K128" s="240">
        <v>0.0</v>
      </c>
      <c r="L128" s="240">
        <v>0.0</v>
      </c>
      <c r="M128" s="240" t="s">
        <v>3654</v>
      </c>
      <c r="N128" s="240">
        <v>0.0</v>
      </c>
    </row>
    <row r="129">
      <c r="A129" s="215">
        <v>125.0</v>
      </c>
      <c r="B129" s="237"/>
      <c r="C129" s="238">
        <v>501.0</v>
      </c>
      <c r="D129" s="238">
        <v>9099.0</v>
      </c>
      <c r="E129" s="238" t="s">
        <v>3648</v>
      </c>
      <c r="F129" s="238" t="s">
        <v>3463</v>
      </c>
      <c r="G129" s="239" t="s">
        <v>3333</v>
      </c>
      <c r="H129" s="240">
        <v>20.0</v>
      </c>
      <c r="I129" s="240">
        <v>4.0</v>
      </c>
      <c r="J129" s="240">
        <v>0.0</v>
      </c>
      <c r="K129" s="240">
        <v>0.0</v>
      </c>
      <c r="L129" s="240">
        <v>0.0</v>
      </c>
      <c r="M129" s="240" t="s">
        <v>3422</v>
      </c>
      <c r="N129" s="240">
        <v>16.0</v>
      </c>
    </row>
    <row r="130">
      <c r="A130" s="215">
        <v>126.0</v>
      </c>
      <c r="B130" s="237"/>
      <c r="C130" s="238">
        <v>501.0</v>
      </c>
      <c r="D130" s="238">
        <v>9104.0</v>
      </c>
      <c r="E130" s="238" t="s">
        <v>3648</v>
      </c>
      <c r="F130" s="238" t="s">
        <v>3466</v>
      </c>
      <c r="G130" s="239" t="s">
        <v>3333</v>
      </c>
      <c r="H130" s="240">
        <v>57.0</v>
      </c>
      <c r="I130" s="240">
        <v>57.0</v>
      </c>
      <c r="J130" s="240">
        <v>0.0</v>
      </c>
      <c r="K130" s="240">
        <v>0.0</v>
      </c>
      <c r="L130" s="240">
        <v>0.0</v>
      </c>
      <c r="M130" s="240" t="s">
        <v>3655</v>
      </c>
      <c r="N130" s="240">
        <v>0.0</v>
      </c>
    </row>
    <row r="131">
      <c r="A131" s="215">
        <v>127.0</v>
      </c>
      <c r="B131" s="237"/>
      <c r="C131" s="238">
        <v>501.0</v>
      </c>
      <c r="D131" s="238">
        <v>9113.0</v>
      </c>
      <c r="E131" s="238" t="s">
        <v>3648</v>
      </c>
      <c r="F131" s="238" t="s">
        <v>3469</v>
      </c>
      <c r="G131" s="239" t="s">
        <v>3333</v>
      </c>
      <c r="H131" s="240">
        <v>34.0</v>
      </c>
      <c r="I131" s="240">
        <v>33.0</v>
      </c>
      <c r="J131" s="240">
        <v>0.0</v>
      </c>
      <c r="K131" s="240">
        <v>0.0</v>
      </c>
      <c r="L131" s="240">
        <v>0.0</v>
      </c>
      <c r="M131" s="240" t="s">
        <v>3590</v>
      </c>
      <c r="N131" s="240">
        <v>1.0</v>
      </c>
    </row>
    <row r="132">
      <c r="A132" s="215">
        <v>128.0</v>
      </c>
      <c r="B132" s="237"/>
      <c r="C132" s="238">
        <v>501.0</v>
      </c>
      <c r="D132" s="238">
        <v>9119.0</v>
      </c>
      <c r="E132" s="238" t="s">
        <v>3648</v>
      </c>
      <c r="F132" s="238" t="s">
        <v>3417</v>
      </c>
      <c r="G132" s="239" t="s">
        <v>3333</v>
      </c>
      <c r="H132" s="240">
        <v>156.0</v>
      </c>
      <c r="I132" s="240">
        <v>156.0</v>
      </c>
      <c r="J132" s="240">
        <v>0.0</v>
      </c>
      <c r="K132" s="240">
        <v>0.0</v>
      </c>
      <c r="L132" s="240">
        <v>0.0</v>
      </c>
      <c r="M132" s="240" t="s">
        <v>3658</v>
      </c>
      <c r="N132" s="240">
        <v>0.0</v>
      </c>
    </row>
    <row r="133">
      <c r="A133" s="215">
        <v>129.0</v>
      </c>
      <c r="B133" s="237"/>
      <c r="C133" s="238">
        <v>501.0</v>
      </c>
      <c r="D133" s="238">
        <v>9123.0</v>
      </c>
      <c r="E133" s="238" t="s">
        <v>3648</v>
      </c>
      <c r="F133" s="238" t="s">
        <v>3471</v>
      </c>
      <c r="G133" s="239" t="s">
        <v>3333</v>
      </c>
      <c r="H133" s="240">
        <v>109.0</v>
      </c>
      <c r="I133" s="240">
        <v>109.0</v>
      </c>
      <c r="J133" s="240">
        <v>0.0</v>
      </c>
      <c r="K133" s="240">
        <v>0.0</v>
      </c>
      <c r="L133" s="240">
        <v>0.0</v>
      </c>
      <c r="M133" s="240" t="s">
        <v>3662</v>
      </c>
      <c r="N133" s="240">
        <v>0.0</v>
      </c>
    </row>
    <row r="134">
      <c r="A134" s="215">
        <v>130.0</v>
      </c>
      <c r="B134" s="237"/>
      <c r="C134" s="238">
        <v>501.0</v>
      </c>
      <c r="D134" s="238">
        <v>9125.0</v>
      </c>
      <c r="E134" s="238" t="s">
        <v>3648</v>
      </c>
      <c r="F134" s="238" t="s">
        <v>3475</v>
      </c>
      <c r="G134" s="239" t="s">
        <v>3333</v>
      </c>
      <c r="H134" s="240">
        <v>29.0</v>
      </c>
      <c r="I134" s="240">
        <v>27.0</v>
      </c>
      <c r="J134" s="240">
        <v>0.0</v>
      </c>
      <c r="K134" s="240">
        <v>0.0</v>
      </c>
      <c r="L134" s="240">
        <v>0.0</v>
      </c>
      <c r="M134" s="240" t="s">
        <v>3666</v>
      </c>
      <c r="N134" s="240">
        <v>2.0</v>
      </c>
    </row>
    <row r="135">
      <c r="A135" s="215">
        <v>131.0</v>
      </c>
      <c r="B135" s="237"/>
      <c r="C135" s="238">
        <v>501.0</v>
      </c>
      <c r="D135" s="238">
        <v>9141.0</v>
      </c>
      <c r="E135" s="238" t="s">
        <v>3648</v>
      </c>
      <c r="F135" s="238" t="s">
        <v>3476</v>
      </c>
      <c r="G135" s="239" t="s">
        <v>3333</v>
      </c>
      <c r="H135" s="240">
        <v>23.0</v>
      </c>
      <c r="I135" s="240">
        <v>14.0</v>
      </c>
      <c r="J135" s="240">
        <v>0.0</v>
      </c>
      <c r="K135" s="240">
        <v>0.0</v>
      </c>
      <c r="L135" s="240">
        <v>0.0</v>
      </c>
      <c r="M135" s="240" t="s">
        <v>3668</v>
      </c>
      <c r="N135" s="240">
        <v>9.0</v>
      </c>
    </row>
    <row r="136">
      <c r="A136" s="215">
        <v>132.0</v>
      </c>
      <c r="B136" s="237"/>
      <c r="C136" s="238">
        <v>501.0</v>
      </c>
      <c r="D136" s="238">
        <v>9146.0</v>
      </c>
      <c r="E136" s="238" t="s">
        <v>3648</v>
      </c>
      <c r="F136" s="238" t="s">
        <v>3478</v>
      </c>
      <c r="G136" s="239" t="s">
        <v>3333</v>
      </c>
      <c r="H136" s="240">
        <v>30.0</v>
      </c>
      <c r="I136" s="240">
        <v>4.0</v>
      </c>
      <c r="J136" s="240">
        <v>0.0</v>
      </c>
      <c r="K136" s="240">
        <v>0.0</v>
      </c>
      <c r="L136" s="240">
        <v>0.0</v>
      </c>
      <c r="M136" s="240" t="s">
        <v>3433</v>
      </c>
      <c r="N136" s="240">
        <v>26.0</v>
      </c>
    </row>
    <row r="137">
      <c r="A137" s="215">
        <v>133.0</v>
      </c>
      <c r="B137" s="237"/>
      <c r="C137" s="238">
        <v>501.0</v>
      </c>
      <c r="D137" s="238">
        <v>9209.0</v>
      </c>
      <c r="E137" s="238" t="s">
        <v>3648</v>
      </c>
      <c r="F137" s="238" t="s">
        <v>3494</v>
      </c>
      <c r="G137" s="239" t="s">
        <v>3333</v>
      </c>
      <c r="H137" s="240">
        <v>40.0</v>
      </c>
      <c r="I137" s="240">
        <v>40.0</v>
      </c>
      <c r="J137" s="240">
        <v>0.0</v>
      </c>
      <c r="K137" s="240">
        <v>0.0</v>
      </c>
      <c r="L137" s="240">
        <v>0.0</v>
      </c>
      <c r="M137" s="240" t="s">
        <v>3671</v>
      </c>
      <c r="N137" s="240">
        <v>0.0</v>
      </c>
    </row>
    <row r="138">
      <c r="A138" s="215">
        <v>134.0</v>
      </c>
      <c r="B138" s="237"/>
      <c r="C138" s="238">
        <v>501.0</v>
      </c>
      <c r="D138" s="238">
        <v>9223.0</v>
      </c>
      <c r="E138" s="238" t="s">
        <v>3648</v>
      </c>
      <c r="F138" s="238" t="s">
        <v>3497</v>
      </c>
      <c r="G138" s="239" t="s">
        <v>3333</v>
      </c>
      <c r="H138" s="240">
        <v>20.0</v>
      </c>
      <c r="I138" s="240">
        <v>4.0</v>
      </c>
      <c r="J138" s="240">
        <v>0.0</v>
      </c>
      <c r="K138" s="240">
        <v>0.0</v>
      </c>
      <c r="L138" s="240">
        <v>0.0</v>
      </c>
      <c r="M138" s="240" t="s">
        <v>3578</v>
      </c>
      <c r="N138" s="240">
        <v>16.0</v>
      </c>
    </row>
    <row r="139">
      <c r="A139" s="215">
        <v>135.0</v>
      </c>
      <c r="B139" s="237"/>
      <c r="C139" s="238">
        <v>501.0</v>
      </c>
      <c r="D139" s="238">
        <v>9257.0</v>
      </c>
      <c r="E139" s="238" t="s">
        <v>3648</v>
      </c>
      <c r="F139" s="238" t="s">
        <v>3602</v>
      </c>
      <c r="G139" s="239" t="s">
        <v>3425</v>
      </c>
      <c r="H139" s="240">
        <v>61.0</v>
      </c>
      <c r="I139" s="240">
        <v>61.0</v>
      </c>
      <c r="J139" s="240">
        <v>0.0</v>
      </c>
      <c r="K139" s="240">
        <v>0.0</v>
      </c>
      <c r="L139" s="240">
        <v>0.0</v>
      </c>
      <c r="M139" s="240" t="s">
        <v>3673</v>
      </c>
      <c r="N139" s="240">
        <v>0.0</v>
      </c>
    </row>
    <row r="140">
      <c r="A140" s="215">
        <v>136.0</v>
      </c>
      <c r="B140" s="237"/>
      <c r="C140" s="238">
        <v>501.0</v>
      </c>
      <c r="D140" s="238">
        <v>9448.0</v>
      </c>
      <c r="E140" s="238" t="s">
        <v>3648</v>
      </c>
      <c r="F140" s="238" t="s">
        <v>3674</v>
      </c>
      <c r="G140" s="239" t="s">
        <v>3333</v>
      </c>
      <c r="H140" s="240">
        <v>47.0</v>
      </c>
      <c r="I140" s="240">
        <v>47.0</v>
      </c>
      <c r="J140" s="240">
        <v>0.0</v>
      </c>
      <c r="K140" s="240">
        <v>3.0</v>
      </c>
      <c r="L140" s="240">
        <v>3.0</v>
      </c>
      <c r="M140" s="240" t="s">
        <v>3410</v>
      </c>
      <c r="N140" s="240">
        <v>0.0</v>
      </c>
    </row>
    <row r="141">
      <c r="A141" s="215">
        <v>137.0</v>
      </c>
      <c r="B141" s="237"/>
      <c r="C141" s="238">
        <v>501.0</v>
      </c>
      <c r="D141" s="238">
        <v>9455.0</v>
      </c>
      <c r="E141" s="238" t="s">
        <v>3648</v>
      </c>
      <c r="F141" s="238" t="s">
        <v>3502</v>
      </c>
      <c r="G141" s="239" t="s">
        <v>3333</v>
      </c>
      <c r="H141" s="240">
        <v>64.0</v>
      </c>
      <c r="I141" s="240">
        <v>64.0</v>
      </c>
      <c r="J141" s="240">
        <v>0.0</v>
      </c>
      <c r="K141" s="240">
        <v>0.0</v>
      </c>
      <c r="L141" s="240">
        <v>0.0</v>
      </c>
      <c r="M141" s="240" t="s">
        <v>3675</v>
      </c>
      <c r="N141" s="240">
        <v>0.0</v>
      </c>
    </row>
    <row r="142">
      <c r="A142" s="215">
        <v>138.0</v>
      </c>
      <c r="B142" s="237"/>
      <c r="C142" s="238">
        <v>501.0</v>
      </c>
      <c r="D142" s="238">
        <v>9891.0</v>
      </c>
      <c r="E142" s="238" t="s">
        <v>3648</v>
      </c>
      <c r="F142" s="238" t="s">
        <v>3676</v>
      </c>
      <c r="G142" s="239" t="s">
        <v>3333</v>
      </c>
      <c r="H142" s="240">
        <v>77.0</v>
      </c>
      <c r="I142" s="240">
        <v>77.0</v>
      </c>
      <c r="J142" s="240">
        <v>0.0</v>
      </c>
      <c r="K142" s="240">
        <v>0.0</v>
      </c>
      <c r="L142" s="240">
        <v>0.0</v>
      </c>
      <c r="M142" s="240" t="s">
        <v>3677</v>
      </c>
      <c r="N142" s="240">
        <v>0.0</v>
      </c>
    </row>
    <row r="143">
      <c r="A143" s="215">
        <v>139.0</v>
      </c>
      <c r="B143" s="237"/>
      <c r="C143" s="238">
        <v>501.0</v>
      </c>
      <c r="D143" s="238" t="s">
        <v>3521</v>
      </c>
      <c r="E143" s="238" t="s">
        <v>3648</v>
      </c>
      <c r="F143" s="238" t="s">
        <v>3522</v>
      </c>
      <c r="G143" s="239" t="s">
        <v>3333</v>
      </c>
      <c r="H143" s="240">
        <v>92.0</v>
      </c>
      <c r="I143" s="240">
        <v>74.0</v>
      </c>
      <c r="J143" s="240">
        <v>0.0</v>
      </c>
      <c r="K143" s="240">
        <v>0.0</v>
      </c>
      <c r="L143" s="240">
        <v>0.0</v>
      </c>
      <c r="M143" s="240" t="s">
        <v>3679</v>
      </c>
      <c r="N143" s="240">
        <v>18.0</v>
      </c>
    </row>
    <row r="144">
      <c r="A144" s="215">
        <v>140.0</v>
      </c>
      <c r="B144" s="237"/>
      <c r="C144" s="238">
        <v>501.0</v>
      </c>
      <c r="D144" s="238" t="s">
        <v>3627</v>
      </c>
      <c r="E144" s="238" t="s">
        <v>3648</v>
      </c>
      <c r="F144" s="238" t="s">
        <v>3628</v>
      </c>
      <c r="G144" s="239" t="s">
        <v>3333</v>
      </c>
      <c r="H144" s="240">
        <v>40.0</v>
      </c>
      <c r="I144" s="240">
        <v>40.0</v>
      </c>
      <c r="J144" s="240">
        <v>0.0</v>
      </c>
      <c r="K144" s="240">
        <v>0.0</v>
      </c>
      <c r="L144" s="240">
        <v>0.0</v>
      </c>
      <c r="M144" s="240" t="s">
        <v>3683</v>
      </c>
      <c r="N144" s="240">
        <v>0.0</v>
      </c>
    </row>
    <row r="145">
      <c r="A145" s="215">
        <v>141.0</v>
      </c>
      <c r="B145" s="237"/>
      <c r="C145" s="238">
        <v>501.0</v>
      </c>
      <c r="D145" s="238" t="s">
        <v>3685</v>
      </c>
      <c r="E145" s="238" t="s">
        <v>3648</v>
      </c>
      <c r="F145" s="238" t="s">
        <v>3687</v>
      </c>
      <c r="G145" s="239" t="s">
        <v>3333</v>
      </c>
      <c r="H145" s="240">
        <v>60.0</v>
      </c>
      <c r="I145" s="240">
        <v>9.0</v>
      </c>
      <c r="J145" s="240">
        <v>0.0</v>
      </c>
      <c r="K145" s="240">
        <v>1.0</v>
      </c>
      <c r="L145" s="240">
        <v>0.0</v>
      </c>
      <c r="M145" s="240" t="s">
        <v>3689</v>
      </c>
      <c r="N145" s="240">
        <v>50.0</v>
      </c>
    </row>
    <row r="146">
      <c r="A146" s="215">
        <v>142.0</v>
      </c>
      <c r="B146" s="237"/>
      <c r="C146" s="238">
        <v>502.0</v>
      </c>
      <c r="D146" s="238">
        <v>9002.0</v>
      </c>
      <c r="E146" s="238" t="s">
        <v>3691</v>
      </c>
      <c r="F146" s="238" t="s">
        <v>3443</v>
      </c>
      <c r="G146" s="239" t="s">
        <v>3333</v>
      </c>
      <c r="H146" s="240">
        <v>41.0</v>
      </c>
      <c r="I146" s="240">
        <v>41.0</v>
      </c>
      <c r="J146" s="240">
        <v>0.0</v>
      </c>
      <c r="K146" s="240">
        <v>2.0</v>
      </c>
      <c r="L146" s="240">
        <v>2.0</v>
      </c>
      <c r="M146" s="240" t="s">
        <v>3616</v>
      </c>
      <c r="N146" s="240">
        <v>0.0</v>
      </c>
    </row>
    <row r="147">
      <c r="A147" s="215">
        <v>143.0</v>
      </c>
      <c r="B147" s="237"/>
      <c r="C147" s="238">
        <v>502.0</v>
      </c>
      <c r="D147" s="238">
        <v>9078.0</v>
      </c>
      <c r="E147" s="238" t="s">
        <v>3691</v>
      </c>
      <c r="F147" s="238" t="s">
        <v>3694</v>
      </c>
      <c r="G147" s="239" t="s">
        <v>3333</v>
      </c>
      <c r="H147" s="240">
        <v>340.0</v>
      </c>
      <c r="I147" s="240">
        <v>340.0</v>
      </c>
      <c r="J147" s="240">
        <v>0.0</v>
      </c>
      <c r="K147" s="240">
        <v>0.0</v>
      </c>
      <c r="L147" s="240">
        <v>0.0</v>
      </c>
      <c r="M147" s="240" t="s">
        <v>3695</v>
      </c>
      <c r="N147" s="240">
        <v>0.0</v>
      </c>
    </row>
    <row r="148">
      <c r="A148" s="215">
        <v>144.0</v>
      </c>
      <c r="B148" s="237"/>
      <c r="C148" s="238">
        <v>503.0</v>
      </c>
      <c r="D148" s="238">
        <v>9081.0</v>
      </c>
      <c r="E148" s="238" t="s">
        <v>3696</v>
      </c>
      <c r="F148" s="238" t="s">
        <v>3379</v>
      </c>
      <c r="G148" s="239" t="s">
        <v>3333</v>
      </c>
      <c r="H148" s="240">
        <v>151.0</v>
      </c>
      <c r="I148" s="240">
        <v>151.0</v>
      </c>
      <c r="J148" s="240">
        <v>0.0</v>
      </c>
      <c r="K148" s="240">
        <v>0.0</v>
      </c>
      <c r="L148" s="240">
        <v>0.0</v>
      </c>
      <c r="M148" s="240" t="s">
        <v>3493</v>
      </c>
      <c r="N148" s="240">
        <v>0.0</v>
      </c>
    </row>
    <row r="149">
      <c r="A149" s="215">
        <v>145.0</v>
      </c>
      <c r="B149" s="237"/>
      <c r="C149" s="238">
        <v>503.0</v>
      </c>
      <c r="D149" s="238">
        <v>9147.0</v>
      </c>
      <c r="E149" s="238" t="s">
        <v>3696</v>
      </c>
      <c r="F149" s="238" t="s">
        <v>3381</v>
      </c>
      <c r="G149" s="239" t="s">
        <v>3333</v>
      </c>
      <c r="H149" s="240">
        <v>90.0</v>
      </c>
      <c r="I149" s="240">
        <v>90.0</v>
      </c>
      <c r="J149" s="240">
        <v>0.0</v>
      </c>
      <c r="K149" s="240">
        <v>0.0</v>
      </c>
      <c r="L149" s="240">
        <v>0.0</v>
      </c>
      <c r="M149" s="240" t="s">
        <v>3699</v>
      </c>
      <c r="N149" s="240">
        <v>0.0</v>
      </c>
    </row>
    <row r="150">
      <c r="A150" s="215">
        <v>146.0</v>
      </c>
      <c r="B150" s="237"/>
      <c r="C150" s="238">
        <v>503.0</v>
      </c>
      <c r="D150" s="238">
        <v>9229.0</v>
      </c>
      <c r="E150" s="238" t="s">
        <v>3696</v>
      </c>
      <c r="F150" s="238" t="s">
        <v>3700</v>
      </c>
      <c r="G150" s="239" t="s">
        <v>3333</v>
      </c>
      <c r="H150" s="240">
        <v>53.0</v>
      </c>
      <c r="I150" s="240">
        <v>53.0</v>
      </c>
      <c r="J150" s="240">
        <v>0.0</v>
      </c>
      <c r="K150" s="240">
        <v>0.0</v>
      </c>
      <c r="L150" s="240">
        <v>0.0</v>
      </c>
      <c r="M150" s="240" t="s">
        <v>3701</v>
      </c>
      <c r="N150" s="240">
        <v>0.0</v>
      </c>
    </row>
    <row r="151">
      <c r="A151" s="215">
        <v>147.0</v>
      </c>
      <c r="B151" s="237"/>
      <c r="C151" s="238">
        <v>503.0</v>
      </c>
      <c r="D151" s="238">
        <v>9240.0</v>
      </c>
      <c r="E151" s="238" t="s">
        <v>3696</v>
      </c>
      <c r="F151" s="238" t="s">
        <v>3346</v>
      </c>
      <c r="G151" s="239" t="s">
        <v>3333</v>
      </c>
      <c r="H151" s="240">
        <v>40.0</v>
      </c>
      <c r="I151" s="240">
        <v>40.0</v>
      </c>
      <c r="J151" s="240">
        <v>0.0</v>
      </c>
      <c r="K151" s="240">
        <v>0.0</v>
      </c>
      <c r="L151" s="240">
        <v>0.0</v>
      </c>
      <c r="M151" s="240" t="s">
        <v>3702</v>
      </c>
      <c r="N151" s="240">
        <v>0.0</v>
      </c>
    </row>
    <row r="152">
      <c r="A152" s="215">
        <v>148.0</v>
      </c>
      <c r="B152" s="237"/>
      <c r="C152" s="238">
        <v>504.0</v>
      </c>
      <c r="D152" s="238">
        <v>9494.0</v>
      </c>
      <c r="E152" s="238" t="s">
        <v>3703</v>
      </c>
      <c r="F152" s="238" t="s">
        <v>3424</v>
      </c>
      <c r="G152" s="239" t="s">
        <v>3425</v>
      </c>
      <c r="H152" s="240">
        <v>212.0</v>
      </c>
      <c r="I152" s="240">
        <v>212.0</v>
      </c>
      <c r="J152" s="240">
        <v>0.0</v>
      </c>
      <c r="K152" s="240">
        <v>0.0</v>
      </c>
      <c r="L152" s="240">
        <v>0.0</v>
      </c>
      <c r="M152" s="240" t="s">
        <v>3704</v>
      </c>
      <c r="N152" s="240">
        <v>0.0</v>
      </c>
    </row>
    <row r="153">
      <c r="A153" s="215">
        <v>149.0</v>
      </c>
      <c r="B153" s="237"/>
      <c r="C153" s="238">
        <v>504.0</v>
      </c>
      <c r="D153" s="238">
        <v>9819.0</v>
      </c>
      <c r="E153" s="238" t="s">
        <v>3703</v>
      </c>
      <c r="F153" s="238" t="s">
        <v>3705</v>
      </c>
      <c r="G153" s="239" t="s">
        <v>3333</v>
      </c>
      <c r="H153" s="240">
        <v>27.0</v>
      </c>
      <c r="I153" s="240">
        <v>20.0</v>
      </c>
      <c r="J153" s="240">
        <v>0.0</v>
      </c>
      <c r="K153" s="240">
        <v>0.0</v>
      </c>
      <c r="L153" s="240">
        <v>0.0</v>
      </c>
      <c r="M153" s="240" t="s">
        <v>3707</v>
      </c>
      <c r="N153" s="240">
        <v>7.0</v>
      </c>
    </row>
    <row r="154">
      <c r="A154" s="215">
        <v>150.0</v>
      </c>
      <c r="B154" s="237"/>
      <c r="C154" s="238">
        <v>504.0</v>
      </c>
      <c r="D154" s="238">
        <v>9832.0</v>
      </c>
      <c r="E154" s="238" t="s">
        <v>3703</v>
      </c>
      <c r="F154" s="238" t="s">
        <v>3708</v>
      </c>
      <c r="G154" s="239" t="s">
        <v>3333</v>
      </c>
      <c r="H154" s="240">
        <v>30.0</v>
      </c>
      <c r="I154" s="240">
        <v>26.0</v>
      </c>
      <c r="J154" s="240">
        <v>0.0</v>
      </c>
      <c r="K154" s="240">
        <v>0.0</v>
      </c>
      <c r="L154" s="240">
        <v>0.0</v>
      </c>
      <c r="M154" s="240" t="s">
        <v>3414</v>
      </c>
      <c r="N154" s="240">
        <v>4.0</v>
      </c>
    </row>
    <row r="155">
      <c r="A155" s="215">
        <v>151.0</v>
      </c>
      <c r="B155" s="237"/>
      <c r="C155" s="238">
        <v>505.0</v>
      </c>
      <c r="D155" s="238">
        <v>8393.0</v>
      </c>
      <c r="E155" s="238" t="s">
        <v>3711</v>
      </c>
      <c r="F155" s="238" t="s">
        <v>3712</v>
      </c>
      <c r="G155" s="239" t="s">
        <v>3333</v>
      </c>
      <c r="H155" s="240">
        <v>36.0</v>
      </c>
      <c r="I155" s="240">
        <v>36.0</v>
      </c>
      <c r="J155" s="240">
        <v>0.0</v>
      </c>
      <c r="K155" s="240">
        <v>0.0</v>
      </c>
      <c r="L155" s="240">
        <v>0.0</v>
      </c>
      <c r="M155" s="240" t="s">
        <v>3380</v>
      </c>
      <c r="N155" s="240">
        <v>0.0</v>
      </c>
    </row>
    <row r="156">
      <c r="A156" s="215">
        <v>152.0</v>
      </c>
      <c r="B156" s="237"/>
      <c r="C156" s="238">
        <v>505.0</v>
      </c>
      <c r="D156" s="238">
        <v>9006.0</v>
      </c>
      <c r="E156" s="238" t="s">
        <v>3711</v>
      </c>
      <c r="F156" s="238" t="s">
        <v>3717</v>
      </c>
      <c r="G156" s="239" t="s">
        <v>3333</v>
      </c>
      <c r="H156" s="240">
        <v>26.0</v>
      </c>
      <c r="I156" s="240">
        <v>26.0</v>
      </c>
      <c r="J156" s="240">
        <v>0.0</v>
      </c>
      <c r="K156" s="240">
        <v>0.0</v>
      </c>
      <c r="L156" s="240">
        <v>0.0</v>
      </c>
      <c r="M156" s="240" t="s">
        <v>3668</v>
      </c>
      <c r="N156" s="240">
        <v>0.0</v>
      </c>
    </row>
    <row r="157">
      <c r="A157" s="215">
        <v>153.0</v>
      </c>
      <c r="B157" s="237"/>
      <c r="C157" s="238">
        <v>505.0</v>
      </c>
      <c r="D157" s="238">
        <v>9132.0</v>
      </c>
      <c r="E157" s="238" t="s">
        <v>3711</v>
      </c>
      <c r="F157" s="238" t="s">
        <v>3720</v>
      </c>
      <c r="G157" s="239" t="s">
        <v>3333</v>
      </c>
      <c r="H157" s="240">
        <v>38.0</v>
      </c>
      <c r="I157" s="240">
        <v>38.0</v>
      </c>
      <c r="J157" s="240">
        <v>0.0</v>
      </c>
      <c r="K157" s="240">
        <v>0.0</v>
      </c>
      <c r="L157" s="240">
        <v>0.0</v>
      </c>
      <c r="M157" s="240" t="s">
        <v>3526</v>
      </c>
      <c r="N157" s="240">
        <v>0.0</v>
      </c>
    </row>
    <row r="158">
      <c r="A158" s="215">
        <v>154.0</v>
      </c>
      <c r="B158" s="237"/>
      <c r="C158" s="238">
        <v>505.0</v>
      </c>
      <c r="D158" s="238">
        <v>9133.0</v>
      </c>
      <c r="E158" s="238" t="s">
        <v>3711</v>
      </c>
      <c r="F158" s="238" t="s">
        <v>3722</v>
      </c>
      <c r="G158" s="239" t="s">
        <v>3333</v>
      </c>
      <c r="H158" s="240">
        <v>21.0</v>
      </c>
      <c r="I158" s="240">
        <v>21.0</v>
      </c>
      <c r="J158" s="240">
        <v>0.0</v>
      </c>
      <c r="K158" s="240">
        <v>0.0</v>
      </c>
      <c r="L158" s="240">
        <v>0.0</v>
      </c>
      <c r="M158" s="240" t="s">
        <v>3723</v>
      </c>
      <c r="N158" s="240">
        <v>0.0</v>
      </c>
    </row>
    <row r="159">
      <c r="A159" s="215">
        <v>155.0</v>
      </c>
      <c r="B159" s="237"/>
      <c r="C159" s="238">
        <v>505.0</v>
      </c>
      <c r="D159" s="238">
        <v>9135.0</v>
      </c>
      <c r="E159" s="238" t="s">
        <v>3711</v>
      </c>
      <c r="F159" s="238" t="s">
        <v>3338</v>
      </c>
      <c r="G159" s="239" t="s">
        <v>3333</v>
      </c>
      <c r="H159" s="240">
        <v>35.0</v>
      </c>
      <c r="I159" s="240">
        <v>35.0</v>
      </c>
      <c r="J159" s="240">
        <v>0.0</v>
      </c>
      <c r="K159" s="240">
        <v>0.0</v>
      </c>
      <c r="L159" s="240">
        <v>0.0</v>
      </c>
      <c r="M159" s="240" t="s">
        <v>3724</v>
      </c>
      <c r="N159" s="240">
        <v>0.0</v>
      </c>
    </row>
    <row r="160">
      <c r="A160" s="215">
        <v>156.0</v>
      </c>
      <c r="B160" s="237"/>
      <c r="C160" s="238">
        <v>505.0</v>
      </c>
      <c r="D160" s="238">
        <v>9139.0</v>
      </c>
      <c r="E160" s="238" t="s">
        <v>3711</v>
      </c>
      <c r="F160" s="238" t="s">
        <v>3592</v>
      </c>
      <c r="G160" s="239" t="s">
        <v>3333</v>
      </c>
      <c r="H160" s="240">
        <v>27.0</v>
      </c>
      <c r="I160" s="240">
        <v>27.0</v>
      </c>
      <c r="J160" s="240">
        <v>0.0</v>
      </c>
      <c r="K160" s="240">
        <v>0.0</v>
      </c>
      <c r="L160" s="240">
        <v>0.0</v>
      </c>
      <c r="M160" s="240" t="s">
        <v>3498</v>
      </c>
      <c r="N160" s="240">
        <v>0.0</v>
      </c>
    </row>
    <row r="161">
      <c r="A161" s="215">
        <v>157.0</v>
      </c>
      <c r="B161" s="237"/>
      <c r="C161" s="238">
        <v>505.0</v>
      </c>
      <c r="D161" s="238">
        <v>9143.0</v>
      </c>
      <c r="E161" s="238" t="s">
        <v>3711</v>
      </c>
      <c r="F161" s="238" t="s">
        <v>3727</v>
      </c>
      <c r="G161" s="239" t="s">
        <v>3333</v>
      </c>
      <c r="H161" s="240">
        <v>69.0</v>
      </c>
      <c r="I161" s="240">
        <v>69.0</v>
      </c>
      <c r="J161" s="240">
        <v>0.0</v>
      </c>
      <c r="K161" s="240">
        <v>2.0</v>
      </c>
      <c r="L161" s="240">
        <v>2.0</v>
      </c>
      <c r="M161" s="240" t="s">
        <v>3728</v>
      </c>
      <c r="N161" s="240">
        <v>0.0</v>
      </c>
    </row>
    <row r="162">
      <c r="A162" s="215">
        <v>158.0</v>
      </c>
      <c r="B162" s="237"/>
      <c r="C162" s="238">
        <v>505.0</v>
      </c>
      <c r="D162" s="238">
        <v>9181.0</v>
      </c>
      <c r="E162" s="238" t="s">
        <v>3711</v>
      </c>
      <c r="F162" s="238" t="s">
        <v>3340</v>
      </c>
      <c r="G162" s="239" t="s">
        <v>3333</v>
      </c>
      <c r="H162" s="240">
        <v>63.0</v>
      </c>
      <c r="I162" s="240">
        <v>63.0</v>
      </c>
      <c r="J162" s="240">
        <v>0.0</v>
      </c>
      <c r="K162" s="240">
        <v>0.0</v>
      </c>
      <c r="L162" s="240">
        <v>0.0</v>
      </c>
      <c r="M162" s="240" t="s">
        <v>3547</v>
      </c>
      <c r="N162" s="240">
        <v>0.0</v>
      </c>
    </row>
    <row r="163">
      <c r="A163" s="215">
        <v>159.0</v>
      </c>
      <c r="B163" s="237"/>
      <c r="C163" s="238">
        <v>505.0</v>
      </c>
      <c r="D163" s="238">
        <v>9182.0</v>
      </c>
      <c r="E163" s="238" t="s">
        <v>3711</v>
      </c>
      <c r="F163" s="238" t="s">
        <v>3730</v>
      </c>
      <c r="G163" s="239" t="s">
        <v>3333</v>
      </c>
      <c r="H163" s="240">
        <v>24.0</v>
      </c>
      <c r="I163" s="240">
        <v>24.0</v>
      </c>
      <c r="J163" s="240">
        <v>0.0</v>
      </c>
      <c r="K163" s="240">
        <v>1.0</v>
      </c>
      <c r="L163" s="240">
        <v>1.0</v>
      </c>
      <c r="M163" s="240" t="s">
        <v>3731</v>
      </c>
      <c r="N163" s="240">
        <v>0.0</v>
      </c>
    </row>
    <row r="164">
      <c r="A164" s="215">
        <v>160.0</v>
      </c>
      <c r="B164" s="237"/>
      <c r="C164" s="238">
        <v>505.0</v>
      </c>
      <c r="D164" s="238">
        <v>9694.0</v>
      </c>
      <c r="E164" s="238" t="s">
        <v>3711</v>
      </c>
      <c r="F164" s="238" t="s">
        <v>3732</v>
      </c>
      <c r="G164" s="239" t="s">
        <v>3333</v>
      </c>
      <c r="H164" s="240">
        <v>29.0</v>
      </c>
      <c r="I164" s="240">
        <v>29.0</v>
      </c>
      <c r="J164" s="240">
        <v>0.0</v>
      </c>
      <c r="K164" s="240">
        <v>0.0</v>
      </c>
      <c r="L164" s="240">
        <v>0.0</v>
      </c>
      <c r="M164" s="240" t="s">
        <v>3734</v>
      </c>
      <c r="N164" s="240">
        <v>0.0</v>
      </c>
    </row>
    <row r="165">
      <c r="A165" s="215">
        <v>161.0</v>
      </c>
      <c r="B165" s="237"/>
      <c r="C165" s="238">
        <v>505.0</v>
      </c>
      <c r="D165" s="238">
        <v>9773.0</v>
      </c>
      <c r="E165" s="238" t="s">
        <v>3711</v>
      </c>
      <c r="F165" s="238" t="s">
        <v>3735</v>
      </c>
      <c r="G165" s="239" t="s">
        <v>3333</v>
      </c>
      <c r="H165" s="240">
        <v>52.0</v>
      </c>
      <c r="I165" s="240">
        <v>52.0</v>
      </c>
      <c r="J165" s="240">
        <v>0.0</v>
      </c>
      <c r="K165" s="240">
        <v>0.0</v>
      </c>
      <c r="L165" s="240">
        <v>0.0</v>
      </c>
      <c r="M165" s="240" t="s">
        <v>3737</v>
      </c>
      <c r="N165" s="240">
        <v>0.0</v>
      </c>
    </row>
    <row r="166">
      <c r="A166" s="215">
        <v>162.0</v>
      </c>
      <c r="B166" s="237"/>
      <c r="C166" s="238">
        <v>505.0</v>
      </c>
      <c r="D166" s="238">
        <v>9779.0</v>
      </c>
      <c r="E166" s="238" t="s">
        <v>3711</v>
      </c>
      <c r="F166" s="238" t="s">
        <v>3740</v>
      </c>
      <c r="G166" s="239" t="s">
        <v>3333</v>
      </c>
      <c r="H166" s="240">
        <v>84.0</v>
      </c>
      <c r="I166" s="240">
        <v>84.0</v>
      </c>
      <c r="J166" s="240">
        <v>0.0</v>
      </c>
      <c r="K166" s="240">
        <v>0.0</v>
      </c>
      <c r="L166" s="240">
        <v>0.0</v>
      </c>
      <c r="M166" s="240" t="s">
        <v>3742</v>
      </c>
      <c r="N166" s="240">
        <v>0.0</v>
      </c>
    </row>
    <row r="167">
      <c r="A167" s="215">
        <v>163.0</v>
      </c>
      <c r="B167" s="237"/>
      <c r="C167" s="238">
        <v>505.0</v>
      </c>
      <c r="D167" s="238" t="s">
        <v>3743</v>
      </c>
      <c r="E167" s="238" t="s">
        <v>3711</v>
      </c>
      <c r="F167" s="238" t="s">
        <v>3745</v>
      </c>
      <c r="G167" s="239" t="s">
        <v>3333</v>
      </c>
      <c r="H167" s="240">
        <v>33.0</v>
      </c>
      <c r="I167" s="240">
        <v>33.0</v>
      </c>
      <c r="J167" s="240">
        <v>0.0</v>
      </c>
      <c r="K167" s="240">
        <v>0.0</v>
      </c>
      <c r="L167" s="240">
        <v>0.0</v>
      </c>
      <c r="M167" s="240" t="s">
        <v>3623</v>
      </c>
      <c r="N167" s="240">
        <v>0.0</v>
      </c>
    </row>
    <row r="168">
      <c r="A168" s="215">
        <v>164.0</v>
      </c>
      <c r="B168" s="237"/>
      <c r="C168" s="238">
        <v>506.0</v>
      </c>
      <c r="D168" s="238">
        <v>9548.0</v>
      </c>
      <c r="E168" s="238" t="s">
        <v>3747</v>
      </c>
      <c r="F168" s="238" t="s">
        <v>3749</v>
      </c>
      <c r="G168" s="239" t="s">
        <v>3425</v>
      </c>
      <c r="H168" s="240">
        <v>60.0</v>
      </c>
      <c r="I168" s="240">
        <v>60.0</v>
      </c>
      <c r="J168" s="240">
        <v>0.0</v>
      </c>
      <c r="K168" s="240">
        <v>0.0</v>
      </c>
      <c r="L168" s="240">
        <v>0.0</v>
      </c>
      <c r="M168" s="240" t="s">
        <v>3750</v>
      </c>
      <c r="N168" s="240">
        <v>0.0</v>
      </c>
    </row>
    <row r="169">
      <c r="A169" s="215">
        <v>165.0</v>
      </c>
      <c r="B169" s="237"/>
      <c r="C169" s="238">
        <v>506.0</v>
      </c>
      <c r="D169" s="238">
        <v>9813.0</v>
      </c>
      <c r="E169" s="238" t="s">
        <v>3747</v>
      </c>
      <c r="F169" s="238" t="s">
        <v>3505</v>
      </c>
      <c r="G169" s="239" t="s">
        <v>3425</v>
      </c>
      <c r="H169" s="240">
        <v>287.0</v>
      </c>
      <c r="I169" s="240">
        <v>287.0</v>
      </c>
      <c r="J169" s="240">
        <v>0.0</v>
      </c>
      <c r="K169" s="240">
        <v>0.0</v>
      </c>
      <c r="L169" s="240">
        <v>0.0</v>
      </c>
      <c r="M169" s="240" t="s">
        <v>3752</v>
      </c>
      <c r="N169" s="240">
        <v>0.0</v>
      </c>
    </row>
    <row r="170">
      <c r="A170" s="215">
        <v>166.0</v>
      </c>
      <c r="B170" s="237"/>
      <c r="C170" s="238">
        <v>507.0</v>
      </c>
      <c r="D170" s="238">
        <v>9026.0</v>
      </c>
      <c r="E170" s="238" t="s">
        <v>3753</v>
      </c>
      <c r="F170" s="238" t="s">
        <v>3754</v>
      </c>
      <c r="G170" s="239" t="s">
        <v>3333</v>
      </c>
      <c r="H170" s="240">
        <v>73.0</v>
      </c>
      <c r="I170" s="240">
        <v>73.0</v>
      </c>
      <c r="J170" s="240">
        <v>0.0</v>
      </c>
      <c r="K170" s="240">
        <v>0.0</v>
      </c>
      <c r="L170" s="240">
        <v>0.0</v>
      </c>
      <c r="M170" s="240" t="s">
        <v>3647</v>
      </c>
      <c r="N170" s="240">
        <v>0.0</v>
      </c>
    </row>
    <row r="171">
      <c r="A171" s="215">
        <v>167.0</v>
      </c>
      <c r="B171" s="237"/>
      <c r="C171" s="238">
        <v>507.0</v>
      </c>
      <c r="D171" s="238">
        <v>9219.0</v>
      </c>
      <c r="E171" s="238" t="s">
        <v>3753</v>
      </c>
      <c r="F171" s="238" t="s">
        <v>3342</v>
      </c>
      <c r="G171" s="239" t="s">
        <v>3333</v>
      </c>
      <c r="H171" s="240">
        <v>131.0</v>
      </c>
      <c r="I171" s="240">
        <v>131.0</v>
      </c>
      <c r="J171" s="240">
        <v>2.0</v>
      </c>
      <c r="K171" s="240">
        <v>0.0</v>
      </c>
      <c r="L171" s="240">
        <v>0.0</v>
      </c>
      <c r="M171" s="240" t="s">
        <v>3755</v>
      </c>
      <c r="N171" s="240">
        <v>0.0</v>
      </c>
    </row>
    <row r="172">
      <c r="A172" s="215">
        <v>168.0</v>
      </c>
      <c r="B172" s="237"/>
      <c r="C172" s="238">
        <v>507.0</v>
      </c>
      <c r="D172" s="238">
        <v>9238.0</v>
      </c>
      <c r="E172" s="238" t="s">
        <v>3753</v>
      </c>
      <c r="F172" s="238" t="s">
        <v>3344</v>
      </c>
      <c r="G172" s="239" t="s">
        <v>3333</v>
      </c>
      <c r="H172" s="240">
        <v>32.0</v>
      </c>
      <c r="I172" s="240">
        <v>32.0</v>
      </c>
      <c r="J172" s="240">
        <v>0.0</v>
      </c>
      <c r="K172" s="240">
        <v>0.0</v>
      </c>
      <c r="L172" s="240">
        <v>0.0</v>
      </c>
      <c r="M172" s="240" t="s">
        <v>3756</v>
      </c>
      <c r="N172" s="240">
        <v>0.0</v>
      </c>
    </row>
    <row r="173">
      <c r="A173" s="215">
        <v>169.0</v>
      </c>
      <c r="B173" s="237"/>
      <c r="C173" s="238">
        <v>508.0</v>
      </c>
      <c r="D173" s="238">
        <v>9707.0</v>
      </c>
      <c r="E173" s="238" t="s">
        <v>3757</v>
      </c>
      <c r="F173" s="238" t="s">
        <v>3613</v>
      </c>
      <c r="G173" s="239" t="s">
        <v>3333</v>
      </c>
      <c r="H173" s="240">
        <v>123.0</v>
      </c>
      <c r="I173" s="240">
        <v>95.0</v>
      </c>
      <c r="J173" s="240">
        <v>0.0</v>
      </c>
      <c r="K173" s="240">
        <v>1.0</v>
      </c>
      <c r="L173" s="240">
        <v>0.0</v>
      </c>
      <c r="M173" s="240" t="s">
        <v>3758</v>
      </c>
      <c r="N173" s="240">
        <v>27.0</v>
      </c>
    </row>
    <row r="174">
      <c r="A174" s="215">
        <v>170.0</v>
      </c>
      <c r="B174" s="237"/>
      <c r="C174" s="238">
        <v>521.0</v>
      </c>
      <c r="D174" s="238">
        <v>9013.0</v>
      </c>
      <c r="E174" s="238" t="s">
        <v>3759</v>
      </c>
      <c r="F174" s="238" t="s">
        <v>3405</v>
      </c>
      <c r="G174" s="239" t="s">
        <v>3333</v>
      </c>
      <c r="H174" s="240">
        <v>40.0</v>
      </c>
      <c r="I174" s="240">
        <v>10.0</v>
      </c>
      <c r="J174" s="240">
        <v>0.0</v>
      </c>
      <c r="K174" s="240">
        <v>0.0</v>
      </c>
      <c r="L174" s="240">
        <v>0.0</v>
      </c>
      <c r="M174" s="240" t="s">
        <v>3382</v>
      </c>
      <c r="N174" s="240">
        <v>30.0</v>
      </c>
    </row>
    <row r="175">
      <c r="A175" s="215">
        <v>171.0</v>
      </c>
      <c r="B175" s="237"/>
      <c r="C175" s="238">
        <v>602.0</v>
      </c>
      <c r="D175" s="238">
        <v>8262.0</v>
      </c>
      <c r="E175" s="238" t="s">
        <v>3760</v>
      </c>
      <c r="F175" s="238" t="s">
        <v>3761</v>
      </c>
      <c r="G175" s="239" t="s">
        <v>3333</v>
      </c>
      <c r="H175" s="240">
        <v>29.0</v>
      </c>
      <c r="I175" s="240">
        <v>29.0</v>
      </c>
      <c r="J175" s="240">
        <v>0.0</v>
      </c>
      <c r="K175" s="240">
        <v>0.0</v>
      </c>
      <c r="L175" s="240">
        <v>0.0</v>
      </c>
      <c r="M175" s="240" t="s">
        <v>3336</v>
      </c>
      <c r="N175" s="240">
        <v>0.0</v>
      </c>
    </row>
    <row r="176">
      <c r="A176" s="215">
        <v>172.0</v>
      </c>
      <c r="B176" s="237"/>
      <c r="C176" s="238">
        <v>602.0</v>
      </c>
      <c r="D176" s="238">
        <v>9003.0</v>
      </c>
      <c r="E176" s="238" t="s">
        <v>3760</v>
      </c>
      <c r="F176" s="238" t="s">
        <v>3401</v>
      </c>
      <c r="G176" s="239" t="s">
        <v>3333</v>
      </c>
      <c r="H176" s="240">
        <v>36.0</v>
      </c>
      <c r="I176" s="240">
        <v>31.0</v>
      </c>
      <c r="J176" s="240">
        <v>0.0</v>
      </c>
      <c r="K176" s="240">
        <v>0.0</v>
      </c>
      <c r="L176" s="240">
        <v>0.0</v>
      </c>
      <c r="M176" s="240" t="s">
        <v>3763</v>
      </c>
      <c r="N176" s="240">
        <v>5.0</v>
      </c>
    </row>
    <row r="177">
      <c r="A177" s="215">
        <v>173.0</v>
      </c>
      <c r="B177" s="237"/>
      <c r="C177" s="238">
        <v>602.0</v>
      </c>
      <c r="D177" s="238">
        <v>9011.0</v>
      </c>
      <c r="E177" s="238" t="s">
        <v>3760</v>
      </c>
      <c r="F177" s="238" t="s">
        <v>3366</v>
      </c>
      <c r="G177" s="239" t="s">
        <v>3333</v>
      </c>
      <c r="H177" s="240">
        <v>36.0</v>
      </c>
      <c r="I177" s="240">
        <v>36.0</v>
      </c>
      <c r="J177" s="240">
        <v>0.0</v>
      </c>
      <c r="K177" s="240">
        <v>0.0</v>
      </c>
      <c r="L177" s="240">
        <v>0.0</v>
      </c>
      <c r="M177" s="240" t="s">
        <v>3589</v>
      </c>
      <c r="N177" s="240">
        <v>0.0</v>
      </c>
    </row>
    <row r="178">
      <c r="A178" s="215">
        <v>174.0</v>
      </c>
      <c r="B178" s="237"/>
      <c r="C178" s="238">
        <v>602.0</v>
      </c>
      <c r="D178" s="238">
        <v>9012.0</v>
      </c>
      <c r="E178" s="238" t="s">
        <v>3760</v>
      </c>
      <c r="F178" s="238" t="s">
        <v>3446</v>
      </c>
      <c r="G178" s="239" t="s">
        <v>3333</v>
      </c>
      <c r="H178" s="240">
        <v>18.0</v>
      </c>
      <c r="I178" s="240">
        <v>9.0</v>
      </c>
      <c r="J178" s="240">
        <v>0.0</v>
      </c>
      <c r="K178" s="240">
        <v>0.0</v>
      </c>
      <c r="L178" s="240">
        <v>0.0</v>
      </c>
      <c r="M178" s="240" t="s">
        <v>3771</v>
      </c>
      <c r="N178" s="240">
        <v>9.0</v>
      </c>
    </row>
    <row r="179">
      <c r="A179" s="215">
        <v>175.0</v>
      </c>
      <c r="B179" s="237"/>
      <c r="C179" s="238">
        <v>602.0</v>
      </c>
      <c r="D179" s="238">
        <v>9015.0</v>
      </c>
      <c r="E179" s="238" t="s">
        <v>3760</v>
      </c>
      <c r="F179" s="238" t="s">
        <v>3409</v>
      </c>
      <c r="G179" s="239" t="s">
        <v>3333</v>
      </c>
      <c r="H179" s="240">
        <v>29.0</v>
      </c>
      <c r="I179" s="240">
        <v>29.0</v>
      </c>
      <c r="J179" s="240">
        <v>0.0</v>
      </c>
      <c r="K179" s="240">
        <v>0.0</v>
      </c>
      <c r="L179" s="240">
        <v>0.0</v>
      </c>
      <c r="M179" s="240" t="s">
        <v>3611</v>
      </c>
      <c r="N179" s="240">
        <v>0.0</v>
      </c>
    </row>
    <row r="180">
      <c r="A180" s="215">
        <v>176.0</v>
      </c>
      <c r="B180" s="237"/>
      <c r="C180" s="238">
        <v>602.0</v>
      </c>
      <c r="D180" s="238">
        <v>9016.0</v>
      </c>
      <c r="E180" s="238" t="s">
        <v>3760</v>
      </c>
      <c r="F180" s="238" t="s">
        <v>3412</v>
      </c>
      <c r="G180" s="239" t="s">
        <v>3333</v>
      </c>
      <c r="H180" s="240">
        <v>27.0</v>
      </c>
      <c r="I180" s="240">
        <v>26.0</v>
      </c>
      <c r="J180" s="240">
        <v>0.0</v>
      </c>
      <c r="K180" s="240">
        <v>0.0</v>
      </c>
      <c r="L180" s="240">
        <v>0.0</v>
      </c>
      <c r="M180" s="240" t="s">
        <v>3438</v>
      </c>
      <c r="N180" s="240">
        <v>1.0</v>
      </c>
    </row>
    <row r="181">
      <c r="A181" s="215">
        <v>177.0</v>
      </c>
      <c r="B181" s="237"/>
      <c r="C181" s="238">
        <v>602.0</v>
      </c>
      <c r="D181" s="238">
        <v>9119.0</v>
      </c>
      <c r="E181" s="238" t="s">
        <v>3760</v>
      </c>
      <c r="F181" s="238" t="s">
        <v>3417</v>
      </c>
      <c r="G181" s="239" t="s">
        <v>3333</v>
      </c>
      <c r="H181" s="240">
        <v>65.0</v>
      </c>
      <c r="I181" s="240">
        <v>31.0</v>
      </c>
      <c r="J181" s="240">
        <v>0.0</v>
      </c>
      <c r="K181" s="240">
        <v>0.0</v>
      </c>
      <c r="L181" s="240">
        <v>0.0</v>
      </c>
      <c r="M181" s="240" t="s">
        <v>3608</v>
      </c>
      <c r="N181" s="240">
        <v>34.0</v>
      </c>
    </row>
    <row r="182">
      <c r="A182" s="215">
        <v>178.0</v>
      </c>
      <c r="B182" s="237"/>
      <c r="C182" s="238">
        <v>602.0</v>
      </c>
      <c r="D182" s="238">
        <v>9143.0</v>
      </c>
      <c r="E182" s="238" t="s">
        <v>3760</v>
      </c>
      <c r="F182" s="238" t="s">
        <v>3727</v>
      </c>
      <c r="G182" s="239" t="s">
        <v>3333</v>
      </c>
      <c r="H182" s="240">
        <v>30.0</v>
      </c>
      <c r="I182" s="240">
        <v>30.0</v>
      </c>
      <c r="J182" s="240">
        <v>0.0</v>
      </c>
      <c r="K182" s="240">
        <v>0.0</v>
      </c>
      <c r="L182" s="240">
        <v>0.0</v>
      </c>
      <c r="M182" s="240" t="s">
        <v>3600</v>
      </c>
      <c r="N182" s="240">
        <v>0.0</v>
      </c>
    </row>
    <row r="183">
      <c r="A183" s="215">
        <v>179.0</v>
      </c>
      <c r="B183" s="237"/>
      <c r="C183" s="238">
        <v>602.0</v>
      </c>
      <c r="D183" s="238">
        <v>9209.0</v>
      </c>
      <c r="E183" s="238" t="s">
        <v>3760</v>
      </c>
      <c r="F183" s="238" t="s">
        <v>3494</v>
      </c>
      <c r="G183" s="239" t="s">
        <v>3333</v>
      </c>
      <c r="H183" s="240">
        <v>17.0</v>
      </c>
      <c r="I183" s="240">
        <v>5.0</v>
      </c>
      <c r="J183" s="240">
        <v>0.0</v>
      </c>
      <c r="K183" s="240">
        <v>0.0</v>
      </c>
      <c r="L183" s="240">
        <v>0.0</v>
      </c>
      <c r="M183" s="240" t="s">
        <v>3422</v>
      </c>
      <c r="N183" s="240">
        <v>12.0</v>
      </c>
    </row>
    <row r="184">
      <c r="A184" s="215">
        <v>180.0</v>
      </c>
      <c r="B184" s="237"/>
      <c r="C184" s="238">
        <v>602.0</v>
      </c>
      <c r="D184" s="238">
        <v>9210.0</v>
      </c>
      <c r="E184" s="238" t="s">
        <v>3760</v>
      </c>
      <c r="F184" s="238" t="s">
        <v>3421</v>
      </c>
      <c r="G184" s="239" t="s">
        <v>3333</v>
      </c>
      <c r="H184" s="240">
        <v>23.0</v>
      </c>
      <c r="I184" s="240">
        <v>19.0</v>
      </c>
      <c r="J184" s="240">
        <v>0.0</v>
      </c>
      <c r="K184" s="240">
        <v>0.0</v>
      </c>
      <c r="L184" s="240">
        <v>0.0</v>
      </c>
      <c r="M184" s="240" t="s">
        <v>3438</v>
      </c>
      <c r="N184" s="240">
        <v>4.0</v>
      </c>
    </row>
    <row r="185">
      <c r="A185" s="215">
        <v>181.0</v>
      </c>
      <c r="B185" s="237"/>
      <c r="C185" s="238">
        <v>602.0</v>
      </c>
      <c r="D185" s="238">
        <v>9751.0</v>
      </c>
      <c r="E185" s="238" t="s">
        <v>3760</v>
      </c>
      <c r="F185" s="238" t="s">
        <v>3774</v>
      </c>
      <c r="G185" s="239" t="s">
        <v>3333</v>
      </c>
      <c r="H185" s="240">
        <v>37.0</v>
      </c>
      <c r="I185" s="240">
        <v>9.0</v>
      </c>
      <c r="J185" s="240">
        <v>0.0</v>
      </c>
      <c r="K185" s="240">
        <v>0.0</v>
      </c>
      <c r="L185" s="240">
        <v>0.0</v>
      </c>
      <c r="M185" s="240" t="s">
        <v>3650</v>
      </c>
      <c r="N185" s="240">
        <v>28.0</v>
      </c>
    </row>
    <row r="186">
      <c r="A186" s="215">
        <v>182.0</v>
      </c>
      <c r="B186" s="237"/>
      <c r="C186" s="238">
        <v>602.0</v>
      </c>
      <c r="D186" s="238">
        <v>9752.0</v>
      </c>
      <c r="E186" s="238" t="s">
        <v>3760</v>
      </c>
      <c r="F186" s="238" t="s">
        <v>3775</v>
      </c>
      <c r="G186" s="239" t="s">
        <v>3333</v>
      </c>
      <c r="H186" s="240">
        <v>12.0</v>
      </c>
      <c r="I186" s="240">
        <v>9.0</v>
      </c>
      <c r="J186" s="240">
        <v>0.0</v>
      </c>
      <c r="K186" s="240">
        <v>0.0</v>
      </c>
      <c r="L186" s="240">
        <v>0.0</v>
      </c>
      <c r="M186" s="240" t="s">
        <v>3445</v>
      </c>
      <c r="N186" s="240">
        <v>3.0</v>
      </c>
    </row>
    <row r="187">
      <c r="A187" s="215">
        <v>183.0</v>
      </c>
      <c r="B187" s="237"/>
      <c r="C187" s="238">
        <v>602.0</v>
      </c>
      <c r="D187" s="238">
        <v>9818.0</v>
      </c>
      <c r="E187" s="238" t="s">
        <v>3760</v>
      </c>
      <c r="F187" s="238" t="s">
        <v>3776</v>
      </c>
      <c r="G187" s="239" t="s">
        <v>3333</v>
      </c>
      <c r="H187" s="240">
        <v>34.0</v>
      </c>
      <c r="I187" s="240">
        <v>34.0</v>
      </c>
      <c r="J187" s="240">
        <v>0.0</v>
      </c>
      <c r="K187" s="240">
        <v>0.0</v>
      </c>
      <c r="L187" s="240">
        <v>0.0</v>
      </c>
      <c r="M187" s="240" t="s">
        <v>3403</v>
      </c>
      <c r="N187" s="240">
        <v>0.0</v>
      </c>
    </row>
    <row r="188">
      <c r="A188" s="215">
        <v>184.0</v>
      </c>
      <c r="B188" s="237"/>
      <c r="C188" s="238">
        <v>602.0</v>
      </c>
      <c r="D188" s="238">
        <v>9847.0</v>
      </c>
      <c r="E188" s="238" t="s">
        <v>3760</v>
      </c>
      <c r="F188" s="238" t="s">
        <v>3777</v>
      </c>
      <c r="G188" s="239" t="s">
        <v>3425</v>
      </c>
      <c r="H188" s="240">
        <v>58.0</v>
      </c>
      <c r="I188" s="240">
        <v>58.0</v>
      </c>
      <c r="J188" s="240">
        <v>0.0</v>
      </c>
      <c r="K188" s="240">
        <v>0.0</v>
      </c>
      <c r="L188" s="240">
        <v>0.0</v>
      </c>
      <c r="M188" s="240" t="s">
        <v>3778</v>
      </c>
      <c r="N188" s="240">
        <v>0.0</v>
      </c>
    </row>
    <row r="189">
      <c r="A189" s="215">
        <v>185.0</v>
      </c>
      <c r="B189" s="237"/>
      <c r="C189" s="238">
        <v>602.0</v>
      </c>
      <c r="D189" s="238">
        <v>9910.0</v>
      </c>
      <c r="E189" s="238" t="s">
        <v>3760</v>
      </c>
      <c r="F189" s="238" t="s">
        <v>3780</v>
      </c>
      <c r="G189" s="239" t="s">
        <v>3333</v>
      </c>
      <c r="H189" s="240">
        <v>15.0</v>
      </c>
      <c r="I189" s="240">
        <v>3.0</v>
      </c>
      <c r="J189" s="240">
        <v>0.0</v>
      </c>
      <c r="K189" s="240">
        <v>0.0</v>
      </c>
      <c r="L189" s="240">
        <v>0.0</v>
      </c>
      <c r="M189" s="240" t="s">
        <v>3519</v>
      </c>
      <c r="N189" s="240">
        <v>12.0</v>
      </c>
    </row>
    <row r="190">
      <c r="A190" s="215">
        <v>186.0</v>
      </c>
      <c r="B190" s="237"/>
      <c r="C190" s="238">
        <v>602.0</v>
      </c>
      <c r="D190" s="238" t="s">
        <v>3782</v>
      </c>
      <c r="E190" s="238" t="s">
        <v>3760</v>
      </c>
      <c r="F190" s="238" t="s">
        <v>3783</v>
      </c>
      <c r="G190" s="239" t="s">
        <v>3333</v>
      </c>
      <c r="H190" s="240">
        <v>12.0</v>
      </c>
      <c r="I190" s="240">
        <v>4.0</v>
      </c>
      <c r="J190" s="240">
        <v>0.0</v>
      </c>
      <c r="K190" s="240">
        <v>0.0</v>
      </c>
      <c r="L190" s="240">
        <v>0.0</v>
      </c>
      <c r="M190" s="240" t="s">
        <v>3422</v>
      </c>
      <c r="N190" s="240">
        <v>8.0</v>
      </c>
    </row>
    <row r="191">
      <c r="A191" s="215">
        <v>187.0</v>
      </c>
      <c r="B191" s="237"/>
      <c r="C191" s="238">
        <v>602.0</v>
      </c>
      <c r="D191" s="238" t="s">
        <v>3527</v>
      </c>
      <c r="E191" s="238" t="s">
        <v>3760</v>
      </c>
      <c r="F191" s="238" t="s">
        <v>3528</v>
      </c>
      <c r="G191" s="239" t="s">
        <v>3333</v>
      </c>
      <c r="H191" s="240">
        <v>20.0</v>
      </c>
      <c r="I191" s="240">
        <v>20.0</v>
      </c>
      <c r="J191" s="240">
        <v>0.0</v>
      </c>
      <c r="K191" s="240">
        <v>0.0</v>
      </c>
      <c r="L191" s="240">
        <v>0.0</v>
      </c>
      <c r="M191" s="240" t="s">
        <v>3791</v>
      </c>
      <c r="N191" s="240">
        <v>0.0</v>
      </c>
    </row>
    <row r="192">
      <c r="A192" s="215">
        <v>188.0</v>
      </c>
      <c r="B192" s="237"/>
      <c r="C192" s="238">
        <v>602.0</v>
      </c>
      <c r="D192" s="238" t="s">
        <v>3627</v>
      </c>
      <c r="E192" s="238" t="s">
        <v>3760</v>
      </c>
      <c r="F192" s="238" t="s">
        <v>3628</v>
      </c>
      <c r="G192" s="239" t="s">
        <v>3333</v>
      </c>
      <c r="H192" s="240">
        <v>25.0</v>
      </c>
      <c r="I192" s="240">
        <v>8.0</v>
      </c>
      <c r="J192" s="240">
        <v>0.0</v>
      </c>
      <c r="K192" s="240">
        <v>0.0</v>
      </c>
      <c r="L192" s="240">
        <v>0.0</v>
      </c>
      <c r="M192" s="240" t="s">
        <v>3347</v>
      </c>
      <c r="N192" s="240">
        <v>17.0</v>
      </c>
    </row>
    <row r="193">
      <c r="A193" s="215">
        <v>189.0</v>
      </c>
      <c r="B193" s="237"/>
      <c r="C193" s="238">
        <v>603.0</v>
      </c>
      <c r="D193" s="238">
        <v>9069.0</v>
      </c>
      <c r="E193" s="238" t="s">
        <v>3792</v>
      </c>
      <c r="F193" s="238" t="s">
        <v>3451</v>
      </c>
      <c r="G193" s="239" t="s">
        <v>3333</v>
      </c>
      <c r="H193" s="240">
        <v>38.0</v>
      </c>
      <c r="I193" s="240">
        <v>38.0</v>
      </c>
      <c r="J193" s="240">
        <v>0.0</v>
      </c>
      <c r="K193" s="240">
        <v>0.0</v>
      </c>
      <c r="L193" s="240">
        <v>0.0</v>
      </c>
      <c r="M193" s="240" t="s">
        <v>3793</v>
      </c>
      <c r="N193" s="240">
        <v>0.0</v>
      </c>
    </row>
    <row r="194">
      <c r="A194" s="215">
        <v>190.0</v>
      </c>
      <c r="B194" s="237"/>
      <c r="C194" s="238">
        <v>603.0</v>
      </c>
      <c r="D194" s="238">
        <v>9243.0</v>
      </c>
      <c r="E194" s="238" t="s">
        <v>3792</v>
      </c>
      <c r="F194" s="238" t="s">
        <v>3794</v>
      </c>
      <c r="G194" s="239" t="s">
        <v>3333</v>
      </c>
      <c r="H194" s="240">
        <v>22.0</v>
      </c>
      <c r="I194" s="240">
        <v>22.0</v>
      </c>
      <c r="J194" s="240">
        <v>0.0</v>
      </c>
      <c r="K194" s="240">
        <v>0.0</v>
      </c>
      <c r="L194" s="240">
        <v>0.0</v>
      </c>
      <c r="M194" s="240" t="s">
        <v>3795</v>
      </c>
      <c r="N194" s="240">
        <v>0.0</v>
      </c>
    </row>
    <row r="195">
      <c r="A195" s="215">
        <v>191.0</v>
      </c>
      <c r="B195" s="237"/>
      <c r="C195" s="238">
        <v>603.0</v>
      </c>
      <c r="D195" s="238">
        <v>9257.0</v>
      </c>
      <c r="E195" s="238" t="s">
        <v>3792</v>
      </c>
      <c r="F195" s="238" t="s">
        <v>3602</v>
      </c>
      <c r="G195" s="239" t="s">
        <v>3425</v>
      </c>
      <c r="H195" s="240">
        <v>36.0</v>
      </c>
      <c r="I195" s="240">
        <v>36.0</v>
      </c>
      <c r="J195" s="240">
        <v>0.0</v>
      </c>
      <c r="K195" s="240">
        <v>0.0</v>
      </c>
      <c r="L195" s="240">
        <v>0.0</v>
      </c>
      <c r="M195" s="240" t="s">
        <v>3796</v>
      </c>
      <c r="N195" s="240">
        <v>0.0</v>
      </c>
    </row>
    <row r="196">
      <c r="A196" s="215">
        <v>192.0</v>
      </c>
      <c r="B196" s="237"/>
      <c r="C196" s="238">
        <v>603.0</v>
      </c>
      <c r="D196" s="238">
        <v>9347.0</v>
      </c>
      <c r="E196" s="238" t="s">
        <v>3792</v>
      </c>
      <c r="F196" s="238" t="s">
        <v>3797</v>
      </c>
      <c r="G196" s="239" t="s">
        <v>3333</v>
      </c>
      <c r="H196" s="240">
        <v>34.0</v>
      </c>
      <c r="I196" s="240">
        <v>34.0</v>
      </c>
      <c r="J196" s="240">
        <v>0.0</v>
      </c>
      <c r="K196" s="240">
        <v>0.0</v>
      </c>
      <c r="L196" s="240">
        <v>0.0</v>
      </c>
      <c r="M196" s="240" t="s">
        <v>3798</v>
      </c>
      <c r="N196" s="240">
        <v>0.0</v>
      </c>
    </row>
    <row r="197">
      <c r="A197" s="215">
        <v>193.0</v>
      </c>
      <c r="B197" s="237"/>
      <c r="C197" s="238">
        <v>604.0</v>
      </c>
      <c r="D197" s="238">
        <v>8251.0</v>
      </c>
      <c r="E197" s="238" t="s">
        <v>3799</v>
      </c>
      <c r="F197" s="238" t="s">
        <v>3800</v>
      </c>
      <c r="G197" s="239" t="s">
        <v>3333</v>
      </c>
      <c r="H197" s="240">
        <v>40.0</v>
      </c>
      <c r="I197" s="240">
        <v>40.0</v>
      </c>
      <c r="J197" s="240">
        <v>0.0</v>
      </c>
      <c r="K197" s="240">
        <v>1.0</v>
      </c>
      <c r="L197" s="240">
        <v>1.0</v>
      </c>
      <c r="M197" s="240" t="s">
        <v>3574</v>
      </c>
      <c r="N197" s="240">
        <v>0.0</v>
      </c>
    </row>
    <row r="198">
      <c r="A198" s="215">
        <v>194.0</v>
      </c>
      <c r="B198" s="237"/>
      <c r="C198" s="238">
        <v>604.0</v>
      </c>
      <c r="D198" s="238">
        <v>9026.0</v>
      </c>
      <c r="E198" s="238" t="s">
        <v>3799</v>
      </c>
      <c r="F198" s="238" t="s">
        <v>3754</v>
      </c>
      <c r="G198" s="239" t="s">
        <v>3333</v>
      </c>
      <c r="H198" s="240">
        <v>32.0</v>
      </c>
      <c r="I198" s="240">
        <v>27.0</v>
      </c>
      <c r="J198" s="240">
        <v>0.0</v>
      </c>
      <c r="K198" s="240">
        <v>1.0</v>
      </c>
      <c r="L198" s="240">
        <v>0.0</v>
      </c>
      <c r="M198" s="240" t="s">
        <v>3804</v>
      </c>
      <c r="N198" s="240">
        <v>4.0</v>
      </c>
    </row>
    <row r="199">
      <c r="A199" s="215">
        <v>195.0</v>
      </c>
      <c r="B199" s="237"/>
      <c r="C199" s="238">
        <v>604.0</v>
      </c>
      <c r="D199" s="238">
        <v>9081.0</v>
      </c>
      <c r="E199" s="238" t="s">
        <v>3799</v>
      </c>
      <c r="F199" s="238" t="s">
        <v>3379</v>
      </c>
      <c r="G199" s="239" t="s">
        <v>3333</v>
      </c>
      <c r="H199" s="240">
        <v>38.0</v>
      </c>
      <c r="I199" s="240">
        <v>30.0</v>
      </c>
      <c r="J199" s="240">
        <v>0.0</v>
      </c>
      <c r="K199" s="240">
        <v>2.0</v>
      </c>
      <c r="L199" s="240">
        <v>0.0</v>
      </c>
      <c r="M199" s="240" t="s">
        <v>3419</v>
      </c>
      <c r="N199" s="240">
        <v>6.0</v>
      </c>
    </row>
    <row r="200">
      <c r="A200" s="215">
        <v>196.0</v>
      </c>
      <c r="B200" s="237"/>
      <c r="C200" s="238">
        <v>604.0</v>
      </c>
      <c r="D200" s="238">
        <v>9147.0</v>
      </c>
      <c r="E200" s="238" t="s">
        <v>3799</v>
      </c>
      <c r="F200" s="238" t="s">
        <v>3381</v>
      </c>
      <c r="G200" s="239" t="s">
        <v>3333</v>
      </c>
      <c r="H200" s="240">
        <v>70.0</v>
      </c>
      <c r="I200" s="240">
        <v>70.0</v>
      </c>
      <c r="J200" s="240">
        <v>1.0</v>
      </c>
      <c r="K200" s="240">
        <v>0.0</v>
      </c>
      <c r="L200" s="240">
        <v>0.0</v>
      </c>
      <c r="M200" s="240" t="s">
        <v>3811</v>
      </c>
      <c r="N200" s="240">
        <v>0.0</v>
      </c>
    </row>
    <row r="201">
      <c r="A201" s="215">
        <v>197.0</v>
      </c>
      <c r="B201" s="237"/>
      <c r="C201" s="238">
        <v>604.0</v>
      </c>
      <c r="D201" s="238">
        <v>9219.0</v>
      </c>
      <c r="E201" s="238" t="s">
        <v>3799</v>
      </c>
      <c r="F201" s="238" t="s">
        <v>3342</v>
      </c>
      <c r="G201" s="239" t="s">
        <v>3333</v>
      </c>
      <c r="H201" s="240">
        <v>55.0</v>
      </c>
      <c r="I201" s="240">
        <v>55.0</v>
      </c>
      <c r="J201" s="240">
        <v>0.0</v>
      </c>
      <c r="K201" s="240">
        <v>0.0</v>
      </c>
      <c r="L201" s="240">
        <v>0.0</v>
      </c>
      <c r="M201" s="240" t="s">
        <v>3699</v>
      </c>
      <c r="N201" s="240">
        <v>0.0</v>
      </c>
    </row>
    <row r="202">
      <c r="A202" s="215">
        <v>198.0</v>
      </c>
      <c r="B202" s="237"/>
      <c r="C202" s="238">
        <v>604.0</v>
      </c>
      <c r="D202" s="238">
        <v>9229.0</v>
      </c>
      <c r="E202" s="238" t="s">
        <v>3799</v>
      </c>
      <c r="F202" s="238" t="s">
        <v>3700</v>
      </c>
      <c r="G202" s="239" t="s">
        <v>3333</v>
      </c>
      <c r="H202" s="240">
        <v>68.0</v>
      </c>
      <c r="I202" s="240">
        <v>68.0</v>
      </c>
      <c r="J202" s="240">
        <v>0.0</v>
      </c>
      <c r="K202" s="240">
        <v>0.0</v>
      </c>
      <c r="L202" s="240">
        <v>0.0</v>
      </c>
      <c r="M202" s="240" t="s">
        <v>3813</v>
      </c>
      <c r="N202" s="240">
        <v>0.0</v>
      </c>
    </row>
    <row r="203">
      <c r="A203" s="215">
        <v>199.0</v>
      </c>
      <c r="B203" s="237"/>
      <c r="C203" s="238">
        <v>604.0</v>
      </c>
      <c r="D203" s="238">
        <v>9240.0</v>
      </c>
      <c r="E203" s="238" t="s">
        <v>3799</v>
      </c>
      <c r="F203" s="238" t="s">
        <v>3346</v>
      </c>
      <c r="G203" s="239" t="s">
        <v>3333</v>
      </c>
      <c r="H203" s="240">
        <v>42.0</v>
      </c>
      <c r="I203" s="240">
        <v>42.0</v>
      </c>
      <c r="J203" s="240">
        <v>0.0</v>
      </c>
      <c r="K203" s="240">
        <v>0.0</v>
      </c>
      <c r="L203" s="240">
        <v>0.0</v>
      </c>
      <c r="M203" s="240" t="s">
        <v>3392</v>
      </c>
      <c r="N203" s="240">
        <v>0.0</v>
      </c>
    </row>
    <row r="204">
      <c r="A204" s="215">
        <v>200.0</v>
      </c>
      <c r="B204" s="237"/>
      <c r="C204" s="238">
        <v>604.0</v>
      </c>
      <c r="D204" s="238">
        <v>9254.0</v>
      </c>
      <c r="E204" s="238" t="s">
        <v>3799</v>
      </c>
      <c r="F204" s="238" t="s">
        <v>3383</v>
      </c>
      <c r="G204" s="239" t="s">
        <v>3333</v>
      </c>
      <c r="H204" s="240">
        <v>45.0</v>
      </c>
      <c r="I204" s="240">
        <v>45.0</v>
      </c>
      <c r="J204" s="240">
        <v>0.0</v>
      </c>
      <c r="K204" s="240">
        <v>0.0</v>
      </c>
      <c r="L204" s="240">
        <v>0.0</v>
      </c>
      <c r="M204" s="240" t="s">
        <v>3814</v>
      </c>
      <c r="N204" s="240">
        <v>0.0</v>
      </c>
    </row>
    <row r="205">
      <c r="A205" s="215">
        <v>201.0</v>
      </c>
      <c r="B205" s="237"/>
      <c r="C205" s="238">
        <v>604.0</v>
      </c>
      <c r="D205" s="238">
        <v>9787.0</v>
      </c>
      <c r="E205" s="238" t="s">
        <v>3799</v>
      </c>
      <c r="F205" s="238" t="s">
        <v>3815</v>
      </c>
      <c r="G205" s="239" t="s">
        <v>3333</v>
      </c>
      <c r="H205" s="240">
        <v>22.0</v>
      </c>
      <c r="I205" s="240">
        <v>14.0</v>
      </c>
      <c r="J205" s="240">
        <v>0.0</v>
      </c>
      <c r="K205" s="240">
        <v>0.0</v>
      </c>
      <c r="L205" s="240">
        <v>0.0</v>
      </c>
      <c r="M205" s="240" t="s">
        <v>3816</v>
      </c>
      <c r="N205" s="240">
        <v>8.0</v>
      </c>
    </row>
    <row r="206">
      <c r="A206" s="215">
        <v>202.0</v>
      </c>
      <c r="B206" s="237"/>
      <c r="C206" s="238">
        <v>604.0</v>
      </c>
      <c r="D206" s="238">
        <v>9853.0</v>
      </c>
      <c r="E206" s="238" t="s">
        <v>3799</v>
      </c>
      <c r="F206" s="238" t="s">
        <v>3350</v>
      </c>
      <c r="G206" s="239" t="s">
        <v>3333</v>
      </c>
      <c r="H206" s="240">
        <v>30.0</v>
      </c>
      <c r="I206" s="240">
        <v>30.0</v>
      </c>
      <c r="J206" s="240">
        <v>0.0</v>
      </c>
      <c r="K206" s="240">
        <v>0.0</v>
      </c>
      <c r="L206" s="240">
        <v>0.0</v>
      </c>
      <c r="M206" s="240" t="s">
        <v>3495</v>
      </c>
      <c r="N206" s="240">
        <v>0.0</v>
      </c>
    </row>
    <row r="207">
      <c r="A207" s="215">
        <v>203.0</v>
      </c>
      <c r="B207" s="237"/>
      <c r="C207" s="238">
        <v>604.0</v>
      </c>
      <c r="D207" s="238" t="s">
        <v>3817</v>
      </c>
      <c r="E207" s="238" t="s">
        <v>3799</v>
      </c>
      <c r="F207" s="238" t="s">
        <v>3818</v>
      </c>
      <c r="G207" s="239" t="s">
        <v>3333</v>
      </c>
      <c r="H207" s="240">
        <v>55.0</v>
      </c>
      <c r="I207" s="240">
        <v>49.0</v>
      </c>
      <c r="J207" s="240">
        <v>0.0</v>
      </c>
      <c r="K207" s="240">
        <v>3.0</v>
      </c>
      <c r="L207" s="240">
        <v>0.0</v>
      </c>
      <c r="M207" s="240" t="s">
        <v>3819</v>
      </c>
      <c r="N207" s="240">
        <v>3.0</v>
      </c>
    </row>
    <row r="208">
      <c r="A208" s="215">
        <v>204.0</v>
      </c>
      <c r="B208" s="237"/>
      <c r="C208" s="238">
        <v>604.0</v>
      </c>
      <c r="D208" s="238" t="s">
        <v>3820</v>
      </c>
      <c r="E208" s="238" t="s">
        <v>3799</v>
      </c>
      <c r="F208" s="238" t="s">
        <v>3821</v>
      </c>
      <c r="G208" s="239" t="s">
        <v>3333</v>
      </c>
      <c r="H208" s="240">
        <v>20.0</v>
      </c>
      <c r="I208" s="240">
        <v>6.0</v>
      </c>
      <c r="J208" s="240">
        <v>0.0</v>
      </c>
      <c r="K208" s="240">
        <v>0.0</v>
      </c>
      <c r="L208" s="240">
        <v>0.0</v>
      </c>
      <c r="M208" s="240" t="s">
        <v>3822</v>
      </c>
      <c r="N208" s="240">
        <v>14.0</v>
      </c>
    </row>
    <row r="209">
      <c r="A209" s="215">
        <v>205.0</v>
      </c>
      <c r="B209" s="237"/>
      <c r="C209" s="238">
        <v>605.0</v>
      </c>
      <c r="D209" s="238">
        <v>9494.0</v>
      </c>
      <c r="E209" s="238" t="s">
        <v>3823</v>
      </c>
      <c r="F209" s="238" t="s">
        <v>3424</v>
      </c>
      <c r="G209" s="239" t="s">
        <v>3425</v>
      </c>
      <c r="H209" s="240">
        <v>20.0</v>
      </c>
      <c r="I209" s="240">
        <v>20.0</v>
      </c>
      <c r="J209" s="240">
        <v>0.0</v>
      </c>
      <c r="K209" s="240">
        <v>0.0</v>
      </c>
      <c r="L209" s="240">
        <v>0.0</v>
      </c>
      <c r="M209" s="240" t="s">
        <v>3824</v>
      </c>
      <c r="N209" s="240">
        <v>0.0</v>
      </c>
    </row>
    <row r="210">
      <c r="A210" s="215">
        <v>206.0</v>
      </c>
      <c r="B210" s="237"/>
      <c r="C210" s="238">
        <v>605.0</v>
      </c>
      <c r="D210" s="238">
        <v>9707.0</v>
      </c>
      <c r="E210" s="238" t="s">
        <v>3823</v>
      </c>
      <c r="F210" s="238" t="s">
        <v>3613</v>
      </c>
      <c r="G210" s="239" t="s">
        <v>3333</v>
      </c>
      <c r="H210" s="240">
        <v>60.0</v>
      </c>
      <c r="I210" s="240">
        <v>45.0</v>
      </c>
      <c r="J210" s="240">
        <v>0.0</v>
      </c>
      <c r="K210" s="240">
        <v>2.0</v>
      </c>
      <c r="L210" s="240">
        <v>0.0</v>
      </c>
      <c r="M210" s="240" t="s">
        <v>3826</v>
      </c>
      <c r="N210" s="240">
        <v>13.0</v>
      </c>
    </row>
    <row r="211">
      <c r="A211" s="215">
        <v>207.0</v>
      </c>
      <c r="B211" s="237"/>
      <c r="C211" s="238">
        <v>605.0</v>
      </c>
      <c r="D211" s="238">
        <v>9841.0</v>
      </c>
      <c r="E211" s="238" t="s">
        <v>3823</v>
      </c>
      <c r="F211" s="238" t="s">
        <v>3827</v>
      </c>
      <c r="G211" s="239" t="s">
        <v>3333</v>
      </c>
      <c r="H211" s="240">
        <v>24.0</v>
      </c>
      <c r="I211" s="240">
        <v>24.0</v>
      </c>
      <c r="J211" s="240">
        <v>0.0</v>
      </c>
      <c r="K211" s="240">
        <v>1.0</v>
      </c>
      <c r="L211" s="240">
        <v>1.0</v>
      </c>
      <c r="M211" s="240" t="s">
        <v>3795</v>
      </c>
      <c r="N211" s="240">
        <v>0.0</v>
      </c>
    </row>
    <row r="212">
      <c r="A212" s="215">
        <v>208.0</v>
      </c>
      <c r="B212" s="237"/>
      <c r="C212" s="238">
        <v>605.0</v>
      </c>
      <c r="D212" s="238" t="s">
        <v>3830</v>
      </c>
      <c r="E212" s="238" t="s">
        <v>3823</v>
      </c>
      <c r="F212" s="238" t="s">
        <v>3832</v>
      </c>
      <c r="G212" s="239" t="s">
        <v>3333</v>
      </c>
      <c r="H212" s="240">
        <v>32.0</v>
      </c>
      <c r="I212" s="240">
        <v>32.0</v>
      </c>
      <c r="J212" s="240">
        <v>0.0</v>
      </c>
      <c r="K212" s="240">
        <v>0.0</v>
      </c>
      <c r="L212" s="240">
        <v>0.0</v>
      </c>
      <c r="M212" s="240" t="s">
        <v>3704</v>
      </c>
      <c r="N212" s="240">
        <v>0.0</v>
      </c>
    </row>
    <row r="213">
      <c r="A213" s="215">
        <v>209.0</v>
      </c>
      <c r="B213" s="237"/>
      <c r="C213" s="238">
        <v>901.0</v>
      </c>
      <c r="D213" s="238">
        <v>9554.0</v>
      </c>
      <c r="E213" s="238" t="s">
        <v>3835</v>
      </c>
      <c r="F213" s="238" t="s">
        <v>3836</v>
      </c>
      <c r="G213" s="239" t="s">
        <v>3333</v>
      </c>
      <c r="H213" s="240">
        <v>20.0</v>
      </c>
      <c r="I213" s="240">
        <v>20.0</v>
      </c>
      <c r="J213" s="240">
        <v>0.0</v>
      </c>
      <c r="K213" s="240">
        <v>0.0</v>
      </c>
      <c r="L213" s="240">
        <v>0.0</v>
      </c>
      <c r="M213" s="240" t="s">
        <v>3838</v>
      </c>
      <c r="N213" s="240">
        <v>0.0</v>
      </c>
    </row>
    <row r="214">
      <c r="A214" s="215">
        <v>210.0</v>
      </c>
      <c r="B214" s="237"/>
      <c r="C214" s="238">
        <v>901.0</v>
      </c>
      <c r="D214" s="238">
        <v>9813.0</v>
      </c>
      <c r="E214" s="238" t="s">
        <v>3835</v>
      </c>
      <c r="F214" s="238" t="s">
        <v>3505</v>
      </c>
      <c r="G214" s="239" t="s">
        <v>3425</v>
      </c>
      <c r="H214" s="240">
        <v>231.0</v>
      </c>
      <c r="I214" s="240">
        <v>231.0</v>
      </c>
      <c r="J214" s="240">
        <v>0.0</v>
      </c>
      <c r="K214" s="240">
        <v>0.0</v>
      </c>
      <c r="L214" s="240">
        <v>0.0</v>
      </c>
      <c r="M214" s="240" t="s">
        <v>3842</v>
      </c>
      <c r="N214" s="240">
        <v>0.0</v>
      </c>
    </row>
    <row r="215">
      <c r="A215" s="215">
        <v>211.0</v>
      </c>
      <c r="B215" s="237"/>
      <c r="C215" s="238">
        <v>902.0</v>
      </c>
      <c r="D215" s="238">
        <v>8109.0</v>
      </c>
      <c r="E215" s="238" t="s">
        <v>3843</v>
      </c>
      <c r="F215" s="238" t="s">
        <v>3844</v>
      </c>
      <c r="G215" s="239" t="s">
        <v>3333</v>
      </c>
      <c r="H215" s="240">
        <v>20.0</v>
      </c>
      <c r="I215" s="240">
        <v>18.0</v>
      </c>
      <c r="J215" s="240">
        <v>0.0</v>
      </c>
      <c r="K215" s="240">
        <v>2.0</v>
      </c>
      <c r="L215" s="240">
        <v>0.0</v>
      </c>
      <c r="M215" s="240" t="s">
        <v>3653</v>
      </c>
      <c r="N215" s="240">
        <v>0.0</v>
      </c>
    </row>
    <row r="216">
      <c r="A216" s="215">
        <v>212.0</v>
      </c>
      <c r="B216" s="237"/>
      <c r="C216" s="238">
        <v>902.0</v>
      </c>
      <c r="D216" s="238">
        <v>9006.0</v>
      </c>
      <c r="E216" s="238" t="s">
        <v>3843</v>
      </c>
      <c r="F216" s="238" t="s">
        <v>3717</v>
      </c>
      <c r="G216" s="239" t="s">
        <v>3333</v>
      </c>
      <c r="H216" s="240">
        <v>27.0</v>
      </c>
      <c r="I216" s="240">
        <v>27.0</v>
      </c>
      <c r="J216" s="240">
        <v>0.0</v>
      </c>
      <c r="K216" s="240">
        <v>0.0</v>
      </c>
      <c r="L216" s="240">
        <v>0.0</v>
      </c>
      <c r="M216" s="240" t="s">
        <v>3734</v>
      </c>
      <c r="N216" s="240">
        <v>0.0</v>
      </c>
    </row>
    <row r="217">
      <c r="A217" s="215">
        <v>213.0</v>
      </c>
      <c r="B217" s="237"/>
      <c r="C217" s="238">
        <v>902.0</v>
      </c>
      <c r="D217" s="238">
        <v>9020.0</v>
      </c>
      <c r="E217" s="238" t="s">
        <v>3843</v>
      </c>
      <c r="F217" s="238" t="s">
        <v>3544</v>
      </c>
      <c r="G217" s="239" t="s">
        <v>3333</v>
      </c>
      <c r="H217" s="240">
        <v>99.0</v>
      </c>
      <c r="I217" s="240">
        <v>99.0</v>
      </c>
      <c r="J217" s="240">
        <v>0.0</v>
      </c>
      <c r="K217" s="240">
        <v>0.0</v>
      </c>
      <c r="L217" s="240">
        <v>0.0</v>
      </c>
      <c r="M217" s="240" t="s">
        <v>3845</v>
      </c>
      <c r="N217" s="240">
        <v>0.0</v>
      </c>
    </row>
    <row r="218">
      <c r="A218" s="215">
        <v>214.0</v>
      </c>
      <c r="B218" s="237"/>
      <c r="C218" s="238">
        <v>902.0</v>
      </c>
      <c r="D218" s="238">
        <v>9023.0</v>
      </c>
      <c r="E218" s="238" t="s">
        <v>3843</v>
      </c>
      <c r="F218" s="238" t="s">
        <v>3549</v>
      </c>
      <c r="G218" s="239" t="s">
        <v>3333</v>
      </c>
      <c r="H218" s="240">
        <v>96.0</v>
      </c>
      <c r="I218" s="240">
        <v>96.0</v>
      </c>
      <c r="J218" s="240">
        <v>0.0</v>
      </c>
      <c r="K218" s="240">
        <v>0.0</v>
      </c>
      <c r="L218" s="240">
        <v>0.0</v>
      </c>
      <c r="M218" s="240" t="s">
        <v>3846</v>
      </c>
      <c r="N218" s="240">
        <v>0.0</v>
      </c>
    </row>
    <row r="219">
      <c r="A219" s="215">
        <v>215.0</v>
      </c>
      <c r="B219" s="237"/>
      <c r="C219" s="238">
        <v>902.0</v>
      </c>
      <c r="D219" s="238">
        <v>9040.0</v>
      </c>
      <c r="E219" s="238" t="s">
        <v>3843</v>
      </c>
      <c r="F219" s="238" t="s">
        <v>3849</v>
      </c>
      <c r="G219" s="239" t="s">
        <v>3333</v>
      </c>
      <c r="H219" s="240">
        <v>20.0</v>
      </c>
      <c r="I219" s="240">
        <v>20.0</v>
      </c>
      <c r="J219" s="240">
        <v>0.0</v>
      </c>
      <c r="K219" s="240">
        <v>0.0</v>
      </c>
      <c r="L219" s="240">
        <v>0.0</v>
      </c>
      <c r="M219" s="240" t="s">
        <v>3368</v>
      </c>
      <c r="N219" s="240">
        <v>0.0</v>
      </c>
    </row>
    <row r="220">
      <c r="A220" s="215">
        <v>216.0</v>
      </c>
      <c r="B220" s="237"/>
      <c r="C220" s="238">
        <v>902.0</v>
      </c>
      <c r="D220" s="238">
        <v>9046.0</v>
      </c>
      <c r="E220" s="238" t="s">
        <v>3843</v>
      </c>
      <c r="F220" s="238" t="s">
        <v>3850</v>
      </c>
      <c r="G220" s="239" t="s">
        <v>3333</v>
      </c>
      <c r="H220" s="240">
        <v>43.0</v>
      </c>
      <c r="I220" s="240">
        <v>24.0</v>
      </c>
      <c r="J220" s="240">
        <v>0.0</v>
      </c>
      <c r="K220" s="240">
        <v>0.0</v>
      </c>
      <c r="L220" s="240">
        <v>0.0</v>
      </c>
      <c r="M220" s="240" t="s">
        <v>3526</v>
      </c>
      <c r="N220" s="240">
        <v>19.0</v>
      </c>
    </row>
    <row r="221">
      <c r="A221" s="215">
        <v>217.0</v>
      </c>
      <c r="B221" s="237"/>
      <c r="C221" s="238">
        <v>902.0</v>
      </c>
      <c r="D221" s="238">
        <v>9139.0</v>
      </c>
      <c r="E221" s="238" t="s">
        <v>3843</v>
      </c>
      <c r="F221" s="238" t="s">
        <v>3592</v>
      </c>
      <c r="G221" s="239" t="s">
        <v>3333</v>
      </c>
      <c r="H221" s="240">
        <v>25.0</v>
      </c>
      <c r="I221" s="240">
        <v>25.0</v>
      </c>
      <c r="J221" s="240">
        <v>0.0</v>
      </c>
      <c r="K221" s="240">
        <v>0.0</v>
      </c>
      <c r="L221" s="240">
        <v>0.0</v>
      </c>
      <c r="M221" s="240" t="s">
        <v>3852</v>
      </c>
      <c r="N221" s="240">
        <v>0.0</v>
      </c>
    </row>
    <row r="222">
      <c r="A222" s="215">
        <v>218.0</v>
      </c>
      <c r="B222" s="237"/>
      <c r="C222" s="238">
        <v>902.0</v>
      </c>
      <c r="D222" s="238">
        <v>9145.0</v>
      </c>
      <c r="E222" s="238" t="s">
        <v>3843</v>
      </c>
      <c r="F222" s="238" t="s">
        <v>3853</v>
      </c>
      <c r="G222" s="239" t="s">
        <v>3333</v>
      </c>
      <c r="H222" s="240">
        <v>57.0</v>
      </c>
      <c r="I222" s="240">
        <v>57.0</v>
      </c>
      <c r="J222" s="240">
        <v>0.0</v>
      </c>
      <c r="K222" s="240">
        <v>0.0</v>
      </c>
      <c r="L222" s="240">
        <v>0.0</v>
      </c>
      <c r="M222" s="240" t="s">
        <v>3376</v>
      </c>
      <c r="N222" s="240">
        <v>0.0</v>
      </c>
    </row>
    <row r="223">
      <c r="A223" s="215">
        <v>219.0</v>
      </c>
      <c r="B223" s="237"/>
      <c r="C223" s="238">
        <v>902.0</v>
      </c>
      <c r="D223" s="238">
        <v>9181.0</v>
      </c>
      <c r="E223" s="238" t="s">
        <v>3843</v>
      </c>
      <c r="F223" s="238" t="s">
        <v>3340</v>
      </c>
      <c r="G223" s="239" t="s">
        <v>3333</v>
      </c>
      <c r="H223" s="240">
        <v>45.0</v>
      </c>
      <c r="I223" s="240">
        <v>45.0</v>
      </c>
      <c r="J223" s="240">
        <v>0.0</v>
      </c>
      <c r="K223" s="240">
        <v>0.0</v>
      </c>
      <c r="L223" s="240">
        <v>0.0</v>
      </c>
      <c r="M223" s="240" t="s">
        <v>3778</v>
      </c>
      <c r="N223" s="240">
        <v>0.0</v>
      </c>
    </row>
    <row r="224">
      <c r="A224" s="215">
        <v>220.0</v>
      </c>
      <c r="B224" s="237"/>
      <c r="C224" s="238">
        <v>902.0</v>
      </c>
      <c r="D224" s="238">
        <v>9182.0</v>
      </c>
      <c r="E224" s="238" t="s">
        <v>3843</v>
      </c>
      <c r="F224" s="238" t="s">
        <v>3730</v>
      </c>
      <c r="G224" s="239" t="s">
        <v>3333</v>
      </c>
      <c r="H224" s="240">
        <v>40.0</v>
      </c>
      <c r="I224" s="240">
        <v>40.0</v>
      </c>
      <c r="J224" s="240">
        <v>0.0</v>
      </c>
      <c r="K224" s="240">
        <v>0.0</v>
      </c>
      <c r="L224" s="240">
        <v>0.0</v>
      </c>
      <c r="M224" s="240" t="s">
        <v>3647</v>
      </c>
      <c r="N224" s="240">
        <v>0.0</v>
      </c>
    </row>
    <row r="225">
      <c r="A225" s="215">
        <v>221.0</v>
      </c>
      <c r="B225" s="237"/>
      <c r="C225" s="238">
        <v>902.0</v>
      </c>
      <c r="D225" s="238">
        <v>9204.0</v>
      </c>
      <c r="E225" s="238" t="s">
        <v>3843</v>
      </c>
      <c r="F225" s="238" t="s">
        <v>3388</v>
      </c>
      <c r="G225" s="239" t="s">
        <v>3333</v>
      </c>
      <c r="H225" s="240">
        <v>75.0</v>
      </c>
      <c r="I225" s="240">
        <v>75.0</v>
      </c>
      <c r="J225" s="240">
        <v>0.0</v>
      </c>
      <c r="K225" s="240">
        <v>2.0</v>
      </c>
      <c r="L225" s="240">
        <v>2.0</v>
      </c>
      <c r="M225" s="240" t="s">
        <v>3647</v>
      </c>
      <c r="N225" s="240">
        <v>0.0</v>
      </c>
    </row>
    <row r="226">
      <c r="A226" s="215">
        <v>222.0</v>
      </c>
      <c r="B226" s="237"/>
      <c r="C226" s="238">
        <v>902.0</v>
      </c>
      <c r="D226" s="238">
        <v>9240.0</v>
      </c>
      <c r="E226" s="238" t="s">
        <v>3843</v>
      </c>
      <c r="F226" s="238" t="s">
        <v>3346</v>
      </c>
      <c r="G226" s="239" t="s">
        <v>3333</v>
      </c>
      <c r="H226" s="240">
        <v>57.0</v>
      </c>
      <c r="I226" s="240">
        <v>57.0</v>
      </c>
      <c r="J226" s="240">
        <v>0.0</v>
      </c>
      <c r="K226" s="240">
        <v>1.0</v>
      </c>
      <c r="L226" s="240">
        <v>1.0</v>
      </c>
      <c r="M226" s="240" t="s">
        <v>3859</v>
      </c>
      <c r="N226" s="240">
        <v>0.0</v>
      </c>
    </row>
    <row r="227">
      <c r="A227" s="215">
        <v>223.0</v>
      </c>
      <c r="B227" s="237"/>
      <c r="C227" s="238">
        <v>902.0</v>
      </c>
      <c r="D227" s="238">
        <v>9252.0</v>
      </c>
      <c r="E227" s="238" t="s">
        <v>3843</v>
      </c>
      <c r="F227" s="238" t="s">
        <v>3499</v>
      </c>
      <c r="G227" s="239" t="s">
        <v>3333</v>
      </c>
      <c r="H227" s="240">
        <v>60.0</v>
      </c>
      <c r="I227" s="240">
        <v>60.0</v>
      </c>
      <c r="J227" s="240">
        <v>0.0</v>
      </c>
      <c r="K227" s="240">
        <v>1.0</v>
      </c>
      <c r="L227" s="240">
        <v>1.0</v>
      </c>
      <c r="M227" s="240" t="s">
        <v>3863</v>
      </c>
      <c r="N227" s="240">
        <v>0.0</v>
      </c>
    </row>
    <row r="228">
      <c r="A228" s="215">
        <v>224.0</v>
      </c>
      <c r="B228" s="237"/>
      <c r="C228" s="238">
        <v>902.0</v>
      </c>
      <c r="D228" s="238">
        <v>9448.0</v>
      </c>
      <c r="E228" s="238" t="s">
        <v>3843</v>
      </c>
      <c r="F228" s="238" t="s">
        <v>3674</v>
      </c>
      <c r="G228" s="239" t="s">
        <v>3333</v>
      </c>
      <c r="H228" s="240">
        <v>43.0</v>
      </c>
      <c r="I228" s="240">
        <v>43.0</v>
      </c>
      <c r="J228" s="240">
        <v>0.0</v>
      </c>
      <c r="K228" s="240">
        <v>0.0</v>
      </c>
      <c r="L228" s="240">
        <v>0.0</v>
      </c>
      <c r="M228" s="240" t="s">
        <v>3400</v>
      </c>
      <c r="N228" s="240">
        <v>0.0</v>
      </c>
    </row>
    <row r="229">
      <c r="A229" s="215">
        <v>225.0</v>
      </c>
      <c r="B229" s="237"/>
      <c r="C229" s="238">
        <v>902.0</v>
      </c>
      <c r="D229" s="238">
        <v>9917.0</v>
      </c>
      <c r="E229" s="238" t="s">
        <v>3843</v>
      </c>
      <c r="F229" s="238" t="s">
        <v>3869</v>
      </c>
      <c r="G229" s="239" t="s">
        <v>3333</v>
      </c>
      <c r="H229" s="240">
        <v>22.0</v>
      </c>
      <c r="I229" s="240">
        <v>13.0</v>
      </c>
      <c r="J229" s="240">
        <v>0.0</v>
      </c>
      <c r="K229" s="240">
        <v>0.0</v>
      </c>
      <c r="L229" s="240">
        <v>0.0</v>
      </c>
      <c r="M229" s="240" t="s">
        <v>3428</v>
      </c>
      <c r="N229" s="240">
        <v>9.0</v>
      </c>
    </row>
    <row r="230">
      <c r="A230" s="215">
        <v>226.0</v>
      </c>
      <c r="B230" s="237"/>
      <c r="C230" s="238">
        <v>903.0</v>
      </c>
      <c r="D230" s="238">
        <v>8036.0</v>
      </c>
      <c r="E230" s="238" t="s">
        <v>3872</v>
      </c>
      <c r="F230" s="238" t="s">
        <v>3873</v>
      </c>
      <c r="G230" s="239" t="s">
        <v>3333</v>
      </c>
      <c r="H230" s="240">
        <v>24.0</v>
      </c>
      <c r="I230" s="240">
        <v>24.0</v>
      </c>
      <c r="J230" s="240">
        <v>0.0</v>
      </c>
      <c r="K230" s="240">
        <v>0.0</v>
      </c>
      <c r="L230" s="240">
        <v>0.0</v>
      </c>
      <c r="M230" s="240" t="s">
        <v>3875</v>
      </c>
      <c r="N230" s="240">
        <v>0.0</v>
      </c>
    </row>
    <row r="231">
      <c r="A231" s="215">
        <v>227.0</v>
      </c>
      <c r="B231" s="237"/>
      <c r="C231" s="238">
        <v>903.0</v>
      </c>
      <c r="D231" s="238">
        <v>9015.0</v>
      </c>
      <c r="E231" s="238" t="s">
        <v>3872</v>
      </c>
      <c r="F231" s="238" t="s">
        <v>3409</v>
      </c>
      <c r="G231" s="239" t="s">
        <v>3333</v>
      </c>
      <c r="H231" s="240">
        <v>80.0</v>
      </c>
      <c r="I231" s="240">
        <v>80.0</v>
      </c>
      <c r="J231" s="240">
        <v>0.0</v>
      </c>
      <c r="K231" s="240">
        <v>0.0</v>
      </c>
      <c r="L231" s="240">
        <v>0.0</v>
      </c>
      <c r="M231" s="240" t="s">
        <v>3878</v>
      </c>
      <c r="N231" s="240">
        <v>0.0</v>
      </c>
    </row>
    <row r="232">
      <c r="A232" s="215">
        <v>228.0</v>
      </c>
      <c r="B232" s="237"/>
      <c r="C232" s="238">
        <v>903.0</v>
      </c>
      <c r="D232" s="238">
        <v>9089.0</v>
      </c>
      <c r="E232" s="238" t="s">
        <v>3872</v>
      </c>
      <c r="F232" s="238" t="s">
        <v>3456</v>
      </c>
      <c r="G232" s="239" t="s">
        <v>3333</v>
      </c>
      <c r="H232" s="240">
        <v>47.0</v>
      </c>
      <c r="I232" s="240">
        <v>47.0</v>
      </c>
      <c r="J232" s="240">
        <v>0.0</v>
      </c>
      <c r="K232" s="240">
        <v>0.0</v>
      </c>
      <c r="L232" s="240">
        <v>0.0</v>
      </c>
      <c r="M232" s="240" t="s">
        <v>3704</v>
      </c>
      <c r="N232" s="240">
        <v>0.0</v>
      </c>
    </row>
    <row r="233">
      <c r="A233" s="215">
        <v>229.0</v>
      </c>
      <c r="B233" s="237"/>
      <c r="C233" s="238">
        <v>903.0</v>
      </c>
      <c r="D233" s="238">
        <v>9096.0</v>
      </c>
      <c r="E233" s="238" t="s">
        <v>3872</v>
      </c>
      <c r="F233" s="238" t="s">
        <v>3460</v>
      </c>
      <c r="G233" s="239" t="s">
        <v>3333</v>
      </c>
      <c r="H233" s="240">
        <v>23.0</v>
      </c>
      <c r="I233" s="240">
        <v>23.0</v>
      </c>
      <c r="J233" s="240">
        <v>0.0</v>
      </c>
      <c r="K233" s="240">
        <v>0.0</v>
      </c>
      <c r="L233" s="240">
        <v>0.0</v>
      </c>
      <c r="M233" s="240" t="s">
        <v>3734</v>
      </c>
      <c r="N233" s="240">
        <v>0.0</v>
      </c>
    </row>
    <row r="234">
      <c r="A234" s="215">
        <v>230.0</v>
      </c>
      <c r="B234" s="237"/>
      <c r="C234" s="238">
        <v>903.0</v>
      </c>
      <c r="D234" s="238">
        <v>9099.0</v>
      </c>
      <c r="E234" s="238" t="s">
        <v>3872</v>
      </c>
      <c r="F234" s="238" t="s">
        <v>3463</v>
      </c>
      <c r="G234" s="239" t="s">
        <v>3333</v>
      </c>
      <c r="H234" s="240">
        <v>51.0</v>
      </c>
      <c r="I234" s="240">
        <v>30.0</v>
      </c>
      <c r="J234" s="240">
        <v>0.0</v>
      </c>
      <c r="K234" s="240">
        <v>0.0</v>
      </c>
      <c r="L234" s="240">
        <v>0.0</v>
      </c>
      <c r="M234" s="240" t="s">
        <v>3387</v>
      </c>
      <c r="N234" s="240">
        <v>21.0</v>
      </c>
    </row>
    <row r="235">
      <c r="A235" s="215">
        <v>231.0</v>
      </c>
      <c r="B235" s="237"/>
      <c r="C235" s="238">
        <v>903.0</v>
      </c>
      <c r="D235" s="238">
        <v>9104.0</v>
      </c>
      <c r="E235" s="238" t="s">
        <v>3872</v>
      </c>
      <c r="F235" s="238" t="s">
        <v>3466</v>
      </c>
      <c r="G235" s="239" t="s">
        <v>3333</v>
      </c>
      <c r="H235" s="240">
        <v>55.0</v>
      </c>
      <c r="I235" s="240">
        <v>55.0</v>
      </c>
      <c r="J235" s="240">
        <v>0.0</v>
      </c>
      <c r="K235" s="240">
        <v>0.0</v>
      </c>
      <c r="L235" s="240">
        <v>0.0</v>
      </c>
      <c r="M235" s="240" t="s">
        <v>3879</v>
      </c>
      <c r="N235" s="240">
        <v>0.0</v>
      </c>
    </row>
    <row r="236">
      <c r="A236" s="215">
        <v>232.0</v>
      </c>
      <c r="B236" s="237"/>
      <c r="C236" s="238">
        <v>903.0</v>
      </c>
      <c r="D236" s="238">
        <v>9113.0</v>
      </c>
      <c r="E236" s="238" t="s">
        <v>3872</v>
      </c>
      <c r="F236" s="238" t="s">
        <v>3469</v>
      </c>
      <c r="G236" s="239" t="s">
        <v>3333</v>
      </c>
      <c r="H236" s="240">
        <v>25.0</v>
      </c>
      <c r="I236" s="240">
        <v>25.0</v>
      </c>
      <c r="J236" s="240">
        <v>0.0</v>
      </c>
      <c r="K236" s="240">
        <v>0.0</v>
      </c>
      <c r="L236" s="240">
        <v>0.0</v>
      </c>
      <c r="M236" s="240" t="s">
        <v>3880</v>
      </c>
      <c r="N236" s="240">
        <v>0.0</v>
      </c>
    </row>
    <row r="237">
      <c r="A237" s="215">
        <v>233.0</v>
      </c>
      <c r="B237" s="237"/>
      <c r="C237" s="238">
        <v>903.0</v>
      </c>
      <c r="D237" s="238">
        <v>9119.0</v>
      </c>
      <c r="E237" s="238" t="s">
        <v>3872</v>
      </c>
      <c r="F237" s="238" t="s">
        <v>3417</v>
      </c>
      <c r="G237" s="239" t="s">
        <v>3333</v>
      </c>
      <c r="H237" s="240">
        <v>170.0</v>
      </c>
      <c r="I237" s="240">
        <v>170.0</v>
      </c>
      <c r="J237" s="240">
        <v>0.0</v>
      </c>
      <c r="K237" s="240">
        <v>0.0</v>
      </c>
      <c r="L237" s="240">
        <v>0.0</v>
      </c>
      <c r="M237" s="240" t="s">
        <v>3704</v>
      </c>
      <c r="N237" s="240">
        <v>0.0</v>
      </c>
    </row>
    <row r="238">
      <c r="A238" s="215">
        <v>234.0</v>
      </c>
      <c r="B238" s="237"/>
      <c r="C238" s="238">
        <v>903.0</v>
      </c>
      <c r="D238" s="238">
        <v>9123.0</v>
      </c>
      <c r="E238" s="238" t="s">
        <v>3872</v>
      </c>
      <c r="F238" s="238" t="s">
        <v>3471</v>
      </c>
      <c r="G238" s="239" t="s">
        <v>3333</v>
      </c>
      <c r="H238" s="240">
        <v>76.0</v>
      </c>
      <c r="I238" s="240">
        <v>76.0</v>
      </c>
      <c r="J238" s="240">
        <v>0.0</v>
      </c>
      <c r="K238" s="240">
        <v>0.0</v>
      </c>
      <c r="L238" s="240">
        <v>0.0</v>
      </c>
      <c r="M238" s="240" t="s">
        <v>3673</v>
      </c>
      <c r="N238" s="240">
        <v>0.0</v>
      </c>
    </row>
    <row r="239">
      <c r="A239" s="215">
        <v>235.0</v>
      </c>
      <c r="B239" s="237"/>
      <c r="C239" s="238">
        <v>903.0</v>
      </c>
      <c r="D239" s="238">
        <v>9126.0</v>
      </c>
      <c r="E239" s="238" t="s">
        <v>3872</v>
      </c>
      <c r="F239" s="238" t="s">
        <v>3881</v>
      </c>
      <c r="G239" s="239" t="s">
        <v>3333</v>
      </c>
      <c r="H239" s="240">
        <v>67.0</v>
      </c>
      <c r="I239" s="240">
        <v>67.0</v>
      </c>
      <c r="J239" s="240">
        <v>0.0</v>
      </c>
      <c r="K239" s="240">
        <v>0.0</v>
      </c>
      <c r="L239" s="240">
        <v>0.0</v>
      </c>
      <c r="M239" s="240" t="s">
        <v>3589</v>
      </c>
      <c r="N239" s="240">
        <v>0.0</v>
      </c>
    </row>
    <row r="240">
      <c r="A240" s="215">
        <v>236.0</v>
      </c>
      <c r="B240" s="237"/>
      <c r="C240" s="238">
        <v>903.0</v>
      </c>
      <c r="D240" s="238">
        <v>9209.0</v>
      </c>
      <c r="E240" s="238" t="s">
        <v>3872</v>
      </c>
      <c r="F240" s="238" t="s">
        <v>3494</v>
      </c>
      <c r="G240" s="239" t="s">
        <v>3333</v>
      </c>
      <c r="H240" s="240">
        <v>25.0</v>
      </c>
      <c r="I240" s="240">
        <v>25.0</v>
      </c>
      <c r="J240" s="240">
        <v>0.0</v>
      </c>
      <c r="K240" s="240">
        <v>0.0</v>
      </c>
      <c r="L240" s="240">
        <v>0.0</v>
      </c>
      <c r="M240" s="240" t="s">
        <v>3882</v>
      </c>
      <c r="N240" s="240">
        <v>0.0</v>
      </c>
    </row>
    <row r="241">
      <c r="A241" s="215">
        <v>237.0</v>
      </c>
      <c r="B241" s="237"/>
      <c r="C241" s="238">
        <v>903.0</v>
      </c>
      <c r="D241" s="238">
        <v>9224.0</v>
      </c>
      <c r="E241" s="238" t="s">
        <v>3872</v>
      </c>
      <c r="F241" s="238" t="s">
        <v>3883</v>
      </c>
      <c r="G241" s="239" t="s">
        <v>3333</v>
      </c>
      <c r="H241" s="240">
        <v>30.0</v>
      </c>
      <c r="I241" s="240">
        <v>27.0</v>
      </c>
      <c r="J241" s="240">
        <v>0.0</v>
      </c>
      <c r="K241" s="240">
        <v>0.0</v>
      </c>
      <c r="L241" s="240">
        <v>0.0</v>
      </c>
      <c r="M241" s="240" t="s">
        <v>3428</v>
      </c>
      <c r="N241" s="240">
        <v>3.0</v>
      </c>
    </row>
    <row r="242">
      <c r="A242" s="215">
        <v>238.0</v>
      </c>
      <c r="B242" s="237"/>
      <c r="C242" s="238">
        <v>903.0</v>
      </c>
      <c r="D242" s="238">
        <v>9348.0</v>
      </c>
      <c r="E242" s="238" t="s">
        <v>3872</v>
      </c>
      <c r="F242" s="238" t="s">
        <v>3884</v>
      </c>
      <c r="G242" s="239" t="s">
        <v>3333</v>
      </c>
      <c r="H242" s="240">
        <v>65.0</v>
      </c>
      <c r="I242" s="240">
        <v>65.0</v>
      </c>
      <c r="J242" s="240">
        <v>0.0</v>
      </c>
      <c r="K242" s="240">
        <v>0.0</v>
      </c>
      <c r="L242" s="240">
        <v>0.0</v>
      </c>
      <c r="M242" s="240" t="s">
        <v>3695</v>
      </c>
      <c r="N242" s="240">
        <v>0.0</v>
      </c>
    </row>
    <row r="243">
      <c r="A243" s="215">
        <v>239.0</v>
      </c>
      <c r="B243" s="237"/>
      <c r="C243" s="238">
        <v>903.0</v>
      </c>
      <c r="D243" s="238">
        <v>9455.0</v>
      </c>
      <c r="E243" s="238" t="s">
        <v>3872</v>
      </c>
      <c r="F243" s="238" t="s">
        <v>3502</v>
      </c>
      <c r="G243" s="239" t="s">
        <v>3333</v>
      </c>
      <c r="H243" s="240">
        <v>57.0</v>
      </c>
      <c r="I243" s="240">
        <v>57.0</v>
      </c>
      <c r="J243" s="240">
        <v>0.0</v>
      </c>
      <c r="K243" s="240">
        <v>0.0</v>
      </c>
      <c r="L243" s="240">
        <v>0.0</v>
      </c>
      <c r="M243" s="240" t="s">
        <v>3701</v>
      </c>
      <c r="N243" s="240">
        <v>0.0</v>
      </c>
    </row>
    <row r="244">
      <c r="A244" s="215">
        <v>240.0</v>
      </c>
      <c r="B244" s="237"/>
      <c r="C244" s="238">
        <v>903.0</v>
      </c>
      <c r="D244" s="238" t="s">
        <v>3887</v>
      </c>
      <c r="E244" s="238" t="s">
        <v>3872</v>
      </c>
      <c r="F244" s="238" t="s">
        <v>3888</v>
      </c>
      <c r="G244" s="239" t="s">
        <v>3333</v>
      </c>
      <c r="H244" s="240">
        <v>22.0</v>
      </c>
      <c r="I244" s="240">
        <v>22.0</v>
      </c>
      <c r="J244" s="240">
        <v>0.0</v>
      </c>
      <c r="K244" s="240">
        <v>0.0</v>
      </c>
      <c r="L244" s="240">
        <v>0.0</v>
      </c>
      <c r="M244" s="240" t="s">
        <v>3889</v>
      </c>
      <c r="N244" s="240">
        <v>0.0</v>
      </c>
    </row>
    <row r="245">
      <c r="A245" s="215">
        <v>241.0</v>
      </c>
      <c r="B245" s="237"/>
      <c r="C245" s="238">
        <v>903.0</v>
      </c>
      <c r="D245" s="238" t="s">
        <v>3521</v>
      </c>
      <c r="E245" s="238" t="s">
        <v>3872</v>
      </c>
      <c r="F245" s="238" t="s">
        <v>3522</v>
      </c>
      <c r="G245" s="239" t="s">
        <v>3333</v>
      </c>
      <c r="H245" s="240">
        <v>166.0</v>
      </c>
      <c r="I245" s="240">
        <v>165.0</v>
      </c>
      <c r="J245" s="240">
        <v>0.0</v>
      </c>
      <c r="K245" s="240">
        <v>0.0</v>
      </c>
      <c r="L245" s="240">
        <v>0.0</v>
      </c>
      <c r="M245" s="240" t="s">
        <v>3419</v>
      </c>
      <c r="N245" s="240">
        <v>1.0</v>
      </c>
    </row>
    <row r="246">
      <c r="A246" s="215">
        <v>242.0</v>
      </c>
      <c r="B246" s="237"/>
      <c r="C246" s="238">
        <v>903.0</v>
      </c>
      <c r="D246" s="238" t="s">
        <v>3893</v>
      </c>
      <c r="E246" s="238" t="s">
        <v>3872</v>
      </c>
      <c r="F246" s="238" t="s">
        <v>3894</v>
      </c>
      <c r="G246" s="239" t="s">
        <v>3333</v>
      </c>
      <c r="H246" s="240">
        <v>55.0</v>
      </c>
      <c r="I246" s="240">
        <v>45.0</v>
      </c>
      <c r="J246" s="240">
        <v>0.0</v>
      </c>
      <c r="K246" s="240">
        <v>0.0</v>
      </c>
      <c r="L246" s="240">
        <v>0.0</v>
      </c>
      <c r="M246" s="240" t="s">
        <v>3541</v>
      </c>
      <c r="N246" s="240">
        <v>10.0</v>
      </c>
    </row>
    <row r="247">
      <c r="A247" s="215">
        <v>243.0</v>
      </c>
      <c r="B247" s="237"/>
      <c r="C247" s="238">
        <v>903.0</v>
      </c>
      <c r="D247" s="238" t="s">
        <v>3898</v>
      </c>
      <c r="E247" s="238" t="s">
        <v>3872</v>
      </c>
      <c r="F247" s="238" t="s">
        <v>3899</v>
      </c>
      <c r="G247" s="239" t="s">
        <v>3333</v>
      </c>
      <c r="H247" s="240">
        <v>38.0</v>
      </c>
      <c r="I247" s="240">
        <v>9.0</v>
      </c>
      <c r="J247" s="240">
        <v>0.0</v>
      </c>
      <c r="K247" s="240">
        <v>0.0</v>
      </c>
      <c r="L247" s="240">
        <v>0.0</v>
      </c>
      <c r="M247" s="240" t="s">
        <v>3582</v>
      </c>
      <c r="N247" s="240">
        <v>29.0</v>
      </c>
    </row>
    <row r="248">
      <c r="A248" s="215">
        <v>244.0</v>
      </c>
      <c r="B248" s="237"/>
      <c r="C248" s="238">
        <v>903.0</v>
      </c>
      <c r="D248" s="238" t="s">
        <v>3901</v>
      </c>
      <c r="E248" s="238" t="s">
        <v>3872</v>
      </c>
      <c r="F248" s="238" t="s">
        <v>3902</v>
      </c>
      <c r="G248" s="239" t="s">
        <v>3333</v>
      </c>
      <c r="H248" s="240">
        <v>20.0</v>
      </c>
      <c r="I248" s="240">
        <v>17.0</v>
      </c>
      <c r="J248" s="240">
        <v>0.0</v>
      </c>
      <c r="K248" s="240">
        <v>0.0</v>
      </c>
      <c r="L248" s="240">
        <v>0.0</v>
      </c>
      <c r="M248" s="240" t="s">
        <v>3795</v>
      </c>
      <c r="N248" s="240">
        <v>3.0</v>
      </c>
    </row>
    <row r="249">
      <c r="A249" s="215">
        <v>245.0</v>
      </c>
      <c r="B249" s="237"/>
      <c r="C249" s="238">
        <v>903.0</v>
      </c>
      <c r="D249" s="238" t="s">
        <v>3903</v>
      </c>
      <c r="E249" s="238" t="s">
        <v>3872</v>
      </c>
      <c r="F249" s="238" t="s">
        <v>3904</v>
      </c>
      <c r="G249" s="239" t="s">
        <v>3333</v>
      </c>
      <c r="H249" s="240">
        <v>20.0</v>
      </c>
      <c r="I249" s="240">
        <v>20.0</v>
      </c>
      <c r="J249" s="240">
        <v>0.0</v>
      </c>
      <c r="K249" s="240">
        <v>0.0</v>
      </c>
      <c r="L249" s="240">
        <v>0.0</v>
      </c>
      <c r="M249" s="240" t="s">
        <v>3905</v>
      </c>
      <c r="N249" s="240">
        <v>0.0</v>
      </c>
    </row>
    <row r="250">
      <c r="A250" s="215">
        <v>246.0</v>
      </c>
      <c r="B250" s="237"/>
      <c r="C250" s="238">
        <v>904.0</v>
      </c>
      <c r="D250" s="238">
        <v>9081.0</v>
      </c>
      <c r="E250" s="238" t="s">
        <v>3906</v>
      </c>
      <c r="F250" s="238" t="s">
        <v>3379</v>
      </c>
      <c r="G250" s="239" t="s">
        <v>3333</v>
      </c>
      <c r="H250" s="240">
        <v>195.0</v>
      </c>
      <c r="I250" s="240">
        <v>195.0</v>
      </c>
      <c r="J250" s="240">
        <v>1.0</v>
      </c>
      <c r="K250" s="240">
        <v>0.0</v>
      </c>
      <c r="L250" s="240">
        <v>0.0</v>
      </c>
      <c r="M250" s="240" t="s">
        <v>3907</v>
      </c>
      <c r="N250" s="240">
        <v>0.0</v>
      </c>
    </row>
    <row r="251">
      <c r="A251" s="215">
        <v>247.0</v>
      </c>
      <c r="B251" s="237"/>
      <c r="C251" s="238">
        <v>904.0</v>
      </c>
      <c r="D251" s="238">
        <v>9147.0</v>
      </c>
      <c r="E251" s="238" t="s">
        <v>3906</v>
      </c>
      <c r="F251" s="238" t="s">
        <v>3381</v>
      </c>
      <c r="G251" s="239" t="s">
        <v>3333</v>
      </c>
      <c r="H251" s="240">
        <v>295.0</v>
      </c>
      <c r="I251" s="240">
        <v>295.0</v>
      </c>
      <c r="J251" s="240">
        <v>0.0</v>
      </c>
      <c r="K251" s="240">
        <v>0.0</v>
      </c>
      <c r="L251" s="240">
        <v>0.0</v>
      </c>
      <c r="M251" s="240" t="s">
        <v>3908</v>
      </c>
      <c r="N251" s="240">
        <v>0.0</v>
      </c>
    </row>
    <row r="252">
      <c r="A252" s="215">
        <v>248.0</v>
      </c>
      <c r="B252" s="237"/>
      <c r="C252" s="238">
        <v>904.0</v>
      </c>
      <c r="D252" s="238" t="s">
        <v>3909</v>
      </c>
      <c r="E252" s="238" t="s">
        <v>3906</v>
      </c>
      <c r="F252" s="238" t="s">
        <v>3910</v>
      </c>
      <c r="G252" s="239" t="s">
        <v>3333</v>
      </c>
      <c r="H252" s="240">
        <v>34.0</v>
      </c>
      <c r="I252" s="240">
        <v>34.0</v>
      </c>
      <c r="J252" s="240">
        <v>0.0</v>
      </c>
      <c r="K252" s="240">
        <v>2.0</v>
      </c>
      <c r="L252" s="240">
        <v>2.0</v>
      </c>
      <c r="M252" s="240" t="s">
        <v>3668</v>
      </c>
      <c r="N252" s="240">
        <v>0.0</v>
      </c>
    </row>
    <row r="253">
      <c r="A253" s="215">
        <v>249.0</v>
      </c>
      <c r="B253" s="237"/>
      <c r="C253" s="238">
        <v>906.0</v>
      </c>
      <c r="D253" s="238">
        <v>8259.0</v>
      </c>
      <c r="E253" s="238" t="s">
        <v>3911</v>
      </c>
      <c r="F253" s="238" t="s">
        <v>3912</v>
      </c>
      <c r="G253" s="239" t="s">
        <v>3333</v>
      </c>
      <c r="H253" s="240">
        <v>43.0</v>
      </c>
      <c r="I253" s="240">
        <v>32.0</v>
      </c>
      <c r="J253" s="240">
        <v>0.0</v>
      </c>
      <c r="K253" s="240">
        <v>0.0</v>
      </c>
      <c r="L253" s="240">
        <v>0.0</v>
      </c>
      <c r="M253" s="240" t="s">
        <v>3433</v>
      </c>
      <c r="N253" s="240">
        <v>11.0</v>
      </c>
    </row>
    <row r="254">
      <c r="A254" s="215">
        <v>250.0</v>
      </c>
      <c r="B254" s="237"/>
      <c r="C254" s="238">
        <v>906.0</v>
      </c>
      <c r="D254" s="238">
        <v>9155.0</v>
      </c>
      <c r="E254" s="238" t="s">
        <v>3911</v>
      </c>
      <c r="F254" s="238" t="s">
        <v>3913</v>
      </c>
      <c r="G254" s="239" t="s">
        <v>3333</v>
      </c>
      <c r="H254" s="240">
        <v>64.0</v>
      </c>
      <c r="I254" s="240">
        <v>59.0</v>
      </c>
      <c r="J254" s="240">
        <v>0.0</v>
      </c>
      <c r="K254" s="240">
        <v>0.0</v>
      </c>
      <c r="L254" s="240">
        <v>0.0</v>
      </c>
      <c r="M254" s="240" t="s">
        <v>3914</v>
      </c>
      <c r="N254" s="240">
        <v>5.0</v>
      </c>
    </row>
    <row r="255">
      <c r="A255" s="215">
        <v>251.0</v>
      </c>
      <c r="B255" s="237"/>
      <c r="C255" s="238">
        <v>906.0</v>
      </c>
      <c r="D255" s="238" t="s">
        <v>3916</v>
      </c>
      <c r="E255" s="238" t="s">
        <v>3911</v>
      </c>
      <c r="F255" s="238" t="s">
        <v>3917</v>
      </c>
      <c r="G255" s="239" t="s">
        <v>3333</v>
      </c>
      <c r="H255" s="240">
        <v>45.0</v>
      </c>
      <c r="I255" s="240">
        <v>45.0</v>
      </c>
      <c r="J255" s="240">
        <v>0.0</v>
      </c>
      <c r="K255" s="240">
        <v>0.0</v>
      </c>
      <c r="L255" s="240">
        <v>0.0</v>
      </c>
      <c r="M255" s="240" t="s">
        <v>3918</v>
      </c>
      <c r="N255" s="240">
        <v>0.0</v>
      </c>
    </row>
    <row r="256">
      <c r="A256" s="215">
        <v>252.0</v>
      </c>
      <c r="B256" s="237"/>
      <c r="C256" s="238">
        <v>911.0</v>
      </c>
      <c r="D256" s="238">
        <v>9078.0</v>
      </c>
      <c r="E256" s="238" t="s">
        <v>3920</v>
      </c>
      <c r="F256" s="238" t="s">
        <v>3694</v>
      </c>
      <c r="G256" s="239" t="s">
        <v>3333</v>
      </c>
      <c r="H256" s="240">
        <v>100.0</v>
      </c>
      <c r="I256" s="240">
        <v>100.0</v>
      </c>
      <c r="J256" s="240">
        <v>0.0</v>
      </c>
      <c r="K256" s="240">
        <v>0.0</v>
      </c>
      <c r="L256" s="240">
        <v>0.0</v>
      </c>
      <c r="M256" s="240" t="s">
        <v>3921</v>
      </c>
      <c r="N256" s="240">
        <v>0.0</v>
      </c>
    </row>
    <row r="257">
      <c r="A257" s="215">
        <v>253.0</v>
      </c>
      <c r="B257" s="237"/>
      <c r="C257" s="238">
        <v>1000.0</v>
      </c>
      <c r="D257" s="238">
        <v>8183.0</v>
      </c>
      <c r="E257" s="238" t="s">
        <v>3922</v>
      </c>
      <c r="F257" s="238" t="s">
        <v>3923</v>
      </c>
      <c r="G257" s="239" t="s">
        <v>3333</v>
      </c>
      <c r="H257" s="240">
        <v>45.0</v>
      </c>
      <c r="I257" s="240">
        <v>45.0</v>
      </c>
      <c r="J257" s="240">
        <v>0.0</v>
      </c>
      <c r="K257" s="240">
        <v>0.0</v>
      </c>
      <c r="L257" s="240">
        <v>0.0</v>
      </c>
      <c r="M257" s="240" t="s">
        <v>3668</v>
      </c>
      <c r="N257" s="240">
        <v>0.0</v>
      </c>
    </row>
    <row r="258">
      <c r="A258" s="215">
        <v>254.0</v>
      </c>
      <c r="B258" s="237"/>
      <c r="C258" s="238">
        <v>1000.0</v>
      </c>
      <c r="D258" s="238">
        <v>8184.0</v>
      </c>
      <c r="E258" s="238" t="s">
        <v>3922</v>
      </c>
      <c r="F258" s="238" t="s">
        <v>3539</v>
      </c>
      <c r="G258" s="239" t="s">
        <v>3333</v>
      </c>
      <c r="H258" s="240">
        <v>32.0</v>
      </c>
      <c r="I258" s="240">
        <v>20.0</v>
      </c>
      <c r="J258" s="240">
        <v>0.0</v>
      </c>
      <c r="K258" s="240">
        <v>0.0</v>
      </c>
      <c r="L258" s="240">
        <v>0.0</v>
      </c>
      <c r="M258" s="240" t="s">
        <v>3822</v>
      </c>
      <c r="N258" s="240">
        <v>12.0</v>
      </c>
    </row>
    <row r="259">
      <c r="A259" s="215">
        <v>255.0</v>
      </c>
      <c r="B259" s="237"/>
      <c r="C259" s="238">
        <v>1000.0</v>
      </c>
      <c r="D259" s="238">
        <v>8358.0</v>
      </c>
      <c r="E259" s="238" t="s">
        <v>3922</v>
      </c>
      <c r="F259" s="238" t="s">
        <v>3924</v>
      </c>
      <c r="G259" s="239" t="s">
        <v>3333</v>
      </c>
      <c r="H259" s="240">
        <v>15.0</v>
      </c>
      <c r="I259" s="240">
        <v>15.0</v>
      </c>
      <c r="J259" s="240">
        <v>0.0</v>
      </c>
      <c r="K259" s="240">
        <v>0.0</v>
      </c>
      <c r="L259" s="240">
        <v>0.0</v>
      </c>
      <c r="M259" s="240" t="s">
        <v>3701</v>
      </c>
      <c r="N259" s="240">
        <v>0.0</v>
      </c>
    </row>
    <row r="260">
      <c r="A260" s="215">
        <v>256.0</v>
      </c>
      <c r="B260" s="237"/>
      <c r="C260" s="238">
        <v>1000.0</v>
      </c>
      <c r="D260" s="238">
        <v>8427.0</v>
      </c>
      <c r="E260" s="238" t="s">
        <v>3922</v>
      </c>
      <c r="F260" s="238" t="s">
        <v>3925</v>
      </c>
      <c r="G260" s="239" t="s">
        <v>3333</v>
      </c>
      <c r="H260" s="240">
        <v>25.0</v>
      </c>
      <c r="I260" s="240">
        <v>7.0</v>
      </c>
      <c r="J260" s="240">
        <v>0.0</v>
      </c>
      <c r="K260" s="240">
        <v>0.0</v>
      </c>
      <c r="L260" s="240">
        <v>0.0</v>
      </c>
      <c r="M260" s="240" t="s">
        <v>3567</v>
      </c>
      <c r="N260" s="240">
        <v>18.0</v>
      </c>
    </row>
    <row r="261">
      <c r="A261" s="215">
        <v>257.0</v>
      </c>
      <c r="B261" s="237"/>
      <c r="C261" s="238">
        <v>1000.0</v>
      </c>
      <c r="D261" s="238">
        <v>8494.0</v>
      </c>
      <c r="E261" s="238" t="s">
        <v>3922</v>
      </c>
      <c r="F261" s="238" t="s">
        <v>3926</v>
      </c>
      <c r="G261" s="239" t="s">
        <v>3333</v>
      </c>
      <c r="H261" s="240">
        <v>33.0</v>
      </c>
      <c r="I261" s="240">
        <v>33.0</v>
      </c>
      <c r="J261" s="240">
        <v>0.0</v>
      </c>
      <c r="K261" s="240">
        <v>0.0</v>
      </c>
      <c r="L261" s="240">
        <v>0.0</v>
      </c>
      <c r="M261" s="240" t="s">
        <v>3927</v>
      </c>
      <c r="N261" s="240">
        <v>0.0</v>
      </c>
    </row>
    <row r="262">
      <c r="A262" s="215">
        <v>258.0</v>
      </c>
      <c r="B262" s="237"/>
      <c r="C262" s="238">
        <v>1000.0</v>
      </c>
      <c r="D262" s="238">
        <v>9002.0</v>
      </c>
      <c r="E262" s="238" t="s">
        <v>3922</v>
      </c>
      <c r="F262" s="238" t="s">
        <v>3443</v>
      </c>
      <c r="G262" s="239" t="s">
        <v>3333</v>
      </c>
      <c r="H262" s="240">
        <v>41.0</v>
      </c>
      <c r="I262" s="240">
        <v>41.0</v>
      </c>
      <c r="J262" s="240">
        <v>1.0</v>
      </c>
      <c r="K262" s="240">
        <v>0.0</v>
      </c>
      <c r="L262" s="240">
        <v>0.0</v>
      </c>
      <c r="M262" s="240" t="s">
        <v>3928</v>
      </c>
      <c r="N262" s="240">
        <v>0.0</v>
      </c>
    </row>
    <row r="263">
      <c r="A263" s="215">
        <v>259.0</v>
      </c>
      <c r="B263" s="237"/>
      <c r="C263" s="238">
        <v>1000.0</v>
      </c>
      <c r="D263" s="238">
        <v>9006.0</v>
      </c>
      <c r="E263" s="238" t="s">
        <v>3922</v>
      </c>
      <c r="F263" s="238" t="s">
        <v>3717</v>
      </c>
      <c r="G263" s="239" t="s">
        <v>3333</v>
      </c>
      <c r="H263" s="240">
        <v>20.0</v>
      </c>
      <c r="I263" s="240">
        <v>20.0</v>
      </c>
      <c r="J263" s="240">
        <v>0.0</v>
      </c>
      <c r="K263" s="240">
        <v>0.0</v>
      </c>
      <c r="L263" s="240">
        <v>0.0</v>
      </c>
      <c r="M263" s="240" t="s">
        <v>3930</v>
      </c>
      <c r="N263" s="240">
        <v>0.0</v>
      </c>
    </row>
    <row r="264">
      <c r="A264" s="215">
        <v>260.0</v>
      </c>
      <c r="B264" s="237"/>
      <c r="C264" s="238">
        <v>1000.0</v>
      </c>
      <c r="D264" s="238">
        <v>9012.0</v>
      </c>
      <c r="E264" s="238" t="s">
        <v>3922</v>
      </c>
      <c r="F264" s="238" t="s">
        <v>3446</v>
      </c>
      <c r="G264" s="239" t="s">
        <v>3333</v>
      </c>
      <c r="H264" s="240">
        <v>49.0</v>
      </c>
      <c r="I264" s="240">
        <v>23.0</v>
      </c>
      <c r="J264" s="240">
        <v>0.0</v>
      </c>
      <c r="K264" s="240">
        <v>0.0</v>
      </c>
      <c r="L264" s="240">
        <v>0.0</v>
      </c>
      <c r="M264" s="240" t="s">
        <v>3608</v>
      </c>
      <c r="N264" s="240">
        <v>26.0</v>
      </c>
    </row>
    <row r="265">
      <c r="A265" s="215">
        <v>261.0</v>
      </c>
      <c r="B265" s="237"/>
      <c r="C265" s="238">
        <v>1000.0</v>
      </c>
      <c r="D265" s="238">
        <v>9015.0</v>
      </c>
      <c r="E265" s="238" t="s">
        <v>3922</v>
      </c>
      <c r="F265" s="238" t="s">
        <v>3409</v>
      </c>
      <c r="G265" s="239" t="s">
        <v>3333</v>
      </c>
      <c r="H265" s="240">
        <v>61.0</v>
      </c>
      <c r="I265" s="240">
        <v>61.0</v>
      </c>
      <c r="J265" s="240">
        <v>0.0</v>
      </c>
      <c r="K265" s="240">
        <v>0.0</v>
      </c>
      <c r="L265" s="240">
        <v>0.0</v>
      </c>
      <c r="M265" s="240" t="s">
        <v>3742</v>
      </c>
      <c r="N265" s="240">
        <v>0.0</v>
      </c>
    </row>
    <row r="266">
      <c r="A266" s="215">
        <v>262.0</v>
      </c>
      <c r="B266" s="237"/>
      <c r="C266" s="238">
        <v>1000.0</v>
      </c>
      <c r="D266" s="238">
        <v>9019.0</v>
      </c>
      <c r="E266" s="238" t="s">
        <v>3922</v>
      </c>
      <c r="F266" s="238" t="s">
        <v>3934</v>
      </c>
      <c r="G266" s="239" t="s">
        <v>3333</v>
      </c>
      <c r="H266" s="240">
        <v>31.0</v>
      </c>
      <c r="I266" s="240">
        <v>31.0</v>
      </c>
      <c r="J266" s="240">
        <v>0.0</v>
      </c>
      <c r="K266" s="240">
        <v>0.0</v>
      </c>
      <c r="L266" s="240">
        <v>0.0</v>
      </c>
      <c r="M266" s="240" t="s">
        <v>3586</v>
      </c>
      <c r="N266" s="240">
        <v>0.0</v>
      </c>
    </row>
    <row r="267">
      <c r="A267" s="215">
        <v>263.0</v>
      </c>
      <c r="B267" s="237"/>
      <c r="C267" s="238">
        <v>1000.0</v>
      </c>
      <c r="D267" s="238">
        <v>9023.0</v>
      </c>
      <c r="E267" s="238" t="s">
        <v>3922</v>
      </c>
      <c r="F267" s="238" t="s">
        <v>3549</v>
      </c>
      <c r="G267" s="239" t="s">
        <v>3333</v>
      </c>
      <c r="H267" s="240">
        <v>65.0</v>
      </c>
      <c r="I267" s="240">
        <v>65.0</v>
      </c>
      <c r="J267" s="240">
        <v>0.0</v>
      </c>
      <c r="K267" s="240">
        <v>0.0</v>
      </c>
      <c r="L267" s="240">
        <v>0.0</v>
      </c>
      <c r="M267" s="240" t="s">
        <v>3879</v>
      </c>
      <c r="N267" s="240">
        <v>0.0</v>
      </c>
    </row>
    <row r="268">
      <c r="A268" s="215">
        <v>264.0</v>
      </c>
      <c r="B268" s="237"/>
      <c r="C268" s="238">
        <v>1000.0</v>
      </c>
      <c r="D268" s="238">
        <v>9056.0</v>
      </c>
      <c r="E268" s="238" t="s">
        <v>3922</v>
      </c>
      <c r="F268" s="238" t="s">
        <v>3939</v>
      </c>
      <c r="G268" s="239" t="s">
        <v>3333</v>
      </c>
      <c r="H268" s="240">
        <v>35.0</v>
      </c>
      <c r="I268" s="240">
        <v>35.0</v>
      </c>
      <c r="J268" s="240">
        <v>0.0</v>
      </c>
      <c r="K268" s="240">
        <v>0.0</v>
      </c>
      <c r="L268" s="240">
        <v>0.0</v>
      </c>
      <c r="M268" s="240" t="s">
        <v>3941</v>
      </c>
      <c r="N268" s="240">
        <v>0.0</v>
      </c>
    </row>
    <row r="269">
      <c r="A269" s="215">
        <v>265.0</v>
      </c>
      <c r="B269" s="237"/>
      <c r="C269" s="238">
        <v>1000.0</v>
      </c>
      <c r="D269" s="238">
        <v>9078.0</v>
      </c>
      <c r="E269" s="238" t="s">
        <v>3922</v>
      </c>
      <c r="F269" s="238" t="s">
        <v>3694</v>
      </c>
      <c r="G269" s="239" t="s">
        <v>3333</v>
      </c>
      <c r="H269" s="240">
        <v>110.0</v>
      </c>
      <c r="I269" s="240">
        <v>110.0</v>
      </c>
      <c r="J269" s="240">
        <v>0.0</v>
      </c>
      <c r="K269" s="240">
        <v>1.0</v>
      </c>
      <c r="L269" s="240">
        <v>1.0</v>
      </c>
      <c r="M269" s="240" t="s">
        <v>3943</v>
      </c>
      <c r="N269" s="240">
        <v>0.0</v>
      </c>
    </row>
    <row r="270">
      <c r="A270" s="215">
        <v>266.0</v>
      </c>
      <c r="B270" s="237"/>
      <c r="C270" s="238">
        <v>1000.0</v>
      </c>
      <c r="D270" s="238">
        <v>9081.0</v>
      </c>
      <c r="E270" s="238" t="s">
        <v>3922</v>
      </c>
      <c r="F270" s="238" t="s">
        <v>3379</v>
      </c>
      <c r="G270" s="239" t="s">
        <v>3333</v>
      </c>
      <c r="H270" s="240">
        <v>84.0</v>
      </c>
      <c r="I270" s="240">
        <v>84.0</v>
      </c>
      <c r="J270" s="240">
        <v>1.0</v>
      </c>
      <c r="K270" s="240">
        <v>0.0</v>
      </c>
      <c r="L270" s="240">
        <v>0.0</v>
      </c>
      <c r="M270" s="240" t="s">
        <v>3945</v>
      </c>
      <c r="N270" s="240">
        <v>0.0</v>
      </c>
    </row>
    <row r="271">
      <c r="A271" s="215">
        <v>267.0</v>
      </c>
      <c r="B271" s="237"/>
      <c r="C271" s="238">
        <v>1000.0</v>
      </c>
      <c r="D271" s="238">
        <v>9089.0</v>
      </c>
      <c r="E271" s="238" t="s">
        <v>3922</v>
      </c>
      <c r="F271" s="238" t="s">
        <v>3456</v>
      </c>
      <c r="G271" s="239" t="s">
        <v>3333</v>
      </c>
      <c r="H271" s="240">
        <v>34.0</v>
      </c>
      <c r="I271" s="240">
        <v>34.0</v>
      </c>
      <c r="J271" s="240">
        <v>0.0</v>
      </c>
      <c r="K271" s="240">
        <v>0.0</v>
      </c>
      <c r="L271" s="240">
        <v>0.0</v>
      </c>
      <c r="M271" s="240" t="s">
        <v>3878</v>
      </c>
      <c r="N271" s="240">
        <v>0.0</v>
      </c>
    </row>
    <row r="272">
      <c r="A272" s="215">
        <v>268.0</v>
      </c>
      <c r="B272" s="237"/>
      <c r="C272" s="238">
        <v>1000.0</v>
      </c>
      <c r="D272" s="238">
        <v>9096.0</v>
      </c>
      <c r="E272" s="238" t="s">
        <v>3922</v>
      </c>
      <c r="F272" s="238" t="s">
        <v>3460</v>
      </c>
      <c r="G272" s="239" t="s">
        <v>3333</v>
      </c>
      <c r="H272" s="240">
        <v>27.0</v>
      </c>
      <c r="I272" s="240">
        <v>26.0</v>
      </c>
      <c r="J272" s="240">
        <v>0.0</v>
      </c>
      <c r="K272" s="240">
        <v>0.0</v>
      </c>
      <c r="L272" s="240">
        <v>0.0</v>
      </c>
      <c r="M272" s="240" t="s">
        <v>3946</v>
      </c>
      <c r="N272" s="240">
        <v>1.0</v>
      </c>
    </row>
    <row r="273">
      <c r="A273" s="215">
        <v>269.0</v>
      </c>
      <c r="B273" s="237"/>
      <c r="C273" s="238">
        <v>1000.0</v>
      </c>
      <c r="D273" s="238">
        <v>9098.0</v>
      </c>
      <c r="E273" s="238" t="s">
        <v>3922</v>
      </c>
      <c r="F273" s="238" t="s">
        <v>3947</v>
      </c>
      <c r="G273" s="239" t="s">
        <v>3333</v>
      </c>
      <c r="H273" s="240">
        <v>36.0</v>
      </c>
      <c r="I273" s="240">
        <v>14.0</v>
      </c>
      <c r="J273" s="240">
        <v>0.0</v>
      </c>
      <c r="K273" s="240">
        <v>0.0</v>
      </c>
      <c r="L273" s="240">
        <v>0.0</v>
      </c>
      <c r="M273" s="240" t="s">
        <v>3611</v>
      </c>
      <c r="N273" s="240">
        <v>22.0</v>
      </c>
    </row>
    <row r="274">
      <c r="A274" s="215">
        <v>270.0</v>
      </c>
      <c r="B274" s="237"/>
      <c r="C274" s="238">
        <v>1000.0</v>
      </c>
      <c r="D274" s="238">
        <v>9104.0</v>
      </c>
      <c r="E274" s="238" t="s">
        <v>3922</v>
      </c>
      <c r="F274" s="238" t="s">
        <v>3466</v>
      </c>
      <c r="G274" s="239" t="s">
        <v>3333</v>
      </c>
      <c r="H274" s="240">
        <v>68.0</v>
      </c>
      <c r="I274" s="240">
        <v>68.0</v>
      </c>
      <c r="J274" s="240">
        <v>0.0</v>
      </c>
      <c r="K274" s="240">
        <v>0.0</v>
      </c>
      <c r="L274" s="240">
        <v>0.0</v>
      </c>
      <c r="M274" s="240" t="s">
        <v>3949</v>
      </c>
      <c r="N274" s="240">
        <v>0.0</v>
      </c>
    </row>
    <row r="275">
      <c r="A275" s="215">
        <v>271.0</v>
      </c>
      <c r="B275" s="237"/>
      <c r="C275" s="238">
        <v>1000.0</v>
      </c>
      <c r="D275" s="238">
        <v>9113.0</v>
      </c>
      <c r="E275" s="238" t="s">
        <v>3922</v>
      </c>
      <c r="F275" s="238" t="s">
        <v>3469</v>
      </c>
      <c r="G275" s="239" t="s">
        <v>3333</v>
      </c>
      <c r="H275" s="240">
        <v>35.0</v>
      </c>
      <c r="I275" s="240">
        <v>35.0</v>
      </c>
      <c r="J275" s="240">
        <v>0.0</v>
      </c>
      <c r="K275" s="240">
        <v>0.0</v>
      </c>
      <c r="L275" s="240">
        <v>0.0</v>
      </c>
      <c r="M275" s="240" t="s">
        <v>3734</v>
      </c>
      <c r="N275" s="240">
        <v>0.0</v>
      </c>
    </row>
    <row r="276">
      <c r="A276" s="215">
        <v>272.0</v>
      </c>
      <c r="B276" s="237"/>
      <c r="C276" s="238">
        <v>1000.0</v>
      </c>
      <c r="D276" s="238">
        <v>9119.0</v>
      </c>
      <c r="E276" s="238" t="s">
        <v>3922</v>
      </c>
      <c r="F276" s="238" t="s">
        <v>3417</v>
      </c>
      <c r="G276" s="239" t="s">
        <v>3333</v>
      </c>
      <c r="H276" s="240">
        <v>170.0</v>
      </c>
      <c r="I276" s="240">
        <v>170.0</v>
      </c>
      <c r="J276" s="240">
        <v>0.0</v>
      </c>
      <c r="K276" s="240">
        <v>0.0</v>
      </c>
      <c r="L276" s="240">
        <v>0.0</v>
      </c>
      <c r="M276" s="240" t="s">
        <v>3574</v>
      </c>
      <c r="N276" s="240">
        <v>0.0</v>
      </c>
    </row>
    <row r="277">
      <c r="A277" s="215">
        <v>273.0</v>
      </c>
      <c r="B277" s="237"/>
      <c r="C277" s="238">
        <v>1000.0</v>
      </c>
      <c r="D277" s="238">
        <v>9123.0</v>
      </c>
      <c r="E277" s="238" t="s">
        <v>3922</v>
      </c>
      <c r="F277" s="238" t="s">
        <v>3471</v>
      </c>
      <c r="G277" s="239" t="s">
        <v>3333</v>
      </c>
      <c r="H277" s="240">
        <v>83.0</v>
      </c>
      <c r="I277" s="240">
        <v>83.0</v>
      </c>
      <c r="J277" s="240">
        <v>0.0</v>
      </c>
      <c r="K277" s="240">
        <v>0.0</v>
      </c>
      <c r="L277" s="240">
        <v>0.0</v>
      </c>
      <c r="M277" s="240" t="s">
        <v>3950</v>
      </c>
      <c r="N277" s="240">
        <v>0.0</v>
      </c>
    </row>
    <row r="278">
      <c r="A278" s="215">
        <v>274.0</v>
      </c>
      <c r="B278" s="237"/>
      <c r="C278" s="238">
        <v>1000.0</v>
      </c>
      <c r="D278" s="238">
        <v>9126.0</v>
      </c>
      <c r="E278" s="238" t="s">
        <v>3922</v>
      </c>
      <c r="F278" s="238" t="s">
        <v>3881</v>
      </c>
      <c r="G278" s="239" t="s">
        <v>3333</v>
      </c>
      <c r="H278" s="240">
        <v>41.0</v>
      </c>
      <c r="I278" s="240">
        <v>32.0</v>
      </c>
      <c r="J278" s="240">
        <v>0.0</v>
      </c>
      <c r="K278" s="240">
        <v>0.0</v>
      </c>
      <c r="L278" s="240">
        <v>0.0</v>
      </c>
      <c r="M278" s="240" t="s">
        <v>3590</v>
      </c>
      <c r="N278" s="240">
        <v>9.0</v>
      </c>
    </row>
    <row r="279">
      <c r="A279" s="215">
        <v>275.0</v>
      </c>
      <c r="B279" s="237"/>
      <c r="C279" s="238">
        <v>1000.0</v>
      </c>
      <c r="D279" s="238">
        <v>9127.0</v>
      </c>
      <c r="E279" s="238" t="s">
        <v>3922</v>
      </c>
      <c r="F279" s="238" t="s">
        <v>3951</v>
      </c>
      <c r="G279" s="239" t="s">
        <v>3333</v>
      </c>
      <c r="H279" s="240">
        <v>19.0</v>
      </c>
      <c r="I279" s="240">
        <v>4.0</v>
      </c>
      <c r="J279" s="240">
        <v>0.0</v>
      </c>
      <c r="K279" s="240">
        <v>0.0</v>
      </c>
      <c r="L279" s="240">
        <v>0.0</v>
      </c>
      <c r="M279" s="240" t="s">
        <v>3952</v>
      </c>
      <c r="N279" s="240">
        <v>15.0</v>
      </c>
    </row>
    <row r="280">
      <c r="A280" s="215">
        <v>276.0</v>
      </c>
      <c r="B280" s="237"/>
      <c r="C280" s="238">
        <v>1000.0</v>
      </c>
      <c r="D280" s="238">
        <v>9134.0</v>
      </c>
      <c r="E280" s="238" t="s">
        <v>3922</v>
      </c>
      <c r="F280" s="238" t="s">
        <v>3953</v>
      </c>
      <c r="G280" s="239" t="s">
        <v>3333</v>
      </c>
      <c r="H280" s="240">
        <v>21.0</v>
      </c>
      <c r="I280" s="240">
        <v>20.0</v>
      </c>
      <c r="J280" s="240">
        <v>0.0</v>
      </c>
      <c r="K280" s="240">
        <v>1.0</v>
      </c>
      <c r="L280" s="240">
        <v>0.0</v>
      </c>
      <c r="M280" s="240" t="s">
        <v>3954</v>
      </c>
      <c r="N280" s="240">
        <v>0.0</v>
      </c>
    </row>
    <row r="281">
      <c r="A281" s="215">
        <v>277.0</v>
      </c>
      <c r="B281" s="237"/>
      <c r="C281" s="238">
        <v>1000.0</v>
      </c>
      <c r="D281" s="238">
        <v>9139.0</v>
      </c>
      <c r="E281" s="238" t="s">
        <v>3922</v>
      </c>
      <c r="F281" s="238" t="s">
        <v>3592</v>
      </c>
      <c r="G281" s="239" t="s">
        <v>3333</v>
      </c>
      <c r="H281" s="240">
        <v>27.0</v>
      </c>
      <c r="I281" s="240">
        <v>27.0</v>
      </c>
      <c r="J281" s="240">
        <v>0.0</v>
      </c>
      <c r="K281" s="240">
        <v>0.0</v>
      </c>
      <c r="L281" s="240">
        <v>0.0</v>
      </c>
      <c r="M281" s="240" t="s">
        <v>3500</v>
      </c>
      <c r="N281" s="240">
        <v>0.0</v>
      </c>
    </row>
    <row r="282">
      <c r="A282" s="215">
        <v>278.0</v>
      </c>
      <c r="B282" s="237"/>
      <c r="C282" s="238">
        <v>1000.0</v>
      </c>
      <c r="D282" s="238">
        <v>9141.0</v>
      </c>
      <c r="E282" s="238" t="s">
        <v>3922</v>
      </c>
      <c r="F282" s="238" t="s">
        <v>3476</v>
      </c>
      <c r="G282" s="239" t="s">
        <v>3333</v>
      </c>
      <c r="H282" s="240">
        <v>24.0</v>
      </c>
      <c r="I282" s="240">
        <v>8.0</v>
      </c>
      <c r="J282" s="240">
        <v>0.0</v>
      </c>
      <c r="K282" s="240">
        <v>0.0</v>
      </c>
      <c r="L282" s="240">
        <v>0.0</v>
      </c>
      <c r="M282" s="240" t="s">
        <v>3955</v>
      </c>
      <c r="N282" s="240">
        <v>16.0</v>
      </c>
    </row>
    <row r="283">
      <c r="A283" s="215">
        <v>279.0</v>
      </c>
      <c r="B283" s="237"/>
      <c r="C283" s="238">
        <v>1000.0</v>
      </c>
      <c r="D283" s="238">
        <v>9146.0</v>
      </c>
      <c r="E283" s="238" t="s">
        <v>3922</v>
      </c>
      <c r="F283" s="238" t="s">
        <v>3478</v>
      </c>
      <c r="G283" s="239" t="s">
        <v>3333</v>
      </c>
      <c r="H283" s="240">
        <v>20.0</v>
      </c>
      <c r="I283" s="240">
        <v>2.0</v>
      </c>
      <c r="J283" s="240">
        <v>0.0</v>
      </c>
      <c r="K283" s="240">
        <v>0.0</v>
      </c>
      <c r="L283" s="240">
        <v>0.0</v>
      </c>
      <c r="M283" s="240" t="s">
        <v>3392</v>
      </c>
      <c r="N283" s="240">
        <v>18.0</v>
      </c>
    </row>
    <row r="284">
      <c r="A284" s="215">
        <v>280.0</v>
      </c>
      <c r="B284" s="237"/>
      <c r="C284" s="238">
        <v>1000.0</v>
      </c>
      <c r="D284" s="238">
        <v>9147.0</v>
      </c>
      <c r="E284" s="238" t="s">
        <v>3922</v>
      </c>
      <c r="F284" s="238" t="s">
        <v>3381</v>
      </c>
      <c r="G284" s="239" t="s">
        <v>3333</v>
      </c>
      <c r="H284" s="240">
        <v>94.0</v>
      </c>
      <c r="I284" s="240">
        <v>94.0</v>
      </c>
      <c r="J284" s="240">
        <v>0.0</v>
      </c>
      <c r="K284" s="240">
        <v>0.0</v>
      </c>
      <c r="L284" s="240">
        <v>0.0</v>
      </c>
      <c r="M284" s="240" t="s">
        <v>3957</v>
      </c>
      <c r="N284" s="240">
        <v>0.0</v>
      </c>
    </row>
    <row r="285">
      <c r="A285" s="215">
        <v>281.0</v>
      </c>
      <c r="B285" s="237"/>
      <c r="C285" s="238">
        <v>1000.0</v>
      </c>
      <c r="D285" s="238">
        <v>9181.0</v>
      </c>
      <c r="E285" s="238" t="s">
        <v>3922</v>
      </c>
      <c r="F285" s="238" t="s">
        <v>3340</v>
      </c>
      <c r="G285" s="239" t="s">
        <v>3333</v>
      </c>
      <c r="H285" s="240">
        <v>43.0</v>
      </c>
      <c r="I285" s="240">
        <v>43.0</v>
      </c>
      <c r="J285" s="240">
        <v>0.0</v>
      </c>
      <c r="K285" s="240">
        <v>0.0</v>
      </c>
      <c r="L285" s="240">
        <v>0.0</v>
      </c>
      <c r="M285" s="240" t="s">
        <v>3390</v>
      </c>
      <c r="N285" s="240">
        <v>0.0</v>
      </c>
    </row>
    <row r="286">
      <c r="A286" s="215">
        <v>282.0</v>
      </c>
      <c r="B286" s="237"/>
      <c r="C286" s="238">
        <v>1000.0</v>
      </c>
      <c r="D286" s="238">
        <v>9192.0</v>
      </c>
      <c r="E286" s="238" t="s">
        <v>3922</v>
      </c>
      <c r="F286" s="238" t="s">
        <v>3960</v>
      </c>
      <c r="G286" s="239" t="s">
        <v>3333</v>
      </c>
      <c r="H286" s="240">
        <v>51.0</v>
      </c>
      <c r="I286" s="240">
        <v>51.0</v>
      </c>
      <c r="J286" s="240">
        <v>0.0</v>
      </c>
      <c r="K286" s="240">
        <v>0.0</v>
      </c>
      <c r="L286" s="240">
        <v>0.0</v>
      </c>
      <c r="M286" s="240" t="s">
        <v>3961</v>
      </c>
      <c r="N286" s="240">
        <v>0.0</v>
      </c>
    </row>
    <row r="287">
      <c r="A287" s="215">
        <v>283.0</v>
      </c>
      <c r="B287" s="237"/>
      <c r="C287" s="238">
        <v>1000.0</v>
      </c>
      <c r="D287" s="238">
        <v>9195.0</v>
      </c>
      <c r="E287" s="238" t="s">
        <v>3922</v>
      </c>
      <c r="F287" s="238" t="s">
        <v>3964</v>
      </c>
      <c r="G287" s="239" t="s">
        <v>3333</v>
      </c>
      <c r="H287" s="240">
        <v>60.0</v>
      </c>
      <c r="I287" s="240">
        <v>38.0</v>
      </c>
      <c r="J287" s="240">
        <v>0.0</v>
      </c>
      <c r="K287" s="240">
        <v>2.0</v>
      </c>
      <c r="L287" s="240">
        <v>0.0</v>
      </c>
      <c r="M287" s="240" t="s">
        <v>3795</v>
      </c>
      <c r="N287" s="240">
        <v>20.0</v>
      </c>
    </row>
    <row r="288">
      <c r="A288" s="215">
        <v>284.0</v>
      </c>
      <c r="B288" s="237"/>
      <c r="C288" s="238">
        <v>1000.0</v>
      </c>
      <c r="D288" s="238">
        <v>9205.0</v>
      </c>
      <c r="E288" s="238" t="s">
        <v>3922</v>
      </c>
      <c r="F288" s="238" t="s">
        <v>3595</v>
      </c>
      <c r="G288" s="239" t="s">
        <v>3333</v>
      </c>
      <c r="H288" s="240">
        <v>45.0</v>
      </c>
      <c r="I288" s="240">
        <v>45.0</v>
      </c>
      <c r="J288" s="240">
        <v>0.0</v>
      </c>
      <c r="K288" s="240">
        <v>0.0</v>
      </c>
      <c r="L288" s="240">
        <v>0.0</v>
      </c>
      <c r="M288" s="240" t="s">
        <v>3626</v>
      </c>
      <c r="N288" s="240">
        <v>0.0</v>
      </c>
    </row>
    <row r="289">
      <c r="A289" s="215">
        <v>285.0</v>
      </c>
      <c r="B289" s="237"/>
      <c r="C289" s="238">
        <v>1000.0</v>
      </c>
      <c r="D289" s="238">
        <v>9209.0</v>
      </c>
      <c r="E289" s="238" t="s">
        <v>3922</v>
      </c>
      <c r="F289" s="238" t="s">
        <v>3494</v>
      </c>
      <c r="G289" s="239" t="s">
        <v>3333</v>
      </c>
      <c r="H289" s="240">
        <v>35.0</v>
      </c>
      <c r="I289" s="240">
        <v>35.0</v>
      </c>
      <c r="J289" s="240">
        <v>0.0</v>
      </c>
      <c r="K289" s="240">
        <v>0.0</v>
      </c>
      <c r="L289" s="240">
        <v>0.0</v>
      </c>
      <c r="M289" s="240" t="s">
        <v>3650</v>
      </c>
      <c r="N289" s="240">
        <v>0.0</v>
      </c>
    </row>
    <row r="290">
      <c r="A290" s="215">
        <v>286.0</v>
      </c>
      <c r="B290" s="237"/>
      <c r="C290" s="238">
        <v>1000.0</v>
      </c>
      <c r="D290" s="238">
        <v>9219.0</v>
      </c>
      <c r="E290" s="238" t="s">
        <v>3922</v>
      </c>
      <c r="F290" s="238" t="s">
        <v>3342</v>
      </c>
      <c r="G290" s="239" t="s">
        <v>3333</v>
      </c>
      <c r="H290" s="240">
        <v>67.0</v>
      </c>
      <c r="I290" s="240">
        <v>67.0</v>
      </c>
      <c r="J290" s="240">
        <v>0.0</v>
      </c>
      <c r="K290" s="240">
        <v>0.0</v>
      </c>
      <c r="L290" s="240">
        <v>0.0</v>
      </c>
      <c r="M290" s="240" t="s">
        <v>3971</v>
      </c>
      <c r="N290" s="240">
        <v>0.0</v>
      </c>
    </row>
    <row r="291">
      <c r="A291" s="215">
        <v>287.0</v>
      </c>
      <c r="B291" s="237"/>
      <c r="C291" s="238">
        <v>1000.0</v>
      </c>
      <c r="D291" s="238">
        <v>9223.0</v>
      </c>
      <c r="E291" s="238" t="s">
        <v>3922</v>
      </c>
      <c r="F291" s="238" t="s">
        <v>3497</v>
      </c>
      <c r="G291" s="239" t="s">
        <v>3333</v>
      </c>
      <c r="H291" s="240">
        <v>19.0</v>
      </c>
      <c r="I291" s="240">
        <v>2.0</v>
      </c>
      <c r="J291" s="240">
        <v>0.0</v>
      </c>
      <c r="K291" s="240">
        <v>0.0</v>
      </c>
      <c r="L291" s="240">
        <v>0.0</v>
      </c>
      <c r="M291" s="240" t="s">
        <v>3419</v>
      </c>
      <c r="N291" s="240">
        <v>17.0</v>
      </c>
    </row>
    <row r="292">
      <c r="A292" s="215">
        <v>288.0</v>
      </c>
      <c r="B292" s="237"/>
      <c r="C292" s="238">
        <v>1000.0</v>
      </c>
      <c r="D292" s="238">
        <v>9229.0</v>
      </c>
      <c r="E292" s="238" t="s">
        <v>3922</v>
      </c>
      <c r="F292" s="238" t="s">
        <v>3700</v>
      </c>
      <c r="G292" s="239" t="s">
        <v>3333</v>
      </c>
      <c r="H292" s="240">
        <v>67.0</v>
      </c>
      <c r="I292" s="240">
        <v>67.0</v>
      </c>
      <c r="J292" s="240">
        <v>0.0</v>
      </c>
      <c r="K292" s="240">
        <v>1.0</v>
      </c>
      <c r="L292" s="240">
        <v>1.0</v>
      </c>
      <c r="M292" s="240" t="s">
        <v>3495</v>
      </c>
      <c r="N292" s="240">
        <v>0.0</v>
      </c>
    </row>
    <row r="293">
      <c r="A293" s="215">
        <v>289.0</v>
      </c>
      <c r="B293" s="237"/>
      <c r="C293" s="238">
        <v>1000.0</v>
      </c>
      <c r="D293" s="238">
        <v>9240.0</v>
      </c>
      <c r="E293" s="238" t="s">
        <v>3922</v>
      </c>
      <c r="F293" s="238" t="s">
        <v>3346</v>
      </c>
      <c r="G293" s="239" t="s">
        <v>3333</v>
      </c>
      <c r="H293" s="240">
        <v>56.0</v>
      </c>
      <c r="I293" s="240">
        <v>56.0</v>
      </c>
      <c r="J293" s="240">
        <v>0.0</v>
      </c>
      <c r="K293" s="240">
        <v>1.0</v>
      </c>
      <c r="L293" s="240">
        <v>1.0</v>
      </c>
      <c r="M293" s="240" t="s">
        <v>3658</v>
      </c>
      <c r="N293" s="240">
        <v>0.0</v>
      </c>
    </row>
    <row r="294">
      <c r="A294" s="215">
        <v>290.0</v>
      </c>
      <c r="B294" s="237"/>
      <c r="C294" s="238">
        <v>1000.0</v>
      </c>
      <c r="D294" s="238">
        <v>9243.0</v>
      </c>
      <c r="E294" s="238" t="s">
        <v>3922</v>
      </c>
      <c r="F294" s="238" t="s">
        <v>3794</v>
      </c>
      <c r="G294" s="239" t="s">
        <v>3333</v>
      </c>
      <c r="H294" s="240">
        <v>25.0</v>
      </c>
      <c r="I294" s="240">
        <v>25.0</v>
      </c>
      <c r="J294" s="240">
        <v>0.0</v>
      </c>
      <c r="K294" s="240">
        <v>0.0</v>
      </c>
      <c r="L294" s="240">
        <v>0.0</v>
      </c>
      <c r="M294" s="240" t="s">
        <v>3414</v>
      </c>
      <c r="N294" s="240">
        <v>0.0</v>
      </c>
    </row>
    <row r="295">
      <c r="A295" s="215">
        <v>291.0</v>
      </c>
      <c r="B295" s="237"/>
      <c r="C295" s="238">
        <v>1000.0</v>
      </c>
      <c r="D295" s="238">
        <v>9257.0</v>
      </c>
      <c r="E295" s="238" t="s">
        <v>3922</v>
      </c>
      <c r="F295" s="238" t="s">
        <v>3602</v>
      </c>
      <c r="G295" s="239" t="s">
        <v>3425</v>
      </c>
      <c r="H295" s="240">
        <v>55.0</v>
      </c>
      <c r="I295" s="240">
        <v>55.0</v>
      </c>
      <c r="J295" s="240">
        <v>0.0</v>
      </c>
      <c r="K295" s="240">
        <v>0.0</v>
      </c>
      <c r="L295" s="240">
        <v>0.0</v>
      </c>
      <c r="M295" s="240" t="s">
        <v>3364</v>
      </c>
      <c r="N295" s="240">
        <v>0.0</v>
      </c>
    </row>
    <row r="296">
      <c r="A296" s="215">
        <v>292.0</v>
      </c>
      <c r="B296" s="237"/>
      <c r="C296" s="238">
        <v>1000.0</v>
      </c>
      <c r="D296" s="238">
        <v>9353.0</v>
      </c>
      <c r="E296" s="238" t="s">
        <v>3922</v>
      </c>
      <c r="F296" s="238" t="s">
        <v>3973</v>
      </c>
      <c r="G296" s="239" t="s">
        <v>3333</v>
      </c>
      <c r="H296" s="240">
        <v>51.0</v>
      </c>
      <c r="I296" s="240">
        <v>51.0</v>
      </c>
      <c r="J296" s="240">
        <v>0.0</v>
      </c>
      <c r="K296" s="240">
        <v>0.0</v>
      </c>
      <c r="L296" s="240">
        <v>0.0</v>
      </c>
      <c r="M296" s="240" t="s">
        <v>3349</v>
      </c>
      <c r="N296" s="240">
        <v>0.0</v>
      </c>
    </row>
    <row r="297">
      <c r="A297" s="215">
        <v>293.0</v>
      </c>
      <c r="B297" s="237"/>
      <c r="C297" s="238">
        <v>1000.0</v>
      </c>
      <c r="D297" s="238">
        <v>9379.0</v>
      </c>
      <c r="E297" s="238" t="s">
        <v>3922</v>
      </c>
      <c r="F297" s="238" t="s">
        <v>3975</v>
      </c>
      <c r="G297" s="239" t="s">
        <v>3333</v>
      </c>
      <c r="H297" s="240">
        <v>40.0</v>
      </c>
      <c r="I297" s="240">
        <v>9.0</v>
      </c>
      <c r="J297" s="240">
        <v>0.0</v>
      </c>
      <c r="K297" s="240">
        <v>0.0</v>
      </c>
      <c r="L297" s="240">
        <v>0.0</v>
      </c>
      <c r="M297" s="240" t="s">
        <v>3905</v>
      </c>
      <c r="N297" s="240">
        <v>31.0</v>
      </c>
    </row>
    <row r="298">
      <c r="A298" s="215">
        <v>294.0</v>
      </c>
      <c r="B298" s="237"/>
      <c r="C298" s="238">
        <v>1000.0</v>
      </c>
      <c r="D298" s="238">
        <v>9381.0</v>
      </c>
      <c r="E298" s="238" t="s">
        <v>3922</v>
      </c>
      <c r="F298" s="238" t="s">
        <v>3976</v>
      </c>
      <c r="G298" s="239" t="s">
        <v>3333</v>
      </c>
      <c r="H298" s="240">
        <v>25.0</v>
      </c>
      <c r="I298" s="240">
        <v>22.0</v>
      </c>
      <c r="J298" s="240">
        <v>0.0</v>
      </c>
      <c r="K298" s="240">
        <v>0.0</v>
      </c>
      <c r="L298" s="240">
        <v>0.0</v>
      </c>
      <c r="M298" s="240" t="s">
        <v>3771</v>
      </c>
      <c r="N298" s="240">
        <v>3.0</v>
      </c>
    </row>
    <row r="299">
      <c r="A299" s="215">
        <v>295.0</v>
      </c>
      <c r="B299" s="237"/>
      <c r="C299" s="238">
        <v>1000.0</v>
      </c>
      <c r="D299" s="238">
        <v>9397.0</v>
      </c>
      <c r="E299" s="238" t="s">
        <v>3922</v>
      </c>
      <c r="F299" s="238" t="s">
        <v>3977</v>
      </c>
      <c r="G299" s="239" t="s">
        <v>3333</v>
      </c>
      <c r="H299" s="240">
        <v>77.0</v>
      </c>
      <c r="I299" s="240">
        <v>33.0</v>
      </c>
      <c r="J299" s="240">
        <v>0.0</v>
      </c>
      <c r="K299" s="240">
        <v>0.0</v>
      </c>
      <c r="L299" s="240">
        <v>0.0</v>
      </c>
      <c r="M299" s="240" t="s">
        <v>3978</v>
      </c>
      <c r="N299" s="240">
        <v>44.0</v>
      </c>
    </row>
    <row r="300">
      <c r="A300" s="215">
        <v>296.0</v>
      </c>
      <c r="B300" s="237"/>
      <c r="C300" s="238">
        <v>1000.0</v>
      </c>
      <c r="D300" s="238">
        <v>9455.0</v>
      </c>
      <c r="E300" s="238" t="s">
        <v>3922</v>
      </c>
      <c r="F300" s="238" t="s">
        <v>3502</v>
      </c>
      <c r="G300" s="239" t="s">
        <v>3333</v>
      </c>
      <c r="H300" s="240">
        <v>65.0</v>
      </c>
      <c r="I300" s="240">
        <v>65.0</v>
      </c>
      <c r="J300" s="240">
        <v>0.0</v>
      </c>
      <c r="K300" s="240">
        <v>0.0</v>
      </c>
      <c r="L300" s="240">
        <v>0.0</v>
      </c>
      <c r="M300" s="240" t="s">
        <v>3547</v>
      </c>
      <c r="N300" s="240">
        <v>0.0</v>
      </c>
    </row>
    <row r="301">
      <c r="A301" s="215">
        <v>297.0</v>
      </c>
      <c r="B301" s="237"/>
      <c r="C301" s="238">
        <v>1000.0</v>
      </c>
      <c r="D301" s="238">
        <v>9499.0</v>
      </c>
      <c r="E301" s="238" t="s">
        <v>3922</v>
      </c>
      <c r="F301" s="238" t="s">
        <v>3979</v>
      </c>
      <c r="G301" s="239" t="s">
        <v>3333</v>
      </c>
      <c r="H301" s="240">
        <v>30.0</v>
      </c>
      <c r="I301" s="240">
        <v>30.0</v>
      </c>
      <c r="J301" s="240">
        <v>0.0</v>
      </c>
      <c r="K301" s="240">
        <v>0.0</v>
      </c>
      <c r="L301" s="240">
        <v>0.0</v>
      </c>
      <c r="M301" s="240" t="s">
        <v>3343</v>
      </c>
      <c r="N301" s="240">
        <v>0.0</v>
      </c>
    </row>
    <row r="302">
      <c r="A302" s="215">
        <v>298.0</v>
      </c>
      <c r="B302" s="237"/>
      <c r="C302" s="238">
        <v>1000.0</v>
      </c>
      <c r="D302" s="238">
        <v>9688.0</v>
      </c>
      <c r="E302" s="238" t="s">
        <v>3922</v>
      </c>
      <c r="F302" s="238" t="s">
        <v>3980</v>
      </c>
      <c r="G302" s="239" t="s">
        <v>3333</v>
      </c>
      <c r="H302" s="240">
        <v>57.0</v>
      </c>
      <c r="I302" s="240">
        <v>21.0</v>
      </c>
      <c r="J302" s="240">
        <v>0.0</v>
      </c>
      <c r="K302" s="240">
        <v>0.0</v>
      </c>
      <c r="L302" s="240">
        <v>0.0</v>
      </c>
      <c r="M302" s="240" t="s">
        <v>3795</v>
      </c>
      <c r="N302" s="240">
        <v>36.0</v>
      </c>
    </row>
    <row r="303">
      <c r="A303" s="215">
        <v>299.0</v>
      </c>
      <c r="B303" s="237"/>
      <c r="C303" s="238">
        <v>1000.0</v>
      </c>
      <c r="D303" s="238">
        <v>9785.0</v>
      </c>
      <c r="E303" s="238" t="s">
        <v>3922</v>
      </c>
      <c r="F303" s="238" t="s">
        <v>3981</v>
      </c>
      <c r="G303" s="239" t="s">
        <v>3333</v>
      </c>
      <c r="H303" s="240">
        <v>33.0</v>
      </c>
      <c r="I303" s="240">
        <v>33.0</v>
      </c>
      <c r="J303" s="240">
        <v>0.0</v>
      </c>
      <c r="K303" s="240">
        <v>0.0</v>
      </c>
      <c r="L303" s="240">
        <v>0.0</v>
      </c>
      <c r="M303" s="240" t="s">
        <v>3626</v>
      </c>
      <c r="N303" s="240">
        <v>0.0</v>
      </c>
    </row>
    <row r="304">
      <c r="A304" s="215">
        <v>300.0</v>
      </c>
      <c r="B304" s="237"/>
      <c r="C304" s="238">
        <v>1000.0</v>
      </c>
      <c r="D304" s="238">
        <v>9813.0</v>
      </c>
      <c r="E304" s="238" t="s">
        <v>3922</v>
      </c>
      <c r="F304" s="238" t="s">
        <v>3505</v>
      </c>
      <c r="G304" s="239" t="s">
        <v>3425</v>
      </c>
      <c r="H304" s="240">
        <v>122.0</v>
      </c>
      <c r="I304" s="240">
        <v>122.0</v>
      </c>
      <c r="J304" s="240">
        <v>0.0</v>
      </c>
      <c r="K304" s="240">
        <v>0.0</v>
      </c>
      <c r="L304" s="240">
        <v>0.0</v>
      </c>
      <c r="M304" s="240" t="s">
        <v>3982</v>
      </c>
      <c r="N304" s="240">
        <v>0.0</v>
      </c>
    </row>
    <row r="305">
      <c r="A305" s="215">
        <v>301.0</v>
      </c>
      <c r="B305" s="237"/>
      <c r="C305" s="238">
        <v>1000.0</v>
      </c>
      <c r="D305" s="238">
        <v>9817.0</v>
      </c>
      <c r="E305" s="238" t="s">
        <v>3922</v>
      </c>
      <c r="F305" s="238" t="s">
        <v>3391</v>
      </c>
      <c r="G305" s="239" t="s">
        <v>3333</v>
      </c>
      <c r="H305" s="240">
        <v>26.0</v>
      </c>
      <c r="I305" s="240">
        <v>26.0</v>
      </c>
      <c r="J305" s="240">
        <v>0.0</v>
      </c>
      <c r="K305" s="240">
        <v>0.0</v>
      </c>
      <c r="L305" s="240">
        <v>0.0</v>
      </c>
      <c r="M305" s="240" t="s">
        <v>3984</v>
      </c>
      <c r="N305" s="240">
        <v>0.0</v>
      </c>
    </row>
    <row r="306">
      <c r="A306" s="215">
        <v>302.0</v>
      </c>
      <c r="B306" s="237"/>
      <c r="C306" s="238">
        <v>1000.0</v>
      </c>
      <c r="D306" s="238">
        <v>9853.0</v>
      </c>
      <c r="E306" s="238" t="s">
        <v>3922</v>
      </c>
      <c r="F306" s="238" t="s">
        <v>3350</v>
      </c>
      <c r="G306" s="239" t="s">
        <v>3333</v>
      </c>
      <c r="H306" s="240">
        <v>69.0</v>
      </c>
      <c r="I306" s="240">
        <v>69.0</v>
      </c>
      <c r="J306" s="240">
        <v>0.0</v>
      </c>
      <c r="K306" s="240">
        <v>0.0</v>
      </c>
      <c r="L306" s="240">
        <v>0.0</v>
      </c>
      <c r="M306" s="240" t="s">
        <v>3985</v>
      </c>
      <c r="N306" s="240">
        <v>0.0</v>
      </c>
    </row>
    <row r="307">
      <c r="A307" s="215">
        <v>303.0</v>
      </c>
      <c r="B307" s="237"/>
      <c r="C307" s="238">
        <v>1000.0</v>
      </c>
      <c r="D307" s="238">
        <v>9917.0</v>
      </c>
      <c r="E307" s="238" t="s">
        <v>3922</v>
      </c>
      <c r="F307" s="238" t="s">
        <v>3869</v>
      </c>
      <c r="G307" s="239" t="s">
        <v>3333</v>
      </c>
      <c r="H307" s="240">
        <v>32.0</v>
      </c>
      <c r="I307" s="240">
        <v>23.0</v>
      </c>
      <c r="J307" s="240">
        <v>0.0</v>
      </c>
      <c r="K307" s="240">
        <v>0.0</v>
      </c>
      <c r="L307" s="240">
        <v>0.0</v>
      </c>
      <c r="M307" s="240" t="s">
        <v>3707</v>
      </c>
      <c r="N307" s="240">
        <v>9.0</v>
      </c>
    </row>
    <row r="308">
      <c r="A308" s="215">
        <v>304.0</v>
      </c>
      <c r="B308" s="237"/>
      <c r="C308" s="238">
        <v>1000.0</v>
      </c>
      <c r="D308" s="238" t="s">
        <v>3987</v>
      </c>
      <c r="E308" s="238" t="s">
        <v>3922</v>
      </c>
      <c r="F308" s="238" t="s">
        <v>3988</v>
      </c>
      <c r="G308" s="239" t="s">
        <v>3333</v>
      </c>
      <c r="H308" s="240">
        <v>35.0</v>
      </c>
      <c r="I308" s="240">
        <v>35.0</v>
      </c>
      <c r="J308" s="240">
        <v>0.0</v>
      </c>
      <c r="K308" s="240">
        <v>0.0</v>
      </c>
      <c r="L308" s="240">
        <v>0.0</v>
      </c>
      <c r="M308" s="240" t="s">
        <v>3454</v>
      </c>
      <c r="N308" s="240">
        <v>0.0</v>
      </c>
    </row>
    <row r="309">
      <c r="A309" s="215">
        <v>305.0</v>
      </c>
      <c r="B309" s="237"/>
      <c r="C309" s="238">
        <v>1000.0</v>
      </c>
      <c r="D309" s="238" t="s">
        <v>3990</v>
      </c>
      <c r="E309" s="238" t="s">
        <v>3922</v>
      </c>
      <c r="F309" s="238" t="s">
        <v>3992</v>
      </c>
      <c r="G309" s="239" t="s">
        <v>3333</v>
      </c>
      <c r="H309" s="240">
        <v>21.0</v>
      </c>
      <c r="I309" s="240">
        <v>21.0</v>
      </c>
      <c r="J309" s="240">
        <v>0.0</v>
      </c>
      <c r="K309" s="240">
        <v>0.0</v>
      </c>
      <c r="L309" s="240">
        <v>0.0</v>
      </c>
      <c r="M309" s="240" t="s">
        <v>3650</v>
      </c>
      <c r="N309" s="240">
        <v>0.0</v>
      </c>
    </row>
    <row r="310">
      <c r="A310" s="215">
        <v>306.0</v>
      </c>
      <c r="B310" s="237"/>
      <c r="C310" s="238">
        <v>1000.0</v>
      </c>
      <c r="D310" s="238" t="s">
        <v>3994</v>
      </c>
      <c r="E310" s="238" t="s">
        <v>3922</v>
      </c>
      <c r="F310" s="238" t="s">
        <v>3995</v>
      </c>
      <c r="G310" s="239" t="s">
        <v>3333</v>
      </c>
      <c r="H310" s="240">
        <v>39.0</v>
      </c>
      <c r="I310" s="240">
        <v>16.0</v>
      </c>
      <c r="J310" s="240">
        <v>0.0</v>
      </c>
      <c r="K310" s="240">
        <v>0.0</v>
      </c>
      <c r="L310" s="240">
        <v>0.0</v>
      </c>
      <c r="M310" s="240" t="s">
        <v>3905</v>
      </c>
      <c r="N310" s="240">
        <v>23.0</v>
      </c>
    </row>
    <row r="311">
      <c r="A311" s="215">
        <v>307.0</v>
      </c>
      <c r="B311" s="237"/>
      <c r="C311" s="238">
        <v>1000.0</v>
      </c>
      <c r="D311" s="238" t="s">
        <v>3916</v>
      </c>
      <c r="E311" s="238" t="s">
        <v>3922</v>
      </c>
      <c r="F311" s="238" t="s">
        <v>3917</v>
      </c>
      <c r="G311" s="239" t="s">
        <v>3333</v>
      </c>
      <c r="H311" s="240">
        <v>34.0</v>
      </c>
      <c r="I311" s="240">
        <v>34.0</v>
      </c>
      <c r="J311" s="240">
        <v>0.0</v>
      </c>
      <c r="K311" s="240">
        <v>0.0</v>
      </c>
      <c r="L311" s="240">
        <v>0.0</v>
      </c>
      <c r="M311" s="240" t="s">
        <v>3961</v>
      </c>
      <c r="N311" s="240">
        <v>0.0</v>
      </c>
    </row>
    <row r="312">
      <c r="A312" s="215">
        <v>308.0</v>
      </c>
      <c r="B312" s="237"/>
      <c r="C312" s="238">
        <v>1000.0</v>
      </c>
      <c r="D312" s="238" t="s">
        <v>3999</v>
      </c>
      <c r="E312" s="238" t="s">
        <v>3922</v>
      </c>
      <c r="F312" s="238" t="s">
        <v>4000</v>
      </c>
      <c r="G312" s="239" t="s">
        <v>3333</v>
      </c>
      <c r="H312" s="240">
        <v>141.0</v>
      </c>
      <c r="I312" s="240">
        <v>141.0</v>
      </c>
      <c r="J312" s="240">
        <v>0.0</v>
      </c>
      <c r="K312" s="240">
        <v>0.0</v>
      </c>
      <c r="L312" s="240">
        <v>0.0</v>
      </c>
      <c r="M312" s="240" t="s">
        <v>3742</v>
      </c>
      <c r="N312" s="240">
        <v>0.0</v>
      </c>
    </row>
    <row r="313">
      <c r="A313" s="215">
        <v>309.0</v>
      </c>
      <c r="B313" s="237"/>
      <c r="C313" s="238">
        <v>1000.0</v>
      </c>
      <c r="D313" s="238" t="s">
        <v>4003</v>
      </c>
      <c r="E313" s="238" t="s">
        <v>3922</v>
      </c>
      <c r="F313" s="238" t="s">
        <v>4004</v>
      </c>
      <c r="G313" s="239" t="s">
        <v>3333</v>
      </c>
      <c r="H313" s="240">
        <v>88.0</v>
      </c>
      <c r="I313" s="240">
        <v>88.0</v>
      </c>
      <c r="J313" s="240">
        <v>0.0</v>
      </c>
      <c r="K313" s="240">
        <v>0.0</v>
      </c>
      <c r="L313" s="240">
        <v>0.0</v>
      </c>
      <c r="M313" s="240" t="s">
        <v>3771</v>
      </c>
      <c r="N313" s="240">
        <v>0.0</v>
      </c>
    </row>
    <row r="314">
      <c r="A314" s="215">
        <v>310.0</v>
      </c>
      <c r="B314" s="237"/>
      <c r="C314" s="238">
        <v>1000.0</v>
      </c>
      <c r="D314" s="238" t="s">
        <v>3527</v>
      </c>
      <c r="E314" s="238" t="s">
        <v>3922</v>
      </c>
      <c r="F314" s="238" t="s">
        <v>3528</v>
      </c>
      <c r="G314" s="239" t="s">
        <v>3333</v>
      </c>
      <c r="H314" s="240">
        <v>31.0</v>
      </c>
      <c r="I314" s="240">
        <v>31.0</v>
      </c>
      <c r="J314" s="240">
        <v>0.0</v>
      </c>
      <c r="K314" s="240">
        <v>0.0</v>
      </c>
      <c r="L314" s="240">
        <v>0.0</v>
      </c>
      <c r="M314" s="240" t="s">
        <v>4006</v>
      </c>
      <c r="N314" s="240">
        <v>0.0</v>
      </c>
    </row>
    <row r="315">
      <c r="A315" s="215">
        <v>311.0</v>
      </c>
      <c r="B315" s="237"/>
      <c r="C315" s="238">
        <v>1000.0</v>
      </c>
      <c r="D315" s="238" t="s">
        <v>4007</v>
      </c>
      <c r="E315" s="238" t="s">
        <v>3922</v>
      </c>
      <c r="F315" s="238" t="s">
        <v>4008</v>
      </c>
      <c r="G315" s="239" t="s">
        <v>3333</v>
      </c>
      <c r="H315" s="240">
        <v>20.0</v>
      </c>
      <c r="I315" s="240">
        <v>20.0</v>
      </c>
      <c r="J315" s="240">
        <v>0.0</v>
      </c>
      <c r="K315" s="240">
        <v>0.0</v>
      </c>
      <c r="L315" s="240">
        <v>0.0</v>
      </c>
      <c r="M315" s="240" t="s">
        <v>3339</v>
      </c>
      <c r="N315" s="240">
        <v>0.0</v>
      </c>
    </row>
    <row r="316">
      <c r="A316" s="215">
        <v>312.0</v>
      </c>
      <c r="B316" s="237"/>
      <c r="C316" s="238">
        <v>1101.0</v>
      </c>
      <c r="D316" s="238">
        <v>9554.0</v>
      </c>
      <c r="E316" s="238" t="s">
        <v>4009</v>
      </c>
      <c r="F316" s="238" t="s">
        <v>3836</v>
      </c>
      <c r="G316" s="239" t="s">
        <v>3333</v>
      </c>
      <c r="H316" s="240">
        <v>65.0</v>
      </c>
      <c r="I316" s="240">
        <v>49.0</v>
      </c>
      <c r="J316" s="240">
        <v>0.0</v>
      </c>
      <c r="K316" s="240">
        <v>0.0</v>
      </c>
      <c r="L316" s="240">
        <v>0.0</v>
      </c>
      <c r="M316" s="240" t="s">
        <v>4010</v>
      </c>
      <c r="N316" s="240">
        <v>16.0</v>
      </c>
    </row>
    <row r="317">
      <c r="A317" s="215">
        <v>313.0</v>
      </c>
      <c r="B317" s="237"/>
      <c r="C317" s="238">
        <v>1102.0</v>
      </c>
      <c r="D317" s="238">
        <v>9257.0</v>
      </c>
      <c r="E317" s="238" t="s">
        <v>4011</v>
      </c>
      <c r="F317" s="238" t="s">
        <v>3602</v>
      </c>
      <c r="G317" s="239" t="s">
        <v>3425</v>
      </c>
      <c r="H317" s="240">
        <v>124.0</v>
      </c>
      <c r="I317" s="240">
        <v>124.0</v>
      </c>
      <c r="J317" s="240">
        <v>0.0</v>
      </c>
      <c r="K317" s="240">
        <v>0.0</v>
      </c>
      <c r="L317" s="240">
        <v>0.0</v>
      </c>
      <c r="M317" s="240" t="s">
        <v>4012</v>
      </c>
      <c r="N317" s="240">
        <v>0.0</v>
      </c>
    </row>
    <row r="318">
      <c r="A318" s="215">
        <v>314.0</v>
      </c>
      <c r="B318" s="237"/>
      <c r="C318" s="238">
        <v>1103.0</v>
      </c>
      <c r="D318" s="238">
        <v>8258.0</v>
      </c>
      <c r="E318" s="238" t="s">
        <v>4014</v>
      </c>
      <c r="F318" s="238" t="s">
        <v>3399</v>
      </c>
      <c r="G318" s="239" t="s">
        <v>3333</v>
      </c>
      <c r="H318" s="240">
        <v>25.0</v>
      </c>
      <c r="I318" s="240">
        <v>25.0</v>
      </c>
      <c r="J318" s="240">
        <v>0.0</v>
      </c>
      <c r="K318" s="240">
        <v>0.0</v>
      </c>
      <c r="L318" s="240">
        <v>0.0</v>
      </c>
      <c r="M318" s="240" t="s">
        <v>3507</v>
      </c>
      <c r="N318" s="240">
        <v>0.0</v>
      </c>
    </row>
    <row r="319">
      <c r="A319" s="215">
        <v>315.0</v>
      </c>
      <c r="B319" s="237"/>
      <c r="C319" s="238">
        <v>1103.0</v>
      </c>
      <c r="D319" s="238">
        <v>9011.0</v>
      </c>
      <c r="E319" s="238" t="s">
        <v>4014</v>
      </c>
      <c r="F319" s="238" t="s">
        <v>3366</v>
      </c>
      <c r="G319" s="239" t="s">
        <v>3333</v>
      </c>
      <c r="H319" s="240">
        <v>131.0</v>
      </c>
      <c r="I319" s="240">
        <v>131.0</v>
      </c>
      <c r="J319" s="240">
        <v>0.0</v>
      </c>
      <c r="K319" s="240">
        <v>0.0</v>
      </c>
      <c r="L319" s="240">
        <v>0.0</v>
      </c>
      <c r="M319" s="240" t="s">
        <v>4016</v>
      </c>
      <c r="N319" s="240">
        <v>0.0</v>
      </c>
    </row>
    <row r="320">
      <c r="A320" s="215">
        <v>316.0</v>
      </c>
      <c r="B320" s="237"/>
      <c r="C320" s="238">
        <v>1103.0</v>
      </c>
      <c r="D320" s="238">
        <v>9015.0</v>
      </c>
      <c r="E320" s="238" t="s">
        <v>4014</v>
      </c>
      <c r="F320" s="238" t="s">
        <v>3409</v>
      </c>
      <c r="G320" s="239" t="s">
        <v>3333</v>
      </c>
      <c r="H320" s="240">
        <v>92.0</v>
      </c>
      <c r="I320" s="240">
        <v>92.0</v>
      </c>
      <c r="J320" s="240">
        <v>0.0</v>
      </c>
      <c r="K320" s="240">
        <v>0.0</v>
      </c>
      <c r="L320" s="240">
        <v>0.0</v>
      </c>
      <c r="M320" s="240" t="s">
        <v>4017</v>
      </c>
      <c r="N320" s="240">
        <v>0.0</v>
      </c>
    </row>
    <row r="321">
      <c r="A321" s="215">
        <v>317.0</v>
      </c>
      <c r="B321" s="237"/>
      <c r="C321" s="238">
        <v>1103.0</v>
      </c>
      <c r="D321" s="238">
        <v>9086.0</v>
      </c>
      <c r="E321" s="238" t="s">
        <v>4014</v>
      </c>
      <c r="F321" s="238" t="s">
        <v>4018</v>
      </c>
      <c r="G321" s="239" t="s">
        <v>3333</v>
      </c>
      <c r="H321" s="240">
        <v>21.0</v>
      </c>
      <c r="I321" s="240">
        <v>10.0</v>
      </c>
      <c r="J321" s="240">
        <v>0.0</v>
      </c>
      <c r="K321" s="240">
        <v>0.0</v>
      </c>
      <c r="L321" s="240">
        <v>0.0</v>
      </c>
      <c r="M321" s="240" t="s">
        <v>4019</v>
      </c>
      <c r="N321" s="240">
        <v>11.0</v>
      </c>
    </row>
    <row r="322">
      <c r="A322" s="215">
        <v>318.0</v>
      </c>
      <c r="B322" s="237"/>
      <c r="C322" s="238">
        <v>1103.0</v>
      </c>
      <c r="D322" s="238">
        <v>9113.0</v>
      </c>
      <c r="E322" s="238" t="s">
        <v>4014</v>
      </c>
      <c r="F322" s="238" t="s">
        <v>3469</v>
      </c>
      <c r="G322" s="239" t="s">
        <v>3333</v>
      </c>
      <c r="H322" s="240">
        <v>60.0</v>
      </c>
      <c r="I322" s="240">
        <v>59.0</v>
      </c>
      <c r="J322" s="240">
        <v>0.0</v>
      </c>
      <c r="K322" s="240">
        <v>0.0</v>
      </c>
      <c r="L322" s="240">
        <v>0.0</v>
      </c>
      <c r="M322" s="240" t="s">
        <v>3859</v>
      </c>
      <c r="N322" s="240">
        <v>1.0</v>
      </c>
    </row>
    <row r="323">
      <c r="A323" s="215">
        <v>319.0</v>
      </c>
      <c r="B323" s="237"/>
      <c r="C323" s="238">
        <v>1103.0</v>
      </c>
      <c r="D323" s="238">
        <v>9141.0</v>
      </c>
      <c r="E323" s="238" t="s">
        <v>4014</v>
      </c>
      <c r="F323" s="238" t="s">
        <v>3476</v>
      </c>
      <c r="G323" s="239" t="s">
        <v>3333</v>
      </c>
      <c r="H323" s="240">
        <v>45.0</v>
      </c>
      <c r="I323" s="240">
        <v>39.0</v>
      </c>
      <c r="J323" s="240">
        <v>0.0</v>
      </c>
      <c r="K323" s="240">
        <v>0.0</v>
      </c>
      <c r="L323" s="240">
        <v>0.0</v>
      </c>
      <c r="M323" s="240" t="s">
        <v>3384</v>
      </c>
      <c r="N323" s="240">
        <v>6.0</v>
      </c>
    </row>
    <row r="324">
      <c r="A324" s="215">
        <v>320.0</v>
      </c>
      <c r="B324" s="237"/>
      <c r="C324" s="238">
        <v>1103.0</v>
      </c>
      <c r="D324" s="238">
        <v>9146.0</v>
      </c>
      <c r="E324" s="238" t="s">
        <v>4014</v>
      </c>
      <c r="F324" s="238" t="s">
        <v>3478</v>
      </c>
      <c r="G324" s="239" t="s">
        <v>3333</v>
      </c>
      <c r="H324" s="240">
        <v>33.0</v>
      </c>
      <c r="I324" s="240">
        <v>16.0</v>
      </c>
      <c r="J324" s="240">
        <v>0.0</v>
      </c>
      <c r="K324" s="240">
        <v>0.0</v>
      </c>
      <c r="L324" s="240">
        <v>0.0</v>
      </c>
      <c r="M324" s="240" t="s">
        <v>4020</v>
      </c>
      <c r="N324" s="240">
        <v>17.0</v>
      </c>
    </row>
    <row r="325">
      <c r="A325" s="215">
        <v>321.0</v>
      </c>
      <c r="B325" s="237"/>
      <c r="C325" s="238">
        <v>1103.0</v>
      </c>
      <c r="D325" s="238">
        <v>9209.0</v>
      </c>
      <c r="E325" s="238" t="s">
        <v>4014</v>
      </c>
      <c r="F325" s="238" t="s">
        <v>3494</v>
      </c>
      <c r="G325" s="239" t="s">
        <v>3333</v>
      </c>
      <c r="H325" s="240">
        <v>56.0</v>
      </c>
      <c r="I325" s="240">
        <v>56.0</v>
      </c>
      <c r="J325" s="240">
        <v>0.0</v>
      </c>
      <c r="K325" s="240">
        <v>0.0</v>
      </c>
      <c r="L325" s="240">
        <v>0.0</v>
      </c>
      <c r="M325" s="240" t="s">
        <v>3500</v>
      </c>
      <c r="N325" s="240">
        <v>0.0</v>
      </c>
    </row>
    <row r="326">
      <c r="A326" s="215">
        <v>322.0</v>
      </c>
      <c r="B326" s="237"/>
      <c r="C326" s="238">
        <v>1103.0</v>
      </c>
      <c r="D326" s="238">
        <v>9223.0</v>
      </c>
      <c r="E326" s="238" t="s">
        <v>4014</v>
      </c>
      <c r="F326" s="238" t="s">
        <v>3497</v>
      </c>
      <c r="G326" s="239" t="s">
        <v>3333</v>
      </c>
      <c r="H326" s="240">
        <v>40.0</v>
      </c>
      <c r="I326" s="240">
        <v>8.0</v>
      </c>
      <c r="J326" s="240">
        <v>0.0</v>
      </c>
      <c r="K326" s="240">
        <v>0.0</v>
      </c>
      <c r="L326" s="240">
        <v>0.0</v>
      </c>
      <c r="M326" s="240" t="s">
        <v>3392</v>
      </c>
      <c r="N326" s="240">
        <v>32.0</v>
      </c>
    </row>
    <row r="327">
      <c r="A327" s="215">
        <v>323.0</v>
      </c>
      <c r="B327" s="237"/>
      <c r="C327" s="238">
        <v>1103.0</v>
      </c>
      <c r="D327" s="238">
        <v>9385.0</v>
      </c>
      <c r="E327" s="238" t="s">
        <v>4014</v>
      </c>
      <c r="F327" s="238" t="s">
        <v>4024</v>
      </c>
      <c r="G327" s="239" t="s">
        <v>3333</v>
      </c>
      <c r="H327" s="240">
        <v>60.0</v>
      </c>
      <c r="I327" s="240">
        <v>60.0</v>
      </c>
      <c r="J327" s="240">
        <v>0.0</v>
      </c>
      <c r="K327" s="240">
        <v>0.0</v>
      </c>
      <c r="L327" s="240">
        <v>0.0</v>
      </c>
      <c r="M327" s="240" t="s">
        <v>3724</v>
      </c>
      <c r="N327" s="240">
        <v>0.0</v>
      </c>
    </row>
    <row r="328">
      <c r="A328" s="215">
        <v>324.0</v>
      </c>
      <c r="B328" s="237"/>
      <c r="C328" s="238">
        <v>1103.0</v>
      </c>
      <c r="D328" s="238">
        <v>9687.0</v>
      </c>
      <c r="E328" s="238" t="s">
        <v>4014</v>
      </c>
      <c r="F328" s="238" t="s">
        <v>4028</v>
      </c>
      <c r="G328" s="239" t="s">
        <v>3333</v>
      </c>
      <c r="H328" s="240">
        <v>37.0</v>
      </c>
      <c r="I328" s="240">
        <v>36.0</v>
      </c>
      <c r="J328" s="240">
        <v>0.0</v>
      </c>
      <c r="K328" s="240">
        <v>0.0</v>
      </c>
      <c r="L328" s="240">
        <v>0.0</v>
      </c>
      <c r="M328" s="240" t="s">
        <v>3723</v>
      </c>
      <c r="N328" s="240">
        <v>1.0</v>
      </c>
    </row>
    <row r="329">
      <c r="A329" s="215">
        <v>325.0</v>
      </c>
      <c r="B329" s="237"/>
      <c r="C329" s="238">
        <v>1103.0</v>
      </c>
      <c r="D329" s="238">
        <v>9696.0</v>
      </c>
      <c r="E329" s="238" t="s">
        <v>4014</v>
      </c>
      <c r="F329" s="238" t="s">
        <v>4031</v>
      </c>
      <c r="G329" s="239" t="s">
        <v>3333</v>
      </c>
      <c r="H329" s="240">
        <v>60.0</v>
      </c>
      <c r="I329" s="240">
        <v>60.0</v>
      </c>
      <c r="J329" s="240">
        <v>0.0</v>
      </c>
      <c r="K329" s="240">
        <v>0.0</v>
      </c>
      <c r="L329" s="240">
        <v>0.0</v>
      </c>
      <c r="M329" s="240" t="s">
        <v>4032</v>
      </c>
      <c r="N329" s="240">
        <v>0.0</v>
      </c>
    </row>
    <row r="330">
      <c r="A330" s="215">
        <v>326.0</v>
      </c>
      <c r="B330" s="237"/>
      <c r="C330" s="238">
        <v>1103.0</v>
      </c>
      <c r="D330" s="238">
        <v>9709.0</v>
      </c>
      <c r="E330" s="238" t="s">
        <v>4014</v>
      </c>
      <c r="F330" s="238" t="s">
        <v>4033</v>
      </c>
      <c r="G330" s="239" t="s">
        <v>3333</v>
      </c>
      <c r="H330" s="240">
        <v>40.0</v>
      </c>
      <c r="I330" s="240">
        <v>40.0</v>
      </c>
      <c r="J330" s="240">
        <v>0.0</v>
      </c>
      <c r="K330" s="240">
        <v>0.0</v>
      </c>
      <c r="L330" s="240">
        <v>0.0</v>
      </c>
      <c r="M330" s="240" t="s">
        <v>3426</v>
      </c>
      <c r="N330" s="240">
        <v>0.0</v>
      </c>
    </row>
    <row r="331">
      <c r="A331" s="215">
        <v>327.0</v>
      </c>
      <c r="B331" s="237"/>
      <c r="C331" s="238">
        <v>1103.0</v>
      </c>
      <c r="D331" s="238" t="s">
        <v>4035</v>
      </c>
      <c r="E331" s="238" t="s">
        <v>4014</v>
      </c>
      <c r="F331" s="238" t="s">
        <v>4036</v>
      </c>
      <c r="G331" s="239" t="s">
        <v>3333</v>
      </c>
      <c r="H331" s="240">
        <v>23.0</v>
      </c>
      <c r="I331" s="240">
        <v>7.0</v>
      </c>
      <c r="J331" s="240">
        <v>0.0</v>
      </c>
      <c r="K331" s="240">
        <v>0.0</v>
      </c>
      <c r="L331" s="240">
        <v>0.0</v>
      </c>
      <c r="M331" s="240" t="s">
        <v>3946</v>
      </c>
      <c r="N331" s="240">
        <v>16.0</v>
      </c>
    </row>
    <row r="332">
      <c r="A332" s="215">
        <v>328.0</v>
      </c>
      <c r="B332" s="237"/>
      <c r="C332" s="238">
        <v>1103.0</v>
      </c>
      <c r="D332" s="238" t="s">
        <v>3627</v>
      </c>
      <c r="E332" s="238" t="s">
        <v>4014</v>
      </c>
      <c r="F332" s="238" t="s">
        <v>3628</v>
      </c>
      <c r="G332" s="239" t="s">
        <v>3333</v>
      </c>
      <c r="H332" s="240">
        <v>65.0</v>
      </c>
      <c r="I332" s="240">
        <v>65.0</v>
      </c>
      <c r="J332" s="240">
        <v>0.0</v>
      </c>
      <c r="K332" s="240">
        <v>0.0</v>
      </c>
      <c r="L332" s="240">
        <v>0.0</v>
      </c>
      <c r="M332" s="240" t="s">
        <v>4037</v>
      </c>
      <c r="N332" s="240">
        <v>0.0</v>
      </c>
    </row>
    <row r="333">
      <c r="A333" s="215">
        <v>329.0</v>
      </c>
      <c r="B333" s="237"/>
      <c r="C333" s="238">
        <v>1104.0</v>
      </c>
      <c r="D333" s="238">
        <v>9081.0</v>
      </c>
      <c r="E333" s="238" t="s">
        <v>4039</v>
      </c>
      <c r="F333" s="238" t="s">
        <v>3379</v>
      </c>
      <c r="G333" s="239" t="s">
        <v>3333</v>
      </c>
      <c r="H333" s="240">
        <v>208.0</v>
      </c>
      <c r="I333" s="240">
        <v>208.0</v>
      </c>
      <c r="J333" s="240">
        <v>0.0</v>
      </c>
      <c r="K333" s="240">
        <v>0.0</v>
      </c>
      <c r="L333" s="240">
        <v>0.0</v>
      </c>
      <c r="M333" s="240" t="s">
        <v>4040</v>
      </c>
      <c r="N333" s="240">
        <v>0.0</v>
      </c>
    </row>
    <row r="334">
      <c r="A334" s="215">
        <v>330.0</v>
      </c>
      <c r="B334" s="237"/>
      <c r="C334" s="238">
        <v>1104.0</v>
      </c>
      <c r="D334" s="238">
        <v>9147.0</v>
      </c>
      <c r="E334" s="238" t="s">
        <v>4039</v>
      </c>
      <c r="F334" s="238" t="s">
        <v>3381</v>
      </c>
      <c r="G334" s="239" t="s">
        <v>3333</v>
      </c>
      <c r="H334" s="240">
        <v>208.0</v>
      </c>
      <c r="I334" s="240">
        <v>208.0</v>
      </c>
      <c r="J334" s="240">
        <v>0.0</v>
      </c>
      <c r="K334" s="240">
        <v>0.0</v>
      </c>
      <c r="L334" s="240">
        <v>0.0</v>
      </c>
      <c r="M334" s="240" t="s">
        <v>3921</v>
      </c>
      <c r="N334" s="240">
        <v>0.0</v>
      </c>
    </row>
    <row r="335">
      <c r="A335" s="215">
        <v>331.0</v>
      </c>
      <c r="B335" s="237"/>
      <c r="C335" s="238">
        <v>1105.0</v>
      </c>
      <c r="D335" s="238">
        <v>9089.0</v>
      </c>
      <c r="E335" s="238" t="s">
        <v>4041</v>
      </c>
      <c r="F335" s="238" t="s">
        <v>3456</v>
      </c>
      <c r="G335" s="239" t="s">
        <v>3333</v>
      </c>
      <c r="H335" s="240">
        <v>121.0</v>
      </c>
      <c r="I335" s="240">
        <v>121.0</v>
      </c>
      <c r="J335" s="240">
        <v>1.0</v>
      </c>
      <c r="K335" s="240">
        <v>0.0</v>
      </c>
      <c r="L335" s="240">
        <v>0.0</v>
      </c>
      <c r="M335" s="240" t="s">
        <v>3852</v>
      </c>
      <c r="N335" s="240">
        <v>0.0</v>
      </c>
    </row>
    <row r="336">
      <c r="A336" s="215">
        <v>332.0</v>
      </c>
      <c r="B336" s="237"/>
      <c r="C336" s="238">
        <v>1105.0</v>
      </c>
      <c r="D336" s="238">
        <v>9096.0</v>
      </c>
      <c r="E336" s="238" t="s">
        <v>4041</v>
      </c>
      <c r="F336" s="238" t="s">
        <v>3460</v>
      </c>
      <c r="G336" s="239" t="s">
        <v>3333</v>
      </c>
      <c r="H336" s="240">
        <v>27.0</v>
      </c>
      <c r="I336" s="240">
        <v>27.0</v>
      </c>
      <c r="J336" s="240">
        <v>0.0</v>
      </c>
      <c r="K336" s="240">
        <v>0.0</v>
      </c>
      <c r="L336" s="240">
        <v>0.0</v>
      </c>
      <c r="M336" s="240" t="s">
        <v>3875</v>
      </c>
      <c r="N336" s="240">
        <v>0.0</v>
      </c>
    </row>
    <row r="337">
      <c r="A337" s="215">
        <v>333.0</v>
      </c>
      <c r="B337" s="237"/>
      <c r="C337" s="238">
        <v>1105.0</v>
      </c>
      <c r="D337" s="238">
        <v>9099.0</v>
      </c>
      <c r="E337" s="238" t="s">
        <v>4041</v>
      </c>
      <c r="F337" s="238" t="s">
        <v>3463</v>
      </c>
      <c r="G337" s="239" t="s">
        <v>3333</v>
      </c>
      <c r="H337" s="240">
        <v>34.0</v>
      </c>
      <c r="I337" s="240">
        <v>34.0</v>
      </c>
      <c r="J337" s="240">
        <v>0.0</v>
      </c>
      <c r="K337" s="240">
        <v>0.0</v>
      </c>
      <c r="L337" s="240">
        <v>0.0</v>
      </c>
      <c r="M337" s="240" t="s">
        <v>3376</v>
      </c>
      <c r="N337" s="240">
        <v>0.0</v>
      </c>
    </row>
    <row r="338">
      <c r="A338" s="215">
        <v>334.0</v>
      </c>
      <c r="B338" s="237"/>
      <c r="C338" s="238">
        <v>1105.0</v>
      </c>
      <c r="D338" s="238">
        <v>9104.0</v>
      </c>
      <c r="E338" s="238" t="s">
        <v>4041</v>
      </c>
      <c r="F338" s="238" t="s">
        <v>3466</v>
      </c>
      <c r="G338" s="239" t="s">
        <v>3333</v>
      </c>
      <c r="H338" s="240">
        <v>112.0</v>
      </c>
      <c r="I338" s="240">
        <v>112.0</v>
      </c>
      <c r="J338" s="240">
        <v>0.0</v>
      </c>
      <c r="K338" s="240">
        <v>0.0</v>
      </c>
      <c r="L338" s="240">
        <v>0.0</v>
      </c>
      <c r="M338" s="240" t="s">
        <v>4042</v>
      </c>
      <c r="N338" s="240">
        <v>0.0</v>
      </c>
    </row>
    <row r="339">
      <c r="A339" s="215">
        <v>335.0</v>
      </c>
      <c r="B339" s="237"/>
      <c r="C339" s="238">
        <v>1105.0</v>
      </c>
      <c r="D339" s="238">
        <v>9123.0</v>
      </c>
      <c r="E339" s="238" t="s">
        <v>4041</v>
      </c>
      <c r="F339" s="238" t="s">
        <v>3471</v>
      </c>
      <c r="G339" s="239" t="s">
        <v>3333</v>
      </c>
      <c r="H339" s="240">
        <v>210.0</v>
      </c>
      <c r="I339" s="240">
        <v>210.0</v>
      </c>
      <c r="J339" s="240">
        <v>0.0</v>
      </c>
      <c r="K339" s="240">
        <v>0.0</v>
      </c>
      <c r="L339" s="240">
        <v>0.0</v>
      </c>
      <c r="M339" s="240" t="s">
        <v>4043</v>
      </c>
      <c r="N339" s="240">
        <v>0.0</v>
      </c>
    </row>
    <row r="340">
      <c r="A340" s="215">
        <v>336.0</v>
      </c>
      <c r="B340" s="237"/>
      <c r="C340" s="238">
        <v>1105.0</v>
      </c>
      <c r="D340" s="238">
        <v>9125.0</v>
      </c>
      <c r="E340" s="238" t="s">
        <v>4041</v>
      </c>
      <c r="F340" s="238" t="s">
        <v>3475</v>
      </c>
      <c r="G340" s="239" t="s">
        <v>3333</v>
      </c>
      <c r="H340" s="240">
        <v>63.0</v>
      </c>
      <c r="I340" s="240">
        <v>63.0</v>
      </c>
      <c r="J340" s="240">
        <v>0.0</v>
      </c>
      <c r="K340" s="240">
        <v>0.0</v>
      </c>
      <c r="L340" s="240">
        <v>0.0</v>
      </c>
      <c r="M340" s="240" t="s">
        <v>3480</v>
      </c>
      <c r="N340" s="240">
        <v>0.0</v>
      </c>
    </row>
    <row r="341">
      <c r="A341" s="215">
        <v>337.0</v>
      </c>
      <c r="B341" s="237"/>
      <c r="C341" s="238">
        <v>1105.0</v>
      </c>
      <c r="D341" s="238">
        <v>9540.0</v>
      </c>
      <c r="E341" s="238" t="s">
        <v>4041</v>
      </c>
      <c r="F341" s="238" t="s">
        <v>3427</v>
      </c>
      <c r="G341" s="239" t="s">
        <v>3333</v>
      </c>
      <c r="H341" s="240">
        <v>98.0</v>
      </c>
      <c r="I341" s="240">
        <v>98.0</v>
      </c>
      <c r="J341" s="240">
        <v>0.0</v>
      </c>
      <c r="K341" s="240">
        <v>0.0</v>
      </c>
      <c r="L341" s="240">
        <v>0.0</v>
      </c>
      <c r="M341" s="240" t="s">
        <v>4044</v>
      </c>
      <c r="N341" s="240">
        <v>0.0</v>
      </c>
    </row>
    <row r="342">
      <c r="A342" s="215">
        <v>338.0</v>
      </c>
      <c r="B342" s="237"/>
      <c r="C342" s="238">
        <v>1105.0</v>
      </c>
      <c r="D342" s="238" t="s">
        <v>3521</v>
      </c>
      <c r="E342" s="238" t="s">
        <v>4041</v>
      </c>
      <c r="F342" s="238" t="s">
        <v>3522</v>
      </c>
      <c r="G342" s="239" t="s">
        <v>3333</v>
      </c>
      <c r="H342" s="240">
        <v>230.0</v>
      </c>
      <c r="I342" s="240">
        <v>230.0</v>
      </c>
      <c r="J342" s="240">
        <v>1.0</v>
      </c>
      <c r="K342" s="240">
        <v>0.0</v>
      </c>
      <c r="L342" s="240">
        <v>0.0</v>
      </c>
      <c r="M342" s="240" t="s">
        <v>3878</v>
      </c>
      <c r="N342" s="240">
        <v>0.0</v>
      </c>
    </row>
    <row r="343">
      <c r="A343" s="215">
        <v>339.0</v>
      </c>
      <c r="B343" s="237"/>
      <c r="C343" s="238">
        <v>1105.0</v>
      </c>
      <c r="D343" s="238" t="s">
        <v>3527</v>
      </c>
      <c r="E343" s="238" t="s">
        <v>4041</v>
      </c>
      <c r="F343" s="238" t="s">
        <v>3528</v>
      </c>
      <c r="G343" s="239" t="s">
        <v>3333</v>
      </c>
      <c r="H343" s="240">
        <v>30.0</v>
      </c>
      <c r="I343" s="240">
        <v>30.0</v>
      </c>
      <c r="J343" s="240">
        <v>0.0</v>
      </c>
      <c r="K343" s="240">
        <v>0.0</v>
      </c>
      <c r="L343" s="240">
        <v>0.0</v>
      </c>
      <c r="M343" s="240" t="s">
        <v>4045</v>
      </c>
      <c r="N343" s="240">
        <v>0.0</v>
      </c>
    </row>
    <row r="344">
      <c r="A344" s="215">
        <v>340.0</v>
      </c>
      <c r="B344" s="237"/>
      <c r="C344" s="238">
        <v>1105.0</v>
      </c>
      <c r="D344" s="238" t="s">
        <v>4046</v>
      </c>
      <c r="E344" s="238" t="s">
        <v>4041</v>
      </c>
      <c r="F344" s="238" t="s">
        <v>4047</v>
      </c>
      <c r="G344" s="239" t="s">
        <v>3333</v>
      </c>
      <c r="H344" s="240">
        <v>284.0</v>
      </c>
      <c r="I344" s="240">
        <v>284.0</v>
      </c>
      <c r="J344" s="240">
        <v>0.0</v>
      </c>
      <c r="K344" s="240">
        <v>0.0</v>
      </c>
      <c r="L344" s="240">
        <v>0.0</v>
      </c>
      <c r="M344" s="240" t="s">
        <v>3755</v>
      </c>
      <c r="N344" s="240">
        <v>0.0</v>
      </c>
    </row>
    <row r="345">
      <c r="A345" s="215">
        <v>341.0</v>
      </c>
      <c r="B345" s="237"/>
      <c r="C345" s="238">
        <v>1105.0</v>
      </c>
      <c r="D345" s="238" t="s">
        <v>4049</v>
      </c>
      <c r="E345" s="238" t="s">
        <v>4041</v>
      </c>
      <c r="F345" s="238" t="s">
        <v>4050</v>
      </c>
      <c r="G345" s="239" t="s">
        <v>3333</v>
      </c>
      <c r="H345" s="240">
        <v>20.0</v>
      </c>
      <c r="I345" s="240">
        <v>20.0</v>
      </c>
      <c r="J345" s="240">
        <v>0.0</v>
      </c>
      <c r="K345" s="240">
        <v>0.0</v>
      </c>
      <c r="L345" s="240">
        <v>0.0</v>
      </c>
      <c r="M345" s="240" t="s">
        <v>3339</v>
      </c>
      <c r="N345" s="240">
        <v>0.0</v>
      </c>
    </row>
    <row r="346">
      <c r="A346" s="215">
        <v>342.0</v>
      </c>
      <c r="B346" s="237"/>
      <c r="C346" s="238">
        <v>1106.0</v>
      </c>
      <c r="D346" s="238">
        <v>9494.0</v>
      </c>
      <c r="E346" s="238" t="s">
        <v>4051</v>
      </c>
      <c r="F346" s="238" t="s">
        <v>3424</v>
      </c>
      <c r="G346" s="239" t="s">
        <v>3425</v>
      </c>
      <c r="H346" s="240">
        <v>175.0</v>
      </c>
      <c r="I346" s="240">
        <v>175.0</v>
      </c>
      <c r="J346" s="240">
        <v>0.0</v>
      </c>
      <c r="K346" s="240">
        <v>0.0</v>
      </c>
      <c r="L346" s="240">
        <v>0.0</v>
      </c>
      <c r="M346" s="240" t="s">
        <v>4052</v>
      </c>
      <c r="N346" s="240">
        <v>0.0</v>
      </c>
    </row>
    <row r="347">
      <c r="A347" s="215">
        <v>343.0</v>
      </c>
      <c r="B347" s="237"/>
      <c r="C347" s="238">
        <v>1107.0</v>
      </c>
      <c r="D347" s="238">
        <v>9006.0</v>
      </c>
      <c r="E347" s="238" t="s">
        <v>4053</v>
      </c>
      <c r="F347" s="238" t="s">
        <v>3717</v>
      </c>
      <c r="G347" s="239" t="s">
        <v>3333</v>
      </c>
      <c r="H347" s="240">
        <v>29.0</v>
      </c>
      <c r="I347" s="240">
        <v>29.0</v>
      </c>
      <c r="J347" s="240">
        <v>0.0</v>
      </c>
      <c r="K347" s="240">
        <v>0.0</v>
      </c>
      <c r="L347" s="240">
        <v>0.0</v>
      </c>
      <c r="M347" s="240" t="s">
        <v>3351</v>
      </c>
      <c r="N347" s="240">
        <v>0.0</v>
      </c>
    </row>
    <row r="348">
      <c r="A348" s="215">
        <v>344.0</v>
      </c>
      <c r="B348" s="237"/>
      <c r="C348" s="238">
        <v>1107.0</v>
      </c>
      <c r="D348" s="238">
        <v>9023.0</v>
      </c>
      <c r="E348" s="238" t="s">
        <v>4053</v>
      </c>
      <c r="F348" s="238" t="s">
        <v>3549</v>
      </c>
      <c r="G348" s="239" t="s">
        <v>3333</v>
      </c>
      <c r="H348" s="240">
        <v>75.0</v>
      </c>
      <c r="I348" s="240">
        <v>75.0</v>
      </c>
      <c r="J348" s="240">
        <v>0.0</v>
      </c>
      <c r="K348" s="240">
        <v>0.0</v>
      </c>
      <c r="L348" s="240">
        <v>0.0</v>
      </c>
      <c r="M348" s="240" t="s">
        <v>4055</v>
      </c>
      <c r="N348" s="240">
        <v>0.0</v>
      </c>
    </row>
    <row r="349">
      <c r="A349" s="215">
        <v>345.0</v>
      </c>
      <c r="B349" s="237"/>
      <c r="C349" s="238">
        <v>1107.0</v>
      </c>
      <c r="D349" s="238">
        <v>9040.0</v>
      </c>
      <c r="E349" s="238" t="s">
        <v>4053</v>
      </c>
      <c r="F349" s="238" t="s">
        <v>3849</v>
      </c>
      <c r="G349" s="239" t="s">
        <v>3333</v>
      </c>
      <c r="H349" s="240">
        <v>24.0</v>
      </c>
      <c r="I349" s="240">
        <v>24.0</v>
      </c>
      <c r="J349" s="240">
        <v>0.0</v>
      </c>
      <c r="K349" s="240">
        <v>0.0</v>
      </c>
      <c r="L349" s="240">
        <v>0.0</v>
      </c>
      <c r="M349" s="240" t="s">
        <v>3616</v>
      </c>
      <c r="N349" s="240">
        <v>0.0</v>
      </c>
    </row>
    <row r="350">
      <c r="A350" s="215">
        <v>346.0</v>
      </c>
      <c r="B350" s="237"/>
      <c r="C350" s="238">
        <v>1107.0</v>
      </c>
      <c r="D350" s="238">
        <v>9139.0</v>
      </c>
      <c r="E350" s="238" t="s">
        <v>4053</v>
      </c>
      <c r="F350" s="238" t="s">
        <v>3592</v>
      </c>
      <c r="G350" s="239" t="s">
        <v>3333</v>
      </c>
      <c r="H350" s="240">
        <v>55.0</v>
      </c>
      <c r="I350" s="240">
        <v>55.0</v>
      </c>
      <c r="J350" s="240">
        <v>1.0</v>
      </c>
      <c r="K350" s="240">
        <v>0.0</v>
      </c>
      <c r="L350" s="240">
        <v>0.0</v>
      </c>
      <c r="M350" s="240" t="s">
        <v>4052</v>
      </c>
      <c r="N350" s="240">
        <v>0.0</v>
      </c>
    </row>
    <row r="351">
      <c r="A351" s="215">
        <v>347.0</v>
      </c>
      <c r="B351" s="237"/>
      <c r="C351" s="238">
        <v>1107.0</v>
      </c>
      <c r="D351" s="238">
        <v>9143.0</v>
      </c>
      <c r="E351" s="238" t="s">
        <v>4053</v>
      </c>
      <c r="F351" s="238" t="s">
        <v>3727</v>
      </c>
      <c r="G351" s="239" t="s">
        <v>3333</v>
      </c>
      <c r="H351" s="240">
        <v>69.0</v>
      </c>
      <c r="I351" s="240">
        <v>69.0</v>
      </c>
      <c r="J351" s="240">
        <v>0.0</v>
      </c>
      <c r="K351" s="240">
        <v>1.0</v>
      </c>
      <c r="L351" s="240">
        <v>1.0</v>
      </c>
      <c r="M351" s="240" t="s">
        <v>3683</v>
      </c>
      <c r="N351" s="240">
        <v>0.0</v>
      </c>
    </row>
    <row r="352">
      <c r="A352" s="215">
        <v>348.0</v>
      </c>
      <c r="B352" s="237"/>
      <c r="C352" s="238">
        <v>1107.0</v>
      </c>
      <c r="D352" s="238">
        <v>9181.0</v>
      </c>
      <c r="E352" s="238" t="s">
        <v>4053</v>
      </c>
      <c r="F352" s="238" t="s">
        <v>3340</v>
      </c>
      <c r="G352" s="239" t="s">
        <v>3333</v>
      </c>
      <c r="H352" s="240">
        <v>77.0</v>
      </c>
      <c r="I352" s="240">
        <v>77.0</v>
      </c>
      <c r="J352" s="240">
        <v>0.0</v>
      </c>
      <c r="K352" s="240">
        <v>0.0</v>
      </c>
      <c r="L352" s="240">
        <v>0.0</v>
      </c>
      <c r="M352" s="240" t="s">
        <v>3467</v>
      </c>
      <c r="N352" s="240">
        <v>0.0</v>
      </c>
    </row>
    <row r="353">
      <c r="A353" s="215">
        <v>349.0</v>
      </c>
      <c r="B353" s="237"/>
      <c r="C353" s="238">
        <v>1107.0</v>
      </c>
      <c r="D353" s="238">
        <v>9182.0</v>
      </c>
      <c r="E353" s="238" t="s">
        <v>4053</v>
      </c>
      <c r="F353" s="238" t="s">
        <v>3730</v>
      </c>
      <c r="G353" s="239" t="s">
        <v>3333</v>
      </c>
      <c r="H353" s="240">
        <v>38.0</v>
      </c>
      <c r="I353" s="240">
        <v>38.0</v>
      </c>
      <c r="J353" s="240">
        <v>0.0</v>
      </c>
      <c r="K353" s="240">
        <v>0.0</v>
      </c>
      <c r="L353" s="240">
        <v>0.0</v>
      </c>
      <c r="M353" s="240" t="s">
        <v>4065</v>
      </c>
      <c r="N353" s="240">
        <v>0.0</v>
      </c>
    </row>
    <row r="354">
      <c r="A354" s="215">
        <v>350.0</v>
      </c>
      <c r="B354" s="237"/>
      <c r="C354" s="238">
        <v>1107.0</v>
      </c>
      <c r="D354" s="238">
        <v>9192.0</v>
      </c>
      <c r="E354" s="238" t="s">
        <v>4053</v>
      </c>
      <c r="F354" s="238" t="s">
        <v>3960</v>
      </c>
      <c r="G354" s="239" t="s">
        <v>3333</v>
      </c>
      <c r="H354" s="240">
        <v>60.0</v>
      </c>
      <c r="I354" s="240">
        <v>60.0</v>
      </c>
      <c r="J354" s="240">
        <v>0.0</v>
      </c>
      <c r="K354" s="240">
        <v>1.0</v>
      </c>
      <c r="L354" s="240">
        <v>1.0</v>
      </c>
      <c r="M354" s="240" t="s">
        <v>4066</v>
      </c>
      <c r="N354" s="240">
        <v>0.0</v>
      </c>
    </row>
    <row r="355">
      <c r="A355" s="215">
        <v>351.0</v>
      </c>
      <c r="B355" s="237"/>
      <c r="C355" s="238">
        <v>1107.0</v>
      </c>
      <c r="D355" s="238">
        <v>9197.0</v>
      </c>
      <c r="E355" s="238" t="s">
        <v>4053</v>
      </c>
      <c r="F355" s="238" t="s">
        <v>4067</v>
      </c>
      <c r="G355" s="239" t="s">
        <v>3333</v>
      </c>
      <c r="H355" s="240">
        <v>80.0</v>
      </c>
      <c r="I355" s="240">
        <v>80.0</v>
      </c>
      <c r="J355" s="240">
        <v>0.0</v>
      </c>
      <c r="K355" s="240">
        <v>0.0</v>
      </c>
      <c r="L355" s="240">
        <v>0.0</v>
      </c>
      <c r="M355" s="240" t="s">
        <v>4068</v>
      </c>
      <c r="N355" s="240">
        <v>0.0</v>
      </c>
    </row>
    <row r="356">
      <c r="A356" s="215">
        <v>352.0</v>
      </c>
      <c r="B356" s="237"/>
      <c r="C356" s="238">
        <v>1107.0</v>
      </c>
      <c r="D356" s="238">
        <v>9204.0</v>
      </c>
      <c r="E356" s="238" t="s">
        <v>4053</v>
      </c>
      <c r="F356" s="238" t="s">
        <v>3388</v>
      </c>
      <c r="G356" s="239" t="s">
        <v>3333</v>
      </c>
      <c r="H356" s="240">
        <v>79.0</v>
      </c>
      <c r="I356" s="240">
        <v>79.0</v>
      </c>
      <c r="J356" s="240">
        <v>0.0</v>
      </c>
      <c r="K356" s="240">
        <v>0.0</v>
      </c>
      <c r="L356" s="240">
        <v>0.0</v>
      </c>
      <c r="M356" s="240" t="s">
        <v>3813</v>
      </c>
      <c r="N356" s="240">
        <v>0.0</v>
      </c>
    </row>
    <row r="357">
      <c r="A357" s="215">
        <v>353.0</v>
      </c>
      <c r="B357" s="237"/>
      <c r="C357" s="238">
        <v>1107.0</v>
      </c>
      <c r="D357" s="238">
        <v>9240.0</v>
      </c>
      <c r="E357" s="238" t="s">
        <v>4053</v>
      </c>
      <c r="F357" s="238" t="s">
        <v>3346</v>
      </c>
      <c r="G357" s="239" t="s">
        <v>3333</v>
      </c>
      <c r="H357" s="240">
        <v>44.0</v>
      </c>
      <c r="I357" s="240">
        <v>44.0</v>
      </c>
      <c r="J357" s="240">
        <v>0.0</v>
      </c>
      <c r="K357" s="240">
        <v>0.0</v>
      </c>
      <c r="L357" s="240">
        <v>0.0</v>
      </c>
      <c r="M357" s="240" t="s">
        <v>3984</v>
      </c>
      <c r="N357" s="240">
        <v>0.0</v>
      </c>
    </row>
    <row r="358">
      <c r="A358" s="215">
        <v>354.0</v>
      </c>
      <c r="B358" s="237"/>
      <c r="C358" s="238">
        <v>1107.0</v>
      </c>
      <c r="D358" s="238">
        <v>9694.0</v>
      </c>
      <c r="E358" s="238" t="s">
        <v>4053</v>
      </c>
      <c r="F358" s="238" t="s">
        <v>3732</v>
      </c>
      <c r="G358" s="239" t="s">
        <v>3333</v>
      </c>
      <c r="H358" s="240">
        <v>46.0</v>
      </c>
      <c r="I358" s="240">
        <v>46.0</v>
      </c>
      <c r="J358" s="240">
        <v>0.0</v>
      </c>
      <c r="K358" s="240">
        <v>0.0</v>
      </c>
      <c r="L358" s="240">
        <v>0.0</v>
      </c>
      <c r="M358" s="240" t="s">
        <v>4069</v>
      </c>
      <c r="N358" s="240">
        <v>0.0</v>
      </c>
    </row>
    <row r="359">
      <c r="A359" s="215">
        <v>355.0</v>
      </c>
      <c r="B359" s="237"/>
      <c r="C359" s="238">
        <v>1107.0</v>
      </c>
      <c r="D359" s="238" t="s">
        <v>4070</v>
      </c>
      <c r="E359" s="238" t="s">
        <v>4053</v>
      </c>
      <c r="F359" s="238" t="s">
        <v>4071</v>
      </c>
      <c r="G359" s="239" t="s">
        <v>3333</v>
      </c>
      <c r="H359" s="240">
        <v>42.0</v>
      </c>
      <c r="I359" s="240">
        <v>42.0</v>
      </c>
      <c r="J359" s="240">
        <v>0.0</v>
      </c>
      <c r="K359" s="240">
        <v>0.0</v>
      </c>
      <c r="L359" s="240">
        <v>0.0</v>
      </c>
      <c r="M359" s="240" t="s">
        <v>4072</v>
      </c>
      <c r="N359" s="240">
        <v>0.0</v>
      </c>
    </row>
    <row r="360">
      <c r="A360" s="215">
        <v>356.0</v>
      </c>
      <c r="B360" s="237"/>
      <c r="C360" s="238">
        <v>1108.0</v>
      </c>
      <c r="D360" s="238">
        <v>9813.0</v>
      </c>
      <c r="E360" s="238" t="s">
        <v>4073</v>
      </c>
      <c r="F360" s="238" t="s">
        <v>3505</v>
      </c>
      <c r="G360" s="239" t="s">
        <v>3425</v>
      </c>
      <c r="H360" s="240">
        <v>275.0</v>
      </c>
      <c r="I360" s="240">
        <v>275.0</v>
      </c>
      <c r="J360" s="240">
        <v>0.0</v>
      </c>
      <c r="K360" s="240">
        <v>0.0</v>
      </c>
      <c r="L360" s="240">
        <v>0.0</v>
      </c>
      <c r="M360" s="240" t="s">
        <v>4074</v>
      </c>
      <c r="N360" s="240">
        <v>0.0</v>
      </c>
    </row>
    <row r="361">
      <c r="A361" s="215">
        <v>357.0</v>
      </c>
      <c r="B361" s="237"/>
      <c r="C361" s="238">
        <v>1108.0</v>
      </c>
      <c r="D361" s="238" t="s">
        <v>4075</v>
      </c>
      <c r="E361" s="238" t="s">
        <v>4073</v>
      </c>
      <c r="F361" s="238" t="s">
        <v>4076</v>
      </c>
      <c r="G361" s="239" t="s">
        <v>3333</v>
      </c>
      <c r="H361" s="240">
        <v>35.0</v>
      </c>
      <c r="I361" s="240">
        <v>35.0</v>
      </c>
      <c r="J361" s="240">
        <v>0.0</v>
      </c>
      <c r="K361" s="240">
        <v>0.0</v>
      </c>
      <c r="L361" s="240">
        <v>0.0</v>
      </c>
      <c r="M361" s="240" t="s">
        <v>4012</v>
      </c>
      <c r="N361" s="240">
        <v>0.0</v>
      </c>
    </row>
    <row r="362">
      <c r="A362" s="215">
        <v>358.0</v>
      </c>
      <c r="B362" s="237"/>
      <c r="C362" s="238">
        <v>1109.0</v>
      </c>
      <c r="D362" s="238">
        <v>9026.0</v>
      </c>
      <c r="E362" s="238" t="s">
        <v>4078</v>
      </c>
      <c r="F362" s="238" t="s">
        <v>3754</v>
      </c>
      <c r="G362" s="239" t="s">
        <v>3333</v>
      </c>
      <c r="H362" s="240">
        <v>47.0</v>
      </c>
      <c r="I362" s="240">
        <v>47.0</v>
      </c>
      <c r="J362" s="240">
        <v>0.0</v>
      </c>
      <c r="K362" s="240">
        <v>0.0</v>
      </c>
      <c r="L362" s="240">
        <v>0.0</v>
      </c>
      <c r="M362" s="240" t="s">
        <v>3493</v>
      </c>
      <c r="N362" s="240">
        <v>0.0</v>
      </c>
    </row>
    <row r="363">
      <c r="A363" s="215">
        <v>359.0</v>
      </c>
      <c r="B363" s="237"/>
      <c r="C363" s="238">
        <v>1109.0</v>
      </c>
      <c r="D363" s="238">
        <v>9219.0</v>
      </c>
      <c r="E363" s="238" t="s">
        <v>4078</v>
      </c>
      <c r="F363" s="238" t="s">
        <v>3342</v>
      </c>
      <c r="G363" s="239" t="s">
        <v>3333</v>
      </c>
      <c r="H363" s="240">
        <v>123.0</v>
      </c>
      <c r="I363" s="240">
        <v>123.0</v>
      </c>
      <c r="J363" s="240">
        <v>0.0</v>
      </c>
      <c r="K363" s="240">
        <v>0.0</v>
      </c>
      <c r="L363" s="240">
        <v>0.0</v>
      </c>
      <c r="M363" s="240" t="s">
        <v>4055</v>
      </c>
      <c r="N363" s="240">
        <v>0.0</v>
      </c>
    </row>
    <row r="364">
      <c r="A364" s="215">
        <v>360.0</v>
      </c>
      <c r="B364" s="237"/>
      <c r="C364" s="238">
        <v>1110.0</v>
      </c>
      <c r="D364" s="238">
        <v>9708.0</v>
      </c>
      <c r="E364" s="238" t="s">
        <v>4079</v>
      </c>
      <c r="F364" s="238" t="s">
        <v>4080</v>
      </c>
      <c r="G364" s="239" t="s">
        <v>3333</v>
      </c>
      <c r="H364" s="240">
        <v>35.0</v>
      </c>
      <c r="I364" s="240">
        <v>15.0</v>
      </c>
      <c r="J364" s="240">
        <v>0.0</v>
      </c>
      <c r="K364" s="240">
        <v>0.0</v>
      </c>
      <c r="L364" s="240">
        <v>0.0</v>
      </c>
      <c r="M364" s="240" t="s">
        <v>3477</v>
      </c>
      <c r="N364" s="240">
        <v>20.0</v>
      </c>
    </row>
    <row r="365">
      <c r="A365" s="215">
        <v>361.0</v>
      </c>
      <c r="B365" s="237"/>
      <c r="C365" s="238">
        <v>1110.0</v>
      </c>
      <c r="D365" s="238">
        <v>9813.0</v>
      </c>
      <c r="E365" s="238" t="s">
        <v>4079</v>
      </c>
      <c r="F365" s="238" t="s">
        <v>3505</v>
      </c>
      <c r="G365" s="239" t="s">
        <v>3425</v>
      </c>
      <c r="H365" s="240">
        <v>155.0</v>
      </c>
      <c r="I365" s="240">
        <v>155.0</v>
      </c>
      <c r="J365" s="240">
        <v>0.0</v>
      </c>
      <c r="K365" s="240">
        <v>0.0</v>
      </c>
      <c r="L365" s="240">
        <v>0.0</v>
      </c>
      <c r="M365" s="240" t="s">
        <v>4081</v>
      </c>
      <c r="N365" s="240">
        <v>0.0</v>
      </c>
    </row>
    <row r="366">
      <c r="A366" s="215">
        <v>362.0</v>
      </c>
      <c r="B366" s="237"/>
      <c r="C366" s="238">
        <v>1110.0</v>
      </c>
      <c r="D366" s="238">
        <v>9847.0</v>
      </c>
      <c r="E366" s="238" t="s">
        <v>4079</v>
      </c>
      <c r="F366" s="238" t="s">
        <v>3777</v>
      </c>
      <c r="G366" s="239" t="s">
        <v>3425</v>
      </c>
      <c r="H366" s="240">
        <v>63.0</v>
      </c>
      <c r="I366" s="240">
        <v>63.0</v>
      </c>
      <c r="J366" s="240">
        <v>0.0</v>
      </c>
      <c r="K366" s="240">
        <v>0.0</v>
      </c>
      <c r="L366" s="240">
        <v>0.0</v>
      </c>
      <c r="M366" s="240" t="s">
        <v>4082</v>
      </c>
      <c r="N366" s="240">
        <v>0.0</v>
      </c>
    </row>
    <row r="367">
      <c r="A367" s="215">
        <v>363.0</v>
      </c>
      <c r="B367" s="237"/>
      <c r="C367" s="238">
        <v>1111.0</v>
      </c>
      <c r="D367" s="238">
        <v>9707.0</v>
      </c>
      <c r="E367" s="238" t="s">
        <v>4083</v>
      </c>
      <c r="F367" s="238" t="s">
        <v>3613</v>
      </c>
      <c r="G367" s="239" t="s">
        <v>3333</v>
      </c>
      <c r="H367" s="240">
        <v>123.0</v>
      </c>
      <c r="I367" s="240">
        <v>123.0</v>
      </c>
      <c r="J367" s="240">
        <v>0.0</v>
      </c>
      <c r="K367" s="240">
        <v>1.0</v>
      </c>
      <c r="L367" s="240">
        <v>1.0</v>
      </c>
      <c r="M367" s="240" t="s">
        <v>4084</v>
      </c>
      <c r="N367" s="240">
        <v>0.0</v>
      </c>
    </row>
    <row r="368">
      <c r="A368" s="215">
        <v>364.0</v>
      </c>
      <c r="B368" s="237"/>
      <c r="C368" s="238">
        <v>1113.0</v>
      </c>
      <c r="D368" s="238">
        <v>9548.0</v>
      </c>
      <c r="E368" s="238" t="s">
        <v>4085</v>
      </c>
      <c r="F368" s="238" t="s">
        <v>3749</v>
      </c>
      <c r="G368" s="239" t="s">
        <v>3425</v>
      </c>
      <c r="H368" s="240">
        <v>66.0</v>
      </c>
      <c r="I368" s="240">
        <v>66.0</v>
      </c>
      <c r="J368" s="240">
        <v>0.0</v>
      </c>
      <c r="K368" s="240">
        <v>0.0</v>
      </c>
      <c r="L368" s="240">
        <v>0.0</v>
      </c>
      <c r="M368" s="240" t="s">
        <v>4087</v>
      </c>
      <c r="N368" s="240">
        <v>0.0</v>
      </c>
    </row>
    <row r="369">
      <c r="A369" s="215">
        <v>365.0</v>
      </c>
      <c r="B369" s="237"/>
      <c r="C369" s="238">
        <v>1114.0</v>
      </c>
      <c r="D369" s="238">
        <v>9066.0</v>
      </c>
      <c r="E369" s="238" t="s">
        <v>4088</v>
      </c>
      <c r="F369" s="238" t="s">
        <v>4089</v>
      </c>
      <c r="G369" s="239" t="s">
        <v>3333</v>
      </c>
      <c r="H369" s="240">
        <v>46.0</v>
      </c>
      <c r="I369" s="240">
        <v>46.0</v>
      </c>
      <c r="J369" s="240">
        <v>1.0</v>
      </c>
      <c r="K369" s="240">
        <v>0.0</v>
      </c>
      <c r="L369" s="240">
        <v>0.0</v>
      </c>
      <c r="M369" s="240" t="s">
        <v>4090</v>
      </c>
      <c r="N369" s="240">
        <v>0.0</v>
      </c>
    </row>
    <row r="370">
      <c r="A370" s="215">
        <v>366.0</v>
      </c>
      <c r="B370" s="237"/>
      <c r="C370" s="238">
        <v>1114.0</v>
      </c>
      <c r="D370" s="238">
        <v>9078.0</v>
      </c>
      <c r="E370" s="238" t="s">
        <v>4088</v>
      </c>
      <c r="F370" s="238" t="s">
        <v>3694</v>
      </c>
      <c r="G370" s="239" t="s">
        <v>3333</v>
      </c>
      <c r="H370" s="240">
        <v>155.0</v>
      </c>
      <c r="I370" s="240">
        <v>155.0</v>
      </c>
      <c r="J370" s="240">
        <v>0.0</v>
      </c>
      <c r="K370" s="240">
        <v>0.0</v>
      </c>
      <c r="L370" s="240">
        <v>0.0</v>
      </c>
      <c r="M370" s="240" t="s">
        <v>3750</v>
      </c>
      <c r="N370" s="240">
        <v>0.0</v>
      </c>
    </row>
    <row r="371">
      <c r="A371" s="215">
        <v>367.0</v>
      </c>
      <c r="B371" s="237"/>
      <c r="C371" s="238">
        <v>1201.0</v>
      </c>
      <c r="D371" s="238">
        <v>9003.0</v>
      </c>
      <c r="E371" s="238" t="s">
        <v>4093</v>
      </c>
      <c r="F371" s="238" t="s">
        <v>3401</v>
      </c>
      <c r="G371" s="239" t="s">
        <v>3333</v>
      </c>
      <c r="H371" s="240">
        <v>25.0</v>
      </c>
      <c r="I371" s="240">
        <v>22.0</v>
      </c>
      <c r="J371" s="240">
        <v>0.0</v>
      </c>
      <c r="K371" s="240">
        <v>0.0</v>
      </c>
      <c r="L371" s="240">
        <v>0.0</v>
      </c>
      <c r="M371" s="240" t="s">
        <v>3433</v>
      </c>
      <c r="N371" s="240">
        <v>3.0</v>
      </c>
    </row>
    <row r="372">
      <c r="A372" s="215">
        <v>368.0</v>
      </c>
      <c r="B372" s="237"/>
      <c r="C372" s="238">
        <v>1201.0</v>
      </c>
      <c r="D372" s="238">
        <v>9752.0</v>
      </c>
      <c r="E372" s="238" t="s">
        <v>4093</v>
      </c>
      <c r="F372" s="238" t="s">
        <v>3775</v>
      </c>
      <c r="G372" s="239" t="s">
        <v>3333</v>
      </c>
      <c r="H372" s="240">
        <v>30.0</v>
      </c>
      <c r="I372" s="240">
        <v>14.0</v>
      </c>
      <c r="J372" s="240">
        <v>0.0</v>
      </c>
      <c r="K372" s="240">
        <v>0.0</v>
      </c>
      <c r="L372" s="240">
        <v>0.0</v>
      </c>
      <c r="M372" s="240" t="s">
        <v>4095</v>
      </c>
      <c r="N372" s="240">
        <v>16.0</v>
      </c>
    </row>
    <row r="373">
      <c r="A373" s="215">
        <v>369.0</v>
      </c>
      <c r="B373" s="237"/>
      <c r="C373" s="238">
        <v>1201.0</v>
      </c>
      <c r="D373" s="238">
        <v>9847.0</v>
      </c>
      <c r="E373" s="238" t="s">
        <v>4093</v>
      </c>
      <c r="F373" s="238" t="s">
        <v>3777</v>
      </c>
      <c r="G373" s="239" t="s">
        <v>3425</v>
      </c>
      <c r="H373" s="240">
        <v>92.0</v>
      </c>
      <c r="I373" s="240">
        <v>92.0</v>
      </c>
      <c r="J373" s="240">
        <v>0.0</v>
      </c>
      <c r="K373" s="240">
        <v>0.0</v>
      </c>
      <c r="L373" s="240">
        <v>0.0</v>
      </c>
      <c r="M373" s="240" t="s">
        <v>4097</v>
      </c>
      <c r="N373" s="240">
        <v>0.0</v>
      </c>
    </row>
    <row r="374">
      <c r="A374" s="215">
        <v>370.0</v>
      </c>
      <c r="B374" s="237"/>
      <c r="C374" s="238">
        <v>1201.0</v>
      </c>
      <c r="D374" s="238" t="s">
        <v>4098</v>
      </c>
      <c r="E374" s="238" t="s">
        <v>4093</v>
      </c>
      <c r="F374" s="238" t="s">
        <v>4099</v>
      </c>
      <c r="G374" s="239" t="s">
        <v>3333</v>
      </c>
      <c r="H374" s="240">
        <v>25.0</v>
      </c>
      <c r="I374" s="240">
        <v>25.0</v>
      </c>
      <c r="J374" s="240">
        <v>0.0</v>
      </c>
      <c r="K374" s="240">
        <v>0.0</v>
      </c>
      <c r="L374" s="240">
        <v>0.0</v>
      </c>
      <c r="M374" s="240" t="s">
        <v>3392</v>
      </c>
      <c r="N374" s="240">
        <v>0.0</v>
      </c>
    </row>
    <row r="375">
      <c r="A375" s="215">
        <v>371.0</v>
      </c>
      <c r="B375" s="237"/>
      <c r="C375" s="238">
        <v>1201.0</v>
      </c>
      <c r="D375" s="238" t="s">
        <v>4101</v>
      </c>
      <c r="E375" s="238" t="s">
        <v>4093</v>
      </c>
      <c r="F375" s="238" t="s">
        <v>4102</v>
      </c>
      <c r="G375" s="239" t="s">
        <v>3333</v>
      </c>
      <c r="H375" s="240">
        <v>20.0</v>
      </c>
      <c r="I375" s="240">
        <v>3.0</v>
      </c>
      <c r="J375" s="240">
        <v>0.0</v>
      </c>
      <c r="K375" s="240">
        <v>0.0</v>
      </c>
      <c r="L375" s="240">
        <v>0.0</v>
      </c>
      <c r="M375" s="240" t="s">
        <v>4104</v>
      </c>
      <c r="N375" s="240">
        <v>17.0</v>
      </c>
    </row>
    <row r="376">
      <c r="A376" s="215">
        <v>372.0</v>
      </c>
      <c r="B376" s="237"/>
      <c r="C376" s="238">
        <v>1202.0</v>
      </c>
      <c r="D376" s="238">
        <v>9005.0</v>
      </c>
      <c r="E376" s="238" t="s">
        <v>4105</v>
      </c>
      <c r="F376" s="238" t="s">
        <v>4106</v>
      </c>
      <c r="G376" s="239" t="s">
        <v>3333</v>
      </c>
      <c r="H376" s="240">
        <v>25.0</v>
      </c>
      <c r="I376" s="240">
        <v>10.0</v>
      </c>
      <c r="J376" s="240">
        <v>0.0</v>
      </c>
      <c r="K376" s="240">
        <v>0.0</v>
      </c>
      <c r="L376" s="240">
        <v>0.0</v>
      </c>
      <c r="M376" s="240" t="s">
        <v>3389</v>
      </c>
      <c r="N376" s="240">
        <v>15.0</v>
      </c>
    </row>
    <row r="377">
      <c r="A377" s="215">
        <v>373.0</v>
      </c>
      <c r="B377" s="237"/>
      <c r="C377" s="238">
        <v>1202.0</v>
      </c>
      <c r="D377" s="238">
        <v>9023.0</v>
      </c>
      <c r="E377" s="238" t="s">
        <v>4105</v>
      </c>
      <c r="F377" s="238" t="s">
        <v>3549</v>
      </c>
      <c r="G377" s="239" t="s">
        <v>3333</v>
      </c>
      <c r="H377" s="240">
        <v>69.0</v>
      </c>
      <c r="I377" s="240">
        <v>69.0</v>
      </c>
      <c r="J377" s="240">
        <v>0.0</v>
      </c>
      <c r="K377" s="240">
        <v>0.0</v>
      </c>
      <c r="L377" s="240">
        <v>0.0</v>
      </c>
      <c r="M377" s="240" t="s">
        <v>3878</v>
      </c>
      <c r="N377" s="240">
        <v>0.0</v>
      </c>
    </row>
    <row r="378">
      <c r="A378" s="215">
        <v>374.0</v>
      </c>
      <c r="B378" s="237"/>
      <c r="C378" s="238">
        <v>1202.0</v>
      </c>
      <c r="D378" s="238">
        <v>9081.0</v>
      </c>
      <c r="E378" s="238" t="s">
        <v>4105</v>
      </c>
      <c r="F378" s="238" t="s">
        <v>3379</v>
      </c>
      <c r="G378" s="239" t="s">
        <v>3333</v>
      </c>
      <c r="H378" s="240">
        <v>53.0</v>
      </c>
      <c r="I378" s="240">
        <v>52.0</v>
      </c>
      <c r="J378" s="240">
        <v>0.0</v>
      </c>
      <c r="K378" s="240">
        <v>0.0</v>
      </c>
      <c r="L378" s="240">
        <v>0.0</v>
      </c>
      <c r="M378" s="240" t="s">
        <v>4108</v>
      </c>
      <c r="N378" s="240">
        <v>1.0</v>
      </c>
    </row>
    <row r="379">
      <c r="A379" s="215">
        <v>375.0</v>
      </c>
      <c r="B379" s="237"/>
      <c r="C379" s="238">
        <v>1202.0</v>
      </c>
      <c r="D379" s="238">
        <v>9147.0</v>
      </c>
      <c r="E379" s="238" t="s">
        <v>4105</v>
      </c>
      <c r="F379" s="238" t="s">
        <v>3381</v>
      </c>
      <c r="G379" s="239" t="s">
        <v>3333</v>
      </c>
      <c r="H379" s="240">
        <v>71.0</v>
      </c>
      <c r="I379" s="240">
        <v>71.0</v>
      </c>
      <c r="J379" s="240">
        <v>0.0</v>
      </c>
      <c r="K379" s="240">
        <v>0.0</v>
      </c>
      <c r="L379" s="240">
        <v>0.0</v>
      </c>
      <c r="M379" s="240" t="s">
        <v>3985</v>
      </c>
      <c r="N379" s="240">
        <v>0.0</v>
      </c>
    </row>
    <row r="380">
      <c r="A380" s="215">
        <v>376.0</v>
      </c>
      <c r="B380" s="237"/>
      <c r="C380" s="238">
        <v>1202.0</v>
      </c>
      <c r="D380" s="238">
        <v>9196.0</v>
      </c>
      <c r="E380" s="238" t="s">
        <v>4105</v>
      </c>
      <c r="F380" s="238" t="s">
        <v>3489</v>
      </c>
      <c r="G380" s="239" t="s">
        <v>3333</v>
      </c>
      <c r="H380" s="240">
        <v>60.0</v>
      </c>
      <c r="I380" s="240">
        <v>60.0</v>
      </c>
      <c r="J380" s="240">
        <v>0.0</v>
      </c>
      <c r="K380" s="240">
        <v>0.0</v>
      </c>
      <c r="L380" s="240">
        <v>0.0</v>
      </c>
      <c r="M380" s="240" t="s">
        <v>4109</v>
      </c>
      <c r="N380" s="240">
        <v>0.0</v>
      </c>
    </row>
    <row r="381">
      <c r="A381" s="215">
        <v>377.0</v>
      </c>
      <c r="B381" s="237"/>
      <c r="C381" s="238">
        <v>1202.0</v>
      </c>
      <c r="D381" s="238">
        <v>9204.0</v>
      </c>
      <c r="E381" s="238" t="s">
        <v>4105</v>
      </c>
      <c r="F381" s="238" t="s">
        <v>3388</v>
      </c>
      <c r="G381" s="239" t="s">
        <v>3333</v>
      </c>
      <c r="H381" s="240">
        <v>39.0</v>
      </c>
      <c r="I381" s="240">
        <v>39.0</v>
      </c>
      <c r="J381" s="240">
        <v>0.0</v>
      </c>
      <c r="K381" s="240">
        <v>0.0</v>
      </c>
      <c r="L381" s="240">
        <v>0.0</v>
      </c>
      <c r="M381" s="240" t="s">
        <v>3728</v>
      </c>
      <c r="N381" s="240">
        <v>0.0</v>
      </c>
    </row>
    <row r="382">
      <c r="A382" s="215">
        <v>378.0</v>
      </c>
      <c r="B382" s="237"/>
      <c r="C382" s="238">
        <v>1202.0</v>
      </c>
      <c r="D382" s="238">
        <v>9219.0</v>
      </c>
      <c r="E382" s="238" t="s">
        <v>4105</v>
      </c>
      <c r="F382" s="238" t="s">
        <v>3342</v>
      </c>
      <c r="G382" s="239" t="s">
        <v>3333</v>
      </c>
      <c r="H382" s="240">
        <v>72.0</v>
      </c>
      <c r="I382" s="240">
        <v>72.0</v>
      </c>
      <c r="J382" s="240">
        <v>0.0</v>
      </c>
      <c r="K382" s="240">
        <v>0.0</v>
      </c>
      <c r="L382" s="240">
        <v>0.0</v>
      </c>
      <c r="M382" s="240" t="s">
        <v>4110</v>
      </c>
      <c r="N382" s="240">
        <v>0.0</v>
      </c>
    </row>
    <row r="383">
      <c r="A383" s="215">
        <v>379.0</v>
      </c>
      <c r="B383" s="237"/>
      <c r="C383" s="238">
        <v>1202.0</v>
      </c>
      <c r="D383" s="238">
        <v>9238.0</v>
      </c>
      <c r="E383" s="238" t="s">
        <v>4105</v>
      </c>
      <c r="F383" s="238" t="s">
        <v>3344</v>
      </c>
      <c r="G383" s="239" t="s">
        <v>3333</v>
      </c>
      <c r="H383" s="240">
        <v>46.0</v>
      </c>
      <c r="I383" s="240">
        <v>46.0</v>
      </c>
      <c r="J383" s="240">
        <v>0.0</v>
      </c>
      <c r="K383" s="240">
        <v>0.0</v>
      </c>
      <c r="L383" s="240">
        <v>0.0</v>
      </c>
      <c r="M383" s="240" t="s">
        <v>3498</v>
      </c>
      <c r="N383" s="240">
        <v>0.0</v>
      </c>
    </row>
    <row r="384">
      <c r="A384" s="215">
        <v>380.0</v>
      </c>
      <c r="B384" s="237"/>
      <c r="C384" s="238">
        <v>1202.0</v>
      </c>
      <c r="D384" s="238">
        <v>9254.0</v>
      </c>
      <c r="E384" s="238" t="s">
        <v>4105</v>
      </c>
      <c r="F384" s="238" t="s">
        <v>3383</v>
      </c>
      <c r="G384" s="239" t="s">
        <v>3333</v>
      </c>
      <c r="H384" s="240">
        <v>57.0</v>
      </c>
      <c r="I384" s="240">
        <v>35.0</v>
      </c>
      <c r="J384" s="240">
        <v>0.0</v>
      </c>
      <c r="K384" s="240">
        <v>0.0</v>
      </c>
      <c r="L384" s="240">
        <v>0.0</v>
      </c>
      <c r="M384" s="240" t="s">
        <v>4019</v>
      </c>
      <c r="N384" s="240">
        <v>22.0</v>
      </c>
    </row>
    <row r="385">
      <c r="A385" s="215">
        <v>381.0</v>
      </c>
      <c r="B385" s="237"/>
      <c r="C385" s="238">
        <v>1202.0</v>
      </c>
      <c r="D385" s="238">
        <v>9803.0</v>
      </c>
      <c r="E385" s="238" t="s">
        <v>4105</v>
      </c>
      <c r="F385" s="238" t="s">
        <v>4111</v>
      </c>
      <c r="G385" s="239" t="s">
        <v>3333</v>
      </c>
      <c r="H385" s="240">
        <v>20.0</v>
      </c>
      <c r="I385" s="240">
        <v>16.0</v>
      </c>
      <c r="J385" s="240">
        <v>0.0</v>
      </c>
      <c r="K385" s="240">
        <v>0.0</v>
      </c>
      <c r="L385" s="240">
        <v>0.0</v>
      </c>
      <c r="M385" s="240" t="s">
        <v>3349</v>
      </c>
      <c r="N385" s="240">
        <v>4.0</v>
      </c>
    </row>
    <row r="386">
      <c r="A386" s="215">
        <v>382.0</v>
      </c>
      <c r="B386" s="237"/>
      <c r="C386" s="238">
        <v>1202.0</v>
      </c>
      <c r="D386" s="238">
        <v>9853.0</v>
      </c>
      <c r="E386" s="238" t="s">
        <v>4105</v>
      </c>
      <c r="F386" s="238" t="s">
        <v>3350</v>
      </c>
      <c r="G386" s="239" t="s">
        <v>3333</v>
      </c>
      <c r="H386" s="240">
        <v>48.0</v>
      </c>
      <c r="I386" s="240">
        <v>48.0</v>
      </c>
      <c r="J386" s="240">
        <v>0.0</v>
      </c>
      <c r="K386" s="240">
        <v>0.0</v>
      </c>
      <c r="L386" s="240">
        <v>0.0</v>
      </c>
      <c r="M386" s="240" t="s">
        <v>4112</v>
      </c>
      <c r="N386" s="240">
        <v>0.0</v>
      </c>
    </row>
    <row r="387">
      <c r="A387" s="215">
        <v>383.0</v>
      </c>
      <c r="B387" s="237"/>
      <c r="C387" s="238">
        <v>1202.0</v>
      </c>
      <c r="D387" s="238" t="s">
        <v>4113</v>
      </c>
      <c r="E387" s="238" t="s">
        <v>4105</v>
      </c>
      <c r="F387" s="238" t="s">
        <v>4114</v>
      </c>
      <c r="G387" s="239" t="s">
        <v>3333</v>
      </c>
      <c r="H387" s="240">
        <v>36.0</v>
      </c>
      <c r="I387" s="240">
        <v>34.0</v>
      </c>
      <c r="J387" s="240">
        <v>0.0</v>
      </c>
      <c r="K387" s="240">
        <v>1.0</v>
      </c>
      <c r="L387" s="240">
        <v>0.0</v>
      </c>
      <c r="M387" s="240" t="s">
        <v>4020</v>
      </c>
      <c r="N387" s="240">
        <v>1.0</v>
      </c>
    </row>
    <row r="388">
      <c r="A388" s="215">
        <v>384.0</v>
      </c>
      <c r="B388" s="237"/>
      <c r="C388" s="238">
        <v>1203.0</v>
      </c>
      <c r="D388" s="238">
        <v>9052.0</v>
      </c>
      <c r="E388" s="238" t="s">
        <v>4115</v>
      </c>
      <c r="F388" s="238" t="s">
        <v>4116</v>
      </c>
      <c r="G388" s="239" t="s">
        <v>3333</v>
      </c>
      <c r="H388" s="240">
        <v>70.0</v>
      </c>
      <c r="I388" s="240">
        <v>35.0</v>
      </c>
      <c r="J388" s="240">
        <v>0.0</v>
      </c>
      <c r="K388" s="240">
        <v>1.0</v>
      </c>
      <c r="L388" s="240">
        <v>0.0</v>
      </c>
      <c r="M388" s="240" t="s">
        <v>3445</v>
      </c>
      <c r="N388" s="240">
        <v>34.0</v>
      </c>
    </row>
    <row r="389">
      <c r="A389" s="215">
        <v>385.0</v>
      </c>
      <c r="B389" s="237"/>
      <c r="C389" s="238">
        <v>1203.0</v>
      </c>
      <c r="D389" s="238">
        <v>9089.0</v>
      </c>
      <c r="E389" s="238" t="s">
        <v>4115</v>
      </c>
      <c r="F389" s="238" t="s">
        <v>3456</v>
      </c>
      <c r="G389" s="239" t="s">
        <v>3333</v>
      </c>
      <c r="H389" s="240">
        <v>12.0</v>
      </c>
      <c r="I389" s="240">
        <v>12.0</v>
      </c>
      <c r="J389" s="240">
        <v>0.0</v>
      </c>
      <c r="K389" s="240">
        <v>0.0</v>
      </c>
      <c r="L389" s="240">
        <v>0.0</v>
      </c>
      <c r="M389" s="240" t="s">
        <v>4117</v>
      </c>
      <c r="N389" s="240">
        <v>0.0</v>
      </c>
    </row>
    <row r="390">
      <c r="A390" s="215">
        <v>386.0</v>
      </c>
      <c r="B390" s="237"/>
      <c r="C390" s="238">
        <v>1203.0</v>
      </c>
      <c r="D390" s="238">
        <v>9104.0</v>
      </c>
      <c r="E390" s="238" t="s">
        <v>4115</v>
      </c>
      <c r="F390" s="238" t="s">
        <v>3466</v>
      </c>
      <c r="G390" s="239" t="s">
        <v>3333</v>
      </c>
      <c r="H390" s="240">
        <v>25.0</v>
      </c>
      <c r="I390" s="240">
        <v>24.0</v>
      </c>
      <c r="J390" s="240">
        <v>0.0</v>
      </c>
      <c r="K390" s="240">
        <v>0.0</v>
      </c>
      <c r="L390" s="240">
        <v>0.0</v>
      </c>
      <c r="M390" s="240" t="s">
        <v>3526</v>
      </c>
      <c r="N390" s="240">
        <v>1.0</v>
      </c>
    </row>
    <row r="391">
      <c r="A391" s="215">
        <v>387.0</v>
      </c>
      <c r="B391" s="237"/>
      <c r="C391" s="238">
        <v>1203.0</v>
      </c>
      <c r="D391" s="238">
        <v>9113.0</v>
      </c>
      <c r="E391" s="238" t="s">
        <v>4115</v>
      </c>
      <c r="F391" s="238" t="s">
        <v>3469</v>
      </c>
      <c r="G391" s="239" t="s">
        <v>3333</v>
      </c>
      <c r="H391" s="240">
        <v>10.0</v>
      </c>
      <c r="I391" s="240">
        <v>2.0</v>
      </c>
      <c r="J391" s="240">
        <v>0.0</v>
      </c>
      <c r="K391" s="240">
        <v>0.0</v>
      </c>
      <c r="L391" s="240">
        <v>0.0</v>
      </c>
      <c r="M391" s="240" t="s">
        <v>4118</v>
      </c>
      <c r="N391" s="240">
        <v>8.0</v>
      </c>
    </row>
    <row r="392">
      <c r="A392" s="215">
        <v>388.0</v>
      </c>
      <c r="B392" s="237"/>
      <c r="C392" s="238">
        <v>1203.0</v>
      </c>
      <c r="D392" s="238">
        <v>9119.0</v>
      </c>
      <c r="E392" s="238" t="s">
        <v>4115</v>
      </c>
      <c r="F392" s="238" t="s">
        <v>3417</v>
      </c>
      <c r="G392" s="239" t="s">
        <v>3333</v>
      </c>
      <c r="H392" s="240">
        <v>148.0</v>
      </c>
      <c r="I392" s="240">
        <v>62.0</v>
      </c>
      <c r="J392" s="240">
        <v>0.0</v>
      </c>
      <c r="K392" s="240">
        <v>0.0</v>
      </c>
      <c r="L392" s="240">
        <v>0.0</v>
      </c>
      <c r="M392" s="240" t="s">
        <v>3822</v>
      </c>
      <c r="N392" s="240">
        <v>86.0</v>
      </c>
    </row>
    <row r="393">
      <c r="A393" s="215">
        <v>389.0</v>
      </c>
      <c r="B393" s="237"/>
      <c r="C393" s="238">
        <v>1203.0</v>
      </c>
      <c r="D393" s="238">
        <v>9123.0</v>
      </c>
      <c r="E393" s="238" t="s">
        <v>4115</v>
      </c>
      <c r="F393" s="238" t="s">
        <v>3471</v>
      </c>
      <c r="G393" s="239" t="s">
        <v>3333</v>
      </c>
      <c r="H393" s="240">
        <v>30.0</v>
      </c>
      <c r="I393" s="240">
        <v>27.0</v>
      </c>
      <c r="J393" s="240">
        <v>0.0</v>
      </c>
      <c r="K393" s="240">
        <v>0.0</v>
      </c>
      <c r="L393" s="240">
        <v>0.0</v>
      </c>
      <c r="M393" s="240" t="s">
        <v>4108</v>
      </c>
      <c r="N393" s="240">
        <v>3.0</v>
      </c>
    </row>
    <row r="394">
      <c r="A394" s="215">
        <v>390.0</v>
      </c>
      <c r="B394" s="237"/>
      <c r="C394" s="238">
        <v>1203.0</v>
      </c>
      <c r="D394" s="238">
        <v>9455.0</v>
      </c>
      <c r="E394" s="238" t="s">
        <v>4115</v>
      </c>
      <c r="F394" s="238" t="s">
        <v>3502</v>
      </c>
      <c r="G394" s="239" t="s">
        <v>3333</v>
      </c>
      <c r="H394" s="240">
        <v>25.0</v>
      </c>
      <c r="I394" s="240">
        <v>25.0</v>
      </c>
      <c r="J394" s="240">
        <v>0.0</v>
      </c>
      <c r="K394" s="240">
        <v>0.0</v>
      </c>
      <c r="L394" s="240">
        <v>0.0</v>
      </c>
      <c r="M394" s="240" t="s">
        <v>3623</v>
      </c>
      <c r="N394" s="240">
        <v>0.0</v>
      </c>
    </row>
    <row r="395">
      <c r="A395" s="215">
        <v>391.0</v>
      </c>
      <c r="B395" s="237"/>
      <c r="C395" s="238">
        <v>1203.0</v>
      </c>
      <c r="D395" s="238" t="s">
        <v>4119</v>
      </c>
      <c r="E395" s="238" t="s">
        <v>4115</v>
      </c>
      <c r="F395" s="238" t="s">
        <v>4120</v>
      </c>
      <c r="G395" s="239" t="s">
        <v>3333</v>
      </c>
      <c r="H395" s="240">
        <v>20.0</v>
      </c>
      <c r="I395" s="240">
        <v>10.0</v>
      </c>
      <c r="J395" s="240">
        <v>0.0</v>
      </c>
      <c r="K395" s="240">
        <v>0.0</v>
      </c>
      <c r="L395" s="240">
        <v>0.0</v>
      </c>
      <c r="M395" s="240" t="s">
        <v>3589</v>
      </c>
      <c r="N395" s="240">
        <v>10.0</v>
      </c>
    </row>
    <row r="396">
      <c r="A396" s="215">
        <v>392.0</v>
      </c>
      <c r="B396" s="237"/>
      <c r="C396" s="238">
        <v>1203.0</v>
      </c>
      <c r="D396" s="238" t="s">
        <v>3521</v>
      </c>
      <c r="E396" s="238" t="s">
        <v>4115</v>
      </c>
      <c r="F396" s="238" t="s">
        <v>3522</v>
      </c>
      <c r="G396" s="239" t="s">
        <v>3333</v>
      </c>
      <c r="H396" s="240">
        <v>20.0</v>
      </c>
      <c r="I396" s="240">
        <v>12.0</v>
      </c>
      <c r="J396" s="240">
        <v>0.0</v>
      </c>
      <c r="K396" s="240">
        <v>0.0</v>
      </c>
      <c r="L396" s="240">
        <v>0.0</v>
      </c>
      <c r="M396" s="240" t="s">
        <v>4019</v>
      </c>
      <c r="N396" s="240">
        <v>8.0</v>
      </c>
    </row>
    <row r="397">
      <c r="A397" s="215">
        <v>393.0</v>
      </c>
      <c r="B397" s="237"/>
      <c r="C397" s="238">
        <v>1203.0</v>
      </c>
      <c r="D397" s="238" t="s">
        <v>4121</v>
      </c>
      <c r="E397" s="238" t="s">
        <v>4115</v>
      </c>
      <c r="F397" s="238" t="s">
        <v>4122</v>
      </c>
      <c r="G397" s="239" t="s">
        <v>3333</v>
      </c>
      <c r="H397" s="240">
        <v>55.0</v>
      </c>
      <c r="I397" s="240">
        <v>33.0</v>
      </c>
      <c r="J397" s="240">
        <v>0.0</v>
      </c>
      <c r="K397" s="240">
        <v>1.0</v>
      </c>
      <c r="L397" s="240">
        <v>0.0</v>
      </c>
      <c r="M397" s="240" t="s">
        <v>3470</v>
      </c>
      <c r="N397" s="240">
        <v>21.0</v>
      </c>
    </row>
    <row r="398">
      <c r="A398" s="215">
        <v>394.0</v>
      </c>
      <c r="B398" s="237"/>
      <c r="C398" s="238">
        <v>1203.0</v>
      </c>
      <c r="D398" s="238" t="s">
        <v>4123</v>
      </c>
      <c r="E398" s="238" t="s">
        <v>4115</v>
      </c>
      <c r="F398" s="238" t="s">
        <v>4124</v>
      </c>
      <c r="G398" s="239" t="s">
        <v>3333</v>
      </c>
      <c r="H398" s="240">
        <v>15.0</v>
      </c>
      <c r="I398" s="240">
        <v>0.0</v>
      </c>
      <c r="J398" s="240">
        <v>0.0</v>
      </c>
      <c r="K398" s="240">
        <v>0.0</v>
      </c>
      <c r="L398" s="240">
        <v>0.0</v>
      </c>
      <c r="M398" s="241"/>
      <c r="N398" s="240">
        <v>15.0</v>
      </c>
    </row>
    <row r="399">
      <c r="A399" s="215">
        <v>395.0</v>
      </c>
      <c r="B399" s="237"/>
      <c r="C399" s="238">
        <v>1204.0</v>
      </c>
      <c r="D399" s="238">
        <v>9011.0</v>
      </c>
      <c r="E399" s="238" t="s">
        <v>4125</v>
      </c>
      <c r="F399" s="238" t="s">
        <v>3366</v>
      </c>
      <c r="G399" s="239" t="s">
        <v>3333</v>
      </c>
      <c r="H399" s="240">
        <v>35.0</v>
      </c>
      <c r="I399" s="240">
        <v>35.0</v>
      </c>
      <c r="J399" s="240">
        <v>0.0</v>
      </c>
      <c r="K399" s="240">
        <v>0.0</v>
      </c>
      <c r="L399" s="240">
        <v>0.0</v>
      </c>
      <c r="M399" s="240" t="s">
        <v>3798</v>
      </c>
      <c r="N399" s="240">
        <v>0.0</v>
      </c>
    </row>
    <row r="400">
      <c r="A400" s="215">
        <v>396.0</v>
      </c>
      <c r="B400" s="237"/>
      <c r="C400" s="238">
        <v>1204.0</v>
      </c>
      <c r="D400" s="238">
        <v>9012.0</v>
      </c>
      <c r="E400" s="238" t="s">
        <v>4125</v>
      </c>
      <c r="F400" s="238" t="s">
        <v>3446</v>
      </c>
      <c r="G400" s="239" t="s">
        <v>3333</v>
      </c>
      <c r="H400" s="240">
        <v>20.0</v>
      </c>
      <c r="I400" s="240">
        <v>20.0</v>
      </c>
      <c r="J400" s="240">
        <v>0.0</v>
      </c>
      <c r="K400" s="240">
        <v>0.0</v>
      </c>
      <c r="L400" s="240">
        <v>0.0</v>
      </c>
      <c r="M400" s="240" t="s">
        <v>4126</v>
      </c>
      <c r="N400" s="240">
        <v>0.0</v>
      </c>
    </row>
    <row r="401">
      <c r="A401" s="215">
        <v>397.0</v>
      </c>
      <c r="B401" s="237"/>
      <c r="C401" s="238">
        <v>1204.0</v>
      </c>
      <c r="D401" s="238">
        <v>9015.0</v>
      </c>
      <c r="E401" s="238" t="s">
        <v>4125</v>
      </c>
      <c r="F401" s="238" t="s">
        <v>3409</v>
      </c>
      <c r="G401" s="239" t="s">
        <v>3333</v>
      </c>
      <c r="H401" s="240">
        <v>51.0</v>
      </c>
      <c r="I401" s="240">
        <v>48.0</v>
      </c>
      <c r="J401" s="240">
        <v>0.0</v>
      </c>
      <c r="K401" s="240">
        <v>0.0</v>
      </c>
      <c r="L401" s="240">
        <v>0.0</v>
      </c>
      <c r="M401" s="240" t="s">
        <v>4127</v>
      </c>
      <c r="N401" s="240">
        <v>3.0</v>
      </c>
    </row>
    <row r="402">
      <c r="A402" s="215">
        <v>398.0</v>
      </c>
      <c r="B402" s="237"/>
      <c r="C402" s="238">
        <v>1204.0</v>
      </c>
      <c r="D402" s="238">
        <v>9351.0</v>
      </c>
      <c r="E402" s="238" t="s">
        <v>4125</v>
      </c>
      <c r="F402" s="238" t="s">
        <v>3440</v>
      </c>
      <c r="G402" s="239" t="s">
        <v>3333</v>
      </c>
      <c r="H402" s="240">
        <v>38.0</v>
      </c>
      <c r="I402" s="240">
        <v>38.0</v>
      </c>
      <c r="J402" s="240">
        <v>0.0</v>
      </c>
      <c r="K402" s="240">
        <v>0.0</v>
      </c>
      <c r="L402" s="240">
        <v>0.0</v>
      </c>
      <c r="M402" s="240" t="s">
        <v>3452</v>
      </c>
      <c r="N402" s="240">
        <v>0.0</v>
      </c>
    </row>
    <row r="403">
      <c r="A403" s="215">
        <v>399.0</v>
      </c>
      <c r="B403" s="237"/>
      <c r="C403" s="238">
        <v>1204.0</v>
      </c>
      <c r="D403" s="238">
        <v>9379.0</v>
      </c>
      <c r="E403" s="238" t="s">
        <v>4125</v>
      </c>
      <c r="F403" s="238" t="s">
        <v>3975</v>
      </c>
      <c r="G403" s="239" t="s">
        <v>3333</v>
      </c>
      <c r="H403" s="240">
        <v>18.0</v>
      </c>
      <c r="I403" s="240">
        <v>18.0</v>
      </c>
      <c r="J403" s="240">
        <v>0.0</v>
      </c>
      <c r="K403" s="240">
        <v>1.0</v>
      </c>
      <c r="L403" s="240">
        <v>1.0</v>
      </c>
      <c r="M403" s="240" t="s">
        <v>3433</v>
      </c>
      <c r="N403" s="240">
        <v>0.0</v>
      </c>
    </row>
    <row r="404">
      <c r="A404" s="215">
        <v>400.0</v>
      </c>
      <c r="B404" s="237"/>
      <c r="C404" s="238">
        <v>1204.0</v>
      </c>
      <c r="D404" s="238">
        <v>9540.0</v>
      </c>
      <c r="E404" s="238" t="s">
        <v>4125</v>
      </c>
      <c r="F404" s="238" t="s">
        <v>3427</v>
      </c>
      <c r="G404" s="239" t="s">
        <v>3333</v>
      </c>
      <c r="H404" s="240">
        <v>20.0</v>
      </c>
      <c r="I404" s="240">
        <v>9.0</v>
      </c>
      <c r="J404" s="240">
        <v>0.0</v>
      </c>
      <c r="K404" s="240">
        <v>0.0</v>
      </c>
      <c r="L404" s="240">
        <v>0.0</v>
      </c>
      <c r="M404" s="240" t="s">
        <v>3654</v>
      </c>
      <c r="N404" s="240">
        <v>11.0</v>
      </c>
    </row>
    <row r="405">
      <c r="A405" s="215">
        <v>401.0</v>
      </c>
      <c r="B405" s="237"/>
      <c r="C405" s="238">
        <v>1204.0</v>
      </c>
      <c r="D405" s="238">
        <v>9554.0</v>
      </c>
      <c r="E405" s="238" t="s">
        <v>4125</v>
      </c>
      <c r="F405" s="238" t="s">
        <v>3836</v>
      </c>
      <c r="G405" s="239" t="s">
        <v>3333</v>
      </c>
      <c r="H405" s="240">
        <v>42.0</v>
      </c>
      <c r="I405" s="240">
        <v>42.0</v>
      </c>
      <c r="J405" s="240">
        <v>0.0</v>
      </c>
      <c r="K405" s="240">
        <v>0.0</v>
      </c>
      <c r="L405" s="240">
        <v>0.0</v>
      </c>
      <c r="M405" s="240" t="s">
        <v>4084</v>
      </c>
      <c r="N405" s="240">
        <v>0.0</v>
      </c>
    </row>
    <row r="406">
      <c r="A406" s="215">
        <v>402.0</v>
      </c>
      <c r="B406" s="237"/>
      <c r="C406" s="238">
        <v>1204.0</v>
      </c>
      <c r="D406" s="238">
        <v>9707.0</v>
      </c>
      <c r="E406" s="238" t="s">
        <v>4125</v>
      </c>
      <c r="F406" s="238" t="s">
        <v>3613</v>
      </c>
      <c r="G406" s="239" t="s">
        <v>3333</v>
      </c>
      <c r="H406" s="240">
        <v>126.0</v>
      </c>
      <c r="I406" s="240">
        <v>126.0</v>
      </c>
      <c r="J406" s="240">
        <v>0.0</v>
      </c>
      <c r="K406" s="240">
        <v>0.0</v>
      </c>
      <c r="L406" s="240">
        <v>0.0</v>
      </c>
      <c r="M406" s="240" t="s">
        <v>4129</v>
      </c>
      <c r="N406" s="240">
        <v>0.0</v>
      </c>
    </row>
    <row r="407">
      <c r="A407" s="215">
        <v>403.0</v>
      </c>
      <c r="B407" s="237"/>
      <c r="C407" s="238">
        <v>1204.0</v>
      </c>
      <c r="D407" s="238">
        <v>9761.0</v>
      </c>
      <c r="E407" s="238" t="s">
        <v>4125</v>
      </c>
      <c r="F407" s="238" t="s">
        <v>4130</v>
      </c>
      <c r="G407" s="239" t="s">
        <v>3333</v>
      </c>
      <c r="H407" s="240">
        <v>52.0</v>
      </c>
      <c r="I407" s="240">
        <v>51.0</v>
      </c>
      <c r="J407" s="240">
        <v>0.0</v>
      </c>
      <c r="K407" s="240">
        <v>1.0</v>
      </c>
      <c r="L407" s="240">
        <v>0.0</v>
      </c>
      <c r="M407" s="240" t="s">
        <v>4131</v>
      </c>
      <c r="N407" s="240">
        <v>0.0</v>
      </c>
    </row>
    <row r="408">
      <c r="A408" s="215">
        <v>404.0</v>
      </c>
      <c r="B408" s="237"/>
      <c r="C408" s="238">
        <v>1306.0</v>
      </c>
      <c r="D408" s="238">
        <v>9069.0</v>
      </c>
      <c r="E408" s="238" t="s">
        <v>4133</v>
      </c>
      <c r="F408" s="238" t="s">
        <v>3451</v>
      </c>
      <c r="G408" s="239" t="s">
        <v>3333</v>
      </c>
      <c r="H408" s="240">
        <v>33.0</v>
      </c>
      <c r="I408" s="240">
        <v>31.0</v>
      </c>
      <c r="J408" s="240">
        <v>0.0</v>
      </c>
      <c r="K408" s="240">
        <v>0.0</v>
      </c>
      <c r="L408" s="240">
        <v>0.0</v>
      </c>
      <c r="M408" s="240" t="s">
        <v>3578</v>
      </c>
      <c r="N408" s="240">
        <v>2.0</v>
      </c>
    </row>
    <row r="409">
      <c r="A409" s="215">
        <v>405.0</v>
      </c>
      <c r="B409" s="237"/>
      <c r="C409" s="238">
        <v>1306.0</v>
      </c>
      <c r="D409" s="238">
        <v>9196.0</v>
      </c>
      <c r="E409" s="238" t="s">
        <v>4133</v>
      </c>
      <c r="F409" s="238" t="s">
        <v>3489</v>
      </c>
      <c r="G409" s="239" t="s">
        <v>3333</v>
      </c>
      <c r="H409" s="240">
        <v>43.0</v>
      </c>
      <c r="I409" s="240">
        <v>41.0</v>
      </c>
      <c r="J409" s="240">
        <v>0.0</v>
      </c>
      <c r="K409" s="240">
        <v>1.0</v>
      </c>
      <c r="L409" s="240">
        <v>0.0</v>
      </c>
      <c r="M409" s="240" t="s">
        <v>3822</v>
      </c>
      <c r="N409" s="240">
        <v>1.0</v>
      </c>
    </row>
    <row r="410">
      <c r="A410" s="215">
        <v>406.0</v>
      </c>
      <c r="B410" s="237"/>
      <c r="C410" s="238">
        <v>1306.0</v>
      </c>
      <c r="D410" s="238">
        <v>9219.0</v>
      </c>
      <c r="E410" s="238" t="s">
        <v>4133</v>
      </c>
      <c r="F410" s="238" t="s">
        <v>3342</v>
      </c>
      <c r="G410" s="239" t="s">
        <v>3333</v>
      </c>
      <c r="H410" s="240">
        <v>30.0</v>
      </c>
      <c r="I410" s="240">
        <v>30.0</v>
      </c>
      <c r="J410" s="240">
        <v>0.0</v>
      </c>
      <c r="K410" s="240">
        <v>0.0</v>
      </c>
      <c r="L410" s="240">
        <v>0.0</v>
      </c>
      <c r="M410" s="240" t="s">
        <v>4052</v>
      </c>
      <c r="N410" s="240">
        <v>0.0</v>
      </c>
    </row>
    <row r="411">
      <c r="A411" s="215">
        <v>407.0</v>
      </c>
      <c r="B411" s="237"/>
      <c r="C411" s="238">
        <v>1306.0</v>
      </c>
      <c r="D411" s="238">
        <v>9720.0</v>
      </c>
      <c r="E411" s="238" t="s">
        <v>4133</v>
      </c>
      <c r="F411" s="238" t="s">
        <v>4137</v>
      </c>
      <c r="G411" s="239" t="s">
        <v>3333</v>
      </c>
      <c r="H411" s="240">
        <v>37.0</v>
      </c>
      <c r="I411" s="240">
        <v>25.0</v>
      </c>
      <c r="J411" s="240">
        <v>0.0</v>
      </c>
      <c r="K411" s="240">
        <v>1.0</v>
      </c>
      <c r="L411" s="240">
        <v>0.0</v>
      </c>
      <c r="M411" s="240" t="s">
        <v>4138</v>
      </c>
      <c r="N411" s="240">
        <v>11.0</v>
      </c>
    </row>
    <row r="412">
      <c r="A412" s="215">
        <v>408.0</v>
      </c>
      <c r="B412" s="237"/>
      <c r="C412" s="238">
        <v>1306.0</v>
      </c>
      <c r="D412" s="238">
        <v>9817.0</v>
      </c>
      <c r="E412" s="238" t="s">
        <v>4133</v>
      </c>
      <c r="F412" s="238" t="s">
        <v>3391</v>
      </c>
      <c r="G412" s="239" t="s">
        <v>3333</v>
      </c>
      <c r="H412" s="240">
        <v>18.0</v>
      </c>
      <c r="I412" s="240">
        <v>10.0</v>
      </c>
      <c r="J412" s="240">
        <v>0.0</v>
      </c>
      <c r="K412" s="240">
        <v>0.0</v>
      </c>
      <c r="L412" s="240">
        <v>0.0</v>
      </c>
      <c r="M412" s="240" t="s">
        <v>3397</v>
      </c>
      <c r="N412" s="240">
        <v>8.0</v>
      </c>
    </row>
    <row r="413">
      <c r="A413" s="215">
        <v>409.0</v>
      </c>
      <c r="B413" s="237"/>
      <c r="C413" s="238">
        <v>1306.0</v>
      </c>
      <c r="D413" s="238" t="s">
        <v>4141</v>
      </c>
      <c r="E413" s="238" t="s">
        <v>4133</v>
      </c>
      <c r="F413" s="238" t="s">
        <v>4142</v>
      </c>
      <c r="G413" s="239" t="s">
        <v>3333</v>
      </c>
      <c r="H413" s="240">
        <v>34.0</v>
      </c>
      <c r="I413" s="240">
        <v>5.0</v>
      </c>
      <c r="J413" s="240">
        <v>0.0</v>
      </c>
      <c r="K413" s="240">
        <v>0.0</v>
      </c>
      <c r="L413" s="240">
        <v>0.0</v>
      </c>
      <c r="M413" s="237"/>
      <c r="N413" s="240">
        <v>29.0</v>
      </c>
    </row>
    <row r="414">
      <c r="A414" s="215">
        <v>410.0</v>
      </c>
      <c r="B414" s="237"/>
      <c r="C414" s="238">
        <v>1307.0</v>
      </c>
      <c r="D414" s="238">
        <v>9015.0</v>
      </c>
      <c r="E414" s="238" t="s">
        <v>4144</v>
      </c>
      <c r="F414" s="238" t="s">
        <v>3409</v>
      </c>
      <c r="G414" s="239" t="s">
        <v>3333</v>
      </c>
      <c r="H414" s="240">
        <v>22.0</v>
      </c>
      <c r="I414" s="240">
        <v>5.0</v>
      </c>
      <c r="J414" s="240">
        <v>0.0</v>
      </c>
      <c r="K414" s="240">
        <v>0.0</v>
      </c>
      <c r="L414" s="240">
        <v>0.0</v>
      </c>
      <c r="M414" s="241"/>
      <c r="N414" s="240">
        <v>17.0</v>
      </c>
    </row>
    <row r="415">
      <c r="A415" s="215">
        <v>411.0</v>
      </c>
      <c r="B415" s="237"/>
      <c r="C415" s="238">
        <v>1307.0</v>
      </c>
      <c r="D415" s="238">
        <v>9089.0</v>
      </c>
      <c r="E415" s="238" t="s">
        <v>4144</v>
      </c>
      <c r="F415" s="238" t="s">
        <v>3456</v>
      </c>
      <c r="G415" s="239" t="s">
        <v>3333</v>
      </c>
      <c r="H415" s="240">
        <v>20.0</v>
      </c>
      <c r="I415" s="240">
        <v>7.0</v>
      </c>
      <c r="J415" s="240">
        <v>0.0</v>
      </c>
      <c r="K415" s="240">
        <v>0.0</v>
      </c>
      <c r="L415" s="240">
        <v>0.0</v>
      </c>
      <c r="M415" s="240" t="s">
        <v>3666</v>
      </c>
      <c r="N415" s="240">
        <v>13.0</v>
      </c>
    </row>
    <row r="416">
      <c r="A416" s="215">
        <v>412.0</v>
      </c>
      <c r="B416" s="237"/>
      <c r="C416" s="238">
        <v>1307.0</v>
      </c>
      <c r="D416" s="238">
        <v>9107.0</v>
      </c>
      <c r="E416" s="238" t="s">
        <v>4144</v>
      </c>
      <c r="F416" s="238" t="s">
        <v>4146</v>
      </c>
      <c r="G416" s="239" t="s">
        <v>3333</v>
      </c>
      <c r="H416" s="240">
        <v>20.0</v>
      </c>
      <c r="I416" s="240">
        <v>3.0</v>
      </c>
      <c r="J416" s="240">
        <v>0.0</v>
      </c>
      <c r="K416" s="240">
        <v>0.0</v>
      </c>
      <c r="L416" s="240">
        <v>0.0</v>
      </c>
      <c r="M416" s="241"/>
      <c r="N416" s="240">
        <v>17.0</v>
      </c>
    </row>
    <row r="417">
      <c r="A417" s="215">
        <v>413.0</v>
      </c>
      <c r="B417" s="237"/>
      <c r="C417" s="238">
        <v>1307.0</v>
      </c>
      <c r="D417" s="238">
        <v>9119.0</v>
      </c>
      <c r="E417" s="238" t="s">
        <v>4144</v>
      </c>
      <c r="F417" s="238" t="s">
        <v>3417</v>
      </c>
      <c r="G417" s="239" t="s">
        <v>3333</v>
      </c>
      <c r="H417" s="240">
        <v>100.0</v>
      </c>
      <c r="I417" s="240">
        <v>54.0</v>
      </c>
      <c r="J417" s="240">
        <v>0.0</v>
      </c>
      <c r="K417" s="240">
        <v>0.0</v>
      </c>
      <c r="L417" s="240">
        <v>0.0</v>
      </c>
      <c r="M417" s="240" t="s">
        <v>3495</v>
      </c>
      <c r="N417" s="240">
        <v>46.0</v>
      </c>
    </row>
    <row r="418">
      <c r="A418" s="215">
        <v>414.0</v>
      </c>
      <c r="B418" s="237"/>
      <c r="C418" s="238">
        <v>1307.0</v>
      </c>
      <c r="D418" s="238">
        <v>9209.0</v>
      </c>
      <c r="E418" s="238" t="s">
        <v>4144</v>
      </c>
      <c r="F418" s="238" t="s">
        <v>3494</v>
      </c>
      <c r="G418" s="239" t="s">
        <v>3333</v>
      </c>
      <c r="H418" s="240">
        <v>22.0</v>
      </c>
      <c r="I418" s="240">
        <v>7.0</v>
      </c>
      <c r="J418" s="240">
        <v>0.0</v>
      </c>
      <c r="K418" s="240">
        <v>0.0</v>
      </c>
      <c r="L418" s="240">
        <v>0.0</v>
      </c>
      <c r="M418" s="240" t="s">
        <v>4148</v>
      </c>
      <c r="N418" s="240">
        <v>15.0</v>
      </c>
    </row>
    <row r="419">
      <c r="A419" s="215">
        <v>415.0</v>
      </c>
      <c r="B419" s="237"/>
      <c r="C419" s="238">
        <v>1307.0</v>
      </c>
      <c r="D419" s="238">
        <v>9455.0</v>
      </c>
      <c r="E419" s="238" t="s">
        <v>4144</v>
      </c>
      <c r="F419" s="238" t="s">
        <v>3502</v>
      </c>
      <c r="G419" s="239" t="s">
        <v>3333</v>
      </c>
      <c r="H419" s="240">
        <v>22.0</v>
      </c>
      <c r="I419" s="240">
        <v>17.0</v>
      </c>
      <c r="J419" s="240">
        <v>0.0</v>
      </c>
      <c r="K419" s="240">
        <v>0.0</v>
      </c>
      <c r="L419" s="240">
        <v>0.0</v>
      </c>
      <c r="M419" s="240" t="s">
        <v>3654</v>
      </c>
      <c r="N419" s="240">
        <v>5.0</v>
      </c>
    </row>
    <row r="420">
      <c r="A420" s="215">
        <v>416.0</v>
      </c>
      <c r="B420" s="237"/>
      <c r="C420" s="238">
        <v>1307.0</v>
      </c>
      <c r="D420" s="238" t="s">
        <v>4149</v>
      </c>
      <c r="E420" s="238" t="s">
        <v>4144</v>
      </c>
      <c r="F420" s="238" t="s">
        <v>4150</v>
      </c>
      <c r="G420" s="239" t="s">
        <v>3333</v>
      </c>
      <c r="H420" s="240">
        <v>15.0</v>
      </c>
      <c r="I420" s="240">
        <v>6.0</v>
      </c>
      <c r="J420" s="240">
        <v>0.0</v>
      </c>
      <c r="K420" s="240">
        <v>0.0</v>
      </c>
      <c r="L420" s="240">
        <v>0.0</v>
      </c>
      <c r="M420" s="240" t="s">
        <v>3838</v>
      </c>
      <c r="N420" s="240">
        <v>9.0</v>
      </c>
    </row>
    <row r="421">
      <c r="A421" s="215">
        <v>417.0</v>
      </c>
      <c r="B421" s="237"/>
      <c r="C421" s="238">
        <v>1308.0</v>
      </c>
      <c r="D421" s="238">
        <v>9026.0</v>
      </c>
      <c r="E421" s="238" t="s">
        <v>4151</v>
      </c>
      <c r="F421" s="238" t="s">
        <v>3754</v>
      </c>
      <c r="G421" s="239" t="s">
        <v>3333</v>
      </c>
      <c r="H421" s="240">
        <v>29.0</v>
      </c>
      <c r="I421" s="240">
        <v>19.0</v>
      </c>
      <c r="J421" s="240">
        <v>0.0</v>
      </c>
      <c r="K421" s="240">
        <v>0.0</v>
      </c>
      <c r="L421" s="240">
        <v>0.0</v>
      </c>
      <c r="M421" s="240" t="s">
        <v>3436</v>
      </c>
      <c r="N421" s="240">
        <v>10.0</v>
      </c>
    </row>
    <row r="422">
      <c r="A422" s="215">
        <v>418.0</v>
      </c>
      <c r="B422" s="237"/>
      <c r="C422" s="238">
        <v>1308.0</v>
      </c>
      <c r="D422" s="238">
        <v>9081.0</v>
      </c>
      <c r="E422" s="238" t="s">
        <v>4151</v>
      </c>
      <c r="F422" s="238" t="s">
        <v>3379</v>
      </c>
      <c r="G422" s="239" t="s">
        <v>3333</v>
      </c>
      <c r="H422" s="240">
        <v>37.0</v>
      </c>
      <c r="I422" s="240">
        <v>4.0</v>
      </c>
      <c r="J422" s="240">
        <v>0.0</v>
      </c>
      <c r="K422" s="240">
        <v>0.0</v>
      </c>
      <c r="L422" s="240">
        <v>0.0</v>
      </c>
      <c r="M422" s="240" t="s">
        <v>3859</v>
      </c>
      <c r="N422" s="240">
        <v>33.0</v>
      </c>
    </row>
    <row r="423">
      <c r="A423" s="215">
        <v>419.0</v>
      </c>
      <c r="B423" s="237"/>
      <c r="C423" s="238">
        <v>1308.0</v>
      </c>
      <c r="D423" s="238">
        <v>9147.0</v>
      </c>
      <c r="E423" s="238" t="s">
        <v>4151</v>
      </c>
      <c r="F423" s="238" t="s">
        <v>3381</v>
      </c>
      <c r="G423" s="239" t="s">
        <v>3333</v>
      </c>
      <c r="H423" s="240">
        <v>55.0</v>
      </c>
      <c r="I423" s="240">
        <v>55.0</v>
      </c>
      <c r="J423" s="240">
        <v>0.0</v>
      </c>
      <c r="K423" s="240">
        <v>0.0</v>
      </c>
      <c r="L423" s="240">
        <v>0.0</v>
      </c>
      <c r="M423" s="240" t="s">
        <v>3368</v>
      </c>
      <c r="N423" s="240">
        <v>0.0</v>
      </c>
    </row>
    <row r="424">
      <c r="A424" s="215">
        <v>420.0</v>
      </c>
      <c r="B424" s="237"/>
      <c r="C424" s="238">
        <v>1308.0</v>
      </c>
      <c r="D424" s="238">
        <v>9736.0</v>
      </c>
      <c r="E424" s="238" t="s">
        <v>4151</v>
      </c>
      <c r="F424" s="238" t="s">
        <v>4153</v>
      </c>
      <c r="G424" s="239" t="s">
        <v>3333</v>
      </c>
      <c r="H424" s="240">
        <v>31.0</v>
      </c>
      <c r="I424" s="240">
        <v>31.0</v>
      </c>
      <c r="J424" s="240">
        <v>0.0</v>
      </c>
      <c r="K424" s="240">
        <v>0.0</v>
      </c>
      <c r="L424" s="240">
        <v>0.0</v>
      </c>
      <c r="M424" s="240" t="s">
        <v>3449</v>
      </c>
      <c r="N424" s="240">
        <v>0.0</v>
      </c>
    </row>
    <row r="425">
      <c r="A425" s="215">
        <v>421.0</v>
      </c>
      <c r="B425" s="237"/>
      <c r="C425" s="238">
        <v>1308.0</v>
      </c>
      <c r="D425" s="238">
        <v>9853.0</v>
      </c>
      <c r="E425" s="238" t="s">
        <v>4151</v>
      </c>
      <c r="F425" s="238" t="s">
        <v>3350</v>
      </c>
      <c r="G425" s="239" t="s">
        <v>3333</v>
      </c>
      <c r="H425" s="240">
        <v>25.0</v>
      </c>
      <c r="I425" s="240">
        <v>25.0</v>
      </c>
      <c r="J425" s="240">
        <v>0.0</v>
      </c>
      <c r="K425" s="240">
        <v>0.0</v>
      </c>
      <c r="L425" s="240">
        <v>0.0</v>
      </c>
      <c r="M425" s="240" t="s">
        <v>3493</v>
      </c>
      <c r="N425" s="240">
        <v>0.0</v>
      </c>
    </row>
    <row r="426">
      <c r="A426" s="215">
        <v>422.0</v>
      </c>
      <c r="B426" s="237"/>
      <c r="C426" s="238">
        <v>1309.0</v>
      </c>
      <c r="D426" s="238">
        <v>8083.0</v>
      </c>
      <c r="E426" s="238" t="s">
        <v>4155</v>
      </c>
      <c r="F426" s="238" t="s">
        <v>3356</v>
      </c>
      <c r="G426" s="239" t="s">
        <v>3330</v>
      </c>
      <c r="H426" s="240">
        <v>38.0</v>
      </c>
      <c r="I426" s="240">
        <v>38.0</v>
      </c>
      <c r="J426" s="240">
        <v>0.0</v>
      </c>
      <c r="K426" s="240">
        <v>0.0</v>
      </c>
      <c r="L426" s="240">
        <v>0.0</v>
      </c>
      <c r="M426" s="240" t="s">
        <v>4156</v>
      </c>
      <c r="N426" s="240">
        <v>0.0</v>
      </c>
    </row>
    <row r="427">
      <c r="A427" s="215">
        <v>423.0</v>
      </c>
      <c r="B427" s="237"/>
      <c r="C427" s="238">
        <v>1309.0</v>
      </c>
      <c r="D427" s="238">
        <v>9011.0</v>
      </c>
      <c r="E427" s="238" t="s">
        <v>4155</v>
      </c>
      <c r="F427" s="238" t="s">
        <v>3366</v>
      </c>
      <c r="G427" s="239" t="s">
        <v>3333</v>
      </c>
      <c r="H427" s="240">
        <v>21.0</v>
      </c>
      <c r="I427" s="240">
        <v>16.0</v>
      </c>
      <c r="J427" s="240">
        <v>0.0</v>
      </c>
      <c r="K427" s="240">
        <v>0.0</v>
      </c>
      <c r="L427" s="240">
        <v>0.0</v>
      </c>
      <c r="M427" s="240" t="s">
        <v>4108</v>
      </c>
      <c r="N427" s="240">
        <v>5.0</v>
      </c>
    </row>
    <row r="428">
      <c r="A428" s="215">
        <v>424.0</v>
      </c>
      <c r="B428" s="237"/>
      <c r="C428" s="238">
        <v>1320.0</v>
      </c>
      <c r="D428" s="238">
        <v>9500.0</v>
      </c>
      <c r="E428" s="238" t="s">
        <v>4157</v>
      </c>
      <c r="F428" s="238" t="s">
        <v>4158</v>
      </c>
      <c r="G428" s="239" t="s">
        <v>3333</v>
      </c>
      <c r="H428" s="240">
        <v>26.0</v>
      </c>
      <c r="I428" s="240">
        <v>26.0</v>
      </c>
      <c r="J428" s="240">
        <v>0.0</v>
      </c>
      <c r="K428" s="240">
        <v>0.0</v>
      </c>
      <c r="L428" s="240">
        <v>0.0</v>
      </c>
      <c r="M428" s="240" t="s">
        <v>4159</v>
      </c>
      <c r="N428" s="240">
        <v>0.0</v>
      </c>
    </row>
    <row r="429">
      <c r="A429" s="215">
        <v>425.0</v>
      </c>
      <c r="B429" s="237"/>
      <c r="C429" s="238">
        <v>1321.0</v>
      </c>
      <c r="D429" s="238">
        <v>9076.0</v>
      </c>
      <c r="E429" s="238" t="s">
        <v>4160</v>
      </c>
      <c r="F429" s="238" t="s">
        <v>4161</v>
      </c>
      <c r="G429" s="239" t="s">
        <v>3333</v>
      </c>
      <c r="H429" s="240">
        <v>36.0</v>
      </c>
      <c r="I429" s="240">
        <v>12.0</v>
      </c>
      <c r="J429" s="240">
        <v>0.0</v>
      </c>
      <c r="K429" s="240">
        <v>0.0</v>
      </c>
      <c r="L429" s="240">
        <v>0.0</v>
      </c>
      <c r="M429" s="240" t="s">
        <v>3961</v>
      </c>
      <c r="N429" s="240">
        <v>24.0</v>
      </c>
    </row>
    <row r="430">
      <c r="A430" s="215">
        <v>426.0</v>
      </c>
      <c r="B430" s="237"/>
      <c r="C430" s="238">
        <v>1501.0</v>
      </c>
      <c r="D430" s="238">
        <v>9069.0</v>
      </c>
      <c r="E430" s="238" t="s">
        <v>4162</v>
      </c>
      <c r="F430" s="238" t="s">
        <v>3451</v>
      </c>
      <c r="G430" s="239" t="s">
        <v>3333</v>
      </c>
      <c r="H430" s="240">
        <v>50.0</v>
      </c>
      <c r="I430" s="240">
        <v>50.0</v>
      </c>
      <c r="J430" s="240">
        <v>0.0</v>
      </c>
      <c r="K430" s="240">
        <v>0.0</v>
      </c>
      <c r="L430" s="240">
        <v>0.0</v>
      </c>
      <c r="M430" s="240" t="s">
        <v>4163</v>
      </c>
      <c r="N430" s="240">
        <v>0.0</v>
      </c>
    </row>
    <row r="431">
      <c r="A431" s="215">
        <v>427.0</v>
      </c>
      <c r="B431" s="237"/>
      <c r="C431" s="238">
        <v>1501.0</v>
      </c>
      <c r="D431" s="238">
        <v>9071.0</v>
      </c>
      <c r="E431" s="238" t="s">
        <v>4162</v>
      </c>
      <c r="F431" s="238" t="s">
        <v>3561</v>
      </c>
      <c r="G431" s="239" t="s">
        <v>3333</v>
      </c>
      <c r="H431" s="240">
        <v>50.0</v>
      </c>
      <c r="I431" s="240">
        <v>50.0</v>
      </c>
      <c r="J431" s="240">
        <v>0.0</v>
      </c>
      <c r="K431" s="240">
        <v>0.0</v>
      </c>
      <c r="L431" s="240">
        <v>0.0</v>
      </c>
      <c r="M431" s="240" t="s">
        <v>3945</v>
      </c>
      <c r="N431" s="240">
        <v>0.0</v>
      </c>
    </row>
    <row r="432">
      <c r="A432" s="215">
        <v>428.0</v>
      </c>
      <c r="B432" s="237"/>
      <c r="C432" s="238">
        <v>1501.0</v>
      </c>
      <c r="D432" s="238">
        <v>9257.0</v>
      </c>
      <c r="E432" s="238" t="s">
        <v>4162</v>
      </c>
      <c r="F432" s="238" t="s">
        <v>3602</v>
      </c>
      <c r="G432" s="239" t="s">
        <v>3425</v>
      </c>
      <c r="H432" s="240">
        <v>209.0</v>
      </c>
      <c r="I432" s="240">
        <v>209.0</v>
      </c>
      <c r="J432" s="240">
        <v>0.0</v>
      </c>
      <c r="K432" s="240">
        <v>0.0</v>
      </c>
      <c r="L432" s="240">
        <v>0.0</v>
      </c>
      <c r="M432" s="240" t="s">
        <v>3778</v>
      </c>
      <c r="N432" s="240">
        <v>0.0</v>
      </c>
    </row>
    <row r="433">
      <c r="A433" s="215">
        <v>429.0</v>
      </c>
      <c r="B433" s="237"/>
      <c r="C433" s="238">
        <v>1502.0</v>
      </c>
      <c r="D433" s="238">
        <v>8399.0</v>
      </c>
      <c r="E433" s="238" t="s">
        <v>4165</v>
      </c>
      <c r="F433" s="238" t="s">
        <v>4166</v>
      </c>
      <c r="G433" s="239" t="s">
        <v>3333</v>
      </c>
      <c r="H433" s="240">
        <v>54.0</v>
      </c>
      <c r="I433" s="240">
        <v>54.0</v>
      </c>
      <c r="J433" s="240">
        <v>0.0</v>
      </c>
      <c r="K433" s="240">
        <v>0.0</v>
      </c>
      <c r="L433" s="240">
        <v>0.0</v>
      </c>
      <c r="M433" s="240" t="s">
        <v>3927</v>
      </c>
      <c r="N433" s="240">
        <v>0.0</v>
      </c>
    </row>
    <row r="434">
      <c r="A434" s="215">
        <v>430.0</v>
      </c>
      <c r="B434" s="237"/>
      <c r="C434" s="238">
        <v>1502.0</v>
      </c>
      <c r="D434" s="238">
        <v>9070.0</v>
      </c>
      <c r="E434" s="238" t="s">
        <v>4165</v>
      </c>
      <c r="F434" s="238" t="s">
        <v>4167</v>
      </c>
      <c r="G434" s="239" t="s">
        <v>3333</v>
      </c>
      <c r="H434" s="240">
        <v>84.0</v>
      </c>
      <c r="I434" s="240">
        <v>84.0</v>
      </c>
      <c r="J434" s="240">
        <v>0.0</v>
      </c>
      <c r="K434" s="240">
        <v>0.0</v>
      </c>
      <c r="L434" s="240">
        <v>0.0</v>
      </c>
      <c r="M434" s="240" t="s">
        <v>4168</v>
      </c>
      <c r="N434" s="240">
        <v>0.0</v>
      </c>
    </row>
    <row r="435">
      <c r="A435" s="215">
        <v>431.0</v>
      </c>
      <c r="B435" s="237"/>
      <c r="C435" s="238">
        <v>1502.0</v>
      </c>
      <c r="D435" s="238">
        <v>9072.0</v>
      </c>
      <c r="E435" s="238" t="s">
        <v>4165</v>
      </c>
      <c r="F435" s="238" t="s">
        <v>4170</v>
      </c>
      <c r="G435" s="239" t="s">
        <v>3333</v>
      </c>
      <c r="H435" s="240">
        <v>55.0</v>
      </c>
      <c r="I435" s="240">
        <v>55.0</v>
      </c>
      <c r="J435" s="240">
        <v>0.0</v>
      </c>
      <c r="K435" s="240">
        <v>0.0</v>
      </c>
      <c r="L435" s="240">
        <v>0.0</v>
      </c>
      <c r="M435" s="240" t="s">
        <v>3390</v>
      </c>
      <c r="N435" s="240">
        <v>0.0</v>
      </c>
    </row>
    <row r="436">
      <c r="A436" s="215">
        <v>432.0</v>
      </c>
      <c r="B436" s="237"/>
      <c r="C436" s="238">
        <v>1502.0</v>
      </c>
      <c r="D436" s="238">
        <v>9754.0</v>
      </c>
      <c r="E436" s="238" t="s">
        <v>4165</v>
      </c>
      <c r="F436" s="238" t="s">
        <v>4171</v>
      </c>
      <c r="G436" s="239" t="s">
        <v>3333</v>
      </c>
      <c r="H436" s="240">
        <v>55.0</v>
      </c>
      <c r="I436" s="240">
        <v>55.0</v>
      </c>
      <c r="J436" s="240">
        <v>0.0</v>
      </c>
      <c r="K436" s="240">
        <v>1.0</v>
      </c>
      <c r="L436" s="240">
        <v>1.0</v>
      </c>
      <c r="M436" s="240" t="s">
        <v>4172</v>
      </c>
      <c r="N436" s="240">
        <v>0.0</v>
      </c>
    </row>
    <row r="437">
      <c r="A437" s="215">
        <v>433.0</v>
      </c>
      <c r="B437" s="237"/>
      <c r="C437" s="238">
        <v>1502.0</v>
      </c>
      <c r="D437" s="238">
        <v>9790.0</v>
      </c>
      <c r="E437" s="238" t="s">
        <v>4165</v>
      </c>
      <c r="F437" s="238" t="s">
        <v>4174</v>
      </c>
      <c r="G437" s="239" t="s">
        <v>3333</v>
      </c>
      <c r="H437" s="240">
        <v>55.0</v>
      </c>
      <c r="I437" s="240">
        <v>55.0</v>
      </c>
      <c r="J437" s="240">
        <v>0.0</v>
      </c>
      <c r="K437" s="240">
        <v>0.0</v>
      </c>
      <c r="L437" s="240">
        <v>0.0</v>
      </c>
      <c r="M437" s="240" t="s">
        <v>4175</v>
      </c>
      <c r="N437" s="240">
        <v>0.0</v>
      </c>
    </row>
    <row r="438">
      <c r="A438" s="215">
        <v>434.0</v>
      </c>
      <c r="B438" s="237"/>
      <c r="C438" s="238">
        <v>1502.0</v>
      </c>
      <c r="D438" s="238">
        <v>9904.0</v>
      </c>
      <c r="E438" s="238" t="s">
        <v>4165</v>
      </c>
      <c r="F438" s="238" t="s">
        <v>4177</v>
      </c>
      <c r="G438" s="239" t="s">
        <v>3333</v>
      </c>
      <c r="H438" s="240">
        <v>73.0</v>
      </c>
      <c r="I438" s="240">
        <v>73.0</v>
      </c>
      <c r="J438" s="240">
        <v>0.0</v>
      </c>
      <c r="K438" s="240">
        <v>0.0</v>
      </c>
      <c r="L438" s="240">
        <v>0.0</v>
      </c>
      <c r="M438" s="240" t="s">
        <v>4066</v>
      </c>
      <c r="N438" s="240">
        <v>0.0</v>
      </c>
    </row>
    <row r="439">
      <c r="A439" s="215">
        <v>435.0</v>
      </c>
      <c r="B439" s="237"/>
      <c r="C439" s="238">
        <v>1502.0</v>
      </c>
      <c r="D439" s="238" t="s">
        <v>4179</v>
      </c>
      <c r="E439" s="238" t="s">
        <v>4165</v>
      </c>
      <c r="F439" s="238" t="s">
        <v>4181</v>
      </c>
      <c r="G439" s="239" t="s">
        <v>3333</v>
      </c>
      <c r="H439" s="240">
        <v>30.0</v>
      </c>
      <c r="I439" s="240">
        <v>30.0</v>
      </c>
      <c r="J439" s="240">
        <v>0.0</v>
      </c>
      <c r="K439" s="240">
        <v>0.0</v>
      </c>
      <c r="L439" s="240">
        <v>0.0</v>
      </c>
      <c r="M439" s="240" t="s">
        <v>3985</v>
      </c>
      <c r="N439" s="240">
        <v>0.0</v>
      </c>
    </row>
    <row r="440">
      <c r="A440" s="215">
        <v>436.0</v>
      </c>
      <c r="B440" s="237"/>
      <c r="C440" s="238">
        <v>1503.0</v>
      </c>
      <c r="D440" s="238">
        <v>9011.0</v>
      </c>
      <c r="E440" s="238" t="s">
        <v>4183</v>
      </c>
      <c r="F440" s="238" t="s">
        <v>3366</v>
      </c>
      <c r="G440" s="239" t="s">
        <v>3333</v>
      </c>
      <c r="H440" s="240">
        <v>174.0</v>
      </c>
      <c r="I440" s="240">
        <v>174.0</v>
      </c>
      <c r="J440" s="240">
        <v>0.0</v>
      </c>
      <c r="K440" s="240">
        <v>0.0</v>
      </c>
      <c r="L440" s="240">
        <v>0.0</v>
      </c>
      <c r="M440" s="240" t="s">
        <v>4032</v>
      </c>
      <c r="N440" s="240">
        <v>0.0</v>
      </c>
    </row>
    <row r="441">
      <c r="A441" s="215">
        <v>437.0</v>
      </c>
      <c r="B441" s="237"/>
      <c r="C441" s="238">
        <v>1503.0</v>
      </c>
      <c r="D441" s="238">
        <v>9015.0</v>
      </c>
      <c r="E441" s="238" t="s">
        <v>4183</v>
      </c>
      <c r="F441" s="238" t="s">
        <v>3409</v>
      </c>
      <c r="G441" s="239" t="s">
        <v>3333</v>
      </c>
      <c r="H441" s="240">
        <v>70.0</v>
      </c>
      <c r="I441" s="240">
        <v>70.0</v>
      </c>
      <c r="J441" s="240">
        <v>0.0</v>
      </c>
      <c r="K441" s="240">
        <v>0.0</v>
      </c>
      <c r="L441" s="240">
        <v>0.0</v>
      </c>
      <c r="M441" s="240" t="s">
        <v>3930</v>
      </c>
      <c r="N441" s="240">
        <v>0.0</v>
      </c>
    </row>
    <row r="442">
      <c r="A442" s="215">
        <v>438.0</v>
      </c>
      <c r="B442" s="237"/>
      <c r="C442" s="238">
        <v>1503.0</v>
      </c>
      <c r="D442" s="238">
        <v>9113.0</v>
      </c>
      <c r="E442" s="238" t="s">
        <v>4183</v>
      </c>
      <c r="F442" s="238" t="s">
        <v>3469</v>
      </c>
      <c r="G442" s="239" t="s">
        <v>3333</v>
      </c>
      <c r="H442" s="240">
        <v>40.0</v>
      </c>
      <c r="I442" s="240">
        <v>40.0</v>
      </c>
      <c r="J442" s="240">
        <v>0.0</v>
      </c>
      <c r="K442" s="240">
        <v>0.0</v>
      </c>
      <c r="L442" s="240">
        <v>0.0</v>
      </c>
      <c r="M442" s="240" t="s">
        <v>3452</v>
      </c>
      <c r="N442" s="240">
        <v>0.0</v>
      </c>
    </row>
    <row r="443">
      <c r="A443" s="215">
        <v>439.0</v>
      </c>
      <c r="B443" s="237"/>
      <c r="C443" s="238">
        <v>1503.0</v>
      </c>
      <c r="D443" s="238">
        <v>9119.0</v>
      </c>
      <c r="E443" s="238" t="s">
        <v>4183</v>
      </c>
      <c r="F443" s="238" t="s">
        <v>3417</v>
      </c>
      <c r="G443" s="239" t="s">
        <v>3333</v>
      </c>
      <c r="H443" s="240">
        <v>105.0</v>
      </c>
      <c r="I443" s="240">
        <v>105.0</v>
      </c>
      <c r="J443" s="240">
        <v>0.0</v>
      </c>
      <c r="K443" s="240">
        <v>0.0</v>
      </c>
      <c r="L443" s="240">
        <v>0.0</v>
      </c>
      <c r="M443" s="240" t="s">
        <v>3512</v>
      </c>
      <c r="N443" s="240">
        <v>0.0</v>
      </c>
    </row>
    <row r="444">
      <c r="A444" s="215">
        <v>440.0</v>
      </c>
      <c r="B444" s="237"/>
      <c r="C444" s="238">
        <v>1503.0</v>
      </c>
      <c r="D444" s="238">
        <v>9141.0</v>
      </c>
      <c r="E444" s="238" t="s">
        <v>4183</v>
      </c>
      <c r="F444" s="238" t="s">
        <v>3476</v>
      </c>
      <c r="G444" s="239" t="s">
        <v>3333</v>
      </c>
      <c r="H444" s="240">
        <v>40.0</v>
      </c>
      <c r="I444" s="240">
        <v>40.0</v>
      </c>
      <c r="J444" s="240">
        <v>0.0</v>
      </c>
      <c r="K444" s="240">
        <v>0.0</v>
      </c>
      <c r="L444" s="240">
        <v>0.0</v>
      </c>
      <c r="M444" s="240" t="s">
        <v>4187</v>
      </c>
      <c r="N444" s="240">
        <v>0.0</v>
      </c>
    </row>
    <row r="445">
      <c r="A445" s="215">
        <v>441.0</v>
      </c>
      <c r="B445" s="237"/>
      <c r="C445" s="238">
        <v>1503.0</v>
      </c>
      <c r="D445" s="238">
        <v>9146.0</v>
      </c>
      <c r="E445" s="238" t="s">
        <v>4183</v>
      </c>
      <c r="F445" s="238" t="s">
        <v>3478</v>
      </c>
      <c r="G445" s="239" t="s">
        <v>3333</v>
      </c>
      <c r="H445" s="240">
        <v>72.0</v>
      </c>
      <c r="I445" s="240">
        <v>26.0</v>
      </c>
      <c r="J445" s="240">
        <v>0.0</v>
      </c>
      <c r="K445" s="240">
        <v>0.0</v>
      </c>
      <c r="L445" s="240">
        <v>0.0</v>
      </c>
      <c r="M445" s="240" t="s">
        <v>4188</v>
      </c>
      <c r="N445" s="240">
        <v>46.0</v>
      </c>
    </row>
    <row r="446">
      <c r="A446" s="215">
        <v>442.0</v>
      </c>
      <c r="B446" s="237"/>
      <c r="C446" s="238">
        <v>1503.0</v>
      </c>
      <c r="D446" s="238">
        <v>9209.0</v>
      </c>
      <c r="E446" s="238" t="s">
        <v>4183</v>
      </c>
      <c r="F446" s="238" t="s">
        <v>3494</v>
      </c>
      <c r="G446" s="239" t="s">
        <v>3333</v>
      </c>
      <c r="H446" s="240">
        <v>50.0</v>
      </c>
      <c r="I446" s="240">
        <v>26.0</v>
      </c>
      <c r="J446" s="240">
        <v>0.0</v>
      </c>
      <c r="K446" s="240">
        <v>0.0</v>
      </c>
      <c r="L446" s="240">
        <v>0.0</v>
      </c>
      <c r="M446" s="240" t="s">
        <v>3498</v>
      </c>
      <c r="N446" s="240">
        <v>24.0</v>
      </c>
    </row>
    <row r="447">
      <c r="A447" s="215">
        <v>443.0</v>
      </c>
      <c r="B447" s="237"/>
      <c r="C447" s="238">
        <v>1503.0</v>
      </c>
      <c r="D447" s="238">
        <v>9212.0</v>
      </c>
      <c r="E447" s="238" t="s">
        <v>4183</v>
      </c>
      <c r="F447" s="238" t="s">
        <v>4189</v>
      </c>
      <c r="G447" s="239" t="s">
        <v>3333</v>
      </c>
      <c r="H447" s="240">
        <v>23.0</v>
      </c>
      <c r="I447" s="240">
        <v>10.0</v>
      </c>
      <c r="J447" s="240">
        <v>0.0</v>
      </c>
      <c r="K447" s="240">
        <v>0.0</v>
      </c>
      <c r="L447" s="240">
        <v>0.0</v>
      </c>
      <c r="M447" s="240" t="s">
        <v>3445</v>
      </c>
      <c r="N447" s="240">
        <v>13.0</v>
      </c>
    </row>
    <row r="448">
      <c r="A448" s="215">
        <v>444.0</v>
      </c>
      <c r="B448" s="237"/>
      <c r="C448" s="238">
        <v>1503.0</v>
      </c>
      <c r="D448" s="238">
        <v>9223.0</v>
      </c>
      <c r="E448" s="238" t="s">
        <v>4183</v>
      </c>
      <c r="F448" s="238" t="s">
        <v>3497</v>
      </c>
      <c r="G448" s="239" t="s">
        <v>3333</v>
      </c>
      <c r="H448" s="240">
        <v>27.0</v>
      </c>
      <c r="I448" s="240">
        <v>27.0</v>
      </c>
      <c r="J448" s="240">
        <v>0.0</v>
      </c>
      <c r="K448" s="240">
        <v>0.0</v>
      </c>
      <c r="L448" s="240">
        <v>0.0</v>
      </c>
      <c r="M448" s="240" t="s">
        <v>3859</v>
      </c>
      <c r="N448" s="240">
        <v>0.0</v>
      </c>
    </row>
    <row r="449">
      <c r="A449" s="215">
        <v>445.0</v>
      </c>
      <c r="B449" s="237"/>
      <c r="C449" s="238">
        <v>1503.0</v>
      </c>
      <c r="D449" s="238">
        <v>9226.0</v>
      </c>
      <c r="E449" s="238" t="s">
        <v>4183</v>
      </c>
      <c r="F449" s="238" t="s">
        <v>4190</v>
      </c>
      <c r="G449" s="239" t="s">
        <v>3333</v>
      </c>
      <c r="H449" s="240">
        <v>21.0</v>
      </c>
      <c r="I449" s="240">
        <v>11.0</v>
      </c>
      <c r="J449" s="240">
        <v>0.0</v>
      </c>
      <c r="K449" s="240">
        <v>0.0</v>
      </c>
      <c r="L449" s="240">
        <v>0.0</v>
      </c>
      <c r="M449" s="240" t="s">
        <v>3814</v>
      </c>
      <c r="N449" s="240">
        <v>10.0</v>
      </c>
    </row>
    <row r="450">
      <c r="A450" s="215">
        <v>446.0</v>
      </c>
      <c r="B450" s="237"/>
      <c r="C450" s="238">
        <v>1503.0</v>
      </c>
      <c r="D450" s="238">
        <v>9381.0</v>
      </c>
      <c r="E450" s="238" t="s">
        <v>4183</v>
      </c>
      <c r="F450" s="238" t="s">
        <v>3976</v>
      </c>
      <c r="G450" s="239" t="s">
        <v>3333</v>
      </c>
      <c r="H450" s="240">
        <v>30.0</v>
      </c>
      <c r="I450" s="240">
        <v>20.0</v>
      </c>
      <c r="J450" s="240">
        <v>0.0</v>
      </c>
      <c r="K450" s="240">
        <v>0.0</v>
      </c>
      <c r="L450" s="240">
        <v>0.0</v>
      </c>
      <c r="M450" s="240" t="s">
        <v>3590</v>
      </c>
      <c r="N450" s="240">
        <v>10.0</v>
      </c>
    </row>
    <row r="451">
      <c r="A451" s="215">
        <v>447.0</v>
      </c>
      <c r="B451" s="237"/>
      <c r="C451" s="238">
        <v>1503.0</v>
      </c>
      <c r="D451" s="238">
        <v>9385.0</v>
      </c>
      <c r="E451" s="238" t="s">
        <v>4183</v>
      </c>
      <c r="F451" s="238" t="s">
        <v>4024</v>
      </c>
      <c r="G451" s="239" t="s">
        <v>3333</v>
      </c>
      <c r="H451" s="240">
        <v>77.0</v>
      </c>
      <c r="I451" s="240">
        <v>77.0</v>
      </c>
      <c r="J451" s="240">
        <v>0.0</v>
      </c>
      <c r="K451" s="240">
        <v>0.0</v>
      </c>
      <c r="L451" s="240">
        <v>0.0</v>
      </c>
      <c r="M451" s="240" t="s">
        <v>4187</v>
      </c>
      <c r="N451" s="240">
        <v>0.0</v>
      </c>
    </row>
    <row r="452">
      <c r="A452" s="215">
        <v>448.0</v>
      </c>
      <c r="B452" s="237"/>
      <c r="C452" s="238">
        <v>1503.0</v>
      </c>
      <c r="D452" s="238" t="s">
        <v>4191</v>
      </c>
      <c r="E452" s="238" t="s">
        <v>4183</v>
      </c>
      <c r="F452" s="238" t="s">
        <v>4192</v>
      </c>
      <c r="G452" s="239" t="s">
        <v>3333</v>
      </c>
      <c r="H452" s="240">
        <v>65.0</v>
      </c>
      <c r="I452" s="240">
        <v>27.0</v>
      </c>
      <c r="J452" s="240">
        <v>0.0</v>
      </c>
      <c r="K452" s="240">
        <v>0.0</v>
      </c>
      <c r="L452" s="240">
        <v>0.0</v>
      </c>
      <c r="M452" s="240" t="s">
        <v>3586</v>
      </c>
      <c r="N452" s="240">
        <v>38.0</v>
      </c>
    </row>
    <row r="453">
      <c r="A453" s="215">
        <v>449.0</v>
      </c>
      <c r="B453" s="237"/>
      <c r="C453" s="238">
        <v>1503.0</v>
      </c>
      <c r="D453" s="238" t="s">
        <v>4035</v>
      </c>
      <c r="E453" s="238" t="s">
        <v>4183</v>
      </c>
      <c r="F453" s="238" t="s">
        <v>4036</v>
      </c>
      <c r="G453" s="239" t="s">
        <v>3333</v>
      </c>
      <c r="H453" s="240">
        <v>20.0</v>
      </c>
      <c r="I453" s="240">
        <v>2.0</v>
      </c>
      <c r="J453" s="240">
        <v>0.0</v>
      </c>
      <c r="K453" s="240">
        <v>0.0</v>
      </c>
      <c r="L453" s="240">
        <v>0.0</v>
      </c>
      <c r="M453" s="240" t="s">
        <v>4127</v>
      </c>
      <c r="N453" s="240">
        <v>18.0</v>
      </c>
    </row>
    <row r="454">
      <c r="A454" s="215">
        <v>450.0</v>
      </c>
      <c r="B454" s="237"/>
      <c r="C454" s="238">
        <v>1503.0</v>
      </c>
      <c r="D454" s="238" t="s">
        <v>4193</v>
      </c>
      <c r="E454" s="238" t="s">
        <v>4183</v>
      </c>
      <c r="F454" s="238" t="s">
        <v>4194</v>
      </c>
      <c r="G454" s="239" t="s">
        <v>3333</v>
      </c>
      <c r="H454" s="240">
        <v>43.0</v>
      </c>
      <c r="I454" s="240">
        <v>43.0</v>
      </c>
      <c r="J454" s="240">
        <v>0.0</v>
      </c>
      <c r="K454" s="240">
        <v>0.0</v>
      </c>
      <c r="L454" s="240">
        <v>0.0</v>
      </c>
      <c r="M454" s="240" t="s">
        <v>3724</v>
      </c>
      <c r="N454" s="240">
        <v>0.0</v>
      </c>
    </row>
    <row r="455">
      <c r="A455" s="215">
        <v>451.0</v>
      </c>
      <c r="B455" s="237"/>
      <c r="C455" s="238">
        <v>1503.0</v>
      </c>
      <c r="D455" s="238" t="s">
        <v>4195</v>
      </c>
      <c r="E455" s="238" t="s">
        <v>4183</v>
      </c>
      <c r="F455" s="238" t="s">
        <v>4196</v>
      </c>
      <c r="G455" s="239" t="s">
        <v>3333</v>
      </c>
      <c r="H455" s="240">
        <v>30.0</v>
      </c>
      <c r="I455" s="240">
        <v>18.0</v>
      </c>
      <c r="J455" s="240">
        <v>0.0</v>
      </c>
      <c r="K455" s="240">
        <v>0.0</v>
      </c>
      <c r="L455" s="240">
        <v>0.0</v>
      </c>
      <c r="M455" s="240" t="s">
        <v>3611</v>
      </c>
      <c r="N455" s="240">
        <v>12.0</v>
      </c>
    </row>
    <row r="456">
      <c r="A456" s="215">
        <v>452.0</v>
      </c>
      <c r="B456" s="237"/>
      <c r="C456" s="238">
        <v>1504.0</v>
      </c>
      <c r="D456" s="238">
        <v>8358.0</v>
      </c>
      <c r="E456" s="238" t="s">
        <v>4197</v>
      </c>
      <c r="F456" s="238" t="s">
        <v>3924</v>
      </c>
      <c r="G456" s="239" t="s">
        <v>3333</v>
      </c>
      <c r="H456" s="240">
        <v>82.0</v>
      </c>
      <c r="I456" s="240">
        <v>82.0</v>
      </c>
      <c r="J456" s="240">
        <v>0.0</v>
      </c>
      <c r="K456" s="240">
        <v>0.0</v>
      </c>
      <c r="L456" s="240">
        <v>0.0</v>
      </c>
      <c r="M456" s="240" t="s">
        <v>3598</v>
      </c>
      <c r="N456" s="240">
        <v>0.0</v>
      </c>
    </row>
    <row r="457">
      <c r="A457" s="215">
        <v>453.0</v>
      </c>
      <c r="B457" s="237"/>
      <c r="C457" s="238">
        <v>1504.0</v>
      </c>
      <c r="D457" s="238">
        <v>9078.0</v>
      </c>
      <c r="E457" s="238" t="s">
        <v>4197</v>
      </c>
      <c r="F457" s="238" t="s">
        <v>3694</v>
      </c>
      <c r="G457" s="239" t="s">
        <v>3333</v>
      </c>
      <c r="H457" s="240">
        <v>445.0</v>
      </c>
      <c r="I457" s="240">
        <v>445.0</v>
      </c>
      <c r="J457" s="240">
        <v>0.0</v>
      </c>
      <c r="K457" s="240">
        <v>2.0</v>
      </c>
      <c r="L457" s="240">
        <v>2.0</v>
      </c>
      <c r="M457" s="240" t="s">
        <v>4198</v>
      </c>
      <c r="N457" s="240">
        <v>0.0</v>
      </c>
    </row>
    <row r="458">
      <c r="A458" s="215">
        <v>454.0</v>
      </c>
      <c r="B458" s="237"/>
      <c r="C458" s="238">
        <v>1505.0</v>
      </c>
      <c r="D458" s="238">
        <v>9494.0</v>
      </c>
      <c r="E458" s="238" t="s">
        <v>4199</v>
      </c>
      <c r="F458" s="238" t="s">
        <v>3424</v>
      </c>
      <c r="G458" s="239" t="s">
        <v>3425</v>
      </c>
      <c r="H458" s="240">
        <v>215.0</v>
      </c>
      <c r="I458" s="240">
        <v>215.0</v>
      </c>
      <c r="J458" s="240">
        <v>0.0</v>
      </c>
      <c r="K458" s="240">
        <v>0.0</v>
      </c>
      <c r="L458" s="240">
        <v>0.0</v>
      </c>
      <c r="M458" s="240" t="s">
        <v>4200</v>
      </c>
      <c r="N458" s="240">
        <v>0.0</v>
      </c>
    </row>
    <row r="459">
      <c r="A459" s="215">
        <v>455.0</v>
      </c>
      <c r="B459" s="237"/>
      <c r="C459" s="238">
        <v>1506.0</v>
      </c>
      <c r="D459" s="238">
        <v>8413.0</v>
      </c>
      <c r="E459" s="238" t="s">
        <v>4201</v>
      </c>
      <c r="F459" s="238" t="s">
        <v>4202</v>
      </c>
      <c r="G459" s="239" t="s">
        <v>3333</v>
      </c>
      <c r="H459" s="240">
        <v>62.0</v>
      </c>
      <c r="I459" s="240">
        <v>62.0</v>
      </c>
      <c r="J459" s="240">
        <v>0.0</v>
      </c>
      <c r="K459" s="240">
        <v>0.0</v>
      </c>
      <c r="L459" s="240">
        <v>0.0</v>
      </c>
      <c r="M459" s="240" t="s">
        <v>4203</v>
      </c>
      <c r="N459" s="240">
        <v>0.0</v>
      </c>
    </row>
    <row r="460">
      <c r="A460" s="215">
        <v>456.0</v>
      </c>
      <c r="B460" s="237"/>
      <c r="C460" s="238">
        <v>1506.0</v>
      </c>
      <c r="D460" s="238">
        <v>8458.0</v>
      </c>
      <c r="E460" s="238" t="s">
        <v>4201</v>
      </c>
      <c r="F460" s="238" t="s">
        <v>4204</v>
      </c>
      <c r="G460" s="239" t="s">
        <v>3333</v>
      </c>
      <c r="H460" s="240">
        <v>61.0</v>
      </c>
      <c r="I460" s="240">
        <v>59.0</v>
      </c>
      <c r="J460" s="240">
        <v>0.0</v>
      </c>
      <c r="K460" s="240">
        <v>0.0</v>
      </c>
      <c r="L460" s="240">
        <v>0.0</v>
      </c>
      <c r="M460" s="240" t="s">
        <v>4020</v>
      </c>
      <c r="N460" s="240">
        <v>2.0</v>
      </c>
    </row>
    <row r="461">
      <c r="A461" s="215">
        <v>457.0</v>
      </c>
      <c r="B461" s="237"/>
      <c r="C461" s="238">
        <v>1506.0</v>
      </c>
      <c r="D461" s="238">
        <v>9006.0</v>
      </c>
      <c r="E461" s="238" t="s">
        <v>4201</v>
      </c>
      <c r="F461" s="238" t="s">
        <v>3717</v>
      </c>
      <c r="G461" s="239" t="s">
        <v>3333</v>
      </c>
      <c r="H461" s="240">
        <v>36.0</v>
      </c>
      <c r="I461" s="240">
        <v>36.0</v>
      </c>
      <c r="J461" s="240">
        <v>0.0</v>
      </c>
      <c r="K461" s="240">
        <v>0.0</v>
      </c>
      <c r="L461" s="240">
        <v>0.0</v>
      </c>
      <c r="M461" s="240" t="s">
        <v>3428</v>
      </c>
      <c r="N461" s="240">
        <v>0.0</v>
      </c>
    </row>
    <row r="462">
      <c r="A462" s="215">
        <v>458.0</v>
      </c>
      <c r="B462" s="237"/>
      <c r="C462" s="238">
        <v>1506.0</v>
      </c>
      <c r="D462" s="238">
        <v>9040.0</v>
      </c>
      <c r="E462" s="238" t="s">
        <v>4201</v>
      </c>
      <c r="F462" s="238" t="s">
        <v>3849</v>
      </c>
      <c r="G462" s="239" t="s">
        <v>3333</v>
      </c>
      <c r="H462" s="240">
        <v>31.0</v>
      </c>
      <c r="I462" s="240">
        <v>31.0</v>
      </c>
      <c r="J462" s="240">
        <v>0.0</v>
      </c>
      <c r="K462" s="240">
        <v>1.0</v>
      </c>
      <c r="L462" s="240">
        <v>1.0</v>
      </c>
      <c r="M462" s="240" t="s">
        <v>3512</v>
      </c>
      <c r="N462" s="240">
        <v>0.0</v>
      </c>
    </row>
    <row r="463">
      <c r="A463" s="215">
        <v>459.0</v>
      </c>
      <c r="B463" s="237"/>
      <c r="C463" s="238">
        <v>1506.0</v>
      </c>
      <c r="D463" s="238">
        <v>9131.0</v>
      </c>
      <c r="E463" s="238" t="s">
        <v>4201</v>
      </c>
      <c r="F463" s="238" t="s">
        <v>4205</v>
      </c>
      <c r="G463" s="239" t="s">
        <v>3333</v>
      </c>
      <c r="H463" s="240">
        <v>20.0</v>
      </c>
      <c r="I463" s="240">
        <v>20.0</v>
      </c>
      <c r="J463" s="240">
        <v>0.0</v>
      </c>
      <c r="K463" s="240">
        <v>0.0</v>
      </c>
      <c r="L463" s="240">
        <v>0.0</v>
      </c>
      <c r="M463" s="240" t="s">
        <v>3336</v>
      </c>
      <c r="N463" s="240">
        <v>0.0</v>
      </c>
    </row>
    <row r="464">
      <c r="A464" s="215">
        <v>460.0</v>
      </c>
      <c r="B464" s="237"/>
      <c r="C464" s="238">
        <v>1506.0</v>
      </c>
      <c r="D464" s="238">
        <v>9132.0</v>
      </c>
      <c r="E464" s="238" t="s">
        <v>4201</v>
      </c>
      <c r="F464" s="238" t="s">
        <v>3720</v>
      </c>
      <c r="G464" s="239" t="s">
        <v>3333</v>
      </c>
      <c r="H464" s="240">
        <v>49.0</v>
      </c>
      <c r="I464" s="240">
        <v>49.0</v>
      </c>
      <c r="J464" s="240">
        <v>0.0</v>
      </c>
      <c r="K464" s="240">
        <v>0.0</v>
      </c>
      <c r="L464" s="240">
        <v>0.0</v>
      </c>
      <c r="M464" s="240" t="s">
        <v>3380</v>
      </c>
      <c r="N464" s="240">
        <v>0.0</v>
      </c>
    </row>
    <row r="465">
      <c r="A465" s="215">
        <v>461.0</v>
      </c>
      <c r="B465" s="237"/>
      <c r="C465" s="238">
        <v>1506.0</v>
      </c>
      <c r="D465" s="238">
        <v>9133.0</v>
      </c>
      <c r="E465" s="238" t="s">
        <v>4201</v>
      </c>
      <c r="F465" s="238" t="s">
        <v>3722</v>
      </c>
      <c r="G465" s="239" t="s">
        <v>3333</v>
      </c>
      <c r="H465" s="240">
        <v>19.0</v>
      </c>
      <c r="I465" s="240">
        <v>14.0</v>
      </c>
      <c r="J465" s="240">
        <v>0.0</v>
      </c>
      <c r="K465" s="240">
        <v>1.0</v>
      </c>
      <c r="L465" s="240">
        <v>0.0</v>
      </c>
      <c r="M465" s="240" t="s">
        <v>3822</v>
      </c>
      <c r="N465" s="240">
        <v>4.0</v>
      </c>
    </row>
    <row r="466">
      <c r="A466" s="215">
        <v>462.0</v>
      </c>
      <c r="B466" s="237"/>
      <c r="C466" s="238">
        <v>1506.0</v>
      </c>
      <c r="D466" s="238">
        <v>9135.0</v>
      </c>
      <c r="E466" s="238" t="s">
        <v>4201</v>
      </c>
      <c r="F466" s="238" t="s">
        <v>3338</v>
      </c>
      <c r="G466" s="239" t="s">
        <v>3333</v>
      </c>
      <c r="H466" s="240">
        <v>56.0</v>
      </c>
      <c r="I466" s="240">
        <v>56.0</v>
      </c>
      <c r="J466" s="240">
        <v>0.0</v>
      </c>
      <c r="K466" s="240">
        <v>0.0</v>
      </c>
      <c r="L466" s="240">
        <v>0.0</v>
      </c>
      <c r="M466" s="240" t="s">
        <v>3441</v>
      </c>
      <c r="N466" s="240">
        <v>0.0</v>
      </c>
    </row>
    <row r="467">
      <c r="A467" s="215">
        <v>463.0</v>
      </c>
      <c r="B467" s="237"/>
      <c r="C467" s="238">
        <v>1506.0</v>
      </c>
      <c r="D467" s="238">
        <v>9139.0</v>
      </c>
      <c r="E467" s="238" t="s">
        <v>4201</v>
      </c>
      <c r="F467" s="238" t="s">
        <v>3592</v>
      </c>
      <c r="G467" s="239" t="s">
        <v>3333</v>
      </c>
      <c r="H467" s="240">
        <v>43.0</v>
      </c>
      <c r="I467" s="240">
        <v>43.0</v>
      </c>
      <c r="J467" s="240">
        <v>0.0</v>
      </c>
      <c r="K467" s="240">
        <v>0.0</v>
      </c>
      <c r="L467" s="240">
        <v>0.0</v>
      </c>
      <c r="M467" s="240" t="s">
        <v>3498</v>
      </c>
      <c r="N467" s="240">
        <v>0.0</v>
      </c>
    </row>
    <row r="468">
      <c r="A468" s="215">
        <v>464.0</v>
      </c>
      <c r="B468" s="237"/>
      <c r="C468" s="238">
        <v>1506.0</v>
      </c>
      <c r="D468" s="238">
        <v>9181.0</v>
      </c>
      <c r="E468" s="238" t="s">
        <v>4201</v>
      </c>
      <c r="F468" s="238" t="s">
        <v>3340</v>
      </c>
      <c r="G468" s="239" t="s">
        <v>3333</v>
      </c>
      <c r="H468" s="240">
        <v>61.0</v>
      </c>
      <c r="I468" s="240">
        <v>61.0</v>
      </c>
      <c r="J468" s="240">
        <v>0.0</v>
      </c>
      <c r="K468" s="240">
        <v>0.0</v>
      </c>
      <c r="L468" s="240">
        <v>0.0</v>
      </c>
      <c r="M468" s="240" t="s">
        <v>3928</v>
      </c>
      <c r="N468" s="240">
        <v>0.0</v>
      </c>
    </row>
    <row r="469">
      <c r="A469" s="215">
        <v>465.0</v>
      </c>
      <c r="B469" s="237"/>
      <c r="C469" s="238">
        <v>1506.0</v>
      </c>
      <c r="D469" s="238">
        <v>9182.0</v>
      </c>
      <c r="E469" s="238" t="s">
        <v>4201</v>
      </c>
      <c r="F469" s="238" t="s">
        <v>3730</v>
      </c>
      <c r="G469" s="239" t="s">
        <v>3333</v>
      </c>
      <c r="H469" s="240">
        <v>40.0</v>
      </c>
      <c r="I469" s="240">
        <v>40.0</v>
      </c>
      <c r="J469" s="240">
        <v>0.0</v>
      </c>
      <c r="K469" s="240">
        <v>0.0</v>
      </c>
      <c r="L469" s="240">
        <v>0.0</v>
      </c>
      <c r="M469" s="240" t="s">
        <v>3731</v>
      </c>
      <c r="N469" s="240">
        <v>0.0</v>
      </c>
    </row>
    <row r="470">
      <c r="A470" s="215">
        <v>466.0</v>
      </c>
      <c r="B470" s="237"/>
      <c r="C470" s="238">
        <v>1506.0</v>
      </c>
      <c r="D470" s="238">
        <v>9204.0</v>
      </c>
      <c r="E470" s="238" t="s">
        <v>4201</v>
      </c>
      <c r="F470" s="238" t="s">
        <v>3388</v>
      </c>
      <c r="G470" s="239" t="s">
        <v>3333</v>
      </c>
      <c r="H470" s="240">
        <v>211.0</v>
      </c>
      <c r="I470" s="240">
        <v>211.0</v>
      </c>
      <c r="J470" s="240">
        <v>0.0</v>
      </c>
      <c r="K470" s="240">
        <v>6.0</v>
      </c>
      <c r="L470" s="240">
        <v>6.0</v>
      </c>
      <c r="M470" s="240" t="s">
        <v>3914</v>
      </c>
      <c r="N470" s="240">
        <v>0.0</v>
      </c>
    </row>
    <row r="471">
      <c r="A471" s="215">
        <v>467.0</v>
      </c>
      <c r="B471" s="237"/>
      <c r="C471" s="238">
        <v>1506.0</v>
      </c>
      <c r="D471" s="238">
        <v>9252.0</v>
      </c>
      <c r="E471" s="238" t="s">
        <v>4201</v>
      </c>
      <c r="F471" s="238" t="s">
        <v>3499</v>
      </c>
      <c r="G471" s="239" t="s">
        <v>3333</v>
      </c>
      <c r="H471" s="240">
        <v>58.0</v>
      </c>
      <c r="I471" s="240">
        <v>58.0</v>
      </c>
      <c r="J471" s="240">
        <v>0.0</v>
      </c>
      <c r="K471" s="240">
        <v>3.0</v>
      </c>
      <c r="L471" s="240">
        <v>3.0</v>
      </c>
      <c r="M471" s="240" t="s">
        <v>3930</v>
      </c>
      <c r="N471" s="240">
        <v>0.0</v>
      </c>
    </row>
    <row r="472">
      <c r="A472" s="215">
        <v>468.0</v>
      </c>
      <c r="B472" s="237"/>
      <c r="C472" s="238">
        <v>1506.0</v>
      </c>
      <c r="D472" s="238">
        <v>9914.0</v>
      </c>
      <c r="E472" s="238" t="s">
        <v>4201</v>
      </c>
      <c r="F472" s="238" t="s">
        <v>4213</v>
      </c>
      <c r="G472" s="239" t="s">
        <v>3333</v>
      </c>
      <c r="H472" s="240">
        <v>27.0</v>
      </c>
      <c r="I472" s="240">
        <v>27.0</v>
      </c>
      <c r="J472" s="240">
        <v>0.0</v>
      </c>
      <c r="K472" s="240">
        <v>0.0</v>
      </c>
      <c r="L472" s="240">
        <v>0.0</v>
      </c>
      <c r="M472" s="240" t="s">
        <v>3654</v>
      </c>
      <c r="N472" s="240">
        <v>0.0</v>
      </c>
    </row>
    <row r="473">
      <c r="A473" s="215">
        <v>469.0</v>
      </c>
      <c r="B473" s="237"/>
      <c r="C473" s="238">
        <v>1506.0</v>
      </c>
      <c r="D473" s="238">
        <v>9917.0</v>
      </c>
      <c r="E473" s="238" t="s">
        <v>4201</v>
      </c>
      <c r="F473" s="238" t="s">
        <v>3869</v>
      </c>
      <c r="G473" s="239" t="s">
        <v>3333</v>
      </c>
      <c r="H473" s="240">
        <v>20.0</v>
      </c>
      <c r="I473" s="240">
        <v>20.0</v>
      </c>
      <c r="J473" s="240">
        <v>0.0</v>
      </c>
      <c r="K473" s="240">
        <v>0.0</v>
      </c>
      <c r="L473" s="240">
        <v>0.0</v>
      </c>
      <c r="M473" s="240" t="s">
        <v>4215</v>
      </c>
      <c r="N473" s="240">
        <v>0.0</v>
      </c>
    </row>
    <row r="474">
      <c r="A474" s="215">
        <v>470.0</v>
      </c>
      <c r="B474" s="237"/>
      <c r="C474" s="238">
        <v>1506.0</v>
      </c>
      <c r="D474" s="238" t="s">
        <v>4216</v>
      </c>
      <c r="E474" s="238" t="s">
        <v>4201</v>
      </c>
      <c r="F474" s="238" t="s">
        <v>4217</v>
      </c>
      <c r="G474" s="239" t="s">
        <v>3333</v>
      </c>
      <c r="H474" s="240">
        <v>20.0</v>
      </c>
      <c r="I474" s="240">
        <v>20.0</v>
      </c>
      <c r="J474" s="240">
        <v>0.0</v>
      </c>
      <c r="K474" s="240">
        <v>1.0</v>
      </c>
      <c r="L474" s="240">
        <v>1.0</v>
      </c>
      <c r="M474" s="240" t="s">
        <v>3392</v>
      </c>
      <c r="N474" s="240">
        <v>0.0</v>
      </c>
    </row>
    <row r="475">
      <c r="A475" s="215">
        <v>471.0</v>
      </c>
      <c r="B475" s="237"/>
      <c r="C475" s="238">
        <v>1506.0</v>
      </c>
      <c r="D475" s="238" t="s">
        <v>4219</v>
      </c>
      <c r="E475" s="238" t="s">
        <v>4201</v>
      </c>
      <c r="F475" s="238" t="s">
        <v>4220</v>
      </c>
      <c r="G475" s="239" t="s">
        <v>3333</v>
      </c>
      <c r="H475" s="240">
        <v>56.0</v>
      </c>
      <c r="I475" s="240">
        <v>56.0</v>
      </c>
      <c r="J475" s="240">
        <v>0.0</v>
      </c>
      <c r="K475" s="240">
        <v>0.0</v>
      </c>
      <c r="L475" s="240">
        <v>0.0</v>
      </c>
      <c r="M475" s="240" t="s">
        <v>3589</v>
      </c>
      <c r="N475" s="240">
        <v>0.0</v>
      </c>
    </row>
    <row r="476">
      <c r="A476" s="215">
        <v>472.0</v>
      </c>
      <c r="B476" s="237"/>
      <c r="C476" s="238">
        <v>1507.0</v>
      </c>
      <c r="D476" s="238">
        <v>9554.0</v>
      </c>
      <c r="E476" s="238" t="s">
        <v>4221</v>
      </c>
      <c r="F476" s="238" t="s">
        <v>3836</v>
      </c>
      <c r="G476" s="239" t="s">
        <v>3333</v>
      </c>
      <c r="H476" s="240">
        <v>30.0</v>
      </c>
      <c r="I476" s="240">
        <v>30.0</v>
      </c>
      <c r="J476" s="240">
        <v>0.0</v>
      </c>
      <c r="K476" s="240">
        <v>0.0</v>
      </c>
      <c r="L476" s="240">
        <v>0.0</v>
      </c>
      <c r="M476" s="240" t="s">
        <v>3838</v>
      </c>
      <c r="N476" s="240">
        <v>0.0</v>
      </c>
    </row>
    <row r="477">
      <c r="A477" s="215">
        <v>473.0</v>
      </c>
      <c r="B477" s="237"/>
      <c r="C477" s="238">
        <v>1507.0</v>
      </c>
      <c r="D477" s="238">
        <v>9813.0</v>
      </c>
      <c r="E477" s="238" t="s">
        <v>4221</v>
      </c>
      <c r="F477" s="238" t="s">
        <v>3505</v>
      </c>
      <c r="G477" s="239" t="s">
        <v>3425</v>
      </c>
      <c r="H477" s="240">
        <v>299.0</v>
      </c>
      <c r="I477" s="240">
        <v>299.0</v>
      </c>
      <c r="J477" s="240">
        <v>0.0</v>
      </c>
      <c r="K477" s="240">
        <v>0.0</v>
      </c>
      <c r="L477" s="240">
        <v>0.0</v>
      </c>
      <c r="M477" s="240" t="s">
        <v>4223</v>
      </c>
      <c r="N477" s="240">
        <v>0.0</v>
      </c>
    </row>
    <row r="478">
      <c r="A478" s="215">
        <v>474.0</v>
      </c>
      <c r="B478" s="237"/>
      <c r="C478" s="238">
        <v>1508.0</v>
      </c>
      <c r="D478" s="238">
        <v>9548.0</v>
      </c>
      <c r="E478" s="238" t="s">
        <v>4224</v>
      </c>
      <c r="F478" s="238" t="s">
        <v>3749</v>
      </c>
      <c r="G478" s="239" t="s">
        <v>3425</v>
      </c>
      <c r="H478" s="240">
        <v>70.0</v>
      </c>
      <c r="I478" s="240">
        <v>70.0</v>
      </c>
      <c r="J478" s="240">
        <v>1.0</v>
      </c>
      <c r="K478" s="240">
        <v>0.0</v>
      </c>
      <c r="L478" s="240">
        <v>0.0</v>
      </c>
      <c r="M478" s="240" t="s">
        <v>3750</v>
      </c>
      <c r="N478" s="240">
        <v>0.0</v>
      </c>
    </row>
    <row r="479">
      <c r="A479" s="215">
        <v>475.0</v>
      </c>
      <c r="B479" s="237"/>
      <c r="C479" s="238">
        <v>1508.0</v>
      </c>
      <c r="D479" s="238">
        <v>9556.0</v>
      </c>
      <c r="E479" s="238" t="s">
        <v>4224</v>
      </c>
      <c r="F479" s="238" t="s">
        <v>4225</v>
      </c>
      <c r="G479" s="239" t="s">
        <v>3333</v>
      </c>
      <c r="H479" s="240">
        <v>44.0</v>
      </c>
      <c r="I479" s="240">
        <v>44.0</v>
      </c>
      <c r="J479" s="240">
        <v>0.0</v>
      </c>
      <c r="K479" s="240">
        <v>0.0</v>
      </c>
      <c r="L479" s="240">
        <v>0.0</v>
      </c>
      <c r="M479" s="240" t="s">
        <v>4175</v>
      </c>
      <c r="N479" s="240">
        <v>0.0</v>
      </c>
    </row>
    <row r="480">
      <c r="A480" s="215">
        <v>476.0</v>
      </c>
      <c r="B480" s="237"/>
      <c r="C480" s="238">
        <v>1508.0</v>
      </c>
      <c r="D480" s="238">
        <v>9791.0</v>
      </c>
      <c r="E480" s="238" t="s">
        <v>4224</v>
      </c>
      <c r="F480" s="238" t="s">
        <v>4226</v>
      </c>
      <c r="G480" s="239" t="s">
        <v>3333</v>
      </c>
      <c r="H480" s="240">
        <v>27.0</v>
      </c>
      <c r="I480" s="240">
        <v>27.0</v>
      </c>
      <c r="J480" s="240">
        <v>0.0</v>
      </c>
      <c r="K480" s="240">
        <v>0.0</v>
      </c>
      <c r="L480" s="240">
        <v>0.0</v>
      </c>
      <c r="M480" s="240" t="s">
        <v>4200</v>
      </c>
      <c r="N480" s="240">
        <v>0.0</v>
      </c>
    </row>
    <row r="481">
      <c r="A481" s="215">
        <v>477.0</v>
      </c>
      <c r="B481" s="237"/>
      <c r="C481" s="238">
        <v>1509.0</v>
      </c>
      <c r="D481" s="238">
        <v>9847.0</v>
      </c>
      <c r="E481" s="238" t="s">
        <v>4227</v>
      </c>
      <c r="F481" s="238" t="s">
        <v>3777</v>
      </c>
      <c r="G481" s="239" t="s">
        <v>3425</v>
      </c>
      <c r="H481" s="240">
        <v>109.0</v>
      </c>
      <c r="I481" s="240">
        <v>109.0</v>
      </c>
      <c r="J481" s="240">
        <v>0.0</v>
      </c>
      <c r="K481" s="240">
        <v>0.0</v>
      </c>
      <c r="L481" s="240">
        <v>0.0</v>
      </c>
      <c r="M481" s="240" t="s">
        <v>3501</v>
      </c>
      <c r="N481" s="240">
        <v>0.0</v>
      </c>
    </row>
    <row r="482">
      <c r="A482" s="215">
        <v>478.0</v>
      </c>
      <c r="B482" s="237"/>
      <c r="C482" s="238">
        <v>1510.0</v>
      </c>
      <c r="D482" s="238">
        <v>9068.0</v>
      </c>
      <c r="E482" s="238" t="s">
        <v>4228</v>
      </c>
      <c r="F482" s="238" t="s">
        <v>4229</v>
      </c>
      <c r="G482" s="239" t="s">
        <v>3333</v>
      </c>
      <c r="H482" s="240">
        <v>20.0</v>
      </c>
      <c r="I482" s="240">
        <v>14.0</v>
      </c>
      <c r="J482" s="240">
        <v>0.0</v>
      </c>
      <c r="K482" s="240">
        <v>0.0</v>
      </c>
      <c r="L482" s="240">
        <v>0.0</v>
      </c>
      <c r="M482" s="240" t="s">
        <v>3535</v>
      </c>
      <c r="N482" s="240">
        <v>6.0</v>
      </c>
    </row>
    <row r="483">
      <c r="A483" s="215">
        <v>479.0</v>
      </c>
      <c r="B483" s="237"/>
      <c r="C483" s="238">
        <v>1510.0</v>
      </c>
      <c r="D483" s="238">
        <v>9162.0</v>
      </c>
      <c r="E483" s="238" t="s">
        <v>4228</v>
      </c>
      <c r="F483" s="238" t="s">
        <v>4230</v>
      </c>
      <c r="G483" s="239" t="s">
        <v>3333</v>
      </c>
      <c r="H483" s="240">
        <v>31.0</v>
      </c>
      <c r="I483" s="240">
        <v>31.0</v>
      </c>
      <c r="J483" s="240">
        <v>0.0</v>
      </c>
      <c r="K483" s="240">
        <v>0.0</v>
      </c>
      <c r="L483" s="240">
        <v>0.0</v>
      </c>
      <c r="M483" s="240" t="s">
        <v>4231</v>
      </c>
      <c r="N483" s="240">
        <v>0.0</v>
      </c>
    </row>
    <row r="484">
      <c r="A484" s="215">
        <v>480.0</v>
      </c>
      <c r="B484" s="237"/>
      <c r="C484" s="238">
        <v>1510.0</v>
      </c>
      <c r="D484" s="238">
        <v>9707.0</v>
      </c>
      <c r="E484" s="238" t="s">
        <v>4228</v>
      </c>
      <c r="F484" s="238" t="s">
        <v>3613</v>
      </c>
      <c r="G484" s="239" t="s">
        <v>3333</v>
      </c>
      <c r="H484" s="240">
        <v>168.0</v>
      </c>
      <c r="I484" s="240">
        <v>140.0</v>
      </c>
      <c r="J484" s="240">
        <v>0.0</v>
      </c>
      <c r="K484" s="240">
        <v>1.0</v>
      </c>
      <c r="L484" s="240">
        <v>0.0</v>
      </c>
      <c r="M484" s="240" t="s">
        <v>3345</v>
      </c>
      <c r="N484" s="240">
        <v>27.0</v>
      </c>
    </row>
    <row r="485">
      <c r="A485" s="215">
        <v>481.0</v>
      </c>
      <c r="B485" s="237"/>
      <c r="C485" s="238">
        <v>1510.0</v>
      </c>
      <c r="D485" s="238">
        <v>9841.0</v>
      </c>
      <c r="E485" s="238" t="s">
        <v>4228</v>
      </c>
      <c r="F485" s="238" t="s">
        <v>3827</v>
      </c>
      <c r="G485" s="239" t="s">
        <v>3333</v>
      </c>
      <c r="H485" s="240">
        <v>49.0</v>
      </c>
      <c r="I485" s="240">
        <v>49.0</v>
      </c>
      <c r="J485" s="240">
        <v>0.0</v>
      </c>
      <c r="K485" s="240">
        <v>0.0</v>
      </c>
      <c r="L485" s="240">
        <v>0.0</v>
      </c>
      <c r="M485" s="240" t="s">
        <v>4118</v>
      </c>
      <c r="N485" s="240">
        <v>0.0</v>
      </c>
    </row>
    <row r="486">
      <c r="A486" s="215">
        <v>482.0</v>
      </c>
      <c r="B486" s="237"/>
      <c r="C486" s="238">
        <v>1511.0</v>
      </c>
      <c r="D486" s="238">
        <v>9219.0</v>
      </c>
      <c r="E486" s="238" t="s">
        <v>4232</v>
      </c>
      <c r="F486" s="238" t="s">
        <v>3342</v>
      </c>
      <c r="G486" s="239" t="s">
        <v>3333</v>
      </c>
      <c r="H486" s="240">
        <v>137.0</v>
      </c>
      <c r="I486" s="240">
        <v>137.0</v>
      </c>
      <c r="J486" s="240">
        <v>1.0</v>
      </c>
      <c r="K486" s="240">
        <v>0.0</v>
      </c>
      <c r="L486" s="240">
        <v>0.0</v>
      </c>
      <c r="M486" s="240" t="s">
        <v>3918</v>
      </c>
      <c r="N486" s="240">
        <v>0.0</v>
      </c>
    </row>
    <row r="487">
      <c r="A487" s="215">
        <v>483.0</v>
      </c>
      <c r="B487" s="237"/>
      <c r="C487" s="238">
        <v>1513.0</v>
      </c>
      <c r="D487" s="238" t="s">
        <v>4233</v>
      </c>
      <c r="E487" s="238" t="s">
        <v>4234</v>
      </c>
      <c r="F487" s="238" t="s">
        <v>4235</v>
      </c>
      <c r="G487" s="239" t="s">
        <v>3333</v>
      </c>
      <c r="H487" s="240">
        <v>72.0</v>
      </c>
      <c r="I487" s="240">
        <v>72.0</v>
      </c>
      <c r="J487" s="240">
        <v>0.0</v>
      </c>
      <c r="K487" s="240">
        <v>2.0</v>
      </c>
      <c r="L487" s="240">
        <v>2.0</v>
      </c>
      <c r="M487" s="240" t="s">
        <v>3758</v>
      </c>
      <c r="N487" s="240">
        <v>0.0</v>
      </c>
    </row>
    <row r="488">
      <c r="A488" s="215">
        <v>484.0</v>
      </c>
      <c r="B488" s="237"/>
      <c r="C488" s="238">
        <v>1514.0</v>
      </c>
      <c r="D488" s="238">
        <v>8411.0</v>
      </c>
      <c r="E488" s="238" t="s">
        <v>4236</v>
      </c>
      <c r="F488" s="238" t="s">
        <v>4237</v>
      </c>
      <c r="G488" s="239" t="s">
        <v>3333</v>
      </c>
      <c r="H488" s="240">
        <v>48.0</v>
      </c>
      <c r="I488" s="240">
        <v>11.0</v>
      </c>
      <c r="J488" s="240">
        <v>0.0</v>
      </c>
      <c r="K488" s="240">
        <v>0.0</v>
      </c>
      <c r="L488" s="240">
        <v>0.0</v>
      </c>
      <c r="M488" s="240" t="s">
        <v>3560</v>
      </c>
      <c r="N488" s="240">
        <v>37.0</v>
      </c>
    </row>
    <row r="489">
      <c r="A489" s="215">
        <v>485.0</v>
      </c>
      <c r="B489" s="237"/>
      <c r="C489" s="238">
        <v>1514.0</v>
      </c>
      <c r="D489" s="238">
        <v>9143.0</v>
      </c>
      <c r="E489" s="238" t="s">
        <v>4236</v>
      </c>
      <c r="F489" s="238" t="s">
        <v>3727</v>
      </c>
      <c r="G489" s="239" t="s">
        <v>3333</v>
      </c>
      <c r="H489" s="240">
        <v>106.0</v>
      </c>
      <c r="I489" s="240">
        <v>106.0</v>
      </c>
      <c r="J489" s="240">
        <v>0.0</v>
      </c>
      <c r="K489" s="240">
        <v>0.0</v>
      </c>
      <c r="L489" s="240">
        <v>0.0</v>
      </c>
      <c r="M489" s="240" t="s">
        <v>3422</v>
      </c>
      <c r="N489" s="240">
        <v>0.0</v>
      </c>
    </row>
    <row r="490">
      <c r="A490" s="215">
        <v>486.0</v>
      </c>
      <c r="B490" s="237"/>
      <c r="C490" s="238">
        <v>1515.0</v>
      </c>
      <c r="D490" s="238">
        <v>8258.0</v>
      </c>
      <c r="E490" s="238" t="s">
        <v>4238</v>
      </c>
      <c r="F490" s="238" t="s">
        <v>3399</v>
      </c>
      <c r="G490" s="239" t="s">
        <v>3333</v>
      </c>
      <c r="H490" s="240">
        <v>21.0</v>
      </c>
      <c r="I490" s="240">
        <v>21.0</v>
      </c>
      <c r="J490" s="240">
        <v>0.0</v>
      </c>
      <c r="K490" s="240">
        <v>0.0</v>
      </c>
      <c r="L490" s="240">
        <v>0.0</v>
      </c>
      <c r="M490" s="240" t="s">
        <v>3444</v>
      </c>
      <c r="N490" s="240">
        <v>0.0</v>
      </c>
    </row>
    <row r="491">
      <c r="A491" s="215">
        <v>487.0</v>
      </c>
      <c r="B491" s="237"/>
      <c r="C491" s="238">
        <v>1515.0</v>
      </c>
      <c r="D491" s="238">
        <v>8377.0</v>
      </c>
      <c r="E491" s="238" t="s">
        <v>4238</v>
      </c>
      <c r="F491" s="238" t="s">
        <v>4239</v>
      </c>
      <c r="G491" s="239" t="s">
        <v>3333</v>
      </c>
      <c r="H491" s="240">
        <v>20.0</v>
      </c>
      <c r="I491" s="240">
        <v>4.0</v>
      </c>
      <c r="J491" s="240">
        <v>0.0</v>
      </c>
      <c r="K491" s="240">
        <v>0.0</v>
      </c>
      <c r="L491" s="240">
        <v>0.0</v>
      </c>
      <c r="M491" s="240" t="s">
        <v>3930</v>
      </c>
      <c r="N491" s="240">
        <v>16.0</v>
      </c>
    </row>
    <row r="492">
      <c r="A492" s="215">
        <v>488.0</v>
      </c>
      <c r="B492" s="237"/>
      <c r="C492" s="238">
        <v>1515.0</v>
      </c>
      <c r="D492" s="238">
        <v>9011.0</v>
      </c>
      <c r="E492" s="238" t="s">
        <v>4238</v>
      </c>
      <c r="F492" s="238" t="s">
        <v>3366</v>
      </c>
      <c r="G492" s="239" t="s">
        <v>3333</v>
      </c>
      <c r="H492" s="240">
        <v>38.0</v>
      </c>
      <c r="I492" s="240">
        <v>38.0</v>
      </c>
      <c r="J492" s="240">
        <v>0.0</v>
      </c>
      <c r="K492" s="240">
        <v>0.0</v>
      </c>
      <c r="L492" s="240">
        <v>0.0</v>
      </c>
      <c r="M492" s="240" t="s">
        <v>4240</v>
      </c>
      <c r="N492" s="240">
        <v>0.0</v>
      </c>
    </row>
    <row r="493">
      <c r="A493" s="215">
        <v>489.0</v>
      </c>
      <c r="B493" s="237"/>
      <c r="C493" s="238">
        <v>1515.0</v>
      </c>
      <c r="D493" s="238">
        <v>9086.0</v>
      </c>
      <c r="E493" s="238" t="s">
        <v>4238</v>
      </c>
      <c r="F493" s="238" t="s">
        <v>4018</v>
      </c>
      <c r="G493" s="239" t="s">
        <v>3333</v>
      </c>
      <c r="H493" s="240">
        <v>57.0</v>
      </c>
      <c r="I493" s="240">
        <v>35.0</v>
      </c>
      <c r="J493" s="240">
        <v>0.0</v>
      </c>
      <c r="K493" s="240">
        <v>0.0</v>
      </c>
      <c r="L493" s="240">
        <v>0.0</v>
      </c>
      <c r="M493" s="240" t="s">
        <v>4241</v>
      </c>
      <c r="N493" s="240">
        <v>22.0</v>
      </c>
    </row>
    <row r="494">
      <c r="A494" s="215">
        <v>490.0</v>
      </c>
      <c r="B494" s="237"/>
      <c r="C494" s="238">
        <v>1515.0</v>
      </c>
      <c r="D494" s="238">
        <v>9087.0</v>
      </c>
      <c r="E494" s="238" t="s">
        <v>4238</v>
      </c>
      <c r="F494" s="238" t="s">
        <v>4243</v>
      </c>
      <c r="G494" s="239" t="s">
        <v>3333</v>
      </c>
      <c r="H494" s="240">
        <v>34.0</v>
      </c>
      <c r="I494" s="240">
        <v>11.0</v>
      </c>
      <c r="J494" s="240">
        <v>0.0</v>
      </c>
      <c r="K494" s="240">
        <v>0.0</v>
      </c>
      <c r="L494" s="240">
        <v>0.0</v>
      </c>
      <c r="M494" s="240" t="s">
        <v>4244</v>
      </c>
      <c r="N494" s="240">
        <v>23.0</v>
      </c>
    </row>
    <row r="495">
      <c r="A495" s="215">
        <v>491.0</v>
      </c>
      <c r="B495" s="237"/>
      <c r="C495" s="238">
        <v>1515.0</v>
      </c>
      <c r="D495" s="238">
        <v>9099.0</v>
      </c>
      <c r="E495" s="238" t="s">
        <v>4238</v>
      </c>
      <c r="F495" s="238" t="s">
        <v>3463</v>
      </c>
      <c r="G495" s="239" t="s">
        <v>3333</v>
      </c>
      <c r="H495" s="240">
        <v>19.0</v>
      </c>
      <c r="I495" s="240">
        <v>4.0</v>
      </c>
      <c r="J495" s="240">
        <v>0.0</v>
      </c>
      <c r="K495" s="240">
        <v>0.0</v>
      </c>
      <c r="L495" s="240">
        <v>0.0</v>
      </c>
      <c r="M495" s="240" t="s">
        <v>3771</v>
      </c>
      <c r="N495" s="240">
        <v>15.0</v>
      </c>
    </row>
    <row r="496">
      <c r="A496" s="215">
        <v>492.0</v>
      </c>
      <c r="B496" s="237"/>
      <c r="C496" s="238">
        <v>1515.0</v>
      </c>
      <c r="D496" s="238">
        <v>9129.0</v>
      </c>
      <c r="E496" s="238" t="s">
        <v>4238</v>
      </c>
      <c r="F496" s="238" t="s">
        <v>4245</v>
      </c>
      <c r="G496" s="239" t="s">
        <v>3333</v>
      </c>
      <c r="H496" s="240">
        <v>25.0</v>
      </c>
      <c r="I496" s="240">
        <v>24.0</v>
      </c>
      <c r="J496" s="240">
        <v>0.0</v>
      </c>
      <c r="K496" s="240">
        <v>0.0</v>
      </c>
      <c r="L496" s="240">
        <v>0.0</v>
      </c>
      <c r="M496" s="240" t="s">
        <v>3978</v>
      </c>
      <c r="N496" s="240">
        <v>1.0</v>
      </c>
    </row>
    <row r="497">
      <c r="A497" s="215">
        <v>493.0</v>
      </c>
      <c r="B497" s="237"/>
      <c r="C497" s="238">
        <v>1516.0</v>
      </c>
      <c r="D497" s="238">
        <v>8014.0</v>
      </c>
      <c r="E497" s="238" t="s">
        <v>4247</v>
      </c>
      <c r="F497" s="238" t="s">
        <v>4248</v>
      </c>
      <c r="G497" s="239" t="s">
        <v>3333</v>
      </c>
      <c r="H497" s="240">
        <v>32.0</v>
      </c>
      <c r="I497" s="240">
        <v>29.0</v>
      </c>
      <c r="J497" s="240">
        <v>0.0</v>
      </c>
      <c r="K497" s="240">
        <v>0.0</v>
      </c>
      <c r="L497" s="240">
        <v>0.0</v>
      </c>
      <c r="M497" s="240" t="s">
        <v>3914</v>
      </c>
      <c r="N497" s="240">
        <v>3.0</v>
      </c>
    </row>
    <row r="498">
      <c r="A498" s="215">
        <v>494.0</v>
      </c>
      <c r="B498" s="237"/>
      <c r="C498" s="238">
        <v>1516.0</v>
      </c>
      <c r="D498" s="238">
        <v>8102.0</v>
      </c>
      <c r="E498" s="238" t="s">
        <v>4247</v>
      </c>
      <c r="F498" s="238" t="s">
        <v>4249</v>
      </c>
      <c r="G498" s="239" t="s">
        <v>3333</v>
      </c>
      <c r="H498" s="240">
        <v>41.0</v>
      </c>
      <c r="I498" s="240">
        <v>41.0</v>
      </c>
      <c r="J498" s="240">
        <v>0.0</v>
      </c>
      <c r="K498" s="240">
        <v>1.0</v>
      </c>
      <c r="L498" s="240">
        <v>1.0</v>
      </c>
      <c r="M498" s="240" t="s">
        <v>3955</v>
      </c>
      <c r="N498" s="240">
        <v>0.0</v>
      </c>
    </row>
    <row r="499">
      <c r="A499" s="215">
        <v>495.0</v>
      </c>
      <c r="B499" s="237"/>
      <c r="C499" s="238">
        <v>1516.0</v>
      </c>
      <c r="D499" s="238">
        <v>8109.0</v>
      </c>
      <c r="E499" s="238" t="s">
        <v>4247</v>
      </c>
      <c r="F499" s="238" t="s">
        <v>3844</v>
      </c>
      <c r="G499" s="239" t="s">
        <v>3333</v>
      </c>
      <c r="H499" s="240">
        <v>30.0</v>
      </c>
      <c r="I499" s="240">
        <v>29.0</v>
      </c>
      <c r="J499" s="240">
        <v>0.0</v>
      </c>
      <c r="K499" s="240">
        <v>0.0</v>
      </c>
      <c r="L499" s="240">
        <v>0.0</v>
      </c>
      <c r="M499" s="240" t="s">
        <v>3384</v>
      </c>
      <c r="N499" s="240">
        <v>1.0</v>
      </c>
    </row>
    <row r="500">
      <c r="A500" s="215">
        <v>496.0</v>
      </c>
      <c r="B500" s="237"/>
      <c r="C500" s="238">
        <v>1516.0</v>
      </c>
      <c r="D500" s="238">
        <v>8111.0</v>
      </c>
      <c r="E500" s="238" t="s">
        <v>4247</v>
      </c>
      <c r="F500" s="238" t="s">
        <v>4252</v>
      </c>
      <c r="G500" s="239" t="s">
        <v>3333</v>
      </c>
      <c r="H500" s="240">
        <v>52.0</v>
      </c>
      <c r="I500" s="240">
        <v>52.0</v>
      </c>
      <c r="J500" s="240">
        <v>0.0</v>
      </c>
      <c r="K500" s="240">
        <v>0.0</v>
      </c>
      <c r="L500" s="240">
        <v>0.0</v>
      </c>
      <c r="M500" s="240" t="s">
        <v>3798</v>
      </c>
      <c r="N500" s="240">
        <v>0.0</v>
      </c>
    </row>
    <row r="501">
      <c r="A501" s="215">
        <v>497.0</v>
      </c>
      <c r="B501" s="237"/>
      <c r="C501" s="238">
        <v>1516.0</v>
      </c>
      <c r="D501" s="238">
        <v>8363.0</v>
      </c>
      <c r="E501" s="238" t="s">
        <v>4247</v>
      </c>
      <c r="F501" s="238" t="s">
        <v>4254</v>
      </c>
      <c r="G501" s="239" t="s">
        <v>3333</v>
      </c>
      <c r="H501" s="240">
        <v>33.0</v>
      </c>
      <c r="I501" s="240">
        <v>31.0</v>
      </c>
      <c r="J501" s="240">
        <v>0.0</v>
      </c>
      <c r="K501" s="240">
        <v>2.0</v>
      </c>
      <c r="L501" s="240">
        <v>0.0</v>
      </c>
      <c r="M501" s="240" t="s">
        <v>3384</v>
      </c>
      <c r="N501" s="240">
        <v>0.0</v>
      </c>
    </row>
    <row r="502">
      <c r="A502" s="215">
        <v>498.0</v>
      </c>
      <c r="B502" s="237"/>
      <c r="C502" s="238">
        <v>1516.0</v>
      </c>
      <c r="D502" s="238">
        <v>8364.0</v>
      </c>
      <c r="E502" s="238" t="s">
        <v>4247</v>
      </c>
      <c r="F502" s="238" t="s">
        <v>4257</v>
      </c>
      <c r="G502" s="239" t="s">
        <v>3333</v>
      </c>
      <c r="H502" s="240">
        <v>52.0</v>
      </c>
      <c r="I502" s="240">
        <v>52.0</v>
      </c>
      <c r="J502" s="240">
        <v>0.0</v>
      </c>
      <c r="K502" s="240">
        <v>0.0</v>
      </c>
      <c r="L502" s="240">
        <v>0.0</v>
      </c>
      <c r="M502" s="240" t="s">
        <v>3811</v>
      </c>
      <c r="N502" s="240">
        <v>0.0</v>
      </c>
    </row>
    <row r="503">
      <c r="A503" s="215">
        <v>499.0</v>
      </c>
      <c r="B503" s="237"/>
      <c r="C503" s="238">
        <v>1516.0</v>
      </c>
      <c r="D503" s="238">
        <v>9002.0</v>
      </c>
      <c r="E503" s="238" t="s">
        <v>4247</v>
      </c>
      <c r="F503" s="238" t="s">
        <v>3443</v>
      </c>
      <c r="G503" s="239" t="s">
        <v>3333</v>
      </c>
      <c r="H503" s="240">
        <v>68.0</v>
      </c>
      <c r="I503" s="240">
        <v>68.0</v>
      </c>
      <c r="J503" s="240">
        <v>0.0</v>
      </c>
      <c r="K503" s="240">
        <v>2.0</v>
      </c>
      <c r="L503" s="240">
        <v>2.0</v>
      </c>
      <c r="M503" s="240" t="s">
        <v>3477</v>
      </c>
      <c r="N503" s="240">
        <v>0.0</v>
      </c>
    </row>
    <row r="504">
      <c r="A504" s="215">
        <v>500.0</v>
      </c>
      <c r="B504" s="237"/>
      <c r="C504" s="238">
        <v>1516.0</v>
      </c>
      <c r="D504" s="238">
        <v>9019.0</v>
      </c>
      <c r="E504" s="238" t="s">
        <v>4247</v>
      </c>
      <c r="F504" s="238" t="s">
        <v>3934</v>
      </c>
      <c r="G504" s="239" t="s">
        <v>3333</v>
      </c>
      <c r="H504" s="240">
        <v>44.0</v>
      </c>
      <c r="I504" s="240">
        <v>44.0</v>
      </c>
      <c r="J504" s="240">
        <v>0.0</v>
      </c>
      <c r="K504" s="240">
        <v>1.0</v>
      </c>
      <c r="L504" s="240">
        <v>1.0</v>
      </c>
      <c r="M504" s="240" t="s">
        <v>3796</v>
      </c>
      <c r="N504" s="240">
        <v>0.0</v>
      </c>
    </row>
    <row r="505">
      <c r="A505" s="215">
        <v>501.0</v>
      </c>
      <c r="B505" s="237"/>
      <c r="C505" s="238">
        <v>1516.0</v>
      </c>
      <c r="D505" s="238">
        <v>9023.0</v>
      </c>
      <c r="E505" s="238" t="s">
        <v>4247</v>
      </c>
      <c r="F505" s="238" t="s">
        <v>3549</v>
      </c>
      <c r="G505" s="239" t="s">
        <v>3333</v>
      </c>
      <c r="H505" s="240">
        <v>56.0</v>
      </c>
      <c r="I505" s="240">
        <v>40.0</v>
      </c>
      <c r="J505" s="240">
        <v>0.0</v>
      </c>
      <c r="K505" s="240">
        <v>0.0</v>
      </c>
      <c r="L505" s="240">
        <v>0.0</v>
      </c>
      <c r="M505" s="240" t="s">
        <v>3626</v>
      </c>
      <c r="N505" s="240">
        <v>16.0</v>
      </c>
    </row>
    <row r="506">
      <c r="A506" s="215">
        <v>502.0</v>
      </c>
      <c r="B506" s="237"/>
      <c r="C506" s="238">
        <v>1516.0</v>
      </c>
      <c r="D506" s="238">
        <v>9157.0</v>
      </c>
      <c r="E506" s="238" t="s">
        <v>4247</v>
      </c>
      <c r="F506" s="238" t="s">
        <v>4262</v>
      </c>
      <c r="G506" s="239" t="s">
        <v>3333</v>
      </c>
      <c r="H506" s="240">
        <v>65.0</v>
      </c>
      <c r="I506" s="240">
        <v>65.0</v>
      </c>
      <c r="J506" s="240">
        <v>0.0</v>
      </c>
      <c r="K506" s="240">
        <v>0.0</v>
      </c>
      <c r="L506" s="240">
        <v>0.0</v>
      </c>
      <c r="M506" s="240" t="s">
        <v>3491</v>
      </c>
      <c r="N506" s="240">
        <v>0.0</v>
      </c>
    </row>
    <row r="507">
      <c r="A507" s="215">
        <v>503.0</v>
      </c>
      <c r="B507" s="237"/>
      <c r="C507" s="238">
        <v>1516.0</v>
      </c>
      <c r="D507" s="238">
        <v>9229.0</v>
      </c>
      <c r="E507" s="238" t="s">
        <v>4247</v>
      </c>
      <c r="F507" s="238" t="s">
        <v>3700</v>
      </c>
      <c r="G507" s="239" t="s">
        <v>3333</v>
      </c>
      <c r="H507" s="240">
        <v>70.0</v>
      </c>
      <c r="I507" s="240">
        <v>70.0</v>
      </c>
      <c r="J507" s="240">
        <v>0.0</v>
      </c>
      <c r="K507" s="240">
        <v>0.0</v>
      </c>
      <c r="L507" s="240">
        <v>0.0</v>
      </c>
      <c r="M507" s="240" t="s">
        <v>4168</v>
      </c>
      <c r="N507" s="240">
        <v>0.0</v>
      </c>
    </row>
    <row r="508">
      <c r="A508" s="215">
        <v>504.0</v>
      </c>
      <c r="B508" s="237"/>
      <c r="C508" s="238">
        <v>1516.0</v>
      </c>
      <c r="D508" s="238">
        <v>9238.0</v>
      </c>
      <c r="E508" s="238" t="s">
        <v>4247</v>
      </c>
      <c r="F508" s="238" t="s">
        <v>3344</v>
      </c>
      <c r="G508" s="239" t="s">
        <v>3333</v>
      </c>
      <c r="H508" s="240">
        <v>54.0</v>
      </c>
      <c r="I508" s="240">
        <v>54.0</v>
      </c>
      <c r="J508" s="240">
        <v>0.0</v>
      </c>
      <c r="K508" s="240">
        <v>0.0</v>
      </c>
      <c r="L508" s="240">
        <v>0.0</v>
      </c>
      <c r="M508" s="240" t="s">
        <v>4187</v>
      </c>
      <c r="N508" s="240">
        <v>0.0</v>
      </c>
    </row>
    <row r="509">
      <c r="A509" s="215">
        <v>505.0</v>
      </c>
      <c r="B509" s="237"/>
      <c r="C509" s="238">
        <v>1516.0</v>
      </c>
      <c r="D509" s="238">
        <v>9240.0</v>
      </c>
      <c r="E509" s="238" t="s">
        <v>4247</v>
      </c>
      <c r="F509" s="238" t="s">
        <v>3346</v>
      </c>
      <c r="G509" s="239" t="s">
        <v>3333</v>
      </c>
      <c r="H509" s="240">
        <v>46.0</v>
      </c>
      <c r="I509" s="240">
        <v>46.0</v>
      </c>
      <c r="J509" s="240">
        <v>0.0</v>
      </c>
      <c r="K509" s="240">
        <v>0.0</v>
      </c>
      <c r="L509" s="240">
        <v>0.0</v>
      </c>
      <c r="M509" s="240" t="s">
        <v>3961</v>
      </c>
      <c r="N509" s="240">
        <v>0.0</v>
      </c>
    </row>
    <row r="510">
      <c r="A510" s="215">
        <v>506.0</v>
      </c>
      <c r="B510" s="237"/>
      <c r="C510" s="238">
        <v>1516.0</v>
      </c>
      <c r="D510" s="238">
        <v>9448.0</v>
      </c>
      <c r="E510" s="238" t="s">
        <v>4247</v>
      </c>
      <c r="F510" s="238" t="s">
        <v>3674</v>
      </c>
      <c r="G510" s="239" t="s">
        <v>3333</v>
      </c>
      <c r="H510" s="240">
        <v>41.0</v>
      </c>
      <c r="I510" s="240">
        <v>41.0</v>
      </c>
      <c r="J510" s="240">
        <v>0.0</v>
      </c>
      <c r="K510" s="240">
        <v>1.0</v>
      </c>
      <c r="L510" s="240">
        <v>1.0</v>
      </c>
      <c r="M510" s="240" t="s">
        <v>3436</v>
      </c>
      <c r="N510" s="240">
        <v>0.0</v>
      </c>
    </row>
    <row r="511">
      <c r="A511" s="215">
        <v>507.0</v>
      </c>
      <c r="B511" s="237"/>
      <c r="C511" s="238">
        <v>1517.0</v>
      </c>
      <c r="D511" s="238">
        <v>9081.0</v>
      </c>
      <c r="E511" s="238" t="s">
        <v>4263</v>
      </c>
      <c r="F511" s="238" t="s">
        <v>3379</v>
      </c>
      <c r="G511" s="239" t="s">
        <v>3333</v>
      </c>
      <c r="H511" s="240">
        <v>132.0</v>
      </c>
      <c r="I511" s="240">
        <v>132.0</v>
      </c>
      <c r="J511" s="240">
        <v>0.0</v>
      </c>
      <c r="K511" s="240">
        <v>0.0</v>
      </c>
      <c r="L511" s="240">
        <v>0.0</v>
      </c>
      <c r="M511" s="240" t="s">
        <v>4264</v>
      </c>
      <c r="N511" s="240">
        <v>0.0</v>
      </c>
    </row>
    <row r="512">
      <c r="A512" s="215">
        <v>508.0</v>
      </c>
      <c r="B512" s="237"/>
      <c r="C512" s="238">
        <v>1517.0</v>
      </c>
      <c r="D512" s="238">
        <v>9147.0</v>
      </c>
      <c r="E512" s="238" t="s">
        <v>4263</v>
      </c>
      <c r="F512" s="238" t="s">
        <v>3381</v>
      </c>
      <c r="G512" s="239" t="s">
        <v>3333</v>
      </c>
      <c r="H512" s="240">
        <v>137.0</v>
      </c>
      <c r="I512" s="240">
        <v>137.0</v>
      </c>
      <c r="J512" s="240">
        <v>0.0</v>
      </c>
      <c r="K512" s="240">
        <v>0.0</v>
      </c>
      <c r="L512" s="240">
        <v>0.0</v>
      </c>
      <c r="M512" s="240" t="s">
        <v>4265</v>
      </c>
      <c r="N512" s="240">
        <v>0.0</v>
      </c>
    </row>
    <row r="513">
      <c r="A513" s="215">
        <v>509.0</v>
      </c>
      <c r="B513" s="237"/>
      <c r="C513" s="238">
        <v>1517.0</v>
      </c>
      <c r="D513" s="238">
        <v>9210.0</v>
      </c>
      <c r="E513" s="238" t="s">
        <v>4263</v>
      </c>
      <c r="F513" s="238" t="s">
        <v>3421</v>
      </c>
      <c r="G513" s="239" t="s">
        <v>3333</v>
      </c>
      <c r="H513" s="240">
        <v>30.0</v>
      </c>
      <c r="I513" s="240">
        <v>30.0</v>
      </c>
      <c r="J513" s="240">
        <v>0.0</v>
      </c>
      <c r="K513" s="240">
        <v>0.0</v>
      </c>
      <c r="L513" s="240">
        <v>0.0</v>
      </c>
      <c r="M513" s="240" t="s">
        <v>4267</v>
      </c>
      <c r="N513" s="240">
        <v>0.0</v>
      </c>
    </row>
    <row r="514">
      <c r="A514" s="215">
        <v>510.0</v>
      </c>
      <c r="B514" s="237"/>
      <c r="C514" s="238">
        <v>1517.0</v>
      </c>
      <c r="D514" s="238" t="s">
        <v>4269</v>
      </c>
      <c r="E514" s="238" t="s">
        <v>4263</v>
      </c>
      <c r="F514" s="238" t="s">
        <v>4270</v>
      </c>
      <c r="G514" s="239" t="s">
        <v>3333</v>
      </c>
      <c r="H514" s="240">
        <v>60.0</v>
      </c>
      <c r="I514" s="240">
        <v>60.0</v>
      </c>
      <c r="J514" s="240">
        <v>0.0</v>
      </c>
      <c r="K514" s="240">
        <v>0.0</v>
      </c>
      <c r="L514" s="240">
        <v>0.0</v>
      </c>
      <c r="M514" s="240" t="s">
        <v>3791</v>
      </c>
      <c r="N514" s="240">
        <v>0.0</v>
      </c>
    </row>
    <row r="515">
      <c r="A515" s="215">
        <v>511.0</v>
      </c>
      <c r="B515" s="237"/>
      <c r="C515" s="238">
        <v>1517.0</v>
      </c>
      <c r="D515" s="238" t="s">
        <v>4271</v>
      </c>
      <c r="E515" s="238" t="s">
        <v>4263</v>
      </c>
      <c r="F515" s="238" t="s">
        <v>4272</v>
      </c>
      <c r="G515" s="239" t="s">
        <v>3333</v>
      </c>
      <c r="H515" s="240">
        <v>30.0</v>
      </c>
      <c r="I515" s="240">
        <v>30.0</v>
      </c>
      <c r="J515" s="240">
        <v>0.0</v>
      </c>
      <c r="K515" s="240">
        <v>0.0</v>
      </c>
      <c r="L515" s="240">
        <v>0.0</v>
      </c>
      <c r="M515" s="240" t="s">
        <v>4273</v>
      </c>
      <c r="N515" s="240">
        <v>0.0</v>
      </c>
    </row>
    <row r="516">
      <c r="A516" s="215">
        <v>512.0</v>
      </c>
      <c r="B516" s="237"/>
      <c r="C516" s="238">
        <v>1517.0</v>
      </c>
      <c r="D516" s="238" t="s">
        <v>4274</v>
      </c>
      <c r="E516" s="238" t="s">
        <v>4263</v>
      </c>
      <c r="F516" s="238" t="s">
        <v>4275</v>
      </c>
      <c r="G516" s="239" t="s">
        <v>3333</v>
      </c>
      <c r="H516" s="240">
        <v>32.0</v>
      </c>
      <c r="I516" s="240">
        <v>32.0</v>
      </c>
      <c r="J516" s="240">
        <v>0.0</v>
      </c>
      <c r="K516" s="240">
        <v>0.0</v>
      </c>
      <c r="L516" s="240">
        <v>0.0</v>
      </c>
      <c r="M516" s="240" t="s">
        <v>4276</v>
      </c>
      <c r="N516" s="240">
        <v>0.0</v>
      </c>
    </row>
    <row r="517">
      <c r="A517" s="215">
        <v>513.0</v>
      </c>
      <c r="B517" s="237"/>
      <c r="C517" s="238">
        <v>1517.0</v>
      </c>
      <c r="D517" s="238" t="s">
        <v>4277</v>
      </c>
      <c r="E517" s="238" t="s">
        <v>4263</v>
      </c>
      <c r="F517" s="238" t="s">
        <v>4278</v>
      </c>
      <c r="G517" s="239" t="s">
        <v>3333</v>
      </c>
      <c r="H517" s="240">
        <v>30.0</v>
      </c>
      <c r="I517" s="240">
        <v>30.0</v>
      </c>
      <c r="J517" s="240">
        <v>0.0</v>
      </c>
      <c r="K517" s="240">
        <v>0.0</v>
      </c>
      <c r="L517" s="240">
        <v>0.0</v>
      </c>
      <c r="M517" s="240" t="s">
        <v>4279</v>
      </c>
      <c r="N517" s="240">
        <v>0.0</v>
      </c>
    </row>
    <row r="518">
      <c r="A518" s="215">
        <v>514.0</v>
      </c>
      <c r="B518" s="237"/>
      <c r="C518" s="238">
        <v>1518.0</v>
      </c>
      <c r="D518" s="238">
        <v>9089.0</v>
      </c>
      <c r="E518" s="238" t="s">
        <v>4280</v>
      </c>
      <c r="F518" s="238" t="s">
        <v>3456</v>
      </c>
      <c r="G518" s="239" t="s">
        <v>3333</v>
      </c>
      <c r="H518" s="240">
        <v>138.0</v>
      </c>
      <c r="I518" s="240">
        <v>138.0</v>
      </c>
      <c r="J518" s="240">
        <v>0.0</v>
      </c>
      <c r="K518" s="240">
        <v>0.0</v>
      </c>
      <c r="L518" s="240">
        <v>0.0</v>
      </c>
      <c r="M518" s="240" t="s">
        <v>4281</v>
      </c>
      <c r="N518" s="240">
        <v>0.0</v>
      </c>
    </row>
    <row r="519">
      <c r="A519" s="215">
        <v>515.0</v>
      </c>
      <c r="B519" s="237"/>
      <c r="C519" s="238">
        <v>1518.0</v>
      </c>
      <c r="D519" s="238">
        <v>9096.0</v>
      </c>
      <c r="E519" s="238" t="s">
        <v>4280</v>
      </c>
      <c r="F519" s="238" t="s">
        <v>3460</v>
      </c>
      <c r="G519" s="239" t="s">
        <v>3333</v>
      </c>
      <c r="H519" s="240">
        <v>25.0</v>
      </c>
      <c r="I519" s="240">
        <v>25.0</v>
      </c>
      <c r="J519" s="240">
        <v>0.0</v>
      </c>
      <c r="K519" s="240">
        <v>0.0</v>
      </c>
      <c r="L519" s="240">
        <v>0.0</v>
      </c>
      <c r="M519" s="240" t="s">
        <v>4017</v>
      </c>
      <c r="N519" s="240">
        <v>0.0</v>
      </c>
    </row>
    <row r="520">
      <c r="A520" s="215">
        <v>516.0</v>
      </c>
      <c r="B520" s="237"/>
      <c r="C520" s="238">
        <v>1518.0</v>
      </c>
      <c r="D520" s="238">
        <v>9099.0</v>
      </c>
      <c r="E520" s="238" t="s">
        <v>4280</v>
      </c>
      <c r="F520" s="238" t="s">
        <v>3463</v>
      </c>
      <c r="G520" s="239" t="s">
        <v>3333</v>
      </c>
      <c r="H520" s="240">
        <v>31.0</v>
      </c>
      <c r="I520" s="240">
        <v>31.0</v>
      </c>
      <c r="J520" s="240">
        <v>0.0</v>
      </c>
      <c r="K520" s="240">
        <v>0.0</v>
      </c>
      <c r="L520" s="240">
        <v>0.0</v>
      </c>
      <c r="M520" s="240" t="s">
        <v>4282</v>
      </c>
      <c r="N520" s="240">
        <v>0.0</v>
      </c>
    </row>
    <row r="521">
      <c r="A521" s="215">
        <v>517.0</v>
      </c>
      <c r="B521" s="237"/>
      <c r="C521" s="238">
        <v>1518.0</v>
      </c>
      <c r="D521" s="238">
        <v>9121.0</v>
      </c>
      <c r="E521" s="238" t="s">
        <v>4280</v>
      </c>
      <c r="F521" s="238" t="s">
        <v>4283</v>
      </c>
      <c r="G521" s="239" t="s">
        <v>3333</v>
      </c>
      <c r="H521" s="240">
        <v>183.0</v>
      </c>
      <c r="I521" s="240">
        <v>183.0</v>
      </c>
      <c r="J521" s="240">
        <v>0.0</v>
      </c>
      <c r="K521" s="240">
        <v>0.0</v>
      </c>
      <c r="L521" s="240">
        <v>0.0</v>
      </c>
      <c r="M521" s="240" t="s">
        <v>3501</v>
      </c>
      <c r="N521" s="240">
        <v>0.0</v>
      </c>
    </row>
    <row r="522">
      <c r="A522" s="215">
        <v>518.0</v>
      </c>
      <c r="B522" s="237"/>
      <c r="C522" s="238">
        <v>1518.0</v>
      </c>
      <c r="D522" s="238">
        <v>9123.0</v>
      </c>
      <c r="E522" s="238" t="s">
        <v>4280</v>
      </c>
      <c r="F522" s="238" t="s">
        <v>3471</v>
      </c>
      <c r="G522" s="239" t="s">
        <v>3333</v>
      </c>
      <c r="H522" s="240">
        <v>160.0</v>
      </c>
      <c r="I522" s="240">
        <v>160.0</v>
      </c>
      <c r="J522" s="240">
        <v>0.0</v>
      </c>
      <c r="K522" s="240">
        <v>0.0</v>
      </c>
      <c r="L522" s="240">
        <v>0.0</v>
      </c>
      <c r="M522" s="240" t="s">
        <v>4284</v>
      </c>
      <c r="N522" s="240">
        <v>0.0</v>
      </c>
    </row>
    <row r="523">
      <c r="A523" s="215">
        <v>519.0</v>
      </c>
      <c r="B523" s="237"/>
      <c r="C523" s="238">
        <v>1518.0</v>
      </c>
      <c r="D523" s="238">
        <v>9125.0</v>
      </c>
      <c r="E523" s="238" t="s">
        <v>4280</v>
      </c>
      <c r="F523" s="238" t="s">
        <v>3475</v>
      </c>
      <c r="G523" s="239" t="s">
        <v>3333</v>
      </c>
      <c r="H523" s="240">
        <v>75.0</v>
      </c>
      <c r="I523" s="240">
        <v>75.0</v>
      </c>
      <c r="J523" s="240">
        <v>0.0</v>
      </c>
      <c r="K523" s="240">
        <v>0.0</v>
      </c>
      <c r="L523" s="240">
        <v>0.0</v>
      </c>
      <c r="M523" s="240" t="s">
        <v>3452</v>
      </c>
      <c r="N523" s="240">
        <v>0.0</v>
      </c>
    </row>
    <row r="524">
      <c r="A524" s="215">
        <v>520.0</v>
      </c>
      <c r="B524" s="237"/>
      <c r="C524" s="238">
        <v>1518.0</v>
      </c>
      <c r="D524" s="238">
        <v>9257.0</v>
      </c>
      <c r="E524" s="238" t="s">
        <v>4280</v>
      </c>
      <c r="F524" s="238" t="s">
        <v>3602</v>
      </c>
      <c r="G524" s="239" t="s">
        <v>3425</v>
      </c>
      <c r="H524" s="240">
        <v>47.0</v>
      </c>
      <c r="I524" s="240">
        <v>47.0</v>
      </c>
      <c r="J524" s="240">
        <v>0.0</v>
      </c>
      <c r="K524" s="240">
        <v>0.0</v>
      </c>
      <c r="L524" s="240">
        <v>0.0</v>
      </c>
      <c r="M524" s="240" t="s">
        <v>3547</v>
      </c>
      <c r="N524" s="240">
        <v>0.0</v>
      </c>
    </row>
    <row r="525">
      <c r="A525" s="215">
        <v>521.0</v>
      </c>
      <c r="B525" s="237"/>
      <c r="C525" s="238">
        <v>1518.0</v>
      </c>
      <c r="D525" s="238">
        <v>9345.0</v>
      </c>
      <c r="E525" s="238" t="s">
        <v>4280</v>
      </c>
      <c r="F525" s="238" t="s">
        <v>4287</v>
      </c>
      <c r="G525" s="239" t="s">
        <v>3333</v>
      </c>
      <c r="H525" s="240">
        <v>68.0</v>
      </c>
      <c r="I525" s="240">
        <v>68.0</v>
      </c>
      <c r="J525" s="240">
        <v>0.0</v>
      </c>
      <c r="K525" s="240">
        <v>0.0</v>
      </c>
      <c r="L525" s="240">
        <v>0.0</v>
      </c>
      <c r="M525" s="240" t="s">
        <v>3755</v>
      </c>
      <c r="N525" s="240">
        <v>0.0</v>
      </c>
    </row>
    <row r="526">
      <c r="A526" s="215">
        <v>522.0</v>
      </c>
      <c r="B526" s="237"/>
      <c r="C526" s="238">
        <v>1518.0</v>
      </c>
      <c r="D526" s="238">
        <v>9455.0</v>
      </c>
      <c r="E526" s="238" t="s">
        <v>4280</v>
      </c>
      <c r="F526" s="238" t="s">
        <v>3502</v>
      </c>
      <c r="G526" s="239" t="s">
        <v>3333</v>
      </c>
      <c r="H526" s="240">
        <v>102.0</v>
      </c>
      <c r="I526" s="240">
        <v>102.0</v>
      </c>
      <c r="J526" s="240">
        <v>0.0</v>
      </c>
      <c r="K526" s="240">
        <v>0.0</v>
      </c>
      <c r="L526" s="240">
        <v>0.0</v>
      </c>
      <c r="M526" s="240" t="s">
        <v>4055</v>
      </c>
      <c r="N526" s="240">
        <v>0.0</v>
      </c>
    </row>
    <row r="527">
      <c r="A527" s="215">
        <v>523.0</v>
      </c>
      <c r="B527" s="237"/>
      <c r="C527" s="238">
        <v>1518.0</v>
      </c>
      <c r="D527" s="238">
        <v>9474.0</v>
      </c>
      <c r="E527" s="238" t="s">
        <v>4280</v>
      </c>
      <c r="F527" s="238" t="s">
        <v>4291</v>
      </c>
      <c r="G527" s="239" t="s">
        <v>3333</v>
      </c>
      <c r="H527" s="240">
        <v>61.0</v>
      </c>
      <c r="I527" s="240">
        <v>61.0</v>
      </c>
      <c r="J527" s="240">
        <v>0.0</v>
      </c>
      <c r="K527" s="240">
        <v>0.0</v>
      </c>
      <c r="L527" s="240">
        <v>0.0</v>
      </c>
      <c r="M527" s="240" t="s">
        <v>3547</v>
      </c>
      <c r="N527" s="240">
        <v>0.0</v>
      </c>
    </row>
    <row r="528">
      <c r="A528" s="215">
        <v>524.0</v>
      </c>
      <c r="B528" s="237"/>
      <c r="C528" s="238">
        <v>1518.0</v>
      </c>
      <c r="D528" s="238" t="s">
        <v>4293</v>
      </c>
      <c r="E528" s="238" t="s">
        <v>4280</v>
      </c>
      <c r="F528" s="238" t="s">
        <v>4294</v>
      </c>
      <c r="G528" s="239" t="s">
        <v>3333</v>
      </c>
      <c r="H528" s="240">
        <v>30.0</v>
      </c>
      <c r="I528" s="240">
        <v>30.0</v>
      </c>
      <c r="J528" s="240">
        <v>0.0</v>
      </c>
      <c r="K528" s="240">
        <v>0.0</v>
      </c>
      <c r="L528" s="240">
        <v>0.0</v>
      </c>
      <c r="M528" s="240" t="s">
        <v>3879</v>
      </c>
      <c r="N528" s="240">
        <v>0.0</v>
      </c>
    </row>
    <row r="529">
      <c r="A529" s="215">
        <v>525.0</v>
      </c>
      <c r="B529" s="237"/>
      <c r="C529" s="238">
        <v>1518.0</v>
      </c>
      <c r="D529" s="238" t="s">
        <v>3521</v>
      </c>
      <c r="E529" s="238" t="s">
        <v>4280</v>
      </c>
      <c r="F529" s="238" t="s">
        <v>3522</v>
      </c>
      <c r="G529" s="239" t="s">
        <v>3333</v>
      </c>
      <c r="H529" s="240">
        <v>220.0</v>
      </c>
      <c r="I529" s="240">
        <v>220.0</v>
      </c>
      <c r="J529" s="240">
        <v>0.0</v>
      </c>
      <c r="K529" s="240">
        <v>0.0</v>
      </c>
      <c r="L529" s="240">
        <v>0.0</v>
      </c>
      <c r="M529" s="240" t="s">
        <v>3498</v>
      </c>
      <c r="N529" s="240">
        <v>0.0</v>
      </c>
    </row>
    <row r="530">
      <c r="A530" s="215">
        <v>526.0</v>
      </c>
      <c r="B530" s="237"/>
      <c r="C530" s="238">
        <v>1518.0</v>
      </c>
      <c r="D530" s="238" t="s">
        <v>3527</v>
      </c>
      <c r="E530" s="238" t="s">
        <v>4280</v>
      </c>
      <c r="F530" s="238" t="s">
        <v>3528</v>
      </c>
      <c r="G530" s="239" t="s">
        <v>3333</v>
      </c>
      <c r="H530" s="240">
        <v>135.0</v>
      </c>
      <c r="I530" s="240">
        <v>135.0</v>
      </c>
      <c r="J530" s="240">
        <v>0.0</v>
      </c>
      <c r="K530" s="240">
        <v>0.0</v>
      </c>
      <c r="L530" s="240">
        <v>0.0</v>
      </c>
      <c r="M530" s="240" t="s">
        <v>4297</v>
      </c>
      <c r="N530" s="240">
        <v>0.0</v>
      </c>
    </row>
    <row r="531">
      <c r="A531" s="215">
        <v>527.0</v>
      </c>
      <c r="B531" s="237"/>
      <c r="C531" s="238">
        <v>1518.0</v>
      </c>
      <c r="D531" s="238" t="s">
        <v>4298</v>
      </c>
      <c r="E531" s="238" t="s">
        <v>4280</v>
      </c>
      <c r="F531" s="238" t="s">
        <v>4299</v>
      </c>
      <c r="G531" s="239" t="s">
        <v>3333</v>
      </c>
      <c r="H531" s="240">
        <v>112.0</v>
      </c>
      <c r="I531" s="240">
        <v>112.0</v>
      </c>
      <c r="J531" s="240">
        <v>0.0</v>
      </c>
      <c r="K531" s="240">
        <v>0.0</v>
      </c>
      <c r="L531" s="240">
        <v>0.0</v>
      </c>
      <c r="M531" s="240" t="s">
        <v>3750</v>
      </c>
      <c r="N531" s="240">
        <v>0.0</v>
      </c>
    </row>
    <row r="532">
      <c r="A532" s="215">
        <v>528.0</v>
      </c>
      <c r="B532" s="237"/>
      <c r="C532" s="238">
        <v>1518.0</v>
      </c>
      <c r="D532" s="238" t="s">
        <v>4301</v>
      </c>
      <c r="E532" s="238" t="s">
        <v>4280</v>
      </c>
      <c r="F532" s="238" t="s">
        <v>4302</v>
      </c>
      <c r="G532" s="239" t="s">
        <v>3333</v>
      </c>
      <c r="H532" s="240">
        <v>20.0</v>
      </c>
      <c r="I532" s="240">
        <v>20.0</v>
      </c>
      <c r="J532" s="240">
        <v>0.0</v>
      </c>
      <c r="K532" s="240">
        <v>0.0</v>
      </c>
      <c r="L532" s="240">
        <v>0.0</v>
      </c>
      <c r="M532" s="240" t="s">
        <v>3368</v>
      </c>
      <c r="N532" s="240">
        <v>0.0</v>
      </c>
    </row>
    <row r="533">
      <c r="A533" s="215">
        <v>529.0</v>
      </c>
      <c r="B533" s="237"/>
      <c r="C533" s="238">
        <v>1519.0</v>
      </c>
      <c r="D533" s="238">
        <v>9098.0</v>
      </c>
      <c r="E533" s="238" t="s">
        <v>4303</v>
      </c>
      <c r="F533" s="238" t="s">
        <v>3947</v>
      </c>
      <c r="G533" s="239" t="s">
        <v>3333</v>
      </c>
      <c r="H533" s="240">
        <v>55.0</v>
      </c>
      <c r="I533" s="240">
        <v>25.0</v>
      </c>
      <c r="J533" s="240">
        <v>0.0</v>
      </c>
      <c r="K533" s="240">
        <v>0.0</v>
      </c>
      <c r="L533" s="240">
        <v>0.0</v>
      </c>
      <c r="M533" s="240" t="s">
        <v>4188</v>
      </c>
      <c r="N533" s="240">
        <v>30.0</v>
      </c>
    </row>
    <row r="534">
      <c r="A534" s="215">
        <v>530.0</v>
      </c>
      <c r="B534" s="237"/>
      <c r="C534" s="238">
        <v>1519.0</v>
      </c>
      <c r="D534" s="238">
        <v>9104.0</v>
      </c>
      <c r="E534" s="238" t="s">
        <v>4303</v>
      </c>
      <c r="F534" s="238" t="s">
        <v>3466</v>
      </c>
      <c r="G534" s="239" t="s">
        <v>3333</v>
      </c>
      <c r="H534" s="240">
        <v>81.0</v>
      </c>
      <c r="I534" s="240">
        <v>81.0</v>
      </c>
      <c r="J534" s="240">
        <v>0.0</v>
      </c>
      <c r="K534" s="240">
        <v>0.0</v>
      </c>
      <c r="L534" s="240">
        <v>0.0</v>
      </c>
      <c r="M534" s="240" t="s">
        <v>4304</v>
      </c>
      <c r="N534" s="240">
        <v>0.0</v>
      </c>
    </row>
    <row r="535">
      <c r="A535" s="215">
        <v>531.0</v>
      </c>
      <c r="B535" s="237"/>
      <c r="C535" s="238">
        <v>1519.0</v>
      </c>
      <c r="D535" s="238">
        <v>9121.0</v>
      </c>
      <c r="E535" s="238" t="s">
        <v>4303</v>
      </c>
      <c r="F535" s="238" t="s">
        <v>4283</v>
      </c>
      <c r="G535" s="239" t="s">
        <v>3333</v>
      </c>
      <c r="H535" s="240">
        <v>90.0</v>
      </c>
      <c r="I535" s="240">
        <v>85.0</v>
      </c>
      <c r="J535" s="240">
        <v>0.0</v>
      </c>
      <c r="K535" s="240">
        <v>0.0</v>
      </c>
      <c r="L535" s="240">
        <v>0.0</v>
      </c>
      <c r="M535" s="240" t="s">
        <v>4032</v>
      </c>
      <c r="N535" s="240">
        <v>5.0</v>
      </c>
    </row>
    <row r="536">
      <c r="A536" s="215">
        <v>532.0</v>
      </c>
      <c r="B536" s="237"/>
      <c r="C536" s="238">
        <v>1519.0</v>
      </c>
      <c r="D536" s="238">
        <v>9912.0</v>
      </c>
      <c r="E536" s="238" t="s">
        <v>4303</v>
      </c>
      <c r="F536" s="238" t="s">
        <v>4305</v>
      </c>
      <c r="G536" s="239" t="s">
        <v>3333</v>
      </c>
      <c r="H536" s="240">
        <v>34.0</v>
      </c>
      <c r="I536" s="240">
        <v>26.0</v>
      </c>
      <c r="J536" s="240">
        <v>0.0</v>
      </c>
      <c r="K536" s="240">
        <v>0.0</v>
      </c>
      <c r="L536" s="240">
        <v>0.0</v>
      </c>
      <c r="M536" s="240" t="s">
        <v>3384</v>
      </c>
      <c r="N536" s="240">
        <v>8.0</v>
      </c>
    </row>
    <row r="537">
      <c r="A537" s="215">
        <v>533.0</v>
      </c>
      <c r="B537" s="237"/>
      <c r="C537" s="238">
        <v>3011.0</v>
      </c>
      <c r="D537" s="238">
        <v>8005.0</v>
      </c>
      <c r="E537" s="238" t="s">
        <v>4306</v>
      </c>
      <c r="F537" s="238" t="s">
        <v>4307</v>
      </c>
      <c r="G537" s="239" t="s">
        <v>3333</v>
      </c>
      <c r="H537" s="240">
        <v>20.0</v>
      </c>
      <c r="I537" s="240">
        <v>8.0</v>
      </c>
      <c r="J537" s="240">
        <v>0.0</v>
      </c>
      <c r="K537" s="240">
        <v>1.0</v>
      </c>
      <c r="L537" s="240">
        <v>0.0</v>
      </c>
      <c r="M537" s="240" t="s">
        <v>4308</v>
      </c>
      <c r="N537" s="240">
        <v>11.0</v>
      </c>
    </row>
    <row r="538">
      <c r="A538" s="215">
        <v>534.0</v>
      </c>
      <c r="B538" s="237"/>
      <c r="C538" s="238">
        <v>3011.0</v>
      </c>
      <c r="D538" s="238">
        <v>9056.0</v>
      </c>
      <c r="E538" s="238" t="s">
        <v>4306</v>
      </c>
      <c r="F538" s="238" t="s">
        <v>3939</v>
      </c>
      <c r="G538" s="239" t="s">
        <v>3333</v>
      </c>
      <c r="H538" s="240">
        <v>95.0</v>
      </c>
      <c r="I538" s="240">
        <v>73.0</v>
      </c>
      <c r="J538" s="240">
        <v>0.0</v>
      </c>
      <c r="K538" s="240">
        <v>0.0</v>
      </c>
      <c r="L538" s="240">
        <v>0.0</v>
      </c>
      <c r="M538" s="240" t="s">
        <v>3414</v>
      </c>
      <c r="N538" s="240">
        <v>22.0</v>
      </c>
    </row>
    <row r="539">
      <c r="A539" s="215">
        <v>535.0</v>
      </c>
      <c r="B539" s="237"/>
      <c r="C539" s="238">
        <v>3011.0</v>
      </c>
      <c r="D539" s="238">
        <v>9140.0</v>
      </c>
      <c r="E539" s="238" t="s">
        <v>4306</v>
      </c>
      <c r="F539" s="238" t="s">
        <v>4309</v>
      </c>
      <c r="G539" s="239" t="s">
        <v>3333</v>
      </c>
      <c r="H539" s="240">
        <v>20.0</v>
      </c>
      <c r="I539" s="240">
        <v>20.0</v>
      </c>
      <c r="J539" s="240">
        <v>0.0</v>
      </c>
      <c r="K539" s="240">
        <v>0.0</v>
      </c>
      <c r="L539" s="240">
        <v>0.0</v>
      </c>
      <c r="M539" s="240" t="s">
        <v>4311</v>
      </c>
      <c r="N539" s="240">
        <v>0.0</v>
      </c>
    </row>
    <row r="540">
      <c r="A540" s="215">
        <v>536.0</v>
      </c>
      <c r="B540" s="237"/>
      <c r="C540" s="238">
        <v>3011.0</v>
      </c>
      <c r="D540" s="238">
        <v>9205.0</v>
      </c>
      <c r="E540" s="238" t="s">
        <v>4306</v>
      </c>
      <c r="F540" s="238" t="s">
        <v>3595</v>
      </c>
      <c r="G540" s="239" t="s">
        <v>3333</v>
      </c>
      <c r="H540" s="240">
        <v>33.0</v>
      </c>
      <c r="I540" s="240">
        <v>33.0</v>
      </c>
      <c r="J540" s="240">
        <v>0.0</v>
      </c>
      <c r="K540" s="240">
        <v>0.0</v>
      </c>
      <c r="L540" s="240">
        <v>0.0</v>
      </c>
      <c r="M540" s="240" t="s">
        <v>3444</v>
      </c>
      <c r="N540" s="240">
        <v>0.0</v>
      </c>
    </row>
    <row r="541">
      <c r="A541" s="215">
        <v>537.0</v>
      </c>
      <c r="B541" s="237"/>
      <c r="C541" s="238">
        <v>3011.0</v>
      </c>
      <c r="D541" s="238">
        <v>9869.0</v>
      </c>
      <c r="E541" s="238" t="s">
        <v>4306</v>
      </c>
      <c r="F541" s="238" t="s">
        <v>4312</v>
      </c>
      <c r="G541" s="239" t="s">
        <v>3333</v>
      </c>
      <c r="H541" s="240">
        <v>20.0</v>
      </c>
      <c r="I541" s="240">
        <v>5.0</v>
      </c>
      <c r="J541" s="240">
        <v>0.0</v>
      </c>
      <c r="K541" s="240">
        <v>1.0</v>
      </c>
      <c r="L541" s="240">
        <v>0.0</v>
      </c>
      <c r="M541" s="240" t="s">
        <v>3879</v>
      </c>
      <c r="N541" s="240">
        <v>14.0</v>
      </c>
    </row>
    <row r="542">
      <c r="A542" s="215">
        <v>538.0</v>
      </c>
      <c r="B542" s="237"/>
      <c r="C542" s="238">
        <v>3011.0</v>
      </c>
      <c r="D542" s="238">
        <v>9888.0</v>
      </c>
      <c r="E542" s="238" t="s">
        <v>4306</v>
      </c>
      <c r="F542" s="238" t="s">
        <v>4313</v>
      </c>
      <c r="G542" s="239" t="s">
        <v>3333</v>
      </c>
      <c r="H542" s="240">
        <v>20.0</v>
      </c>
      <c r="I542" s="240">
        <v>8.0</v>
      </c>
      <c r="J542" s="240">
        <v>0.0</v>
      </c>
      <c r="K542" s="240">
        <v>0.0</v>
      </c>
      <c r="L542" s="240">
        <v>0.0</v>
      </c>
      <c r="M542" s="240" t="s">
        <v>3403</v>
      </c>
      <c r="N542" s="240">
        <v>12.0</v>
      </c>
    </row>
    <row r="543">
      <c r="A543" s="215">
        <v>539.0</v>
      </c>
      <c r="B543" s="237"/>
      <c r="C543" s="238">
        <v>3012.0</v>
      </c>
      <c r="D543" s="238">
        <v>8405.0</v>
      </c>
      <c r="E543" s="238" t="s">
        <v>4314</v>
      </c>
      <c r="F543" s="238" t="s">
        <v>4315</v>
      </c>
      <c r="G543" s="239" t="s">
        <v>3333</v>
      </c>
      <c r="H543" s="240">
        <v>24.0</v>
      </c>
      <c r="I543" s="240">
        <v>3.0</v>
      </c>
      <c r="J543" s="240">
        <v>0.0</v>
      </c>
      <c r="K543" s="240">
        <v>0.0</v>
      </c>
      <c r="L543" s="240">
        <v>0.0</v>
      </c>
      <c r="M543" s="241"/>
      <c r="N543" s="240">
        <v>21.0</v>
      </c>
    </row>
    <row r="544">
      <c r="A544" s="215">
        <v>540.0</v>
      </c>
      <c r="B544" s="237"/>
      <c r="C544" s="238">
        <v>3012.0</v>
      </c>
      <c r="D544" s="238">
        <v>9235.0</v>
      </c>
      <c r="E544" s="238" t="s">
        <v>4314</v>
      </c>
      <c r="F544" s="238" t="s">
        <v>4316</v>
      </c>
      <c r="G544" s="239" t="s">
        <v>3333</v>
      </c>
      <c r="H544" s="240">
        <v>25.0</v>
      </c>
      <c r="I544" s="240">
        <v>21.0</v>
      </c>
      <c r="J544" s="240">
        <v>0.0</v>
      </c>
      <c r="K544" s="240">
        <v>0.0</v>
      </c>
      <c r="L544" s="240">
        <v>0.0</v>
      </c>
      <c r="M544" s="240" t="s">
        <v>3608</v>
      </c>
      <c r="N544" s="240">
        <v>4.0</v>
      </c>
    </row>
    <row r="545">
      <c r="A545" s="215">
        <v>541.0</v>
      </c>
      <c r="B545" s="237"/>
      <c r="C545" s="238">
        <v>3012.0</v>
      </c>
      <c r="D545" s="238" t="s">
        <v>4317</v>
      </c>
      <c r="E545" s="238" t="s">
        <v>4314</v>
      </c>
      <c r="F545" s="238" t="s">
        <v>4318</v>
      </c>
      <c r="G545" s="239" t="s">
        <v>3333</v>
      </c>
      <c r="H545" s="240">
        <v>30.0</v>
      </c>
      <c r="I545" s="240">
        <v>23.0</v>
      </c>
      <c r="J545" s="240">
        <v>0.0</v>
      </c>
      <c r="K545" s="240">
        <v>1.0</v>
      </c>
      <c r="L545" s="240">
        <v>0.0</v>
      </c>
      <c r="M545" s="240" t="s">
        <v>3519</v>
      </c>
      <c r="N545" s="240">
        <v>6.0</v>
      </c>
    </row>
    <row r="546">
      <c r="A546" s="215">
        <v>542.0</v>
      </c>
      <c r="B546" s="237"/>
      <c r="C546" s="238">
        <v>3012.0</v>
      </c>
      <c r="D546" s="238" t="s">
        <v>4319</v>
      </c>
      <c r="E546" s="238" t="s">
        <v>4314</v>
      </c>
      <c r="F546" s="238" t="s">
        <v>4320</v>
      </c>
      <c r="G546" s="239" t="s">
        <v>3333</v>
      </c>
      <c r="H546" s="240">
        <v>19.0</v>
      </c>
      <c r="I546" s="240">
        <v>7.0</v>
      </c>
      <c r="J546" s="240">
        <v>0.0</v>
      </c>
      <c r="K546" s="240">
        <v>1.0</v>
      </c>
      <c r="L546" s="240">
        <v>0.0</v>
      </c>
      <c r="M546" s="240" t="s">
        <v>4321</v>
      </c>
      <c r="N546" s="240">
        <v>11.0</v>
      </c>
    </row>
    <row r="547">
      <c r="A547" s="215">
        <v>543.0</v>
      </c>
      <c r="B547" s="237"/>
      <c r="C547" s="238">
        <v>3012.0</v>
      </c>
      <c r="D547" s="238" t="s">
        <v>4322</v>
      </c>
      <c r="E547" s="238" t="s">
        <v>4314</v>
      </c>
      <c r="F547" s="238" t="s">
        <v>4323</v>
      </c>
      <c r="G547" s="239" t="s">
        <v>3333</v>
      </c>
      <c r="H547" s="240">
        <v>35.0</v>
      </c>
      <c r="I547" s="240">
        <v>11.0</v>
      </c>
      <c r="J547" s="240">
        <v>0.0</v>
      </c>
      <c r="K547" s="240">
        <v>0.0</v>
      </c>
      <c r="L547" s="240">
        <v>0.0</v>
      </c>
      <c r="M547" s="240" t="s">
        <v>4325</v>
      </c>
      <c r="N547" s="240">
        <v>24.0</v>
      </c>
    </row>
    <row r="548">
      <c r="A548" s="215">
        <v>544.0</v>
      </c>
      <c r="B548" s="237"/>
      <c r="C548" s="238">
        <v>3012.0</v>
      </c>
      <c r="D548" s="238" t="s">
        <v>4326</v>
      </c>
      <c r="E548" s="238" t="s">
        <v>4314</v>
      </c>
      <c r="F548" s="238" t="s">
        <v>4327</v>
      </c>
      <c r="G548" s="239" t="s">
        <v>3333</v>
      </c>
      <c r="H548" s="240">
        <v>27.0</v>
      </c>
      <c r="I548" s="240">
        <v>21.0</v>
      </c>
      <c r="J548" s="240">
        <v>0.0</v>
      </c>
      <c r="K548" s="240">
        <v>0.0</v>
      </c>
      <c r="L548" s="240">
        <v>0.0</v>
      </c>
      <c r="M548" s="240" t="s">
        <v>3954</v>
      </c>
      <c r="N548" s="240">
        <v>6.0</v>
      </c>
    </row>
    <row r="549">
      <c r="A549" s="215">
        <v>545.0</v>
      </c>
      <c r="B549" s="237"/>
      <c r="C549" s="238">
        <v>3013.0</v>
      </c>
      <c r="D549" s="238">
        <v>9500.0</v>
      </c>
      <c r="E549" s="238" t="s">
        <v>4328</v>
      </c>
      <c r="F549" s="238" t="s">
        <v>4158</v>
      </c>
      <c r="G549" s="239" t="s">
        <v>3333</v>
      </c>
      <c r="H549" s="240">
        <v>82.0</v>
      </c>
      <c r="I549" s="240">
        <v>82.0</v>
      </c>
      <c r="J549" s="240">
        <v>0.0</v>
      </c>
      <c r="K549" s="240">
        <v>0.0</v>
      </c>
      <c r="L549" s="240">
        <v>0.0</v>
      </c>
      <c r="M549" s="240" t="s">
        <v>3647</v>
      </c>
      <c r="N549" s="240">
        <v>0.0</v>
      </c>
    </row>
    <row r="550">
      <c r="A550" s="215">
        <v>546.0</v>
      </c>
      <c r="B550" s="237"/>
      <c r="C550" s="238">
        <v>3013.0</v>
      </c>
      <c r="D550" s="238">
        <v>9504.0</v>
      </c>
      <c r="E550" s="238" t="s">
        <v>4328</v>
      </c>
      <c r="F550" s="238" t="s">
        <v>4330</v>
      </c>
      <c r="G550" s="239" t="s">
        <v>3333</v>
      </c>
      <c r="H550" s="240">
        <v>40.0</v>
      </c>
      <c r="I550" s="240">
        <v>40.0</v>
      </c>
      <c r="J550" s="240">
        <v>0.0</v>
      </c>
      <c r="K550" s="240">
        <v>0.0</v>
      </c>
      <c r="L550" s="240">
        <v>0.0</v>
      </c>
      <c r="M550" s="240" t="s">
        <v>4072</v>
      </c>
      <c r="N550" s="240">
        <v>0.0</v>
      </c>
    </row>
    <row r="551">
      <c r="A551" s="215">
        <v>547.0</v>
      </c>
      <c r="B551" s="237"/>
      <c r="C551" s="238">
        <v>3013.0</v>
      </c>
      <c r="D551" s="238">
        <v>9890.0</v>
      </c>
      <c r="E551" s="238" t="s">
        <v>4328</v>
      </c>
      <c r="F551" s="238" t="s">
        <v>4332</v>
      </c>
      <c r="G551" s="239" t="s">
        <v>3333</v>
      </c>
      <c r="H551" s="240">
        <v>24.0</v>
      </c>
      <c r="I551" s="240">
        <v>24.0</v>
      </c>
      <c r="J551" s="240">
        <v>0.0</v>
      </c>
      <c r="K551" s="240">
        <v>0.0</v>
      </c>
      <c r="L551" s="240">
        <v>0.0</v>
      </c>
      <c r="M551" s="240" t="s">
        <v>3512</v>
      </c>
      <c r="N551" s="240">
        <v>0.0</v>
      </c>
    </row>
    <row r="552">
      <c r="A552" s="215">
        <v>548.0</v>
      </c>
      <c r="B552" s="237"/>
      <c r="C552" s="238">
        <v>3013.0</v>
      </c>
      <c r="D552" s="238" t="s">
        <v>4333</v>
      </c>
      <c r="E552" s="238" t="s">
        <v>4328</v>
      </c>
      <c r="F552" s="238" t="s">
        <v>4334</v>
      </c>
      <c r="G552" s="239" t="s">
        <v>3333</v>
      </c>
      <c r="H552" s="240">
        <v>25.0</v>
      </c>
      <c r="I552" s="240">
        <v>25.0</v>
      </c>
      <c r="J552" s="240">
        <v>0.0</v>
      </c>
      <c r="K552" s="240">
        <v>0.0</v>
      </c>
      <c r="L552" s="240">
        <v>0.0</v>
      </c>
      <c r="M552" s="240" t="s">
        <v>3498</v>
      </c>
      <c r="N552" s="240">
        <v>0.0</v>
      </c>
    </row>
    <row r="553">
      <c r="A553" s="215">
        <v>549.0</v>
      </c>
      <c r="B553" s="237"/>
      <c r="C553" s="238">
        <v>3014.0</v>
      </c>
      <c r="D553" s="238" t="s">
        <v>4336</v>
      </c>
      <c r="E553" s="238" t="s">
        <v>4337</v>
      </c>
      <c r="F553" s="238" t="s">
        <v>4338</v>
      </c>
      <c r="G553" s="239" t="s">
        <v>3333</v>
      </c>
      <c r="H553" s="240">
        <v>38.0</v>
      </c>
      <c r="I553" s="240">
        <v>38.0</v>
      </c>
      <c r="J553" s="240">
        <v>0.0</v>
      </c>
      <c r="K553" s="240">
        <v>0.0</v>
      </c>
      <c r="L553" s="240">
        <v>0.0</v>
      </c>
      <c r="M553" s="240" t="s">
        <v>3955</v>
      </c>
      <c r="N553" s="240">
        <v>0.0</v>
      </c>
    </row>
    <row r="554">
      <c r="A554" s="215">
        <v>550.0</v>
      </c>
      <c r="B554" s="237"/>
      <c r="C554" s="238">
        <v>3014.0</v>
      </c>
      <c r="D554" s="238" t="s">
        <v>4340</v>
      </c>
      <c r="E554" s="238" t="s">
        <v>4337</v>
      </c>
      <c r="F554" s="238" t="s">
        <v>4342</v>
      </c>
      <c r="G554" s="239" t="s">
        <v>3333</v>
      </c>
      <c r="H554" s="240">
        <v>22.0</v>
      </c>
      <c r="I554" s="240">
        <v>22.0</v>
      </c>
      <c r="J554" s="240">
        <v>0.0</v>
      </c>
      <c r="K554" s="240">
        <v>0.0</v>
      </c>
      <c r="L554" s="240">
        <v>0.0</v>
      </c>
      <c r="M554" s="240" t="s">
        <v>3498</v>
      </c>
      <c r="N554" s="240">
        <v>0.0</v>
      </c>
    </row>
    <row r="555">
      <c r="A555" s="215">
        <v>551.0</v>
      </c>
      <c r="B555" s="237"/>
      <c r="C555" s="238">
        <v>3021.0</v>
      </c>
      <c r="D555" s="238">
        <v>9003.0</v>
      </c>
      <c r="E555" s="238" t="s">
        <v>4345</v>
      </c>
      <c r="F555" s="238" t="s">
        <v>3401</v>
      </c>
      <c r="G555" s="239" t="s">
        <v>3333</v>
      </c>
      <c r="H555" s="240">
        <v>48.0</v>
      </c>
      <c r="I555" s="240">
        <v>0.0</v>
      </c>
      <c r="J555" s="240">
        <v>0.0</v>
      </c>
      <c r="K555" s="240">
        <v>1.0</v>
      </c>
      <c r="L555" s="240">
        <v>0.0</v>
      </c>
      <c r="M555" s="237"/>
      <c r="N555" s="240">
        <v>47.0</v>
      </c>
    </row>
    <row r="556">
      <c r="A556" s="215">
        <v>552.0</v>
      </c>
      <c r="B556" s="237"/>
      <c r="C556" s="238">
        <v>3021.0</v>
      </c>
      <c r="D556" s="238">
        <v>9099.0</v>
      </c>
      <c r="E556" s="238" t="s">
        <v>4345</v>
      </c>
      <c r="F556" s="238" t="s">
        <v>3463</v>
      </c>
      <c r="G556" s="239" t="s">
        <v>3333</v>
      </c>
      <c r="H556" s="240">
        <v>20.0</v>
      </c>
      <c r="I556" s="240">
        <v>0.0</v>
      </c>
      <c r="J556" s="240">
        <v>0.0</v>
      </c>
      <c r="K556" s="240">
        <v>0.0</v>
      </c>
      <c r="L556" s="240">
        <v>0.0</v>
      </c>
      <c r="M556" s="237"/>
      <c r="N556" s="240">
        <v>20.0</v>
      </c>
    </row>
    <row r="557">
      <c r="A557" s="215">
        <v>553.0</v>
      </c>
      <c r="B557" s="237"/>
      <c r="C557" s="238">
        <v>3021.0</v>
      </c>
      <c r="D557" s="238">
        <v>9350.0</v>
      </c>
      <c r="E557" s="238" t="s">
        <v>4345</v>
      </c>
      <c r="F557" s="238" t="s">
        <v>4348</v>
      </c>
      <c r="G557" s="239" t="s">
        <v>3333</v>
      </c>
      <c r="H557" s="240">
        <v>23.0</v>
      </c>
      <c r="I557" s="240">
        <v>0.0</v>
      </c>
      <c r="J557" s="240">
        <v>0.0</v>
      </c>
      <c r="K557" s="240">
        <v>0.0</v>
      </c>
      <c r="L557" s="240">
        <v>0.0</v>
      </c>
      <c r="M557" s="241"/>
      <c r="N557" s="240">
        <v>23.0</v>
      </c>
    </row>
    <row r="558">
      <c r="A558" s="215">
        <v>554.0</v>
      </c>
      <c r="B558" s="237"/>
      <c r="C558" s="238">
        <v>3022.0</v>
      </c>
      <c r="D558" s="238">
        <v>9010.0</v>
      </c>
      <c r="E558" s="238" t="s">
        <v>4349</v>
      </c>
      <c r="F558" s="238" t="s">
        <v>4350</v>
      </c>
      <c r="G558" s="239" t="s">
        <v>3333</v>
      </c>
      <c r="H558" s="240">
        <v>33.0</v>
      </c>
      <c r="I558" s="240">
        <v>23.0</v>
      </c>
      <c r="J558" s="240">
        <v>0.0</v>
      </c>
      <c r="K558" s="240">
        <v>0.0</v>
      </c>
      <c r="L558" s="240">
        <v>0.0</v>
      </c>
      <c r="M558" s="240" t="s">
        <v>3414</v>
      </c>
      <c r="N558" s="240">
        <v>10.0</v>
      </c>
    </row>
    <row r="559">
      <c r="A559" s="215">
        <v>555.0</v>
      </c>
      <c r="B559" s="237"/>
      <c r="C559" s="238">
        <v>3022.0</v>
      </c>
      <c r="D559" s="238">
        <v>9238.0</v>
      </c>
      <c r="E559" s="238" t="s">
        <v>4349</v>
      </c>
      <c r="F559" s="238" t="s">
        <v>3344</v>
      </c>
      <c r="G559" s="239" t="s">
        <v>3333</v>
      </c>
      <c r="H559" s="240">
        <v>50.0</v>
      </c>
      <c r="I559" s="240">
        <v>14.0</v>
      </c>
      <c r="J559" s="240">
        <v>0.0</v>
      </c>
      <c r="K559" s="240">
        <v>0.0</v>
      </c>
      <c r="L559" s="240">
        <v>0.0</v>
      </c>
      <c r="M559" s="240" t="s">
        <v>3419</v>
      </c>
      <c r="N559" s="240">
        <v>36.0</v>
      </c>
    </row>
    <row r="560">
      <c r="A560" s="215">
        <v>556.0</v>
      </c>
      <c r="B560" s="237"/>
      <c r="C560" s="238">
        <v>3022.0</v>
      </c>
      <c r="D560" s="238">
        <v>9563.0</v>
      </c>
      <c r="E560" s="238" t="s">
        <v>4349</v>
      </c>
      <c r="F560" s="238" t="s">
        <v>4351</v>
      </c>
      <c r="G560" s="239" t="s">
        <v>3333</v>
      </c>
      <c r="H560" s="240">
        <v>34.0</v>
      </c>
      <c r="I560" s="240">
        <v>15.0</v>
      </c>
      <c r="J560" s="240">
        <v>0.0</v>
      </c>
      <c r="K560" s="240">
        <v>0.0</v>
      </c>
      <c r="L560" s="240">
        <v>0.0</v>
      </c>
      <c r="M560" s="240" t="s">
        <v>3679</v>
      </c>
      <c r="N560" s="240">
        <v>19.0</v>
      </c>
    </row>
    <row r="561">
      <c r="A561" s="215">
        <v>557.0</v>
      </c>
      <c r="B561" s="237"/>
      <c r="C561" s="238">
        <v>3022.0</v>
      </c>
      <c r="D561" s="238">
        <v>9853.0</v>
      </c>
      <c r="E561" s="238" t="s">
        <v>4349</v>
      </c>
      <c r="F561" s="238" t="s">
        <v>3350</v>
      </c>
      <c r="G561" s="239" t="s">
        <v>3333</v>
      </c>
      <c r="H561" s="240">
        <v>40.0</v>
      </c>
      <c r="I561" s="240">
        <v>40.0</v>
      </c>
      <c r="J561" s="240">
        <v>0.0</v>
      </c>
      <c r="K561" s="240">
        <v>0.0</v>
      </c>
      <c r="L561" s="240">
        <v>0.0</v>
      </c>
      <c r="M561" s="240" t="s">
        <v>3410</v>
      </c>
      <c r="N561" s="240">
        <v>0.0</v>
      </c>
    </row>
    <row r="562">
      <c r="A562" s="215">
        <v>558.0</v>
      </c>
      <c r="B562" s="237"/>
      <c r="C562" s="238">
        <v>3023.0</v>
      </c>
      <c r="D562" s="238">
        <v>9119.0</v>
      </c>
      <c r="E562" s="238" t="s">
        <v>4353</v>
      </c>
      <c r="F562" s="238" t="s">
        <v>3417</v>
      </c>
      <c r="G562" s="239" t="s">
        <v>3333</v>
      </c>
      <c r="H562" s="240">
        <v>61.0</v>
      </c>
      <c r="I562" s="240">
        <v>6.0</v>
      </c>
      <c r="J562" s="240">
        <v>0.0</v>
      </c>
      <c r="K562" s="240">
        <v>0.0</v>
      </c>
      <c r="L562" s="240">
        <v>0.0</v>
      </c>
      <c r="M562" s="240" t="s">
        <v>4354</v>
      </c>
      <c r="N562" s="240">
        <v>55.0</v>
      </c>
    </row>
    <row r="563">
      <c r="A563" s="215">
        <v>559.0</v>
      </c>
      <c r="B563" s="237"/>
      <c r="C563" s="238">
        <v>3023.0</v>
      </c>
      <c r="D563" s="238">
        <v>9152.0</v>
      </c>
      <c r="E563" s="238" t="s">
        <v>4353</v>
      </c>
      <c r="F563" s="238" t="s">
        <v>3434</v>
      </c>
      <c r="G563" s="239" t="s">
        <v>3333</v>
      </c>
      <c r="H563" s="240">
        <v>43.0</v>
      </c>
      <c r="I563" s="240">
        <v>5.0</v>
      </c>
      <c r="J563" s="240">
        <v>0.0</v>
      </c>
      <c r="K563" s="240">
        <v>0.0</v>
      </c>
      <c r="L563" s="240">
        <v>0.0</v>
      </c>
      <c r="M563" s="240" t="s">
        <v>4203</v>
      </c>
      <c r="N563" s="240">
        <v>38.0</v>
      </c>
    </row>
    <row r="564">
      <c r="A564" s="215">
        <v>560.0</v>
      </c>
      <c r="B564" s="237"/>
      <c r="C564" s="238">
        <v>3023.0</v>
      </c>
      <c r="D564" s="238">
        <v>9242.0</v>
      </c>
      <c r="E564" s="238" t="s">
        <v>4353</v>
      </c>
      <c r="F564" s="238" t="s">
        <v>4355</v>
      </c>
      <c r="G564" s="239" t="s">
        <v>3333</v>
      </c>
      <c r="H564" s="240">
        <v>45.0</v>
      </c>
      <c r="I564" s="240">
        <v>39.0</v>
      </c>
      <c r="J564" s="240">
        <v>0.0</v>
      </c>
      <c r="K564" s="240">
        <v>0.0</v>
      </c>
      <c r="L564" s="240">
        <v>0.0</v>
      </c>
      <c r="M564" s="240" t="s">
        <v>3407</v>
      </c>
      <c r="N564" s="240">
        <v>6.0</v>
      </c>
    </row>
    <row r="565">
      <c r="A565" s="215">
        <v>561.0</v>
      </c>
      <c r="B565" s="237"/>
      <c r="C565" s="238">
        <v>3023.0</v>
      </c>
      <c r="D565" s="238">
        <v>9254.0</v>
      </c>
      <c r="E565" s="238" t="s">
        <v>4353</v>
      </c>
      <c r="F565" s="238" t="s">
        <v>3383</v>
      </c>
      <c r="G565" s="239" t="s">
        <v>3333</v>
      </c>
      <c r="H565" s="240">
        <v>37.0</v>
      </c>
      <c r="I565" s="240">
        <v>4.0</v>
      </c>
      <c r="J565" s="240">
        <v>0.0</v>
      </c>
      <c r="K565" s="240">
        <v>0.0</v>
      </c>
      <c r="L565" s="240">
        <v>0.0</v>
      </c>
      <c r="M565" s="237"/>
      <c r="N565" s="240">
        <v>33.0</v>
      </c>
    </row>
    <row r="566">
      <c r="A566" s="215">
        <v>562.0</v>
      </c>
      <c r="B566" s="237"/>
      <c r="C566" s="238">
        <v>3023.0</v>
      </c>
      <c r="D566" s="238">
        <v>9994.0</v>
      </c>
      <c r="E566" s="238" t="s">
        <v>4353</v>
      </c>
      <c r="F566" s="238" t="s">
        <v>4356</v>
      </c>
      <c r="G566" s="239" t="s">
        <v>3333</v>
      </c>
      <c r="H566" s="240">
        <v>20.0</v>
      </c>
      <c r="I566" s="240">
        <v>1.0</v>
      </c>
      <c r="J566" s="240">
        <v>0.0</v>
      </c>
      <c r="K566" s="240">
        <v>0.0</v>
      </c>
      <c r="L566" s="240">
        <v>0.0</v>
      </c>
      <c r="M566" s="241"/>
      <c r="N566" s="240">
        <v>19.0</v>
      </c>
    </row>
    <row r="567">
      <c r="A567" s="215">
        <v>563.0</v>
      </c>
      <c r="B567" s="237"/>
      <c r="C567" s="238">
        <v>3031.0</v>
      </c>
      <c r="D567" s="238">
        <v>8015.0</v>
      </c>
      <c r="E567" s="238" t="s">
        <v>4357</v>
      </c>
      <c r="F567" s="238" t="s">
        <v>4358</v>
      </c>
      <c r="G567" s="239" t="s">
        <v>3333</v>
      </c>
      <c r="H567" s="240">
        <v>35.0</v>
      </c>
      <c r="I567" s="240">
        <v>28.0</v>
      </c>
      <c r="J567" s="240">
        <v>0.0</v>
      </c>
      <c r="K567" s="240">
        <v>1.0</v>
      </c>
      <c r="L567" s="240">
        <v>0.0</v>
      </c>
      <c r="M567" s="240" t="s">
        <v>3814</v>
      </c>
      <c r="N567" s="240">
        <v>6.0</v>
      </c>
    </row>
    <row r="568">
      <c r="A568" s="215">
        <v>564.0</v>
      </c>
      <c r="B568" s="237"/>
      <c r="C568" s="238">
        <v>3031.0</v>
      </c>
      <c r="D568" s="238">
        <v>9056.0</v>
      </c>
      <c r="E568" s="238" t="s">
        <v>4357</v>
      </c>
      <c r="F568" s="238" t="s">
        <v>3939</v>
      </c>
      <c r="G568" s="239" t="s">
        <v>3333</v>
      </c>
      <c r="H568" s="240">
        <v>40.0</v>
      </c>
      <c r="I568" s="240">
        <v>36.0</v>
      </c>
      <c r="J568" s="240">
        <v>0.0</v>
      </c>
      <c r="K568" s="240">
        <v>2.0</v>
      </c>
      <c r="L568" s="240">
        <v>0.0</v>
      </c>
      <c r="M568" s="240" t="s">
        <v>4360</v>
      </c>
      <c r="N568" s="240">
        <v>2.0</v>
      </c>
    </row>
    <row r="569">
      <c r="A569" s="215">
        <v>565.0</v>
      </c>
      <c r="B569" s="237"/>
      <c r="C569" s="238">
        <v>3031.0</v>
      </c>
      <c r="D569" s="238">
        <v>9140.0</v>
      </c>
      <c r="E569" s="238" t="s">
        <v>4357</v>
      </c>
      <c r="F569" s="238" t="s">
        <v>4309</v>
      </c>
      <c r="G569" s="239" t="s">
        <v>3333</v>
      </c>
      <c r="H569" s="240">
        <v>32.0</v>
      </c>
      <c r="I569" s="240">
        <v>32.0</v>
      </c>
      <c r="J569" s="240">
        <v>0.0</v>
      </c>
      <c r="K569" s="240">
        <v>0.0</v>
      </c>
      <c r="L569" s="240">
        <v>0.0</v>
      </c>
      <c r="M569" s="240" t="s">
        <v>3654</v>
      </c>
      <c r="N569" s="240">
        <v>0.0</v>
      </c>
    </row>
    <row r="570">
      <c r="A570" s="215">
        <v>566.0</v>
      </c>
      <c r="B570" s="237"/>
      <c r="C570" s="238">
        <v>3031.0</v>
      </c>
      <c r="D570" s="238">
        <v>9152.0</v>
      </c>
      <c r="E570" s="238" t="s">
        <v>4357</v>
      </c>
      <c r="F570" s="238" t="s">
        <v>3434</v>
      </c>
      <c r="G570" s="239" t="s">
        <v>3333</v>
      </c>
      <c r="H570" s="240">
        <v>40.0</v>
      </c>
      <c r="I570" s="240">
        <v>40.0</v>
      </c>
      <c r="J570" s="240">
        <v>0.0</v>
      </c>
      <c r="K570" s="240">
        <v>0.0</v>
      </c>
      <c r="L570" s="240">
        <v>0.0</v>
      </c>
      <c r="M570" s="240" t="s">
        <v>4361</v>
      </c>
      <c r="N570" s="240">
        <v>0.0</v>
      </c>
    </row>
    <row r="571">
      <c r="A571" s="215">
        <v>567.0</v>
      </c>
      <c r="B571" s="237"/>
      <c r="C571" s="238">
        <v>3031.0</v>
      </c>
      <c r="D571" s="238">
        <v>9242.0</v>
      </c>
      <c r="E571" s="238" t="s">
        <v>4357</v>
      </c>
      <c r="F571" s="238" t="s">
        <v>4355</v>
      </c>
      <c r="G571" s="239" t="s">
        <v>3333</v>
      </c>
      <c r="H571" s="240">
        <v>39.0</v>
      </c>
      <c r="I571" s="240">
        <v>39.0</v>
      </c>
      <c r="J571" s="240">
        <v>0.0</v>
      </c>
      <c r="K571" s="240">
        <v>0.0</v>
      </c>
      <c r="L571" s="240">
        <v>0.0</v>
      </c>
      <c r="M571" s="240" t="s">
        <v>4362</v>
      </c>
      <c r="N571" s="240">
        <v>0.0</v>
      </c>
    </row>
    <row r="572">
      <c r="A572" s="215">
        <v>568.0</v>
      </c>
      <c r="B572" s="237"/>
      <c r="C572" s="238">
        <v>3031.0</v>
      </c>
      <c r="D572" s="238">
        <v>9759.0</v>
      </c>
      <c r="E572" s="238" t="s">
        <v>4357</v>
      </c>
      <c r="F572" s="238" t="s">
        <v>4363</v>
      </c>
      <c r="G572" s="239" t="s">
        <v>3333</v>
      </c>
      <c r="H572" s="240">
        <v>31.0</v>
      </c>
      <c r="I572" s="240">
        <v>13.0</v>
      </c>
      <c r="J572" s="240">
        <v>0.0</v>
      </c>
      <c r="K572" s="240">
        <v>0.0</v>
      </c>
      <c r="L572" s="240">
        <v>0.0</v>
      </c>
      <c r="M572" s="240" t="s">
        <v>3590</v>
      </c>
      <c r="N572" s="240">
        <v>18.0</v>
      </c>
    </row>
    <row r="573">
      <c r="A573" s="215">
        <v>569.0</v>
      </c>
      <c r="B573" s="237"/>
      <c r="C573" s="238">
        <v>3031.0</v>
      </c>
      <c r="D573" s="238">
        <v>9869.0</v>
      </c>
      <c r="E573" s="238" t="s">
        <v>4357</v>
      </c>
      <c r="F573" s="238" t="s">
        <v>4312</v>
      </c>
      <c r="G573" s="239" t="s">
        <v>3333</v>
      </c>
      <c r="H573" s="240">
        <v>29.0</v>
      </c>
      <c r="I573" s="240">
        <v>6.0</v>
      </c>
      <c r="J573" s="240">
        <v>0.0</v>
      </c>
      <c r="K573" s="240">
        <v>0.0</v>
      </c>
      <c r="L573" s="240">
        <v>0.0</v>
      </c>
      <c r="M573" s="240" t="s">
        <v>3728</v>
      </c>
      <c r="N573" s="240">
        <v>23.0</v>
      </c>
    </row>
    <row r="574">
      <c r="A574" s="215">
        <v>570.0</v>
      </c>
      <c r="B574" s="237"/>
      <c r="C574" s="238">
        <v>3031.0</v>
      </c>
      <c r="D574" s="238">
        <v>9990.0</v>
      </c>
      <c r="E574" s="238" t="s">
        <v>4357</v>
      </c>
      <c r="F574" s="238" t="s">
        <v>4365</v>
      </c>
      <c r="G574" s="239" t="s">
        <v>3333</v>
      </c>
      <c r="H574" s="240">
        <v>20.0</v>
      </c>
      <c r="I574" s="240">
        <v>2.0</v>
      </c>
      <c r="J574" s="240">
        <v>0.0</v>
      </c>
      <c r="K574" s="240">
        <v>0.0</v>
      </c>
      <c r="L574" s="240">
        <v>0.0</v>
      </c>
      <c r="M574" s="240" t="s">
        <v>4366</v>
      </c>
      <c r="N574" s="240">
        <v>18.0</v>
      </c>
    </row>
    <row r="575">
      <c r="A575" s="215">
        <v>571.0</v>
      </c>
      <c r="B575" s="237"/>
      <c r="C575" s="238">
        <v>3031.0</v>
      </c>
      <c r="D575" s="238">
        <v>9994.0</v>
      </c>
      <c r="E575" s="238" t="s">
        <v>4357</v>
      </c>
      <c r="F575" s="238" t="s">
        <v>4356</v>
      </c>
      <c r="G575" s="239" t="s">
        <v>3333</v>
      </c>
      <c r="H575" s="240">
        <v>29.0</v>
      </c>
      <c r="I575" s="240">
        <v>23.0</v>
      </c>
      <c r="J575" s="240">
        <v>0.0</v>
      </c>
      <c r="K575" s="240">
        <v>0.0</v>
      </c>
      <c r="L575" s="240">
        <v>0.0</v>
      </c>
      <c r="M575" s="240" t="s">
        <v>3407</v>
      </c>
      <c r="N575" s="240">
        <v>6.0</v>
      </c>
    </row>
    <row r="576">
      <c r="A576" s="215">
        <v>572.0</v>
      </c>
      <c r="B576" s="237"/>
      <c r="C576" s="238">
        <v>3031.0</v>
      </c>
      <c r="D576" s="238" t="s">
        <v>4319</v>
      </c>
      <c r="E576" s="238" t="s">
        <v>4357</v>
      </c>
      <c r="F576" s="238" t="s">
        <v>4320</v>
      </c>
      <c r="G576" s="239" t="s">
        <v>3333</v>
      </c>
      <c r="H576" s="240">
        <v>40.0</v>
      </c>
      <c r="I576" s="240">
        <v>27.0</v>
      </c>
      <c r="J576" s="240">
        <v>0.0</v>
      </c>
      <c r="K576" s="240">
        <v>1.0</v>
      </c>
      <c r="L576" s="240">
        <v>0.0</v>
      </c>
      <c r="M576" s="240" t="s">
        <v>3431</v>
      </c>
      <c r="N576" s="240">
        <v>12.0</v>
      </c>
    </row>
    <row r="577">
      <c r="A577" s="215">
        <v>573.0</v>
      </c>
      <c r="B577" s="237"/>
      <c r="C577" s="238">
        <v>3032.0</v>
      </c>
      <c r="D577" s="238">
        <v>8311.0</v>
      </c>
      <c r="E577" s="238" t="s">
        <v>4368</v>
      </c>
      <c r="F577" s="238" t="s">
        <v>4369</v>
      </c>
      <c r="G577" s="239" t="s">
        <v>3333</v>
      </c>
      <c r="H577" s="240">
        <v>37.0</v>
      </c>
      <c r="I577" s="240">
        <v>15.0</v>
      </c>
      <c r="J577" s="240">
        <v>0.0</v>
      </c>
      <c r="K577" s="240">
        <v>0.0</v>
      </c>
      <c r="L577" s="240">
        <v>0.0</v>
      </c>
      <c r="M577" s="240" t="s">
        <v>4108</v>
      </c>
      <c r="N577" s="240">
        <v>22.0</v>
      </c>
    </row>
    <row r="578">
      <c r="A578" s="215">
        <v>574.0</v>
      </c>
      <c r="B578" s="237"/>
      <c r="C578" s="238">
        <v>3032.0</v>
      </c>
      <c r="D578" s="238">
        <v>8409.0</v>
      </c>
      <c r="E578" s="238" t="s">
        <v>4368</v>
      </c>
      <c r="F578" s="238" t="s">
        <v>4370</v>
      </c>
      <c r="G578" s="239" t="s">
        <v>3333</v>
      </c>
      <c r="H578" s="240">
        <v>37.0</v>
      </c>
      <c r="I578" s="240">
        <v>27.0</v>
      </c>
      <c r="J578" s="240">
        <v>0.0</v>
      </c>
      <c r="K578" s="240">
        <v>0.0</v>
      </c>
      <c r="L578" s="240">
        <v>0.0</v>
      </c>
      <c r="M578" s="240" t="s">
        <v>3349</v>
      </c>
      <c r="N578" s="240">
        <v>10.0</v>
      </c>
    </row>
    <row r="579">
      <c r="A579" s="215">
        <v>575.0</v>
      </c>
      <c r="B579" s="237"/>
      <c r="C579" s="238">
        <v>3032.0</v>
      </c>
      <c r="D579" s="238">
        <v>8417.0</v>
      </c>
      <c r="E579" s="238" t="s">
        <v>4368</v>
      </c>
      <c r="F579" s="238" t="s">
        <v>4372</v>
      </c>
      <c r="G579" s="239" t="s">
        <v>3333</v>
      </c>
      <c r="H579" s="240">
        <v>32.0</v>
      </c>
      <c r="I579" s="240">
        <v>4.0</v>
      </c>
      <c r="J579" s="240">
        <v>0.0</v>
      </c>
      <c r="K579" s="240">
        <v>0.0</v>
      </c>
      <c r="L579" s="240">
        <v>0.0</v>
      </c>
      <c r="M579" s="240" t="s">
        <v>4374</v>
      </c>
      <c r="N579" s="240">
        <v>28.0</v>
      </c>
    </row>
    <row r="580">
      <c r="A580" s="215">
        <v>576.0</v>
      </c>
      <c r="B580" s="237"/>
      <c r="C580" s="238">
        <v>3032.0</v>
      </c>
      <c r="D580" s="238">
        <v>9104.0</v>
      </c>
      <c r="E580" s="238" t="s">
        <v>4368</v>
      </c>
      <c r="F580" s="238" t="s">
        <v>3466</v>
      </c>
      <c r="G580" s="239" t="s">
        <v>3333</v>
      </c>
      <c r="H580" s="240">
        <v>16.0</v>
      </c>
      <c r="I580" s="240">
        <v>12.0</v>
      </c>
      <c r="J580" s="240">
        <v>0.0</v>
      </c>
      <c r="K580" s="240">
        <v>0.0</v>
      </c>
      <c r="L580" s="240">
        <v>0.0</v>
      </c>
      <c r="M580" s="240" t="s">
        <v>3666</v>
      </c>
      <c r="N580" s="240">
        <v>4.0</v>
      </c>
    </row>
    <row r="581">
      <c r="A581" s="215">
        <v>577.0</v>
      </c>
      <c r="B581" s="237"/>
      <c r="C581" s="238">
        <v>3032.0</v>
      </c>
      <c r="D581" s="238">
        <v>9112.0</v>
      </c>
      <c r="E581" s="238" t="s">
        <v>4368</v>
      </c>
      <c r="F581" s="238" t="s">
        <v>3522</v>
      </c>
      <c r="G581" s="239" t="s">
        <v>3333</v>
      </c>
      <c r="H581" s="240">
        <v>31.0</v>
      </c>
      <c r="I581" s="240">
        <v>7.0</v>
      </c>
      <c r="J581" s="240">
        <v>0.0</v>
      </c>
      <c r="K581" s="240">
        <v>0.0</v>
      </c>
      <c r="L581" s="240">
        <v>0.0</v>
      </c>
      <c r="M581" s="240" t="s">
        <v>4032</v>
      </c>
      <c r="N581" s="240">
        <v>24.0</v>
      </c>
    </row>
    <row r="582">
      <c r="A582" s="215">
        <v>578.0</v>
      </c>
      <c r="B582" s="237"/>
      <c r="C582" s="238">
        <v>3032.0</v>
      </c>
      <c r="D582" s="238" t="s">
        <v>4378</v>
      </c>
      <c r="E582" s="238" t="s">
        <v>4368</v>
      </c>
      <c r="F582" s="238" t="s">
        <v>4379</v>
      </c>
      <c r="G582" s="239" t="s">
        <v>3333</v>
      </c>
      <c r="H582" s="240">
        <v>26.0</v>
      </c>
      <c r="I582" s="240">
        <v>5.0</v>
      </c>
      <c r="J582" s="240">
        <v>0.0</v>
      </c>
      <c r="K582" s="240">
        <v>0.0</v>
      </c>
      <c r="L582" s="240">
        <v>0.0</v>
      </c>
      <c r="M582" s="240" t="s">
        <v>4032</v>
      </c>
      <c r="N582" s="240">
        <v>21.0</v>
      </c>
    </row>
    <row r="583">
      <c r="A583" s="215">
        <v>579.0</v>
      </c>
      <c r="B583" s="237"/>
      <c r="C583" s="238">
        <v>3033.0</v>
      </c>
      <c r="D583" s="238">
        <v>9074.0</v>
      </c>
      <c r="E583" s="238" t="s">
        <v>4380</v>
      </c>
      <c r="F583" s="238" t="s">
        <v>3565</v>
      </c>
      <c r="G583" s="239" t="s">
        <v>3333</v>
      </c>
      <c r="H583" s="240">
        <v>39.0</v>
      </c>
      <c r="I583" s="240">
        <v>39.0</v>
      </c>
      <c r="J583" s="240">
        <v>0.0</v>
      </c>
      <c r="K583" s="240">
        <v>0.0</v>
      </c>
      <c r="L583" s="240">
        <v>0.0</v>
      </c>
      <c r="M583" s="240" t="s">
        <v>3380</v>
      </c>
      <c r="N583" s="240">
        <v>0.0</v>
      </c>
    </row>
    <row r="584">
      <c r="A584" s="215">
        <v>580.0</v>
      </c>
      <c r="B584" s="237"/>
      <c r="C584" s="238">
        <v>3033.0</v>
      </c>
      <c r="D584" s="238">
        <v>9470.0</v>
      </c>
      <c r="E584" s="238" t="s">
        <v>4380</v>
      </c>
      <c r="F584" s="238" t="s">
        <v>4382</v>
      </c>
      <c r="G584" s="239" t="s">
        <v>3333</v>
      </c>
      <c r="H584" s="240">
        <v>44.0</v>
      </c>
      <c r="I584" s="240">
        <v>44.0</v>
      </c>
      <c r="J584" s="240">
        <v>0.0</v>
      </c>
      <c r="K584" s="240">
        <v>0.0</v>
      </c>
      <c r="L584" s="240">
        <v>0.0</v>
      </c>
      <c r="M584" s="240" t="s">
        <v>4110</v>
      </c>
      <c r="N584" s="240">
        <v>0.0</v>
      </c>
    </row>
    <row r="585">
      <c r="A585" s="215">
        <v>581.0</v>
      </c>
      <c r="B585" s="237"/>
      <c r="C585" s="238">
        <v>3033.0</v>
      </c>
      <c r="D585" s="238">
        <v>9873.0</v>
      </c>
      <c r="E585" s="238" t="s">
        <v>4380</v>
      </c>
      <c r="F585" s="238" t="s">
        <v>4383</v>
      </c>
      <c r="G585" s="239" t="s">
        <v>3333</v>
      </c>
      <c r="H585" s="240">
        <v>28.0</v>
      </c>
      <c r="I585" s="240">
        <v>28.0</v>
      </c>
      <c r="J585" s="240">
        <v>0.0</v>
      </c>
      <c r="K585" s="240">
        <v>0.0</v>
      </c>
      <c r="L585" s="240">
        <v>0.0</v>
      </c>
      <c r="M585" s="240" t="s">
        <v>3742</v>
      </c>
      <c r="N585" s="240">
        <v>0.0</v>
      </c>
    </row>
    <row r="586">
      <c r="A586" s="215">
        <v>582.0</v>
      </c>
      <c r="B586" s="237"/>
      <c r="C586" s="238">
        <v>3033.0</v>
      </c>
      <c r="D586" s="238" t="s">
        <v>4384</v>
      </c>
      <c r="E586" s="238" t="s">
        <v>4380</v>
      </c>
      <c r="F586" s="238" t="s">
        <v>4385</v>
      </c>
      <c r="G586" s="239" t="s">
        <v>3333</v>
      </c>
      <c r="H586" s="240">
        <v>31.0</v>
      </c>
      <c r="I586" s="240">
        <v>31.0</v>
      </c>
      <c r="J586" s="240">
        <v>0.0</v>
      </c>
      <c r="K586" s="240">
        <v>0.0</v>
      </c>
      <c r="L586" s="240">
        <v>0.0</v>
      </c>
      <c r="M586" s="240" t="s">
        <v>3961</v>
      </c>
      <c r="N586" s="240">
        <v>0.0</v>
      </c>
    </row>
    <row r="587">
      <c r="A587" s="215">
        <v>583.0</v>
      </c>
      <c r="B587" s="237"/>
      <c r="C587" s="238">
        <v>3034.0</v>
      </c>
      <c r="D587" s="238">
        <v>8156.0</v>
      </c>
      <c r="E587" s="238" t="s">
        <v>4386</v>
      </c>
      <c r="F587" s="238" t="s">
        <v>4387</v>
      </c>
      <c r="G587" s="239" t="s">
        <v>3333</v>
      </c>
      <c r="H587" s="240">
        <v>44.0</v>
      </c>
      <c r="I587" s="240">
        <v>38.0</v>
      </c>
      <c r="J587" s="240">
        <v>0.0</v>
      </c>
      <c r="K587" s="240">
        <v>0.0</v>
      </c>
      <c r="L587" s="240">
        <v>0.0</v>
      </c>
      <c r="M587" s="240" t="s">
        <v>4388</v>
      </c>
      <c r="N587" s="240">
        <v>6.0</v>
      </c>
    </row>
    <row r="588">
      <c r="A588" s="215">
        <v>584.0</v>
      </c>
      <c r="B588" s="237"/>
      <c r="C588" s="238">
        <v>3034.0</v>
      </c>
      <c r="D588" s="238">
        <v>8341.0</v>
      </c>
      <c r="E588" s="238" t="s">
        <v>4386</v>
      </c>
      <c r="F588" s="238" t="s">
        <v>4390</v>
      </c>
      <c r="G588" s="239" t="s">
        <v>3333</v>
      </c>
      <c r="H588" s="240">
        <v>30.0</v>
      </c>
      <c r="I588" s="240">
        <v>6.0</v>
      </c>
      <c r="J588" s="240">
        <v>0.0</v>
      </c>
      <c r="K588" s="240">
        <v>0.0</v>
      </c>
      <c r="L588" s="240">
        <v>0.0</v>
      </c>
      <c r="M588" s="240" t="s">
        <v>3349</v>
      </c>
      <c r="N588" s="240">
        <v>24.0</v>
      </c>
    </row>
    <row r="589">
      <c r="A589" s="215">
        <v>585.0</v>
      </c>
      <c r="B589" s="237"/>
      <c r="C589" s="238">
        <v>3034.0</v>
      </c>
      <c r="D589" s="238">
        <v>9173.0</v>
      </c>
      <c r="E589" s="238" t="s">
        <v>4386</v>
      </c>
      <c r="F589" s="238" t="s">
        <v>4391</v>
      </c>
      <c r="G589" s="239" t="s">
        <v>3333</v>
      </c>
      <c r="H589" s="240">
        <v>33.0</v>
      </c>
      <c r="I589" s="240">
        <v>32.0</v>
      </c>
      <c r="J589" s="240">
        <v>0.0</v>
      </c>
      <c r="K589" s="240">
        <v>0.0</v>
      </c>
      <c r="L589" s="240">
        <v>0.0</v>
      </c>
      <c r="M589" s="240" t="s">
        <v>3679</v>
      </c>
      <c r="N589" s="240">
        <v>1.0</v>
      </c>
    </row>
    <row r="590">
      <c r="A590" s="215">
        <v>586.0</v>
      </c>
      <c r="B590" s="237"/>
      <c r="C590" s="238">
        <v>3036.0</v>
      </c>
      <c r="D590" s="238">
        <v>9563.0</v>
      </c>
      <c r="E590" s="238" t="s">
        <v>4392</v>
      </c>
      <c r="F590" s="238" t="s">
        <v>4351</v>
      </c>
      <c r="G590" s="239" t="s">
        <v>3333</v>
      </c>
      <c r="H590" s="240">
        <v>12.0</v>
      </c>
      <c r="I590" s="240">
        <v>12.0</v>
      </c>
      <c r="J590" s="240">
        <v>0.0</v>
      </c>
      <c r="K590" s="240">
        <v>0.0</v>
      </c>
      <c r="L590" s="240">
        <v>0.0</v>
      </c>
      <c r="M590" s="240" t="s">
        <v>3343</v>
      </c>
      <c r="N590" s="240">
        <v>0.0</v>
      </c>
    </row>
    <row r="591">
      <c r="A591" s="215">
        <v>587.0</v>
      </c>
      <c r="B591" s="237"/>
      <c r="C591" s="238">
        <v>3041.0</v>
      </c>
      <c r="D591" s="238">
        <v>9085.0</v>
      </c>
      <c r="E591" s="238" t="s">
        <v>4393</v>
      </c>
      <c r="F591" s="238" t="s">
        <v>4394</v>
      </c>
      <c r="G591" s="239" t="s">
        <v>3333</v>
      </c>
      <c r="H591" s="240">
        <v>60.0</v>
      </c>
      <c r="I591" s="240">
        <v>27.0</v>
      </c>
      <c r="J591" s="240">
        <v>0.0</v>
      </c>
      <c r="K591" s="240">
        <v>0.0</v>
      </c>
      <c r="L591" s="240">
        <v>0.0</v>
      </c>
      <c r="M591" s="240" t="s">
        <v>4395</v>
      </c>
      <c r="N591" s="240">
        <v>33.0</v>
      </c>
    </row>
    <row r="592">
      <c r="A592" s="215">
        <v>588.0</v>
      </c>
      <c r="B592" s="237"/>
      <c r="C592" s="238">
        <v>3041.0</v>
      </c>
      <c r="D592" s="238">
        <v>9086.0</v>
      </c>
      <c r="E592" s="238" t="s">
        <v>4393</v>
      </c>
      <c r="F592" s="238" t="s">
        <v>4018</v>
      </c>
      <c r="G592" s="239" t="s">
        <v>3333</v>
      </c>
      <c r="H592" s="240">
        <v>25.0</v>
      </c>
      <c r="I592" s="240">
        <v>0.0</v>
      </c>
      <c r="J592" s="240">
        <v>0.0</v>
      </c>
      <c r="K592" s="240">
        <v>0.0</v>
      </c>
      <c r="L592" s="240">
        <v>0.0</v>
      </c>
      <c r="M592" s="237"/>
      <c r="N592" s="240">
        <v>25.0</v>
      </c>
    </row>
    <row r="593">
      <c r="A593" s="215">
        <v>589.0</v>
      </c>
      <c r="B593" s="237"/>
      <c r="C593" s="238">
        <v>3041.0</v>
      </c>
      <c r="D593" s="238">
        <v>9087.0</v>
      </c>
      <c r="E593" s="238" t="s">
        <v>4393</v>
      </c>
      <c r="F593" s="238" t="s">
        <v>4243</v>
      </c>
      <c r="G593" s="239" t="s">
        <v>3333</v>
      </c>
      <c r="H593" s="240">
        <v>20.0</v>
      </c>
      <c r="I593" s="240">
        <v>0.0</v>
      </c>
      <c r="J593" s="240">
        <v>0.0</v>
      </c>
      <c r="K593" s="240">
        <v>0.0</v>
      </c>
      <c r="L593" s="240">
        <v>0.0</v>
      </c>
      <c r="M593" s="237"/>
      <c r="N593" s="240">
        <v>20.0</v>
      </c>
    </row>
    <row r="594">
      <c r="A594" s="215">
        <v>590.0</v>
      </c>
      <c r="B594" s="237"/>
      <c r="C594" s="238">
        <v>3041.0</v>
      </c>
      <c r="D594" s="238">
        <v>9099.0</v>
      </c>
      <c r="E594" s="238" t="s">
        <v>4393</v>
      </c>
      <c r="F594" s="238" t="s">
        <v>3463</v>
      </c>
      <c r="G594" s="239" t="s">
        <v>3333</v>
      </c>
      <c r="H594" s="240">
        <v>20.0</v>
      </c>
      <c r="I594" s="240">
        <v>0.0</v>
      </c>
      <c r="J594" s="240">
        <v>0.0</v>
      </c>
      <c r="K594" s="240">
        <v>0.0</v>
      </c>
      <c r="L594" s="240">
        <v>0.0</v>
      </c>
      <c r="M594" s="237"/>
      <c r="N594" s="240">
        <v>20.0</v>
      </c>
    </row>
    <row r="595">
      <c r="A595" s="215">
        <v>591.0</v>
      </c>
      <c r="B595" s="237"/>
      <c r="C595" s="238">
        <v>3041.0</v>
      </c>
      <c r="D595" s="238">
        <v>9129.0</v>
      </c>
      <c r="E595" s="238" t="s">
        <v>4393</v>
      </c>
      <c r="F595" s="238" t="s">
        <v>4245</v>
      </c>
      <c r="G595" s="239" t="s">
        <v>3333</v>
      </c>
      <c r="H595" s="240">
        <v>15.0</v>
      </c>
      <c r="I595" s="240">
        <v>0.0</v>
      </c>
      <c r="J595" s="240">
        <v>0.0</v>
      </c>
      <c r="K595" s="240">
        <v>0.0</v>
      </c>
      <c r="L595" s="240">
        <v>0.0</v>
      </c>
      <c r="M595" s="237"/>
      <c r="N595" s="240">
        <v>15.0</v>
      </c>
    </row>
    <row r="596">
      <c r="A596" s="215">
        <v>592.0</v>
      </c>
      <c r="B596" s="237"/>
      <c r="C596" s="238">
        <v>3041.0</v>
      </c>
      <c r="D596" s="238">
        <v>9752.0</v>
      </c>
      <c r="E596" s="238" t="s">
        <v>4393</v>
      </c>
      <c r="F596" s="238" t="s">
        <v>3775</v>
      </c>
      <c r="G596" s="239" t="s">
        <v>3333</v>
      </c>
      <c r="H596" s="240">
        <v>12.0</v>
      </c>
      <c r="I596" s="240">
        <v>0.0</v>
      </c>
      <c r="J596" s="240">
        <v>0.0</v>
      </c>
      <c r="K596" s="240">
        <v>0.0</v>
      </c>
      <c r="L596" s="240">
        <v>0.0</v>
      </c>
      <c r="M596" s="241"/>
      <c r="N596" s="240">
        <v>12.0</v>
      </c>
    </row>
    <row r="597">
      <c r="A597" s="215">
        <v>593.0</v>
      </c>
      <c r="B597" s="237"/>
      <c r="C597" s="238">
        <v>3041.0</v>
      </c>
      <c r="D597" s="238" t="s">
        <v>4396</v>
      </c>
      <c r="E597" s="238" t="s">
        <v>4393</v>
      </c>
      <c r="F597" s="238" t="s">
        <v>4397</v>
      </c>
      <c r="G597" s="239" t="s">
        <v>3333</v>
      </c>
      <c r="H597" s="240">
        <v>30.0</v>
      </c>
      <c r="I597" s="240">
        <v>1.0</v>
      </c>
      <c r="J597" s="240">
        <v>0.0</v>
      </c>
      <c r="K597" s="240">
        <v>0.0</v>
      </c>
      <c r="L597" s="240">
        <v>0.0</v>
      </c>
      <c r="M597" s="240" t="s">
        <v>3961</v>
      </c>
      <c r="N597" s="240">
        <v>29.0</v>
      </c>
    </row>
    <row r="598">
      <c r="A598" s="215">
        <v>594.0</v>
      </c>
      <c r="B598" s="237"/>
      <c r="C598" s="238">
        <v>3042.0</v>
      </c>
      <c r="D598" s="238">
        <v>8323.0</v>
      </c>
      <c r="E598" s="238" t="s">
        <v>4400</v>
      </c>
      <c r="F598" s="238" t="s">
        <v>4401</v>
      </c>
      <c r="G598" s="239" t="s">
        <v>3333</v>
      </c>
      <c r="H598" s="240">
        <v>39.0</v>
      </c>
      <c r="I598" s="240">
        <v>15.0</v>
      </c>
      <c r="J598" s="240">
        <v>0.0</v>
      </c>
      <c r="K598" s="240">
        <v>0.0</v>
      </c>
      <c r="L598" s="240">
        <v>0.0</v>
      </c>
      <c r="M598" s="240" t="s">
        <v>4360</v>
      </c>
      <c r="N598" s="240">
        <v>24.0</v>
      </c>
    </row>
    <row r="599">
      <c r="A599" s="215">
        <v>595.0</v>
      </c>
      <c r="B599" s="237"/>
      <c r="C599" s="238">
        <v>3042.0</v>
      </c>
      <c r="D599" s="238">
        <v>8374.0</v>
      </c>
      <c r="E599" s="238" t="s">
        <v>4400</v>
      </c>
      <c r="F599" s="238" t="s">
        <v>4405</v>
      </c>
      <c r="G599" s="239" t="s">
        <v>3333</v>
      </c>
      <c r="H599" s="240">
        <v>60.0</v>
      </c>
      <c r="I599" s="240">
        <v>54.0</v>
      </c>
      <c r="J599" s="240">
        <v>0.0</v>
      </c>
      <c r="K599" s="240">
        <v>0.0</v>
      </c>
      <c r="L599" s="240">
        <v>0.0</v>
      </c>
      <c r="M599" s="240" t="s">
        <v>3771</v>
      </c>
      <c r="N599" s="240">
        <v>6.0</v>
      </c>
    </row>
    <row r="600">
      <c r="A600" s="215">
        <v>596.0</v>
      </c>
      <c r="B600" s="237"/>
      <c r="C600" s="238">
        <v>3042.0</v>
      </c>
      <c r="D600" s="238">
        <v>9082.0</v>
      </c>
      <c r="E600" s="238" t="s">
        <v>4400</v>
      </c>
      <c r="F600" s="238" t="s">
        <v>4408</v>
      </c>
      <c r="G600" s="239" t="s">
        <v>3333</v>
      </c>
      <c r="H600" s="240">
        <v>25.0</v>
      </c>
      <c r="I600" s="240">
        <v>0.0</v>
      </c>
      <c r="J600" s="240">
        <v>0.0</v>
      </c>
      <c r="K600" s="240">
        <v>0.0</v>
      </c>
      <c r="L600" s="240">
        <v>0.0</v>
      </c>
      <c r="M600" s="241"/>
      <c r="N600" s="240">
        <v>25.0</v>
      </c>
    </row>
    <row r="601">
      <c r="A601" s="215">
        <v>597.0</v>
      </c>
      <c r="B601" s="237"/>
      <c r="C601" s="238">
        <v>3042.0</v>
      </c>
      <c r="D601" s="238">
        <v>9084.0</v>
      </c>
      <c r="E601" s="238" t="s">
        <v>4400</v>
      </c>
      <c r="F601" s="238" t="s">
        <v>4410</v>
      </c>
      <c r="G601" s="239" t="s">
        <v>3333</v>
      </c>
      <c r="H601" s="240">
        <v>90.0</v>
      </c>
      <c r="I601" s="240">
        <v>31.0</v>
      </c>
      <c r="J601" s="240">
        <v>0.0</v>
      </c>
      <c r="K601" s="240">
        <v>1.0</v>
      </c>
      <c r="L601" s="240">
        <v>0.0</v>
      </c>
      <c r="M601" s="240" t="s">
        <v>3407</v>
      </c>
      <c r="N601" s="240">
        <v>58.0</v>
      </c>
    </row>
    <row r="602">
      <c r="A602" s="215">
        <v>598.0</v>
      </c>
      <c r="B602" s="237"/>
      <c r="C602" s="238">
        <v>3042.0</v>
      </c>
      <c r="D602" s="238">
        <v>9563.0</v>
      </c>
      <c r="E602" s="238" t="s">
        <v>4400</v>
      </c>
      <c r="F602" s="238" t="s">
        <v>4351</v>
      </c>
      <c r="G602" s="239" t="s">
        <v>3333</v>
      </c>
      <c r="H602" s="240">
        <v>51.0</v>
      </c>
      <c r="I602" s="240">
        <v>24.0</v>
      </c>
      <c r="J602" s="240">
        <v>0.0</v>
      </c>
      <c r="K602" s="240">
        <v>0.0</v>
      </c>
      <c r="L602" s="240">
        <v>0.0</v>
      </c>
      <c r="M602" s="240" t="s">
        <v>3345</v>
      </c>
      <c r="N602" s="240">
        <v>27.0</v>
      </c>
    </row>
    <row r="603">
      <c r="A603" s="215">
        <v>599.0</v>
      </c>
      <c r="B603" s="237"/>
      <c r="C603" s="238">
        <v>3042.0</v>
      </c>
      <c r="D603" s="238">
        <v>9853.0</v>
      </c>
      <c r="E603" s="238" t="s">
        <v>4400</v>
      </c>
      <c r="F603" s="238" t="s">
        <v>3350</v>
      </c>
      <c r="G603" s="239" t="s">
        <v>3333</v>
      </c>
      <c r="H603" s="240">
        <v>75.0</v>
      </c>
      <c r="I603" s="240">
        <v>75.0</v>
      </c>
      <c r="J603" s="240">
        <v>0.0</v>
      </c>
      <c r="K603" s="240">
        <v>0.0</v>
      </c>
      <c r="L603" s="240">
        <v>0.0</v>
      </c>
      <c r="M603" s="240" t="s">
        <v>3512</v>
      </c>
      <c r="N603" s="240">
        <v>0.0</v>
      </c>
    </row>
    <row r="604">
      <c r="A604" s="215">
        <v>600.0</v>
      </c>
      <c r="B604" s="237"/>
      <c r="C604" s="238">
        <v>3042.0</v>
      </c>
      <c r="D604" s="238">
        <v>9898.0</v>
      </c>
      <c r="E604" s="238" t="s">
        <v>4400</v>
      </c>
      <c r="F604" s="238" t="s">
        <v>4413</v>
      </c>
      <c r="G604" s="239" t="s">
        <v>3333</v>
      </c>
      <c r="H604" s="240">
        <v>56.0</v>
      </c>
      <c r="I604" s="240">
        <v>42.0</v>
      </c>
      <c r="J604" s="240">
        <v>0.0</v>
      </c>
      <c r="K604" s="240">
        <v>1.0</v>
      </c>
      <c r="L604" s="240">
        <v>0.0</v>
      </c>
      <c r="M604" s="240" t="s">
        <v>3526</v>
      </c>
      <c r="N604" s="240">
        <v>13.0</v>
      </c>
    </row>
    <row r="605">
      <c r="A605" s="215">
        <v>601.0</v>
      </c>
      <c r="B605" s="237"/>
      <c r="C605" s="238">
        <v>3042.0</v>
      </c>
      <c r="D605" s="238">
        <v>9933.0</v>
      </c>
      <c r="E605" s="238" t="s">
        <v>4400</v>
      </c>
      <c r="F605" s="238" t="s">
        <v>4414</v>
      </c>
      <c r="G605" s="239" t="s">
        <v>3333</v>
      </c>
      <c r="H605" s="240">
        <v>30.0</v>
      </c>
      <c r="I605" s="240">
        <v>3.0</v>
      </c>
      <c r="J605" s="240">
        <v>0.0</v>
      </c>
      <c r="K605" s="240">
        <v>0.0</v>
      </c>
      <c r="L605" s="240">
        <v>0.0</v>
      </c>
      <c r="M605" s="240" t="s">
        <v>4117</v>
      </c>
      <c r="N605" s="240">
        <v>27.0</v>
      </c>
    </row>
    <row r="606">
      <c r="A606" s="215">
        <v>602.0</v>
      </c>
      <c r="B606" s="237"/>
      <c r="C606" s="238">
        <v>3042.0</v>
      </c>
      <c r="D606" s="238" t="s">
        <v>4415</v>
      </c>
      <c r="E606" s="238" t="s">
        <v>4400</v>
      </c>
      <c r="F606" s="238" t="s">
        <v>4416</v>
      </c>
      <c r="G606" s="239" t="s">
        <v>3333</v>
      </c>
      <c r="H606" s="240">
        <v>25.0</v>
      </c>
      <c r="I606" s="240">
        <v>1.0</v>
      </c>
      <c r="J606" s="240">
        <v>0.0</v>
      </c>
      <c r="K606" s="240">
        <v>0.0</v>
      </c>
      <c r="L606" s="240">
        <v>0.0</v>
      </c>
      <c r="M606" s="240" t="s">
        <v>3507</v>
      </c>
      <c r="N606" s="240">
        <v>24.0</v>
      </c>
    </row>
    <row r="607">
      <c r="A607" s="215">
        <v>603.0</v>
      </c>
      <c r="B607" s="237"/>
      <c r="C607" s="238">
        <v>3042.0</v>
      </c>
      <c r="D607" s="238" t="s">
        <v>4417</v>
      </c>
      <c r="E607" s="238" t="s">
        <v>4400</v>
      </c>
      <c r="F607" s="238" t="s">
        <v>4418</v>
      </c>
      <c r="G607" s="239" t="s">
        <v>3333</v>
      </c>
      <c r="H607" s="240">
        <v>25.0</v>
      </c>
      <c r="I607" s="240">
        <v>1.0</v>
      </c>
      <c r="J607" s="240">
        <v>0.0</v>
      </c>
      <c r="K607" s="240">
        <v>0.0</v>
      </c>
      <c r="L607" s="240">
        <v>0.0</v>
      </c>
      <c r="M607" s="241"/>
      <c r="N607" s="240">
        <v>24.0</v>
      </c>
    </row>
    <row r="608">
      <c r="A608" s="215">
        <v>604.0</v>
      </c>
      <c r="B608" s="237"/>
      <c r="C608" s="238">
        <v>3043.0</v>
      </c>
      <c r="D608" s="238">
        <v>9056.0</v>
      </c>
      <c r="E608" s="238" t="s">
        <v>4419</v>
      </c>
      <c r="F608" s="238" t="s">
        <v>3939</v>
      </c>
      <c r="G608" s="239" t="s">
        <v>3333</v>
      </c>
      <c r="H608" s="240">
        <v>60.0</v>
      </c>
      <c r="I608" s="240">
        <v>10.0</v>
      </c>
      <c r="J608" s="240">
        <v>0.0</v>
      </c>
      <c r="K608" s="240">
        <v>0.0</v>
      </c>
      <c r="L608" s="240">
        <v>0.0</v>
      </c>
      <c r="M608" s="240" t="s">
        <v>3804</v>
      </c>
      <c r="N608" s="240">
        <v>50.0</v>
      </c>
    </row>
    <row r="609">
      <c r="A609" s="215">
        <v>605.0</v>
      </c>
      <c r="B609" s="237"/>
      <c r="C609" s="238">
        <v>3043.0</v>
      </c>
      <c r="D609" s="238">
        <v>9089.0</v>
      </c>
      <c r="E609" s="238" t="s">
        <v>4419</v>
      </c>
      <c r="F609" s="238" t="s">
        <v>3456</v>
      </c>
      <c r="G609" s="239" t="s">
        <v>3333</v>
      </c>
      <c r="H609" s="240">
        <v>30.0</v>
      </c>
      <c r="I609" s="240">
        <v>1.0</v>
      </c>
      <c r="J609" s="240">
        <v>0.0</v>
      </c>
      <c r="K609" s="240">
        <v>0.0</v>
      </c>
      <c r="L609" s="240">
        <v>0.0</v>
      </c>
      <c r="M609" s="240" t="s">
        <v>3410</v>
      </c>
      <c r="N609" s="240">
        <v>29.0</v>
      </c>
    </row>
    <row r="610">
      <c r="A610" s="215">
        <v>606.0</v>
      </c>
      <c r="B610" s="237"/>
      <c r="C610" s="238">
        <v>3043.0</v>
      </c>
      <c r="D610" s="238">
        <v>9104.0</v>
      </c>
      <c r="E610" s="238" t="s">
        <v>4419</v>
      </c>
      <c r="F610" s="238" t="s">
        <v>3466</v>
      </c>
      <c r="G610" s="239" t="s">
        <v>3333</v>
      </c>
      <c r="H610" s="240">
        <v>15.0</v>
      </c>
      <c r="I610" s="240">
        <v>1.0</v>
      </c>
      <c r="J610" s="240">
        <v>0.0</v>
      </c>
      <c r="K610" s="240">
        <v>0.0</v>
      </c>
      <c r="L610" s="240">
        <v>0.0</v>
      </c>
      <c r="M610" s="240" t="s">
        <v>3930</v>
      </c>
      <c r="N610" s="240">
        <v>14.0</v>
      </c>
    </row>
    <row r="611">
      <c r="A611" s="215">
        <v>607.0</v>
      </c>
      <c r="B611" s="237"/>
      <c r="C611" s="238">
        <v>3043.0</v>
      </c>
      <c r="D611" s="238">
        <v>9112.0</v>
      </c>
      <c r="E611" s="238" t="s">
        <v>4419</v>
      </c>
      <c r="F611" s="238" t="s">
        <v>3522</v>
      </c>
      <c r="G611" s="239" t="s">
        <v>3333</v>
      </c>
      <c r="H611" s="240">
        <v>42.0</v>
      </c>
      <c r="I611" s="240">
        <v>1.0</v>
      </c>
      <c r="J611" s="240">
        <v>0.0</v>
      </c>
      <c r="K611" s="240">
        <v>0.0</v>
      </c>
      <c r="L611" s="240">
        <v>0.0</v>
      </c>
      <c r="M611" s="241"/>
      <c r="N611" s="240">
        <v>41.0</v>
      </c>
    </row>
    <row r="612">
      <c r="A612" s="215">
        <v>608.0</v>
      </c>
      <c r="B612" s="237"/>
      <c r="C612" s="238">
        <v>3043.0</v>
      </c>
      <c r="D612" s="238">
        <v>9119.0</v>
      </c>
      <c r="E612" s="238" t="s">
        <v>4419</v>
      </c>
      <c r="F612" s="238" t="s">
        <v>3417</v>
      </c>
      <c r="G612" s="239" t="s">
        <v>3333</v>
      </c>
      <c r="H612" s="240">
        <v>108.0</v>
      </c>
      <c r="I612" s="240">
        <v>10.0</v>
      </c>
      <c r="J612" s="240">
        <v>0.0</v>
      </c>
      <c r="K612" s="240">
        <v>0.0</v>
      </c>
      <c r="L612" s="240">
        <v>0.0</v>
      </c>
      <c r="M612" s="240" t="s">
        <v>3500</v>
      </c>
      <c r="N612" s="240">
        <v>98.0</v>
      </c>
    </row>
    <row r="613">
      <c r="A613" s="215">
        <v>609.0</v>
      </c>
      <c r="B613" s="237"/>
      <c r="C613" s="238">
        <v>3043.0</v>
      </c>
      <c r="D613" s="238">
        <v>9123.0</v>
      </c>
      <c r="E613" s="238" t="s">
        <v>4419</v>
      </c>
      <c r="F613" s="238" t="s">
        <v>3471</v>
      </c>
      <c r="G613" s="239" t="s">
        <v>3333</v>
      </c>
      <c r="H613" s="240">
        <v>40.0</v>
      </c>
      <c r="I613" s="240">
        <v>1.0</v>
      </c>
      <c r="J613" s="240">
        <v>0.0</v>
      </c>
      <c r="K613" s="240">
        <v>0.0</v>
      </c>
      <c r="L613" s="240">
        <v>0.0</v>
      </c>
      <c r="M613" s="237"/>
      <c r="N613" s="240">
        <v>39.0</v>
      </c>
    </row>
    <row r="614">
      <c r="A614" s="215">
        <v>610.0</v>
      </c>
      <c r="B614" s="237"/>
      <c r="C614" s="238">
        <v>3043.0</v>
      </c>
      <c r="D614" s="238">
        <v>9125.0</v>
      </c>
      <c r="E614" s="238" t="s">
        <v>4419</v>
      </c>
      <c r="F614" s="238" t="s">
        <v>3475</v>
      </c>
      <c r="G614" s="239" t="s">
        <v>3333</v>
      </c>
      <c r="H614" s="240">
        <v>20.0</v>
      </c>
      <c r="I614" s="240">
        <v>0.0</v>
      </c>
      <c r="J614" s="240">
        <v>0.0</v>
      </c>
      <c r="K614" s="240">
        <v>0.0</v>
      </c>
      <c r="L614" s="240">
        <v>0.0</v>
      </c>
      <c r="M614" s="241"/>
      <c r="N614" s="240">
        <v>20.0</v>
      </c>
    </row>
    <row r="615">
      <c r="A615" s="215">
        <v>611.0</v>
      </c>
      <c r="B615" s="237"/>
      <c r="C615" s="238">
        <v>3043.0</v>
      </c>
      <c r="D615" s="238">
        <v>9147.0</v>
      </c>
      <c r="E615" s="238" t="s">
        <v>4419</v>
      </c>
      <c r="F615" s="238" t="s">
        <v>3381</v>
      </c>
      <c r="G615" s="239" t="s">
        <v>3333</v>
      </c>
      <c r="H615" s="240">
        <v>111.0</v>
      </c>
      <c r="I615" s="240">
        <v>95.0</v>
      </c>
      <c r="J615" s="240">
        <v>0.0</v>
      </c>
      <c r="K615" s="240">
        <v>1.0</v>
      </c>
      <c r="L615" s="240">
        <v>0.0</v>
      </c>
      <c r="M615" s="240" t="s">
        <v>4422</v>
      </c>
      <c r="N615" s="240">
        <v>15.0</v>
      </c>
    </row>
    <row r="616">
      <c r="A616" s="215">
        <v>612.0</v>
      </c>
      <c r="B616" s="237"/>
      <c r="C616" s="238">
        <v>3043.0</v>
      </c>
      <c r="D616" s="238">
        <v>9186.0</v>
      </c>
      <c r="E616" s="238" t="s">
        <v>4419</v>
      </c>
      <c r="F616" s="238" t="s">
        <v>4423</v>
      </c>
      <c r="G616" s="239" t="s">
        <v>3333</v>
      </c>
      <c r="H616" s="240">
        <v>64.0</v>
      </c>
      <c r="I616" s="240">
        <v>0.0</v>
      </c>
      <c r="J616" s="240">
        <v>0.0</v>
      </c>
      <c r="K616" s="240">
        <v>0.0</v>
      </c>
      <c r="L616" s="240">
        <v>0.0</v>
      </c>
      <c r="M616" s="237"/>
      <c r="N616" s="240">
        <v>64.0</v>
      </c>
    </row>
    <row r="617">
      <c r="A617" s="215">
        <v>613.0</v>
      </c>
      <c r="B617" s="237"/>
      <c r="C617" s="238">
        <v>3043.0</v>
      </c>
      <c r="D617" s="238">
        <v>9910.0</v>
      </c>
      <c r="E617" s="238" t="s">
        <v>4419</v>
      </c>
      <c r="F617" s="238" t="s">
        <v>3780</v>
      </c>
      <c r="G617" s="239" t="s">
        <v>3333</v>
      </c>
      <c r="H617" s="240">
        <v>84.0</v>
      </c>
      <c r="I617" s="240">
        <v>0.0</v>
      </c>
      <c r="J617" s="240">
        <v>0.0</v>
      </c>
      <c r="K617" s="240">
        <v>0.0</v>
      </c>
      <c r="L617" s="240">
        <v>0.0</v>
      </c>
      <c r="M617" s="241"/>
      <c r="N617" s="240">
        <v>84.0</v>
      </c>
    </row>
    <row r="618">
      <c r="A618" s="215">
        <v>614.0</v>
      </c>
      <c r="B618" s="237"/>
      <c r="C618" s="238">
        <v>3043.0</v>
      </c>
      <c r="D618" s="238" t="s">
        <v>4424</v>
      </c>
      <c r="E618" s="238" t="s">
        <v>4419</v>
      </c>
      <c r="F618" s="238" t="s">
        <v>4425</v>
      </c>
      <c r="G618" s="239" t="s">
        <v>3333</v>
      </c>
      <c r="H618" s="240">
        <v>50.0</v>
      </c>
      <c r="I618" s="240">
        <v>12.0</v>
      </c>
      <c r="J618" s="240">
        <v>0.0</v>
      </c>
      <c r="K618" s="240">
        <v>1.0</v>
      </c>
      <c r="L618" s="240">
        <v>0.0</v>
      </c>
      <c r="M618" s="240" t="s">
        <v>3541</v>
      </c>
      <c r="N618" s="240">
        <v>37.0</v>
      </c>
    </row>
    <row r="619">
      <c r="A619" s="215">
        <v>615.0</v>
      </c>
      <c r="B619" s="237"/>
      <c r="C619" s="238">
        <v>3043.0</v>
      </c>
      <c r="D619" s="238" t="s">
        <v>4426</v>
      </c>
      <c r="E619" s="238" t="s">
        <v>4419</v>
      </c>
      <c r="F619" s="238" t="s">
        <v>4427</v>
      </c>
      <c r="G619" s="239" t="s">
        <v>3333</v>
      </c>
      <c r="H619" s="240">
        <v>40.0</v>
      </c>
      <c r="I619" s="240">
        <v>9.0</v>
      </c>
      <c r="J619" s="240">
        <v>0.0</v>
      </c>
      <c r="K619" s="240">
        <v>0.0</v>
      </c>
      <c r="L619" s="240">
        <v>0.0</v>
      </c>
      <c r="M619" s="240" t="s">
        <v>4188</v>
      </c>
      <c r="N619" s="240">
        <v>31.0</v>
      </c>
    </row>
    <row r="620">
      <c r="A620" s="215">
        <v>616.0</v>
      </c>
      <c r="B620" s="237"/>
      <c r="C620" s="238">
        <v>3045.0</v>
      </c>
      <c r="D620" s="238">
        <v>8309.0</v>
      </c>
      <c r="E620" s="238" t="s">
        <v>4428</v>
      </c>
      <c r="F620" s="238" t="s">
        <v>4429</v>
      </c>
      <c r="G620" s="239" t="s">
        <v>3333</v>
      </c>
      <c r="H620" s="240">
        <v>56.0</v>
      </c>
      <c r="I620" s="240">
        <v>18.0</v>
      </c>
      <c r="J620" s="240">
        <v>0.0</v>
      </c>
      <c r="K620" s="240">
        <v>0.0</v>
      </c>
      <c r="L620" s="240">
        <v>0.0</v>
      </c>
      <c r="M620" s="240" t="s">
        <v>4127</v>
      </c>
      <c r="N620" s="240">
        <v>38.0</v>
      </c>
    </row>
    <row r="621">
      <c r="A621" s="215">
        <v>617.0</v>
      </c>
      <c r="B621" s="237"/>
      <c r="C621" s="238">
        <v>3045.0</v>
      </c>
      <c r="D621" s="238">
        <v>9165.0</v>
      </c>
      <c r="E621" s="238" t="s">
        <v>4428</v>
      </c>
      <c r="F621" s="238" t="s">
        <v>4430</v>
      </c>
      <c r="G621" s="239" t="s">
        <v>3333</v>
      </c>
      <c r="H621" s="240">
        <v>65.0</v>
      </c>
      <c r="I621" s="240">
        <v>14.0</v>
      </c>
      <c r="J621" s="240">
        <v>0.0</v>
      </c>
      <c r="K621" s="240">
        <v>1.0</v>
      </c>
      <c r="L621" s="240">
        <v>0.0</v>
      </c>
      <c r="M621" s="240" t="s">
        <v>3419</v>
      </c>
      <c r="N621" s="240">
        <v>50.0</v>
      </c>
    </row>
    <row r="622">
      <c r="A622" s="215">
        <v>618.0</v>
      </c>
      <c r="B622" s="237"/>
      <c r="C622" s="238">
        <v>3045.0</v>
      </c>
      <c r="D622" s="238">
        <v>9188.0</v>
      </c>
      <c r="E622" s="238" t="s">
        <v>4428</v>
      </c>
      <c r="F622" s="238" t="s">
        <v>4432</v>
      </c>
      <c r="G622" s="239" t="s">
        <v>3333</v>
      </c>
      <c r="H622" s="240">
        <v>42.0</v>
      </c>
      <c r="I622" s="240">
        <v>0.0</v>
      </c>
      <c r="J622" s="240">
        <v>0.0</v>
      </c>
      <c r="K622" s="240">
        <v>0.0</v>
      </c>
      <c r="L622" s="240">
        <v>0.0</v>
      </c>
      <c r="M622" s="241"/>
      <c r="N622" s="240">
        <v>42.0</v>
      </c>
    </row>
    <row r="623">
      <c r="A623" s="215">
        <v>619.0</v>
      </c>
      <c r="B623" s="237"/>
      <c r="C623" s="238">
        <v>3045.0</v>
      </c>
      <c r="D623" s="238">
        <v>9205.0</v>
      </c>
      <c r="E623" s="238" t="s">
        <v>4428</v>
      </c>
      <c r="F623" s="238" t="s">
        <v>3595</v>
      </c>
      <c r="G623" s="239" t="s">
        <v>3333</v>
      </c>
      <c r="H623" s="240">
        <v>40.0</v>
      </c>
      <c r="I623" s="240">
        <v>40.0</v>
      </c>
      <c r="J623" s="240">
        <v>0.0</v>
      </c>
      <c r="K623" s="240">
        <v>0.0</v>
      </c>
      <c r="L623" s="240">
        <v>0.0</v>
      </c>
      <c r="M623" s="240" t="s">
        <v>3336</v>
      </c>
      <c r="N623" s="240">
        <v>0.0</v>
      </c>
    </row>
    <row r="624">
      <c r="A624" s="215">
        <v>620.0</v>
      </c>
      <c r="B624" s="237"/>
      <c r="C624" s="238">
        <v>3045.0</v>
      </c>
      <c r="D624" s="238">
        <v>9213.0</v>
      </c>
      <c r="E624" s="238" t="s">
        <v>4428</v>
      </c>
      <c r="F624" s="238" t="s">
        <v>4433</v>
      </c>
      <c r="G624" s="239" t="s">
        <v>3333</v>
      </c>
      <c r="H624" s="240">
        <v>51.0</v>
      </c>
      <c r="I624" s="240">
        <v>19.0</v>
      </c>
      <c r="J624" s="240">
        <v>0.0</v>
      </c>
      <c r="K624" s="240">
        <v>0.0</v>
      </c>
      <c r="L624" s="240">
        <v>0.0</v>
      </c>
      <c r="M624" s="240" t="s">
        <v>3954</v>
      </c>
      <c r="N624" s="240">
        <v>32.0</v>
      </c>
    </row>
    <row r="625">
      <c r="A625" s="215">
        <v>621.0</v>
      </c>
      <c r="B625" s="237"/>
      <c r="C625" s="238">
        <v>3045.0</v>
      </c>
      <c r="D625" s="238">
        <v>9242.0</v>
      </c>
      <c r="E625" s="238" t="s">
        <v>4428</v>
      </c>
      <c r="F625" s="238" t="s">
        <v>4355</v>
      </c>
      <c r="G625" s="239" t="s">
        <v>3333</v>
      </c>
      <c r="H625" s="240">
        <v>59.0</v>
      </c>
      <c r="I625" s="240">
        <v>59.0</v>
      </c>
      <c r="J625" s="240">
        <v>0.0</v>
      </c>
      <c r="K625" s="240">
        <v>0.0</v>
      </c>
      <c r="L625" s="240">
        <v>0.0</v>
      </c>
      <c r="M625" s="240" t="s">
        <v>3449</v>
      </c>
      <c r="N625" s="240">
        <v>0.0</v>
      </c>
    </row>
    <row r="626">
      <c r="A626" s="215">
        <v>622.0</v>
      </c>
      <c r="B626" s="237"/>
      <c r="C626" s="238">
        <v>3045.0</v>
      </c>
      <c r="D626" s="238">
        <v>9254.0</v>
      </c>
      <c r="E626" s="238" t="s">
        <v>4428</v>
      </c>
      <c r="F626" s="238" t="s">
        <v>3383</v>
      </c>
      <c r="G626" s="239" t="s">
        <v>3333</v>
      </c>
      <c r="H626" s="240">
        <v>45.0</v>
      </c>
      <c r="I626" s="240">
        <v>10.0</v>
      </c>
      <c r="J626" s="240">
        <v>0.0</v>
      </c>
      <c r="K626" s="240">
        <v>0.0</v>
      </c>
      <c r="L626" s="240">
        <v>0.0</v>
      </c>
      <c r="M626" s="240" t="s">
        <v>4131</v>
      </c>
      <c r="N626" s="240">
        <v>35.0</v>
      </c>
    </row>
    <row r="627">
      <c r="A627" s="215">
        <v>623.0</v>
      </c>
      <c r="B627" s="237"/>
      <c r="C627" s="238">
        <v>3045.0</v>
      </c>
      <c r="D627" s="238">
        <v>9773.0</v>
      </c>
      <c r="E627" s="238" t="s">
        <v>4428</v>
      </c>
      <c r="F627" s="238" t="s">
        <v>3735</v>
      </c>
      <c r="G627" s="239" t="s">
        <v>3333</v>
      </c>
      <c r="H627" s="240">
        <v>30.0</v>
      </c>
      <c r="I627" s="240">
        <v>18.0</v>
      </c>
      <c r="J627" s="240">
        <v>0.0</v>
      </c>
      <c r="K627" s="240">
        <v>0.0</v>
      </c>
      <c r="L627" s="240">
        <v>0.0</v>
      </c>
      <c r="M627" s="240" t="s">
        <v>4203</v>
      </c>
      <c r="N627" s="240">
        <v>12.0</v>
      </c>
    </row>
    <row r="628">
      <c r="A628" s="215">
        <v>624.0</v>
      </c>
      <c r="B628" s="237"/>
      <c r="C628" s="238">
        <v>3046.0</v>
      </c>
      <c r="D628" s="238">
        <v>9076.0</v>
      </c>
      <c r="E628" s="238" t="s">
        <v>4438</v>
      </c>
      <c r="F628" s="238" t="s">
        <v>4161</v>
      </c>
      <c r="G628" s="239" t="s">
        <v>3333</v>
      </c>
      <c r="H628" s="240">
        <v>20.0</v>
      </c>
      <c r="I628" s="240">
        <v>11.0</v>
      </c>
      <c r="J628" s="240">
        <v>0.0</v>
      </c>
      <c r="K628" s="240">
        <v>0.0</v>
      </c>
      <c r="L628" s="240">
        <v>0.0</v>
      </c>
      <c r="M628" s="240" t="s">
        <v>3771</v>
      </c>
      <c r="N628" s="240">
        <v>9.0</v>
      </c>
    </row>
    <row r="629">
      <c r="A629" s="215">
        <v>625.0</v>
      </c>
      <c r="B629" s="237"/>
      <c r="C629" s="238">
        <v>3046.0</v>
      </c>
      <c r="D629" s="238" t="s">
        <v>4441</v>
      </c>
      <c r="E629" s="238" t="s">
        <v>4438</v>
      </c>
      <c r="F629" s="238" t="s">
        <v>4442</v>
      </c>
      <c r="G629" s="239" t="s">
        <v>3333</v>
      </c>
      <c r="H629" s="240">
        <v>20.0</v>
      </c>
      <c r="I629" s="240">
        <v>3.0</v>
      </c>
      <c r="J629" s="240">
        <v>0.0</v>
      </c>
      <c r="K629" s="240">
        <v>0.0</v>
      </c>
      <c r="L629" s="240">
        <v>0.0</v>
      </c>
      <c r="M629" s="240" t="s">
        <v>3666</v>
      </c>
      <c r="N629" s="240">
        <v>17.0</v>
      </c>
    </row>
    <row r="630">
      <c r="A630" s="215">
        <v>626.0</v>
      </c>
      <c r="B630" s="237"/>
      <c r="C630" s="238">
        <v>3046.0</v>
      </c>
      <c r="D630" s="238" t="s">
        <v>4444</v>
      </c>
      <c r="E630" s="238" t="s">
        <v>4438</v>
      </c>
      <c r="F630" s="238" t="s">
        <v>4445</v>
      </c>
      <c r="G630" s="239" t="s">
        <v>3333</v>
      </c>
      <c r="H630" s="240">
        <v>20.0</v>
      </c>
      <c r="I630" s="240">
        <v>2.0</v>
      </c>
      <c r="J630" s="240">
        <v>0.0</v>
      </c>
      <c r="K630" s="240">
        <v>0.0</v>
      </c>
      <c r="L630" s="240">
        <v>0.0</v>
      </c>
      <c r="M630" s="240" t="s">
        <v>4446</v>
      </c>
      <c r="N630" s="240">
        <v>18.0</v>
      </c>
    </row>
    <row r="631">
      <c r="A631" s="215">
        <v>627.0</v>
      </c>
      <c r="B631" s="237"/>
      <c r="C631" s="238">
        <v>3051.0</v>
      </c>
      <c r="D631" s="238">
        <v>8397.0</v>
      </c>
      <c r="E631" s="238" t="s">
        <v>4448</v>
      </c>
      <c r="F631" s="238" t="s">
        <v>4449</v>
      </c>
      <c r="G631" s="239" t="s">
        <v>3333</v>
      </c>
      <c r="H631" s="240">
        <v>20.0</v>
      </c>
      <c r="I631" s="240">
        <v>1.0</v>
      </c>
      <c r="J631" s="240">
        <v>0.0</v>
      </c>
      <c r="K631" s="240">
        <v>0.0</v>
      </c>
      <c r="L631" s="240">
        <v>0.0</v>
      </c>
      <c r="M631" s="241"/>
      <c r="N631" s="240">
        <v>19.0</v>
      </c>
    </row>
    <row r="632">
      <c r="A632" s="215">
        <v>628.0</v>
      </c>
      <c r="B632" s="237"/>
      <c r="C632" s="238">
        <v>3051.0</v>
      </c>
      <c r="D632" s="238">
        <v>9003.0</v>
      </c>
      <c r="E632" s="238" t="s">
        <v>4448</v>
      </c>
      <c r="F632" s="238" t="s">
        <v>3401</v>
      </c>
      <c r="G632" s="239" t="s">
        <v>3333</v>
      </c>
      <c r="H632" s="240">
        <v>20.0</v>
      </c>
      <c r="I632" s="240">
        <v>1.0</v>
      </c>
      <c r="J632" s="240">
        <v>0.0</v>
      </c>
      <c r="K632" s="240">
        <v>0.0</v>
      </c>
      <c r="L632" s="240">
        <v>0.0</v>
      </c>
      <c r="M632" s="240" t="s">
        <v>4451</v>
      </c>
      <c r="N632" s="240">
        <v>19.0</v>
      </c>
    </row>
    <row r="633">
      <c r="A633" s="215">
        <v>629.0</v>
      </c>
      <c r="B633" s="237"/>
      <c r="C633" s="238">
        <v>3051.0</v>
      </c>
      <c r="D633" s="238">
        <v>9085.0</v>
      </c>
      <c r="E633" s="238" t="s">
        <v>4448</v>
      </c>
      <c r="F633" s="238" t="s">
        <v>4394</v>
      </c>
      <c r="G633" s="239" t="s">
        <v>3333</v>
      </c>
      <c r="H633" s="240">
        <v>43.0</v>
      </c>
      <c r="I633" s="240">
        <v>21.0</v>
      </c>
      <c r="J633" s="240">
        <v>0.0</v>
      </c>
      <c r="K633" s="240">
        <v>3.0</v>
      </c>
      <c r="L633" s="240">
        <v>0.0</v>
      </c>
      <c r="M633" s="240" t="s">
        <v>3954</v>
      </c>
      <c r="N633" s="240">
        <v>19.0</v>
      </c>
    </row>
    <row r="634">
      <c r="A634" s="215">
        <v>630.0</v>
      </c>
      <c r="B634" s="237"/>
      <c r="C634" s="238">
        <v>3051.0</v>
      </c>
      <c r="D634" s="238" t="s">
        <v>4452</v>
      </c>
      <c r="E634" s="238" t="s">
        <v>4448</v>
      </c>
      <c r="F634" s="238" t="s">
        <v>4453</v>
      </c>
      <c r="G634" s="239" t="s">
        <v>3333</v>
      </c>
      <c r="H634" s="240">
        <v>18.0</v>
      </c>
      <c r="I634" s="240">
        <v>1.0</v>
      </c>
      <c r="J634" s="240">
        <v>0.0</v>
      </c>
      <c r="K634" s="240">
        <v>0.0</v>
      </c>
      <c r="L634" s="240">
        <v>0.0</v>
      </c>
      <c r="M634" s="240" t="s">
        <v>3763</v>
      </c>
      <c r="N634" s="240">
        <v>17.0</v>
      </c>
    </row>
    <row r="635">
      <c r="A635" s="215">
        <v>631.0</v>
      </c>
      <c r="B635" s="237"/>
      <c r="C635" s="238">
        <v>3052.0</v>
      </c>
      <c r="D635" s="238">
        <v>9238.0</v>
      </c>
      <c r="E635" s="238" t="s">
        <v>4454</v>
      </c>
      <c r="F635" s="238" t="s">
        <v>3344</v>
      </c>
      <c r="G635" s="239" t="s">
        <v>3333</v>
      </c>
      <c r="H635" s="240">
        <v>61.0</v>
      </c>
      <c r="I635" s="240">
        <v>25.0</v>
      </c>
      <c r="J635" s="240">
        <v>0.0</v>
      </c>
      <c r="K635" s="240">
        <v>0.0</v>
      </c>
      <c r="L635" s="240">
        <v>0.0</v>
      </c>
      <c r="M635" s="240" t="s">
        <v>3611</v>
      </c>
      <c r="N635" s="240">
        <v>36.0</v>
      </c>
    </row>
    <row r="636">
      <c r="A636" s="215">
        <v>632.0</v>
      </c>
      <c r="B636" s="237"/>
      <c r="C636" s="238">
        <v>3052.0</v>
      </c>
      <c r="D636" s="238">
        <v>9485.0</v>
      </c>
      <c r="E636" s="238" t="s">
        <v>4454</v>
      </c>
      <c r="F636" s="238" t="s">
        <v>4455</v>
      </c>
      <c r="G636" s="239" t="s">
        <v>3333</v>
      </c>
      <c r="H636" s="240">
        <v>35.0</v>
      </c>
      <c r="I636" s="240">
        <v>8.0</v>
      </c>
      <c r="J636" s="240">
        <v>0.0</v>
      </c>
      <c r="K636" s="240">
        <v>0.0</v>
      </c>
      <c r="L636" s="240">
        <v>0.0</v>
      </c>
      <c r="M636" s="240" t="s">
        <v>4188</v>
      </c>
      <c r="N636" s="240">
        <v>27.0</v>
      </c>
    </row>
    <row r="637">
      <c r="A637" s="215">
        <v>633.0</v>
      </c>
      <c r="B637" s="237"/>
      <c r="C637" s="238">
        <v>3052.0</v>
      </c>
      <c r="D637" s="238">
        <v>9850.0</v>
      </c>
      <c r="E637" s="238" t="s">
        <v>4454</v>
      </c>
      <c r="F637" s="238" t="s">
        <v>4456</v>
      </c>
      <c r="G637" s="239" t="s">
        <v>3333</v>
      </c>
      <c r="H637" s="240">
        <v>54.0</v>
      </c>
      <c r="I637" s="240">
        <v>37.0</v>
      </c>
      <c r="J637" s="240">
        <v>0.0</v>
      </c>
      <c r="K637" s="240">
        <v>0.0</v>
      </c>
      <c r="L637" s="240">
        <v>0.0</v>
      </c>
      <c r="M637" s="240" t="s">
        <v>4019</v>
      </c>
      <c r="N637" s="240">
        <v>17.0</v>
      </c>
    </row>
    <row r="638">
      <c r="A638" s="215">
        <v>634.0</v>
      </c>
      <c r="B638" s="237"/>
      <c r="C638" s="238">
        <v>3052.0</v>
      </c>
      <c r="D638" s="238">
        <v>9853.0</v>
      </c>
      <c r="E638" s="238" t="s">
        <v>4454</v>
      </c>
      <c r="F638" s="238" t="s">
        <v>3350</v>
      </c>
      <c r="G638" s="239" t="s">
        <v>3333</v>
      </c>
      <c r="H638" s="240">
        <v>42.0</v>
      </c>
      <c r="I638" s="240">
        <v>42.0</v>
      </c>
      <c r="J638" s="240">
        <v>0.0</v>
      </c>
      <c r="K638" s="240">
        <v>0.0</v>
      </c>
      <c r="L638" s="240">
        <v>0.0</v>
      </c>
      <c r="M638" s="240" t="s">
        <v>3447</v>
      </c>
      <c r="N638" s="240">
        <v>0.0</v>
      </c>
    </row>
    <row r="639">
      <c r="A639" s="215">
        <v>635.0</v>
      </c>
      <c r="B639" s="237"/>
      <c r="C639" s="238">
        <v>3053.0</v>
      </c>
      <c r="D639" s="238">
        <v>8463.0</v>
      </c>
      <c r="E639" s="238" t="s">
        <v>4459</v>
      </c>
      <c r="F639" s="238" t="s">
        <v>4460</v>
      </c>
      <c r="G639" s="239" t="s">
        <v>3333</v>
      </c>
      <c r="H639" s="240">
        <v>30.0</v>
      </c>
      <c r="I639" s="240">
        <v>0.0</v>
      </c>
      <c r="J639" s="240">
        <v>0.0</v>
      </c>
      <c r="K639" s="240">
        <v>0.0</v>
      </c>
      <c r="L639" s="240">
        <v>0.0</v>
      </c>
      <c r="M639" s="237"/>
      <c r="N639" s="240">
        <v>30.0</v>
      </c>
    </row>
    <row r="640">
      <c r="A640" s="215">
        <v>636.0</v>
      </c>
      <c r="B640" s="237"/>
      <c r="C640" s="238">
        <v>3053.0</v>
      </c>
      <c r="D640" s="238">
        <v>9089.0</v>
      </c>
      <c r="E640" s="238" t="s">
        <v>4459</v>
      </c>
      <c r="F640" s="238" t="s">
        <v>3456</v>
      </c>
      <c r="G640" s="239" t="s">
        <v>3333</v>
      </c>
      <c r="H640" s="240">
        <v>20.0</v>
      </c>
      <c r="I640" s="240">
        <v>0.0</v>
      </c>
      <c r="J640" s="240">
        <v>0.0</v>
      </c>
      <c r="K640" s="240">
        <v>0.0</v>
      </c>
      <c r="L640" s="240">
        <v>0.0</v>
      </c>
      <c r="M640" s="237"/>
      <c r="N640" s="240">
        <v>20.0</v>
      </c>
    </row>
    <row r="641">
      <c r="A641" s="215">
        <v>637.0</v>
      </c>
      <c r="B641" s="237"/>
      <c r="C641" s="238">
        <v>3053.0</v>
      </c>
      <c r="D641" s="238">
        <v>9104.0</v>
      </c>
      <c r="E641" s="238" t="s">
        <v>4459</v>
      </c>
      <c r="F641" s="238" t="s">
        <v>3466</v>
      </c>
      <c r="G641" s="239" t="s">
        <v>3333</v>
      </c>
      <c r="H641" s="240">
        <v>15.0</v>
      </c>
      <c r="I641" s="240">
        <v>0.0</v>
      </c>
      <c r="J641" s="240">
        <v>0.0</v>
      </c>
      <c r="K641" s="240">
        <v>0.0</v>
      </c>
      <c r="L641" s="240">
        <v>0.0</v>
      </c>
      <c r="M641" s="237"/>
      <c r="N641" s="240">
        <v>15.0</v>
      </c>
    </row>
    <row r="642">
      <c r="A642" s="215">
        <v>638.0</v>
      </c>
      <c r="B642" s="237"/>
      <c r="C642" s="238">
        <v>3053.0</v>
      </c>
      <c r="D642" s="238">
        <v>9111.0</v>
      </c>
      <c r="E642" s="238" t="s">
        <v>4459</v>
      </c>
      <c r="F642" s="238" t="s">
        <v>4461</v>
      </c>
      <c r="G642" s="239" t="s">
        <v>3333</v>
      </c>
      <c r="H642" s="240">
        <v>30.0</v>
      </c>
      <c r="I642" s="240">
        <v>1.0</v>
      </c>
      <c r="J642" s="240">
        <v>0.0</v>
      </c>
      <c r="K642" s="240">
        <v>0.0</v>
      </c>
      <c r="L642" s="240">
        <v>0.0</v>
      </c>
      <c r="M642" s="241"/>
      <c r="N642" s="240">
        <v>29.0</v>
      </c>
    </row>
    <row r="643">
      <c r="A643" s="215">
        <v>639.0</v>
      </c>
      <c r="B643" s="237"/>
      <c r="C643" s="238">
        <v>3053.0</v>
      </c>
      <c r="D643" s="238">
        <v>9119.0</v>
      </c>
      <c r="E643" s="238" t="s">
        <v>4459</v>
      </c>
      <c r="F643" s="238" t="s">
        <v>3417</v>
      </c>
      <c r="G643" s="239" t="s">
        <v>3333</v>
      </c>
      <c r="H643" s="240">
        <v>90.0</v>
      </c>
      <c r="I643" s="240">
        <v>16.0</v>
      </c>
      <c r="J643" s="240">
        <v>0.0</v>
      </c>
      <c r="K643" s="240">
        <v>0.0</v>
      </c>
      <c r="L643" s="240">
        <v>0.0</v>
      </c>
      <c r="M643" s="240" t="s">
        <v>3349</v>
      </c>
      <c r="N643" s="240">
        <v>74.0</v>
      </c>
    </row>
    <row r="644">
      <c r="A644" s="215">
        <v>640.0</v>
      </c>
      <c r="B644" s="237"/>
      <c r="C644" s="238">
        <v>3053.0</v>
      </c>
      <c r="D644" s="238" t="s">
        <v>4462</v>
      </c>
      <c r="E644" s="238" t="s">
        <v>4459</v>
      </c>
      <c r="F644" s="238" t="s">
        <v>4463</v>
      </c>
      <c r="G644" s="239" t="s">
        <v>3333</v>
      </c>
      <c r="H644" s="240">
        <v>35.0</v>
      </c>
      <c r="I644" s="240">
        <v>2.0</v>
      </c>
      <c r="J644" s="240">
        <v>0.0</v>
      </c>
      <c r="K644" s="240">
        <v>0.0</v>
      </c>
      <c r="L644" s="240">
        <v>0.0</v>
      </c>
      <c r="M644" s="237"/>
      <c r="N644" s="240">
        <v>33.0</v>
      </c>
    </row>
    <row r="645">
      <c r="A645" s="215">
        <v>641.0</v>
      </c>
      <c r="B645" s="237"/>
      <c r="C645" s="238">
        <v>3054.0</v>
      </c>
      <c r="D645" s="238">
        <v>9002.0</v>
      </c>
      <c r="E645" s="238" t="s">
        <v>4464</v>
      </c>
      <c r="F645" s="238" t="s">
        <v>3443</v>
      </c>
      <c r="G645" s="239" t="s">
        <v>3333</v>
      </c>
      <c r="H645" s="240">
        <v>25.0</v>
      </c>
      <c r="I645" s="240">
        <v>0.0</v>
      </c>
      <c r="J645" s="240">
        <v>0.0</v>
      </c>
      <c r="K645" s="240">
        <v>0.0</v>
      </c>
      <c r="L645" s="240">
        <v>0.0</v>
      </c>
      <c r="M645" s="241"/>
      <c r="N645" s="240">
        <v>25.0</v>
      </c>
    </row>
    <row r="646">
      <c r="A646" s="215">
        <v>642.0</v>
      </c>
      <c r="B646" s="237"/>
      <c r="C646" s="238">
        <v>3054.0</v>
      </c>
      <c r="D646" s="238">
        <v>9147.0</v>
      </c>
      <c r="E646" s="238" t="s">
        <v>4464</v>
      </c>
      <c r="F646" s="238" t="s">
        <v>3381</v>
      </c>
      <c r="G646" s="239" t="s">
        <v>3333</v>
      </c>
      <c r="H646" s="240">
        <v>45.0</v>
      </c>
      <c r="I646" s="240">
        <v>4.0</v>
      </c>
      <c r="J646" s="240">
        <v>0.0</v>
      </c>
      <c r="K646" s="240">
        <v>2.0</v>
      </c>
      <c r="L646" s="240">
        <v>0.0</v>
      </c>
      <c r="M646" s="240" t="s">
        <v>4465</v>
      </c>
      <c r="N646" s="240">
        <v>39.0</v>
      </c>
    </row>
    <row r="647">
      <c r="A647" s="215">
        <v>643.0</v>
      </c>
      <c r="B647" s="237"/>
      <c r="C647" s="238">
        <v>3054.0</v>
      </c>
      <c r="D647" s="238">
        <v>9242.0</v>
      </c>
      <c r="E647" s="238" t="s">
        <v>4464</v>
      </c>
      <c r="F647" s="238" t="s">
        <v>4355</v>
      </c>
      <c r="G647" s="239" t="s">
        <v>3333</v>
      </c>
      <c r="H647" s="240">
        <v>45.0</v>
      </c>
      <c r="I647" s="240">
        <v>20.0</v>
      </c>
      <c r="J647" s="240">
        <v>0.0</v>
      </c>
      <c r="K647" s="240">
        <v>0.0</v>
      </c>
      <c r="L647" s="240">
        <v>0.0</v>
      </c>
      <c r="M647" s="240" t="s">
        <v>4466</v>
      </c>
      <c r="N647" s="240">
        <v>25.0</v>
      </c>
    </row>
    <row r="648">
      <c r="A648" s="215">
        <v>644.0</v>
      </c>
      <c r="B648" s="237"/>
      <c r="C648" s="238">
        <v>3054.0</v>
      </c>
      <c r="D648" s="238">
        <v>9254.0</v>
      </c>
      <c r="E648" s="238" t="s">
        <v>4464</v>
      </c>
      <c r="F648" s="238" t="s">
        <v>3383</v>
      </c>
      <c r="G648" s="239" t="s">
        <v>3333</v>
      </c>
      <c r="H648" s="240">
        <v>25.0</v>
      </c>
      <c r="I648" s="240">
        <v>2.0</v>
      </c>
      <c r="J648" s="240">
        <v>0.0</v>
      </c>
      <c r="K648" s="240">
        <v>0.0</v>
      </c>
      <c r="L648" s="240">
        <v>0.0</v>
      </c>
      <c r="M648" s="240" t="s">
        <v>3449</v>
      </c>
      <c r="N648" s="240">
        <v>23.0</v>
      </c>
    </row>
    <row r="649">
      <c r="A649" s="215">
        <v>645.0</v>
      </c>
      <c r="B649" s="237"/>
      <c r="C649" s="238">
        <v>3054.0</v>
      </c>
      <c r="D649" s="238" t="s">
        <v>4317</v>
      </c>
      <c r="E649" s="238" t="s">
        <v>4464</v>
      </c>
      <c r="F649" s="238" t="s">
        <v>4318</v>
      </c>
      <c r="G649" s="239" t="s">
        <v>3333</v>
      </c>
      <c r="H649" s="240">
        <v>40.0</v>
      </c>
      <c r="I649" s="240">
        <v>1.0</v>
      </c>
      <c r="J649" s="240">
        <v>0.0</v>
      </c>
      <c r="K649" s="240">
        <v>0.0</v>
      </c>
      <c r="L649" s="240">
        <v>0.0</v>
      </c>
      <c r="M649" s="240" t="s">
        <v>3578</v>
      </c>
      <c r="N649" s="240">
        <v>39.0</v>
      </c>
    </row>
    <row r="650">
      <c r="A650" s="215">
        <v>646.0</v>
      </c>
      <c r="B650" s="237"/>
      <c r="C650" s="238">
        <v>3055.0</v>
      </c>
      <c r="D650" s="238">
        <v>9725.0</v>
      </c>
      <c r="E650" s="238" t="s">
        <v>4468</v>
      </c>
      <c r="F650" s="238" t="s">
        <v>4469</v>
      </c>
      <c r="G650" s="239" t="s">
        <v>3333</v>
      </c>
      <c r="H650" s="240">
        <v>45.0</v>
      </c>
      <c r="I650" s="240">
        <v>45.0</v>
      </c>
      <c r="J650" s="240">
        <v>0.0</v>
      </c>
      <c r="K650" s="240">
        <v>0.0</v>
      </c>
      <c r="L650" s="240">
        <v>0.0</v>
      </c>
      <c r="M650" s="240" t="s">
        <v>4470</v>
      </c>
      <c r="N650" s="240">
        <v>0.0</v>
      </c>
    </row>
    <row r="651">
      <c r="A651" s="215">
        <v>647.0</v>
      </c>
      <c r="B651" s="237"/>
      <c r="C651" s="238">
        <v>3055.0</v>
      </c>
      <c r="D651" s="238">
        <v>9726.0</v>
      </c>
      <c r="E651" s="238" t="s">
        <v>4468</v>
      </c>
      <c r="F651" s="238" t="s">
        <v>4472</v>
      </c>
      <c r="G651" s="239" t="s">
        <v>3333</v>
      </c>
      <c r="H651" s="240">
        <v>44.0</v>
      </c>
      <c r="I651" s="240">
        <v>44.0</v>
      </c>
      <c r="J651" s="240">
        <v>0.0</v>
      </c>
      <c r="K651" s="240">
        <v>1.0</v>
      </c>
      <c r="L651" s="240">
        <v>1.0</v>
      </c>
      <c r="M651" s="240" t="s">
        <v>3339</v>
      </c>
      <c r="N651" s="240">
        <v>0.0</v>
      </c>
    </row>
    <row r="652">
      <c r="A652" s="215">
        <v>648.0</v>
      </c>
      <c r="B652" s="237"/>
      <c r="C652" s="238">
        <v>3055.0</v>
      </c>
      <c r="D652" s="238" t="s">
        <v>4474</v>
      </c>
      <c r="E652" s="238" t="s">
        <v>4468</v>
      </c>
      <c r="F652" s="238" t="s">
        <v>4475</v>
      </c>
      <c r="G652" s="239" t="s">
        <v>3333</v>
      </c>
      <c r="H652" s="240">
        <v>65.0</v>
      </c>
      <c r="I652" s="240">
        <v>41.0</v>
      </c>
      <c r="J652" s="240">
        <v>0.0</v>
      </c>
      <c r="K652" s="240">
        <v>0.0</v>
      </c>
      <c r="L652" s="240">
        <v>0.0</v>
      </c>
      <c r="M652" s="240" t="s">
        <v>4477</v>
      </c>
      <c r="N652" s="240">
        <v>24.0</v>
      </c>
    </row>
    <row r="653">
      <c r="A653" s="215">
        <v>649.0</v>
      </c>
      <c r="B653" s="237"/>
      <c r="C653" s="238">
        <v>3061.0</v>
      </c>
      <c r="D653" s="238">
        <v>9003.0</v>
      </c>
      <c r="E653" s="238" t="s">
        <v>4478</v>
      </c>
      <c r="F653" s="238" t="s">
        <v>3401</v>
      </c>
      <c r="G653" s="239" t="s">
        <v>3333</v>
      </c>
      <c r="H653" s="240">
        <v>26.0</v>
      </c>
      <c r="I653" s="240">
        <v>10.0</v>
      </c>
      <c r="J653" s="240">
        <v>0.0</v>
      </c>
      <c r="K653" s="240">
        <v>0.0</v>
      </c>
      <c r="L653" s="240">
        <v>0.0</v>
      </c>
      <c r="M653" s="240" t="s">
        <v>4477</v>
      </c>
      <c r="N653" s="240">
        <v>16.0</v>
      </c>
    </row>
    <row r="654">
      <c r="A654" s="215">
        <v>650.0</v>
      </c>
      <c r="B654" s="237"/>
      <c r="C654" s="238">
        <v>3061.0</v>
      </c>
      <c r="D654" s="238">
        <v>9016.0</v>
      </c>
      <c r="E654" s="238" t="s">
        <v>4478</v>
      </c>
      <c r="F654" s="238" t="s">
        <v>3412</v>
      </c>
      <c r="G654" s="239" t="s">
        <v>3333</v>
      </c>
      <c r="H654" s="240">
        <v>44.0</v>
      </c>
      <c r="I654" s="240">
        <v>6.0</v>
      </c>
      <c r="J654" s="240">
        <v>0.0</v>
      </c>
      <c r="K654" s="240">
        <v>0.0</v>
      </c>
      <c r="L654" s="240">
        <v>0.0</v>
      </c>
      <c r="M654" s="240" t="s">
        <v>4482</v>
      </c>
      <c r="N654" s="240">
        <v>38.0</v>
      </c>
    </row>
    <row r="655">
      <c r="A655" s="215">
        <v>651.0</v>
      </c>
      <c r="B655" s="237"/>
      <c r="C655" s="238">
        <v>3061.0</v>
      </c>
      <c r="D655" s="238">
        <v>9085.0</v>
      </c>
      <c r="E655" s="238" t="s">
        <v>4478</v>
      </c>
      <c r="F655" s="238" t="s">
        <v>4394</v>
      </c>
      <c r="G655" s="239" t="s">
        <v>3333</v>
      </c>
      <c r="H655" s="240">
        <v>30.0</v>
      </c>
      <c r="I655" s="240">
        <v>28.0</v>
      </c>
      <c r="J655" s="240">
        <v>0.0</v>
      </c>
      <c r="K655" s="240">
        <v>0.0</v>
      </c>
      <c r="L655" s="240">
        <v>0.0</v>
      </c>
      <c r="M655" s="240" t="s">
        <v>4019</v>
      </c>
      <c r="N655" s="240">
        <v>2.0</v>
      </c>
    </row>
    <row r="656">
      <c r="A656" s="215">
        <v>652.0</v>
      </c>
      <c r="B656" s="237"/>
      <c r="C656" s="238">
        <v>3061.0</v>
      </c>
      <c r="D656" s="238" t="s">
        <v>4483</v>
      </c>
      <c r="E656" s="238" t="s">
        <v>4478</v>
      </c>
      <c r="F656" s="238" t="s">
        <v>4485</v>
      </c>
      <c r="G656" s="239" t="s">
        <v>3333</v>
      </c>
      <c r="H656" s="240">
        <v>26.0</v>
      </c>
      <c r="I656" s="240">
        <v>15.0</v>
      </c>
      <c r="J656" s="240">
        <v>0.0</v>
      </c>
      <c r="K656" s="240">
        <v>0.0</v>
      </c>
      <c r="L656" s="240">
        <v>0.0</v>
      </c>
      <c r="M656" s="240" t="s">
        <v>4486</v>
      </c>
      <c r="N656" s="240">
        <v>11.0</v>
      </c>
    </row>
    <row r="657">
      <c r="A657" s="215">
        <v>653.0</v>
      </c>
      <c r="B657" s="237"/>
      <c r="C657" s="238">
        <v>3061.0</v>
      </c>
      <c r="D657" s="238" t="s">
        <v>4487</v>
      </c>
      <c r="E657" s="238" t="s">
        <v>4478</v>
      </c>
      <c r="F657" s="238" t="s">
        <v>4488</v>
      </c>
      <c r="G657" s="239" t="s">
        <v>3333</v>
      </c>
      <c r="H657" s="240">
        <v>20.0</v>
      </c>
      <c r="I657" s="240">
        <v>6.0</v>
      </c>
      <c r="J657" s="240">
        <v>0.0</v>
      </c>
      <c r="K657" s="240">
        <v>0.0</v>
      </c>
      <c r="L657" s="240">
        <v>0.0</v>
      </c>
      <c r="M657" s="240" t="s">
        <v>3804</v>
      </c>
      <c r="N657" s="240">
        <v>14.0</v>
      </c>
    </row>
    <row r="658">
      <c r="A658" s="215">
        <v>654.0</v>
      </c>
      <c r="B658" s="237"/>
      <c r="C658" s="238">
        <v>3061.0</v>
      </c>
      <c r="D658" s="238" t="s">
        <v>4489</v>
      </c>
      <c r="E658" s="238" t="s">
        <v>4478</v>
      </c>
      <c r="F658" s="238" t="s">
        <v>4490</v>
      </c>
      <c r="G658" s="239" t="s">
        <v>3333</v>
      </c>
      <c r="H658" s="240">
        <v>26.0</v>
      </c>
      <c r="I658" s="240">
        <v>4.0</v>
      </c>
      <c r="J658" s="240">
        <v>0.0</v>
      </c>
      <c r="K658" s="240">
        <v>1.0</v>
      </c>
      <c r="L658" s="240">
        <v>0.0</v>
      </c>
      <c r="M658" s="240" t="s">
        <v>3445</v>
      </c>
      <c r="N658" s="240">
        <v>21.0</v>
      </c>
    </row>
    <row r="659">
      <c r="A659" s="215">
        <v>655.0</v>
      </c>
      <c r="B659" s="237"/>
      <c r="C659" s="238">
        <v>3061.0</v>
      </c>
      <c r="D659" s="238" t="s">
        <v>4492</v>
      </c>
      <c r="E659" s="238" t="s">
        <v>4478</v>
      </c>
      <c r="F659" s="238" t="s">
        <v>4493</v>
      </c>
      <c r="G659" s="239" t="s">
        <v>3333</v>
      </c>
      <c r="H659" s="240">
        <v>35.0</v>
      </c>
      <c r="I659" s="240">
        <v>7.0</v>
      </c>
      <c r="J659" s="240">
        <v>0.0</v>
      </c>
      <c r="K659" s="240">
        <v>0.0</v>
      </c>
      <c r="L659" s="240">
        <v>0.0</v>
      </c>
      <c r="M659" s="240" t="s">
        <v>4019</v>
      </c>
      <c r="N659" s="240">
        <v>28.0</v>
      </c>
    </row>
    <row r="660">
      <c r="A660" s="215">
        <v>656.0</v>
      </c>
      <c r="B660" s="237"/>
      <c r="C660" s="238">
        <v>3061.0</v>
      </c>
      <c r="D660" s="238" t="s">
        <v>4494</v>
      </c>
      <c r="E660" s="238" t="s">
        <v>4478</v>
      </c>
      <c r="F660" s="238" t="s">
        <v>4495</v>
      </c>
      <c r="G660" s="239" t="s">
        <v>3333</v>
      </c>
      <c r="H660" s="240">
        <v>28.0</v>
      </c>
      <c r="I660" s="240">
        <v>1.0</v>
      </c>
      <c r="J660" s="240">
        <v>0.0</v>
      </c>
      <c r="K660" s="240">
        <v>0.0</v>
      </c>
      <c r="L660" s="240">
        <v>0.0</v>
      </c>
      <c r="M660" s="240" t="s">
        <v>3662</v>
      </c>
      <c r="N660" s="240">
        <v>27.0</v>
      </c>
    </row>
    <row r="661">
      <c r="A661" s="215">
        <v>657.0</v>
      </c>
      <c r="B661" s="237"/>
      <c r="C661" s="238">
        <v>3062.0</v>
      </c>
      <c r="D661" s="238">
        <v>8093.0</v>
      </c>
      <c r="E661" s="238" t="s">
        <v>4497</v>
      </c>
      <c r="F661" s="238" t="s">
        <v>4498</v>
      </c>
      <c r="G661" s="239" t="s">
        <v>3333</v>
      </c>
      <c r="H661" s="240">
        <v>20.0</v>
      </c>
      <c r="I661" s="240">
        <v>1.0</v>
      </c>
      <c r="J661" s="240">
        <v>0.0</v>
      </c>
      <c r="K661" s="240">
        <v>0.0</v>
      </c>
      <c r="L661" s="240">
        <v>0.0</v>
      </c>
      <c r="M661" s="237"/>
      <c r="N661" s="240">
        <v>19.0</v>
      </c>
    </row>
    <row r="662">
      <c r="A662" s="215">
        <v>658.0</v>
      </c>
      <c r="B662" s="237"/>
      <c r="C662" s="238">
        <v>3062.0</v>
      </c>
      <c r="D662" s="238">
        <v>8114.0</v>
      </c>
      <c r="E662" s="238" t="s">
        <v>4497</v>
      </c>
      <c r="F662" s="238" t="s">
        <v>4499</v>
      </c>
      <c r="G662" s="239" t="s">
        <v>3333</v>
      </c>
      <c r="H662" s="240">
        <v>25.0</v>
      </c>
      <c r="I662" s="240">
        <v>0.0</v>
      </c>
      <c r="J662" s="240">
        <v>0.0</v>
      </c>
      <c r="K662" s="240">
        <v>0.0</v>
      </c>
      <c r="L662" s="240">
        <v>0.0</v>
      </c>
      <c r="M662" s="241"/>
      <c r="N662" s="240">
        <v>25.0</v>
      </c>
    </row>
    <row r="663">
      <c r="A663" s="215">
        <v>659.0</v>
      </c>
      <c r="B663" s="237"/>
      <c r="C663" s="238">
        <v>3062.0</v>
      </c>
      <c r="D663" s="238">
        <v>8342.0</v>
      </c>
      <c r="E663" s="238" t="s">
        <v>4497</v>
      </c>
      <c r="F663" s="238" t="s">
        <v>4501</v>
      </c>
      <c r="G663" s="239" t="s">
        <v>3333</v>
      </c>
      <c r="H663" s="240">
        <v>25.0</v>
      </c>
      <c r="I663" s="240">
        <v>12.0</v>
      </c>
      <c r="J663" s="240">
        <v>0.0</v>
      </c>
      <c r="K663" s="240">
        <v>2.0</v>
      </c>
      <c r="L663" s="240">
        <v>0.0</v>
      </c>
      <c r="M663" s="240" t="s">
        <v>3804</v>
      </c>
      <c r="N663" s="240">
        <v>11.0</v>
      </c>
    </row>
    <row r="664">
      <c r="A664" s="215">
        <v>660.0</v>
      </c>
      <c r="B664" s="237"/>
      <c r="C664" s="238">
        <v>3062.0</v>
      </c>
      <c r="D664" s="238">
        <v>9054.0</v>
      </c>
      <c r="E664" s="238" t="s">
        <v>4497</v>
      </c>
      <c r="F664" s="238" t="s">
        <v>4503</v>
      </c>
      <c r="G664" s="239" t="s">
        <v>3333</v>
      </c>
      <c r="H664" s="240">
        <v>38.0</v>
      </c>
      <c r="I664" s="240">
        <v>38.0</v>
      </c>
      <c r="J664" s="240">
        <v>0.0</v>
      </c>
      <c r="K664" s="240">
        <v>0.0</v>
      </c>
      <c r="L664" s="240">
        <v>0.0</v>
      </c>
      <c r="M664" s="240" t="s">
        <v>4282</v>
      </c>
      <c r="N664" s="240">
        <v>0.0</v>
      </c>
    </row>
    <row r="665">
      <c r="A665" s="215">
        <v>661.0</v>
      </c>
      <c r="B665" s="237"/>
      <c r="C665" s="238">
        <v>3062.0</v>
      </c>
      <c r="D665" s="238">
        <v>9254.0</v>
      </c>
      <c r="E665" s="238" t="s">
        <v>4497</v>
      </c>
      <c r="F665" s="238" t="s">
        <v>3383</v>
      </c>
      <c r="G665" s="239" t="s">
        <v>3333</v>
      </c>
      <c r="H665" s="240">
        <v>35.0</v>
      </c>
      <c r="I665" s="240">
        <v>32.0</v>
      </c>
      <c r="J665" s="240">
        <v>0.0</v>
      </c>
      <c r="K665" s="240">
        <v>1.0</v>
      </c>
      <c r="L665" s="240">
        <v>0.0</v>
      </c>
      <c r="M665" s="240" t="s">
        <v>4504</v>
      </c>
      <c r="N665" s="240">
        <v>2.0</v>
      </c>
    </row>
    <row r="666">
      <c r="A666" s="215">
        <v>662.0</v>
      </c>
      <c r="B666" s="237"/>
      <c r="C666" s="238">
        <v>3062.0</v>
      </c>
      <c r="D666" s="238">
        <v>9675.0</v>
      </c>
      <c r="E666" s="238" t="s">
        <v>4497</v>
      </c>
      <c r="F666" s="238" t="s">
        <v>4505</v>
      </c>
      <c r="G666" s="239" t="s">
        <v>3333</v>
      </c>
      <c r="H666" s="240">
        <v>39.0</v>
      </c>
      <c r="I666" s="240">
        <v>39.0</v>
      </c>
      <c r="J666" s="240">
        <v>0.0</v>
      </c>
      <c r="K666" s="240">
        <v>0.0</v>
      </c>
      <c r="L666" s="240">
        <v>0.0</v>
      </c>
      <c r="M666" s="240" t="s">
        <v>4019</v>
      </c>
      <c r="N666" s="240">
        <v>0.0</v>
      </c>
    </row>
    <row r="667">
      <c r="A667" s="215">
        <v>663.0</v>
      </c>
      <c r="B667" s="237"/>
      <c r="C667" s="238">
        <v>3062.0</v>
      </c>
      <c r="D667" s="238">
        <v>9717.0</v>
      </c>
      <c r="E667" s="238" t="s">
        <v>4497</v>
      </c>
      <c r="F667" s="238" t="s">
        <v>4506</v>
      </c>
      <c r="G667" s="239" t="s">
        <v>3333</v>
      </c>
      <c r="H667" s="240">
        <v>43.0</v>
      </c>
      <c r="I667" s="240">
        <v>43.0</v>
      </c>
      <c r="J667" s="240">
        <v>0.0</v>
      </c>
      <c r="K667" s="240">
        <v>1.0</v>
      </c>
      <c r="L667" s="240">
        <v>1.0</v>
      </c>
      <c r="M667" s="240" t="s">
        <v>4446</v>
      </c>
      <c r="N667" s="240">
        <v>0.0</v>
      </c>
    </row>
    <row r="668">
      <c r="A668" s="215">
        <v>664.0</v>
      </c>
      <c r="B668" s="237"/>
      <c r="C668" s="238">
        <v>3062.0</v>
      </c>
      <c r="D668" s="238">
        <v>9731.0</v>
      </c>
      <c r="E668" s="238" t="s">
        <v>4497</v>
      </c>
      <c r="F668" s="238" t="s">
        <v>4507</v>
      </c>
      <c r="G668" s="239" t="s">
        <v>3333</v>
      </c>
      <c r="H668" s="240">
        <v>30.0</v>
      </c>
      <c r="I668" s="240">
        <v>21.0</v>
      </c>
      <c r="J668" s="240">
        <v>0.0</v>
      </c>
      <c r="K668" s="240">
        <v>0.0</v>
      </c>
      <c r="L668" s="240">
        <v>0.0</v>
      </c>
      <c r="M668" s="240" t="s">
        <v>4104</v>
      </c>
      <c r="N668" s="240">
        <v>9.0</v>
      </c>
    </row>
    <row r="669">
      <c r="A669" s="215">
        <v>665.0</v>
      </c>
      <c r="B669" s="237"/>
      <c r="C669" s="238">
        <v>3062.0</v>
      </c>
      <c r="D669" s="238">
        <v>9774.0</v>
      </c>
      <c r="E669" s="238" t="s">
        <v>4497</v>
      </c>
      <c r="F669" s="238" t="s">
        <v>4508</v>
      </c>
      <c r="G669" s="239" t="s">
        <v>3333</v>
      </c>
      <c r="H669" s="240">
        <v>30.0</v>
      </c>
      <c r="I669" s="240">
        <v>11.0</v>
      </c>
      <c r="J669" s="240">
        <v>0.0</v>
      </c>
      <c r="K669" s="240">
        <v>0.0</v>
      </c>
      <c r="L669" s="240">
        <v>0.0</v>
      </c>
      <c r="M669" s="240" t="s">
        <v>3822</v>
      </c>
      <c r="N669" s="240">
        <v>19.0</v>
      </c>
    </row>
    <row r="670">
      <c r="A670" s="215">
        <v>666.0</v>
      </c>
      <c r="B670" s="237"/>
      <c r="C670" s="238">
        <v>3062.0</v>
      </c>
      <c r="D670" s="238">
        <v>9833.0</v>
      </c>
      <c r="E670" s="238" t="s">
        <v>4497</v>
      </c>
      <c r="F670" s="238" t="s">
        <v>4509</v>
      </c>
      <c r="G670" s="239" t="s">
        <v>3333</v>
      </c>
      <c r="H670" s="240">
        <v>40.0</v>
      </c>
      <c r="I670" s="240">
        <v>11.0</v>
      </c>
      <c r="J670" s="240">
        <v>0.0</v>
      </c>
      <c r="K670" s="240">
        <v>0.0</v>
      </c>
      <c r="L670" s="240">
        <v>0.0</v>
      </c>
      <c r="M670" s="240" t="s">
        <v>4131</v>
      </c>
      <c r="N670" s="240">
        <v>29.0</v>
      </c>
    </row>
    <row r="671">
      <c r="A671" s="215">
        <v>667.0</v>
      </c>
      <c r="B671" s="237"/>
      <c r="C671" s="238">
        <v>3062.0</v>
      </c>
      <c r="D671" s="238">
        <v>9853.0</v>
      </c>
      <c r="E671" s="238" t="s">
        <v>4497</v>
      </c>
      <c r="F671" s="238" t="s">
        <v>3350</v>
      </c>
      <c r="G671" s="239" t="s">
        <v>3333</v>
      </c>
      <c r="H671" s="240">
        <v>70.0</v>
      </c>
      <c r="I671" s="240">
        <v>70.0</v>
      </c>
      <c r="J671" s="240">
        <v>0.0</v>
      </c>
      <c r="K671" s="240">
        <v>1.0</v>
      </c>
      <c r="L671" s="240">
        <v>1.0</v>
      </c>
      <c r="M671" s="240" t="s">
        <v>3811</v>
      </c>
      <c r="N671" s="240">
        <v>0.0</v>
      </c>
    </row>
    <row r="672">
      <c r="A672" s="215">
        <v>668.0</v>
      </c>
      <c r="B672" s="237"/>
      <c r="C672" s="238">
        <v>3062.0</v>
      </c>
      <c r="D672" s="238">
        <v>9894.0</v>
      </c>
      <c r="E672" s="238" t="s">
        <v>4497</v>
      </c>
      <c r="F672" s="238" t="s">
        <v>4511</v>
      </c>
      <c r="G672" s="239" t="s">
        <v>3333</v>
      </c>
      <c r="H672" s="240">
        <v>39.0</v>
      </c>
      <c r="I672" s="240">
        <v>39.0</v>
      </c>
      <c r="J672" s="240">
        <v>0.0</v>
      </c>
      <c r="K672" s="240">
        <v>1.0</v>
      </c>
      <c r="L672" s="240">
        <v>1.0</v>
      </c>
      <c r="M672" s="240" t="s">
        <v>3600</v>
      </c>
      <c r="N672" s="240">
        <v>0.0</v>
      </c>
    </row>
    <row r="673">
      <c r="A673" s="215">
        <v>669.0</v>
      </c>
      <c r="B673" s="237"/>
      <c r="C673" s="238">
        <v>3062.0</v>
      </c>
      <c r="D673" s="238">
        <v>9898.0</v>
      </c>
      <c r="E673" s="238" t="s">
        <v>4497</v>
      </c>
      <c r="F673" s="238" t="s">
        <v>4413</v>
      </c>
      <c r="G673" s="239" t="s">
        <v>3333</v>
      </c>
      <c r="H673" s="240">
        <v>32.0</v>
      </c>
      <c r="I673" s="240">
        <v>32.0</v>
      </c>
      <c r="J673" s="240">
        <v>0.0</v>
      </c>
      <c r="K673" s="240">
        <v>0.0</v>
      </c>
      <c r="L673" s="240">
        <v>0.0</v>
      </c>
      <c r="M673" s="240" t="s">
        <v>4512</v>
      </c>
      <c r="N673" s="240">
        <v>0.0</v>
      </c>
    </row>
    <row r="674">
      <c r="A674" s="215">
        <v>670.0</v>
      </c>
      <c r="B674" s="237"/>
      <c r="C674" s="238">
        <v>3062.0</v>
      </c>
      <c r="D674" s="238" t="s">
        <v>4516</v>
      </c>
      <c r="E674" s="238" t="s">
        <v>4497</v>
      </c>
      <c r="F674" s="238" t="s">
        <v>4517</v>
      </c>
      <c r="G674" s="239" t="s">
        <v>3333</v>
      </c>
      <c r="H674" s="240">
        <v>20.0</v>
      </c>
      <c r="I674" s="240">
        <v>15.0</v>
      </c>
      <c r="J674" s="240">
        <v>0.0</v>
      </c>
      <c r="K674" s="240">
        <v>0.0</v>
      </c>
      <c r="L674" s="240">
        <v>0.0</v>
      </c>
      <c r="M674" s="240" t="s">
        <v>3387</v>
      </c>
      <c r="N674" s="240">
        <v>5.0</v>
      </c>
    </row>
    <row r="675">
      <c r="A675" s="215">
        <v>671.0</v>
      </c>
      <c r="B675" s="237"/>
      <c r="C675" s="238">
        <v>3063.0</v>
      </c>
      <c r="D675" s="238">
        <v>8029.0</v>
      </c>
      <c r="E675" s="238" t="s">
        <v>4519</v>
      </c>
      <c r="F675" s="238" t="s">
        <v>4520</v>
      </c>
      <c r="G675" s="239" t="s">
        <v>3333</v>
      </c>
      <c r="H675" s="240">
        <v>30.0</v>
      </c>
      <c r="I675" s="240">
        <v>13.0</v>
      </c>
      <c r="J675" s="240">
        <v>0.0</v>
      </c>
      <c r="K675" s="240">
        <v>0.0</v>
      </c>
      <c r="L675" s="240">
        <v>0.0</v>
      </c>
      <c r="M675" s="240" t="s">
        <v>3436</v>
      </c>
      <c r="N675" s="240">
        <v>17.0</v>
      </c>
    </row>
    <row r="676">
      <c r="A676" s="215">
        <v>672.0</v>
      </c>
      <c r="B676" s="237"/>
      <c r="C676" s="238">
        <v>3063.0</v>
      </c>
      <c r="D676" s="238">
        <v>8276.0</v>
      </c>
      <c r="E676" s="238" t="s">
        <v>4519</v>
      </c>
      <c r="F676" s="238" t="s">
        <v>4522</v>
      </c>
      <c r="G676" s="239" t="s">
        <v>3333</v>
      </c>
      <c r="H676" s="240">
        <v>43.0</v>
      </c>
      <c r="I676" s="240">
        <v>43.0</v>
      </c>
      <c r="J676" s="240">
        <v>0.0</v>
      </c>
      <c r="K676" s="240">
        <v>1.0</v>
      </c>
      <c r="L676" s="240">
        <v>1.0</v>
      </c>
      <c r="M676" s="240" t="s">
        <v>3407</v>
      </c>
      <c r="N676" s="240">
        <v>0.0</v>
      </c>
    </row>
    <row r="677">
      <c r="A677" s="215">
        <v>673.0</v>
      </c>
      <c r="B677" s="237"/>
      <c r="C677" s="238">
        <v>3063.0</v>
      </c>
      <c r="D677" s="238">
        <v>9061.0</v>
      </c>
      <c r="E677" s="238" t="s">
        <v>4519</v>
      </c>
      <c r="F677" s="238" t="s">
        <v>4524</v>
      </c>
      <c r="G677" s="239" t="s">
        <v>3333</v>
      </c>
      <c r="H677" s="240">
        <v>75.0</v>
      </c>
      <c r="I677" s="240">
        <v>34.0</v>
      </c>
      <c r="J677" s="240">
        <v>0.0</v>
      </c>
      <c r="K677" s="240">
        <v>1.0</v>
      </c>
      <c r="L677" s="240">
        <v>0.0</v>
      </c>
      <c r="M677" s="240" t="s">
        <v>3541</v>
      </c>
      <c r="N677" s="240">
        <v>40.0</v>
      </c>
    </row>
    <row r="678">
      <c r="A678" s="215">
        <v>674.0</v>
      </c>
      <c r="B678" s="237"/>
      <c r="C678" s="238">
        <v>3063.0</v>
      </c>
      <c r="D678" s="238">
        <v>9152.0</v>
      </c>
      <c r="E678" s="238" t="s">
        <v>4519</v>
      </c>
      <c r="F678" s="238" t="s">
        <v>3434</v>
      </c>
      <c r="G678" s="239" t="s">
        <v>3333</v>
      </c>
      <c r="H678" s="240">
        <v>101.0</v>
      </c>
      <c r="I678" s="240">
        <v>101.0</v>
      </c>
      <c r="J678" s="240">
        <v>0.0</v>
      </c>
      <c r="K678" s="240">
        <v>0.0</v>
      </c>
      <c r="L678" s="240">
        <v>0.0</v>
      </c>
      <c r="M678" s="240" t="s">
        <v>3952</v>
      </c>
      <c r="N678" s="240">
        <v>0.0</v>
      </c>
    </row>
    <row r="679">
      <c r="A679" s="215">
        <v>675.0</v>
      </c>
      <c r="B679" s="237"/>
      <c r="C679" s="238">
        <v>3063.0</v>
      </c>
      <c r="D679" s="238">
        <v>9186.0</v>
      </c>
      <c r="E679" s="238" t="s">
        <v>4519</v>
      </c>
      <c r="F679" s="238" t="s">
        <v>4423</v>
      </c>
      <c r="G679" s="239" t="s">
        <v>3333</v>
      </c>
      <c r="H679" s="240">
        <v>41.0</v>
      </c>
      <c r="I679" s="240">
        <v>17.0</v>
      </c>
      <c r="J679" s="240">
        <v>0.0</v>
      </c>
      <c r="K679" s="240">
        <v>0.0</v>
      </c>
      <c r="L679" s="240">
        <v>0.0</v>
      </c>
      <c r="M679" s="240" t="s">
        <v>3519</v>
      </c>
      <c r="N679" s="240">
        <v>24.0</v>
      </c>
    </row>
    <row r="680">
      <c r="A680" s="215">
        <v>676.0</v>
      </c>
      <c r="B680" s="237"/>
      <c r="C680" s="238">
        <v>3063.0</v>
      </c>
      <c r="D680" s="238">
        <v>9722.0</v>
      </c>
      <c r="E680" s="238" t="s">
        <v>4519</v>
      </c>
      <c r="F680" s="238" t="s">
        <v>4527</v>
      </c>
      <c r="G680" s="239" t="s">
        <v>3333</v>
      </c>
      <c r="H680" s="240">
        <v>40.0</v>
      </c>
      <c r="I680" s="240">
        <v>8.0</v>
      </c>
      <c r="J680" s="240">
        <v>0.0</v>
      </c>
      <c r="K680" s="240">
        <v>0.0</v>
      </c>
      <c r="L680" s="240">
        <v>0.0</v>
      </c>
      <c r="M680" s="240" t="s">
        <v>3519</v>
      </c>
      <c r="N680" s="240">
        <v>32.0</v>
      </c>
    </row>
    <row r="681">
      <c r="A681" s="215">
        <v>677.0</v>
      </c>
      <c r="B681" s="237"/>
      <c r="C681" s="238">
        <v>3063.0</v>
      </c>
      <c r="D681" s="238">
        <v>9801.0</v>
      </c>
      <c r="E681" s="238" t="s">
        <v>4519</v>
      </c>
      <c r="F681" s="238" t="s">
        <v>4528</v>
      </c>
      <c r="G681" s="239" t="s">
        <v>3333</v>
      </c>
      <c r="H681" s="240">
        <v>66.0</v>
      </c>
      <c r="I681" s="240">
        <v>66.0</v>
      </c>
      <c r="J681" s="240">
        <v>0.0</v>
      </c>
      <c r="K681" s="240">
        <v>0.0</v>
      </c>
      <c r="L681" s="240">
        <v>0.0</v>
      </c>
      <c r="M681" s="240" t="s">
        <v>3793</v>
      </c>
      <c r="N681" s="240">
        <v>0.0</v>
      </c>
    </row>
    <row r="682">
      <c r="A682" s="215">
        <v>678.0</v>
      </c>
      <c r="B682" s="237"/>
      <c r="C682" s="238">
        <v>3063.0</v>
      </c>
      <c r="D682" s="238" t="s">
        <v>4529</v>
      </c>
      <c r="E682" s="238" t="s">
        <v>4519</v>
      </c>
      <c r="F682" s="238" t="s">
        <v>4530</v>
      </c>
      <c r="G682" s="239" t="s">
        <v>3333</v>
      </c>
      <c r="H682" s="240">
        <v>57.0</v>
      </c>
      <c r="I682" s="240">
        <v>43.0</v>
      </c>
      <c r="J682" s="240">
        <v>0.0</v>
      </c>
      <c r="K682" s="240">
        <v>0.0</v>
      </c>
      <c r="L682" s="240">
        <v>0.0</v>
      </c>
      <c r="M682" s="240" t="s">
        <v>3384</v>
      </c>
      <c r="N682" s="240">
        <v>14.0</v>
      </c>
    </row>
    <row r="683">
      <c r="A683" s="215">
        <v>679.0</v>
      </c>
      <c r="B683" s="237"/>
      <c r="C683" s="238">
        <v>3063.0</v>
      </c>
      <c r="D683" s="238" t="s">
        <v>4531</v>
      </c>
      <c r="E683" s="238" t="s">
        <v>4519</v>
      </c>
      <c r="F683" s="238" t="s">
        <v>4532</v>
      </c>
      <c r="G683" s="239" t="s">
        <v>3333</v>
      </c>
      <c r="H683" s="240">
        <v>35.0</v>
      </c>
      <c r="I683" s="240">
        <v>6.0</v>
      </c>
      <c r="J683" s="240">
        <v>0.0</v>
      </c>
      <c r="K683" s="240">
        <v>0.0</v>
      </c>
      <c r="L683" s="240">
        <v>0.0</v>
      </c>
      <c r="M683" s="240" t="s">
        <v>4281</v>
      </c>
      <c r="N683" s="240">
        <v>29.0</v>
      </c>
    </row>
    <row r="684">
      <c r="A684" s="215">
        <v>680.0</v>
      </c>
      <c r="B684" s="237"/>
      <c r="C684" s="238">
        <v>3063.0</v>
      </c>
      <c r="D684" s="238" t="s">
        <v>4533</v>
      </c>
      <c r="E684" s="238" t="s">
        <v>4519</v>
      </c>
      <c r="F684" s="238" t="s">
        <v>4534</v>
      </c>
      <c r="G684" s="239" t="s">
        <v>3333</v>
      </c>
      <c r="H684" s="240">
        <v>37.0</v>
      </c>
      <c r="I684" s="240">
        <v>27.0</v>
      </c>
      <c r="J684" s="240">
        <v>0.0</v>
      </c>
      <c r="K684" s="240">
        <v>0.0</v>
      </c>
      <c r="L684" s="240">
        <v>0.0</v>
      </c>
      <c r="M684" s="240" t="s">
        <v>3707</v>
      </c>
      <c r="N684" s="240">
        <v>10.0</v>
      </c>
    </row>
    <row r="685">
      <c r="A685" s="215">
        <v>681.0</v>
      </c>
      <c r="B685" s="237"/>
      <c r="C685" s="238">
        <v>3064.0</v>
      </c>
      <c r="D685" s="238">
        <v>9089.0</v>
      </c>
      <c r="E685" s="238" t="s">
        <v>4535</v>
      </c>
      <c r="F685" s="238" t="s">
        <v>3456</v>
      </c>
      <c r="G685" s="239" t="s">
        <v>3333</v>
      </c>
      <c r="H685" s="240">
        <v>18.0</v>
      </c>
      <c r="I685" s="240">
        <v>18.0</v>
      </c>
      <c r="J685" s="240">
        <v>0.0</v>
      </c>
      <c r="K685" s="240">
        <v>0.0</v>
      </c>
      <c r="L685" s="240">
        <v>0.0</v>
      </c>
      <c r="M685" s="240" t="s">
        <v>3954</v>
      </c>
      <c r="N685" s="240">
        <v>0.0</v>
      </c>
    </row>
    <row r="686">
      <c r="A686" s="215">
        <v>682.0</v>
      </c>
      <c r="B686" s="237"/>
      <c r="C686" s="238">
        <v>3064.0</v>
      </c>
      <c r="D686" s="238">
        <v>9104.0</v>
      </c>
      <c r="E686" s="238" t="s">
        <v>4535</v>
      </c>
      <c r="F686" s="238" t="s">
        <v>3466</v>
      </c>
      <c r="G686" s="239" t="s">
        <v>3333</v>
      </c>
      <c r="H686" s="240">
        <v>25.0</v>
      </c>
      <c r="I686" s="240">
        <v>25.0</v>
      </c>
      <c r="J686" s="240">
        <v>0.0</v>
      </c>
      <c r="K686" s="240">
        <v>0.0</v>
      </c>
      <c r="L686" s="240">
        <v>0.0</v>
      </c>
      <c r="M686" s="240" t="s">
        <v>3512</v>
      </c>
      <c r="N686" s="240">
        <v>0.0</v>
      </c>
    </row>
    <row r="687">
      <c r="A687" s="215">
        <v>683.0</v>
      </c>
      <c r="B687" s="237"/>
      <c r="C687" s="238">
        <v>3064.0</v>
      </c>
      <c r="D687" s="238">
        <v>9105.0</v>
      </c>
      <c r="E687" s="238" t="s">
        <v>4535</v>
      </c>
      <c r="F687" s="238" t="s">
        <v>3588</v>
      </c>
      <c r="G687" s="239" t="s">
        <v>3333</v>
      </c>
      <c r="H687" s="240">
        <v>24.0</v>
      </c>
      <c r="I687" s="240">
        <v>10.0</v>
      </c>
      <c r="J687" s="240">
        <v>0.0</v>
      </c>
      <c r="K687" s="240">
        <v>0.0</v>
      </c>
      <c r="L687" s="240">
        <v>0.0</v>
      </c>
      <c r="M687" s="240" t="s">
        <v>3954</v>
      </c>
      <c r="N687" s="240">
        <v>14.0</v>
      </c>
    </row>
    <row r="688">
      <c r="A688" s="215">
        <v>684.0</v>
      </c>
      <c r="B688" s="237"/>
      <c r="C688" s="238">
        <v>3064.0</v>
      </c>
      <c r="D688" s="238">
        <v>9119.0</v>
      </c>
      <c r="E688" s="238" t="s">
        <v>4535</v>
      </c>
      <c r="F688" s="238" t="s">
        <v>3417</v>
      </c>
      <c r="G688" s="239" t="s">
        <v>3333</v>
      </c>
      <c r="H688" s="240">
        <v>140.0</v>
      </c>
      <c r="I688" s="240">
        <v>124.0</v>
      </c>
      <c r="J688" s="240">
        <v>1.0</v>
      </c>
      <c r="K688" s="240">
        <v>0.0</v>
      </c>
      <c r="L688" s="240">
        <v>0.0</v>
      </c>
      <c r="M688" s="240" t="s">
        <v>3354</v>
      </c>
      <c r="N688" s="240">
        <v>16.0</v>
      </c>
    </row>
    <row r="689">
      <c r="A689" s="215">
        <v>685.0</v>
      </c>
      <c r="B689" s="237"/>
      <c r="C689" s="238">
        <v>3064.0</v>
      </c>
      <c r="D689" s="238">
        <v>9123.0</v>
      </c>
      <c r="E689" s="238" t="s">
        <v>4535</v>
      </c>
      <c r="F689" s="238" t="s">
        <v>3471</v>
      </c>
      <c r="G689" s="239" t="s">
        <v>3333</v>
      </c>
      <c r="H689" s="240">
        <v>50.0</v>
      </c>
      <c r="I689" s="240">
        <v>31.0</v>
      </c>
      <c r="J689" s="240">
        <v>0.0</v>
      </c>
      <c r="K689" s="240">
        <v>1.0</v>
      </c>
      <c r="L689" s="240">
        <v>0.0</v>
      </c>
      <c r="M689" s="240" t="s">
        <v>3567</v>
      </c>
      <c r="N689" s="240">
        <v>18.0</v>
      </c>
    </row>
    <row r="690">
      <c r="A690" s="215">
        <v>686.0</v>
      </c>
      <c r="B690" s="237"/>
      <c r="C690" s="238">
        <v>3064.0</v>
      </c>
      <c r="D690" s="238">
        <v>9455.0</v>
      </c>
      <c r="E690" s="238" t="s">
        <v>4535</v>
      </c>
      <c r="F690" s="238" t="s">
        <v>3502</v>
      </c>
      <c r="G690" s="239" t="s">
        <v>3333</v>
      </c>
      <c r="H690" s="240">
        <v>32.0</v>
      </c>
      <c r="I690" s="240">
        <v>18.0</v>
      </c>
      <c r="J690" s="240">
        <v>0.0</v>
      </c>
      <c r="K690" s="240">
        <v>0.0</v>
      </c>
      <c r="L690" s="240">
        <v>0.0</v>
      </c>
      <c r="M690" s="240" t="s">
        <v>3368</v>
      </c>
      <c r="N690" s="240">
        <v>14.0</v>
      </c>
    </row>
    <row r="691">
      <c r="A691" s="215">
        <v>687.0</v>
      </c>
      <c r="B691" s="237"/>
      <c r="C691" s="238">
        <v>3064.0</v>
      </c>
      <c r="D691" s="238">
        <v>9540.0</v>
      </c>
      <c r="E691" s="238" t="s">
        <v>4535</v>
      </c>
      <c r="F691" s="238" t="s">
        <v>3427</v>
      </c>
      <c r="G691" s="239" t="s">
        <v>3333</v>
      </c>
      <c r="H691" s="240">
        <v>27.0</v>
      </c>
      <c r="I691" s="240">
        <v>8.0</v>
      </c>
      <c r="J691" s="240">
        <v>0.0</v>
      </c>
      <c r="K691" s="240">
        <v>0.0</v>
      </c>
      <c r="L691" s="240">
        <v>0.0</v>
      </c>
      <c r="M691" s="240" t="s">
        <v>3368</v>
      </c>
      <c r="N691" s="240">
        <v>19.0</v>
      </c>
    </row>
    <row r="692">
      <c r="A692" s="215">
        <v>688.0</v>
      </c>
      <c r="B692" s="237"/>
      <c r="C692" s="238">
        <v>3064.0</v>
      </c>
      <c r="D692" s="238">
        <v>9770.0</v>
      </c>
      <c r="E692" s="238" t="s">
        <v>4535</v>
      </c>
      <c r="F692" s="238" t="s">
        <v>4536</v>
      </c>
      <c r="G692" s="239" t="s">
        <v>3333</v>
      </c>
      <c r="H692" s="240">
        <v>20.0</v>
      </c>
      <c r="I692" s="240">
        <v>13.0</v>
      </c>
      <c r="J692" s="240">
        <v>0.0</v>
      </c>
      <c r="K692" s="240">
        <v>0.0</v>
      </c>
      <c r="L692" s="240">
        <v>0.0</v>
      </c>
      <c r="M692" s="240" t="s">
        <v>4360</v>
      </c>
      <c r="N692" s="240">
        <v>7.0</v>
      </c>
    </row>
    <row r="693">
      <c r="A693" s="215">
        <v>689.0</v>
      </c>
      <c r="B693" s="237"/>
      <c r="C693" s="238">
        <v>3064.0</v>
      </c>
      <c r="D693" s="238">
        <v>9885.0</v>
      </c>
      <c r="E693" s="238" t="s">
        <v>4535</v>
      </c>
      <c r="F693" s="238" t="s">
        <v>4538</v>
      </c>
      <c r="G693" s="239" t="s">
        <v>3333</v>
      </c>
      <c r="H693" s="240">
        <v>21.0</v>
      </c>
      <c r="I693" s="240">
        <v>1.0</v>
      </c>
      <c r="J693" s="240">
        <v>0.0</v>
      </c>
      <c r="K693" s="240">
        <v>0.0</v>
      </c>
      <c r="L693" s="240">
        <v>0.0</v>
      </c>
      <c r="M693" s="241"/>
      <c r="N693" s="240">
        <v>20.0</v>
      </c>
    </row>
    <row r="694">
      <c r="A694" s="215">
        <v>690.0</v>
      </c>
      <c r="B694" s="237"/>
      <c r="C694" s="238">
        <v>3064.0</v>
      </c>
      <c r="D694" s="238" t="s">
        <v>4539</v>
      </c>
      <c r="E694" s="238" t="s">
        <v>4535</v>
      </c>
      <c r="F694" s="238" t="s">
        <v>4540</v>
      </c>
      <c r="G694" s="239" t="s">
        <v>3333</v>
      </c>
      <c r="H694" s="240">
        <v>31.0</v>
      </c>
      <c r="I694" s="240">
        <v>31.0</v>
      </c>
      <c r="J694" s="240">
        <v>0.0</v>
      </c>
      <c r="K694" s="240">
        <v>1.0</v>
      </c>
      <c r="L694" s="240">
        <v>1.0</v>
      </c>
      <c r="M694" s="240" t="s">
        <v>3822</v>
      </c>
      <c r="N694" s="240">
        <v>0.0</v>
      </c>
    </row>
    <row r="695">
      <c r="A695" s="215">
        <v>691.0</v>
      </c>
      <c r="B695" s="237"/>
      <c r="C695" s="238">
        <v>3064.0</v>
      </c>
      <c r="D695" s="238" t="s">
        <v>3521</v>
      </c>
      <c r="E695" s="238" t="s">
        <v>4535</v>
      </c>
      <c r="F695" s="238" t="s">
        <v>3522</v>
      </c>
      <c r="G695" s="239" t="s">
        <v>3333</v>
      </c>
      <c r="H695" s="240">
        <v>41.0</v>
      </c>
      <c r="I695" s="240">
        <v>32.0</v>
      </c>
      <c r="J695" s="240">
        <v>0.0</v>
      </c>
      <c r="K695" s="240">
        <v>0.0</v>
      </c>
      <c r="L695" s="240">
        <v>0.0</v>
      </c>
      <c r="M695" s="240" t="s">
        <v>3758</v>
      </c>
      <c r="N695" s="240">
        <v>9.0</v>
      </c>
    </row>
    <row r="696">
      <c r="A696" s="215">
        <v>692.0</v>
      </c>
      <c r="B696" s="237"/>
      <c r="C696" s="238">
        <v>3064.0</v>
      </c>
      <c r="D696" s="238" t="s">
        <v>4542</v>
      </c>
      <c r="E696" s="238" t="s">
        <v>4535</v>
      </c>
      <c r="F696" s="238" t="s">
        <v>4543</v>
      </c>
      <c r="G696" s="239" t="s">
        <v>3333</v>
      </c>
      <c r="H696" s="240">
        <v>30.0</v>
      </c>
      <c r="I696" s="240">
        <v>8.0</v>
      </c>
      <c r="J696" s="240">
        <v>0.0</v>
      </c>
      <c r="K696" s="240">
        <v>0.0</v>
      </c>
      <c r="L696" s="240">
        <v>0.0</v>
      </c>
      <c r="M696" s="241"/>
      <c r="N696" s="240">
        <v>22.0</v>
      </c>
    </row>
    <row r="697">
      <c r="A697" s="215">
        <v>693.0</v>
      </c>
      <c r="B697" s="237"/>
      <c r="C697" s="238">
        <v>3065.0</v>
      </c>
      <c r="D697" s="238">
        <v>9058.0</v>
      </c>
      <c r="E697" s="238" t="s">
        <v>4545</v>
      </c>
      <c r="F697" s="238" t="s">
        <v>4546</v>
      </c>
      <c r="G697" s="239" t="s">
        <v>3333</v>
      </c>
      <c r="H697" s="240">
        <v>38.0</v>
      </c>
      <c r="I697" s="240">
        <v>15.0</v>
      </c>
      <c r="J697" s="240">
        <v>0.0</v>
      </c>
      <c r="K697" s="240">
        <v>0.0</v>
      </c>
      <c r="L697" s="240">
        <v>0.0</v>
      </c>
      <c r="M697" s="240" t="s">
        <v>4547</v>
      </c>
      <c r="N697" s="240">
        <v>23.0</v>
      </c>
    </row>
    <row r="698">
      <c r="A698" s="215">
        <v>694.0</v>
      </c>
      <c r="B698" s="237"/>
      <c r="C698" s="238">
        <v>3065.0</v>
      </c>
      <c r="D698" s="238">
        <v>9119.0</v>
      </c>
      <c r="E698" s="238" t="s">
        <v>4545</v>
      </c>
      <c r="F698" s="238" t="s">
        <v>3417</v>
      </c>
      <c r="G698" s="239" t="s">
        <v>3333</v>
      </c>
      <c r="H698" s="240">
        <v>42.0</v>
      </c>
      <c r="I698" s="240">
        <v>2.0</v>
      </c>
      <c r="J698" s="240">
        <v>0.0</v>
      </c>
      <c r="K698" s="240">
        <v>0.0</v>
      </c>
      <c r="L698" s="240">
        <v>0.0</v>
      </c>
      <c r="M698" s="240" t="s">
        <v>4549</v>
      </c>
      <c r="N698" s="240">
        <v>40.0</v>
      </c>
    </row>
    <row r="699">
      <c r="A699" s="215">
        <v>695.0</v>
      </c>
      <c r="B699" s="237"/>
      <c r="C699" s="238">
        <v>3065.0</v>
      </c>
      <c r="D699" s="238">
        <v>9147.0</v>
      </c>
      <c r="E699" s="238" t="s">
        <v>4545</v>
      </c>
      <c r="F699" s="238" t="s">
        <v>3381</v>
      </c>
      <c r="G699" s="239" t="s">
        <v>3333</v>
      </c>
      <c r="H699" s="240">
        <v>36.0</v>
      </c>
      <c r="I699" s="240">
        <v>36.0</v>
      </c>
      <c r="J699" s="240">
        <v>0.0</v>
      </c>
      <c r="K699" s="240">
        <v>0.0</v>
      </c>
      <c r="L699" s="240">
        <v>0.0</v>
      </c>
      <c r="M699" s="240" t="s">
        <v>4551</v>
      </c>
      <c r="N699" s="240">
        <v>0.0</v>
      </c>
    </row>
    <row r="700">
      <c r="A700" s="215">
        <v>696.0</v>
      </c>
      <c r="B700" s="237"/>
      <c r="C700" s="238">
        <v>3065.0</v>
      </c>
      <c r="D700" s="238">
        <v>9205.0</v>
      </c>
      <c r="E700" s="238" t="s">
        <v>4545</v>
      </c>
      <c r="F700" s="238" t="s">
        <v>3595</v>
      </c>
      <c r="G700" s="239" t="s">
        <v>3333</v>
      </c>
      <c r="H700" s="240">
        <v>33.0</v>
      </c>
      <c r="I700" s="240">
        <v>31.0</v>
      </c>
      <c r="J700" s="240">
        <v>0.0</v>
      </c>
      <c r="K700" s="240">
        <v>2.0</v>
      </c>
      <c r="L700" s="240">
        <v>0.0</v>
      </c>
      <c r="M700" s="240" t="s">
        <v>4553</v>
      </c>
      <c r="N700" s="240">
        <v>0.0</v>
      </c>
    </row>
    <row r="701">
      <c r="A701" s="215">
        <v>697.0</v>
      </c>
      <c r="B701" s="237"/>
      <c r="C701" s="238">
        <v>3065.0</v>
      </c>
      <c r="D701" s="238">
        <v>9895.0</v>
      </c>
      <c r="E701" s="238" t="s">
        <v>4545</v>
      </c>
      <c r="F701" s="238" t="s">
        <v>4554</v>
      </c>
      <c r="G701" s="239" t="s">
        <v>3333</v>
      </c>
      <c r="H701" s="240">
        <v>20.0</v>
      </c>
      <c r="I701" s="240">
        <v>3.0</v>
      </c>
      <c r="J701" s="240">
        <v>0.0</v>
      </c>
      <c r="K701" s="240">
        <v>0.0</v>
      </c>
      <c r="L701" s="240">
        <v>0.0</v>
      </c>
      <c r="M701" s="240" t="s">
        <v>3560</v>
      </c>
      <c r="N701" s="240">
        <v>17.0</v>
      </c>
    </row>
    <row r="702">
      <c r="A702" s="215">
        <v>698.0</v>
      </c>
      <c r="B702" s="237"/>
      <c r="C702" s="238">
        <v>3065.0</v>
      </c>
      <c r="D702" s="238" t="s">
        <v>4555</v>
      </c>
      <c r="E702" s="238" t="s">
        <v>4545</v>
      </c>
      <c r="F702" s="238" t="s">
        <v>4556</v>
      </c>
      <c r="G702" s="239" t="s">
        <v>3333</v>
      </c>
      <c r="H702" s="240">
        <v>20.0</v>
      </c>
      <c r="I702" s="240">
        <v>6.0</v>
      </c>
      <c r="J702" s="240">
        <v>0.0</v>
      </c>
      <c r="K702" s="240">
        <v>1.0</v>
      </c>
      <c r="L702" s="240">
        <v>0.0</v>
      </c>
      <c r="M702" s="240" t="s">
        <v>3814</v>
      </c>
      <c r="N702" s="240">
        <v>13.0</v>
      </c>
    </row>
    <row r="703">
      <c r="A703" s="215">
        <v>699.0</v>
      </c>
      <c r="B703" s="237"/>
      <c r="C703" s="238">
        <v>3081.0</v>
      </c>
      <c r="D703" s="238">
        <v>8337.0</v>
      </c>
      <c r="E703" s="238" t="s">
        <v>4558</v>
      </c>
      <c r="F703" s="238" t="s">
        <v>4559</v>
      </c>
      <c r="G703" s="239" t="s">
        <v>3333</v>
      </c>
      <c r="H703" s="240">
        <v>35.0</v>
      </c>
      <c r="I703" s="240">
        <v>35.0</v>
      </c>
      <c r="J703" s="240">
        <v>0.0</v>
      </c>
      <c r="K703" s="240">
        <v>0.0</v>
      </c>
      <c r="L703" s="240">
        <v>0.0</v>
      </c>
      <c r="M703" s="240" t="s">
        <v>3578</v>
      </c>
      <c r="N703" s="240">
        <v>0.0</v>
      </c>
    </row>
    <row r="704">
      <c r="A704" s="215">
        <v>700.0</v>
      </c>
      <c r="B704" s="237"/>
      <c r="C704" s="238">
        <v>3081.0</v>
      </c>
      <c r="D704" s="238">
        <v>9023.0</v>
      </c>
      <c r="E704" s="238" t="s">
        <v>4558</v>
      </c>
      <c r="F704" s="238" t="s">
        <v>3549</v>
      </c>
      <c r="G704" s="239" t="s">
        <v>3333</v>
      </c>
      <c r="H704" s="240">
        <v>41.0</v>
      </c>
      <c r="I704" s="240">
        <v>41.0</v>
      </c>
      <c r="J704" s="240">
        <v>0.0</v>
      </c>
      <c r="K704" s="240">
        <v>0.0</v>
      </c>
      <c r="L704" s="240">
        <v>0.0</v>
      </c>
      <c r="M704" s="240" t="s">
        <v>3441</v>
      </c>
      <c r="N704" s="240">
        <v>0.0</v>
      </c>
    </row>
    <row r="705">
      <c r="A705" s="215">
        <v>701.0</v>
      </c>
      <c r="B705" s="237"/>
      <c r="C705" s="238">
        <v>3081.0</v>
      </c>
      <c r="D705" s="238">
        <v>9070.0</v>
      </c>
      <c r="E705" s="238" t="s">
        <v>4558</v>
      </c>
      <c r="F705" s="238" t="s">
        <v>4167</v>
      </c>
      <c r="G705" s="239" t="s">
        <v>3333</v>
      </c>
      <c r="H705" s="240">
        <v>39.0</v>
      </c>
      <c r="I705" s="240">
        <v>39.0</v>
      </c>
      <c r="J705" s="240">
        <v>0.0</v>
      </c>
      <c r="K705" s="240">
        <v>0.0</v>
      </c>
      <c r="L705" s="240">
        <v>0.0</v>
      </c>
      <c r="M705" s="240" t="s">
        <v>3662</v>
      </c>
      <c r="N705" s="240">
        <v>0.0</v>
      </c>
    </row>
    <row r="706">
      <c r="A706" s="215">
        <v>702.0</v>
      </c>
      <c r="B706" s="237"/>
      <c r="C706" s="238">
        <v>3081.0</v>
      </c>
      <c r="D706" s="238">
        <v>9084.0</v>
      </c>
      <c r="E706" s="238" t="s">
        <v>4558</v>
      </c>
      <c r="F706" s="238" t="s">
        <v>4410</v>
      </c>
      <c r="G706" s="239" t="s">
        <v>3333</v>
      </c>
      <c r="H706" s="240">
        <v>35.0</v>
      </c>
      <c r="I706" s="240">
        <v>18.0</v>
      </c>
      <c r="J706" s="240">
        <v>0.0</v>
      </c>
      <c r="K706" s="240">
        <v>0.0</v>
      </c>
      <c r="L706" s="240">
        <v>0.0</v>
      </c>
      <c r="M706" s="240" t="s">
        <v>4126</v>
      </c>
      <c r="N706" s="240">
        <v>17.0</v>
      </c>
    </row>
    <row r="707">
      <c r="A707" s="215">
        <v>703.0</v>
      </c>
      <c r="B707" s="237"/>
      <c r="C707" s="238">
        <v>3081.0</v>
      </c>
      <c r="D707" s="238">
        <v>9563.0</v>
      </c>
      <c r="E707" s="238" t="s">
        <v>4558</v>
      </c>
      <c r="F707" s="238" t="s">
        <v>4351</v>
      </c>
      <c r="G707" s="239" t="s">
        <v>3333</v>
      </c>
      <c r="H707" s="240">
        <v>41.0</v>
      </c>
      <c r="I707" s="240">
        <v>41.0</v>
      </c>
      <c r="J707" s="240">
        <v>0.0</v>
      </c>
      <c r="K707" s="240">
        <v>0.0</v>
      </c>
      <c r="L707" s="240">
        <v>0.0</v>
      </c>
      <c r="M707" s="240" t="s">
        <v>3445</v>
      </c>
      <c r="N707" s="240">
        <v>0.0</v>
      </c>
    </row>
    <row r="708">
      <c r="A708" s="215">
        <v>704.0</v>
      </c>
      <c r="B708" s="237"/>
      <c r="C708" s="238">
        <v>3081.0</v>
      </c>
      <c r="D708" s="238">
        <v>9853.0</v>
      </c>
      <c r="E708" s="238" t="s">
        <v>4558</v>
      </c>
      <c r="F708" s="238" t="s">
        <v>3350</v>
      </c>
      <c r="G708" s="239" t="s">
        <v>3333</v>
      </c>
      <c r="H708" s="240">
        <v>42.0</v>
      </c>
      <c r="I708" s="240">
        <v>42.0</v>
      </c>
      <c r="J708" s="240">
        <v>0.0</v>
      </c>
      <c r="K708" s="240">
        <v>0.0</v>
      </c>
      <c r="L708" s="240">
        <v>0.0</v>
      </c>
      <c r="M708" s="240" t="s">
        <v>3662</v>
      </c>
      <c r="N708" s="240">
        <v>0.0</v>
      </c>
    </row>
    <row r="709">
      <c r="A709" s="215">
        <v>705.0</v>
      </c>
      <c r="B709" s="237"/>
      <c r="C709" s="238">
        <v>3082.0</v>
      </c>
      <c r="D709" s="238">
        <v>9147.0</v>
      </c>
      <c r="E709" s="238" t="s">
        <v>4564</v>
      </c>
      <c r="F709" s="238" t="s">
        <v>3381</v>
      </c>
      <c r="G709" s="239" t="s">
        <v>3333</v>
      </c>
      <c r="H709" s="240">
        <v>76.0</v>
      </c>
      <c r="I709" s="240">
        <v>76.0</v>
      </c>
      <c r="J709" s="240">
        <v>0.0</v>
      </c>
      <c r="K709" s="240">
        <v>3.0</v>
      </c>
      <c r="L709" s="240">
        <v>3.0</v>
      </c>
      <c r="M709" s="240" t="s">
        <v>3339</v>
      </c>
      <c r="N709" s="240">
        <v>0.0</v>
      </c>
    </row>
    <row r="710">
      <c r="A710" s="215">
        <v>706.0</v>
      </c>
      <c r="B710" s="237"/>
      <c r="C710" s="238">
        <v>3082.0</v>
      </c>
      <c r="D710" s="238">
        <v>9148.0</v>
      </c>
      <c r="E710" s="238" t="s">
        <v>4564</v>
      </c>
      <c r="F710" s="238" t="s">
        <v>4565</v>
      </c>
      <c r="G710" s="239" t="s">
        <v>3333</v>
      </c>
      <c r="H710" s="240">
        <v>26.0</v>
      </c>
      <c r="I710" s="240">
        <v>5.0</v>
      </c>
      <c r="J710" s="240">
        <v>0.0</v>
      </c>
      <c r="K710" s="240">
        <v>1.0</v>
      </c>
      <c r="L710" s="240">
        <v>0.0</v>
      </c>
      <c r="M710" s="240" t="s">
        <v>3407</v>
      </c>
      <c r="N710" s="240">
        <v>20.0</v>
      </c>
    </row>
    <row r="711">
      <c r="A711" s="215">
        <v>707.0</v>
      </c>
      <c r="B711" s="237"/>
      <c r="C711" s="238">
        <v>3082.0</v>
      </c>
      <c r="D711" s="238">
        <v>9173.0</v>
      </c>
      <c r="E711" s="238" t="s">
        <v>4564</v>
      </c>
      <c r="F711" s="238" t="s">
        <v>4391</v>
      </c>
      <c r="G711" s="239" t="s">
        <v>3333</v>
      </c>
      <c r="H711" s="240">
        <v>50.0</v>
      </c>
      <c r="I711" s="240">
        <v>44.0</v>
      </c>
      <c r="J711" s="240">
        <v>0.0</v>
      </c>
      <c r="K711" s="240">
        <v>0.0</v>
      </c>
      <c r="L711" s="240">
        <v>0.0</v>
      </c>
      <c r="M711" s="240" t="s">
        <v>3384</v>
      </c>
      <c r="N711" s="240">
        <v>6.0</v>
      </c>
    </row>
    <row r="712">
      <c r="A712" s="215">
        <v>708.0</v>
      </c>
      <c r="B712" s="237"/>
      <c r="C712" s="238">
        <v>3082.0</v>
      </c>
      <c r="D712" s="238">
        <v>9205.0</v>
      </c>
      <c r="E712" s="238" t="s">
        <v>4564</v>
      </c>
      <c r="F712" s="238" t="s">
        <v>3595</v>
      </c>
      <c r="G712" s="239" t="s">
        <v>3333</v>
      </c>
      <c r="H712" s="240">
        <v>33.0</v>
      </c>
      <c r="I712" s="240">
        <v>33.0</v>
      </c>
      <c r="J712" s="240">
        <v>0.0</v>
      </c>
      <c r="K712" s="240">
        <v>0.0</v>
      </c>
      <c r="L712" s="240">
        <v>0.0</v>
      </c>
      <c r="M712" s="240" t="s">
        <v>4446</v>
      </c>
      <c r="N712" s="240">
        <v>0.0</v>
      </c>
    </row>
    <row r="713">
      <c r="A713" s="215">
        <v>709.0</v>
      </c>
      <c r="B713" s="237"/>
      <c r="C713" s="238">
        <v>3082.0</v>
      </c>
      <c r="D713" s="238">
        <v>9254.0</v>
      </c>
      <c r="E713" s="238" t="s">
        <v>4564</v>
      </c>
      <c r="F713" s="238" t="s">
        <v>3383</v>
      </c>
      <c r="G713" s="239" t="s">
        <v>3333</v>
      </c>
      <c r="H713" s="240">
        <v>65.0</v>
      </c>
      <c r="I713" s="240">
        <v>43.0</v>
      </c>
      <c r="J713" s="240">
        <v>0.0</v>
      </c>
      <c r="K713" s="240">
        <v>2.0</v>
      </c>
      <c r="L713" s="240">
        <v>0.0</v>
      </c>
      <c r="M713" s="240" t="s">
        <v>4504</v>
      </c>
      <c r="N713" s="240">
        <v>20.0</v>
      </c>
    </row>
    <row r="714">
      <c r="A714" s="215">
        <v>710.0</v>
      </c>
      <c r="B714" s="237"/>
      <c r="C714" s="238">
        <v>3083.0</v>
      </c>
      <c r="D714" s="238">
        <v>9089.0</v>
      </c>
      <c r="E714" s="238" t="s">
        <v>4566</v>
      </c>
      <c r="F714" s="238" t="s">
        <v>3456</v>
      </c>
      <c r="G714" s="239" t="s">
        <v>3333</v>
      </c>
      <c r="H714" s="240">
        <v>20.0</v>
      </c>
      <c r="I714" s="240">
        <v>9.0</v>
      </c>
      <c r="J714" s="240">
        <v>0.0</v>
      </c>
      <c r="K714" s="240">
        <v>0.0</v>
      </c>
      <c r="L714" s="240">
        <v>0.0</v>
      </c>
      <c r="M714" s="240" t="s">
        <v>3512</v>
      </c>
      <c r="N714" s="240">
        <v>11.0</v>
      </c>
    </row>
    <row r="715">
      <c r="A715" s="215">
        <v>711.0</v>
      </c>
      <c r="B715" s="237"/>
      <c r="C715" s="238">
        <v>3083.0</v>
      </c>
      <c r="D715" s="238">
        <v>9123.0</v>
      </c>
      <c r="E715" s="238" t="s">
        <v>4566</v>
      </c>
      <c r="F715" s="238" t="s">
        <v>3471</v>
      </c>
      <c r="G715" s="239" t="s">
        <v>3333</v>
      </c>
      <c r="H715" s="240">
        <v>20.0</v>
      </c>
      <c r="I715" s="240">
        <v>18.0</v>
      </c>
      <c r="J715" s="240">
        <v>0.0</v>
      </c>
      <c r="K715" s="240">
        <v>0.0</v>
      </c>
      <c r="L715" s="240">
        <v>0.0</v>
      </c>
      <c r="M715" s="240" t="s">
        <v>4360</v>
      </c>
      <c r="N715" s="240">
        <v>2.0</v>
      </c>
    </row>
    <row r="716">
      <c r="A716" s="215">
        <v>712.0</v>
      </c>
      <c r="B716" s="237"/>
      <c r="C716" s="238">
        <v>3083.0</v>
      </c>
      <c r="D716" s="238" t="s">
        <v>3521</v>
      </c>
      <c r="E716" s="238" t="s">
        <v>4566</v>
      </c>
      <c r="F716" s="238" t="s">
        <v>3522</v>
      </c>
      <c r="G716" s="239" t="s">
        <v>3333</v>
      </c>
      <c r="H716" s="240">
        <v>20.0</v>
      </c>
      <c r="I716" s="240">
        <v>6.0</v>
      </c>
      <c r="J716" s="240">
        <v>0.0</v>
      </c>
      <c r="K716" s="240">
        <v>0.0</v>
      </c>
      <c r="L716" s="240">
        <v>0.0</v>
      </c>
      <c r="M716" s="240" t="s">
        <v>4567</v>
      </c>
      <c r="N716" s="240">
        <v>14.0</v>
      </c>
    </row>
    <row r="717">
      <c r="A717" s="215">
        <v>713.0</v>
      </c>
      <c r="B717" s="237"/>
      <c r="C717" s="238">
        <v>3083.0</v>
      </c>
      <c r="D717" s="238" t="s">
        <v>4568</v>
      </c>
      <c r="E717" s="238" t="s">
        <v>4566</v>
      </c>
      <c r="F717" s="238" t="s">
        <v>4569</v>
      </c>
      <c r="G717" s="239" t="s">
        <v>3333</v>
      </c>
      <c r="H717" s="240">
        <v>20.0</v>
      </c>
      <c r="I717" s="240">
        <v>1.0</v>
      </c>
      <c r="J717" s="240">
        <v>0.0</v>
      </c>
      <c r="K717" s="240">
        <v>0.0</v>
      </c>
      <c r="L717" s="240">
        <v>0.0</v>
      </c>
      <c r="M717" s="241"/>
      <c r="N717" s="240">
        <v>19.0</v>
      </c>
    </row>
    <row r="718">
      <c r="A718" s="215">
        <v>714.0</v>
      </c>
      <c r="B718" s="237"/>
      <c r="C718" s="238">
        <v>3087.0</v>
      </c>
      <c r="D718" s="238">
        <v>9147.0</v>
      </c>
      <c r="E718" s="238" t="s">
        <v>4570</v>
      </c>
      <c r="F718" s="238" t="s">
        <v>3381</v>
      </c>
      <c r="G718" s="239" t="s">
        <v>3333</v>
      </c>
      <c r="H718" s="240">
        <v>31.0</v>
      </c>
      <c r="I718" s="240">
        <v>27.0</v>
      </c>
      <c r="J718" s="240">
        <v>0.0</v>
      </c>
      <c r="K718" s="240">
        <v>0.0</v>
      </c>
      <c r="L718" s="240">
        <v>0.0</v>
      </c>
      <c r="M718" s="240" t="s">
        <v>3433</v>
      </c>
      <c r="N718" s="240">
        <v>4.0</v>
      </c>
    </row>
    <row r="719">
      <c r="A719" s="215">
        <v>715.0</v>
      </c>
      <c r="B719" s="237"/>
      <c r="C719" s="238">
        <v>3087.0</v>
      </c>
      <c r="D719" s="238">
        <v>9148.0</v>
      </c>
      <c r="E719" s="238" t="s">
        <v>4570</v>
      </c>
      <c r="F719" s="238" t="s">
        <v>4565</v>
      </c>
      <c r="G719" s="239" t="s">
        <v>3333</v>
      </c>
      <c r="H719" s="240">
        <v>20.0</v>
      </c>
      <c r="I719" s="240">
        <v>3.0</v>
      </c>
      <c r="J719" s="240">
        <v>0.0</v>
      </c>
      <c r="K719" s="240">
        <v>0.0</v>
      </c>
      <c r="L719" s="240">
        <v>0.0</v>
      </c>
      <c r="M719" s="240" t="s">
        <v>3567</v>
      </c>
      <c r="N719" s="240">
        <v>17.0</v>
      </c>
    </row>
    <row r="720">
      <c r="A720" s="215">
        <v>716.0</v>
      </c>
      <c r="B720" s="237"/>
      <c r="C720" s="238">
        <v>3087.0</v>
      </c>
      <c r="D720" s="238">
        <v>9254.0</v>
      </c>
      <c r="E720" s="238" t="s">
        <v>4570</v>
      </c>
      <c r="F720" s="238" t="s">
        <v>3383</v>
      </c>
      <c r="G720" s="239" t="s">
        <v>3333</v>
      </c>
      <c r="H720" s="240">
        <v>40.0</v>
      </c>
      <c r="I720" s="240">
        <v>11.0</v>
      </c>
      <c r="J720" s="240">
        <v>0.0</v>
      </c>
      <c r="K720" s="240">
        <v>1.0</v>
      </c>
      <c r="L720" s="240">
        <v>0.0</v>
      </c>
      <c r="M720" s="240" t="s">
        <v>3826</v>
      </c>
      <c r="N720" s="240">
        <v>28.0</v>
      </c>
    </row>
    <row r="721">
      <c r="A721" s="215">
        <v>717.0</v>
      </c>
      <c r="B721" s="237"/>
      <c r="C721" s="238">
        <v>3091.0</v>
      </c>
      <c r="D721" s="238">
        <v>8339.0</v>
      </c>
      <c r="E721" s="238" t="s">
        <v>4571</v>
      </c>
      <c r="F721" s="238" t="s">
        <v>4572</v>
      </c>
      <c r="G721" s="239" t="s">
        <v>3333</v>
      </c>
      <c r="H721" s="240">
        <v>50.0</v>
      </c>
      <c r="I721" s="240">
        <v>13.0</v>
      </c>
      <c r="J721" s="240">
        <v>0.0</v>
      </c>
      <c r="K721" s="240">
        <v>1.0</v>
      </c>
      <c r="L721" s="240">
        <v>0.0</v>
      </c>
      <c r="M721" s="240" t="s">
        <v>4203</v>
      </c>
      <c r="N721" s="240">
        <v>36.0</v>
      </c>
    </row>
    <row r="722">
      <c r="A722" s="215">
        <v>718.0</v>
      </c>
      <c r="B722" s="237"/>
      <c r="C722" s="238">
        <v>3091.0</v>
      </c>
      <c r="D722" s="238">
        <v>9005.0</v>
      </c>
      <c r="E722" s="238" t="s">
        <v>4571</v>
      </c>
      <c r="F722" s="238" t="s">
        <v>4106</v>
      </c>
      <c r="G722" s="239" t="s">
        <v>3333</v>
      </c>
      <c r="H722" s="240">
        <v>20.0</v>
      </c>
      <c r="I722" s="240">
        <v>3.0</v>
      </c>
      <c r="J722" s="240">
        <v>0.0</v>
      </c>
      <c r="K722" s="240">
        <v>0.0</v>
      </c>
      <c r="L722" s="240">
        <v>0.0</v>
      </c>
      <c r="M722" s="237"/>
      <c r="N722" s="240">
        <v>17.0</v>
      </c>
    </row>
    <row r="723">
      <c r="A723" s="215">
        <v>719.0</v>
      </c>
      <c r="B723" s="237"/>
      <c r="C723" s="238">
        <v>3091.0</v>
      </c>
      <c r="D723" s="238">
        <v>9473.0</v>
      </c>
      <c r="E723" s="238" t="s">
        <v>4571</v>
      </c>
      <c r="F723" s="238" t="s">
        <v>4573</v>
      </c>
      <c r="G723" s="239" t="s">
        <v>3333</v>
      </c>
      <c r="H723" s="240">
        <v>20.0</v>
      </c>
      <c r="I723" s="240">
        <v>0.0</v>
      </c>
      <c r="J723" s="240">
        <v>0.0</v>
      </c>
      <c r="K723" s="240">
        <v>0.0</v>
      </c>
      <c r="L723" s="240">
        <v>0.0</v>
      </c>
      <c r="M723" s="241"/>
      <c r="N723" s="240">
        <v>20.0</v>
      </c>
    </row>
    <row r="724">
      <c r="A724" s="215">
        <v>720.0</v>
      </c>
      <c r="B724" s="237"/>
      <c r="C724" s="238">
        <v>3091.0</v>
      </c>
      <c r="D724" s="238">
        <v>9563.0</v>
      </c>
      <c r="E724" s="238" t="s">
        <v>4571</v>
      </c>
      <c r="F724" s="238" t="s">
        <v>4351</v>
      </c>
      <c r="G724" s="239" t="s">
        <v>3333</v>
      </c>
      <c r="H724" s="240">
        <v>51.0</v>
      </c>
      <c r="I724" s="240">
        <v>11.0</v>
      </c>
      <c r="J724" s="240">
        <v>0.0</v>
      </c>
      <c r="K724" s="240">
        <v>0.0</v>
      </c>
      <c r="L724" s="240">
        <v>0.0</v>
      </c>
      <c r="M724" s="240" t="s">
        <v>4117</v>
      </c>
      <c r="N724" s="240">
        <v>40.0</v>
      </c>
    </row>
    <row r="725">
      <c r="A725" s="215">
        <v>721.0</v>
      </c>
      <c r="B725" s="237"/>
      <c r="C725" s="238">
        <v>3091.0</v>
      </c>
      <c r="D725" s="238">
        <v>9652.0</v>
      </c>
      <c r="E725" s="238" t="s">
        <v>4571</v>
      </c>
      <c r="F725" s="238" t="s">
        <v>3348</v>
      </c>
      <c r="G725" s="239" t="s">
        <v>3333</v>
      </c>
      <c r="H725" s="240">
        <v>42.0</v>
      </c>
      <c r="I725" s="240">
        <v>13.0</v>
      </c>
      <c r="J725" s="240">
        <v>0.0</v>
      </c>
      <c r="K725" s="240">
        <v>1.0</v>
      </c>
      <c r="L725" s="240">
        <v>0.0</v>
      </c>
      <c r="M725" s="240" t="s">
        <v>4466</v>
      </c>
      <c r="N725" s="240">
        <v>28.0</v>
      </c>
    </row>
    <row r="726">
      <c r="A726" s="215">
        <v>722.0</v>
      </c>
      <c r="B726" s="237"/>
      <c r="C726" s="238">
        <v>3091.0</v>
      </c>
      <c r="D726" s="238">
        <v>9853.0</v>
      </c>
      <c r="E726" s="238" t="s">
        <v>4571</v>
      </c>
      <c r="F726" s="238" t="s">
        <v>3350</v>
      </c>
      <c r="G726" s="239" t="s">
        <v>3333</v>
      </c>
      <c r="H726" s="240">
        <v>44.0</v>
      </c>
      <c r="I726" s="240">
        <v>44.0</v>
      </c>
      <c r="J726" s="240">
        <v>0.0</v>
      </c>
      <c r="K726" s="240">
        <v>0.0</v>
      </c>
      <c r="L726" s="240">
        <v>0.0</v>
      </c>
      <c r="M726" s="240" t="s">
        <v>4104</v>
      </c>
      <c r="N726" s="240">
        <v>0.0</v>
      </c>
    </row>
    <row r="727">
      <c r="A727" s="215">
        <v>723.0</v>
      </c>
      <c r="B727" s="237"/>
      <c r="C727" s="238">
        <v>3091.0</v>
      </c>
      <c r="D727" s="238" t="s">
        <v>4575</v>
      </c>
      <c r="E727" s="238" t="s">
        <v>4571</v>
      </c>
      <c r="F727" s="238" t="s">
        <v>4576</v>
      </c>
      <c r="G727" s="239" t="s">
        <v>3333</v>
      </c>
      <c r="H727" s="240">
        <v>28.0</v>
      </c>
      <c r="I727" s="240">
        <v>1.0</v>
      </c>
      <c r="J727" s="240">
        <v>0.0</v>
      </c>
      <c r="K727" s="240">
        <v>0.0</v>
      </c>
      <c r="L727" s="240">
        <v>0.0</v>
      </c>
      <c r="M727" s="240" t="s">
        <v>3422</v>
      </c>
      <c r="N727" s="240">
        <v>27.0</v>
      </c>
    </row>
    <row r="728">
      <c r="A728" s="215">
        <v>724.0</v>
      </c>
      <c r="B728" s="237"/>
      <c r="C728" s="238">
        <v>3092.0</v>
      </c>
      <c r="D728" s="238">
        <v>9056.0</v>
      </c>
      <c r="E728" s="238" t="s">
        <v>4577</v>
      </c>
      <c r="F728" s="238" t="s">
        <v>3939</v>
      </c>
      <c r="G728" s="239" t="s">
        <v>3333</v>
      </c>
      <c r="H728" s="240">
        <v>30.0</v>
      </c>
      <c r="I728" s="240">
        <v>5.0</v>
      </c>
      <c r="J728" s="240">
        <v>0.0</v>
      </c>
      <c r="K728" s="240">
        <v>0.0</v>
      </c>
      <c r="L728" s="240">
        <v>0.0</v>
      </c>
      <c r="M728" s="240" t="s">
        <v>4215</v>
      </c>
      <c r="N728" s="240">
        <v>25.0</v>
      </c>
    </row>
    <row r="729">
      <c r="A729" s="215">
        <v>725.0</v>
      </c>
      <c r="B729" s="237"/>
      <c r="C729" s="238">
        <v>3092.0</v>
      </c>
      <c r="D729" s="238">
        <v>9089.0</v>
      </c>
      <c r="E729" s="238" t="s">
        <v>4577</v>
      </c>
      <c r="F729" s="238" t="s">
        <v>3456</v>
      </c>
      <c r="G729" s="239" t="s">
        <v>3333</v>
      </c>
      <c r="H729" s="240">
        <v>10.0</v>
      </c>
      <c r="I729" s="240">
        <v>0.0</v>
      </c>
      <c r="J729" s="240">
        <v>0.0</v>
      </c>
      <c r="K729" s="240">
        <v>0.0</v>
      </c>
      <c r="L729" s="240">
        <v>0.0</v>
      </c>
      <c r="M729" s="241"/>
      <c r="N729" s="240">
        <v>10.0</v>
      </c>
    </row>
    <row r="730">
      <c r="A730" s="215">
        <v>726.0</v>
      </c>
      <c r="B730" s="237"/>
      <c r="C730" s="238">
        <v>3092.0</v>
      </c>
      <c r="D730" s="238">
        <v>9119.0</v>
      </c>
      <c r="E730" s="238" t="s">
        <v>4577</v>
      </c>
      <c r="F730" s="238" t="s">
        <v>3417</v>
      </c>
      <c r="G730" s="239" t="s">
        <v>3333</v>
      </c>
      <c r="H730" s="240">
        <v>72.0</v>
      </c>
      <c r="I730" s="240">
        <v>3.0</v>
      </c>
      <c r="J730" s="240">
        <v>0.0</v>
      </c>
      <c r="K730" s="240">
        <v>0.0</v>
      </c>
      <c r="L730" s="240">
        <v>0.0</v>
      </c>
      <c r="M730" s="240" t="s">
        <v>3662</v>
      </c>
      <c r="N730" s="240">
        <v>69.0</v>
      </c>
    </row>
    <row r="731">
      <c r="A731" s="215">
        <v>727.0</v>
      </c>
      <c r="B731" s="237"/>
      <c r="C731" s="238">
        <v>3092.0</v>
      </c>
      <c r="D731" s="238">
        <v>9128.0</v>
      </c>
      <c r="E731" s="238" t="s">
        <v>4577</v>
      </c>
      <c r="F731" s="238" t="s">
        <v>4580</v>
      </c>
      <c r="G731" s="239" t="s">
        <v>3333</v>
      </c>
      <c r="H731" s="240">
        <v>10.0</v>
      </c>
      <c r="I731" s="240">
        <v>0.0</v>
      </c>
      <c r="J731" s="240">
        <v>0.0</v>
      </c>
      <c r="K731" s="240">
        <v>0.0</v>
      </c>
      <c r="L731" s="240">
        <v>0.0</v>
      </c>
      <c r="M731" s="241"/>
      <c r="N731" s="240">
        <v>10.0</v>
      </c>
    </row>
    <row r="732">
      <c r="A732" s="215">
        <v>728.0</v>
      </c>
      <c r="B732" s="237"/>
      <c r="C732" s="238">
        <v>3092.0</v>
      </c>
      <c r="D732" s="238">
        <v>9147.0</v>
      </c>
      <c r="E732" s="238" t="s">
        <v>4577</v>
      </c>
      <c r="F732" s="238" t="s">
        <v>3381</v>
      </c>
      <c r="G732" s="239" t="s">
        <v>3333</v>
      </c>
      <c r="H732" s="240">
        <v>60.0</v>
      </c>
      <c r="I732" s="240">
        <v>15.0</v>
      </c>
      <c r="J732" s="240">
        <v>0.0</v>
      </c>
      <c r="K732" s="240">
        <v>1.0</v>
      </c>
      <c r="L732" s="240">
        <v>0.0</v>
      </c>
      <c r="M732" s="240" t="s">
        <v>3653</v>
      </c>
      <c r="N732" s="240">
        <v>44.0</v>
      </c>
    </row>
    <row r="733">
      <c r="A733" s="215">
        <v>729.0</v>
      </c>
      <c r="B733" s="237"/>
      <c r="C733" s="238">
        <v>3092.0</v>
      </c>
      <c r="D733" s="238">
        <v>9157.0</v>
      </c>
      <c r="E733" s="238" t="s">
        <v>4577</v>
      </c>
      <c r="F733" s="238" t="s">
        <v>4262</v>
      </c>
      <c r="G733" s="239" t="s">
        <v>3333</v>
      </c>
      <c r="H733" s="240">
        <v>52.0</v>
      </c>
      <c r="I733" s="240">
        <v>9.0</v>
      </c>
      <c r="J733" s="240">
        <v>0.0</v>
      </c>
      <c r="K733" s="240">
        <v>0.0</v>
      </c>
      <c r="L733" s="240">
        <v>0.0</v>
      </c>
      <c r="M733" s="240" t="s">
        <v>3946</v>
      </c>
      <c r="N733" s="240">
        <v>43.0</v>
      </c>
    </row>
    <row r="734">
      <c r="A734" s="215">
        <v>730.0</v>
      </c>
      <c r="B734" s="237"/>
      <c r="C734" s="238">
        <v>3092.0</v>
      </c>
      <c r="D734" s="238">
        <v>9205.0</v>
      </c>
      <c r="E734" s="238" t="s">
        <v>4577</v>
      </c>
      <c r="F734" s="238" t="s">
        <v>3595</v>
      </c>
      <c r="G734" s="239" t="s">
        <v>3333</v>
      </c>
      <c r="H734" s="240">
        <v>34.0</v>
      </c>
      <c r="I734" s="240">
        <v>4.0</v>
      </c>
      <c r="J734" s="240">
        <v>0.0</v>
      </c>
      <c r="K734" s="240">
        <v>0.0</v>
      </c>
      <c r="L734" s="240">
        <v>0.0</v>
      </c>
      <c r="M734" s="240" t="s">
        <v>4188</v>
      </c>
      <c r="N734" s="240">
        <v>30.0</v>
      </c>
    </row>
    <row r="735">
      <c r="A735" s="215">
        <v>731.0</v>
      </c>
      <c r="B735" s="237"/>
      <c r="C735" s="238">
        <v>3092.0</v>
      </c>
      <c r="D735" s="238">
        <v>9855.0</v>
      </c>
      <c r="E735" s="238" t="s">
        <v>4577</v>
      </c>
      <c r="F735" s="238" t="s">
        <v>4584</v>
      </c>
      <c r="G735" s="239" t="s">
        <v>3333</v>
      </c>
      <c r="H735" s="240">
        <v>14.0</v>
      </c>
      <c r="I735" s="240">
        <v>1.0</v>
      </c>
      <c r="J735" s="240">
        <v>0.0</v>
      </c>
      <c r="K735" s="240">
        <v>0.0</v>
      </c>
      <c r="L735" s="240">
        <v>0.0</v>
      </c>
      <c r="M735" s="240" t="s">
        <v>4585</v>
      </c>
      <c r="N735" s="240">
        <v>13.0</v>
      </c>
    </row>
    <row r="736">
      <c r="A736" s="215">
        <v>732.0</v>
      </c>
      <c r="B736" s="237"/>
      <c r="C736" s="238">
        <v>3092.0</v>
      </c>
      <c r="D736" s="238" t="s">
        <v>4586</v>
      </c>
      <c r="E736" s="238" t="s">
        <v>4577</v>
      </c>
      <c r="F736" s="238" t="s">
        <v>4587</v>
      </c>
      <c r="G736" s="239" t="s">
        <v>3333</v>
      </c>
      <c r="H736" s="240">
        <v>34.0</v>
      </c>
      <c r="I736" s="240">
        <v>15.0</v>
      </c>
      <c r="J736" s="240">
        <v>0.0</v>
      </c>
      <c r="K736" s="240">
        <v>0.0</v>
      </c>
      <c r="L736" s="240">
        <v>0.0</v>
      </c>
      <c r="M736" s="240" t="s">
        <v>4589</v>
      </c>
      <c r="N736" s="240">
        <v>19.0</v>
      </c>
    </row>
    <row r="737">
      <c r="A737" s="215">
        <v>733.0</v>
      </c>
      <c r="B737" s="237"/>
      <c r="C737" s="238">
        <v>3092.0</v>
      </c>
      <c r="D737" s="238" t="s">
        <v>4590</v>
      </c>
      <c r="E737" s="238" t="s">
        <v>4577</v>
      </c>
      <c r="F737" s="238" t="s">
        <v>4591</v>
      </c>
      <c r="G737" s="239" t="s">
        <v>3333</v>
      </c>
      <c r="H737" s="240">
        <v>35.0</v>
      </c>
      <c r="I737" s="240">
        <v>1.0</v>
      </c>
      <c r="J737" s="240">
        <v>0.0</v>
      </c>
      <c r="K737" s="240">
        <v>0.0</v>
      </c>
      <c r="L737" s="240">
        <v>0.0</v>
      </c>
      <c r="M737" s="240" t="s">
        <v>3382</v>
      </c>
      <c r="N737" s="240">
        <v>34.0</v>
      </c>
    </row>
    <row r="738">
      <c r="A738" s="215">
        <v>734.0</v>
      </c>
      <c r="B738" s="237"/>
      <c r="C738" s="238">
        <v>3092.0</v>
      </c>
      <c r="D738" s="238" t="s">
        <v>4592</v>
      </c>
      <c r="E738" s="238" t="s">
        <v>4577</v>
      </c>
      <c r="F738" s="238" t="s">
        <v>4593</v>
      </c>
      <c r="G738" s="239" t="s">
        <v>3333</v>
      </c>
      <c r="H738" s="240">
        <v>24.0</v>
      </c>
      <c r="I738" s="240">
        <v>18.0</v>
      </c>
      <c r="J738" s="240">
        <v>0.0</v>
      </c>
      <c r="K738" s="240">
        <v>0.0</v>
      </c>
      <c r="L738" s="240">
        <v>0.0</v>
      </c>
      <c r="M738" s="240" t="s">
        <v>3611</v>
      </c>
      <c r="N738" s="240">
        <v>6.0</v>
      </c>
    </row>
    <row r="739">
      <c r="A739" s="215">
        <v>735.0</v>
      </c>
      <c r="B739" s="237"/>
      <c r="C739" s="238">
        <v>3095.0</v>
      </c>
      <c r="D739" s="238">
        <v>9173.0</v>
      </c>
      <c r="E739" s="238" t="s">
        <v>4596</v>
      </c>
      <c r="F739" s="238" t="s">
        <v>4391</v>
      </c>
      <c r="G739" s="239" t="s">
        <v>3333</v>
      </c>
      <c r="H739" s="240">
        <v>20.0</v>
      </c>
      <c r="I739" s="240">
        <v>0.0</v>
      </c>
      <c r="J739" s="240">
        <v>0.0</v>
      </c>
      <c r="K739" s="240">
        <v>0.0</v>
      </c>
      <c r="L739" s="240">
        <v>0.0</v>
      </c>
      <c r="M739" s="237"/>
      <c r="N739" s="240">
        <v>20.0</v>
      </c>
    </row>
    <row r="740">
      <c r="A740" s="215">
        <v>736.0</v>
      </c>
      <c r="B740" s="237"/>
      <c r="C740" s="238">
        <v>3095.0</v>
      </c>
      <c r="D740" s="238">
        <v>9255.0</v>
      </c>
      <c r="E740" s="238" t="s">
        <v>4596</v>
      </c>
      <c r="F740" s="238" t="s">
        <v>4597</v>
      </c>
      <c r="G740" s="239" t="s">
        <v>3333</v>
      </c>
      <c r="H740" s="240">
        <v>12.0</v>
      </c>
      <c r="I740" s="240">
        <v>1.0</v>
      </c>
      <c r="J740" s="240">
        <v>0.0</v>
      </c>
      <c r="K740" s="240">
        <v>0.0</v>
      </c>
      <c r="L740" s="240">
        <v>0.0</v>
      </c>
      <c r="M740" s="237"/>
      <c r="N740" s="240">
        <v>11.0</v>
      </c>
    </row>
    <row r="741">
      <c r="A741" s="215">
        <v>737.0</v>
      </c>
      <c r="B741" s="237"/>
      <c r="C741" s="238">
        <v>3095.0</v>
      </c>
      <c r="D741" s="238">
        <v>9484.0</v>
      </c>
      <c r="E741" s="238" t="s">
        <v>4596</v>
      </c>
      <c r="F741" s="238" t="s">
        <v>4598</v>
      </c>
      <c r="G741" s="239" t="s">
        <v>3333</v>
      </c>
      <c r="H741" s="240">
        <v>12.0</v>
      </c>
      <c r="I741" s="240">
        <v>0.0</v>
      </c>
      <c r="J741" s="240">
        <v>0.0</v>
      </c>
      <c r="K741" s="240">
        <v>0.0</v>
      </c>
      <c r="L741" s="240">
        <v>0.0</v>
      </c>
      <c r="M741" s="237"/>
      <c r="N741" s="240">
        <v>12.0</v>
      </c>
    </row>
    <row r="742">
      <c r="A742" s="215">
        <v>738.0</v>
      </c>
      <c r="B742" s="237"/>
      <c r="C742" s="238">
        <v>3095.0</v>
      </c>
      <c r="D742" s="238" t="s">
        <v>4599</v>
      </c>
      <c r="E742" s="238" t="s">
        <v>4596</v>
      </c>
      <c r="F742" s="238" t="s">
        <v>4600</v>
      </c>
      <c r="G742" s="239" t="s">
        <v>3333</v>
      </c>
      <c r="H742" s="240">
        <v>10.0</v>
      </c>
      <c r="I742" s="240">
        <v>1.0</v>
      </c>
      <c r="J742" s="240">
        <v>0.0</v>
      </c>
      <c r="K742" s="240">
        <v>1.0</v>
      </c>
      <c r="L742" s="240">
        <v>0.0</v>
      </c>
      <c r="M742" s="241"/>
      <c r="N742" s="240">
        <v>8.0</v>
      </c>
    </row>
    <row r="743">
      <c r="A743" s="215">
        <v>739.0</v>
      </c>
      <c r="B743" s="237"/>
      <c r="C743" s="238">
        <v>3101.0</v>
      </c>
      <c r="D743" s="238">
        <v>8014.0</v>
      </c>
      <c r="E743" s="238" t="s">
        <v>4601</v>
      </c>
      <c r="F743" s="238" t="s">
        <v>4248</v>
      </c>
      <c r="G743" s="239" t="s">
        <v>3333</v>
      </c>
      <c r="H743" s="240">
        <v>20.0</v>
      </c>
      <c r="I743" s="240">
        <v>1.0</v>
      </c>
      <c r="J743" s="240">
        <v>0.0</v>
      </c>
      <c r="K743" s="240">
        <v>0.0</v>
      </c>
      <c r="L743" s="240">
        <v>0.0</v>
      </c>
      <c r="M743" s="240" t="s">
        <v>4470</v>
      </c>
      <c r="N743" s="240">
        <v>19.0</v>
      </c>
    </row>
    <row r="744">
      <c r="A744" s="215">
        <v>740.0</v>
      </c>
      <c r="B744" s="237"/>
      <c r="C744" s="238">
        <v>3101.0</v>
      </c>
      <c r="D744" s="238">
        <v>9084.0</v>
      </c>
      <c r="E744" s="238" t="s">
        <v>4601</v>
      </c>
      <c r="F744" s="238" t="s">
        <v>4410</v>
      </c>
      <c r="G744" s="239" t="s">
        <v>3333</v>
      </c>
      <c r="H744" s="240">
        <v>41.0</v>
      </c>
      <c r="I744" s="240">
        <v>36.0</v>
      </c>
      <c r="J744" s="240">
        <v>0.0</v>
      </c>
      <c r="K744" s="240">
        <v>0.0</v>
      </c>
      <c r="L744" s="240">
        <v>0.0</v>
      </c>
      <c r="M744" s="240" t="s">
        <v>3345</v>
      </c>
      <c r="N744" s="240">
        <v>5.0</v>
      </c>
    </row>
    <row r="745">
      <c r="A745" s="215">
        <v>741.0</v>
      </c>
      <c r="B745" s="237"/>
      <c r="C745" s="238">
        <v>3101.0</v>
      </c>
      <c r="D745" s="238">
        <v>9238.0</v>
      </c>
      <c r="E745" s="238" t="s">
        <v>4601</v>
      </c>
      <c r="F745" s="238" t="s">
        <v>3344</v>
      </c>
      <c r="G745" s="239" t="s">
        <v>3333</v>
      </c>
      <c r="H745" s="240">
        <v>39.0</v>
      </c>
      <c r="I745" s="240">
        <v>28.0</v>
      </c>
      <c r="J745" s="240">
        <v>0.0</v>
      </c>
      <c r="K745" s="240">
        <v>0.0</v>
      </c>
      <c r="L745" s="240">
        <v>0.0</v>
      </c>
      <c r="M745" s="240" t="s">
        <v>3822</v>
      </c>
      <c r="N745" s="240">
        <v>11.0</v>
      </c>
    </row>
    <row r="746">
      <c r="A746" s="215">
        <v>742.0</v>
      </c>
      <c r="B746" s="237"/>
      <c r="C746" s="238">
        <v>3101.0</v>
      </c>
      <c r="D746" s="238">
        <v>9492.0</v>
      </c>
      <c r="E746" s="238" t="s">
        <v>4601</v>
      </c>
      <c r="F746" s="238" t="s">
        <v>4602</v>
      </c>
      <c r="G746" s="239" t="s">
        <v>3333</v>
      </c>
      <c r="H746" s="240">
        <v>24.0</v>
      </c>
      <c r="I746" s="240">
        <v>13.0</v>
      </c>
      <c r="J746" s="240">
        <v>0.0</v>
      </c>
      <c r="K746" s="240">
        <v>0.0</v>
      </c>
      <c r="L746" s="240">
        <v>0.0</v>
      </c>
      <c r="M746" s="240" t="s">
        <v>3582</v>
      </c>
      <c r="N746" s="240">
        <v>11.0</v>
      </c>
    </row>
    <row r="747">
      <c r="A747" s="215">
        <v>743.0</v>
      </c>
      <c r="B747" s="237"/>
      <c r="C747" s="238">
        <v>3101.0</v>
      </c>
      <c r="D747" s="238">
        <v>9797.0</v>
      </c>
      <c r="E747" s="238" t="s">
        <v>4601</v>
      </c>
      <c r="F747" s="238" t="s">
        <v>4603</v>
      </c>
      <c r="G747" s="239" t="s">
        <v>3333</v>
      </c>
      <c r="H747" s="240">
        <v>39.0</v>
      </c>
      <c r="I747" s="240">
        <v>33.0</v>
      </c>
      <c r="J747" s="240">
        <v>0.0</v>
      </c>
      <c r="K747" s="240">
        <v>0.0</v>
      </c>
      <c r="L747" s="240">
        <v>0.0</v>
      </c>
      <c r="M747" s="240" t="s">
        <v>4604</v>
      </c>
      <c r="N747" s="240">
        <v>6.0</v>
      </c>
    </row>
    <row r="748">
      <c r="A748" s="215">
        <v>744.0</v>
      </c>
      <c r="B748" s="237"/>
      <c r="C748" s="238">
        <v>3101.0</v>
      </c>
      <c r="D748" s="238">
        <v>9851.0</v>
      </c>
      <c r="E748" s="238" t="s">
        <v>4601</v>
      </c>
      <c r="F748" s="238" t="s">
        <v>4605</v>
      </c>
      <c r="G748" s="239" t="s">
        <v>3333</v>
      </c>
      <c r="H748" s="240">
        <v>50.0</v>
      </c>
      <c r="I748" s="240">
        <v>34.0</v>
      </c>
      <c r="J748" s="240">
        <v>0.0</v>
      </c>
      <c r="K748" s="240">
        <v>4.0</v>
      </c>
      <c r="L748" s="240">
        <v>0.0</v>
      </c>
      <c r="M748" s="240" t="s">
        <v>4606</v>
      </c>
      <c r="N748" s="240">
        <v>12.0</v>
      </c>
    </row>
    <row r="749">
      <c r="A749" s="215">
        <v>745.0</v>
      </c>
      <c r="B749" s="237"/>
      <c r="C749" s="238">
        <v>3101.0</v>
      </c>
      <c r="D749" s="238">
        <v>9853.0</v>
      </c>
      <c r="E749" s="238" t="s">
        <v>4601</v>
      </c>
      <c r="F749" s="238" t="s">
        <v>3350</v>
      </c>
      <c r="G749" s="239" t="s">
        <v>3333</v>
      </c>
      <c r="H749" s="240">
        <v>97.0</v>
      </c>
      <c r="I749" s="240">
        <v>97.0</v>
      </c>
      <c r="J749" s="240">
        <v>0.0</v>
      </c>
      <c r="K749" s="240">
        <v>0.0</v>
      </c>
      <c r="L749" s="240">
        <v>0.0</v>
      </c>
      <c r="M749" s="240" t="s">
        <v>4321</v>
      </c>
      <c r="N749" s="240">
        <v>0.0</v>
      </c>
    </row>
    <row r="750">
      <c r="A750" s="215">
        <v>746.0</v>
      </c>
      <c r="B750" s="237"/>
      <c r="C750" s="238">
        <v>3101.0</v>
      </c>
      <c r="D750" s="238" t="s">
        <v>4607</v>
      </c>
      <c r="E750" s="238" t="s">
        <v>4601</v>
      </c>
      <c r="F750" s="238" t="s">
        <v>4608</v>
      </c>
      <c r="G750" s="239" t="s">
        <v>3333</v>
      </c>
      <c r="H750" s="240">
        <v>40.0</v>
      </c>
      <c r="I750" s="240">
        <v>40.0</v>
      </c>
      <c r="J750" s="240">
        <v>0.0</v>
      </c>
      <c r="K750" s="240">
        <v>0.0</v>
      </c>
      <c r="L750" s="240">
        <v>0.0</v>
      </c>
      <c r="M750" s="240" t="s">
        <v>4129</v>
      </c>
      <c r="N750" s="240">
        <v>0.0</v>
      </c>
    </row>
    <row r="751">
      <c r="A751" s="215">
        <v>747.0</v>
      </c>
      <c r="B751" s="237"/>
      <c r="C751" s="238">
        <v>3101.0</v>
      </c>
      <c r="D751" s="238" t="s">
        <v>4609</v>
      </c>
      <c r="E751" s="238" t="s">
        <v>4601</v>
      </c>
      <c r="F751" s="238" t="s">
        <v>4610</v>
      </c>
      <c r="G751" s="239" t="s">
        <v>3333</v>
      </c>
      <c r="H751" s="240">
        <v>20.0</v>
      </c>
      <c r="I751" s="240">
        <v>4.0</v>
      </c>
      <c r="J751" s="240">
        <v>0.0</v>
      </c>
      <c r="K751" s="240">
        <v>1.0</v>
      </c>
      <c r="L751" s="240">
        <v>0.0</v>
      </c>
      <c r="M751" s="240" t="s">
        <v>3814</v>
      </c>
      <c r="N751" s="240">
        <v>15.0</v>
      </c>
    </row>
    <row r="752">
      <c r="A752" s="215">
        <v>748.0</v>
      </c>
      <c r="B752" s="237"/>
      <c r="C752" s="238">
        <v>3102.0</v>
      </c>
      <c r="D752" s="238">
        <v>8015.0</v>
      </c>
      <c r="E752" s="238" t="s">
        <v>4611</v>
      </c>
      <c r="F752" s="238" t="s">
        <v>4358</v>
      </c>
      <c r="G752" s="239" t="s">
        <v>3333</v>
      </c>
      <c r="H752" s="240">
        <v>25.0</v>
      </c>
      <c r="I752" s="240">
        <v>18.0</v>
      </c>
      <c r="J752" s="240">
        <v>0.0</v>
      </c>
      <c r="K752" s="240">
        <v>0.0</v>
      </c>
      <c r="L752" s="240">
        <v>0.0</v>
      </c>
      <c r="M752" s="240" t="s">
        <v>3433</v>
      </c>
      <c r="N752" s="240">
        <v>7.0</v>
      </c>
    </row>
    <row r="753">
      <c r="A753" s="215">
        <v>749.0</v>
      </c>
      <c r="B753" s="237"/>
      <c r="C753" s="238">
        <v>3102.0</v>
      </c>
      <c r="D753" s="238">
        <v>9002.0</v>
      </c>
      <c r="E753" s="238" t="s">
        <v>4611</v>
      </c>
      <c r="F753" s="238" t="s">
        <v>3443</v>
      </c>
      <c r="G753" s="239" t="s">
        <v>3333</v>
      </c>
      <c r="H753" s="240">
        <v>29.0</v>
      </c>
      <c r="I753" s="240">
        <v>26.0</v>
      </c>
      <c r="J753" s="240">
        <v>0.0</v>
      </c>
      <c r="K753" s="240">
        <v>2.0</v>
      </c>
      <c r="L753" s="240">
        <v>0.0</v>
      </c>
      <c r="M753" s="240" t="s">
        <v>3819</v>
      </c>
      <c r="N753" s="240">
        <v>1.0</v>
      </c>
    </row>
    <row r="754">
      <c r="A754" s="215">
        <v>750.0</v>
      </c>
      <c r="B754" s="237"/>
      <c r="C754" s="238">
        <v>3102.0</v>
      </c>
      <c r="D754" s="238">
        <v>9089.0</v>
      </c>
      <c r="E754" s="238" t="s">
        <v>4611</v>
      </c>
      <c r="F754" s="238" t="s">
        <v>3456</v>
      </c>
      <c r="G754" s="239" t="s">
        <v>3333</v>
      </c>
      <c r="H754" s="240">
        <v>15.0</v>
      </c>
      <c r="I754" s="240">
        <v>10.0</v>
      </c>
      <c r="J754" s="240">
        <v>0.0</v>
      </c>
      <c r="K754" s="240">
        <v>0.0</v>
      </c>
      <c r="L754" s="240">
        <v>0.0</v>
      </c>
      <c r="M754" s="240" t="s">
        <v>4504</v>
      </c>
      <c r="N754" s="240">
        <v>5.0</v>
      </c>
    </row>
    <row r="755">
      <c r="A755" s="215">
        <v>751.0</v>
      </c>
      <c r="B755" s="237"/>
      <c r="C755" s="238">
        <v>3102.0</v>
      </c>
      <c r="D755" s="238">
        <v>9104.0</v>
      </c>
      <c r="E755" s="238" t="s">
        <v>4611</v>
      </c>
      <c r="F755" s="238" t="s">
        <v>3466</v>
      </c>
      <c r="G755" s="239" t="s">
        <v>3333</v>
      </c>
      <c r="H755" s="240">
        <v>20.0</v>
      </c>
      <c r="I755" s="240">
        <v>8.0</v>
      </c>
      <c r="J755" s="240">
        <v>0.0</v>
      </c>
      <c r="K755" s="240">
        <v>0.0</v>
      </c>
      <c r="L755" s="240">
        <v>0.0</v>
      </c>
      <c r="M755" s="240" t="s">
        <v>3795</v>
      </c>
      <c r="N755" s="240">
        <v>12.0</v>
      </c>
    </row>
    <row r="756">
      <c r="A756" s="215">
        <v>752.0</v>
      </c>
      <c r="B756" s="237"/>
      <c r="C756" s="238">
        <v>3102.0</v>
      </c>
      <c r="D756" s="238">
        <v>9112.0</v>
      </c>
      <c r="E756" s="238" t="s">
        <v>4611</v>
      </c>
      <c r="F756" s="238" t="s">
        <v>3522</v>
      </c>
      <c r="G756" s="239" t="s">
        <v>3333</v>
      </c>
      <c r="H756" s="240">
        <v>35.0</v>
      </c>
      <c r="I756" s="240">
        <v>18.0</v>
      </c>
      <c r="J756" s="240">
        <v>0.0</v>
      </c>
      <c r="K756" s="240">
        <v>0.0</v>
      </c>
      <c r="L756" s="240">
        <v>0.0</v>
      </c>
      <c r="M756" s="240" t="s">
        <v>3433</v>
      </c>
      <c r="N756" s="240">
        <v>17.0</v>
      </c>
    </row>
    <row r="757">
      <c r="A757" s="215">
        <v>753.0</v>
      </c>
      <c r="B757" s="237"/>
      <c r="C757" s="238">
        <v>3102.0</v>
      </c>
      <c r="D757" s="238">
        <v>9119.0</v>
      </c>
      <c r="E757" s="238" t="s">
        <v>4611</v>
      </c>
      <c r="F757" s="238" t="s">
        <v>3417</v>
      </c>
      <c r="G757" s="239" t="s">
        <v>3333</v>
      </c>
      <c r="H757" s="240">
        <v>125.0</v>
      </c>
      <c r="I757" s="240">
        <v>94.0</v>
      </c>
      <c r="J757" s="240">
        <v>0.0</v>
      </c>
      <c r="K757" s="240">
        <v>1.0</v>
      </c>
      <c r="L757" s="240">
        <v>0.0</v>
      </c>
      <c r="M757" s="240" t="s">
        <v>3978</v>
      </c>
      <c r="N757" s="240">
        <v>30.0</v>
      </c>
    </row>
    <row r="758">
      <c r="A758" s="215">
        <v>754.0</v>
      </c>
      <c r="B758" s="237"/>
      <c r="C758" s="238">
        <v>3102.0</v>
      </c>
      <c r="D758" s="238">
        <v>9123.0</v>
      </c>
      <c r="E758" s="238" t="s">
        <v>4611</v>
      </c>
      <c r="F758" s="238" t="s">
        <v>3471</v>
      </c>
      <c r="G758" s="239" t="s">
        <v>3333</v>
      </c>
      <c r="H758" s="240">
        <v>40.0</v>
      </c>
      <c r="I758" s="240">
        <v>18.0</v>
      </c>
      <c r="J758" s="240">
        <v>0.0</v>
      </c>
      <c r="K758" s="240">
        <v>0.0</v>
      </c>
      <c r="L758" s="240">
        <v>0.0</v>
      </c>
      <c r="M758" s="240" t="s">
        <v>3384</v>
      </c>
      <c r="N758" s="240">
        <v>22.0</v>
      </c>
    </row>
    <row r="759">
      <c r="A759" s="215">
        <v>755.0</v>
      </c>
      <c r="B759" s="237"/>
      <c r="C759" s="238">
        <v>3102.0</v>
      </c>
      <c r="D759" s="238">
        <v>9147.0</v>
      </c>
      <c r="E759" s="238" t="s">
        <v>4611</v>
      </c>
      <c r="F759" s="238" t="s">
        <v>3381</v>
      </c>
      <c r="G759" s="239" t="s">
        <v>3333</v>
      </c>
      <c r="H759" s="240">
        <v>102.0</v>
      </c>
      <c r="I759" s="240">
        <v>102.0</v>
      </c>
      <c r="J759" s="240">
        <v>0.0</v>
      </c>
      <c r="K759" s="240">
        <v>0.0</v>
      </c>
      <c r="L759" s="240">
        <v>0.0</v>
      </c>
      <c r="M759" s="240" t="s">
        <v>3449</v>
      </c>
      <c r="N759" s="240">
        <v>0.0</v>
      </c>
    </row>
    <row r="760">
      <c r="A760" s="215">
        <v>756.0</v>
      </c>
      <c r="B760" s="237"/>
      <c r="C760" s="238">
        <v>3102.0</v>
      </c>
      <c r="D760" s="238">
        <v>9205.0</v>
      </c>
      <c r="E760" s="238" t="s">
        <v>4611</v>
      </c>
      <c r="F760" s="238" t="s">
        <v>3595</v>
      </c>
      <c r="G760" s="239" t="s">
        <v>3333</v>
      </c>
      <c r="H760" s="240">
        <v>50.0</v>
      </c>
      <c r="I760" s="240">
        <v>50.0</v>
      </c>
      <c r="J760" s="240">
        <v>0.0</v>
      </c>
      <c r="K760" s="240">
        <v>4.0</v>
      </c>
      <c r="L760" s="240">
        <v>4.0</v>
      </c>
      <c r="M760" s="240" t="s">
        <v>3623</v>
      </c>
      <c r="N760" s="240">
        <v>0.0</v>
      </c>
    </row>
    <row r="761">
      <c r="A761" s="215">
        <v>757.0</v>
      </c>
      <c r="B761" s="237"/>
      <c r="C761" s="238">
        <v>3102.0</v>
      </c>
      <c r="D761" s="238">
        <v>9242.0</v>
      </c>
      <c r="E761" s="238" t="s">
        <v>4611</v>
      </c>
      <c r="F761" s="238" t="s">
        <v>4355</v>
      </c>
      <c r="G761" s="239" t="s">
        <v>3333</v>
      </c>
      <c r="H761" s="240">
        <v>62.0</v>
      </c>
      <c r="I761" s="240">
        <v>62.0</v>
      </c>
      <c r="J761" s="240">
        <v>0.0</v>
      </c>
      <c r="K761" s="240">
        <v>0.0</v>
      </c>
      <c r="L761" s="240">
        <v>0.0</v>
      </c>
      <c r="M761" s="240" t="s">
        <v>3376</v>
      </c>
      <c r="N761" s="240">
        <v>0.0</v>
      </c>
    </row>
    <row r="762">
      <c r="A762" s="215">
        <v>758.0</v>
      </c>
      <c r="B762" s="237"/>
      <c r="C762" s="238">
        <v>3102.0</v>
      </c>
      <c r="D762" s="238">
        <v>9627.0</v>
      </c>
      <c r="E762" s="238" t="s">
        <v>4611</v>
      </c>
      <c r="F762" s="238" t="s">
        <v>4619</v>
      </c>
      <c r="G762" s="239" t="s">
        <v>3333</v>
      </c>
      <c r="H762" s="240">
        <v>45.0</v>
      </c>
      <c r="I762" s="240">
        <v>37.0</v>
      </c>
      <c r="J762" s="240">
        <v>0.0</v>
      </c>
      <c r="K762" s="240">
        <v>1.0</v>
      </c>
      <c r="L762" s="240">
        <v>0.0</v>
      </c>
      <c r="M762" s="240" t="s">
        <v>4019</v>
      </c>
      <c r="N762" s="240">
        <v>7.0</v>
      </c>
    </row>
    <row r="763">
      <c r="A763" s="215">
        <v>759.0</v>
      </c>
      <c r="B763" s="237"/>
      <c r="C763" s="238">
        <v>3102.0</v>
      </c>
      <c r="D763" s="238">
        <v>9648.0</v>
      </c>
      <c r="E763" s="238" t="s">
        <v>4611</v>
      </c>
      <c r="F763" s="238" t="s">
        <v>4621</v>
      </c>
      <c r="G763" s="239" t="s">
        <v>3333</v>
      </c>
      <c r="H763" s="240">
        <v>14.0</v>
      </c>
      <c r="I763" s="240">
        <v>3.0</v>
      </c>
      <c r="J763" s="240">
        <v>0.0</v>
      </c>
      <c r="K763" s="240">
        <v>0.0</v>
      </c>
      <c r="L763" s="240">
        <v>0.0</v>
      </c>
      <c r="M763" s="241"/>
      <c r="N763" s="240">
        <v>11.0</v>
      </c>
    </row>
    <row r="764">
      <c r="A764" s="215">
        <v>760.0</v>
      </c>
      <c r="B764" s="237"/>
      <c r="C764" s="238">
        <v>3102.0</v>
      </c>
      <c r="D764" s="238">
        <v>9690.0</v>
      </c>
      <c r="E764" s="238" t="s">
        <v>4611</v>
      </c>
      <c r="F764" s="238" t="s">
        <v>4623</v>
      </c>
      <c r="G764" s="239" t="s">
        <v>3333</v>
      </c>
      <c r="H764" s="240">
        <v>25.0</v>
      </c>
      <c r="I764" s="240">
        <v>25.0</v>
      </c>
      <c r="J764" s="240">
        <v>0.0</v>
      </c>
      <c r="K764" s="240">
        <v>0.0</v>
      </c>
      <c r="L764" s="240">
        <v>0.0</v>
      </c>
      <c r="M764" s="240" t="s">
        <v>3397</v>
      </c>
      <c r="N764" s="240">
        <v>0.0</v>
      </c>
    </row>
    <row r="765">
      <c r="A765" s="215">
        <v>761.0</v>
      </c>
      <c r="B765" s="237"/>
      <c r="C765" s="238">
        <v>3102.0</v>
      </c>
      <c r="D765" s="238">
        <v>9741.0</v>
      </c>
      <c r="E765" s="238" t="s">
        <v>4611</v>
      </c>
      <c r="F765" s="238" t="s">
        <v>4625</v>
      </c>
      <c r="G765" s="239" t="s">
        <v>3333</v>
      </c>
      <c r="H765" s="240">
        <v>40.0</v>
      </c>
      <c r="I765" s="240">
        <v>21.0</v>
      </c>
      <c r="J765" s="240">
        <v>0.0</v>
      </c>
      <c r="K765" s="240">
        <v>0.0</v>
      </c>
      <c r="L765" s="240">
        <v>0.0</v>
      </c>
      <c r="M765" s="240" t="s">
        <v>3535</v>
      </c>
      <c r="N765" s="240">
        <v>19.0</v>
      </c>
    </row>
    <row r="766">
      <c r="A766" s="215">
        <v>762.0</v>
      </c>
      <c r="B766" s="237"/>
      <c r="C766" s="238">
        <v>3102.0</v>
      </c>
      <c r="D766" s="238">
        <v>9885.0</v>
      </c>
      <c r="E766" s="238" t="s">
        <v>4611</v>
      </c>
      <c r="F766" s="238" t="s">
        <v>4538</v>
      </c>
      <c r="G766" s="239" t="s">
        <v>3333</v>
      </c>
      <c r="H766" s="240">
        <v>30.0</v>
      </c>
      <c r="I766" s="240">
        <v>2.0</v>
      </c>
      <c r="J766" s="240">
        <v>0.0</v>
      </c>
      <c r="K766" s="240">
        <v>0.0</v>
      </c>
      <c r="L766" s="240">
        <v>0.0</v>
      </c>
      <c r="M766" s="237"/>
      <c r="N766" s="240">
        <v>28.0</v>
      </c>
    </row>
    <row r="767">
      <c r="A767" s="215">
        <v>763.0</v>
      </c>
      <c r="B767" s="237"/>
      <c r="C767" s="238">
        <v>3102.0</v>
      </c>
      <c r="D767" s="238">
        <v>9886.0</v>
      </c>
      <c r="E767" s="238" t="s">
        <v>4611</v>
      </c>
      <c r="F767" s="238" t="s">
        <v>4626</v>
      </c>
      <c r="G767" s="239" t="s">
        <v>3333</v>
      </c>
      <c r="H767" s="240">
        <v>5.0</v>
      </c>
      <c r="I767" s="240">
        <v>2.0</v>
      </c>
      <c r="J767" s="240">
        <v>0.0</v>
      </c>
      <c r="K767" s="240">
        <v>0.0</v>
      </c>
      <c r="L767" s="240">
        <v>0.0</v>
      </c>
      <c r="M767" s="241"/>
      <c r="N767" s="240">
        <v>3.0</v>
      </c>
    </row>
    <row r="768">
      <c r="A768" s="215">
        <v>764.0</v>
      </c>
      <c r="B768" s="237"/>
      <c r="C768" s="238">
        <v>3102.0</v>
      </c>
      <c r="D768" s="238">
        <v>9991.0</v>
      </c>
      <c r="E768" s="238" t="s">
        <v>4611</v>
      </c>
      <c r="F768" s="238" t="s">
        <v>4627</v>
      </c>
      <c r="G768" s="239" t="s">
        <v>3333</v>
      </c>
      <c r="H768" s="240">
        <v>29.0</v>
      </c>
      <c r="I768" s="240">
        <v>9.0</v>
      </c>
      <c r="J768" s="240">
        <v>0.0</v>
      </c>
      <c r="K768" s="240">
        <v>0.0</v>
      </c>
      <c r="L768" s="240">
        <v>0.0</v>
      </c>
      <c r="M768" s="240" t="s">
        <v>3535</v>
      </c>
      <c r="N768" s="240">
        <v>20.0</v>
      </c>
    </row>
    <row r="769">
      <c r="A769" s="215">
        <v>765.0</v>
      </c>
      <c r="B769" s="237"/>
      <c r="C769" s="238">
        <v>3102.0</v>
      </c>
      <c r="D769" s="238" t="s">
        <v>4628</v>
      </c>
      <c r="E769" s="238" t="s">
        <v>4611</v>
      </c>
      <c r="F769" s="238" t="s">
        <v>4629</v>
      </c>
      <c r="G769" s="239" t="s">
        <v>3333</v>
      </c>
      <c r="H769" s="240">
        <v>65.0</v>
      </c>
      <c r="I769" s="240">
        <v>31.0</v>
      </c>
      <c r="J769" s="240">
        <v>0.0</v>
      </c>
      <c r="K769" s="240">
        <v>0.0</v>
      </c>
      <c r="L769" s="240">
        <v>0.0</v>
      </c>
      <c r="M769" s="240" t="s">
        <v>3389</v>
      </c>
      <c r="N769" s="240">
        <v>34.0</v>
      </c>
    </row>
    <row r="770">
      <c r="A770" s="215">
        <v>766.0</v>
      </c>
      <c r="B770" s="237"/>
      <c r="C770" s="238">
        <v>3102.0</v>
      </c>
      <c r="D770" s="238" t="s">
        <v>4630</v>
      </c>
      <c r="E770" s="238" t="s">
        <v>4611</v>
      </c>
      <c r="F770" s="238" t="s">
        <v>4631</v>
      </c>
      <c r="G770" s="239" t="s">
        <v>3333</v>
      </c>
      <c r="H770" s="240">
        <v>5.0</v>
      </c>
      <c r="I770" s="240">
        <v>0.0</v>
      </c>
      <c r="J770" s="240">
        <v>0.0</v>
      </c>
      <c r="K770" s="240">
        <v>0.0</v>
      </c>
      <c r="L770" s="240">
        <v>0.0</v>
      </c>
      <c r="M770" s="241"/>
      <c r="N770" s="240">
        <v>5.0</v>
      </c>
    </row>
    <row r="771">
      <c r="A771" s="215">
        <v>767.0</v>
      </c>
      <c r="B771" s="237"/>
      <c r="C771" s="238">
        <v>3103.0</v>
      </c>
      <c r="D771" s="238">
        <v>8126.0</v>
      </c>
      <c r="E771" s="238" t="s">
        <v>4632</v>
      </c>
      <c r="F771" s="238" t="s">
        <v>4633</v>
      </c>
      <c r="G771" s="239" t="s">
        <v>3333</v>
      </c>
      <c r="H771" s="240">
        <v>30.0</v>
      </c>
      <c r="I771" s="240">
        <v>11.0</v>
      </c>
      <c r="J771" s="240">
        <v>0.0</v>
      </c>
      <c r="K771" s="240">
        <v>1.0</v>
      </c>
      <c r="L771" s="240">
        <v>0.0</v>
      </c>
      <c r="M771" s="240" t="s">
        <v>4138</v>
      </c>
      <c r="N771" s="240">
        <v>18.0</v>
      </c>
    </row>
    <row r="772">
      <c r="A772" s="215">
        <v>768.0</v>
      </c>
      <c r="B772" s="237"/>
      <c r="C772" s="238">
        <v>3103.0</v>
      </c>
      <c r="D772" s="238">
        <v>8525.0</v>
      </c>
      <c r="E772" s="238" t="s">
        <v>4632</v>
      </c>
      <c r="F772" s="238" t="s">
        <v>4634</v>
      </c>
      <c r="G772" s="239" t="s">
        <v>3333</v>
      </c>
      <c r="H772" s="240">
        <v>24.0</v>
      </c>
      <c r="I772" s="240">
        <v>24.0</v>
      </c>
      <c r="J772" s="240">
        <v>0.0</v>
      </c>
      <c r="K772" s="240">
        <v>1.0</v>
      </c>
      <c r="L772" s="240">
        <v>1.0</v>
      </c>
      <c r="M772" s="240" t="s">
        <v>3742</v>
      </c>
      <c r="N772" s="240">
        <v>0.0</v>
      </c>
    </row>
    <row r="773">
      <c r="A773" s="215">
        <v>769.0</v>
      </c>
      <c r="B773" s="237"/>
      <c r="C773" s="238">
        <v>3103.0</v>
      </c>
      <c r="D773" s="238">
        <v>9007.0</v>
      </c>
      <c r="E773" s="238" t="s">
        <v>4632</v>
      </c>
      <c r="F773" s="238" t="s">
        <v>4635</v>
      </c>
      <c r="G773" s="239" t="s">
        <v>3333</v>
      </c>
      <c r="H773" s="240">
        <v>53.0</v>
      </c>
      <c r="I773" s="240">
        <v>53.0</v>
      </c>
      <c r="J773" s="240">
        <v>0.0</v>
      </c>
      <c r="K773" s="240">
        <v>0.0</v>
      </c>
      <c r="L773" s="240">
        <v>0.0</v>
      </c>
      <c r="M773" s="240" t="s">
        <v>4636</v>
      </c>
      <c r="N773" s="240">
        <v>0.0</v>
      </c>
    </row>
    <row r="774">
      <c r="A774" s="215">
        <v>770.0</v>
      </c>
      <c r="B774" s="237"/>
      <c r="C774" s="238">
        <v>3103.0</v>
      </c>
      <c r="D774" s="238">
        <v>9074.0</v>
      </c>
      <c r="E774" s="238" t="s">
        <v>4632</v>
      </c>
      <c r="F774" s="238" t="s">
        <v>3565</v>
      </c>
      <c r="G774" s="239" t="s">
        <v>3333</v>
      </c>
      <c r="H774" s="240">
        <v>28.0</v>
      </c>
      <c r="I774" s="240">
        <v>28.0</v>
      </c>
      <c r="J774" s="240">
        <v>0.0</v>
      </c>
      <c r="K774" s="240">
        <v>0.0</v>
      </c>
      <c r="L774" s="240">
        <v>0.0</v>
      </c>
      <c r="M774" s="240" t="s">
        <v>3380</v>
      </c>
      <c r="N774" s="240">
        <v>0.0</v>
      </c>
    </row>
    <row r="775">
      <c r="A775" s="215">
        <v>771.0</v>
      </c>
      <c r="B775" s="237"/>
      <c r="C775" s="238">
        <v>3103.0</v>
      </c>
      <c r="D775" s="238">
        <v>9243.0</v>
      </c>
      <c r="E775" s="238" t="s">
        <v>4632</v>
      </c>
      <c r="F775" s="238" t="s">
        <v>3794</v>
      </c>
      <c r="G775" s="239" t="s">
        <v>3333</v>
      </c>
      <c r="H775" s="240">
        <v>24.0</v>
      </c>
      <c r="I775" s="240">
        <v>24.0</v>
      </c>
      <c r="J775" s="240">
        <v>0.0</v>
      </c>
      <c r="K775" s="240">
        <v>0.0</v>
      </c>
      <c r="L775" s="240">
        <v>0.0</v>
      </c>
      <c r="M775" s="240" t="s">
        <v>4637</v>
      </c>
      <c r="N775" s="240">
        <v>0.0</v>
      </c>
    </row>
    <row r="776">
      <c r="A776" s="215">
        <v>772.0</v>
      </c>
      <c r="B776" s="237"/>
      <c r="C776" s="238">
        <v>3103.0</v>
      </c>
      <c r="D776" s="238">
        <v>9457.0</v>
      </c>
      <c r="E776" s="238" t="s">
        <v>4632</v>
      </c>
      <c r="F776" s="238" t="s">
        <v>4638</v>
      </c>
      <c r="G776" s="239" t="s">
        <v>3333</v>
      </c>
      <c r="H776" s="240">
        <v>65.0</v>
      </c>
      <c r="I776" s="240">
        <v>65.0</v>
      </c>
      <c r="J776" s="240">
        <v>0.0</v>
      </c>
      <c r="K776" s="240">
        <v>0.0</v>
      </c>
      <c r="L776" s="240">
        <v>0.0</v>
      </c>
      <c r="M776" s="240" t="s">
        <v>3914</v>
      </c>
      <c r="N776" s="240">
        <v>0.0</v>
      </c>
    </row>
    <row r="777">
      <c r="A777" s="215">
        <v>773.0</v>
      </c>
      <c r="B777" s="237"/>
      <c r="C777" s="238">
        <v>3103.0</v>
      </c>
      <c r="D777" s="238">
        <v>9729.0</v>
      </c>
      <c r="E777" s="238" t="s">
        <v>4632</v>
      </c>
      <c r="F777" s="238" t="s">
        <v>4639</v>
      </c>
      <c r="G777" s="239" t="s">
        <v>3333</v>
      </c>
      <c r="H777" s="240">
        <v>80.0</v>
      </c>
      <c r="I777" s="240">
        <v>80.0</v>
      </c>
      <c r="J777" s="240">
        <v>0.0</v>
      </c>
      <c r="K777" s="240">
        <v>0.0</v>
      </c>
      <c r="L777" s="240">
        <v>0.0</v>
      </c>
      <c r="M777" s="240" t="s">
        <v>3452</v>
      </c>
      <c r="N777" s="240">
        <v>0.0</v>
      </c>
    </row>
    <row r="778">
      <c r="A778" s="215">
        <v>774.0</v>
      </c>
      <c r="B778" s="237"/>
      <c r="C778" s="238">
        <v>3103.0</v>
      </c>
      <c r="D778" s="238" t="s">
        <v>4640</v>
      </c>
      <c r="E778" s="238" t="s">
        <v>4632</v>
      </c>
      <c r="F778" s="238" t="s">
        <v>4641</v>
      </c>
      <c r="G778" s="239" t="s">
        <v>3333</v>
      </c>
      <c r="H778" s="240">
        <v>21.0</v>
      </c>
      <c r="I778" s="240">
        <v>9.0</v>
      </c>
      <c r="J778" s="240">
        <v>0.0</v>
      </c>
      <c r="K778" s="240">
        <v>0.0</v>
      </c>
      <c r="L778" s="240">
        <v>0.0</v>
      </c>
      <c r="M778" s="240" t="s">
        <v>3519</v>
      </c>
      <c r="N778" s="240">
        <v>12.0</v>
      </c>
    </row>
    <row r="779">
      <c r="A779" s="215">
        <v>775.0</v>
      </c>
      <c r="B779" s="237"/>
      <c r="C779" s="238">
        <v>3103.0</v>
      </c>
      <c r="D779" s="238" t="s">
        <v>4642</v>
      </c>
      <c r="E779" s="238" t="s">
        <v>4632</v>
      </c>
      <c r="F779" s="238" t="s">
        <v>4643</v>
      </c>
      <c r="G779" s="239" t="s">
        <v>3333</v>
      </c>
      <c r="H779" s="240">
        <v>27.0</v>
      </c>
      <c r="I779" s="240">
        <v>27.0</v>
      </c>
      <c r="J779" s="240">
        <v>0.0</v>
      </c>
      <c r="K779" s="240">
        <v>0.0</v>
      </c>
      <c r="L779" s="240">
        <v>0.0</v>
      </c>
      <c r="M779" s="240" t="s">
        <v>3961</v>
      </c>
      <c r="N779" s="240">
        <v>0.0</v>
      </c>
    </row>
    <row r="780">
      <c r="A780" s="215">
        <v>776.0</v>
      </c>
      <c r="B780" s="237"/>
      <c r="C780" s="238">
        <v>3105.0</v>
      </c>
      <c r="D780" s="238">
        <v>8514.0</v>
      </c>
      <c r="E780" s="238" t="s">
        <v>4644</v>
      </c>
      <c r="F780" s="238" t="s">
        <v>4645</v>
      </c>
      <c r="G780" s="239" t="s">
        <v>3333</v>
      </c>
      <c r="H780" s="240">
        <v>24.0</v>
      </c>
      <c r="I780" s="240">
        <v>3.0</v>
      </c>
      <c r="J780" s="240">
        <v>0.0</v>
      </c>
      <c r="K780" s="240">
        <v>1.0</v>
      </c>
      <c r="L780" s="240">
        <v>0.0</v>
      </c>
      <c r="M780" s="240" t="s">
        <v>4388</v>
      </c>
      <c r="N780" s="240">
        <v>20.0</v>
      </c>
    </row>
    <row r="781">
      <c r="A781" s="215">
        <v>777.0</v>
      </c>
      <c r="B781" s="237"/>
      <c r="C781" s="238">
        <v>3105.0</v>
      </c>
      <c r="D781" s="238">
        <v>9013.0</v>
      </c>
      <c r="E781" s="238" t="s">
        <v>4644</v>
      </c>
      <c r="F781" s="238" t="s">
        <v>3405</v>
      </c>
      <c r="G781" s="239" t="s">
        <v>3333</v>
      </c>
      <c r="H781" s="240">
        <v>50.0</v>
      </c>
      <c r="I781" s="240">
        <v>6.0</v>
      </c>
      <c r="J781" s="240">
        <v>0.0</v>
      </c>
      <c r="K781" s="240">
        <v>0.0</v>
      </c>
      <c r="L781" s="240">
        <v>0.0</v>
      </c>
      <c r="M781" s="240" t="s">
        <v>3470</v>
      </c>
      <c r="N781" s="240">
        <v>44.0</v>
      </c>
    </row>
    <row r="782">
      <c r="A782" s="215">
        <v>778.0</v>
      </c>
      <c r="B782" s="237"/>
      <c r="C782" s="238">
        <v>3105.0</v>
      </c>
      <c r="D782" s="238">
        <v>9016.0</v>
      </c>
      <c r="E782" s="238" t="s">
        <v>4644</v>
      </c>
      <c r="F782" s="238" t="s">
        <v>3412</v>
      </c>
      <c r="G782" s="239" t="s">
        <v>3333</v>
      </c>
      <c r="H782" s="240">
        <v>30.0</v>
      </c>
      <c r="I782" s="240">
        <v>17.0</v>
      </c>
      <c r="J782" s="240">
        <v>0.0</v>
      </c>
      <c r="K782" s="240">
        <v>1.0</v>
      </c>
      <c r="L782" s="240">
        <v>0.0</v>
      </c>
      <c r="M782" s="240" t="s">
        <v>3345</v>
      </c>
      <c r="N782" s="240">
        <v>12.0</v>
      </c>
    </row>
    <row r="783">
      <c r="A783" s="215">
        <v>779.0</v>
      </c>
      <c r="B783" s="237"/>
      <c r="C783" s="238">
        <v>3105.0</v>
      </c>
      <c r="D783" s="238">
        <v>9087.0</v>
      </c>
      <c r="E783" s="238" t="s">
        <v>4644</v>
      </c>
      <c r="F783" s="238" t="s">
        <v>4243</v>
      </c>
      <c r="G783" s="239" t="s">
        <v>3333</v>
      </c>
      <c r="H783" s="240">
        <v>14.0</v>
      </c>
      <c r="I783" s="240">
        <v>0.0</v>
      </c>
      <c r="J783" s="240">
        <v>0.0</v>
      </c>
      <c r="K783" s="240">
        <v>0.0</v>
      </c>
      <c r="L783" s="240">
        <v>0.0</v>
      </c>
      <c r="M783" s="241"/>
      <c r="N783" s="240">
        <v>14.0</v>
      </c>
    </row>
    <row r="784">
      <c r="A784" s="215">
        <v>780.0</v>
      </c>
      <c r="B784" s="237"/>
      <c r="C784" s="238">
        <v>3105.0</v>
      </c>
      <c r="D784" s="238">
        <v>9178.0</v>
      </c>
      <c r="E784" s="238" t="s">
        <v>4644</v>
      </c>
      <c r="F784" s="238" t="s">
        <v>4648</v>
      </c>
      <c r="G784" s="239" t="s">
        <v>3333</v>
      </c>
      <c r="H784" s="240">
        <v>48.0</v>
      </c>
      <c r="I784" s="240">
        <v>12.0</v>
      </c>
      <c r="J784" s="240">
        <v>0.0</v>
      </c>
      <c r="K784" s="240">
        <v>0.0</v>
      </c>
      <c r="L784" s="240">
        <v>0.0</v>
      </c>
      <c r="M784" s="240" t="s">
        <v>4159</v>
      </c>
      <c r="N784" s="240">
        <v>36.0</v>
      </c>
    </row>
    <row r="785">
      <c r="A785" s="215">
        <v>781.0</v>
      </c>
      <c r="B785" s="237"/>
      <c r="C785" s="238">
        <v>3105.0</v>
      </c>
      <c r="D785" s="238">
        <v>9207.0</v>
      </c>
      <c r="E785" s="238" t="s">
        <v>4644</v>
      </c>
      <c r="F785" s="238" t="s">
        <v>4651</v>
      </c>
      <c r="G785" s="239" t="s">
        <v>3333</v>
      </c>
      <c r="H785" s="240">
        <v>36.0</v>
      </c>
      <c r="I785" s="240">
        <v>6.0</v>
      </c>
      <c r="J785" s="240">
        <v>0.0</v>
      </c>
      <c r="K785" s="240">
        <v>0.0</v>
      </c>
      <c r="L785" s="240">
        <v>0.0</v>
      </c>
      <c r="M785" s="240" t="s">
        <v>3771</v>
      </c>
      <c r="N785" s="240">
        <v>30.0</v>
      </c>
    </row>
    <row r="786">
      <c r="A786" s="215">
        <v>782.0</v>
      </c>
      <c r="B786" s="237"/>
      <c r="C786" s="238">
        <v>3105.0</v>
      </c>
      <c r="D786" s="238">
        <v>9254.0</v>
      </c>
      <c r="E786" s="238" t="s">
        <v>4644</v>
      </c>
      <c r="F786" s="238" t="s">
        <v>3383</v>
      </c>
      <c r="G786" s="239" t="s">
        <v>3333</v>
      </c>
      <c r="H786" s="240">
        <v>51.0</v>
      </c>
      <c r="I786" s="240">
        <v>15.0</v>
      </c>
      <c r="J786" s="240">
        <v>0.0</v>
      </c>
      <c r="K786" s="240">
        <v>0.0</v>
      </c>
      <c r="L786" s="240">
        <v>0.0</v>
      </c>
      <c r="M786" s="240" t="s">
        <v>3653</v>
      </c>
      <c r="N786" s="240">
        <v>36.0</v>
      </c>
    </row>
    <row r="787">
      <c r="A787" s="215">
        <v>783.0</v>
      </c>
      <c r="B787" s="237"/>
      <c r="C787" s="238">
        <v>3105.0</v>
      </c>
      <c r="D787" s="238">
        <v>9848.0</v>
      </c>
      <c r="E787" s="238" t="s">
        <v>4644</v>
      </c>
      <c r="F787" s="238" t="s">
        <v>4654</v>
      </c>
      <c r="G787" s="239" t="s">
        <v>3333</v>
      </c>
      <c r="H787" s="240">
        <v>25.0</v>
      </c>
      <c r="I787" s="240">
        <v>2.0</v>
      </c>
      <c r="J787" s="240">
        <v>0.0</v>
      </c>
      <c r="K787" s="240">
        <v>0.0</v>
      </c>
      <c r="L787" s="240">
        <v>0.0</v>
      </c>
      <c r="M787" s="240" t="s">
        <v>4281</v>
      </c>
      <c r="N787" s="240">
        <v>23.0</v>
      </c>
    </row>
    <row r="788">
      <c r="A788" s="215">
        <v>784.0</v>
      </c>
      <c r="B788" s="237"/>
      <c r="C788" s="238">
        <v>3105.0</v>
      </c>
      <c r="D788" s="238" t="s">
        <v>4656</v>
      </c>
      <c r="E788" s="238" t="s">
        <v>4644</v>
      </c>
      <c r="F788" s="238" t="s">
        <v>4657</v>
      </c>
      <c r="G788" s="239" t="s">
        <v>3333</v>
      </c>
      <c r="H788" s="240">
        <v>18.0</v>
      </c>
      <c r="I788" s="240">
        <v>1.0</v>
      </c>
      <c r="J788" s="240">
        <v>0.0</v>
      </c>
      <c r="K788" s="240">
        <v>1.0</v>
      </c>
      <c r="L788" s="240">
        <v>0.0</v>
      </c>
      <c r="M788" s="241"/>
      <c r="N788" s="240">
        <v>16.0</v>
      </c>
    </row>
    <row r="789">
      <c r="A789" s="215">
        <v>785.0</v>
      </c>
      <c r="B789" s="237"/>
      <c r="C789" s="238">
        <v>3112.0</v>
      </c>
      <c r="D789" s="238">
        <v>8307.0</v>
      </c>
      <c r="E789" s="238" t="s">
        <v>4658</v>
      </c>
      <c r="F789" s="238" t="s">
        <v>4659</v>
      </c>
      <c r="G789" s="239" t="s">
        <v>3333</v>
      </c>
      <c r="H789" s="240">
        <v>86.0</v>
      </c>
      <c r="I789" s="240">
        <v>86.0</v>
      </c>
      <c r="J789" s="240">
        <v>0.0</v>
      </c>
      <c r="K789" s="240">
        <v>0.0</v>
      </c>
      <c r="L789" s="240">
        <v>0.0</v>
      </c>
      <c r="M789" s="240" t="s">
        <v>4281</v>
      </c>
      <c r="N789" s="240">
        <v>0.0</v>
      </c>
    </row>
    <row r="790">
      <c r="A790" s="215">
        <v>786.0</v>
      </c>
      <c r="B790" s="237"/>
      <c r="C790" s="238">
        <v>3112.0</v>
      </c>
      <c r="D790" s="238">
        <v>9005.0</v>
      </c>
      <c r="E790" s="238" t="s">
        <v>4658</v>
      </c>
      <c r="F790" s="238" t="s">
        <v>4106</v>
      </c>
      <c r="G790" s="239" t="s">
        <v>3333</v>
      </c>
      <c r="H790" s="240">
        <v>29.0</v>
      </c>
      <c r="I790" s="240">
        <v>29.0</v>
      </c>
      <c r="J790" s="240">
        <v>0.0</v>
      </c>
      <c r="K790" s="240">
        <v>0.0</v>
      </c>
      <c r="L790" s="240">
        <v>0.0</v>
      </c>
      <c r="M790" s="240" t="s">
        <v>3526</v>
      </c>
      <c r="N790" s="240">
        <v>0.0</v>
      </c>
    </row>
    <row r="791">
      <c r="A791" s="215">
        <v>787.0</v>
      </c>
      <c r="B791" s="237"/>
      <c r="C791" s="238">
        <v>3112.0</v>
      </c>
      <c r="D791" s="238">
        <v>9853.0</v>
      </c>
      <c r="E791" s="238" t="s">
        <v>4658</v>
      </c>
      <c r="F791" s="238" t="s">
        <v>3350</v>
      </c>
      <c r="G791" s="239" t="s">
        <v>3333</v>
      </c>
      <c r="H791" s="240">
        <v>90.0</v>
      </c>
      <c r="I791" s="240">
        <v>90.0</v>
      </c>
      <c r="J791" s="240">
        <v>0.0</v>
      </c>
      <c r="K791" s="240">
        <v>0.0</v>
      </c>
      <c r="L791" s="240">
        <v>0.0</v>
      </c>
      <c r="M791" s="240" t="s">
        <v>3655</v>
      </c>
      <c r="N791" s="240">
        <v>0.0</v>
      </c>
    </row>
    <row r="792">
      <c r="A792" s="215">
        <v>788.0</v>
      </c>
      <c r="B792" s="237"/>
      <c r="C792" s="238">
        <v>3112.0</v>
      </c>
      <c r="D792" s="238">
        <v>9876.0</v>
      </c>
      <c r="E792" s="238" t="s">
        <v>4658</v>
      </c>
      <c r="F792" s="238" t="s">
        <v>4660</v>
      </c>
      <c r="G792" s="239" t="s">
        <v>3333</v>
      </c>
      <c r="H792" s="240">
        <v>22.0</v>
      </c>
      <c r="I792" s="240">
        <v>22.0</v>
      </c>
      <c r="J792" s="240">
        <v>0.0</v>
      </c>
      <c r="K792" s="240">
        <v>0.0</v>
      </c>
      <c r="L792" s="240">
        <v>0.0</v>
      </c>
      <c r="M792" s="240" t="s">
        <v>3441</v>
      </c>
      <c r="N792" s="240">
        <v>0.0</v>
      </c>
    </row>
    <row r="793">
      <c r="A793" s="215">
        <v>789.0</v>
      </c>
      <c r="B793" s="237"/>
      <c r="C793" s="238">
        <v>3112.0</v>
      </c>
      <c r="D793" s="238" t="s">
        <v>4662</v>
      </c>
      <c r="E793" s="238" t="s">
        <v>4658</v>
      </c>
      <c r="F793" s="238" t="s">
        <v>4663</v>
      </c>
      <c r="G793" s="239" t="s">
        <v>3333</v>
      </c>
      <c r="H793" s="240">
        <v>28.0</v>
      </c>
      <c r="I793" s="240">
        <v>13.0</v>
      </c>
      <c r="J793" s="240">
        <v>0.0</v>
      </c>
      <c r="K793" s="240">
        <v>0.0</v>
      </c>
      <c r="L793" s="240">
        <v>0.0</v>
      </c>
      <c r="M793" s="240" t="s">
        <v>3804</v>
      </c>
      <c r="N793" s="240">
        <v>15.0</v>
      </c>
    </row>
    <row r="794">
      <c r="A794" s="215">
        <v>790.0</v>
      </c>
      <c r="B794" s="237"/>
      <c r="C794" s="238">
        <v>3113.0</v>
      </c>
      <c r="D794" s="238">
        <v>8438.0</v>
      </c>
      <c r="E794" s="238" t="s">
        <v>4664</v>
      </c>
      <c r="F794" s="238" t="s">
        <v>4665</v>
      </c>
      <c r="G794" s="239" t="s">
        <v>3333</v>
      </c>
      <c r="H794" s="240">
        <v>29.0</v>
      </c>
      <c r="I794" s="240">
        <v>29.0</v>
      </c>
      <c r="J794" s="240">
        <v>0.0</v>
      </c>
      <c r="K794" s="240">
        <v>0.0</v>
      </c>
      <c r="L794" s="240">
        <v>0.0</v>
      </c>
      <c r="M794" s="240" t="s">
        <v>3582</v>
      </c>
      <c r="N794" s="240">
        <v>0.0</v>
      </c>
    </row>
    <row r="795">
      <c r="A795" s="215">
        <v>791.0</v>
      </c>
      <c r="B795" s="237"/>
      <c r="C795" s="238">
        <v>3113.0</v>
      </c>
      <c r="D795" s="238">
        <v>8439.0</v>
      </c>
      <c r="E795" s="238" t="s">
        <v>4664</v>
      </c>
      <c r="F795" s="238" t="s">
        <v>4666</v>
      </c>
      <c r="G795" s="239" t="s">
        <v>3333</v>
      </c>
      <c r="H795" s="240">
        <v>31.0</v>
      </c>
      <c r="I795" s="240">
        <v>31.0</v>
      </c>
      <c r="J795" s="240">
        <v>0.0</v>
      </c>
      <c r="K795" s="240">
        <v>0.0</v>
      </c>
      <c r="L795" s="240">
        <v>0.0</v>
      </c>
      <c r="M795" s="240" t="s">
        <v>4032</v>
      </c>
      <c r="N795" s="240">
        <v>0.0</v>
      </c>
    </row>
    <row r="796">
      <c r="A796" s="215">
        <v>792.0</v>
      </c>
      <c r="B796" s="237"/>
      <c r="C796" s="238">
        <v>3113.0</v>
      </c>
      <c r="D796" s="238">
        <v>9010.0</v>
      </c>
      <c r="E796" s="238" t="s">
        <v>4664</v>
      </c>
      <c r="F796" s="238" t="s">
        <v>4350</v>
      </c>
      <c r="G796" s="239" t="s">
        <v>3333</v>
      </c>
      <c r="H796" s="240">
        <v>88.0</v>
      </c>
      <c r="I796" s="240">
        <v>88.0</v>
      </c>
      <c r="J796" s="240">
        <v>0.0</v>
      </c>
      <c r="K796" s="240">
        <v>1.0</v>
      </c>
      <c r="L796" s="240">
        <v>1.0</v>
      </c>
      <c r="M796" s="240" t="s">
        <v>3458</v>
      </c>
      <c r="N796" s="240">
        <v>0.0</v>
      </c>
    </row>
    <row r="797">
      <c r="A797" s="215">
        <v>793.0</v>
      </c>
      <c r="B797" s="237"/>
      <c r="C797" s="238">
        <v>3113.0</v>
      </c>
      <c r="D797" s="238">
        <v>9191.0</v>
      </c>
      <c r="E797" s="238" t="s">
        <v>4664</v>
      </c>
      <c r="F797" s="238" t="s">
        <v>4667</v>
      </c>
      <c r="G797" s="239" t="s">
        <v>3333</v>
      </c>
      <c r="H797" s="240">
        <v>61.0</v>
      </c>
      <c r="I797" s="240">
        <v>61.0</v>
      </c>
      <c r="J797" s="240">
        <v>0.0</v>
      </c>
      <c r="K797" s="240">
        <v>0.0</v>
      </c>
      <c r="L797" s="240">
        <v>0.0</v>
      </c>
      <c r="M797" s="240" t="s">
        <v>3824</v>
      </c>
      <c r="N797" s="240">
        <v>0.0</v>
      </c>
    </row>
    <row r="798">
      <c r="A798" s="215">
        <v>794.0</v>
      </c>
      <c r="B798" s="237"/>
      <c r="C798" s="238">
        <v>3113.0</v>
      </c>
      <c r="D798" s="238">
        <v>9222.0</v>
      </c>
      <c r="E798" s="238" t="s">
        <v>4664</v>
      </c>
      <c r="F798" s="238" t="s">
        <v>4668</v>
      </c>
      <c r="G798" s="239" t="s">
        <v>3333</v>
      </c>
      <c r="H798" s="240">
        <v>59.0</v>
      </c>
      <c r="I798" s="240">
        <v>59.0</v>
      </c>
      <c r="J798" s="240">
        <v>0.0</v>
      </c>
      <c r="K798" s="240">
        <v>1.0</v>
      </c>
      <c r="L798" s="240">
        <v>1.0</v>
      </c>
      <c r="M798" s="240" t="s">
        <v>3675</v>
      </c>
      <c r="N798" s="240">
        <v>0.0</v>
      </c>
    </row>
    <row r="799">
      <c r="A799" s="215">
        <v>795.0</v>
      </c>
      <c r="B799" s="237"/>
      <c r="C799" s="238">
        <v>3113.0</v>
      </c>
      <c r="D799" s="238">
        <v>9231.0</v>
      </c>
      <c r="E799" s="238" t="s">
        <v>4664</v>
      </c>
      <c r="F799" s="238" t="s">
        <v>4669</v>
      </c>
      <c r="G799" s="239" t="s">
        <v>3333</v>
      </c>
      <c r="H799" s="240">
        <v>59.0</v>
      </c>
      <c r="I799" s="240">
        <v>59.0</v>
      </c>
      <c r="J799" s="240">
        <v>0.0</v>
      </c>
      <c r="K799" s="240">
        <v>1.0</v>
      </c>
      <c r="L799" s="240">
        <v>1.0</v>
      </c>
      <c r="M799" s="240" t="s">
        <v>4187</v>
      </c>
      <c r="N799" s="240">
        <v>0.0</v>
      </c>
    </row>
    <row r="800">
      <c r="A800" s="215">
        <v>796.0</v>
      </c>
      <c r="B800" s="237"/>
      <c r="C800" s="238">
        <v>3117.0</v>
      </c>
      <c r="D800" s="238">
        <v>8015.0</v>
      </c>
      <c r="E800" s="238" t="s">
        <v>4670</v>
      </c>
      <c r="F800" s="238" t="s">
        <v>4358</v>
      </c>
      <c r="G800" s="239" t="s">
        <v>3333</v>
      </c>
      <c r="H800" s="240">
        <v>51.0</v>
      </c>
      <c r="I800" s="240">
        <v>49.0</v>
      </c>
      <c r="J800" s="240">
        <v>0.0</v>
      </c>
      <c r="K800" s="240">
        <v>0.0</v>
      </c>
      <c r="L800" s="240">
        <v>0.0</v>
      </c>
      <c r="M800" s="240" t="s">
        <v>4019</v>
      </c>
      <c r="N800" s="240">
        <v>2.0</v>
      </c>
    </row>
    <row r="801">
      <c r="A801" s="215">
        <v>797.0</v>
      </c>
      <c r="B801" s="237"/>
      <c r="C801" s="238">
        <v>3117.0</v>
      </c>
      <c r="D801" s="238">
        <v>9056.0</v>
      </c>
      <c r="E801" s="238" t="s">
        <v>4670</v>
      </c>
      <c r="F801" s="238" t="s">
        <v>3939</v>
      </c>
      <c r="G801" s="239" t="s">
        <v>3333</v>
      </c>
      <c r="H801" s="240">
        <v>122.0</v>
      </c>
      <c r="I801" s="240">
        <v>122.0</v>
      </c>
      <c r="J801" s="240">
        <v>0.0</v>
      </c>
      <c r="K801" s="240">
        <v>0.0</v>
      </c>
      <c r="L801" s="240">
        <v>0.0</v>
      </c>
      <c r="M801" s="240" t="s">
        <v>3930</v>
      </c>
      <c r="N801" s="240">
        <v>0.0</v>
      </c>
    </row>
    <row r="802">
      <c r="A802" s="215">
        <v>798.0</v>
      </c>
      <c r="B802" s="237"/>
      <c r="C802" s="238">
        <v>3117.0</v>
      </c>
      <c r="D802" s="238">
        <v>9147.0</v>
      </c>
      <c r="E802" s="238" t="s">
        <v>4670</v>
      </c>
      <c r="F802" s="238" t="s">
        <v>3381</v>
      </c>
      <c r="G802" s="239" t="s">
        <v>3333</v>
      </c>
      <c r="H802" s="240">
        <v>106.0</v>
      </c>
      <c r="I802" s="240">
        <v>106.0</v>
      </c>
      <c r="J802" s="240">
        <v>0.0</v>
      </c>
      <c r="K802" s="240">
        <v>1.0</v>
      </c>
      <c r="L802" s="240">
        <v>1.0</v>
      </c>
      <c r="M802" s="240" t="s">
        <v>3390</v>
      </c>
      <c r="N802" s="240">
        <v>0.0</v>
      </c>
    </row>
    <row r="803">
      <c r="A803" s="215">
        <v>799.0</v>
      </c>
      <c r="B803" s="237"/>
      <c r="C803" s="238">
        <v>3117.0</v>
      </c>
      <c r="D803" s="238">
        <v>9242.0</v>
      </c>
      <c r="E803" s="238" t="s">
        <v>4670</v>
      </c>
      <c r="F803" s="238" t="s">
        <v>4355</v>
      </c>
      <c r="G803" s="239" t="s">
        <v>3333</v>
      </c>
      <c r="H803" s="240">
        <v>55.0</v>
      </c>
      <c r="I803" s="240">
        <v>55.0</v>
      </c>
      <c r="J803" s="240">
        <v>0.0</v>
      </c>
      <c r="K803" s="240">
        <v>0.0</v>
      </c>
      <c r="L803" s="240">
        <v>0.0</v>
      </c>
      <c r="M803" s="240" t="s">
        <v>3616</v>
      </c>
      <c r="N803" s="240">
        <v>0.0</v>
      </c>
    </row>
    <row r="804">
      <c r="A804" s="215">
        <v>800.0</v>
      </c>
      <c r="B804" s="237"/>
      <c r="C804" s="238">
        <v>3117.0</v>
      </c>
      <c r="D804" s="238">
        <v>9476.0</v>
      </c>
      <c r="E804" s="238" t="s">
        <v>4670</v>
      </c>
      <c r="F804" s="238" t="s">
        <v>4671</v>
      </c>
      <c r="G804" s="239" t="s">
        <v>3333</v>
      </c>
      <c r="H804" s="240">
        <v>55.0</v>
      </c>
      <c r="I804" s="240">
        <v>55.0</v>
      </c>
      <c r="J804" s="240">
        <v>0.0</v>
      </c>
      <c r="K804" s="240">
        <v>0.0</v>
      </c>
      <c r="L804" s="240">
        <v>0.0</v>
      </c>
      <c r="M804" s="240" t="s">
        <v>3452</v>
      </c>
      <c r="N804" s="240">
        <v>0.0</v>
      </c>
    </row>
    <row r="805">
      <c r="A805" s="215">
        <v>801.0</v>
      </c>
      <c r="B805" s="237"/>
      <c r="C805" s="238">
        <v>3117.0</v>
      </c>
      <c r="D805" s="238">
        <v>9869.0</v>
      </c>
      <c r="E805" s="238" t="s">
        <v>4670</v>
      </c>
      <c r="F805" s="238" t="s">
        <v>4312</v>
      </c>
      <c r="G805" s="239" t="s">
        <v>3333</v>
      </c>
      <c r="H805" s="240">
        <v>100.0</v>
      </c>
      <c r="I805" s="240">
        <v>33.0</v>
      </c>
      <c r="J805" s="240">
        <v>0.0</v>
      </c>
      <c r="K805" s="240">
        <v>0.0</v>
      </c>
      <c r="L805" s="240">
        <v>0.0</v>
      </c>
      <c r="M805" s="240" t="s">
        <v>4672</v>
      </c>
      <c r="N805" s="240">
        <v>67.0</v>
      </c>
    </row>
    <row r="806">
      <c r="A806" s="215">
        <v>802.0</v>
      </c>
      <c r="B806" s="237"/>
      <c r="C806" s="238">
        <v>3117.0</v>
      </c>
      <c r="D806" s="238">
        <v>9889.0</v>
      </c>
      <c r="E806" s="238" t="s">
        <v>4670</v>
      </c>
      <c r="F806" s="238" t="s">
        <v>4673</v>
      </c>
      <c r="G806" s="239" t="s">
        <v>3333</v>
      </c>
      <c r="H806" s="240">
        <v>46.0</v>
      </c>
      <c r="I806" s="240">
        <v>37.0</v>
      </c>
      <c r="J806" s="240">
        <v>0.0</v>
      </c>
      <c r="K806" s="240">
        <v>0.0</v>
      </c>
      <c r="L806" s="240">
        <v>0.0</v>
      </c>
      <c r="M806" s="240" t="s">
        <v>4585</v>
      </c>
      <c r="N806" s="240">
        <v>9.0</v>
      </c>
    </row>
    <row r="807">
      <c r="A807" s="215">
        <v>803.0</v>
      </c>
      <c r="B807" s="237"/>
      <c r="C807" s="238">
        <v>3117.0</v>
      </c>
      <c r="D807" s="238">
        <v>9991.0</v>
      </c>
      <c r="E807" s="238" t="s">
        <v>4670</v>
      </c>
      <c r="F807" s="238" t="s">
        <v>4627</v>
      </c>
      <c r="G807" s="239" t="s">
        <v>3333</v>
      </c>
      <c r="H807" s="240">
        <v>89.0</v>
      </c>
      <c r="I807" s="240">
        <v>89.0</v>
      </c>
      <c r="J807" s="240">
        <v>0.0</v>
      </c>
      <c r="K807" s="240">
        <v>1.0</v>
      </c>
      <c r="L807" s="240">
        <v>1.0</v>
      </c>
      <c r="M807" s="240" t="s">
        <v>3731</v>
      </c>
      <c r="N807" s="240">
        <v>0.0</v>
      </c>
    </row>
    <row r="808">
      <c r="A808" s="215">
        <v>804.0</v>
      </c>
      <c r="B808" s="237"/>
      <c r="C808" s="238">
        <v>3117.0</v>
      </c>
      <c r="D808" s="238" t="s">
        <v>4676</v>
      </c>
      <c r="E808" s="238" t="s">
        <v>4670</v>
      </c>
      <c r="F808" s="238" t="s">
        <v>4677</v>
      </c>
      <c r="G808" s="239" t="s">
        <v>3333</v>
      </c>
      <c r="H808" s="240">
        <v>56.0</v>
      </c>
      <c r="I808" s="240">
        <v>56.0</v>
      </c>
      <c r="J808" s="240">
        <v>0.0</v>
      </c>
      <c r="K808" s="240">
        <v>2.0</v>
      </c>
      <c r="L808" s="240">
        <v>2.0</v>
      </c>
      <c r="M808" s="240" t="s">
        <v>3339</v>
      </c>
      <c r="N808" s="240">
        <v>0.0</v>
      </c>
    </row>
    <row r="809">
      <c r="A809" s="215">
        <v>805.0</v>
      </c>
      <c r="B809" s="237"/>
      <c r="C809" s="238">
        <v>3118.0</v>
      </c>
      <c r="D809" s="238">
        <v>9089.0</v>
      </c>
      <c r="E809" s="238" t="s">
        <v>4680</v>
      </c>
      <c r="F809" s="238" t="s">
        <v>3456</v>
      </c>
      <c r="G809" s="239" t="s">
        <v>3333</v>
      </c>
      <c r="H809" s="240">
        <v>41.0</v>
      </c>
      <c r="I809" s="240">
        <v>41.0</v>
      </c>
      <c r="J809" s="240">
        <v>0.0</v>
      </c>
      <c r="K809" s="240">
        <v>0.0</v>
      </c>
      <c r="L809" s="240">
        <v>0.0</v>
      </c>
      <c r="M809" s="240" t="s">
        <v>3470</v>
      </c>
      <c r="N809" s="240">
        <v>0.0</v>
      </c>
    </row>
    <row r="810">
      <c r="A810" s="215">
        <v>806.0</v>
      </c>
      <c r="B810" s="237"/>
      <c r="C810" s="238">
        <v>3118.0</v>
      </c>
      <c r="D810" s="238">
        <v>9108.0</v>
      </c>
      <c r="E810" s="238" t="s">
        <v>4680</v>
      </c>
      <c r="F810" s="238" t="s">
        <v>4683</v>
      </c>
      <c r="G810" s="239" t="s">
        <v>3333</v>
      </c>
      <c r="H810" s="240">
        <v>70.0</v>
      </c>
      <c r="I810" s="240">
        <v>24.0</v>
      </c>
      <c r="J810" s="240">
        <v>0.0</v>
      </c>
      <c r="K810" s="240">
        <v>0.0</v>
      </c>
      <c r="L810" s="240">
        <v>0.0</v>
      </c>
      <c r="M810" s="240" t="s">
        <v>3400</v>
      </c>
      <c r="N810" s="240">
        <v>46.0</v>
      </c>
    </row>
    <row r="811">
      <c r="A811" s="215">
        <v>807.0</v>
      </c>
      <c r="B811" s="237"/>
      <c r="C811" s="238">
        <v>3118.0</v>
      </c>
      <c r="D811" s="238">
        <v>9109.0</v>
      </c>
      <c r="E811" s="238" t="s">
        <v>4680</v>
      </c>
      <c r="F811" s="238" t="s">
        <v>4685</v>
      </c>
      <c r="G811" s="239" t="s">
        <v>3333</v>
      </c>
      <c r="H811" s="240">
        <v>58.0</v>
      </c>
      <c r="I811" s="240">
        <v>32.0</v>
      </c>
      <c r="J811" s="240">
        <v>0.0</v>
      </c>
      <c r="K811" s="240">
        <v>0.0</v>
      </c>
      <c r="L811" s="240">
        <v>0.0</v>
      </c>
      <c r="M811" s="240" t="s">
        <v>4686</v>
      </c>
      <c r="N811" s="240">
        <v>26.0</v>
      </c>
    </row>
    <row r="812">
      <c r="A812" s="215">
        <v>808.0</v>
      </c>
      <c r="B812" s="237"/>
      <c r="C812" s="238">
        <v>3118.0</v>
      </c>
      <c r="D812" s="238">
        <v>9121.0</v>
      </c>
      <c r="E812" s="238" t="s">
        <v>4680</v>
      </c>
      <c r="F812" s="238" t="s">
        <v>4283</v>
      </c>
      <c r="G812" s="239" t="s">
        <v>3333</v>
      </c>
      <c r="H812" s="240">
        <v>138.0</v>
      </c>
      <c r="I812" s="240">
        <v>119.0</v>
      </c>
      <c r="J812" s="240">
        <v>0.0</v>
      </c>
      <c r="K812" s="240">
        <v>0.0</v>
      </c>
      <c r="L812" s="240">
        <v>0.0</v>
      </c>
      <c r="M812" s="240" t="s">
        <v>3946</v>
      </c>
      <c r="N812" s="240">
        <v>19.0</v>
      </c>
    </row>
    <row r="813">
      <c r="A813" s="215">
        <v>809.0</v>
      </c>
      <c r="B813" s="237"/>
      <c r="C813" s="238">
        <v>3118.0</v>
      </c>
      <c r="D813" s="238">
        <v>9123.0</v>
      </c>
      <c r="E813" s="238" t="s">
        <v>4680</v>
      </c>
      <c r="F813" s="238" t="s">
        <v>3471</v>
      </c>
      <c r="G813" s="239" t="s">
        <v>3333</v>
      </c>
      <c r="H813" s="240">
        <v>104.0</v>
      </c>
      <c r="I813" s="240">
        <v>104.0</v>
      </c>
      <c r="J813" s="240">
        <v>0.0</v>
      </c>
      <c r="K813" s="240">
        <v>0.0</v>
      </c>
      <c r="L813" s="240">
        <v>0.0</v>
      </c>
      <c r="M813" s="240" t="s">
        <v>3535</v>
      </c>
      <c r="N813" s="240">
        <v>0.0</v>
      </c>
    </row>
    <row r="814">
      <c r="A814" s="215">
        <v>810.0</v>
      </c>
      <c r="B814" s="237"/>
      <c r="C814" s="238">
        <v>3118.0</v>
      </c>
      <c r="D814" s="238">
        <v>9126.0</v>
      </c>
      <c r="E814" s="238" t="s">
        <v>4680</v>
      </c>
      <c r="F814" s="238" t="s">
        <v>3881</v>
      </c>
      <c r="G814" s="239" t="s">
        <v>3333</v>
      </c>
      <c r="H814" s="240">
        <v>30.0</v>
      </c>
      <c r="I814" s="240">
        <v>12.0</v>
      </c>
      <c r="J814" s="240">
        <v>0.0</v>
      </c>
      <c r="K814" s="240">
        <v>0.0</v>
      </c>
      <c r="L814" s="240">
        <v>0.0</v>
      </c>
      <c r="M814" s="240" t="s">
        <v>3336</v>
      </c>
      <c r="N814" s="240">
        <v>18.0</v>
      </c>
    </row>
    <row r="815">
      <c r="A815" s="215">
        <v>811.0</v>
      </c>
      <c r="B815" s="237"/>
      <c r="C815" s="238">
        <v>3118.0</v>
      </c>
      <c r="D815" s="238">
        <v>9455.0</v>
      </c>
      <c r="E815" s="238" t="s">
        <v>4680</v>
      </c>
      <c r="F815" s="238" t="s">
        <v>3502</v>
      </c>
      <c r="G815" s="239" t="s">
        <v>3333</v>
      </c>
      <c r="H815" s="240">
        <v>26.0</v>
      </c>
      <c r="I815" s="240">
        <v>26.0</v>
      </c>
      <c r="J815" s="240">
        <v>0.0</v>
      </c>
      <c r="K815" s="240">
        <v>0.0</v>
      </c>
      <c r="L815" s="240">
        <v>0.0</v>
      </c>
      <c r="M815" s="240" t="s">
        <v>3458</v>
      </c>
      <c r="N815" s="240">
        <v>0.0</v>
      </c>
    </row>
    <row r="816">
      <c r="A816" s="215">
        <v>812.0</v>
      </c>
      <c r="B816" s="237"/>
      <c r="C816" s="238">
        <v>3118.0</v>
      </c>
      <c r="D816" s="238" t="s">
        <v>4688</v>
      </c>
      <c r="E816" s="238" t="s">
        <v>4680</v>
      </c>
      <c r="F816" s="238" t="s">
        <v>4689</v>
      </c>
      <c r="G816" s="239" t="s">
        <v>3333</v>
      </c>
      <c r="H816" s="240">
        <v>94.0</v>
      </c>
      <c r="I816" s="240">
        <v>45.0</v>
      </c>
      <c r="J816" s="240">
        <v>0.0</v>
      </c>
      <c r="K816" s="240">
        <v>0.0</v>
      </c>
      <c r="L816" s="240">
        <v>0.0</v>
      </c>
      <c r="M816" s="240" t="s">
        <v>3389</v>
      </c>
      <c r="N816" s="240">
        <v>49.0</v>
      </c>
    </row>
    <row r="817">
      <c r="A817" s="215">
        <v>813.0</v>
      </c>
      <c r="B817" s="237"/>
      <c r="C817" s="238">
        <v>3118.0</v>
      </c>
      <c r="D817" s="238" t="s">
        <v>4691</v>
      </c>
      <c r="E817" s="238" t="s">
        <v>4680</v>
      </c>
      <c r="F817" s="238" t="s">
        <v>4692</v>
      </c>
      <c r="G817" s="239" t="s">
        <v>3333</v>
      </c>
      <c r="H817" s="240">
        <v>23.0</v>
      </c>
      <c r="I817" s="240">
        <v>3.0</v>
      </c>
      <c r="J817" s="240">
        <v>0.0</v>
      </c>
      <c r="K817" s="240">
        <v>0.0</v>
      </c>
      <c r="L817" s="240">
        <v>0.0</v>
      </c>
      <c r="M817" s="240" t="s">
        <v>3814</v>
      </c>
      <c r="N817" s="240">
        <v>20.0</v>
      </c>
    </row>
    <row r="818">
      <c r="A818" s="215">
        <v>814.0</v>
      </c>
      <c r="B818" s="237"/>
      <c r="C818" s="238">
        <v>3118.0</v>
      </c>
      <c r="D818" s="238" t="s">
        <v>4694</v>
      </c>
      <c r="E818" s="238" t="s">
        <v>4680</v>
      </c>
      <c r="F818" s="238" t="s">
        <v>4695</v>
      </c>
      <c r="G818" s="239" t="s">
        <v>3333</v>
      </c>
      <c r="H818" s="240">
        <v>29.0</v>
      </c>
      <c r="I818" s="240">
        <v>19.0</v>
      </c>
      <c r="J818" s="240">
        <v>0.0</v>
      </c>
      <c r="K818" s="240">
        <v>0.0</v>
      </c>
      <c r="L818" s="240">
        <v>0.0</v>
      </c>
      <c r="M818" s="240" t="s">
        <v>3814</v>
      </c>
      <c r="N818" s="240">
        <v>10.0</v>
      </c>
    </row>
    <row r="819">
      <c r="A819" s="215">
        <v>815.0</v>
      </c>
      <c r="B819" s="237"/>
      <c r="C819" s="238">
        <v>3118.0</v>
      </c>
      <c r="D819" s="238" t="s">
        <v>4696</v>
      </c>
      <c r="E819" s="238" t="s">
        <v>4680</v>
      </c>
      <c r="F819" s="238" t="s">
        <v>4697</v>
      </c>
      <c r="G819" s="239" t="s">
        <v>3333</v>
      </c>
      <c r="H819" s="240">
        <v>36.0</v>
      </c>
      <c r="I819" s="240">
        <v>11.0</v>
      </c>
      <c r="J819" s="240">
        <v>0.0</v>
      </c>
      <c r="K819" s="240">
        <v>0.0</v>
      </c>
      <c r="L819" s="240">
        <v>0.0</v>
      </c>
      <c r="M819" s="240" t="s">
        <v>4138</v>
      </c>
      <c r="N819" s="240">
        <v>25.0</v>
      </c>
    </row>
    <row r="820">
      <c r="A820" s="215">
        <v>816.0</v>
      </c>
      <c r="B820" s="237"/>
      <c r="C820" s="238">
        <v>3118.0</v>
      </c>
      <c r="D820" s="238" t="s">
        <v>4698</v>
      </c>
      <c r="E820" s="238" t="s">
        <v>4680</v>
      </c>
      <c r="F820" s="238" t="s">
        <v>4699</v>
      </c>
      <c r="G820" s="239" t="s">
        <v>3333</v>
      </c>
      <c r="H820" s="240">
        <v>35.0</v>
      </c>
      <c r="I820" s="240">
        <v>5.0</v>
      </c>
      <c r="J820" s="240">
        <v>0.0</v>
      </c>
      <c r="K820" s="240">
        <v>0.0</v>
      </c>
      <c r="L820" s="240">
        <v>0.0</v>
      </c>
      <c r="M820" s="240" t="s">
        <v>3734</v>
      </c>
      <c r="N820" s="240">
        <v>30.0</v>
      </c>
    </row>
    <row r="821">
      <c r="A821" s="215">
        <v>817.0</v>
      </c>
      <c r="B821" s="237"/>
      <c r="C821" s="238">
        <v>3121.0</v>
      </c>
      <c r="D821" s="238">
        <v>8014.0</v>
      </c>
      <c r="E821" s="238" t="s">
        <v>4700</v>
      </c>
      <c r="F821" s="238" t="s">
        <v>4248</v>
      </c>
      <c r="G821" s="239" t="s">
        <v>3333</v>
      </c>
      <c r="H821" s="240">
        <v>15.0</v>
      </c>
      <c r="I821" s="240">
        <v>0.0</v>
      </c>
      <c r="J821" s="240">
        <v>0.0</v>
      </c>
      <c r="K821" s="240">
        <v>0.0</v>
      </c>
      <c r="L821" s="240">
        <v>0.0</v>
      </c>
      <c r="M821" s="241"/>
      <c r="N821" s="240">
        <v>15.0</v>
      </c>
    </row>
    <row r="822">
      <c r="A822" s="215">
        <v>818.0</v>
      </c>
      <c r="B822" s="237"/>
      <c r="C822" s="238">
        <v>3121.0</v>
      </c>
      <c r="D822" s="238">
        <v>9084.0</v>
      </c>
      <c r="E822" s="238" t="s">
        <v>4700</v>
      </c>
      <c r="F822" s="238" t="s">
        <v>4410</v>
      </c>
      <c r="G822" s="239" t="s">
        <v>3333</v>
      </c>
      <c r="H822" s="240">
        <v>25.0</v>
      </c>
      <c r="I822" s="240">
        <v>2.0</v>
      </c>
      <c r="J822" s="240">
        <v>0.0</v>
      </c>
      <c r="K822" s="240">
        <v>0.0</v>
      </c>
      <c r="L822" s="240">
        <v>0.0</v>
      </c>
      <c r="M822" s="240" t="s">
        <v>4701</v>
      </c>
      <c r="N822" s="240">
        <v>23.0</v>
      </c>
    </row>
    <row r="823">
      <c r="A823" s="215">
        <v>819.0</v>
      </c>
      <c r="B823" s="237"/>
      <c r="C823" s="238">
        <v>3121.0</v>
      </c>
      <c r="D823" s="238">
        <v>9238.0</v>
      </c>
      <c r="E823" s="238" t="s">
        <v>4700</v>
      </c>
      <c r="F823" s="238" t="s">
        <v>3344</v>
      </c>
      <c r="G823" s="239" t="s">
        <v>3333</v>
      </c>
      <c r="H823" s="240">
        <v>40.0</v>
      </c>
      <c r="I823" s="240">
        <v>22.0</v>
      </c>
      <c r="J823" s="240">
        <v>0.0</v>
      </c>
      <c r="K823" s="240">
        <v>0.0</v>
      </c>
      <c r="L823" s="240">
        <v>0.0</v>
      </c>
      <c r="M823" s="240" t="s">
        <v>4131</v>
      </c>
      <c r="N823" s="240">
        <v>18.0</v>
      </c>
    </row>
    <row r="824">
      <c r="A824" s="215">
        <v>820.0</v>
      </c>
      <c r="B824" s="237"/>
      <c r="C824" s="238">
        <v>3121.0</v>
      </c>
      <c r="D824" s="238">
        <v>9254.0</v>
      </c>
      <c r="E824" s="238" t="s">
        <v>4700</v>
      </c>
      <c r="F824" s="238" t="s">
        <v>3383</v>
      </c>
      <c r="G824" s="239" t="s">
        <v>3333</v>
      </c>
      <c r="H824" s="240">
        <v>27.0</v>
      </c>
      <c r="I824" s="240">
        <v>1.0</v>
      </c>
      <c r="J824" s="240">
        <v>0.0</v>
      </c>
      <c r="K824" s="240">
        <v>0.0</v>
      </c>
      <c r="L824" s="240">
        <v>0.0</v>
      </c>
      <c r="M824" s="240" t="s">
        <v>3470</v>
      </c>
      <c r="N824" s="240">
        <v>26.0</v>
      </c>
    </row>
    <row r="825">
      <c r="A825" s="215">
        <v>821.0</v>
      </c>
      <c r="B825" s="237"/>
      <c r="C825" s="238">
        <v>3121.0</v>
      </c>
      <c r="D825" s="238">
        <v>9773.0</v>
      </c>
      <c r="E825" s="238" t="s">
        <v>4700</v>
      </c>
      <c r="F825" s="238" t="s">
        <v>3735</v>
      </c>
      <c r="G825" s="239" t="s">
        <v>3333</v>
      </c>
      <c r="H825" s="240">
        <v>40.0</v>
      </c>
      <c r="I825" s="240">
        <v>40.0</v>
      </c>
      <c r="J825" s="240">
        <v>0.0</v>
      </c>
      <c r="K825" s="240">
        <v>0.0</v>
      </c>
      <c r="L825" s="240">
        <v>0.0</v>
      </c>
      <c r="M825" s="240" t="s">
        <v>3905</v>
      </c>
      <c r="N825" s="240">
        <v>0.0</v>
      </c>
    </row>
    <row r="826">
      <c r="A826" s="215">
        <v>822.0</v>
      </c>
      <c r="B826" s="237"/>
      <c r="C826" s="238">
        <v>3121.0</v>
      </c>
      <c r="D826" s="238">
        <v>9853.0</v>
      </c>
      <c r="E826" s="238" t="s">
        <v>4700</v>
      </c>
      <c r="F826" s="238" t="s">
        <v>3350</v>
      </c>
      <c r="G826" s="239" t="s">
        <v>3333</v>
      </c>
      <c r="H826" s="240">
        <v>40.0</v>
      </c>
      <c r="I826" s="240">
        <v>40.0</v>
      </c>
      <c r="J826" s="240">
        <v>0.0</v>
      </c>
      <c r="K826" s="240">
        <v>1.0</v>
      </c>
      <c r="L826" s="240">
        <v>1.0</v>
      </c>
      <c r="M826" s="240" t="s">
        <v>3586</v>
      </c>
      <c r="N826" s="240">
        <v>0.0</v>
      </c>
    </row>
    <row r="827">
      <c r="A827" s="215">
        <v>823.0</v>
      </c>
      <c r="B827" s="237"/>
      <c r="C827" s="238">
        <v>3124.0</v>
      </c>
      <c r="D827" s="238">
        <v>9070.0</v>
      </c>
      <c r="E827" s="238" t="s">
        <v>4705</v>
      </c>
      <c r="F827" s="238" t="s">
        <v>4167</v>
      </c>
      <c r="G827" s="239" t="s">
        <v>3333</v>
      </c>
      <c r="H827" s="240">
        <v>26.0</v>
      </c>
      <c r="I827" s="240">
        <v>26.0</v>
      </c>
      <c r="J827" s="240">
        <v>0.0</v>
      </c>
      <c r="K827" s="240">
        <v>0.0</v>
      </c>
      <c r="L827" s="240">
        <v>0.0</v>
      </c>
      <c r="M827" s="240" t="s">
        <v>3666</v>
      </c>
      <c r="N827" s="240">
        <v>0.0</v>
      </c>
    </row>
    <row r="828">
      <c r="A828" s="215">
        <v>824.0</v>
      </c>
      <c r="B828" s="237"/>
      <c r="C828" s="238">
        <v>3124.0</v>
      </c>
      <c r="D828" s="238">
        <v>9089.0</v>
      </c>
      <c r="E828" s="238" t="s">
        <v>4705</v>
      </c>
      <c r="F828" s="238" t="s">
        <v>3456</v>
      </c>
      <c r="G828" s="239" t="s">
        <v>3333</v>
      </c>
      <c r="H828" s="240">
        <v>15.0</v>
      </c>
      <c r="I828" s="240">
        <v>0.0</v>
      </c>
      <c r="J828" s="240">
        <v>0.0</v>
      </c>
      <c r="K828" s="240">
        <v>0.0</v>
      </c>
      <c r="L828" s="240">
        <v>0.0</v>
      </c>
      <c r="M828" s="237"/>
      <c r="N828" s="240">
        <v>15.0</v>
      </c>
    </row>
    <row r="829">
      <c r="A829" s="215">
        <v>825.0</v>
      </c>
      <c r="B829" s="237"/>
      <c r="C829" s="238">
        <v>3124.0</v>
      </c>
      <c r="D829" s="238">
        <v>9119.0</v>
      </c>
      <c r="E829" s="238" t="s">
        <v>4705</v>
      </c>
      <c r="F829" s="238" t="s">
        <v>3417</v>
      </c>
      <c r="G829" s="239" t="s">
        <v>3333</v>
      </c>
      <c r="H829" s="240">
        <v>40.0</v>
      </c>
      <c r="I829" s="240">
        <v>2.0</v>
      </c>
      <c r="J829" s="240">
        <v>0.0</v>
      </c>
      <c r="K829" s="240">
        <v>0.0</v>
      </c>
      <c r="L829" s="240">
        <v>0.0</v>
      </c>
      <c r="M829" s="241"/>
      <c r="N829" s="240">
        <v>38.0</v>
      </c>
    </row>
    <row r="830">
      <c r="A830" s="215">
        <v>826.0</v>
      </c>
      <c r="B830" s="237"/>
      <c r="C830" s="238">
        <v>3124.0</v>
      </c>
      <c r="D830" s="238">
        <v>9147.0</v>
      </c>
      <c r="E830" s="238" t="s">
        <v>4705</v>
      </c>
      <c r="F830" s="238" t="s">
        <v>3381</v>
      </c>
      <c r="G830" s="239" t="s">
        <v>3333</v>
      </c>
      <c r="H830" s="240">
        <v>50.0</v>
      </c>
      <c r="I830" s="240">
        <v>24.0</v>
      </c>
      <c r="J830" s="240">
        <v>0.0</v>
      </c>
      <c r="K830" s="240">
        <v>1.0</v>
      </c>
      <c r="L830" s="240">
        <v>0.0</v>
      </c>
      <c r="M830" s="240" t="s">
        <v>4388</v>
      </c>
      <c r="N830" s="240">
        <v>25.0</v>
      </c>
    </row>
    <row r="831">
      <c r="A831" s="215">
        <v>827.0</v>
      </c>
      <c r="B831" s="237"/>
      <c r="C831" s="238">
        <v>3124.0</v>
      </c>
      <c r="D831" s="238">
        <v>9670.0</v>
      </c>
      <c r="E831" s="238" t="s">
        <v>4705</v>
      </c>
      <c r="F831" s="238" t="s">
        <v>4710</v>
      </c>
      <c r="G831" s="239" t="s">
        <v>3333</v>
      </c>
      <c r="H831" s="240">
        <v>30.0</v>
      </c>
      <c r="I831" s="240">
        <v>14.0</v>
      </c>
      <c r="J831" s="240">
        <v>0.0</v>
      </c>
      <c r="K831" s="240">
        <v>1.0</v>
      </c>
      <c r="L831" s="240">
        <v>0.0</v>
      </c>
      <c r="M831" s="240" t="s">
        <v>4395</v>
      </c>
      <c r="N831" s="240">
        <v>15.0</v>
      </c>
    </row>
    <row r="832">
      <c r="A832" s="215">
        <v>828.0</v>
      </c>
      <c r="B832" s="237"/>
      <c r="C832" s="238">
        <v>3124.0</v>
      </c>
      <c r="D832" s="238">
        <v>9991.0</v>
      </c>
      <c r="E832" s="238" t="s">
        <v>4705</v>
      </c>
      <c r="F832" s="238" t="s">
        <v>4627</v>
      </c>
      <c r="G832" s="239" t="s">
        <v>3333</v>
      </c>
      <c r="H832" s="240">
        <v>15.0</v>
      </c>
      <c r="I832" s="240">
        <v>0.0</v>
      </c>
      <c r="J832" s="240">
        <v>0.0</v>
      </c>
      <c r="K832" s="240">
        <v>0.0</v>
      </c>
      <c r="L832" s="240">
        <v>0.0</v>
      </c>
      <c r="M832" s="241"/>
      <c r="N832" s="240">
        <v>15.0</v>
      </c>
    </row>
    <row r="833">
      <c r="A833" s="215">
        <v>829.0</v>
      </c>
      <c r="B833" s="237"/>
      <c r="C833" s="238">
        <v>3124.0</v>
      </c>
      <c r="D833" s="238" t="s">
        <v>4712</v>
      </c>
      <c r="E833" s="238" t="s">
        <v>4705</v>
      </c>
      <c r="F833" s="238" t="s">
        <v>4713</v>
      </c>
      <c r="G833" s="239" t="s">
        <v>3333</v>
      </c>
      <c r="H833" s="240">
        <v>32.0</v>
      </c>
      <c r="I833" s="240">
        <v>30.0</v>
      </c>
      <c r="J833" s="240">
        <v>0.0</v>
      </c>
      <c r="K833" s="240">
        <v>0.0</v>
      </c>
      <c r="L833" s="240">
        <v>0.0</v>
      </c>
      <c r="M833" s="240" t="s">
        <v>3978</v>
      </c>
      <c r="N833" s="240">
        <v>2.0</v>
      </c>
    </row>
    <row r="834">
      <c r="A834" s="215">
        <v>830.0</v>
      </c>
      <c r="B834" s="237"/>
      <c r="C834" s="238">
        <v>3124.0</v>
      </c>
      <c r="D834" s="238" t="s">
        <v>4714</v>
      </c>
      <c r="E834" s="238" t="s">
        <v>4705</v>
      </c>
      <c r="F834" s="238" t="s">
        <v>4715</v>
      </c>
      <c r="G834" s="239" t="s">
        <v>3333</v>
      </c>
      <c r="H834" s="240">
        <v>25.0</v>
      </c>
      <c r="I834" s="240">
        <v>0.0</v>
      </c>
      <c r="J834" s="240">
        <v>0.0</v>
      </c>
      <c r="K834" s="240">
        <v>0.0</v>
      </c>
      <c r="L834" s="240">
        <v>0.0</v>
      </c>
      <c r="M834" s="237"/>
      <c r="N834" s="240">
        <v>25.0</v>
      </c>
    </row>
    <row r="835">
      <c r="A835" s="215">
        <v>831.0</v>
      </c>
      <c r="B835" s="237"/>
      <c r="C835" s="238">
        <v>3125.0</v>
      </c>
      <c r="D835" s="238">
        <v>9003.0</v>
      </c>
      <c r="E835" s="238" t="s">
        <v>4716</v>
      </c>
      <c r="F835" s="238" t="s">
        <v>3401</v>
      </c>
      <c r="G835" s="239" t="s">
        <v>3333</v>
      </c>
      <c r="H835" s="240">
        <v>18.0</v>
      </c>
      <c r="I835" s="240">
        <v>0.0</v>
      </c>
      <c r="J835" s="240">
        <v>0.0</v>
      </c>
      <c r="K835" s="240">
        <v>0.0</v>
      </c>
      <c r="L835" s="240">
        <v>0.0</v>
      </c>
      <c r="M835" s="241"/>
      <c r="N835" s="240">
        <v>18.0</v>
      </c>
    </row>
    <row r="836">
      <c r="A836" s="215">
        <v>832.0</v>
      </c>
      <c r="B836" s="237"/>
      <c r="C836" s="238">
        <v>3125.0</v>
      </c>
      <c r="D836" s="238">
        <v>9085.0</v>
      </c>
      <c r="E836" s="238" t="s">
        <v>4716</v>
      </c>
      <c r="F836" s="238" t="s">
        <v>4394</v>
      </c>
      <c r="G836" s="239" t="s">
        <v>3333</v>
      </c>
      <c r="H836" s="240">
        <v>38.0</v>
      </c>
      <c r="I836" s="240">
        <v>16.0</v>
      </c>
      <c r="J836" s="240">
        <v>0.0</v>
      </c>
      <c r="K836" s="240">
        <v>4.0</v>
      </c>
      <c r="L836" s="240">
        <v>0.0</v>
      </c>
      <c r="M836" s="240" t="s">
        <v>4717</v>
      </c>
      <c r="N836" s="240">
        <v>18.0</v>
      </c>
    </row>
    <row r="837">
      <c r="A837" s="215">
        <v>833.0</v>
      </c>
      <c r="B837" s="237"/>
      <c r="C837" s="238">
        <v>3125.0</v>
      </c>
      <c r="D837" s="238">
        <v>9130.0</v>
      </c>
      <c r="E837" s="238" t="s">
        <v>4716</v>
      </c>
      <c r="F837" s="238" t="s">
        <v>4719</v>
      </c>
      <c r="G837" s="239" t="s">
        <v>3333</v>
      </c>
      <c r="H837" s="240">
        <v>15.0</v>
      </c>
      <c r="I837" s="240">
        <v>1.0</v>
      </c>
      <c r="J837" s="240">
        <v>0.0</v>
      </c>
      <c r="K837" s="240">
        <v>0.0</v>
      </c>
      <c r="L837" s="240">
        <v>0.0</v>
      </c>
      <c r="M837" s="240" t="s">
        <v>3512</v>
      </c>
      <c r="N837" s="240">
        <v>14.0</v>
      </c>
    </row>
    <row r="838">
      <c r="A838" s="215">
        <v>834.0</v>
      </c>
      <c r="B838" s="237"/>
      <c r="C838" s="238">
        <v>3125.0</v>
      </c>
      <c r="D838" s="238">
        <v>9563.0</v>
      </c>
      <c r="E838" s="238" t="s">
        <v>4716</v>
      </c>
      <c r="F838" s="238" t="s">
        <v>4351</v>
      </c>
      <c r="G838" s="239" t="s">
        <v>3333</v>
      </c>
      <c r="H838" s="240">
        <v>30.0</v>
      </c>
      <c r="I838" s="240">
        <v>2.0</v>
      </c>
      <c r="J838" s="240">
        <v>0.0</v>
      </c>
      <c r="K838" s="240">
        <v>0.0</v>
      </c>
      <c r="L838" s="240">
        <v>0.0</v>
      </c>
      <c r="M838" s="241"/>
      <c r="N838" s="240">
        <v>28.0</v>
      </c>
    </row>
    <row r="839">
      <c r="A839" s="215">
        <v>835.0</v>
      </c>
      <c r="B839" s="237"/>
      <c r="C839" s="238">
        <v>3131.0</v>
      </c>
      <c r="D839" s="238">
        <v>8002.0</v>
      </c>
      <c r="E839" s="238" t="s">
        <v>4720</v>
      </c>
      <c r="F839" s="238" t="s">
        <v>4721</v>
      </c>
      <c r="G839" s="239" t="s">
        <v>3333</v>
      </c>
      <c r="H839" s="240">
        <v>55.0</v>
      </c>
      <c r="I839" s="240">
        <v>55.0</v>
      </c>
      <c r="J839" s="240">
        <v>0.0</v>
      </c>
      <c r="K839" s="240">
        <v>0.0</v>
      </c>
      <c r="L839" s="240">
        <v>0.0</v>
      </c>
      <c r="M839" s="240" t="s">
        <v>3458</v>
      </c>
      <c r="N839" s="240">
        <v>0.0</v>
      </c>
    </row>
    <row r="840">
      <c r="A840" s="215">
        <v>836.0</v>
      </c>
      <c r="B840" s="237"/>
      <c r="C840" s="238">
        <v>3131.0</v>
      </c>
      <c r="D840" s="238">
        <v>8264.0</v>
      </c>
      <c r="E840" s="238" t="s">
        <v>4720</v>
      </c>
      <c r="F840" s="238" t="s">
        <v>4722</v>
      </c>
      <c r="G840" s="239" t="s">
        <v>3333</v>
      </c>
      <c r="H840" s="240">
        <v>28.0</v>
      </c>
      <c r="I840" s="240">
        <v>28.0</v>
      </c>
      <c r="J840" s="240">
        <v>0.0</v>
      </c>
      <c r="K840" s="240">
        <v>0.0</v>
      </c>
      <c r="L840" s="240">
        <v>0.0</v>
      </c>
      <c r="M840" s="240" t="s">
        <v>4198</v>
      </c>
      <c r="N840" s="240">
        <v>0.0</v>
      </c>
    </row>
    <row r="841">
      <c r="A841" s="215">
        <v>837.0</v>
      </c>
      <c r="B841" s="237"/>
      <c r="C841" s="238">
        <v>3131.0</v>
      </c>
      <c r="D841" s="238">
        <v>9084.0</v>
      </c>
      <c r="E841" s="238" t="s">
        <v>4720</v>
      </c>
      <c r="F841" s="238" t="s">
        <v>4410</v>
      </c>
      <c r="G841" s="239" t="s">
        <v>3333</v>
      </c>
      <c r="H841" s="240">
        <v>54.0</v>
      </c>
      <c r="I841" s="240">
        <v>54.0</v>
      </c>
      <c r="J841" s="240">
        <v>0.0</v>
      </c>
      <c r="K841" s="240">
        <v>0.0</v>
      </c>
      <c r="L841" s="240">
        <v>0.0</v>
      </c>
      <c r="M841" s="240" t="s">
        <v>3562</v>
      </c>
      <c r="N841" s="240">
        <v>0.0</v>
      </c>
    </row>
    <row r="842">
      <c r="A842" s="215">
        <v>838.0</v>
      </c>
      <c r="B842" s="237"/>
      <c r="C842" s="238">
        <v>3131.0</v>
      </c>
      <c r="D842" s="238">
        <v>9563.0</v>
      </c>
      <c r="E842" s="238" t="s">
        <v>4720</v>
      </c>
      <c r="F842" s="238" t="s">
        <v>4351</v>
      </c>
      <c r="G842" s="239" t="s">
        <v>3333</v>
      </c>
      <c r="H842" s="240">
        <v>25.0</v>
      </c>
      <c r="I842" s="240">
        <v>25.0</v>
      </c>
      <c r="J842" s="240">
        <v>0.0</v>
      </c>
      <c r="K842" s="240">
        <v>0.0</v>
      </c>
      <c r="L842" s="240">
        <v>0.0</v>
      </c>
      <c r="M842" s="240" t="s">
        <v>3449</v>
      </c>
      <c r="N842" s="240">
        <v>0.0</v>
      </c>
    </row>
    <row r="843">
      <c r="A843" s="215">
        <v>839.0</v>
      </c>
      <c r="B843" s="237"/>
      <c r="C843" s="238">
        <v>3131.0</v>
      </c>
      <c r="D843" s="238">
        <v>9807.0</v>
      </c>
      <c r="E843" s="238" t="s">
        <v>4720</v>
      </c>
      <c r="F843" s="238" t="s">
        <v>4723</v>
      </c>
      <c r="G843" s="239" t="s">
        <v>3333</v>
      </c>
      <c r="H843" s="240">
        <v>22.0</v>
      </c>
      <c r="I843" s="240">
        <v>22.0</v>
      </c>
      <c r="J843" s="240">
        <v>0.0</v>
      </c>
      <c r="K843" s="240">
        <v>0.0</v>
      </c>
      <c r="L843" s="240">
        <v>0.0</v>
      </c>
      <c r="M843" s="240" t="s">
        <v>3822</v>
      </c>
      <c r="N843" s="240">
        <v>0.0</v>
      </c>
    </row>
    <row r="844">
      <c r="A844" s="215">
        <v>840.0</v>
      </c>
      <c r="B844" s="237"/>
      <c r="C844" s="238">
        <v>3131.0</v>
      </c>
      <c r="D844" s="238">
        <v>9853.0</v>
      </c>
      <c r="E844" s="238" t="s">
        <v>4720</v>
      </c>
      <c r="F844" s="238" t="s">
        <v>3350</v>
      </c>
      <c r="G844" s="239" t="s">
        <v>3333</v>
      </c>
      <c r="H844" s="240">
        <v>120.0</v>
      </c>
      <c r="I844" s="240">
        <v>120.0</v>
      </c>
      <c r="J844" s="240">
        <v>0.0</v>
      </c>
      <c r="K844" s="240">
        <v>0.0</v>
      </c>
      <c r="L844" s="240">
        <v>0.0</v>
      </c>
      <c r="M844" s="240" t="s">
        <v>3491</v>
      </c>
      <c r="N844" s="240">
        <v>0.0</v>
      </c>
    </row>
    <row r="845">
      <c r="A845" s="215">
        <v>841.0</v>
      </c>
      <c r="B845" s="237"/>
      <c r="C845" s="238">
        <v>3131.0</v>
      </c>
      <c r="D845" s="238">
        <v>9878.0</v>
      </c>
      <c r="E845" s="238" t="s">
        <v>4720</v>
      </c>
      <c r="F845" s="238" t="s">
        <v>4724</v>
      </c>
      <c r="G845" s="239" t="s">
        <v>3333</v>
      </c>
      <c r="H845" s="240">
        <v>20.0</v>
      </c>
      <c r="I845" s="240">
        <v>10.0</v>
      </c>
      <c r="J845" s="240">
        <v>0.0</v>
      </c>
      <c r="K845" s="240">
        <v>0.0</v>
      </c>
      <c r="L845" s="240">
        <v>0.0</v>
      </c>
      <c r="M845" s="240" t="s">
        <v>4726</v>
      </c>
      <c r="N845" s="240">
        <v>10.0</v>
      </c>
    </row>
    <row r="846">
      <c r="A846" s="215">
        <v>842.0</v>
      </c>
      <c r="B846" s="237"/>
      <c r="C846" s="238">
        <v>3131.0</v>
      </c>
      <c r="D846" s="238">
        <v>9879.0</v>
      </c>
      <c r="E846" s="238" t="s">
        <v>4720</v>
      </c>
      <c r="F846" s="238" t="s">
        <v>4727</v>
      </c>
      <c r="G846" s="239" t="s">
        <v>3333</v>
      </c>
      <c r="H846" s="240">
        <v>30.0</v>
      </c>
      <c r="I846" s="240">
        <v>23.0</v>
      </c>
      <c r="J846" s="240">
        <v>0.0</v>
      </c>
      <c r="K846" s="240">
        <v>0.0</v>
      </c>
      <c r="L846" s="240">
        <v>0.0</v>
      </c>
      <c r="M846" s="240" t="s">
        <v>3407</v>
      </c>
      <c r="N846" s="240">
        <v>7.0</v>
      </c>
    </row>
    <row r="847">
      <c r="A847" s="215">
        <v>843.0</v>
      </c>
      <c r="B847" s="237"/>
      <c r="C847" s="238">
        <v>3131.0</v>
      </c>
      <c r="D847" s="238" t="s">
        <v>4728</v>
      </c>
      <c r="E847" s="238" t="s">
        <v>4720</v>
      </c>
      <c r="F847" s="238" t="s">
        <v>4730</v>
      </c>
      <c r="G847" s="239" t="s">
        <v>3333</v>
      </c>
      <c r="H847" s="240">
        <v>44.0</v>
      </c>
      <c r="I847" s="240">
        <v>33.0</v>
      </c>
      <c r="J847" s="240">
        <v>0.0</v>
      </c>
      <c r="K847" s="240">
        <v>0.0</v>
      </c>
      <c r="L847" s="240">
        <v>0.0</v>
      </c>
      <c r="M847" s="240" t="s">
        <v>3336</v>
      </c>
      <c r="N847" s="240">
        <v>11.0</v>
      </c>
    </row>
    <row r="848">
      <c r="A848" s="215">
        <v>844.0</v>
      </c>
      <c r="B848" s="237"/>
      <c r="C848" s="238">
        <v>3131.0</v>
      </c>
      <c r="D848" s="238" t="s">
        <v>4732</v>
      </c>
      <c r="E848" s="238" t="s">
        <v>4720</v>
      </c>
      <c r="F848" s="238" t="s">
        <v>4733</v>
      </c>
      <c r="G848" s="239" t="s">
        <v>3333</v>
      </c>
      <c r="H848" s="240">
        <v>20.0</v>
      </c>
      <c r="I848" s="240">
        <v>20.0</v>
      </c>
      <c r="J848" s="240">
        <v>0.0</v>
      </c>
      <c r="K848" s="240">
        <v>1.0</v>
      </c>
      <c r="L848" s="240">
        <v>1.0</v>
      </c>
      <c r="M848" s="240" t="s">
        <v>3410</v>
      </c>
      <c r="N848" s="240">
        <v>0.0</v>
      </c>
    </row>
    <row r="849">
      <c r="A849" s="215">
        <v>845.0</v>
      </c>
      <c r="B849" s="237"/>
      <c r="C849" s="238">
        <v>3134.0</v>
      </c>
      <c r="D849" s="238">
        <v>8005.0</v>
      </c>
      <c r="E849" s="238" t="s">
        <v>4736</v>
      </c>
      <c r="F849" s="238" t="s">
        <v>4307</v>
      </c>
      <c r="G849" s="239" t="s">
        <v>3333</v>
      </c>
      <c r="H849" s="240">
        <v>27.0</v>
      </c>
      <c r="I849" s="240">
        <v>27.0</v>
      </c>
      <c r="J849" s="240">
        <v>0.0</v>
      </c>
      <c r="K849" s="240">
        <v>0.0</v>
      </c>
      <c r="L849" s="240">
        <v>0.0</v>
      </c>
      <c r="M849" s="240" t="s">
        <v>3582</v>
      </c>
      <c r="N849" s="240">
        <v>0.0</v>
      </c>
    </row>
    <row r="850">
      <c r="A850" s="215">
        <v>846.0</v>
      </c>
      <c r="B850" s="237"/>
      <c r="C850" s="238">
        <v>3134.0</v>
      </c>
      <c r="D850" s="238">
        <v>9009.0</v>
      </c>
      <c r="E850" s="238" t="s">
        <v>4736</v>
      </c>
      <c r="F850" s="238" t="s">
        <v>4739</v>
      </c>
      <c r="G850" s="239" t="s">
        <v>3333</v>
      </c>
      <c r="H850" s="240">
        <v>54.0</v>
      </c>
      <c r="I850" s="240">
        <v>43.0</v>
      </c>
      <c r="J850" s="240">
        <v>0.0</v>
      </c>
      <c r="K850" s="240">
        <v>1.0</v>
      </c>
      <c r="L850" s="240">
        <v>0.0</v>
      </c>
      <c r="M850" s="240" t="s">
        <v>3586</v>
      </c>
      <c r="N850" s="240">
        <v>10.0</v>
      </c>
    </row>
    <row r="851">
      <c r="A851" s="215">
        <v>847.0</v>
      </c>
      <c r="B851" s="237"/>
      <c r="C851" s="238">
        <v>3134.0</v>
      </c>
      <c r="D851" s="238">
        <v>9043.0</v>
      </c>
      <c r="E851" s="238" t="s">
        <v>4736</v>
      </c>
      <c r="F851" s="238" t="s">
        <v>4740</v>
      </c>
      <c r="G851" s="239" t="s">
        <v>3333</v>
      </c>
      <c r="H851" s="240">
        <v>25.0</v>
      </c>
      <c r="I851" s="240">
        <v>21.0</v>
      </c>
      <c r="J851" s="240">
        <v>0.0</v>
      </c>
      <c r="K851" s="240">
        <v>0.0</v>
      </c>
      <c r="L851" s="240">
        <v>0.0</v>
      </c>
      <c r="M851" s="240" t="s">
        <v>3707</v>
      </c>
      <c r="N851" s="240">
        <v>4.0</v>
      </c>
    </row>
    <row r="852">
      <c r="A852" s="215">
        <v>848.0</v>
      </c>
      <c r="B852" s="237"/>
      <c r="C852" s="238">
        <v>3134.0</v>
      </c>
      <c r="D852" s="238">
        <v>9053.0</v>
      </c>
      <c r="E852" s="238" t="s">
        <v>4736</v>
      </c>
      <c r="F852" s="238" t="s">
        <v>4742</v>
      </c>
      <c r="G852" s="239" t="s">
        <v>3333</v>
      </c>
      <c r="H852" s="240">
        <v>43.0</v>
      </c>
      <c r="I852" s="240">
        <v>43.0</v>
      </c>
      <c r="J852" s="240">
        <v>0.0</v>
      </c>
      <c r="K852" s="240">
        <v>0.0</v>
      </c>
      <c r="L852" s="240">
        <v>0.0</v>
      </c>
      <c r="M852" s="240" t="s">
        <v>3503</v>
      </c>
      <c r="N852" s="240">
        <v>0.0</v>
      </c>
    </row>
    <row r="853">
      <c r="A853" s="215">
        <v>849.0</v>
      </c>
      <c r="B853" s="237"/>
      <c r="C853" s="238">
        <v>3134.0</v>
      </c>
      <c r="D853" s="238">
        <v>9058.0</v>
      </c>
      <c r="E853" s="238" t="s">
        <v>4736</v>
      </c>
      <c r="F853" s="238" t="s">
        <v>4546</v>
      </c>
      <c r="G853" s="239" t="s">
        <v>3333</v>
      </c>
      <c r="H853" s="240">
        <v>215.0</v>
      </c>
      <c r="I853" s="240">
        <v>206.0</v>
      </c>
      <c r="J853" s="240">
        <v>0.0</v>
      </c>
      <c r="K853" s="240">
        <v>1.0</v>
      </c>
      <c r="L853" s="240">
        <v>0.0</v>
      </c>
      <c r="M853" s="240" t="s">
        <v>4604</v>
      </c>
      <c r="N853" s="240">
        <v>8.0</v>
      </c>
    </row>
    <row r="854">
      <c r="A854" s="215">
        <v>850.0</v>
      </c>
      <c r="B854" s="237"/>
      <c r="C854" s="238">
        <v>3134.0</v>
      </c>
      <c r="D854" s="238">
        <v>9205.0</v>
      </c>
      <c r="E854" s="238" t="s">
        <v>4736</v>
      </c>
      <c r="F854" s="238" t="s">
        <v>3595</v>
      </c>
      <c r="G854" s="239" t="s">
        <v>3333</v>
      </c>
      <c r="H854" s="240">
        <v>90.0</v>
      </c>
      <c r="I854" s="240">
        <v>90.0</v>
      </c>
      <c r="J854" s="240">
        <v>0.0</v>
      </c>
      <c r="K854" s="240">
        <v>0.0</v>
      </c>
      <c r="L854" s="240">
        <v>0.0</v>
      </c>
      <c r="M854" s="240" t="s">
        <v>3702</v>
      </c>
      <c r="N854" s="240">
        <v>0.0</v>
      </c>
    </row>
    <row r="855">
      <c r="A855" s="215">
        <v>851.0</v>
      </c>
      <c r="B855" s="237"/>
      <c r="C855" s="238">
        <v>3134.0</v>
      </c>
      <c r="D855" s="238">
        <v>9227.0</v>
      </c>
      <c r="E855" s="238" t="s">
        <v>4736</v>
      </c>
      <c r="F855" s="238" t="s">
        <v>4743</v>
      </c>
      <c r="G855" s="239" t="s">
        <v>3333</v>
      </c>
      <c r="H855" s="240">
        <v>46.0</v>
      </c>
      <c r="I855" s="240">
        <v>46.0</v>
      </c>
      <c r="J855" s="240">
        <v>0.0</v>
      </c>
      <c r="K855" s="240">
        <v>0.0</v>
      </c>
      <c r="L855" s="240">
        <v>0.0</v>
      </c>
      <c r="M855" s="240" t="s">
        <v>3875</v>
      </c>
      <c r="N855" s="240">
        <v>0.0</v>
      </c>
    </row>
    <row r="856">
      <c r="A856" s="215">
        <v>852.0</v>
      </c>
      <c r="B856" s="237"/>
      <c r="C856" s="238">
        <v>3134.0</v>
      </c>
      <c r="D856" s="238">
        <v>9716.0</v>
      </c>
      <c r="E856" s="238" t="s">
        <v>4736</v>
      </c>
      <c r="F856" s="238" t="s">
        <v>4744</v>
      </c>
      <c r="G856" s="239" t="s">
        <v>3333</v>
      </c>
      <c r="H856" s="240">
        <v>35.0</v>
      </c>
      <c r="I856" s="240">
        <v>35.0</v>
      </c>
      <c r="J856" s="240">
        <v>0.0</v>
      </c>
      <c r="K856" s="240">
        <v>0.0</v>
      </c>
      <c r="L856" s="240">
        <v>0.0</v>
      </c>
      <c r="M856" s="240" t="s">
        <v>3331</v>
      </c>
      <c r="N856" s="240">
        <v>0.0</v>
      </c>
    </row>
    <row r="857">
      <c r="A857" s="215">
        <v>853.0</v>
      </c>
      <c r="B857" s="237"/>
      <c r="C857" s="238">
        <v>3134.0</v>
      </c>
      <c r="D857" s="238">
        <v>9829.0</v>
      </c>
      <c r="E857" s="238" t="s">
        <v>4736</v>
      </c>
      <c r="F857" s="238" t="s">
        <v>4745</v>
      </c>
      <c r="G857" s="239" t="s">
        <v>3333</v>
      </c>
      <c r="H857" s="240">
        <v>27.0</v>
      </c>
      <c r="I857" s="240">
        <v>10.0</v>
      </c>
      <c r="J857" s="240">
        <v>0.0</v>
      </c>
      <c r="K857" s="240">
        <v>0.0</v>
      </c>
      <c r="L857" s="240">
        <v>0.0</v>
      </c>
      <c r="M857" s="240" t="s">
        <v>4126</v>
      </c>
      <c r="N857" s="240">
        <v>17.0</v>
      </c>
    </row>
    <row r="858">
      <c r="A858" s="215">
        <v>854.0</v>
      </c>
      <c r="B858" s="237"/>
      <c r="C858" s="238">
        <v>3134.0</v>
      </c>
      <c r="D858" s="238">
        <v>9866.0</v>
      </c>
      <c r="E858" s="238" t="s">
        <v>4736</v>
      </c>
      <c r="F858" s="238" t="s">
        <v>4746</v>
      </c>
      <c r="G858" s="239" t="s">
        <v>3333</v>
      </c>
      <c r="H858" s="240">
        <v>24.0</v>
      </c>
      <c r="I858" s="240">
        <v>24.0</v>
      </c>
      <c r="J858" s="240">
        <v>0.0</v>
      </c>
      <c r="K858" s="240">
        <v>0.0</v>
      </c>
      <c r="L858" s="240">
        <v>0.0</v>
      </c>
      <c r="M858" s="240" t="s">
        <v>4129</v>
      </c>
      <c r="N858" s="240">
        <v>0.0</v>
      </c>
    </row>
    <row r="859">
      <c r="A859" s="215">
        <v>855.0</v>
      </c>
      <c r="B859" s="237"/>
      <c r="C859" s="238">
        <v>3134.0</v>
      </c>
      <c r="D859" s="238">
        <v>9867.0</v>
      </c>
      <c r="E859" s="238" t="s">
        <v>4736</v>
      </c>
      <c r="F859" s="238" t="s">
        <v>4747</v>
      </c>
      <c r="G859" s="239" t="s">
        <v>3333</v>
      </c>
      <c r="H859" s="240">
        <v>24.0</v>
      </c>
      <c r="I859" s="240">
        <v>24.0</v>
      </c>
      <c r="J859" s="240">
        <v>0.0</v>
      </c>
      <c r="K859" s="240">
        <v>0.0</v>
      </c>
      <c r="L859" s="240">
        <v>0.0</v>
      </c>
      <c r="M859" s="240" t="s">
        <v>3875</v>
      </c>
      <c r="N859" s="240">
        <v>0.0</v>
      </c>
    </row>
    <row r="860">
      <c r="A860" s="215">
        <v>856.0</v>
      </c>
      <c r="B860" s="237"/>
      <c r="C860" s="238">
        <v>3134.0</v>
      </c>
      <c r="D860" s="238">
        <v>9870.0</v>
      </c>
      <c r="E860" s="238" t="s">
        <v>4736</v>
      </c>
      <c r="F860" s="238" t="s">
        <v>4750</v>
      </c>
      <c r="G860" s="239" t="s">
        <v>3333</v>
      </c>
      <c r="H860" s="240">
        <v>51.0</v>
      </c>
      <c r="I860" s="240">
        <v>14.0</v>
      </c>
      <c r="J860" s="240">
        <v>0.0</v>
      </c>
      <c r="K860" s="240">
        <v>0.0</v>
      </c>
      <c r="L860" s="240">
        <v>0.0</v>
      </c>
      <c r="M860" s="240" t="s">
        <v>4360</v>
      </c>
      <c r="N860" s="240">
        <v>37.0</v>
      </c>
    </row>
    <row r="861">
      <c r="A861" s="215">
        <v>857.0</v>
      </c>
      <c r="B861" s="237"/>
      <c r="C861" s="238">
        <v>3134.0</v>
      </c>
      <c r="D861" s="238" t="s">
        <v>4752</v>
      </c>
      <c r="E861" s="238" t="s">
        <v>4736</v>
      </c>
      <c r="F861" s="238" t="s">
        <v>4753</v>
      </c>
      <c r="G861" s="239" t="s">
        <v>3333</v>
      </c>
      <c r="H861" s="240">
        <v>32.0</v>
      </c>
      <c r="I861" s="240">
        <v>32.0</v>
      </c>
      <c r="J861" s="240">
        <v>0.0</v>
      </c>
      <c r="K861" s="240">
        <v>1.0</v>
      </c>
      <c r="L861" s="240">
        <v>1.0</v>
      </c>
      <c r="M861" s="240" t="s">
        <v>4017</v>
      </c>
      <c r="N861" s="240">
        <v>0.0</v>
      </c>
    </row>
    <row r="862">
      <c r="A862" s="215">
        <v>858.0</v>
      </c>
      <c r="B862" s="237"/>
      <c r="C862" s="238">
        <v>3135.0</v>
      </c>
      <c r="D862" s="238">
        <v>8316.0</v>
      </c>
      <c r="E862" s="238" t="s">
        <v>4754</v>
      </c>
      <c r="F862" s="238" t="s">
        <v>4755</v>
      </c>
      <c r="G862" s="239" t="s">
        <v>3333</v>
      </c>
      <c r="H862" s="240">
        <v>40.0</v>
      </c>
      <c r="I862" s="240">
        <v>37.0</v>
      </c>
      <c r="J862" s="240">
        <v>0.0</v>
      </c>
      <c r="K862" s="240">
        <v>1.0</v>
      </c>
      <c r="L862" s="240">
        <v>0.0</v>
      </c>
      <c r="M862" s="240" t="s">
        <v>3431</v>
      </c>
      <c r="N862" s="240">
        <v>2.0</v>
      </c>
    </row>
    <row r="863">
      <c r="A863" s="215">
        <v>859.0</v>
      </c>
      <c r="B863" s="237"/>
      <c r="C863" s="238">
        <v>3135.0</v>
      </c>
      <c r="D863" s="238">
        <v>9089.0</v>
      </c>
      <c r="E863" s="238" t="s">
        <v>4754</v>
      </c>
      <c r="F863" s="238" t="s">
        <v>3456</v>
      </c>
      <c r="G863" s="239" t="s">
        <v>3333</v>
      </c>
      <c r="H863" s="240">
        <v>51.0</v>
      </c>
      <c r="I863" s="240">
        <v>51.0</v>
      </c>
      <c r="J863" s="240">
        <v>0.0</v>
      </c>
      <c r="K863" s="240">
        <v>0.0</v>
      </c>
      <c r="L863" s="240">
        <v>0.0</v>
      </c>
      <c r="M863" s="240" t="s">
        <v>3793</v>
      </c>
      <c r="N863" s="240">
        <v>0.0</v>
      </c>
    </row>
    <row r="864">
      <c r="A864" s="215">
        <v>860.0</v>
      </c>
      <c r="B864" s="237"/>
      <c r="C864" s="238">
        <v>3135.0</v>
      </c>
      <c r="D864" s="238">
        <v>9098.0</v>
      </c>
      <c r="E864" s="238" t="s">
        <v>4754</v>
      </c>
      <c r="F864" s="238" t="s">
        <v>3947</v>
      </c>
      <c r="G864" s="239" t="s">
        <v>3333</v>
      </c>
      <c r="H864" s="240">
        <v>40.0</v>
      </c>
      <c r="I864" s="240">
        <v>40.0</v>
      </c>
      <c r="J864" s="240">
        <v>0.0</v>
      </c>
      <c r="K864" s="240">
        <v>0.0</v>
      </c>
      <c r="L864" s="240">
        <v>0.0</v>
      </c>
      <c r="M864" s="240" t="s">
        <v>3519</v>
      </c>
      <c r="N864" s="240">
        <v>0.0</v>
      </c>
    </row>
    <row r="865">
      <c r="A865" s="215">
        <v>861.0</v>
      </c>
      <c r="B865" s="237"/>
      <c r="C865" s="238">
        <v>3135.0</v>
      </c>
      <c r="D865" s="238">
        <v>9104.0</v>
      </c>
      <c r="E865" s="238" t="s">
        <v>4754</v>
      </c>
      <c r="F865" s="238" t="s">
        <v>3466</v>
      </c>
      <c r="G865" s="239" t="s">
        <v>3333</v>
      </c>
      <c r="H865" s="240">
        <v>40.0</v>
      </c>
      <c r="I865" s="240">
        <v>40.0</v>
      </c>
      <c r="J865" s="240">
        <v>0.0</v>
      </c>
      <c r="K865" s="240">
        <v>0.0</v>
      </c>
      <c r="L865" s="240">
        <v>0.0</v>
      </c>
      <c r="M865" s="240" t="s">
        <v>4756</v>
      </c>
      <c r="N865" s="240">
        <v>0.0</v>
      </c>
    </row>
    <row r="866">
      <c r="A866" s="215">
        <v>862.0</v>
      </c>
      <c r="B866" s="237"/>
      <c r="C866" s="238">
        <v>3135.0</v>
      </c>
      <c r="D866" s="238">
        <v>9110.0</v>
      </c>
      <c r="E866" s="238" t="s">
        <v>4754</v>
      </c>
      <c r="F866" s="238" t="s">
        <v>4757</v>
      </c>
      <c r="G866" s="239" t="s">
        <v>3333</v>
      </c>
      <c r="H866" s="240">
        <v>45.0</v>
      </c>
      <c r="I866" s="240">
        <v>45.0</v>
      </c>
      <c r="J866" s="240">
        <v>0.0</v>
      </c>
      <c r="K866" s="240">
        <v>0.0</v>
      </c>
      <c r="L866" s="240">
        <v>0.0</v>
      </c>
      <c r="M866" s="240" t="s">
        <v>3704</v>
      </c>
      <c r="N866" s="240">
        <v>0.0</v>
      </c>
    </row>
    <row r="867">
      <c r="A867" s="215">
        <v>863.0</v>
      </c>
      <c r="B867" s="237"/>
      <c r="C867" s="238">
        <v>3135.0</v>
      </c>
      <c r="D867" s="238">
        <v>9112.0</v>
      </c>
      <c r="E867" s="238" t="s">
        <v>4754</v>
      </c>
      <c r="F867" s="238" t="s">
        <v>3522</v>
      </c>
      <c r="G867" s="239" t="s">
        <v>3333</v>
      </c>
      <c r="H867" s="240">
        <v>167.0</v>
      </c>
      <c r="I867" s="240">
        <v>167.0</v>
      </c>
      <c r="J867" s="240">
        <v>0.0</v>
      </c>
      <c r="K867" s="240">
        <v>0.0</v>
      </c>
      <c r="L867" s="240">
        <v>0.0</v>
      </c>
      <c r="M867" s="240" t="s">
        <v>4112</v>
      </c>
      <c r="N867" s="240">
        <v>0.0</v>
      </c>
    </row>
    <row r="868">
      <c r="A868" s="215">
        <v>864.0</v>
      </c>
      <c r="B868" s="237"/>
      <c r="C868" s="238">
        <v>3135.0</v>
      </c>
      <c r="D868" s="238">
        <v>9117.0</v>
      </c>
      <c r="E868" s="238" t="s">
        <v>4754</v>
      </c>
      <c r="F868" s="238" t="s">
        <v>4759</v>
      </c>
      <c r="G868" s="239" t="s">
        <v>3333</v>
      </c>
      <c r="H868" s="240">
        <v>20.0</v>
      </c>
      <c r="I868" s="240">
        <v>20.0</v>
      </c>
      <c r="J868" s="240">
        <v>0.0</v>
      </c>
      <c r="K868" s="240">
        <v>0.0</v>
      </c>
      <c r="L868" s="240">
        <v>0.0</v>
      </c>
      <c r="M868" s="240" t="s">
        <v>3349</v>
      </c>
      <c r="N868" s="240">
        <v>0.0</v>
      </c>
    </row>
    <row r="869">
      <c r="A869" s="215">
        <v>865.0</v>
      </c>
      <c r="B869" s="237"/>
      <c r="C869" s="238">
        <v>3135.0</v>
      </c>
      <c r="D869" s="238">
        <v>9119.0</v>
      </c>
      <c r="E869" s="238" t="s">
        <v>4754</v>
      </c>
      <c r="F869" s="238" t="s">
        <v>3417</v>
      </c>
      <c r="G869" s="239" t="s">
        <v>3333</v>
      </c>
      <c r="H869" s="240">
        <v>201.0</v>
      </c>
      <c r="I869" s="240">
        <v>201.0</v>
      </c>
      <c r="J869" s="240">
        <v>0.0</v>
      </c>
      <c r="K869" s="240">
        <v>0.0</v>
      </c>
      <c r="L869" s="240">
        <v>0.0</v>
      </c>
      <c r="M869" s="240" t="s">
        <v>4159</v>
      </c>
      <c r="N869" s="240">
        <v>0.0</v>
      </c>
    </row>
    <row r="870">
      <c r="A870" s="215">
        <v>866.0</v>
      </c>
      <c r="B870" s="237"/>
      <c r="C870" s="238">
        <v>3135.0</v>
      </c>
      <c r="D870" s="238">
        <v>9123.0</v>
      </c>
      <c r="E870" s="238" t="s">
        <v>4754</v>
      </c>
      <c r="F870" s="238" t="s">
        <v>3471</v>
      </c>
      <c r="G870" s="239" t="s">
        <v>3333</v>
      </c>
      <c r="H870" s="240">
        <v>120.0</v>
      </c>
      <c r="I870" s="240">
        <v>120.0</v>
      </c>
      <c r="J870" s="240">
        <v>0.0</v>
      </c>
      <c r="K870" s="240">
        <v>0.0</v>
      </c>
      <c r="L870" s="240">
        <v>0.0</v>
      </c>
      <c r="M870" s="240" t="s">
        <v>4762</v>
      </c>
      <c r="N870" s="240">
        <v>0.0</v>
      </c>
    </row>
    <row r="871">
      <c r="A871" s="215">
        <v>867.0</v>
      </c>
      <c r="B871" s="237"/>
      <c r="C871" s="238">
        <v>3135.0</v>
      </c>
      <c r="D871" s="238">
        <v>9125.0</v>
      </c>
      <c r="E871" s="238" t="s">
        <v>4754</v>
      </c>
      <c r="F871" s="238" t="s">
        <v>3475</v>
      </c>
      <c r="G871" s="239" t="s">
        <v>3333</v>
      </c>
      <c r="H871" s="240">
        <v>53.0</v>
      </c>
      <c r="I871" s="240">
        <v>51.0</v>
      </c>
      <c r="J871" s="240">
        <v>0.0</v>
      </c>
      <c r="K871" s="240">
        <v>0.0</v>
      </c>
      <c r="L871" s="240">
        <v>0.0</v>
      </c>
      <c r="M871" s="240" t="s">
        <v>3914</v>
      </c>
      <c r="N871" s="240">
        <v>2.0</v>
      </c>
    </row>
    <row r="872">
      <c r="A872" s="215">
        <v>868.0</v>
      </c>
      <c r="B872" s="237"/>
      <c r="C872" s="238">
        <v>3135.0</v>
      </c>
      <c r="D872" s="238">
        <v>9455.0</v>
      </c>
      <c r="E872" s="238" t="s">
        <v>4754</v>
      </c>
      <c r="F872" s="238" t="s">
        <v>3502</v>
      </c>
      <c r="G872" s="239" t="s">
        <v>3333</v>
      </c>
      <c r="H872" s="240">
        <v>49.0</v>
      </c>
      <c r="I872" s="240">
        <v>49.0</v>
      </c>
      <c r="J872" s="240">
        <v>0.0</v>
      </c>
      <c r="K872" s="240">
        <v>0.0</v>
      </c>
      <c r="L872" s="240">
        <v>0.0</v>
      </c>
      <c r="M872" s="240" t="s">
        <v>3941</v>
      </c>
      <c r="N872" s="240">
        <v>0.0</v>
      </c>
    </row>
    <row r="873">
      <c r="A873" s="215">
        <v>869.0</v>
      </c>
      <c r="B873" s="237"/>
      <c r="C873" s="238">
        <v>3135.0</v>
      </c>
      <c r="D873" s="238">
        <v>9936.0</v>
      </c>
      <c r="E873" s="238" t="s">
        <v>4754</v>
      </c>
      <c r="F873" s="238" t="s">
        <v>4767</v>
      </c>
      <c r="G873" s="239" t="s">
        <v>3333</v>
      </c>
      <c r="H873" s="240">
        <v>43.0</v>
      </c>
      <c r="I873" s="240">
        <v>43.0</v>
      </c>
      <c r="J873" s="240">
        <v>0.0</v>
      </c>
      <c r="K873" s="240">
        <v>0.0</v>
      </c>
      <c r="L873" s="240">
        <v>0.0</v>
      </c>
      <c r="M873" s="240" t="s">
        <v>3441</v>
      </c>
      <c r="N873" s="240">
        <v>0.0</v>
      </c>
    </row>
    <row r="874">
      <c r="A874" s="215">
        <v>870.0</v>
      </c>
      <c r="B874" s="237"/>
      <c r="C874" s="238">
        <v>3135.0</v>
      </c>
      <c r="D874" s="238" t="s">
        <v>4769</v>
      </c>
      <c r="E874" s="238" t="s">
        <v>4754</v>
      </c>
      <c r="F874" s="238" t="s">
        <v>4770</v>
      </c>
      <c r="G874" s="239" t="s">
        <v>3333</v>
      </c>
      <c r="H874" s="240">
        <v>28.0</v>
      </c>
      <c r="I874" s="240">
        <v>13.0</v>
      </c>
      <c r="J874" s="240">
        <v>0.0</v>
      </c>
      <c r="K874" s="240">
        <v>0.0</v>
      </c>
      <c r="L874" s="240">
        <v>0.0</v>
      </c>
      <c r="M874" s="240" t="s">
        <v>4482</v>
      </c>
      <c r="N874" s="240">
        <v>15.0</v>
      </c>
    </row>
    <row r="875">
      <c r="A875" s="215">
        <v>871.0</v>
      </c>
      <c r="B875" s="237"/>
      <c r="C875" s="238">
        <v>3138.0</v>
      </c>
      <c r="D875" s="238">
        <v>8015.0</v>
      </c>
      <c r="E875" s="238" t="s">
        <v>4771</v>
      </c>
      <c r="F875" s="238" t="s">
        <v>4358</v>
      </c>
      <c r="G875" s="239" t="s">
        <v>3333</v>
      </c>
      <c r="H875" s="240">
        <v>19.0</v>
      </c>
      <c r="I875" s="240">
        <v>19.0</v>
      </c>
      <c r="J875" s="240">
        <v>0.0</v>
      </c>
      <c r="K875" s="240">
        <v>0.0</v>
      </c>
      <c r="L875" s="240">
        <v>0.0</v>
      </c>
      <c r="M875" s="240" t="s">
        <v>4118</v>
      </c>
      <c r="N875" s="240">
        <v>0.0</v>
      </c>
    </row>
    <row r="876">
      <c r="A876" s="215">
        <v>872.0</v>
      </c>
      <c r="B876" s="237"/>
      <c r="C876" s="238">
        <v>3138.0</v>
      </c>
      <c r="D876" s="238">
        <v>8097.0</v>
      </c>
      <c r="E876" s="238" t="s">
        <v>4771</v>
      </c>
      <c r="F876" s="238" t="s">
        <v>4772</v>
      </c>
      <c r="G876" s="239" t="s">
        <v>3333</v>
      </c>
      <c r="H876" s="240">
        <v>21.0</v>
      </c>
      <c r="I876" s="240">
        <v>21.0</v>
      </c>
      <c r="J876" s="240">
        <v>0.0</v>
      </c>
      <c r="K876" s="240">
        <v>0.0</v>
      </c>
      <c r="L876" s="240">
        <v>0.0</v>
      </c>
      <c r="M876" s="240" t="s">
        <v>3668</v>
      </c>
      <c r="N876" s="240">
        <v>0.0</v>
      </c>
    </row>
    <row r="877">
      <c r="A877" s="215">
        <v>873.0</v>
      </c>
      <c r="B877" s="237"/>
      <c r="C877" s="238">
        <v>3138.0</v>
      </c>
      <c r="D877" s="238">
        <v>8288.0</v>
      </c>
      <c r="E877" s="238" t="s">
        <v>4771</v>
      </c>
      <c r="F877" s="238" t="s">
        <v>4774</v>
      </c>
      <c r="G877" s="239" t="s">
        <v>3333</v>
      </c>
      <c r="H877" s="240">
        <v>22.0</v>
      </c>
      <c r="I877" s="240">
        <v>17.0</v>
      </c>
      <c r="J877" s="240">
        <v>0.0</v>
      </c>
      <c r="K877" s="240">
        <v>0.0</v>
      </c>
      <c r="L877" s="240">
        <v>0.0</v>
      </c>
      <c r="M877" s="240" t="s">
        <v>3389</v>
      </c>
      <c r="N877" s="240">
        <v>5.0</v>
      </c>
    </row>
    <row r="878">
      <c r="A878" s="215">
        <v>874.0</v>
      </c>
      <c r="B878" s="237"/>
      <c r="C878" s="238">
        <v>3138.0</v>
      </c>
      <c r="D878" s="238">
        <v>8398.0</v>
      </c>
      <c r="E878" s="238" t="s">
        <v>4771</v>
      </c>
      <c r="F878" s="238" t="s">
        <v>4776</v>
      </c>
      <c r="G878" s="239" t="s">
        <v>3333</v>
      </c>
      <c r="H878" s="240">
        <v>22.0</v>
      </c>
      <c r="I878" s="240">
        <v>18.0</v>
      </c>
      <c r="J878" s="240">
        <v>0.0</v>
      </c>
      <c r="K878" s="240">
        <v>0.0</v>
      </c>
      <c r="L878" s="240">
        <v>0.0</v>
      </c>
      <c r="M878" s="240" t="s">
        <v>3653</v>
      </c>
      <c r="N878" s="240">
        <v>4.0</v>
      </c>
    </row>
    <row r="879">
      <c r="A879" s="215">
        <v>875.0</v>
      </c>
      <c r="B879" s="237"/>
      <c r="C879" s="238">
        <v>3138.0</v>
      </c>
      <c r="D879" s="238">
        <v>9045.0</v>
      </c>
      <c r="E879" s="238" t="s">
        <v>4771</v>
      </c>
      <c r="F879" s="238" t="s">
        <v>4778</v>
      </c>
      <c r="G879" s="239" t="s">
        <v>3333</v>
      </c>
      <c r="H879" s="240">
        <v>40.0</v>
      </c>
      <c r="I879" s="240">
        <v>40.0</v>
      </c>
      <c r="J879" s="240">
        <v>0.0</v>
      </c>
      <c r="K879" s="240">
        <v>0.0</v>
      </c>
      <c r="L879" s="240">
        <v>0.0</v>
      </c>
      <c r="M879" s="240" t="s">
        <v>4052</v>
      </c>
      <c r="N879" s="240">
        <v>0.0</v>
      </c>
    </row>
    <row r="880">
      <c r="A880" s="215">
        <v>876.0</v>
      </c>
      <c r="B880" s="237"/>
      <c r="C880" s="238">
        <v>3138.0</v>
      </c>
      <c r="D880" s="238">
        <v>9119.0</v>
      </c>
      <c r="E880" s="238" t="s">
        <v>4771</v>
      </c>
      <c r="F880" s="238" t="s">
        <v>3417</v>
      </c>
      <c r="G880" s="239" t="s">
        <v>3333</v>
      </c>
      <c r="H880" s="240">
        <v>70.0</v>
      </c>
      <c r="I880" s="240">
        <v>64.0</v>
      </c>
      <c r="J880" s="240">
        <v>0.0</v>
      </c>
      <c r="K880" s="240">
        <v>0.0</v>
      </c>
      <c r="L880" s="240">
        <v>0.0</v>
      </c>
      <c r="M880" s="240" t="s">
        <v>3771</v>
      </c>
      <c r="N880" s="240">
        <v>6.0</v>
      </c>
    </row>
    <row r="881">
      <c r="A881" s="215">
        <v>877.0</v>
      </c>
      <c r="B881" s="237"/>
      <c r="C881" s="238">
        <v>3138.0</v>
      </c>
      <c r="D881" s="238">
        <v>9242.0</v>
      </c>
      <c r="E881" s="238" t="s">
        <v>4771</v>
      </c>
      <c r="F881" s="238" t="s">
        <v>4355</v>
      </c>
      <c r="G881" s="239" t="s">
        <v>3333</v>
      </c>
      <c r="H881" s="240">
        <v>38.0</v>
      </c>
      <c r="I881" s="240">
        <v>38.0</v>
      </c>
      <c r="J881" s="240">
        <v>0.0</v>
      </c>
      <c r="K881" s="240">
        <v>1.0</v>
      </c>
      <c r="L881" s="240">
        <v>1.0</v>
      </c>
      <c r="M881" s="240" t="s">
        <v>4780</v>
      </c>
      <c r="N881" s="240">
        <v>0.0</v>
      </c>
    </row>
    <row r="882">
      <c r="A882" s="215">
        <v>878.0</v>
      </c>
      <c r="B882" s="237"/>
      <c r="C882" s="238">
        <v>3138.0</v>
      </c>
      <c r="D882" s="238" t="s">
        <v>4781</v>
      </c>
      <c r="E882" s="238" t="s">
        <v>4771</v>
      </c>
      <c r="F882" s="238" t="s">
        <v>4782</v>
      </c>
      <c r="G882" s="239" t="s">
        <v>3333</v>
      </c>
      <c r="H882" s="240">
        <v>20.0</v>
      </c>
      <c r="I882" s="240">
        <v>20.0</v>
      </c>
      <c r="J882" s="240">
        <v>0.0</v>
      </c>
      <c r="K882" s="240">
        <v>0.0</v>
      </c>
      <c r="L882" s="240">
        <v>0.0</v>
      </c>
      <c r="M882" s="240" t="s">
        <v>3875</v>
      </c>
      <c r="N882" s="240">
        <v>0.0</v>
      </c>
    </row>
    <row r="883">
      <c r="A883" s="215">
        <v>879.0</v>
      </c>
      <c r="B883" s="237"/>
      <c r="C883" s="238">
        <v>3138.0</v>
      </c>
      <c r="D883" s="238" t="s">
        <v>4783</v>
      </c>
      <c r="E883" s="238" t="s">
        <v>4771</v>
      </c>
      <c r="F883" s="238" t="s">
        <v>4784</v>
      </c>
      <c r="G883" s="239" t="s">
        <v>3333</v>
      </c>
      <c r="H883" s="240">
        <v>20.0</v>
      </c>
      <c r="I883" s="240">
        <v>20.0</v>
      </c>
      <c r="J883" s="240">
        <v>0.0</v>
      </c>
      <c r="K883" s="240">
        <v>0.0</v>
      </c>
      <c r="L883" s="240">
        <v>0.0</v>
      </c>
      <c r="M883" s="240" t="s">
        <v>3410</v>
      </c>
      <c r="N883" s="240">
        <v>0.0</v>
      </c>
    </row>
    <row r="884">
      <c r="A884" s="215">
        <v>880.0</v>
      </c>
      <c r="B884" s="237"/>
      <c r="C884" s="238">
        <v>3139.0</v>
      </c>
      <c r="D884" s="238">
        <v>8442.0</v>
      </c>
      <c r="E884" s="238" t="s">
        <v>4785</v>
      </c>
      <c r="F884" s="238" t="s">
        <v>4786</v>
      </c>
      <c r="G884" s="239" t="s">
        <v>3333</v>
      </c>
      <c r="H884" s="240">
        <v>30.0</v>
      </c>
      <c r="I884" s="240">
        <v>5.0</v>
      </c>
      <c r="J884" s="240">
        <v>0.0</v>
      </c>
      <c r="K884" s="240">
        <v>0.0</v>
      </c>
      <c r="L884" s="240">
        <v>0.0</v>
      </c>
      <c r="M884" s="240" t="s">
        <v>4117</v>
      </c>
      <c r="N884" s="240">
        <v>25.0</v>
      </c>
    </row>
    <row r="885">
      <c r="A885" s="215">
        <v>881.0</v>
      </c>
      <c r="B885" s="237"/>
      <c r="C885" s="238">
        <v>3139.0</v>
      </c>
      <c r="D885" s="238">
        <v>9164.0</v>
      </c>
      <c r="E885" s="238" t="s">
        <v>4785</v>
      </c>
      <c r="F885" s="238" t="s">
        <v>4787</v>
      </c>
      <c r="G885" s="239" t="s">
        <v>3333</v>
      </c>
      <c r="H885" s="240">
        <v>44.0</v>
      </c>
      <c r="I885" s="240">
        <v>44.0</v>
      </c>
      <c r="J885" s="240">
        <v>0.0</v>
      </c>
      <c r="K885" s="240">
        <v>0.0</v>
      </c>
      <c r="L885" s="240">
        <v>0.0</v>
      </c>
      <c r="M885" s="240" t="s">
        <v>4788</v>
      </c>
      <c r="N885" s="240">
        <v>0.0</v>
      </c>
    </row>
    <row r="886">
      <c r="A886" s="215">
        <v>882.0</v>
      </c>
      <c r="B886" s="237"/>
      <c r="C886" s="238">
        <v>3139.0</v>
      </c>
      <c r="D886" s="238">
        <v>9921.0</v>
      </c>
      <c r="E886" s="238" t="s">
        <v>4785</v>
      </c>
      <c r="F886" s="238" t="s">
        <v>4789</v>
      </c>
      <c r="G886" s="239" t="s">
        <v>3333</v>
      </c>
      <c r="H886" s="240">
        <v>33.0</v>
      </c>
      <c r="I886" s="240">
        <v>33.0</v>
      </c>
      <c r="J886" s="240">
        <v>0.0</v>
      </c>
      <c r="K886" s="240">
        <v>0.0</v>
      </c>
      <c r="L886" s="240">
        <v>0.0</v>
      </c>
      <c r="M886" s="240" t="s">
        <v>3596</v>
      </c>
      <c r="N886" s="240">
        <v>0.0</v>
      </c>
    </row>
    <row r="887">
      <c r="A887" s="215">
        <v>883.0</v>
      </c>
      <c r="B887" s="237"/>
      <c r="C887" s="238">
        <v>3139.0</v>
      </c>
      <c r="D887" s="238" t="s">
        <v>4656</v>
      </c>
      <c r="E887" s="238" t="s">
        <v>4785</v>
      </c>
      <c r="F887" s="238" t="s">
        <v>4657</v>
      </c>
      <c r="G887" s="239" t="s">
        <v>3333</v>
      </c>
      <c r="H887" s="240">
        <v>30.0</v>
      </c>
      <c r="I887" s="240">
        <v>5.0</v>
      </c>
      <c r="J887" s="240">
        <v>0.0</v>
      </c>
      <c r="K887" s="240">
        <v>0.0</v>
      </c>
      <c r="L887" s="240">
        <v>0.0</v>
      </c>
      <c r="M887" s="240" t="s">
        <v>4672</v>
      </c>
      <c r="N887" s="240">
        <v>25.0</v>
      </c>
    </row>
    <row r="888">
      <c r="A888" s="215">
        <v>884.0</v>
      </c>
      <c r="B888" s="237"/>
      <c r="C888" s="238">
        <v>3141.0</v>
      </c>
      <c r="D888" s="238">
        <v>8419.0</v>
      </c>
      <c r="E888" s="238" t="s">
        <v>4791</v>
      </c>
      <c r="F888" s="238" t="s">
        <v>4793</v>
      </c>
      <c r="G888" s="239" t="s">
        <v>3333</v>
      </c>
      <c r="H888" s="240">
        <v>16.0</v>
      </c>
      <c r="I888" s="240">
        <v>0.0</v>
      </c>
      <c r="J888" s="240">
        <v>0.0</v>
      </c>
      <c r="K888" s="240">
        <v>0.0</v>
      </c>
      <c r="L888" s="240">
        <v>0.0</v>
      </c>
      <c r="M888" s="241"/>
      <c r="N888" s="240">
        <v>16.0</v>
      </c>
    </row>
    <row r="889">
      <c r="A889" s="215">
        <v>885.0</v>
      </c>
      <c r="B889" s="237"/>
      <c r="C889" s="238">
        <v>3141.0</v>
      </c>
      <c r="D889" s="238">
        <v>9003.0</v>
      </c>
      <c r="E889" s="238" t="s">
        <v>4791</v>
      </c>
      <c r="F889" s="238" t="s">
        <v>3401</v>
      </c>
      <c r="G889" s="239" t="s">
        <v>3333</v>
      </c>
      <c r="H889" s="240">
        <v>58.0</v>
      </c>
      <c r="I889" s="240">
        <v>9.0</v>
      </c>
      <c r="J889" s="240">
        <v>0.0</v>
      </c>
      <c r="K889" s="240">
        <v>0.0</v>
      </c>
      <c r="L889" s="240">
        <v>0.0</v>
      </c>
      <c r="M889" s="240" t="s">
        <v>3586</v>
      </c>
      <c r="N889" s="240">
        <v>49.0</v>
      </c>
    </row>
    <row r="890">
      <c r="A890" s="215">
        <v>886.0</v>
      </c>
      <c r="B890" s="237"/>
      <c r="C890" s="238">
        <v>3141.0</v>
      </c>
      <c r="D890" s="238">
        <v>9085.0</v>
      </c>
      <c r="E890" s="238" t="s">
        <v>4791</v>
      </c>
      <c r="F890" s="238" t="s">
        <v>4394</v>
      </c>
      <c r="G890" s="239" t="s">
        <v>3333</v>
      </c>
      <c r="H890" s="240">
        <v>26.0</v>
      </c>
      <c r="I890" s="240">
        <v>26.0</v>
      </c>
      <c r="J890" s="240">
        <v>0.0</v>
      </c>
      <c r="K890" s="240">
        <v>0.0</v>
      </c>
      <c r="L890" s="240">
        <v>0.0</v>
      </c>
      <c r="M890" s="240" t="s">
        <v>4321</v>
      </c>
      <c r="N890" s="240">
        <v>0.0</v>
      </c>
    </row>
    <row r="891">
      <c r="A891" s="215">
        <v>887.0</v>
      </c>
      <c r="B891" s="237"/>
      <c r="C891" s="238">
        <v>3141.0</v>
      </c>
      <c r="D891" s="238" t="s">
        <v>4483</v>
      </c>
      <c r="E891" s="238" t="s">
        <v>4791</v>
      </c>
      <c r="F891" s="238" t="s">
        <v>4485</v>
      </c>
      <c r="G891" s="239" t="s">
        <v>3333</v>
      </c>
      <c r="H891" s="240">
        <v>37.0</v>
      </c>
      <c r="I891" s="240">
        <v>7.0</v>
      </c>
      <c r="J891" s="240">
        <v>0.0</v>
      </c>
      <c r="K891" s="240">
        <v>1.0</v>
      </c>
      <c r="L891" s="240">
        <v>0.0</v>
      </c>
      <c r="M891" s="240" t="s">
        <v>4797</v>
      </c>
      <c r="N891" s="240">
        <v>29.0</v>
      </c>
    </row>
    <row r="892">
      <c r="A892" s="215">
        <v>888.0</v>
      </c>
      <c r="B892" s="237"/>
      <c r="C892" s="238">
        <v>3141.0</v>
      </c>
      <c r="D892" s="238" t="s">
        <v>4799</v>
      </c>
      <c r="E892" s="238" t="s">
        <v>4791</v>
      </c>
      <c r="F892" s="238" t="s">
        <v>4800</v>
      </c>
      <c r="G892" s="239" t="s">
        <v>3333</v>
      </c>
      <c r="H892" s="240">
        <v>27.0</v>
      </c>
      <c r="I892" s="240">
        <v>4.0</v>
      </c>
      <c r="J892" s="240">
        <v>0.0</v>
      </c>
      <c r="K892" s="240">
        <v>0.0</v>
      </c>
      <c r="L892" s="240">
        <v>0.0</v>
      </c>
      <c r="M892" s="240" t="s">
        <v>3608</v>
      </c>
      <c r="N892" s="240">
        <v>23.0</v>
      </c>
    </row>
    <row r="893">
      <c r="A893" s="215">
        <v>889.0</v>
      </c>
      <c r="B893" s="237"/>
      <c r="C893" s="238">
        <v>3141.0</v>
      </c>
      <c r="D893" s="238" t="s">
        <v>4802</v>
      </c>
      <c r="E893" s="238" t="s">
        <v>4791</v>
      </c>
      <c r="F893" s="238" t="s">
        <v>4804</v>
      </c>
      <c r="G893" s="239" t="s">
        <v>3333</v>
      </c>
      <c r="H893" s="240">
        <v>20.0</v>
      </c>
      <c r="I893" s="240">
        <v>9.0</v>
      </c>
      <c r="J893" s="240">
        <v>0.0</v>
      </c>
      <c r="K893" s="240">
        <v>1.0</v>
      </c>
      <c r="L893" s="240">
        <v>0.0</v>
      </c>
      <c r="M893" s="240" t="s">
        <v>3349</v>
      </c>
      <c r="N893" s="240">
        <v>10.0</v>
      </c>
    </row>
    <row r="894">
      <c r="A894" s="215">
        <v>890.0</v>
      </c>
      <c r="B894" s="237"/>
      <c r="C894" s="238">
        <v>3142.0</v>
      </c>
      <c r="D894" s="238">
        <v>9084.0</v>
      </c>
      <c r="E894" s="238" t="s">
        <v>4805</v>
      </c>
      <c r="F894" s="238" t="s">
        <v>4410</v>
      </c>
      <c r="G894" s="239" t="s">
        <v>3333</v>
      </c>
      <c r="H894" s="240">
        <v>40.0</v>
      </c>
      <c r="I894" s="240">
        <v>25.0</v>
      </c>
      <c r="J894" s="240">
        <v>0.0</v>
      </c>
      <c r="K894" s="240">
        <v>2.0</v>
      </c>
      <c r="L894" s="240">
        <v>0.0</v>
      </c>
      <c r="M894" s="240" t="s">
        <v>4395</v>
      </c>
      <c r="N894" s="240">
        <v>13.0</v>
      </c>
    </row>
    <row r="895">
      <c r="A895" s="215">
        <v>891.0</v>
      </c>
      <c r="B895" s="237"/>
      <c r="C895" s="238">
        <v>3142.0</v>
      </c>
      <c r="D895" s="238">
        <v>9853.0</v>
      </c>
      <c r="E895" s="238" t="s">
        <v>4805</v>
      </c>
      <c r="F895" s="238" t="s">
        <v>3350</v>
      </c>
      <c r="G895" s="239" t="s">
        <v>3333</v>
      </c>
      <c r="H895" s="240">
        <v>70.0</v>
      </c>
      <c r="I895" s="240">
        <v>70.0</v>
      </c>
      <c r="J895" s="240">
        <v>0.0</v>
      </c>
      <c r="K895" s="240">
        <v>0.0</v>
      </c>
      <c r="L895" s="240">
        <v>0.0</v>
      </c>
      <c r="M895" s="240" t="s">
        <v>4807</v>
      </c>
      <c r="N895" s="240">
        <v>0.0</v>
      </c>
    </row>
    <row r="896">
      <c r="A896" s="215">
        <v>892.0</v>
      </c>
      <c r="B896" s="237"/>
      <c r="C896" s="238">
        <v>3142.0</v>
      </c>
      <c r="D896" s="238" t="s">
        <v>4808</v>
      </c>
      <c r="E896" s="238" t="s">
        <v>4805</v>
      </c>
      <c r="F896" s="238" t="s">
        <v>4809</v>
      </c>
      <c r="G896" s="239" t="s">
        <v>3333</v>
      </c>
      <c r="H896" s="240">
        <v>35.0</v>
      </c>
      <c r="I896" s="240">
        <v>5.0</v>
      </c>
      <c r="J896" s="240">
        <v>0.0</v>
      </c>
      <c r="K896" s="240">
        <v>1.0</v>
      </c>
      <c r="L896" s="240">
        <v>0.0</v>
      </c>
      <c r="M896" s="240" t="s">
        <v>3400</v>
      </c>
      <c r="N896" s="240">
        <v>29.0</v>
      </c>
    </row>
    <row r="897">
      <c r="A897" s="215">
        <v>893.0</v>
      </c>
      <c r="B897" s="237"/>
      <c r="C897" s="238">
        <v>3142.0</v>
      </c>
      <c r="D897" s="238" t="s">
        <v>4810</v>
      </c>
      <c r="E897" s="238" t="s">
        <v>4805</v>
      </c>
      <c r="F897" s="238" t="s">
        <v>4811</v>
      </c>
      <c r="G897" s="239" t="s">
        <v>3333</v>
      </c>
      <c r="H897" s="240">
        <v>27.0</v>
      </c>
      <c r="I897" s="240">
        <v>19.0</v>
      </c>
      <c r="J897" s="240">
        <v>0.0</v>
      </c>
      <c r="K897" s="240">
        <v>0.0</v>
      </c>
      <c r="L897" s="240">
        <v>0.0</v>
      </c>
      <c r="M897" s="240" t="s">
        <v>3431</v>
      </c>
      <c r="N897" s="240">
        <v>8.0</v>
      </c>
    </row>
    <row r="898">
      <c r="A898" s="215">
        <v>894.0</v>
      </c>
      <c r="B898" s="237"/>
      <c r="C898" s="238">
        <v>3143.0</v>
      </c>
      <c r="D898" s="238">
        <v>9147.0</v>
      </c>
      <c r="E898" s="238" t="s">
        <v>4812</v>
      </c>
      <c r="F898" s="238" t="s">
        <v>3381</v>
      </c>
      <c r="G898" s="239" t="s">
        <v>3333</v>
      </c>
      <c r="H898" s="240">
        <v>90.0</v>
      </c>
      <c r="I898" s="240">
        <v>63.0</v>
      </c>
      <c r="J898" s="240">
        <v>0.0</v>
      </c>
      <c r="K898" s="240">
        <v>2.0</v>
      </c>
      <c r="L898" s="240">
        <v>0.0</v>
      </c>
      <c r="M898" s="240" t="s">
        <v>4422</v>
      </c>
      <c r="N898" s="240">
        <v>25.0</v>
      </c>
    </row>
    <row r="899">
      <c r="A899" s="215">
        <v>895.0</v>
      </c>
      <c r="B899" s="237"/>
      <c r="C899" s="238">
        <v>3143.0</v>
      </c>
      <c r="D899" s="238">
        <v>9156.0</v>
      </c>
      <c r="E899" s="238" t="s">
        <v>4812</v>
      </c>
      <c r="F899" s="238" t="s">
        <v>4813</v>
      </c>
      <c r="G899" s="239" t="s">
        <v>3333</v>
      </c>
      <c r="H899" s="240">
        <v>57.0</v>
      </c>
      <c r="I899" s="240">
        <v>15.0</v>
      </c>
      <c r="J899" s="240">
        <v>0.0</v>
      </c>
      <c r="K899" s="240">
        <v>2.0</v>
      </c>
      <c r="L899" s="240">
        <v>0.0</v>
      </c>
      <c r="M899" s="240" t="s">
        <v>3578</v>
      </c>
      <c r="N899" s="240">
        <v>40.0</v>
      </c>
    </row>
    <row r="900">
      <c r="A900" s="215">
        <v>896.0</v>
      </c>
      <c r="B900" s="237"/>
      <c r="C900" s="238">
        <v>3143.0</v>
      </c>
      <c r="D900" s="238">
        <v>9185.0</v>
      </c>
      <c r="E900" s="238" t="s">
        <v>4812</v>
      </c>
      <c r="F900" s="238" t="s">
        <v>3370</v>
      </c>
      <c r="G900" s="239" t="s">
        <v>3333</v>
      </c>
      <c r="H900" s="240">
        <v>66.0</v>
      </c>
      <c r="I900" s="240">
        <v>7.0</v>
      </c>
      <c r="J900" s="240">
        <v>0.0</v>
      </c>
      <c r="K900" s="240">
        <v>0.0</v>
      </c>
      <c r="L900" s="240">
        <v>0.0</v>
      </c>
      <c r="M900" s="240" t="s">
        <v>3653</v>
      </c>
      <c r="N900" s="240">
        <v>59.0</v>
      </c>
    </row>
    <row r="901">
      <c r="A901" s="215">
        <v>897.0</v>
      </c>
      <c r="B901" s="237"/>
      <c r="C901" s="238">
        <v>3143.0</v>
      </c>
      <c r="D901" s="238">
        <v>9498.0</v>
      </c>
      <c r="E901" s="238" t="s">
        <v>4812</v>
      </c>
      <c r="F901" s="238" t="s">
        <v>4814</v>
      </c>
      <c r="G901" s="239" t="s">
        <v>3333</v>
      </c>
      <c r="H901" s="240">
        <v>45.0</v>
      </c>
      <c r="I901" s="240">
        <v>6.0</v>
      </c>
      <c r="J901" s="240">
        <v>0.0</v>
      </c>
      <c r="K901" s="240">
        <v>1.0</v>
      </c>
      <c r="L901" s="240">
        <v>0.0</v>
      </c>
      <c r="M901" s="240" t="s">
        <v>4815</v>
      </c>
      <c r="N901" s="240">
        <v>38.0</v>
      </c>
    </row>
    <row r="902">
      <c r="A902" s="215">
        <v>898.0</v>
      </c>
      <c r="B902" s="237"/>
      <c r="C902" s="238">
        <v>3143.0</v>
      </c>
      <c r="D902" s="238">
        <v>9785.0</v>
      </c>
      <c r="E902" s="238" t="s">
        <v>4812</v>
      </c>
      <c r="F902" s="238" t="s">
        <v>3981</v>
      </c>
      <c r="G902" s="239" t="s">
        <v>3333</v>
      </c>
      <c r="H902" s="240">
        <v>45.0</v>
      </c>
      <c r="I902" s="240">
        <v>1.0</v>
      </c>
      <c r="J902" s="240">
        <v>0.0</v>
      </c>
      <c r="K902" s="240">
        <v>0.0</v>
      </c>
      <c r="L902" s="240">
        <v>0.0</v>
      </c>
      <c r="M902" s="237"/>
      <c r="N902" s="240">
        <v>44.0</v>
      </c>
    </row>
    <row r="903">
      <c r="A903" s="215">
        <v>899.0</v>
      </c>
      <c r="B903" s="237"/>
      <c r="C903" s="238">
        <v>3143.0</v>
      </c>
      <c r="D903" s="238">
        <v>9991.0</v>
      </c>
      <c r="E903" s="238" t="s">
        <v>4812</v>
      </c>
      <c r="F903" s="238" t="s">
        <v>4627</v>
      </c>
      <c r="G903" s="239" t="s">
        <v>3333</v>
      </c>
      <c r="H903" s="240">
        <v>24.0</v>
      </c>
      <c r="I903" s="240">
        <v>1.0</v>
      </c>
      <c r="J903" s="240">
        <v>0.0</v>
      </c>
      <c r="K903" s="240">
        <v>0.0</v>
      </c>
      <c r="L903" s="240">
        <v>0.0</v>
      </c>
      <c r="M903" s="241"/>
      <c r="N903" s="240">
        <v>23.0</v>
      </c>
    </row>
    <row r="904">
      <c r="A904" s="215">
        <v>900.0</v>
      </c>
      <c r="B904" s="237"/>
      <c r="C904" s="238">
        <v>3145.0</v>
      </c>
      <c r="D904" s="238">
        <v>9730.0</v>
      </c>
      <c r="E904" s="238" t="s">
        <v>4817</v>
      </c>
      <c r="F904" s="238" t="s">
        <v>4818</v>
      </c>
      <c r="G904" s="239" t="s">
        <v>3333</v>
      </c>
      <c r="H904" s="240">
        <v>24.0</v>
      </c>
      <c r="I904" s="240">
        <v>8.0</v>
      </c>
      <c r="J904" s="240">
        <v>0.0</v>
      </c>
      <c r="K904" s="240">
        <v>1.0</v>
      </c>
      <c r="L904" s="240">
        <v>0.0</v>
      </c>
      <c r="M904" s="240" t="s">
        <v>3345</v>
      </c>
      <c r="N904" s="240">
        <v>15.0</v>
      </c>
    </row>
    <row r="905">
      <c r="A905" s="215">
        <v>901.0</v>
      </c>
      <c r="B905" s="237"/>
      <c r="C905" s="238">
        <v>3145.0</v>
      </c>
      <c r="D905" s="238">
        <v>9763.0</v>
      </c>
      <c r="E905" s="238" t="s">
        <v>4817</v>
      </c>
      <c r="F905" s="238" t="s">
        <v>4819</v>
      </c>
      <c r="G905" s="239" t="s">
        <v>3333</v>
      </c>
      <c r="H905" s="240">
        <v>23.0</v>
      </c>
      <c r="I905" s="240">
        <v>23.0</v>
      </c>
      <c r="J905" s="240">
        <v>0.0</v>
      </c>
      <c r="K905" s="240">
        <v>0.0</v>
      </c>
      <c r="L905" s="240">
        <v>0.0</v>
      </c>
      <c r="M905" s="240" t="s">
        <v>3723</v>
      </c>
      <c r="N905" s="240">
        <v>0.0</v>
      </c>
    </row>
    <row r="906">
      <c r="A906" s="215">
        <v>902.0</v>
      </c>
      <c r="B906" s="237"/>
      <c r="C906" s="238">
        <v>3145.0</v>
      </c>
      <c r="D906" s="238">
        <v>9808.0</v>
      </c>
      <c r="E906" s="238" t="s">
        <v>4817</v>
      </c>
      <c r="F906" s="238" t="s">
        <v>4820</v>
      </c>
      <c r="G906" s="239" t="s">
        <v>3333</v>
      </c>
      <c r="H906" s="240">
        <v>110.0</v>
      </c>
      <c r="I906" s="240">
        <v>57.0</v>
      </c>
      <c r="J906" s="240">
        <v>0.0</v>
      </c>
      <c r="K906" s="240">
        <v>5.0</v>
      </c>
      <c r="L906" s="240">
        <v>0.0</v>
      </c>
      <c r="M906" s="240" t="s">
        <v>3354</v>
      </c>
      <c r="N906" s="240">
        <v>48.0</v>
      </c>
    </row>
    <row r="907">
      <c r="A907" s="215">
        <v>903.0</v>
      </c>
      <c r="B907" s="237"/>
      <c r="C907" s="238">
        <v>3145.0</v>
      </c>
      <c r="D907" s="238" t="s">
        <v>4821</v>
      </c>
      <c r="E907" s="238" t="s">
        <v>4817</v>
      </c>
      <c r="F907" s="238" t="s">
        <v>4822</v>
      </c>
      <c r="G907" s="239" t="s">
        <v>3333</v>
      </c>
      <c r="H907" s="240">
        <v>25.0</v>
      </c>
      <c r="I907" s="240">
        <v>5.0</v>
      </c>
      <c r="J907" s="240">
        <v>0.0</v>
      </c>
      <c r="K907" s="240">
        <v>0.0</v>
      </c>
      <c r="L907" s="240">
        <v>0.0</v>
      </c>
      <c r="M907" s="240" t="s">
        <v>3403</v>
      </c>
      <c r="N907" s="240">
        <v>20.0</v>
      </c>
    </row>
    <row r="908">
      <c r="A908" s="215">
        <v>904.0</v>
      </c>
      <c r="B908" s="237"/>
      <c r="C908" s="238">
        <v>3145.0</v>
      </c>
      <c r="D908" s="238" t="s">
        <v>4575</v>
      </c>
      <c r="E908" s="238" t="s">
        <v>4817</v>
      </c>
      <c r="F908" s="238" t="s">
        <v>4576</v>
      </c>
      <c r="G908" s="239" t="s">
        <v>3333</v>
      </c>
      <c r="H908" s="240">
        <v>90.0</v>
      </c>
      <c r="I908" s="240">
        <v>50.0</v>
      </c>
      <c r="J908" s="240">
        <v>0.0</v>
      </c>
      <c r="K908" s="240">
        <v>0.0</v>
      </c>
      <c r="L908" s="240">
        <v>0.0</v>
      </c>
      <c r="M908" s="240" t="s">
        <v>3816</v>
      </c>
      <c r="N908" s="240">
        <v>40.0</v>
      </c>
    </row>
    <row r="909">
      <c r="A909" s="215">
        <v>905.0</v>
      </c>
      <c r="B909" s="237"/>
      <c r="C909" s="238">
        <v>3151.0</v>
      </c>
      <c r="D909" s="238">
        <v>9005.0</v>
      </c>
      <c r="E909" s="238" t="s">
        <v>4824</v>
      </c>
      <c r="F909" s="238" t="s">
        <v>4106</v>
      </c>
      <c r="G909" s="239" t="s">
        <v>3333</v>
      </c>
      <c r="H909" s="240">
        <v>32.0</v>
      </c>
      <c r="I909" s="240">
        <v>15.0</v>
      </c>
      <c r="J909" s="240">
        <v>0.0</v>
      </c>
      <c r="K909" s="240">
        <v>0.0</v>
      </c>
      <c r="L909" s="240">
        <v>0.0</v>
      </c>
      <c r="M909" s="240" t="s">
        <v>3689</v>
      </c>
      <c r="N909" s="240">
        <v>17.0</v>
      </c>
    </row>
    <row r="910">
      <c r="A910" s="215">
        <v>906.0</v>
      </c>
      <c r="B910" s="237"/>
      <c r="C910" s="238">
        <v>3151.0</v>
      </c>
      <c r="D910" s="238">
        <v>9054.0</v>
      </c>
      <c r="E910" s="238" t="s">
        <v>4824</v>
      </c>
      <c r="F910" s="238" t="s">
        <v>4503</v>
      </c>
      <c r="G910" s="239" t="s">
        <v>3333</v>
      </c>
      <c r="H910" s="240">
        <v>33.0</v>
      </c>
      <c r="I910" s="240">
        <v>33.0</v>
      </c>
      <c r="J910" s="240">
        <v>0.0</v>
      </c>
      <c r="K910" s="240">
        <v>0.0</v>
      </c>
      <c r="L910" s="240">
        <v>0.0</v>
      </c>
      <c r="M910" s="240" t="s">
        <v>3702</v>
      </c>
      <c r="N910" s="240">
        <v>0.0</v>
      </c>
    </row>
    <row r="911">
      <c r="A911" s="215">
        <v>907.0</v>
      </c>
      <c r="B911" s="237"/>
      <c r="C911" s="238">
        <v>3151.0</v>
      </c>
      <c r="D911" s="238">
        <v>9563.0</v>
      </c>
      <c r="E911" s="238" t="s">
        <v>4824</v>
      </c>
      <c r="F911" s="238" t="s">
        <v>4351</v>
      </c>
      <c r="G911" s="239" t="s">
        <v>3333</v>
      </c>
      <c r="H911" s="240">
        <v>31.0</v>
      </c>
      <c r="I911" s="240">
        <v>28.0</v>
      </c>
      <c r="J911" s="240">
        <v>0.0</v>
      </c>
      <c r="K911" s="240">
        <v>0.0</v>
      </c>
      <c r="L911" s="240">
        <v>0.0</v>
      </c>
      <c r="M911" s="240" t="s">
        <v>3349</v>
      </c>
      <c r="N911" s="240">
        <v>3.0</v>
      </c>
    </row>
    <row r="912">
      <c r="A912" s="215">
        <v>908.0</v>
      </c>
      <c r="B912" s="237"/>
      <c r="C912" s="238">
        <v>3151.0</v>
      </c>
      <c r="D912" s="238">
        <v>9633.0</v>
      </c>
      <c r="E912" s="238" t="s">
        <v>4824</v>
      </c>
      <c r="F912" s="238" t="s">
        <v>4829</v>
      </c>
      <c r="G912" s="239" t="s">
        <v>3333</v>
      </c>
      <c r="H912" s="240">
        <v>20.0</v>
      </c>
      <c r="I912" s="240">
        <v>6.0</v>
      </c>
      <c r="J912" s="240">
        <v>0.0</v>
      </c>
      <c r="K912" s="240">
        <v>0.0</v>
      </c>
      <c r="L912" s="240">
        <v>0.0</v>
      </c>
      <c r="M912" s="240" t="s">
        <v>4131</v>
      </c>
      <c r="N912" s="240">
        <v>14.0</v>
      </c>
    </row>
    <row r="913">
      <c r="A913" s="215">
        <v>909.0</v>
      </c>
      <c r="B913" s="237"/>
      <c r="C913" s="238">
        <v>3151.0</v>
      </c>
      <c r="D913" s="238">
        <v>9853.0</v>
      </c>
      <c r="E913" s="238" t="s">
        <v>4824</v>
      </c>
      <c r="F913" s="238" t="s">
        <v>3350</v>
      </c>
      <c r="G913" s="239" t="s">
        <v>3333</v>
      </c>
      <c r="H913" s="240">
        <v>57.0</v>
      </c>
      <c r="I913" s="240">
        <v>57.0</v>
      </c>
      <c r="J913" s="240">
        <v>0.0</v>
      </c>
      <c r="K913" s="240">
        <v>0.0</v>
      </c>
      <c r="L913" s="240">
        <v>0.0</v>
      </c>
      <c r="M913" s="240" t="s">
        <v>4112</v>
      </c>
      <c r="N913" s="240">
        <v>0.0</v>
      </c>
    </row>
    <row r="914">
      <c r="A914" s="215">
        <v>910.0</v>
      </c>
      <c r="B914" s="237"/>
      <c r="C914" s="238">
        <v>3152.0</v>
      </c>
      <c r="D914" s="238">
        <v>8515.0</v>
      </c>
      <c r="E914" s="238" t="s">
        <v>4833</v>
      </c>
      <c r="F914" s="238" t="s">
        <v>4834</v>
      </c>
      <c r="G914" s="239" t="s">
        <v>3333</v>
      </c>
      <c r="H914" s="240">
        <v>34.0</v>
      </c>
      <c r="I914" s="240">
        <v>29.0</v>
      </c>
      <c r="J914" s="240">
        <v>0.0</v>
      </c>
      <c r="K914" s="240">
        <v>0.0</v>
      </c>
      <c r="L914" s="240">
        <v>0.0</v>
      </c>
      <c r="M914" s="240" t="s">
        <v>4019</v>
      </c>
      <c r="N914" s="240">
        <v>5.0</v>
      </c>
    </row>
    <row r="915">
      <c r="A915" s="215">
        <v>911.0</v>
      </c>
      <c r="B915" s="237"/>
      <c r="C915" s="238">
        <v>3152.0</v>
      </c>
      <c r="D915" s="238">
        <v>9092.0</v>
      </c>
      <c r="E915" s="238" t="s">
        <v>4833</v>
      </c>
      <c r="F915" s="238" t="s">
        <v>4836</v>
      </c>
      <c r="G915" s="239" t="s">
        <v>3333</v>
      </c>
      <c r="H915" s="240">
        <v>48.0</v>
      </c>
      <c r="I915" s="240">
        <v>0.0</v>
      </c>
      <c r="J915" s="240">
        <v>0.0</v>
      </c>
      <c r="K915" s="240">
        <v>0.0</v>
      </c>
      <c r="L915" s="240">
        <v>0.0</v>
      </c>
      <c r="M915" s="241"/>
      <c r="N915" s="240">
        <v>48.0</v>
      </c>
    </row>
    <row r="916">
      <c r="A916" s="215">
        <v>912.0</v>
      </c>
      <c r="B916" s="237"/>
      <c r="C916" s="238">
        <v>3152.0</v>
      </c>
      <c r="D916" s="238">
        <v>9112.0</v>
      </c>
      <c r="E916" s="238" t="s">
        <v>4833</v>
      </c>
      <c r="F916" s="238" t="s">
        <v>3522</v>
      </c>
      <c r="G916" s="239" t="s">
        <v>3333</v>
      </c>
      <c r="H916" s="240">
        <v>56.0</v>
      </c>
      <c r="I916" s="240">
        <v>7.0</v>
      </c>
      <c r="J916" s="240">
        <v>0.0</v>
      </c>
      <c r="K916" s="240">
        <v>0.0</v>
      </c>
      <c r="L916" s="240">
        <v>0.0</v>
      </c>
      <c r="M916" s="240" t="s">
        <v>3723</v>
      </c>
      <c r="N916" s="240">
        <v>49.0</v>
      </c>
    </row>
    <row r="917">
      <c r="A917" s="215">
        <v>913.0</v>
      </c>
      <c r="B917" s="237"/>
      <c r="C917" s="238">
        <v>3152.0</v>
      </c>
      <c r="D917" s="238">
        <v>9119.0</v>
      </c>
      <c r="E917" s="238" t="s">
        <v>4833</v>
      </c>
      <c r="F917" s="238" t="s">
        <v>3417</v>
      </c>
      <c r="G917" s="239" t="s">
        <v>3333</v>
      </c>
      <c r="H917" s="240">
        <v>70.0</v>
      </c>
      <c r="I917" s="240">
        <v>66.0</v>
      </c>
      <c r="J917" s="240">
        <v>0.0</v>
      </c>
      <c r="K917" s="240">
        <v>0.0</v>
      </c>
      <c r="L917" s="240">
        <v>0.0</v>
      </c>
      <c r="M917" s="240" t="s">
        <v>3978</v>
      </c>
      <c r="N917" s="240">
        <v>4.0</v>
      </c>
    </row>
    <row r="918">
      <c r="A918" s="215">
        <v>914.0</v>
      </c>
      <c r="B918" s="237"/>
      <c r="C918" s="238">
        <v>3152.0</v>
      </c>
      <c r="D918" s="238">
        <v>9123.0</v>
      </c>
      <c r="E918" s="238" t="s">
        <v>4833</v>
      </c>
      <c r="F918" s="238" t="s">
        <v>3471</v>
      </c>
      <c r="G918" s="239" t="s">
        <v>3333</v>
      </c>
      <c r="H918" s="240">
        <v>53.0</v>
      </c>
      <c r="I918" s="240">
        <v>9.0</v>
      </c>
      <c r="J918" s="240">
        <v>0.0</v>
      </c>
      <c r="K918" s="240">
        <v>0.0</v>
      </c>
      <c r="L918" s="240">
        <v>0.0</v>
      </c>
      <c r="M918" s="240" t="s">
        <v>3654</v>
      </c>
      <c r="N918" s="240">
        <v>44.0</v>
      </c>
    </row>
    <row r="919">
      <c r="A919" s="215">
        <v>915.0</v>
      </c>
      <c r="B919" s="237"/>
      <c r="C919" s="238">
        <v>3152.0</v>
      </c>
      <c r="D919" s="238">
        <v>9862.0</v>
      </c>
      <c r="E919" s="238" t="s">
        <v>4833</v>
      </c>
      <c r="F919" s="238" t="s">
        <v>4838</v>
      </c>
      <c r="G919" s="239" t="s">
        <v>3333</v>
      </c>
      <c r="H919" s="240">
        <v>40.0</v>
      </c>
      <c r="I919" s="240">
        <v>3.0</v>
      </c>
      <c r="J919" s="240">
        <v>0.0</v>
      </c>
      <c r="K919" s="240">
        <v>1.0</v>
      </c>
      <c r="L919" s="240">
        <v>0.0</v>
      </c>
      <c r="M919" s="240" t="s">
        <v>3495</v>
      </c>
      <c r="N919" s="240">
        <v>36.0</v>
      </c>
    </row>
    <row r="920">
      <c r="A920" s="215">
        <v>916.0</v>
      </c>
      <c r="B920" s="237"/>
      <c r="C920" s="238">
        <v>3152.0</v>
      </c>
      <c r="D920" s="238" t="s">
        <v>4426</v>
      </c>
      <c r="E920" s="238" t="s">
        <v>4833</v>
      </c>
      <c r="F920" s="238" t="s">
        <v>4427</v>
      </c>
      <c r="G920" s="239" t="s">
        <v>3333</v>
      </c>
      <c r="H920" s="240">
        <v>49.0</v>
      </c>
      <c r="I920" s="240">
        <v>45.0</v>
      </c>
      <c r="J920" s="240">
        <v>0.0</v>
      </c>
      <c r="K920" s="240">
        <v>1.0</v>
      </c>
      <c r="L920" s="240">
        <v>0.0</v>
      </c>
      <c r="M920" s="240" t="s">
        <v>3433</v>
      </c>
      <c r="N920" s="240">
        <v>3.0</v>
      </c>
    </row>
    <row r="921">
      <c r="A921" s="215">
        <v>917.0</v>
      </c>
      <c r="B921" s="237"/>
      <c r="C921" s="238">
        <v>3152.0</v>
      </c>
      <c r="D921" s="238" t="s">
        <v>4841</v>
      </c>
      <c r="E921" s="238" t="s">
        <v>4833</v>
      </c>
      <c r="F921" s="238" t="s">
        <v>4842</v>
      </c>
      <c r="G921" s="239" t="s">
        <v>3333</v>
      </c>
      <c r="H921" s="240">
        <v>32.0</v>
      </c>
      <c r="I921" s="240">
        <v>21.0</v>
      </c>
      <c r="J921" s="240">
        <v>0.0</v>
      </c>
      <c r="K921" s="240">
        <v>0.0</v>
      </c>
      <c r="L921" s="240">
        <v>0.0</v>
      </c>
      <c r="M921" s="240" t="s">
        <v>4138</v>
      </c>
      <c r="N921" s="240">
        <v>11.0</v>
      </c>
    </row>
    <row r="922">
      <c r="A922" s="215">
        <v>918.0</v>
      </c>
      <c r="B922" s="237"/>
      <c r="C922" s="238">
        <v>3153.0</v>
      </c>
      <c r="D922" s="238">
        <v>8111.0</v>
      </c>
      <c r="E922" s="238" t="s">
        <v>4843</v>
      </c>
      <c r="F922" s="238" t="s">
        <v>4252</v>
      </c>
      <c r="G922" s="239" t="s">
        <v>3333</v>
      </c>
      <c r="H922" s="240">
        <v>45.0</v>
      </c>
      <c r="I922" s="240">
        <v>26.0</v>
      </c>
      <c r="J922" s="240">
        <v>0.0</v>
      </c>
      <c r="K922" s="240">
        <v>1.0</v>
      </c>
      <c r="L922" s="240">
        <v>0.0</v>
      </c>
      <c r="M922" s="240" t="s">
        <v>3623</v>
      </c>
      <c r="N922" s="240">
        <v>18.0</v>
      </c>
    </row>
    <row r="923">
      <c r="A923" s="215">
        <v>919.0</v>
      </c>
      <c r="B923" s="237"/>
      <c r="C923" s="238">
        <v>3153.0</v>
      </c>
      <c r="D923" s="238">
        <v>9157.0</v>
      </c>
      <c r="E923" s="238" t="s">
        <v>4843</v>
      </c>
      <c r="F923" s="238" t="s">
        <v>4262</v>
      </c>
      <c r="G923" s="239" t="s">
        <v>3333</v>
      </c>
      <c r="H923" s="240">
        <v>53.0</v>
      </c>
      <c r="I923" s="240">
        <v>53.0</v>
      </c>
      <c r="J923" s="240">
        <v>0.0</v>
      </c>
      <c r="K923" s="240">
        <v>0.0</v>
      </c>
      <c r="L923" s="240">
        <v>0.0</v>
      </c>
      <c r="M923" s="240" t="s">
        <v>3914</v>
      </c>
      <c r="N923" s="240">
        <v>0.0</v>
      </c>
    </row>
    <row r="924">
      <c r="A924" s="215">
        <v>920.0</v>
      </c>
      <c r="B924" s="237"/>
      <c r="C924" s="238">
        <v>3153.0</v>
      </c>
      <c r="D924" s="238">
        <v>9205.0</v>
      </c>
      <c r="E924" s="238" t="s">
        <v>4843</v>
      </c>
      <c r="F924" s="238" t="s">
        <v>3595</v>
      </c>
      <c r="G924" s="239" t="s">
        <v>3333</v>
      </c>
      <c r="H924" s="240">
        <v>55.0</v>
      </c>
      <c r="I924" s="240">
        <v>55.0</v>
      </c>
      <c r="J924" s="240">
        <v>0.0</v>
      </c>
      <c r="K924" s="240">
        <v>1.0</v>
      </c>
      <c r="L924" s="240">
        <v>1.0</v>
      </c>
      <c r="M924" s="240" t="s">
        <v>4084</v>
      </c>
      <c r="N924" s="240">
        <v>0.0</v>
      </c>
    </row>
    <row r="925">
      <c r="A925" s="215">
        <v>921.0</v>
      </c>
      <c r="B925" s="237"/>
      <c r="C925" s="238">
        <v>3153.0</v>
      </c>
      <c r="D925" s="238">
        <v>9627.0</v>
      </c>
      <c r="E925" s="238" t="s">
        <v>4843</v>
      </c>
      <c r="F925" s="238" t="s">
        <v>4619</v>
      </c>
      <c r="G925" s="239" t="s">
        <v>3333</v>
      </c>
      <c r="H925" s="240">
        <v>57.0</v>
      </c>
      <c r="I925" s="240">
        <v>57.0</v>
      </c>
      <c r="J925" s="240">
        <v>0.0</v>
      </c>
      <c r="K925" s="240">
        <v>0.0</v>
      </c>
      <c r="L925" s="240">
        <v>0.0</v>
      </c>
      <c r="M925" s="240" t="s">
        <v>4360</v>
      </c>
      <c r="N925" s="240">
        <v>0.0</v>
      </c>
    </row>
    <row r="926">
      <c r="A926" s="215">
        <v>922.0</v>
      </c>
      <c r="B926" s="237"/>
      <c r="C926" s="238">
        <v>3153.0</v>
      </c>
      <c r="D926" s="238">
        <v>9628.0</v>
      </c>
      <c r="E926" s="238" t="s">
        <v>4843</v>
      </c>
      <c r="F926" s="238" t="s">
        <v>4844</v>
      </c>
      <c r="G926" s="239" t="s">
        <v>3333</v>
      </c>
      <c r="H926" s="240">
        <v>28.0</v>
      </c>
      <c r="I926" s="240">
        <v>6.0</v>
      </c>
      <c r="J926" s="240">
        <v>0.0</v>
      </c>
      <c r="K926" s="240">
        <v>0.0</v>
      </c>
      <c r="L926" s="240">
        <v>0.0</v>
      </c>
      <c r="M926" s="240" t="s">
        <v>4244</v>
      </c>
      <c r="N926" s="240">
        <v>22.0</v>
      </c>
    </row>
    <row r="927">
      <c r="A927" s="215">
        <v>923.0</v>
      </c>
      <c r="B927" s="237"/>
      <c r="C927" s="238">
        <v>3153.0</v>
      </c>
      <c r="D927" s="238">
        <v>9629.0</v>
      </c>
      <c r="E927" s="238" t="s">
        <v>4843</v>
      </c>
      <c r="F927" s="238" t="s">
        <v>4845</v>
      </c>
      <c r="G927" s="239" t="s">
        <v>3333</v>
      </c>
      <c r="H927" s="240">
        <v>47.0</v>
      </c>
      <c r="I927" s="240">
        <v>46.0</v>
      </c>
      <c r="J927" s="240">
        <v>0.0</v>
      </c>
      <c r="K927" s="240">
        <v>1.0</v>
      </c>
      <c r="L927" s="240">
        <v>0.0</v>
      </c>
      <c r="M927" s="240" t="s">
        <v>4466</v>
      </c>
      <c r="N927" s="240">
        <v>0.0</v>
      </c>
    </row>
    <row r="928">
      <c r="A928" s="215">
        <v>924.0</v>
      </c>
      <c r="B928" s="237"/>
      <c r="C928" s="238">
        <v>3153.0</v>
      </c>
      <c r="D928" s="238">
        <v>9630.0</v>
      </c>
      <c r="E928" s="238" t="s">
        <v>4843</v>
      </c>
      <c r="F928" s="238" t="s">
        <v>4847</v>
      </c>
      <c r="G928" s="239" t="s">
        <v>3333</v>
      </c>
      <c r="H928" s="240">
        <v>69.0</v>
      </c>
      <c r="I928" s="240">
        <v>10.0</v>
      </c>
      <c r="J928" s="240">
        <v>0.0</v>
      </c>
      <c r="K928" s="240">
        <v>0.0</v>
      </c>
      <c r="L928" s="240">
        <v>0.0</v>
      </c>
      <c r="M928" s="240" t="s">
        <v>3410</v>
      </c>
      <c r="N928" s="240">
        <v>59.0</v>
      </c>
    </row>
    <row r="929">
      <c r="A929" s="215">
        <v>925.0</v>
      </c>
      <c r="B929" s="237"/>
      <c r="C929" s="238">
        <v>3153.0</v>
      </c>
      <c r="D929" s="238">
        <v>9993.0</v>
      </c>
      <c r="E929" s="238" t="s">
        <v>4843</v>
      </c>
      <c r="F929" s="238" t="s">
        <v>4849</v>
      </c>
      <c r="G929" s="239" t="s">
        <v>3333</v>
      </c>
      <c r="H929" s="240">
        <v>47.0</v>
      </c>
      <c r="I929" s="240">
        <v>8.0</v>
      </c>
      <c r="J929" s="240">
        <v>0.0</v>
      </c>
      <c r="K929" s="240">
        <v>0.0</v>
      </c>
      <c r="L929" s="240">
        <v>0.0</v>
      </c>
      <c r="M929" s="240" t="s">
        <v>4138</v>
      </c>
      <c r="N929" s="240">
        <v>39.0</v>
      </c>
    </row>
    <row r="930">
      <c r="A930" s="215">
        <v>926.0</v>
      </c>
      <c r="B930" s="237"/>
      <c r="C930" s="238">
        <v>3154.0</v>
      </c>
      <c r="D930" s="238">
        <v>9016.0</v>
      </c>
      <c r="E930" s="238" t="s">
        <v>4850</v>
      </c>
      <c r="F930" s="238" t="s">
        <v>3412</v>
      </c>
      <c r="G930" s="239" t="s">
        <v>3333</v>
      </c>
      <c r="H930" s="240">
        <v>45.0</v>
      </c>
      <c r="I930" s="240">
        <v>7.0</v>
      </c>
      <c r="J930" s="240">
        <v>0.0</v>
      </c>
      <c r="K930" s="240">
        <v>0.0</v>
      </c>
      <c r="L930" s="240">
        <v>0.0</v>
      </c>
      <c r="M930" s="240" t="s">
        <v>3946</v>
      </c>
      <c r="N930" s="240">
        <v>38.0</v>
      </c>
    </row>
    <row r="931">
      <c r="A931" s="215">
        <v>927.0</v>
      </c>
      <c r="B931" s="237"/>
      <c r="C931" s="238">
        <v>3154.0</v>
      </c>
      <c r="D931" s="238">
        <v>9089.0</v>
      </c>
      <c r="E931" s="238" t="s">
        <v>4850</v>
      </c>
      <c r="F931" s="238" t="s">
        <v>3456</v>
      </c>
      <c r="G931" s="239" t="s">
        <v>3333</v>
      </c>
      <c r="H931" s="240">
        <v>18.0</v>
      </c>
      <c r="I931" s="240">
        <v>3.0</v>
      </c>
      <c r="J931" s="240">
        <v>0.0</v>
      </c>
      <c r="K931" s="240">
        <v>0.0</v>
      </c>
      <c r="L931" s="240">
        <v>0.0</v>
      </c>
      <c r="M931" s="240" t="s">
        <v>3428</v>
      </c>
      <c r="N931" s="240">
        <v>15.0</v>
      </c>
    </row>
    <row r="932">
      <c r="A932" s="215">
        <v>928.0</v>
      </c>
      <c r="B932" s="237"/>
      <c r="C932" s="238">
        <v>3154.0</v>
      </c>
      <c r="D932" s="238">
        <v>9090.0</v>
      </c>
      <c r="E932" s="238" t="s">
        <v>4850</v>
      </c>
      <c r="F932" s="238" t="s">
        <v>4851</v>
      </c>
      <c r="G932" s="239" t="s">
        <v>3333</v>
      </c>
      <c r="H932" s="240">
        <v>19.0</v>
      </c>
      <c r="I932" s="240">
        <v>0.0</v>
      </c>
      <c r="J932" s="240">
        <v>0.0</v>
      </c>
      <c r="K932" s="240">
        <v>0.0</v>
      </c>
      <c r="L932" s="240">
        <v>0.0</v>
      </c>
      <c r="M932" s="241"/>
      <c r="N932" s="240">
        <v>19.0</v>
      </c>
    </row>
    <row r="933">
      <c r="A933" s="215">
        <v>929.0</v>
      </c>
      <c r="B933" s="237"/>
      <c r="C933" s="238">
        <v>3154.0</v>
      </c>
      <c r="D933" s="238">
        <v>9687.0</v>
      </c>
      <c r="E933" s="238" t="s">
        <v>4850</v>
      </c>
      <c r="F933" s="238" t="s">
        <v>4028</v>
      </c>
      <c r="G933" s="239" t="s">
        <v>3333</v>
      </c>
      <c r="H933" s="240">
        <v>32.0</v>
      </c>
      <c r="I933" s="240">
        <v>4.0</v>
      </c>
      <c r="J933" s="240">
        <v>0.0</v>
      </c>
      <c r="K933" s="240">
        <v>0.0</v>
      </c>
      <c r="L933" s="240">
        <v>0.0</v>
      </c>
      <c r="M933" s="240" t="s">
        <v>3650</v>
      </c>
      <c r="N933" s="240">
        <v>28.0</v>
      </c>
    </row>
    <row r="934">
      <c r="A934" s="215">
        <v>930.0</v>
      </c>
      <c r="B934" s="237"/>
      <c r="C934" s="238">
        <v>3154.0</v>
      </c>
      <c r="D934" s="238" t="s">
        <v>4852</v>
      </c>
      <c r="E934" s="238" t="s">
        <v>4850</v>
      </c>
      <c r="F934" s="238" t="s">
        <v>4853</v>
      </c>
      <c r="G934" s="239" t="s">
        <v>3333</v>
      </c>
      <c r="H934" s="240">
        <v>31.0</v>
      </c>
      <c r="I934" s="240">
        <v>1.0</v>
      </c>
      <c r="J934" s="240">
        <v>0.0</v>
      </c>
      <c r="K934" s="240">
        <v>0.0</v>
      </c>
      <c r="L934" s="240">
        <v>0.0</v>
      </c>
      <c r="M934" s="240" t="s">
        <v>4172</v>
      </c>
      <c r="N934" s="240">
        <v>30.0</v>
      </c>
    </row>
    <row r="935">
      <c r="A935" s="215">
        <v>931.0</v>
      </c>
      <c r="B935" s="237"/>
      <c r="C935" s="238">
        <v>3155.0</v>
      </c>
      <c r="D935" s="238">
        <v>9500.0</v>
      </c>
      <c r="E935" s="238" t="s">
        <v>4854</v>
      </c>
      <c r="F935" s="238" t="s">
        <v>4158</v>
      </c>
      <c r="G935" s="239" t="s">
        <v>3333</v>
      </c>
      <c r="H935" s="240">
        <v>46.0</v>
      </c>
      <c r="I935" s="240">
        <v>46.0</v>
      </c>
      <c r="J935" s="240">
        <v>0.0</v>
      </c>
      <c r="K935" s="240">
        <v>0.0</v>
      </c>
      <c r="L935" s="240">
        <v>0.0</v>
      </c>
      <c r="M935" s="240" t="s">
        <v>3507</v>
      </c>
      <c r="N935" s="240">
        <v>0.0</v>
      </c>
    </row>
    <row r="936">
      <c r="A936" s="215">
        <v>932.0</v>
      </c>
      <c r="B936" s="237"/>
      <c r="C936" s="238">
        <v>3155.0</v>
      </c>
      <c r="D936" s="238">
        <v>9504.0</v>
      </c>
      <c r="E936" s="238" t="s">
        <v>4854</v>
      </c>
      <c r="F936" s="238" t="s">
        <v>4330</v>
      </c>
      <c r="G936" s="239" t="s">
        <v>3333</v>
      </c>
      <c r="H936" s="240">
        <v>44.0</v>
      </c>
      <c r="I936" s="240">
        <v>44.0</v>
      </c>
      <c r="J936" s="240">
        <v>0.0</v>
      </c>
      <c r="K936" s="240">
        <v>0.0</v>
      </c>
      <c r="L936" s="240">
        <v>0.0</v>
      </c>
      <c r="M936" s="240" t="s">
        <v>3655</v>
      </c>
      <c r="N936" s="240">
        <v>0.0</v>
      </c>
    </row>
    <row r="937">
      <c r="A937" s="215">
        <v>933.0</v>
      </c>
      <c r="B937" s="237"/>
      <c r="C937" s="238">
        <v>3155.0</v>
      </c>
      <c r="D937" s="238">
        <v>9890.0</v>
      </c>
      <c r="E937" s="238" t="s">
        <v>4854</v>
      </c>
      <c r="F937" s="238" t="s">
        <v>4332</v>
      </c>
      <c r="G937" s="239" t="s">
        <v>3333</v>
      </c>
      <c r="H937" s="240">
        <v>26.0</v>
      </c>
      <c r="I937" s="240">
        <v>26.0</v>
      </c>
      <c r="J937" s="240">
        <v>0.0</v>
      </c>
      <c r="K937" s="240">
        <v>0.0</v>
      </c>
      <c r="L937" s="240">
        <v>0.0</v>
      </c>
      <c r="M937" s="240" t="s">
        <v>3351</v>
      </c>
      <c r="N937" s="240">
        <v>0.0</v>
      </c>
    </row>
    <row r="938">
      <c r="A938" s="215">
        <v>934.0</v>
      </c>
      <c r="B938" s="237"/>
      <c r="C938" s="238">
        <v>3161.0</v>
      </c>
      <c r="D938" s="238">
        <v>9003.0</v>
      </c>
      <c r="E938" s="238" t="s">
        <v>4856</v>
      </c>
      <c r="F938" s="238" t="s">
        <v>3401</v>
      </c>
      <c r="G938" s="239" t="s">
        <v>3333</v>
      </c>
      <c r="H938" s="240">
        <v>20.0</v>
      </c>
      <c r="I938" s="240">
        <v>2.0</v>
      </c>
      <c r="J938" s="240">
        <v>0.0</v>
      </c>
      <c r="K938" s="240">
        <v>0.0</v>
      </c>
      <c r="L938" s="240">
        <v>0.0</v>
      </c>
      <c r="M938" s="241"/>
      <c r="N938" s="240">
        <v>18.0</v>
      </c>
    </row>
    <row r="939">
      <c r="A939" s="215">
        <v>935.0</v>
      </c>
      <c r="B939" s="237"/>
      <c r="C939" s="238">
        <v>3161.0</v>
      </c>
      <c r="D939" s="238">
        <v>9016.0</v>
      </c>
      <c r="E939" s="238" t="s">
        <v>4856</v>
      </c>
      <c r="F939" s="238" t="s">
        <v>3412</v>
      </c>
      <c r="G939" s="239" t="s">
        <v>3333</v>
      </c>
      <c r="H939" s="240">
        <v>27.0</v>
      </c>
      <c r="I939" s="240">
        <v>6.0</v>
      </c>
      <c r="J939" s="240">
        <v>0.0</v>
      </c>
      <c r="K939" s="240">
        <v>0.0</v>
      </c>
      <c r="L939" s="240">
        <v>0.0</v>
      </c>
      <c r="M939" s="240" t="s">
        <v>4788</v>
      </c>
      <c r="N939" s="240">
        <v>21.0</v>
      </c>
    </row>
    <row r="940">
      <c r="A940" s="215">
        <v>936.0</v>
      </c>
      <c r="B940" s="237"/>
      <c r="C940" s="238">
        <v>3161.0</v>
      </c>
      <c r="D940" s="238">
        <v>9085.0</v>
      </c>
      <c r="E940" s="238" t="s">
        <v>4856</v>
      </c>
      <c r="F940" s="238" t="s">
        <v>4394</v>
      </c>
      <c r="G940" s="239" t="s">
        <v>3333</v>
      </c>
      <c r="H940" s="240">
        <v>35.0</v>
      </c>
      <c r="I940" s="240">
        <v>21.0</v>
      </c>
      <c r="J940" s="240">
        <v>0.0</v>
      </c>
      <c r="K940" s="240">
        <v>1.0</v>
      </c>
      <c r="L940" s="240">
        <v>0.0</v>
      </c>
      <c r="M940" s="240" t="s">
        <v>3666</v>
      </c>
      <c r="N940" s="240">
        <v>13.0</v>
      </c>
    </row>
    <row r="941">
      <c r="A941" s="215">
        <v>937.0</v>
      </c>
      <c r="B941" s="237"/>
      <c r="C941" s="238">
        <v>3161.0</v>
      </c>
      <c r="D941" s="238" t="s">
        <v>4863</v>
      </c>
      <c r="E941" s="238" t="s">
        <v>4856</v>
      </c>
      <c r="F941" s="238" t="s">
        <v>4864</v>
      </c>
      <c r="G941" s="239" t="s">
        <v>3333</v>
      </c>
      <c r="H941" s="240">
        <v>20.0</v>
      </c>
      <c r="I941" s="240">
        <v>0.0</v>
      </c>
      <c r="J941" s="240">
        <v>0.0</v>
      </c>
      <c r="K941" s="240">
        <v>0.0</v>
      </c>
      <c r="L941" s="240">
        <v>0.0</v>
      </c>
      <c r="M941" s="241"/>
      <c r="N941" s="240">
        <v>20.0</v>
      </c>
    </row>
    <row r="942">
      <c r="A942" s="215">
        <v>938.0</v>
      </c>
      <c r="B942" s="237"/>
      <c r="C942" s="238">
        <v>3162.0</v>
      </c>
      <c r="D942" s="238">
        <v>9833.0</v>
      </c>
      <c r="E942" s="238" t="s">
        <v>4866</v>
      </c>
      <c r="F942" s="238" t="s">
        <v>4509</v>
      </c>
      <c r="G942" s="239" t="s">
        <v>3333</v>
      </c>
      <c r="H942" s="240">
        <v>30.0</v>
      </c>
      <c r="I942" s="240">
        <v>10.0</v>
      </c>
      <c r="J942" s="240">
        <v>0.0</v>
      </c>
      <c r="K942" s="240">
        <v>0.0</v>
      </c>
      <c r="L942" s="240">
        <v>0.0</v>
      </c>
      <c r="M942" s="240" t="s">
        <v>3389</v>
      </c>
      <c r="N942" s="240">
        <v>20.0</v>
      </c>
    </row>
    <row r="943">
      <c r="A943" s="215">
        <v>939.0</v>
      </c>
      <c r="B943" s="237"/>
      <c r="C943" s="238">
        <v>3162.0</v>
      </c>
      <c r="D943" s="238">
        <v>9853.0</v>
      </c>
      <c r="E943" s="238" t="s">
        <v>4866</v>
      </c>
      <c r="F943" s="238" t="s">
        <v>3350</v>
      </c>
      <c r="G943" s="239" t="s">
        <v>3333</v>
      </c>
      <c r="H943" s="240">
        <v>71.0</v>
      </c>
      <c r="I943" s="240">
        <v>71.0</v>
      </c>
      <c r="J943" s="240">
        <v>0.0</v>
      </c>
      <c r="K943" s="240">
        <v>0.0</v>
      </c>
      <c r="L943" s="240">
        <v>0.0</v>
      </c>
      <c r="M943" s="240" t="s">
        <v>3351</v>
      </c>
      <c r="N943" s="240">
        <v>0.0</v>
      </c>
    </row>
    <row r="944">
      <c r="A944" s="215">
        <v>940.0</v>
      </c>
      <c r="B944" s="237"/>
      <c r="C944" s="238">
        <v>3162.0</v>
      </c>
      <c r="D944" s="238" t="s">
        <v>4870</v>
      </c>
      <c r="E944" s="238" t="s">
        <v>4866</v>
      </c>
      <c r="F944" s="238" t="s">
        <v>4871</v>
      </c>
      <c r="G944" s="239" t="s">
        <v>3333</v>
      </c>
      <c r="H944" s="240">
        <v>30.0</v>
      </c>
      <c r="I944" s="240">
        <v>30.0</v>
      </c>
      <c r="J944" s="240">
        <v>0.0</v>
      </c>
      <c r="K944" s="240">
        <v>0.0</v>
      </c>
      <c r="L944" s="240">
        <v>0.0</v>
      </c>
      <c r="M944" s="240" t="s">
        <v>3376</v>
      </c>
      <c r="N944" s="240">
        <v>0.0</v>
      </c>
    </row>
    <row r="945">
      <c r="A945" s="215">
        <v>941.0</v>
      </c>
      <c r="B945" s="237"/>
      <c r="C945" s="238">
        <v>3162.0</v>
      </c>
      <c r="D945" s="238" t="s">
        <v>4873</v>
      </c>
      <c r="E945" s="238" t="s">
        <v>4866</v>
      </c>
      <c r="F945" s="238" t="s">
        <v>4874</v>
      </c>
      <c r="G945" s="239" t="s">
        <v>3333</v>
      </c>
      <c r="H945" s="240">
        <v>20.0</v>
      </c>
      <c r="I945" s="240">
        <v>20.0</v>
      </c>
      <c r="J945" s="240">
        <v>0.0</v>
      </c>
      <c r="K945" s="240">
        <v>0.0</v>
      </c>
      <c r="L945" s="240">
        <v>0.0</v>
      </c>
      <c r="M945" s="240" t="s">
        <v>4069</v>
      </c>
      <c r="N945" s="240">
        <v>0.0</v>
      </c>
    </row>
    <row r="946">
      <c r="A946" s="215">
        <v>942.0</v>
      </c>
      <c r="B946" s="237"/>
      <c r="C946" s="238">
        <v>3163.0</v>
      </c>
      <c r="D946" s="238">
        <v>8407.0</v>
      </c>
      <c r="E946" s="238" t="s">
        <v>4876</v>
      </c>
      <c r="F946" s="238" t="s">
        <v>4877</v>
      </c>
      <c r="G946" s="239" t="s">
        <v>3333</v>
      </c>
      <c r="H946" s="240">
        <v>43.0</v>
      </c>
      <c r="I946" s="240">
        <v>7.0</v>
      </c>
      <c r="J946" s="240">
        <v>0.0</v>
      </c>
      <c r="K946" s="240">
        <v>0.0</v>
      </c>
      <c r="L946" s="240">
        <v>0.0</v>
      </c>
      <c r="M946" s="240" t="s">
        <v>4032</v>
      </c>
      <c r="N946" s="240">
        <v>36.0</v>
      </c>
    </row>
    <row r="947">
      <c r="A947" s="215">
        <v>943.0</v>
      </c>
      <c r="B947" s="237"/>
      <c r="C947" s="238">
        <v>3163.0</v>
      </c>
      <c r="D947" s="238">
        <v>9119.0</v>
      </c>
      <c r="E947" s="238" t="s">
        <v>4876</v>
      </c>
      <c r="F947" s="238" t="s">
        <v>3417</v>
      </c>
      <c r="G947" s="239" t="s">
        <v>3333</v>
      </c>
      <c r="H947" s="240">
        <v>81.0</v>
      </c>
      <c r="I947" s="240">
        <v>60.0</v>
      </c>
      <c r="J947" s="240">
        <v>0.0</v>
      </c>
      <c r="K947" s="240">
        <v>0.0</v>
      </c>
      <c r="L947" s="240">
        <v>0.0</v>
      </c>
      <c r="M947" s="240" t="s">
        <v>3822</v>
      </c>
      <c r="N947" s="240">
        <v>21.0</v>
      </c>
    </row>
    <row r="948">
      <c r="A948" s="215">
        <v>944.0</v>
      </c>
      <c r="B948" s="237"/>
      <c r="C948" s="238">
        <v>3163.0</v>
      </c>
      <c r="D948" s="238">
        <v>9123.0</v>
      </c>
      <c r="E948" s="238" t="s">
        <v>4876</v>
      </c>
      <c r="F948" s="238" t="s">
        <v>3471</v>
      </c>
      <c r="G948" s="239" t="s">
        <v>3333</v>
      </c>
      <c r="H948" s="240">
        <v>36.0</v>
      </c>
      <c r="I948" s="240">
        <v>21.0</v>
      </c>
      <c r="J948" s="240">
        <v>0.0</v>
      </c>
      <c r="K948" s="240">
        <v>0.0</v>
      </c>
      <c r="L948" s="240">
        <v>0.0</v>
      </c>
      <c r="M948" s="240" t="s">
        <v>3407</v>
      </c>
      <c r="N948" s="240">
        <v>15.0</v>
      </c>
    </row>
    <row r="949">
      <c r="A949" s="215">
        <v>945.0</v>
      </c>
      <c r="B949" s="237"/>
      <c r="C949" s="238">
        <v>3163.0</v>
      </c>
      <c r="D949" s="238">
        <v>9147.0</v>
      </c>
      <c r="E949" s="238" t="s">
        <v>4876</v>
      </c>
      <c r="F949" s="238" t="s">
        <v>3381</v>
      </c>
      <c r="G949" s="239" t="s">
        <v>3333</v>
      </c>
      <c r="H949" s="240">
        <v>48.0</v>
      </c>
      <c r="I949" s="240">
        <v>48.0</v>
      </c>
      <c r="J949" s="240">
        <v>0.0</v>
      </c>
      <c r="K949" s="240">
        <v>0.0</v>
      </c>
      <c r="L949" s="240">
        <v>0.0</v>
      </c>
      <c r="M949" s="240" t="s">
        <v>3372</v>
      </c>
      <c r="N949" s="240">
        <v>0.0</v>
      </c>
    </row>
    <row r="950">
      <c r="A950" s="215">
        <v>946.0</v>
      </c>
      <c r="B950" s="237"/>
      <c r="C950" s="238">
        <v>3163.0</v>
      </c>
      <c r="D950" s="238">
        <v>9148.0</v>
      </c>
      <c r="E950" s="238" t="s">
        <v>4876</v>
      </c>
      <c r="F950" s="238" t="s">
        <v>4565</v>
      </c>
      <c r="G950" s="239" t="s">
        <v>3333</v>
      </c>
      <c r="H950" s="240">
        <v>33.0</v>
      </c>
      <c r="I950" s="240">
        <v>11.0</v>
      </c>
      <c r="J950" s="240">
        <v>0.0</v>
      </c>
      <c r="K950" s="240">
        <v>1.0</v>
      </c>
      <c r="L950" s="240">
        <v>0.0</v>
      </c>
      <c r="M950" s="240" t="s">
        <v>3372</v>
      </c>
      <c r="N950" s="240">
        <v>21.0</v>
      </c>
    </row>
    <row r="951">
      <c r="A951" s="215">
        <v>947.0</v>
      </c>
      <c r="B951" s="237"/>
      <c r="C951" s="238">
        <v>3163.0</v>
      </c>
      <c r="D951" s="238">
        <v>9254.0</v>
      </c>
      <c r="E951" s="238" t="s">
        <v>4876</v>
      </c>
      <c r="F951" s="238" t="s">
        <v>3383</v>
      </c>
      <c r="G951" s="239" t="s">
        <v>3333</v>
      </c>
      <c r="H951" s="240">
        <v>55.0</v>
      </c>
      <c r="I951" s="240">
        <v>28.0</v>
      </c>
      <c r="J951" s="240">
        <v>0.0</v>
      </c>
      <c r="K951" s="240">
        <v>0.0</v>
      </c>
      <c r="L951" s="240">
        <v>0.0</v>
      </c>
      <c r="M951" s="240" t="s">
        <v>3410</v>
      </c>
      <c r="N951" s="240">
        <v>27.0</v>
      </c>
    </row>
    <row r="952">
      <c r="A952" s="215">
        <v>948.0</v>
      </c>
      <c r="B952" s="237"/>
      <c r="C952" s="238">
        <v>3163.0</v>
      </c>
      <c r="D952" s="238">
        <v>9723.0</v>
      </c>
      <c r="E952" s="238" t="s">
        <v>4876</v>
      </c>
      <c r="F952" s="238" t="s">
        <v>4880</v>
      </c>
      <c r="G952" s="239" t="s">
        <v>3333</v>
      </c>
      <c r="H952" s="240">
        <v>28.0</v>
      </c>
      <c r="I952" s="240">
        <v>28.0</v>
      </c>
      <c r="J952" s="240">
        <v>0.0</v>
      </c>
      <c r="K952" s="240">
        <v>0.0</v>
      </c>
      <c r="L952" s="240">
        <v>0.0</v>
      </c>
      <c r="M952" s="240" t="s">
        <v>3875</v>
      </c>
      <c r="N952" s="240">
        <v>0.0</v>
      </c>
    </row>
    <row r="953">
      <c r="A953" s="215">
        <v>949.0</v>
      </c>
      <c r="B953" s="237"/>
      <c r="C953" s="238">
        <v>3163.0</v>
      </c>
      <c r="D953" s="238">
        <v>9727.0</v>
      </c>
      <c r="E953" s="238" t="s">
        <v>4876</v>
      </c>
      <c r="F953" s="238" t="s">
        <v>4882</v>
      </c>
      <c r="G953" s="239" t="s">
        <v>3333</v>
      </c>
      <c r="H953" s="240">
        <v>40.0</v>
      </c>
      <c r="I953" s="240">
        <v>35.0</v>
      </c>
      <c r="J953" s="240">
        <v>0.0</v>
      </c>
      <c r="K953" s="240">
        <v>0.0</v>
      </c>
      <c r="L953" s="240">
        <v>0.0</v>
      </c>
      <c r="M953" s="240" t="s">
        <v>3368</v>
      </c>
      <c r="N953" s="240">
        <v>5.0</v>
      </c>
    </row>
    <row r="954">
      <c r="A954" s="215">
        <v>950.0</v>
      </c>
      <c r="B954" s="237"/>
      <c r="C954" s="238">
        <v>3163.0</v>
      </c>
      <c r="D954" s="238">
        <v>9743.0</v>
      </c>
      <c r="E954" s="238" t="s">
        <v>4876</v>
      </c>
      <c r="F954" s="238" t="s">
        <v>4883</v>
      </c>
      <c r="G954" s="239" t="s">
        <v>3333</v>
      </c>
      <c r="H954" s="240">
        <v>32.0</v>
      </c>
      <c r="I954" s="240">
        <v>7.0</v>
      </c>
      <c r="J954" s="240">
        <v>0.0</v>
      </c>
      <c r="K954" s="240">
        <v>0.0</v>
      </c>
      <c r="L954" s="240">
        <v>0.0</v>
      </c>
      <c r="M954" s="240" t="s">
        <v>3905</v>
      </c>
      <c r="N954" s="240">
        <v>25.0</v>
      </c>
    </row>
    <row r="955">
      <c r="A955" s="215">
        <v>951.0</v>
      </c>
      <c r="B955" s="237"/>
      <c r="C955" s="238">
        <v>3163.0</v>
      </c>
      <c r="D955" s="238">
        <v>9751.0</v>
      </c>
      <c r="E955" s="238" t="s">
        <v>4876</v>
      </c>
      <c r="F955" s="238" t="s">
        <v>3774</v>
      </c>
      <c r="G955" s="239" t="s">
        <v>3333</v>
      </c>
      <c r="H955" s="240">
        <v>33.0</v>
      </c>
      <c r="I955" s="240">
        <v>1.0</v>
      </c>
      <c r="J955" s="240">
        <v>0.0</v>
      </c>
      <c r="K955" s="240">
        <v>0.0</v>
      </c>
      <c r="L955" s="240">
        <v>0.0</v>
      </c>
      <c r="M955" s="237"/>
      <c r="N955" s="240">
        <v>32.0</v>
      </c>
    </row>
    <row r="956">
      <c r="A956" s="215">
        <v>952.0</v>
      </c>
      <c r="B956" s="237"/>
      <c r="C956" s="238">
        <v>3163.0</v>
      </c>
      <c r="D956" s="238" t="s">
        <v>4884</v>
      </c>
      <c r="E956" s="238" t="s">
        <v>4876</v>
      </c>
      <c r="F956" s="238" t="s">
        <v>4885</v>
      </c>
      <c r="G956" s="239" t="s">
        <v>3333</v>
      </c>
      <c r="H956" s="240">
        <v>45.0</v>
      </c>
      <c r="I956" s="240">
        <v>1.0</v>
      </c>
      <c r="J956" s="240">
        <v>0.0</v>
      </c>
      <c r="K956" s="240">
        <v>0.0</v>
      </c>
      <c r="L956" s="240">
        <v>0.0</v>
      </c>
      <c r="M956" s="241"/>
      <c r="N956" s="240">
        <v>44.0</v>
      </c>
    </row>
    <row r="957">
      <c r="A957" s="215">
        <v>953.0</v>
      </c>
      <c r="B957" s="237"/>
      <c r="C957" s="238">
        <v>3163.0</v>
      </c>
      <c r="D957" s="238" t="s">
        <v>4886</v>
      </c>
      <c r="E957" s="238" t="s">
        <v>4876</v>
      </c>
      <c r="F957" s="238" t="s">
        <v>4887</v>
      </c>
      <c r="G957" s="239" t="s">
        <v>3333</v>
      </c>
      <c r="H957" s="240">
        <v>20.0</v>
      </c>
      <c r="I957" s="240">
        <v>3.0</v>
      </c>
      <c r="J957" s="240">
        <v>0.0</v>
      </c>
      <c r="K957" s="240">
        <v>0.0</v>
      </c>
      <c r="L957" s="240">
        <v>0.0</v>
      </c>
      <c r="M957" s="240" t="s">
        <v>3376</v>
      </c>
      <c r="N957" s="240">
        <v>17.0</v>
      </c>
    </row>
    <row r="958">
      <c r="A958" s="215">
        <v>954.0</v>
      </c>
      <c r="B958" s="237"/>
      <c r="C958" s="238">
        <v>3163.0</v>
      </c>
      <c r="D958" s="238" t="s">
        <v>4888</v>
      </c>
      <c r="E958" s="238" t="s">
        <v>4876</v>
      </c>
      <c r="F958" s="238" t="s">
        <v>4889</v>
      </c>
      <c r="G958" s="239" t="s">
        <v>3333</v>
      </c>
      <c r="H958" s="240">
        <v>20.0</v>
      </c>
      <c r="I958" s="240">
        <v>8.0</v>
      </c>
      <c r="J958" s="240">
        <v>0.0</v>
      </c>
      <c r="K958" s="240">
        <v>0.0</v>
      </c>
      <c r="L958" s="240">
        <v>0.0</v>
      </c>
      <c r="M958" s="240" t="s">
        <v>3662</v>
      </c>
      <c r="N958" s="240">
        <v>12.0</v>
      </c>
    </row>
    <row r="959">
      <c r="A959" s="215">
        <v>955.0</v>
      </c>
      <c r="B959" s="237"/>
      <c r="C959" s="238">
        <v>3164.0</v>
      </c>
      <c r="D959" s="238">
        <v>8464.0</v>
      </c>
      <c r="E959" s="238" t="s">
        <v>4890</v>
      </c>
      <c r="F959" s="238" t="s">
        <v>4891</v>
      </c>
      <c r="G959" s="239" t="s">
        <v>3333</v>
      </c>
      <c r="H959" s="240">
        <v>30.0</v>
      </c>
      <c r="I959" s="240">
        <v>4.0</v>
      </c>
      <c r="J959" s="240">
        <v>0.0</v>
      </c>
      <c r="K959" s="240">
        <v>0.0</v>
      </c>
      <c r="L959" s="240">
        <v>0.0</v>
      </c>
      <c r="M959" s="240" t="s">
        <v>3666</v>
      </c>
      <c r="N959" s="240">
        <v>26.0</v>
      </c>
    </row>
    <row r="960">
      <c r="A960" s="215">
        <v>956.0</v>
      </c>
      <c r="B960" s="237"/>
      <c r="C960" s="238">
        <v>3164.0</v>
      </c>
      <c r="D960" s="238">
        <v>8516.0</v>
      </c>
      <c r="E960" s="238" t="s">
        <v>4890</v>
      </c>
      <c r="F960" s="238" t="s">
        <v>4892</v>
      </c>
      <c r="G960" s="239" t="s">
        <v>3333</v>
      </c>
      <c r="H960" s="240">
        <v>31.0</v>
      </c>
      <c r="I960" s="240">
        <v>14.0</v>
      </c>
      <c r="J960" s="240">
        <v>0.0</v>
      </c>
      <c r="K960" s="240">
        <v>0.0</v>
      </c>
      <c r="L960" s="240">
        <v>0.0</v>
      </c>
      <c r="M960" s="240" t="s">
        <v>4126</v>
      </c>
      <c r="N960" s="240">
        <v>17.0</v>
      </c>
    </row>
    <row r="961">
      <c r="A961" s="215">
        <v>957.0</v>
      </c>
      <c r="B961" s="237"/>
      <c r="C961" s="238">
        <v>3164.0</v>
      </c>
      <c r="D961" s="238">
        <v>9498.0</v>
      </c>
      <c r="E961" s="238" t="s">
        <v>4890</v>
      </c>
      <c r="F961" s="238" t="s">
        <v>4814</v>
      </c>
      <c r="G961" s="239" t="s">
        <v>3333</v>
      </c>
      <c r="H961" s="240">
        <v>35.0</v>
      </c>
      <c r="I961" s="240">
        <v>4.0</v>
      </c>
      <c r="J961" s="240">
        <v>0.0</v>
      </c>
      <c r="K961" s="240">
        <v>0.0</v>
      </c>
      <c r="L961" s="240">
        <v>0.0</v>
      </c>
      <c r="M961" s="241"/>
      <c r="N961" s="240">
        <v>31.0</v>
      </c>
    </row>
    <row r="962">
      <c r="A962" s="215">
        <v>958.0</v>
      </c>
      <c r="B962" s="237"/>
      <c r="C962" s="238">
        <v>3164.0</v>
      </c>
      <c r="D962" s="238" t="s">
        <v>4893</v>
      </c>
      <c r="E962" s="238" t="s">
        <v>4890</v>
      </c>
      <c r="F962" s="238" t="s">
        <v>4894</v>
      </c>
      <c r="G962" s="239" t="s">
        <v>3333</v>
      </c>
      <c r="H962" s="240">
        <v>45.0</v>
      </c>
      <c r="I962" s="240">
        <v>27.0</v>
      </c>
      <c r="J962" s="240">
        <v>0.0</v>
      </c>
      <c r="K962" s="240">
        <v>0.0</v>
      </c>
      <c r="L962" s="240">
        <v>0.0</v>
      </c>
      <c r="M962" s="240" t="s">
        <v>3397</v>
      </c>
      <c r="N962" s="240">
        <v>18.0</v>
      </c>
    </row>
    <row r="963">
      <c r="A963" s="215">
        <v>959.0</v>
      </c>
      <c r="B963" s="237"/>
      <c r="C963" s="238">
        <v>3165.0</v>
      </c>
      <c r="D963" s="238">
        <v>9731.0</v>
      </c>
      <c r="E963" s="238" t="s">
        <v>4895</v>
      </c>
      <c r="F963" s="238" t="s">
        <v>4507</v>
      </c>
      <c r="G963" s="239" t="s">
        <v>3333</v>
      </c>
      <c r="H963" s="240">
        <v>71.0</v>
      </c>
      <c r="I963" s="240">
        <v>30.0</v>
      </c>
      <c r="J963" s="240">
        <v>0.0</v>
      </c>
      <c r="K963" s="240">
        <v>1.0</v>
      </c>
      <c r="L963" s="240">
        <v>0.0</v>
      </c>
      <c r="M963" s="240" t="s">
        <v>3414</v>
      </c>
      <c r="N963" s="240">
        <v>40.0</v>
      </c>
    </row>
    <row r="964">
      <c r="A964" s="215">
        <v>960.0</v>
      </c>
      <c r="B964" s="237"/>
      <c r="C964" s="238">
        <v>3165.0</v>
      </c>
      <c r="D964" s="238" t="s">
        <v>4896</v>
      </c>
      <c r="E964" s="238" t="s">
        <v>4895</v>
      </c>
      <c r="F964" s="238" t="s">
        <v>4897</v>
      </c>
      <c r="G964" s="239" t="s">
        <v>3333</v>
      </c>
      <c r="H964" s="240">
        <v>30.0</v>
      </c>
      <c r="I964" s="240">
        <v>1.0</v>
      </c>
      <c r="J964" s="240">
        <v>0.0</v>
      </c>
      <c r="K964" s="240">
        <v>0.0</v>
      </c>
      <c r="L964" s="240">
        <v>0.0</v>
      </c>
      <c r="M964" s="240" t="s">
        <v>3647</v>
      </c>
      <c r="N964" s="240">
        <v>29.0</v>
      </c>
    </row>
    <row r="965">
      <c r="A965" s="215">
        <v>961.0</v>
      </c>
      <c r="B965" s="237"/>
      <c r="C965" s="238">
        <v>3181.0</v>
      </c>
      <c r="D965" s="238">
        <v>9054.0</v>
      </c>
      <c r="E965" s="238" t="s">
        <v>4898</v>
      </c>
      <c r="F965" s="238" t="s">
        <v>4503</v>
      </c>
      <c r="G965" s="239" t="s">
        <v>3333</v>
      </c>
      <c r="H965" s="240">
        <v>64.0</v>
      </c>
      <c r="I965" s="240">
        <v>37.0</v>
      </c>
      <c r="J965" s="240">
        <v>0.0</v>
      </c>
      <c r="K965" s="240">
        <v>0.0</v>
      </c>
      <c r="L965" s="240">
        <v>0.0</v>
      </c>
      <c r="M965" s="240" t="s">
        <v>4244</v>
      </c>
      <c r="N965" s="240">
        <v>27.0</v>
      </c>
    </row>
    <row r="966">
      <c r="A966" s="215">
        <v>962.0</v>
      </c>
      <c r="B966" s="237"/>
      <c r="C966" s="238">
        <v>3181.0</v>
      </c>
      <c r="D966" s="238">
        <v>9084.0</v>
      </c>
      <c r="E966" s="238" t="s">
        <v>4898</v>
      </c>
      <c r="F966" s="238" t="s">
        <v>4410</v>
      </c>
      <c r="G966" s="239" t="s">
        <v>3333</v>
      </c>
      <c r="H966" s="240">
        <v>64.0</v>
      </c>
      <c r="I966" s="240">
        <v>24.0</v>
      </c>
      <c r="J966" s="240">
        <v>0.0</v>
      </c>
      <c r="K966" s="240">
        <v>2.0</v>
      </c>
      <c r="L966" s="240">
        <v>0.0</v>
      </c>
      <c r="M966" s="240" t="s">
        <v>3433</v>
      </c>
      <c r="N966" s="240">
        <v>38.0</v>
      </c>
    </row>
    <row r="967">
      <c r="A967" s="215">
        <v>963.0</v>
      </c>
      <c r="B967" s="237"/>
      <c r="C967" s="238">
        <v>3181.0</v>
      </c>
      <c r="D967" s="238">
        <v>9347.0</v>
      </c>
      <c r="E967" s="238" t="s">
        <v>4898</v>
      </c>
      <c r="F967" s="238" t="s">
        <v>3797</v>
      </c>
      <c r="G967" s="239" t="s">
        <v>3333</v>
      </c>
      <c r="H967" s="240">
        <v>45.0</v>
      </c>
      <c r="I967" s="240">
        <v>45.0</v>
      </c>
      <c r="J967" s="240">
        <v>0.0</v>
      </c>
      <c r="K967" s="240">
        <v>2.0</v>
      </c>
      <c r="L967" s="240">
        <v>2.0</v>
      </c>
      <c r="M967" s="240" t="s">
        <v>3955</v>
      </c>
      <c r="N967" s="240">
        <v>0.0</v>
      </c>
    </row>
    <row r="968">
      <c r="A968" s="215">
        <v>964.0</v>
      </c>
      <c r="B968" s="237"/>
      <c r="C968" s="238">
        <v>3181.0</v>
      </c>
      <c r="D968" s="238">
        <v>9681.0</v>
      </c>
      <c r="E968" s="238" t="s">
        <v>4898</v>
      </c>
      <c r="F968" s="238" t="s">
        <v>4899</v>
      </c>
      <c r="G968" s="239" t="s">
        <v>3333</v>
      </c>
      <c r="H968" s="240">
        <v>26.0</v>
      </c>
      <c r="I968" s="240">
        <v>10.0</v>
      </c>
      <c r="J968" s="240">
        <v>0.0</v>
      </c>
      <c r="K968" s="240">
        <v>0.0</v>
      </c>
      <c r="L968" s="240">
        <v>0.0</v>
      </c>
      <c r="M968" s="240" t="s">
        <v>3470</v>
      </c>
      <c r="N968" s="240">
        <v>16.0</v>
      </c>
    </row>
    <row r="969">
      <c r="A969" s="215">
        <v>965.0</v>
      </c>
      <c r="B969" s="237"/>
      <c r="C969" s="238">
        <v>3181.0</v>
      </c>
      <c r="D969" s="238">
        <v>9850.0</v>
      </c>
      <c r="E969" s="238" t="s">
        <v>4898</v>
      </c>
      <c r="F969" s="238" t="s">
        <v>4456</v>
      </c>
      <c r="G969" s="239" t="s">
        <v>3333</v>
      </c>
      <c r="H969" s="240">
        <v>37.0</v>
      </c>
      <c r="I969" s="240">
        <v>37.0</v>
      </c>
      <c r="J969" s="240">
        <v>0.0</v>
      </c>
      <c r="K969" s="240">
        <v>0.0</v>
      </c>
      <c r="L969" s="240">
        <v>0.0</v>
      </c>
      <c r="M969" s="240" t="s">
        <v>4019</v>
      </c>
      <c r="N969" s="240">
        <v>0.0</v>
      </c>
    </row>
    <row r="970">
      <c r="A970" s="215">
        <v>966.0</v>
      </c>
      <c r="B970" s="237"/>
      <c r="C970" s="238">
        <v>3181.0</v>
      </c>
      <c r="D970" s="238">
        <v>9853.0</v>
      </c>
      <c r="E970" s="238" t="s">
        <v>4898</v>
      </c>
      <c r="F970" s="238" t="s">
        <v>3350</v>
      </c>
      <c r="G970" s="239" t="s">
        <v>3333</v>
      </c>
      <c r="H970" s="240">
        <v>65.0</v>
      </c>
      <c r="I970" s="240">
        <v>65.0</v>
      </c>
      <c r="J970" s="240">
        <v>0.0</v>
      </c>
      <c r="K970" s="240">
        <v>0.0</v>
      </c>
      <c r="L970" s="240">
        <v>0.0</v>
      </c>
      <c r="M970" s="240" t="s">
        <v>4637</v>
      </c>
      <c r="N970" s="240">
        <v>0.0</v>
      </c>
    </row>
    <row r="971">
      <c r="A971" s="215">
        <v>967.0</v>
      </c>
      <c r="B971" s="237"/>
      <c r="C971" s="238">
        <v>3181.0</v>
      </c>
      <c r="D971" s="238">
        <v>9930.0</v>
      </c>
      <c r="E971" s="238" t="s">
        <v>4898</v>
      </c>
      <c r="F971" s="238" t="s">
        <v>4901</v>
      </c>
      <c r="G971" s="239" t="s">
        <v>3333</v>
      </c>
      <c r="H971" s="240">
        <v>67.0</v>
      </c>
      <c r="I971" s="240">
        <v>31.0</v>
      </c>
      <c r="J971" s="240">
        <v>0.0</v>
      </c>
      <c r="K971" s="240">
        <v>0.0</v>
      </c>
      <c r="L971" s="240">
        <v>0.0</v>
      </c>
      <c r="M971" s="240" t="s">
        <v>4395</v>
      </c>
      <c r="N971" s="240">
        <v>36.0</v>
      </c>
    </row>
    <row r="972">
      <c r="A972" s="215">
        <v>968.0</v>
      </c>
      <c r="B972" s="237"/>
      <c r="C972" s="238">
        <v>3182.0</v>
      </c>
      <c r="D972" s="238">
        <v>8296.0</v>
      </c>
      <c r="E972" s="238" t="s">
        <v>4902</v>
      </c>
      <c r="F972" s="238" t="s">
        <v>4903</v>
      </c>
      <c r="G972" s="239" t="s">
        <v>3333</v>
      </c>
      <c r="H972" s="240">
        <v>35.0</v>
      </c>
      <c r="I972" s="240">
        <v>35.0</v>
      </c>
      <c r="J972" s="240">
        <v>0.0</v>
      </c>
      <c r="K972" s="240">
        <v>0.0</v>
      </c>
      <c r="L972" s="240">
        <v>0.0</v>
      </c>
      <c r="M972" s="240" t="s">
        <v>3384</v>
      </c>
      <c r="N972" s="240">
        <v>0.0</v>
      </c>
    </row>
    <row r="973">
      <c r="A973" s="215">
        <v>969.0</v>
      </c>
      <c r="B973" s="237"/>
      <c r="C973" s="238">
        <v>3182.0</v>
      </c>
      <c r="D973" s="238">
        <v>8517.0</v>
      </c>
      <c r="E973" s="238" t="s">
        <v>4902</v>
      </c>
      <c r="F973" s="238" t="s">
        <v>4905</v>
      </c>
      <c r="G973" s="239" t="s">
        <v>3333</v>
      </c>
      <c r="H973" s="240">
        <v>37.0</v>
      </c>
      <c r="I973" s="240">
        <v>6.0</v>
      </c>
      <c r="J973" s="240">
        <v>0.0</v>
      </c>
      <c r="K973" s="240">
        <v>0.0</v>
      </c>
      <c r="L973" s="240">
        <v>0.0</v>
      </c>
      <c r="M973" s="240" t="s">
        <v>4482</v>
      </c>
      <c r="N973" s="240">
        <v>31.0</v>
      </c>
    </row>
    <row r="974">
      <c r="A974" s="215">
        <v>970.0</v>
      </c>
      <c r="B974" s="237"/>
      <c r="C974" s="238">
        <v>3182.0</v>
      </c>
      <c r="D974" s="238">
        <v>9056.0</v>
      </c>
      <c r="E974" s="238" t="s">
        <v>4902</v>
      </c>
      <c r="F974" s="238" t="s">
        <v>3939</v>
      </c>
      <c r="G974" s="239" t="s">
        <v>3333</v>
      </c>
      <c r="H974" s="240">
        <v>40.0</v>
      </c>
      <c r="I974" s="240">
        <v>40.0</v>
      </c>
      <c r="J974" s="240">
        <v>0.0</v>
      </c>
      <c r="K974" s="240">
        <v>0.0</v>
      </c>
      <c r="L974" s="240">
        <v>0.0</v>
      </c>
      <c r="M974" s="240" t="s">
        <v>4203</v>
      </c>
      <c r="N974" s="240">
        <v>0.0</v>
      </c>
    </row>
    <row r="975">
      <c r="A975" s="215">
        <v>971.0</v>
      </c>
      <c r="B975" s="237"/>
      <c r="C975" s="238">
        <v>3182.0</v>
      </c>
      <c r="D975" s="238">
        <v>9089.0</v>
      </c>
      <c r="E975" s="238" t="s">
        <v>4902</v>
      </c>
      <c r="F975" s="238" t="s">
        <v>3456</v>
      </c>
      <c r="G975" s="239" t="s">
        <v>3333</v>
      </c>
      <c r="H975" s="240">
        <v>43.0</v>
      </c>
      <c r="I975" s="240">
        <v>3.0</v>
      </c>
      <c r="J975" s="240">
        <v>0.0</v>
      </c>
      <c r="K975" s="240">
        <v>0.0</v>
      </c>
      <c r="L975" s="240">
        <v>0.0</v>
      </c>
      <c r="M975" s="240" t="s">
        <v>4019</v>
      </c>
      <c r="N975" s="240">
        <v>40.0</v>
      </c>
    </row>
    <row r="976">
      <c r="A976" s="215">
        <v>972.0</v>
      </c>
      <c r="B976" s="237"/>
      <c r="C976" s="238">
        <v>3182.0</v>
      </c>
      <c r="D976" s="238">
        <v>9109.0</v>
      </c>
      <c r="E976" s="238" t="s">
        <v>4902</v>
      </c>
      <c r="F976" s="238" t="s">
        <v>4685</v>
      </c>
      <c r="G976" s="239" t="s">
        <v>3333</v>
      </c>
      <c r="H976" s="240">
        <v>48.0</v>
      </c>
      <c r="I976" s="240">
        <v>7.0</v>
      </c>
      <c r="J976" s="240">
        <v>0.0</v>
      </c>
      <c r="K976" s="240">
        <v>0.0</v>
      </c>
      <c r="L976" s="240">
        <v>0.0</v>
      </c>
      <c r="M976" s="240" t="s">
        <v>3859</v>
      </c>
      <c r="N976" s="240">
        <v>41.0</v>
      </c>
    </row>
    <row r="977">
      <c r="A977" s="215">
        <v>973.0</v>
      </c>
      <c r="B977" s="237"/>
      <c r="C977" s="238">
        <v>3182.0</v>
      </c>
      <c r="D977" s="238">
        <v>9119.0</v>
      </c>
      <c r="E977" s="238" t="s">
        <v>4902</v>
      </c>
      <c r="F977" s="238" t="s">
        <v>3417</v>
      </c>
      <c r="G977" s="239" t="s">
        <v>3333</v>
      </c>
      <c r="H977" s="240">
        <v>66.0</v>
      </c>
      <c r="I977" s="240">
        <v>39.0</v>
      </c>
      <c r="J977" s="240">
        <v>0.0</v>
      </c>
      <c r="K977" s="240">
        <v>0.0</v>
      </c>
      <c r="L977" s="240">
        <v>0.0</v>
      </c>
      <c r="M977" s="240" t="s">
        <v>3403</v>
      </c>
      <c r="N977" s="240">
        <v>27.0</v>
      </c>
    </row>
    <row r="978">
      <c r="A978" s="215">
        <v>974.0</v>
      </c>
      <c r="B978" s="237"/>
      <c r="C978" s="238">
        <v>3182.0</v>
      </c>
      <c r="D978" s="238">
        <v>9123.0</v>
      </c>
      <c r="E978" s="238" t="s">
        <v>4902</v>
      </c>
      <c r="F978" s="238" t="s">
        <v>3471</v>
      </c>
      <c r="G978" s="239" t="s">
        <v>3333</v>
      </c>
      <c r="H978" s="240">
        <v>44.0</v>
      </c>
      <c r="I978" s="240">
        <v>8.0</v>
      </c>
      <c r="J978" s="240">
        <v>0.0</v>
      </c>
      <c r="K978" s="240">
        <v>0.0</v>
      </c>
      <c r="L978" s="240">
        <v>0.0</v>
      </c>
      <c r="M978" s="240" t="s">
        <v>3519</v>
      </c>
      <c r="N978" s="240">
        <v>36.0</v>
      </c>
    </row>
    <row r="979">
      <c r="A979" s="215">
        <v>975.0</v>
      </c>
      <c r="B979" s="237"/>
      <c r="C979" s="238">
        <v>3182.0</v>
      </c>
      <c r="D979" s="238">
        <v>9152.0</v>
      </c>
      <c r="E979" s="238" t="s">
        <v>4902</v>
      </c>
      <c r="F979" s="238" t="s">
        <v>3434</v>
      </c>
      <c r="G979" s="239" t="s">
        <v>3333</v>
      </c>
      <c r="H979" s="240">
        <v>70.0</v>
      </c>
      <c r="I979" s="240">
        <v>70.0</v>
      </c>
      <c r="J979" s="240">
        <v>0.0</v>
      </c>
      <c r="K979" s="240">
        <v>1.0</v>
      </c>
      <c r="L979" s="240">
        <v>1.0</v>
      </c>
      <c r="M979" s="240" t="s">
        <v>3654</v>
      </c>
      <c r="N979" s="240">
        <v>0.0</v>
      </c>
    </row>
    <row r="980">
      <c r="A980" s="215">
        <v>976.0</v>
      </c>
      <c r="B980" s="237"/>
      <c r="C980" s="238">
        <v>3182.0</v>
      </c>
      <c r="D980" s="238">
        <v>9205.0</v>
      </c>
      <c r="E980" s="238" t="s">
        <v>4902</v>
      </c>
      <c r="F980" s="238" t="s">
        <v>3595</v>
      </c>
      <c r="G980" s="239" t="s">
        <v>3333</v>
      </c>
      <c r="H980" s="240">
        <v>46.0</v>
      </c>
      <c r="I980" s="240">
        <v>46.0</v>
      </c>
      <c r="J980" s="240">
        <v>0.0</v>
      </c>
      <c r="K980" s="240">
        <v>2.0</v>
      </c>
      <c r="L980" s="240">
        <v>2.0</v>
      </c>
      <c r="M980" s="240" t="s">
        <v>3955</v>
      </c>
      <c r="N980" s="240">
        <v>0.0</v>
      </c>
    </row>
    <row r="981">
      <c r="A981" s="215">
        <v>977.0</v>
      </c>
      <c r="B981" s="237"/>
      <c r="C981" s="238">
        <v>3182.0</v>
      </c>
      <c r="D981" s="238">
        <v>9254.0</v>
      </c>
      <c r="E981" s="238" t="s">
        <v>4902</v>
      </c>
      <c r="F981" s="238" t="s">
        <v>3383</v>
      </c>
      <c r="G981" s="239" t="s">
        <v>3333</v>
      </c>
      <c r="H981" s="240">
        <v>47.0</v>
      </c>
      <c r="I981" s="240">
        <v>13.0</v>
      </c>
      <c r="J981" s="240">
        <v>0.0</v>
      </c>
      <c r="K981" s="240">
        <v>0.0</v>
      </c>
      <c r="L981" s="240">
        <v>0.0</v>
      </c>
      <c r="M981" s="240" t="s">
        <v>3431</v>
      </c>
      <c r="N981" s="240">
        <v>34.0</v>
      </c>
    </row>
    <row r="982">
      <c r="A982" s="215">
        <v>978.0</v>
      </c>
      <c r="B982" s="237"/>
      <c r="C982" s="238">
        <v>3182.0</v>
      </c>
      <c r="D982" s="238">
        <v>9491.0</v>
      </c>
      <c r="E982" s="238" t="s">
        <v>4902</v>
      </c>
      <c r="F982" s="238" t="s">
        <v>4915</v>
      </c>
      <c r="G982" s="239" t="s">
        <v>3333</v>
      </c>
      <c r="H982" s="240">
        <v>48.0</v>
      </c>
      <c r="I982" s="240">
        <v>27.0</v>
      </c>
      <c r="J982" s="240">
        <v>0.0</v>
      </c>
      <c r="K982" s="240">
        <v>0.0</v>
      </c>
      <c r="L982" s="240">
        <v>0.0</v>
      </c>
      <c r="M982" s="240" t="s">
        <v>4131</v>
      </c>
      <c r="N982" s="240">
        <v>21.0</v>
      </c>
    </row>
    <row r="983">
      <c r="A983" s="215">
        <v>979.0</v>
      </c>
      <c r="B983" s="237"/>
      <c r="C983" s="238">
        <v>3182.0</v>
      </c>
      <c r="D983" s="238">
        <v>9709.0</v>
      </c>
      <c r="E983" s="238" t="s">
        <v>4902</v>
      </c>
      <c r="F983" s="238" t="s">
        <v>4033</v>
      </c>
      <c r="G983" s="239" t="s">
        <v>3333</v>
      </c>
      <c r="H983" s="240">
        <v>35.0</v>
      </c>
      <c r="I983" s="240">
        <v>3.0</v>
      </c>
      <c r="J983" s="240">
        <v>0.0</v>
      </c>
      <c r="K983" s="240">
        <v>0.0</v>
      </c>
      <c r="L983" s="240">
        <v>0.0</v>
      </c>
      <c r="M983" s="240" t="s">
        <v>4069</v>
      </c>
      <c r="N983" s="240">
        <v>32.0</v>
      </c>
    </row>
    <row r="984">
      <c r="A984" s="215">
        <v>980.0</v>
      </c>
      <c r="B984" s="237"/>
      <c r="C984" s="238">
        <v>3182.0</v>
      </c>
      <c r="D984" s="238">
        <v>9994.0</v>
      </c>
      <c r="E984" s="238" t="s">
        <v>4902</v>
      </c>
      <c r="F984" s="238" t="s">
        <v>4356</v>
      </c>
      <c r="G984" s="239" t="s">
        <v>3333</v>
      </c>
      <c r="H984" s="240">
        <v>35.0</v>
      </c>
      <c r="I984" s="240">
        <v>8.0</v>
      </c>
      <c r="J984" s="240">
        <v>0.0</v>
      </c>
      <c r="K984" s="240">
        <v>1.0</v>
      </c>
      <c r="L984" s="240">
        <v>0.0</v>
      </c>
      <c r="M984" s="240" t="s">
        <v>4388</v>
      </c>
      <c r="N984" s="240">
        <v>26.0</v>
      </c>
    </row>
    <row r="985">
      <c r="A985" s="215">
        <v>981.0</v>
      </c>
      <c r="B985" s="237"/>
      <c r="C985" s="238">
        <v>3185.0</v>
      </c>
      <c r="D985" s="238">
        <v>9016.0</v>
      </c>
      <c r="E985" s="238" t="s">
        <v>4916</v>
      </c>
      <c r="F985" s="238" t="s">
        <v>3412</v>
      </c>
      <c r="G985" s="239" t="s">
        <v>3333</v>
      </c>
      <c r="H985" s="240">
        <v>25.0</v>
      </c>
      <c r="I985" s="240">
        <v>12.0</v>
      </c>
      <c r="J985" s="240">
        <v>0.0</v>
      </c>
      <c r="K985" s="240">
        <v>1.0</v>
      </c>
      <c r="L985" s="240">
        <v>0.0</v>
      </c>
      <c r="M985" s="240" t="s">
        <v>3905</v>
      </c>
      <c r="N985" s="240">
        <v>12.0</v>
      </c>
    </row>
    <row r="986">
      <c r="A986" s="215">
        <v>982.0</v>
      </c>
      <c r="B986" s="237"/>
      <c r="C986" s="238">
        <v>3185.0</v>
      </c>
      <c r="D986" s="238">
        <v>9085.0</v>
      </c>
      <c r="E986" s="238" t="s">
        <v>4916</v>
      </c>
      <c r="F986" s="238" t="s">
        <v>4394</v>
      </c>
      <c r="G986" s="239" t="s">
        <v>3333</v>
      </c>
      <c r="H986" s="240">
        <v>45.0</v>
      </c>
      <c r="I986" s="240">
        <v>45.0</v>
      </c>
      <c r="J986" s="240">
        <v>0.0</v>
      </c>
      <c r="K986" s="240">
        <v>1.0</v>
      </c>
      <c r="L986" s="240">
        <v>1.0</v>
      </c>
      <c r="M986" s="240" t="s">
        <v>4636</v>
      </c>
      <c r="N986" s="240">
        <v>0.0</v>
      </c>
    </row>
    <row r="987">
      <c r="A987" s="215">
        <v>983.0</v>
      </c>
      <c r="B987" s="237"/>
      <c r="C987" s="238">
        <v>3185.0</v>
      </c>
      <c r="D987" s="238">
        <v>9086.0</v>
      </c>
      <c r="E987" s="238" t="s">
        <v>4916</v>
      </c>
      <c r="F987" s="238" t="s">
        <v>4018</v>
      </c>
      <c r="G987" s="239" t="s">
        <v>3333</v>
      </c>
      <c r="H987" s="240">
        <v>25.0</v>
      </c>
      <c r="I987" s="240">
        <v>3.0</v>
      </c>
      <c r="J987" s="240">
        <v>0.0</v>
      </c>
      <c r="K987" s="240">
        <v>0.0</v>
      </c>
      <c r="L987" s="240">
        <v>0.0</v>
      </c>
      <c r="M987" s="240" t="s">
        <v>4110</v>
      </c>
      <c r="N987" s="240">
        <v>22.0</v>
      </c>
    </row>
    <row r="988">
      <c r="A988" s="215">
        <v>984.0</v>
      </c>
      <c r="B988" s="237"/>
      <c r="C988" s="238">
        <v>3185.0</v>
      </c>
      <c r="D988" s="238">
        <v>9087.0</v>
      </c>
      <c r="E988" s="238" t="s">
        <v>4916</v>
      </c>
      <c r="F988" s="238" t="s">
        <v>4243</v>
      </c>
      <c r="G988" s="239" t="s">
        <v>3333</v>
      </c>
      <c r="H988" s="240">
        <v>25.0</v>
      </c>
      <c r="I988" s="240">
        <v>0.0</v>
      </c>
      <c r="J988" s="240">
        <v>0.0</v>
      </c>
      <c r="K988" s="240">
        <v>0.0</v>
      </c>
      <c r="L988" s="240">
        <v>0.0</v>
      </c>
      <c r="M988" s="241"/>
      <c r="N988" s="240">
        <v>25.0</v>
      </c>
    </row>
    <row r="989">
      <c r="A989" s="215">
        <v>985.0</v>
      </c>
      <c r="B989" s="237"/>
      <c r="C989" s="238">
        <v>3185.0</v>
      </c>
      <c r="D989" s="238">
        <v>9129.0</v>
      </c>
      <c r="E989" s="238" t="s">
        <v>4916</v>
      </c>
      <c r="F989" s="238" t="s">
        <v>4245</v>
      </c>
      <c r="G989" s="239" t="s">
        <v>3333</v>
      </c>
      <c r="H989" s="240">
        <v>25.0</v>
      </c>
      <c r="I989" s="240">
        <v>2.0</v>
      </c>
      <c r="J989" s="240">
        <v>0.0</v>
      </c>
      <c r="K989" s="240">
        <v>0.0</v>
      </c>
      <c r="L989" s="240">
        <v>0.0</v>
      </c>
      <c r="M989" s="240" t="s">
        <v>4917</v>
      </c>
      <c r="N989" s="240">
        <v>23.0</v>
      </c>
    </row>
    <row r="990">
      <c r="A990" s="215">
        <v>986.0</v>
      </c>
      <c r="B990" s="237"/>
      <c r="C990" s="238">
        <v>3186.0</v>
      </c>
      <c r="D990" s="238">
        <v>9122.0</v>
      </c>
      <c r="E990" s="238" t="s">
        <v>4918</v>
      </c>
      <c r="F990" s="238" t="s">
        <v>4919</v>
      </c>
      <c r="G990" s="239" t="s">
        <v>3333</v>
      </c>
      <c r="H990" s="240">
        <v>36.0</v>
      </c>
      <c r="I990" s="240">
        <v>0.0</v>
      </c>
      <c r="J990" s="240">
        <v>0.0</v>
      </c>
      <c r="K990" s="240">
        <v>0.0</v>
      </c>
      <c r="L990" s="240">
        <v>0.0</v>
      </c>
      <c r="M990" s="241"/>
      <c r="N990" s="240">
        <v>36.0</v>
      </c>
    </row>
    <row r="991">
      <c r="A991" s="215">
        <v>987.0</v>
      </c>
      <c r="B991" s="237"/>
      <c r="C991" s="238">
        <v>3186.0</v>
      </c>
      <c r="D991" s="238">
        <v>9168.0</v>
      </c>
      <c r="E991" s="238" t="s">
        <v>4918</v>
      </c>
      <c r="F991" s="238" t="s">
        <v>4920</v>
      </c>
      <c r="G991" s="239" t="s">
        <v>3333</v>
      </c>
      <c r="H991" s="240">
        <v>23.0</v>
      </c>
      <c r="I991" s="240">
        <v>5.0</v>
      </c>
      <c r="J991" s="240">
        <v>0.0</v>
      </c>
      <c r="K991" s="240">
        <v>0.0</v>
      </c>
      <c r="L991" s="240">
        <v>0.0</v>
      </c>
      <c r="M991" s="240" t="s">
        <v>4477</v>
      </c>
      <c r="N991" s="240">
        <v>18.0</v>
      </c>
    </row>
    <row r="992">
      <c r="A992" s="215">
        <v>988.0</v>
      </c>
      <c r="B992" s="237"/>
      <c r="C992" s="238">
        <v>3186.0</v>
      </c>
      <c r="D992" s="238">
        <v>9179.0</v>
      </c>
      <c r="E992" s="238" t="s">
        <v>4918</v>
      </c>
      <c r="F992" s="238" t="s">
        <v>4921</v>
      </c>
      <c r="G992" s="239" t="s">
        <v>3333</v>
      </c>
      <c r="H992" s="240">
        <v>21.0</v>
      </c>
      <c r="I992" s="240">
        <v>1.0</v>
      </c>
      <c r="J992" s="240">
        <v>0.0</v>
      </c>
      <c r="K992" s="240">
        <v>0.0</v>
      </c>
      <c r="L992" s="240">
        <v>0.0</v>
      </c>
      <c r="M992" s="240" t="s">
        <v>3426</v>
      </c>
      <c r="N992" s="240">
        <v>20.0</v>
      </c>
    </row>
    <row r="993">
      <c r="A993" s="215">
        <v>989.0</v>
      </c>
      <c r="B993" s="237"/>
      <c r="C993" s="238">
        <v>3186.0</v>
      </c>
      <c r="D993" s="238">
        <v>9238.0</v>
      </c>
      <c r="E993" s="238" t="s">
        <v>4918</v>
      </c>
      <c r="F993" s="238" t="s">
        <v>3344</v>
      </c>
      <c r="G993" s="239" t="s">
        <v>3333</v>
      </c>
      <c r="H993" s="240">
        <v>55.0</v>
      </c>
      <c r="I993" s="240">
        <v>11.0</v>
      </c>
      <c r="J993" s="240">
        <v>0.0</v>
      </c>
      <c r="K993" s="240">
        <v>0.0</v>
      </c>
      <c r="L993" s="240">
        <v>0.0</v>
      </c>
      <c r="M993" s="240" t="s">
        <v>3414</v>
      </c>
      <c r="N993" s="240">
        <v>44.0</v>
      </c>
    </row>
    <row r="994">
      <c r="A994" s="215">
        <v>990.0</v>
      </c>
      <c r="B994" s="237"/>
      <c r="C994" s="238">
        <v>3186.0</v>
      </c>
      <c r="D994" s="238" t="s">
        <v>4317</v>
      </c>
      <c r="E994" s="238" t="s">
        <v>4918</v>
      </c>
      <c r="F994" s="238" t="s">
        <v>4318</v>
      </c>
      <c r="G994" s="239" t="s">
        <v>3333</v>
      </c>
      <c r="H994" s="240">
        <v>35.0</v>
      </c>
      <c r="I994" s="240">
        <v>6.0</v>
      </c>
      <c r="J994" s="240">
        <v>0.0</v>
      </c>
      <c r="K994" s="240">
        <v>0.0</v>
      </c>
      <c r="L994" s="240">
        <v>0.0</v>
      </c>
      <c r="M994" s="240" t="s">
        <v>3822</v>
      </c>
      <c r="N994" s="240">
        <v>29.0</v>
      </c>
    </row>
    <row r="995">
      <c r="A995" s="215">
        <v>991.0</v>
      </c>
      <c r="B995" s="237"/>
      <c r="C995" s="238">
        <v>3186.0</v>
      </c>
      <c r="D995" s="238" t="s">
        <v>4923</v>
      </c>
      <c r="E995" s="238" t="s">
        <v>4918</v>
      </c>
      <c r="F995" s="238" t="s">
        <v>4924</v>
      </c>
      <c r="G995" s="239" t="s">
        <v>3333</v>
      </c>
      <c r="H995" s="240">
        <v>36.0</v>
      </c>
      <c r="I995" s="240">
        <v>4.0</v>
      </c>
      <c r="J995" s="240">
        <v>0.0</v>
      </c>
      <c r="K995" s="240">
        <v>0.0</v>
      </c>
      <c r="L995" s="240">
        <v>0.0</v>
      </c>
      <c r="M995" s="240" t="s">
        <v>3954</v>
      </c>
      <c r="N995" s="240">
        <v>32.0</v>
      </c>
    </row>
    <row r="996">
      <c r="A996" s="215">
        <v>992.0</v>
      </c>
      <c r="B996" s="237"/>
      <c r="C996" s="238">
        <v>3241.0</v>
      </c>
      <c r="D996" s="238">
        <v>9056.0</v>
      </c>
      <c r="E996" s="238" t="s">
        <v>4925</v>
      </c>
      <c r="F996" s="238" t="s">
        <v>3939</v>
      </c>
      <c r="G996" s="239" t="s">
        <v>3333</v>
      </c>
      <c r="H996" s="240">
        <v>20.0</v>
      </c>
      <c r="I996" s="240">
        <v>8.0</v>
      </c>
      <c r="J996" s="240">
        <v>0.0</v>
      </c>
      <c r="K996" s="240">
        <v>0.0</v>
      </c>
      <c r="L996" s="240">
        <v>0.0</v>
      </c>
      <c r="M996" s="240" t="s">
        <v>4241</v>
      </c>
      <c r="N996" s="240">
        <v>12.0</v>
      </c>
    </row>
    <row r="997">
      <c r="A997" s="215">
        <v>993.0</v>
      </c>
      <c r="B997" s="237"/>
      <c r="C997" s="238">
        <v>3241.0</v>
      </c>
      <c r="D997" s="238">
        <v>9152.0</v>
      </c>
      <c r="E997" s="238" t="s">
        <v>4925</v>
      </c>
      <c r="F997" s="238" t="s">
        <v>3434</v>
      </c>
      <c r="G997" s="239" t="s">
        <v>3333</v>
      </c>
      <c r="H997" s="240">
        <v>55.0</v>
      </c>
      <c r="I997" s="240">
        <v>6.0</v>
      </c>
      <c r="J997" s="240">
        <v>0.0</v>
      </c>
      <c r="K997" s="240">
        <v>0.0</v>
      </c>
      <c r="L997" s="240">
        <v>0.0</v>
      </c>
      <c r="M997" s="240" t="s">
        <v>3419</v>
      </c>
      <c r="N997" s="240">
        <v>49.0</v>
      </c>
    </row>
    <row r="998">
      <c r="A998" s="215">
        <v>994.0</v>
      </c>
      <c r="B998" s="237"/>
      <c r="C998" s="238">
        <v>3241.0</v>
      </c>
      <c r="D998" s="238">
        <v>9640.0</v>
      </c>
      <c r="E998" s="238" t="s">
        <v>4925</v>
      </c>
      <c r="F998" s="238" t="s">
        <v>4926</v>
      </c>
      <c r="G998" s="239" t="s">
        <v>3333</v>
      </c>
      <c r="H998" s="240">
        <v>40.0</v>
      </c>
      <c r="I998" s="240">
        <v>14.0</v>
      </c>
      <c r="J998" s="240">
        <v>0.0</v>
      </c>
      <c r="K998" s="240">
        <v>0.0</v>
      </c>
      <c r="L998" s="240">
        <v>0.0</v>
      </c>
      <c r="M998" s="240" t="s">
        <v>3345</v>
      </c>
      <c r="N998" s="240">
        <v>26.0</v>
      </c>
    </row>
    <row r="999">
      <c r="A999" s="215">
        <v>995.0</v>
      </c>
      <c r="B999" s="237"/>
      <c r="C999" s="238">
        <v>3241.0</v>
      </c>
      <c r="D999" s="238" t="s">
        <v>4927</v>
      </c>
      <c r="E999" s="238" t="s">
        <v>4925</v>
      </c>
      <c r="F999" s="238" t="s">
        <v>4928</v>
      </c>
      <c r="G999" s="239" t="s">
        <v>3333</v>
      </c>
      <c r="H999" s="240">
        <v>35.0</v>
      </c>
      <c r="I999" s="240">
        <v>5.0</v>
      </c>
      <c r="J999" s="240">
        <v>0.0</v>
      </c>
      <c r="K999" s="240">
        <v>0.0</v>
      </c>
      <c r="L999" s="240">
        <v>0.0</v>
      </c>
      <c r="M999" s="240" t="s">
        <v>4929</v>
      </c>
      <c r="N999" s="240">
        <v>30.0</v>
      </c>
    </row>
    <row r="1000">
      <c r="A1000" s="215">
        <v>996.0</v>
      </c>
      <c r="B1000" s="237"/>
      <c r="C1000" s="238">
        <v>3242.0</v>
      </c>
      <c r="D1000" s="238">
        <v>9089.0</v>
      </c>
      <c r="E1000" s="238" t="s">
        <v>4930</v>
      </c>
      <c r="F1000" s="238" t="s">
        <v>3456</v>
      </c>
      <c r="G1000" s="239" t="s">
        <v>3333</v>
      </c>
      <c r="H1000" s="240">
        <v>20.0</v>
      </c>
      <c r="I1000" s="240">
        <v>0.0</v>
      </c>
      <c r="J1000" s="240">
        <v>0.0</v>
      </c>
      <c r="K1000" s="240">
        <v>0.0</v>
      </c>
      <c r="L1000" s="240">
        <v>0.0</v>
      </c>
      <c r="M1000" s="237"/>
      <c r="N1000" s="240">
        <v>20.0</v>
      </c>
    </row>
    <row r="1001">
      <c r="A1001" s="215">
        <v>997.0</v>
      </c>
      <c r="B1001" s="237"/>
      <c r="C1001" s="238">
        <v>3242.0</v>
      </c>
      <c r="D1001" s="238">
        <v>9112.0</v>
      </c>
      <c r="E1001" s="238" t="s">
        <v>4930</v>
      </c>
      <c r="F1001" s="238" t="s">
        <v>3522</v>
      </c>
      <c r="G1001" s="239" t="s">
        <v>3333</v>
      </c>
      <c r="H1001" s="240">
        <v>35.0</v>
      </c>
      <c r="I1001" s="240">
        <v>3.0</v>
      </c>
      <c r="J1001" s="240">
        <v>0.0</v>
      </c>
      <c r="K1001" s="240">
        <v>0.0</v>
      </c>
      <c r="L1001" s="240">
        <v>0.0</v>
      </c>
      <c r="M1001" s="241"/>
      <c r="N1001" s="240">
        <v>32.0</v>
      </c>
    </row>
    <row r="1002">
      <c r="A1002" s="215">
        <v>998.0</v>
      </c>
      <c r="B1002" s="237"/>
      <c r="C1002" s="238">
        <v>3242.0</v>
      </c>
      <c r="D1002" s="238">
        <v>9119.0</v>
      </c>
      <c r="E1002" s="238" t="s">
        <v>4930</v>
      </c>
      <c r="F1002" s="238" t="s">
        <v>3417</v>
      </c>
      <c r="G1002" s="239" t="s">
        <v>3333</v>
      </c>
      <c r="H1002" s="240">
        <v>65.0</v>
      </c>
      <c r="I1002" s="240">
        <v>8.0</v>
      </c>
      <c r="J1002" s="240">
        <v>0.0</v>
      </c>
      <c r="K1002" s="240">
        <v>0.0</v>
      </c>
      <c r="L1002" s="240">
        <v>0.0</v>
      </c>
      <c r="M1002" s="240" t="s">
        <v>3368</v>
      </c>
      <c r="N1002" s="240">
        <v>57.0</v>
      </c>
    </row>
    <row r="1003">
      <c r="A1003" s="215">
        <v>999.0</v>
      </c>
      <c r="B1003" s="237"/>
      <c r="C1003" s="238">
        <v>3242.0</v>
      </c>
      <c r="D1003" s="238">
        <v>9380.0</v>
      </c>
      <c r="E1003" s="238" t="s">
        <v>4930</v>
      </c>
      <c r="F1003" s="238" t="s">
        <v>4932</v>
      </c>
      <c r="G1003" s="239" t="s">
        <v>3333</v>
      </c>
      <c r="H1003" s="240">
        <v>33.0</v>
      </c>
      <c r="I1003" s="240">
        <v>33.0</v>
      </c>
      <c r="J1003" s="240">
        <v>0.0</v>
      </c>
      <c r="K1003" s="240">
        <v>0.0</v>
      </c>
      <c r="L1003" s="240">
        <v>0.0</v>
      </c>
      <c r="M1003" s="240" t="s">
        <v>3436</v>
      </c>
      <c r="N1003" s="240">
        <v>0.0</v>
      </c>
    </row>
    <row r="1004">
      <c r="A1004" s="215">
        <v>1000.0</v>
      </c>
      <c r="B1004" s="237"/>
      <c r="C1004" s="238">
        <v>3242.0</v>
      </c>
      <c r="D1004" s="238">
        <v>9644.0</v>
      </c>
      <c r="E1004" s="238" t="s">
        <v>4930</v>
      </c>
      <c r="F1004" s="238" t="s">
        <v>4933</v>
      </c>
      <c r="G1004" s="239" t="s">
        <v>3333</v>
      </c>
      <c r="H1004" s="240">
        <v>45.0</v>
      </c>
      <c r="I1004" s="240">
        <v>44.0</v>
      </c>
      <c r="J1004" s="240">
        <v>0.0</v>
      </c>
      <c r="K1004" s="240">
        <v>1.0</v>
      </c>
      <c r="L1004" s="240">
        <v>0.0</v>
      </c>
      <c r="M1004" s="240" t="s">
        <v>3826</v>
      </c>
      <c r="N1004" s="240">
        <v>0.0</v>
      </c>
    </row>
    <row r="1005">
      <c r="A1005" s="215">
        <v>1001.0</v>
      </c>
      <c r="B1005" s="237"/>
      <c r="C1005" s="238">
        <v>3242.0</v>
      </c>
      <c r="D1005" s="238">
        <v>9645.0</v>
      </c>
      <c r="E1005" s="238" t="s">
        <v>4930</v>
      </c>
      <c r="F1005" s="238" t="s">
        <v>4936</v>
      </c>
      <c r="G1005" s="239" t="s">
        <v>3333</v>
      </c>
      <c r="H1005" s="240">
        <v>30.0</v>
      </c>
      <c r="I1005" s="240">
        <v>19.0</v>
      </c>
      <c r="J1005" s="240">
        <v>0.0</v>
      </c>
      <c r="K1005" s="240">
        <v>0.0</v>
      </c>
      <c r="L1005" s="240">
        <v>0.0</v>
      </c>
      <c r="M1005" s="240" t="s">
        <v>3407</v>
      </c>
      <c r="N1005" s="240">
        <v>11.0</v>
      </c>
    </row>
    <row r="1006">
      <c r="A1006" s="215">
        <v>1002.0</v>
      </c>
      <c r="B1006" s="237"/>
      <c r="C1006" s="238">
        <v>3242.0</v>
      </c>
      <c r="D1006" s="238" t="s">
        <v>4938</v>
      </c>
      <c r="E1006" s="238" t="s">
        <v>4930</v>
      </c>
      <c r="F1006" s="238" t="s">
        <v>4939</v>
      </c>
      <c r="G1006" s="239" t="s">
        <v>3333</v>
      </c>
      <c r="H1006" s="240">
        <v>20.0</v>
      </c>
      <c r="I1006" s="240">
        <v>2.0</v>
      </c>
      <c r="J1006" s="240">
        <v>0.0</v>
      </c>
      <c r="K1006" s="240">
        <v>0.0</v>
      </c>
      <c r="L1006" s="240">
        <v>0.0</v>
      </c>
      <c r="M1006" s="240" t="s">
        <v>3422</v>
      </c>
      <c r="N1006" s="240">
        <v>18.0</v>
      </c>
    </row>
    <row r="1007">
      <c r="A1007" s="215">
        <v>1003.0</v>
      </c>
      <c r="B1007" s="237"/>
      <c r="C1007" s="238">
        <v>3242.0</v>
      </c>
      <c r="D1007" s="238" t="s">
        <v>4941</v>
      </c>
      <c r="E1007" s="238" t="s">
        <v>4930</v>
      </c>
      <c r="F1007" s="238" t="s">
        <v>4943</v>
      </c>
      <c r="G1007" s="239" t="s">
        <v>3333</v>
      </c>
      <c r="H1007" s="240">
        <v>20.0</v>
      </c>
      <c r="I1007" s="240">
        <v>1.0</v>
      </c>
      <c r="J1007" s="240">
        <v>0.0</v>
      </c>
      <c r="K1007" s="240">
        <v>0.0</v>
      </c>
      <c r="L1007" s="240">
        <v>0.0</v>
      </c>
      <c r="M1007" s="240" t="s">
        <v>3336</v>
      </c>
      <c r="N1007" s="240">
        <v>19.0</v>
      </c>
    </row>
    <row r="1008">
      <c r="A1008" s="215">
        <v>1004.0</v>
      </c>
      <c r="B1008" s="237"/>
      <c r="C1008" s="238">
        <v>3243.0</v>
      </c>
      <c r="D1008" s="238">
        <v>9123.0</v>
      </c>
      <c r="E1008" s="238" t="s">
        <v>4945</v>
      </c>
      <c r="F1008" s="238" t="s">
        <v>3471</v>
      </c>
      <c r="G1008" s="239" t="s">
        <v>3333</v>
      </c>
      <c r="H1008" s="240">
        <v>20.0</v>
      </c>
      <c r="I1008" s="240">
        <v>2.0</v>
      </c>
      <c r="J1008" s="240">
        <v>0.0</v>
      </c>
      <c r="K1008" s="240">
        <v>0.0</v>
      </c>
      <c r="L1008" s="240">
        <v>0.0</v>
      </c>
      <c r="M1008" s="240" t="s">
        <v>3662</v>
      </c>
      <c r="N1008" s="240">
        <v>18.0</v>
      </c>
    </row>
    <row r="1009">
      <c r="A1009" s="215">
        <v>1005.0</v>
      </c>
      <c r="B1009" s="237"/>
      <c r="C1009" s="238">
        <v>3243.0</v>
      </c>
      <c r="D1009" s="238" t="s">
        <v>4947</v>
      </c>
      <c r="E1009" s="238" t="s">
        <v>4945</v>
      </c>
      <c r="F1009" s="238" t="s">
        <v>4948</v>
      </c>
      <c r="G1009" s="239" t="s">
        <v>3333</v>
      </c>
      <c r="H1009" s="240">
        <v>26.0</v>
      </c>
      <c r="I1009" s="240">
        <v>1.0</v>
      </c>
      <c r="J1009" s="240">
        <v>0.0</v>
      </c>
      <c r="K1009" s="240">
        <v>0.0</v>
      </c>
      <c r="L1009" s="240">
        <v>0.0</v>
      </c>
      <c r="M1009" s="237"/>
      <c r="N1009" s="240">
        <v>25.0</v>
      </c>
    </row>
    <row r="1010">
      <c r="A1010" s="215">
        <v>1006.0</v>
      </c>
      <c r="B1010" s="237"/>
      <c r="C1010" s="238">
        <v>3243.0</v>
      </c>
      <c r="D1010" s="238" t="s">
        <v>4950</v>
      </c>
      <c r="E1010" s="238" t="s">
        <v>4945</v>
      </c>
      <c r="F1010" s="238" t="s">
        <v>4951</v>
      </c>
      <c r="G1010" s="239" t="s">
        <v>3333</v>
      </c>
      <c r="H1010" s="240">
        <v>27.0</v>
      </c>
      <c r="I1010" s="240">
        <v>0.0</v>
      </c>
      <c r="J1010" s="240">
        <v>0.0</v>
      </c>
      <c r="K1010" s="240">
        <v>0.0</v>
      </c>
      <c r="L1010" s="240">
        <v>0.0</v>
      </c>
      <c r="M1010" s="241"/>
      <c r="N1010" s="240">
        <v>27.0</v>
      </c>
    </row>
    <row r="1011">
      <c r="A1011" s="215">
        <v>1007.0</v>
      </c>
      <c r="B1011" s="237"/>
      <c r="C1011" s="238">
        <v>3243.0</v>
      </c>
      <c r="D1011" s="238" t="s">
        <v>4953</v>
      </c>
      <c r="E1011" s="238" t="s">
        <v>4945</v>
      </c>
      <c r="F1011" s="238" t="s">
        <v>4954</v>
      </c>
      <c r="G1011" s="239" t="s">
        <v>3333</v>
      </c>
      <c r="H1011" s="240">
        <v>38.0</v>
      </c>
      <c r="I1011" s="240">
        <v>8.0</v>
      </c>
      <c r="J1011" s="240">
        <v>0.0</v>
      </c>
      <c r="K1011" s="240">
        <v>0.0</v>
      </c>
      <c r="L1011" s="240">
        <v>0.0</v>
      </c>
      <c r="M1011" s="240" t="s">
        <v>4672</v>
      </c>
      <c r="N1011" s="240">
        <v>30.0</v>
      </c>
    </row>
    <row r="1012">
      <c r="A1012" s="215">
        <v>1008.0</v>
      </c>
      <c r="B1012" s="237"/>
      <c r="C1012" s="238">
        <v>3243.0</v>
      </c>
      <c r="D1012" s="238" t="s">
        <v>4956</v>
      </c>
      <c r="E1012" s="238" t="s">
        <v>4945</v>
      </c>
      <c r="F1012" s="238" t="s">
        <v>4957</v>
      </c>
      <c r="G1012" s="239" t="s">
        <v>3333</v>
      </c>
      <c r="H1012" s="240">
        <v>22.0</v>
      </c>
      <c r="I1012" s="240">
        <v>5.0</v>
      </c>
      <c r="J1012" s="240">
        <v>0.0</v>
      </c>
      <c r="K1012" s="240">
        <v>0.0</v>
      </c>
      <c r="L1012" s="240">
        <v>0.0</v>
      </c>
      <c r="M1012" s="240" t="s">
        <v>3567</v>
      </c>
      <c r="N1012" s="240">
        <v>17.0</v>
      </c>
    </row>
    <row r="1013">
      <c r="A1013" s="215">
        <v>1009.0</v>
      </c>
      <c r="B1013" s="237"/>
      <c r="C1013" s="238">
        <v>3331.0</v>
      </c>
      <c r="D1013" s="238">
        <v>9069.0</v>
      </c>
      <c r="E1013" s="238" t="s">
        <v>4958</v>
      </c>
      <c r="F1013" s="238" t="s">
        <v>3451</v>
      </c>
      <c r="G1013" s="239" t="s">
        <v>3333</v>
      </c>
      <c r="H1013" s="240">
        <v>44.0</v>
      </c>
      <c r="I1013" s="240">
        <v>44.0</v>
      </c>
      <c r="J1013" s="240">
        <v>0.0</v>
      </c>
      <c r="K1013" s="240">
        <v>0.0</v>
      </c>
      <c r="L1013" s="240">
        <v>0.0</v>
      </c>
      <c r="M1013" s="240" t="s">
        <v>4959</v>
      </c>
      <c r="N1013" s="240">
        <v>0.0</v>
      </c>
    </row>
    <row r="1014">
      <c r="A1014" s="215">
        <v>1010.0</v>
      </c>
      <c r="B1014" s="237"/>
      <c r="C1014" s="238">
        <v>3331.0</v>
      </c>
      <c r="D1014" s="238">
        <v>9213.0</v>
      </c>
      <c r="E1014" s="238" t="s">
        <v>4958</v>
      </c>
      <c r="F1014" s="238" t="s">
        <v>4433</v>
      </c>
      <c r="G1014" s="239" t="s">
        <v>3333</v>
      </c>
      <c r="H1014" s="240">
        <v>25.0</v>
      </c>
      <c r="I1014" s="240">
        <v>25.0</v>
      </c>
      <c r="J1014" s="240">
        <v>0.0</v>
      </c>
      <c r="K1014" s="240">
        <v>0.0</v>
      </c>
      <c r="L1014" s="240">
        <v>0.0</v>
      </c>
      <c r="M1014" s="240" t="s">
        <v>4055</v>
      </c>
      <c r="N1014" s="240">
        <v>0.0</v>
      </c>
    </row>
    <row r="1015">
      <c r="A1015" s="215">
        <v>1011.0</v>
      </c>
      <c r="B1015" s="237"/>
      <c r="C1015" s="238">
        <v>3331.0</v>
      </c>
      <c r="D1015" s="238">
        <v>9645.0</v>
      </c>
      <c r="E1015" s="238" t="s">
        <v>4958</v>
      </c>
      <c r="F1015" s="238" t="s">
        <v>4936</v>
      </c>
      <c r="G1015" s="239" t="s">
        <v>3333</v>
      </c>
      <c r="H1015" s="240">
        <v>20.0</v>
      </c>
      <c r="I1015" s="240">
        <v>20.0</v>
      </c>
      <c r="J1015" s="240">
        <v>0.0</v>
      </c>
      <c r="K1015" s="240">
        <v>0.0</v>
      </c>
      <c r="L1015" s="240">
        <v>0.0</v>
      </c>
      <c r="M1015" s="240" t="s">
        <v>4362</v>
      </c>
      <c r="N1015" s="240">
        <v>0.0</v>
      </c>
    </row>
    <row r="1016">
      <c r="A1016" s="215">
        <v>1012.0</v>
      </c>
      <c r="B1016" s="237"/>
      <c r="C1016" s="238">
        <v>3331.0</v>
      </c>
      <c r="D1016" s="238">
        <v>9713.0</v>
      </c>
      <c r="E1016" s="238" t="s">
        <v>4958</v>
      </c>
      <c r="F1016" s="238" t="s">
        <v>4961</v>
      </c>
      <c r="G1016" s="239" t="s">
        <v>3333</v>
      </c>
      <c r="H1016" s="240">
        <v>28.0</v>
      </c>
      <c r="I1016" s="240">
        <v>28.0</v>
      </c>
      <c r="J1016" s="240">
        <v>0.0</v>
      </c>
      <c r="K1016" s="240">
        <v>0.0</v>
      </c>
      <c r="L1016" s="240">
        <v>0.0</v>
      </c>
      <c r="M1016" s="240" t="s">
        <v>4962</v>
      </c>
      <c r="N1016" s="240">
        <v>0.0</v>
      </c>
    </row>
    <row r="1017">
      <c r="A1017" s="215">
        <v>1013.0</v>
      </c>
      <c r="B1017" s="237"/>
      <c r="C1017" s="238">
        <v>3331.0</v>
      </c>
      <c r="D1017" s="238" t="s">
        <v>4963</v>
      </c>
      <c r="E1017" s="238" t="s">
        <v>4958</v>
      </c>
      <c r="F1017" s="238" t="s">
        <v>4964</v>
      </c>
      <c r="G1017" s="239" t="s">
        <v>3333</v>
      </c>
      <c r="H1017" s="240">
        <v>34.0</v>
      </c>
      <c r="I1017" s="240">
        <v>17.0</v>
      </c>
      <c r="J1017" s="240">
        <v>0.0</v>
      </c>
      <c r="K1017" s="240">
        <v>0.0</v>
      </c>
      <c r="L1017" s="240">
        <v>0.0</v>
      </c>
      <c r="M1017" s="240" t="s">
        <v>4126</v>
      </c>
      <c r="N1017" s="240">
        <v>17.0</v>
      </c>
    </row>
    <row r="1018">
      <c r="A1018" s="215">
        <v>1014.0</v>
      </c>
      <c r="B1018" s="237"/>
      <c r="C1018" s="238">
        <v>5402.0</v>
      </c>
      <c r="D1018" s="238">
        <v>8399.0</v>
      </c>
      <c r="E1018" s="238" t="s">
        <v>4965</v>
      </c>
      <c r="F1018" s="238" t="s">
        <v>4166</v>
      </c>
      <c r="G1018" s="239" t="s">
        <v>3333</v>
      </c>
      <c r="H1018" s="240">
        <v>25.0</v>
      </c>
      <c r="I1018" s="240">
        <v>25.0</v>
      </c>
      <c r="J1018" s="240">
        <v>0.0</v>
      </c>
      <c r="K1018" s="240">
        <v>0.0</v>
      </c>
      <c r="L1018" s="240">
        <v>0.0</v>
      </c>
      <c r="M1018" s="240" t="s">
        <v>4966</v>
      </c>
      <c r="N1018" s="240">
        <v>0.0</v>
      </c>
    </row>
    <row r="1019">
      <c r="A1019" s="215">
        <v>1015.0</v>
      </c>
      <c r="B1019" s="237"/>
      <c r="C1019" s="238">
        <v>5402.0</v>
      </c>
      <c r="D1019" s="238">
        <v>9007.0</v>
      </c>
      <c r="E1019" s="238" t="s">
        <v>4965</v>
      </c>
      <c r="F1019" s="238" t="s">
        <v>4635</v>
      </c>
      <c r="G1019" s="239" t="s">
        <v>3333</v>
      </c>
      <c r="H1019" s="240">
        <v>64.0</v>
      </c>
      <c r="I1019" s="240">
        <v>64.0</v>
      </c>
      <c r="J1019" s="240">
        <v>0.0</v>
      </c>
      <c r="K1019" s="240">
        <v>1.0</v>
      </c>
      <c r="L1019" s="240">
        <v>1.0</v>
      </c>
      <c r="M1019" s="240" t="s">
        <v>3845</v>
      </c>
      <c r="N1019" s="240">
        <v>0.0</v>
      </c>
    </row>
    <row r="1020">
      <c r="A1020" s="215">
        <v>1016.0</v>
      </c>
      <c r="B1020" s="237"/>
      <c r="C1020" s="238">
        <v>5402.0</v>
      </c>
      <c r="D1020" s="238">
        <v>9070.0</v>
      </c>
      <c r="E1020" s="238" t="s">
        <v>4965</v>
      </c>
      <c r="F1020" s="238" t="s">
        <v>4167</v>
      </c>
      <c r="G1020" s="239" t="s">
        <v>3333</v>
      </c>
      <c r="H1020" s="240">
        <v>57.0</v>
      </c>
      <c r="I1020" s="240">
        <v>57.0</v>
      </c>
      <c r="J1020" s="240">
        <v>0.0</v>
      </c>
      <c r="K1020" s="240">
        <v>0.0</v>
      </c>
      <c r="L1020" s="240">
        <v>0.0</v>
      </c>
      <c r="M1020" s="240" t="s">
        <v>4756</v>
      </c>
      <c r="N1020" s="240">
        <v>0.0</v>
      </c>
    </row>
    <row r="1021">
      <c r="A1021" s="215">
        <v>1017.0</v>
      </c>
      <c r="B1021" s="237"/>
      <c r="C1021" s="238">
        <v>6800.0</v>
      </c>
      <c r="D1021" s="238">
        <v>8014.0</v>
      </c>
      <c r="E1021" s="238" t="s">
        <v>4967</v>
      </c>
      <c r="F1021" s="238" t="s">
        <v>4248</v>
      </c>
      <c r="G1021" s="239" t="s">
        <v>3333</v>
      </c>
      <c r="H1021" s="240">
        <v>14.0</v>
      </c>
      <c r="I1021" s="240">
        <v>14.0</v>
      </c>
      <c r="J1021" s="240">
        <v>0.0</v>
      </c>
      <c r="K1021" s="240">
        <v>0.0</v>
      </c>
      <c r="L1021" s="240">
        <v>0.0</v>
      </c>
      <c r="M1021" s="240" t="s">
        <v>4187</v>
      </c>
      <c r="N1021" s="240">
        <v>0.0</v>
      </c>
    </row>
    <row r="1022">
      <c r="A1022" s="215">
        <v>1018.0</v>
      </c>
      <c r="B1022" s="237"/>
      <c r="C1022" s="238">
        <v>6800.0</v>
      </c>
      <c r="D1022" s="238">
        <v>8029.0</v>
      </c>
      <c r="E1022" s="238" t="s">
        <v>4967</v>
      </c>
      <c r="F1022" s="238" t="s">
        <v>4520</v>
      </c>
      <c r="G1022" s="239" t="s">
        <v>3333</v>
      </c>
      <c r="H1022" s="240">
        <v>72.0</v>
      </c>
      <c r="I1022" s="240">
        <v>72.0</v>
      </c>
      <c r="J1022" s="240">
        <v>0.0</v>
      </c>
      <c r="K1022" s="240">
        <v>0.0</v>
      </c>
      <c r="L1022" s="240">
        <v>0.0</v>
      </c>
      <c r="M1022" s="240" t="s">
        <v>4512</v>
      </c>
      <c r="N1022" s="240">
        <v>0.0</v>
      </c>
    </row>
    <row r="1023">
      <c r="A1023" s="215">
        <v>1019.0</v>
      </c>
      <c r="B1023" s="237"/>
      <c r="C1023" s="238">
        <v>6800.0</v>
      </c>
      <c r="D1023" s="238">
        <v>8109.0</v>
      </c>
      <c r="E1023" s="238" t="s">
        <v>4967</v>
      </c>
      <c r="F1023" s="238" t="s">
        <v>3844</v>
      </c>
      <c r="G1023" s="239" t="s">
        <v>3333</v>
      </c>
      <c r="H1023" s="240">
        <v>34.0</v>
      </c>
      <c r="I1023" s="240">
        <v>34.0</v>
      </c>
      <c r="J1023" s="240">
        <v>0.0</v>
      </c>
      <c r="K1023" s="240">
        <v>0.0</v>
      </c>
      <c r="L1023" s="240">
        <v>0.0</v>
      </c>
      <c r="M1023" s="240" t="s">
        <v>4366</v>
      </c>
      <c r="N1023" s="240">
        <v>0.0</v>
      </c>
    </row>
    <row r="1024">
      <c r="A1024" s="215">
        <v>1020.0</v>
      </c>
      <c r="B1024" s="237"/>
      <c r="C1024" s="238">
        <v>6800.0</v>
      </c>
      <c r="D1024" s="238">
        <v>8366.0</v>
      </c>
      <c r="E1024" s="238" t="s">
        <v>4967</v>
      </c>
      <c r="F1024" s="238" t="s">
        <v>4969</v>
      </c>
      <c r="G1024" s="239" t="s">
        <v>3333</v>
      </c>
      <c r="H1024" s="240">
        <v>35.0</v>
      </c>
      <c r="I1024" s="240">
        <v>35.0</v>
      </c>
      <c r="J1024" s="240">
        <v>0.0</v>
      </c>
      <c r="K1024" s="240">
        <v>0.0</v>
      </c>
      <c r="L1024" s="240">
        <v>0.0</v>
      </c>
      <c r="M1024" s="240" t="s">
        <v>4118</v>
      </c>
      <c r="N1024" s="240">
        <v>0.0</v>
      </c>
    </row>
    <row r="1025">
      <c r="A1025" s="215">
        <v>1021.0</v>
      </c>
      <c r="B1025" s="237"/>
      <c r="C1025" s="238">
        <v>6800.0</v>
      </c>
      <c r="D1025" s="238">
        <v>9019.0</v>
      </c>
      <c r="E1025" s="238" t="s">
        <v>4967</v>
      </c>
      <c r="F1025" s="238" t="s">
        <v>3934</v>
      </c>
      <c r="G1025" s="239" t="s">
        <v>3333</v>
      </c>
      <c r="H1025" s="240">
        <v>41.0</v>
      </c>
      <c r="I1025" s="240">
        <v>41.0</v>
      </c>
      <c r="J1025" s="240">
        <v>0.0</v>
      </c>
      <c r="K1025" s="240">
        <v>0.0</v>
      </c>
      <c r="L1025" s="240">
        <v>0.0</v>
      </c>
      <c r="M1025" s="240" t="s">
        <v>4970</v>
      </c>
      <c r="N1025" s="240">
        <v>0.0</v>
      </c>
    </row>
    <row r="1026">
      <c r="A1026" s="215">
        <v>1022.0</v>
      </c>
      <c r="B1026" s="237"/>
      <c r="C1026" s="238">
        <v>6800.0</v>
      </c>
      <c r="D1026" s="238">
        <v>9081.0</v>
      </c>
      <c r="E1026" s="238" t="s">
        <v>4967</v>
      </c>
      <c r="F1026" s="238" t="s">
        <v>3379</v>
      </c>
      <c r="G1026" s="239" t="s">
        <v>3333</v>
      </c>
      <c r="H1026" s="240">
        <v>72.0</v>
      </c>
      <c r="I1026" s="240">
        <v>72.0</v>
      </c>
      <c r="J1026" s="240">
        <v>0.0</v>
      </c>
      <c r="K1026" s="240">
        <v>0.0</v>
      </c>
      <c r="L1026" s="240">
        <v>0.0</v>
      </c>
      <c r="M1026" s="240" t="s">
        <v>3838</v>
      </c>
      <c r="N1026" s="240">
        <v>0.0</v>
      </c>
    </row>
    <row r="1027">
      <c r="A1027" s="215">
        <v>1023.0</v>
      </c>
      <c r="B1027" s="237"/>
      <c r="C1027" s="238">
        <v>6800.0</v>
      </c>
      <c r="D1027" s="238">
        <v>9098.0</v>
      </c>
      <c r="E1027" s="238" t="s">
        <v>4967</v>
      </c>
      <c r="F1027" s="238" t="s">
        <v>3947</v>
      </c>
      <c r="G1027" s="239" t="s">
        <v>3333</v>
      </c>
      <c r="H1027" s="240">
        <v>60.0</v>
      </c>
      <c r="I1027" s="240">
        <v>60.0</v>
      </c>
      <c r="J1027" s="240">
        <v>0.0</v>
      </c>
      <c r="K1027" s="240">
        <v>0.0</v>
      </c>
      <c r="L1027" s="240">
        <v>0.0</v>
      </c>
      <c r="M1027" s="240" t="s">
        <v>3914</v>
      </c>
      <c r="N1027" s="240">
        <v>0.0</v>
      </c>
    </row>
    <row r="1028">
      <c r="A1028" s="215">
        <v>1024.0</v>
      </c>
      <c r="B1028" s="237"/>
      <c r="C1028" s="238">
        <v>6800.0</v>
      </c>
      <c r="D1028" s="238">
        <v>9119.0</v>
      </c>
      <c r="E1028" s="238" t="s">
        <v>4967</v>
      </c>
      <c r="F1028" s="238" t="s">
        <v>3417</v>
      </c>
      <c r="G1028" s="239" t="s">
        <v>3333</v>
      </c>
      <c r="H1028" s="240">
        <v>90.0</v>
      </c>
      <c r="I1028" s="240">
        <v>90.0</v>
      </c>
      <c r="J1028" s="240">
        <v>0.0</v>
      </c>
      <c r="K1028" s="240">
        <v>0.0</v>
      </c>
      <c r="L1028" s="240">
        <v>0.0</v>
      </c>
      <c r="M1028" s="240" t="s">
        <v>4971</v>
      </c>
      <c r="N1028" s="240">
        <v>0.0</v>
      </c>
    </row>
    <row r="1029">
      <c r="A1029" s="215">
        <v>1025.0</v>
      </c>
      <c r="B1029" s="237"/>
      <c r="C1029" s="238">
        <v>6800.0</v>
      </c>
      <c r="D1029" s="238">
        <v>9147.0</v>
      </c>
      <c r="E1029" s="238" t="s">
        <v>4967</v>
      </c>
      <c r="F1029" s="238" t="s">
        <v>3381</v>
      </c>
      <c r="G1029" s="239" t="s">
        <v>3333</v>
      </c>
      <c r="H1029" s="240">
        <v>176.0</v>
      </c>
      <c r="I1029" s="240">
        <v>176.0</v>
      </c>
      <c r="J1029" s="240">
        <v>0.0</v>
      </c>
      <c r="K1029" s="240">
        <v>1.0</v>
      </c>
      <c r="L1029" s="240">
        <v>1.0</v>
      </c>
      <c r="M1029" s="240" t="s">
        <v>3945</v>
      </c>
      <c r="N1029" s="240">
        <v>0.0</v>
      </c>
    </row>
    <row r="1030">
      <c r="A1030" s="215">
        <v>1026.0</v>
      </c>
      <c r="B1030" s="237"/>
      <c r="C1030" s="238">
        <v>6800.0</v>
      </c>
      <c r="D1030" s="238">
        <v>9156.0</v>
      </c>
      <c r="E1030" s="238" t="s">
        <v>4967</v>
      </c>
      <c r="F1030" s="238" t="s">
        <v>4813</v>
      </c>
      <c r="G1030" s="239" t="s">
        <v>3333</v>
      </c>
      <c r="H1030" s="240">
        <v>40.0</v>
      </c>
      <c r="I1030" s="240">
        <v>40.0</v>
      </c>
      <c r="J1030" s="240">
        <v>0.0</v>
      </c>
      <c r="K1030" s="240">
        <v>0.0</v>
      </c>
      <c r="L1030" s="240">
        <v>0.0</v>
      </c>
      <c r="M1030" s="240" t="s">
        <v>4970</v>
      </c>
      <c r="N1030" s="240">
        <v>0.0</v>
      </c>
    </row>
    <row r="1031">
      <c r="A1031" s="215">
        <v>1027.0</v>
      </c>
      <c r="B1031" s="237"/>
      <c r="C1031" s="238">
        <v>6800.0</v>
      </c>
      <c r="D1031" s="238">
        <v>9157.0</v>
      </c>
      <c r="E1031" s="238" t="s">
        <v>4967</v>
      </c>
      <c r="F1031" s="238" t="s">
        <v>4262</v>
      </c>
      <c r="G1031" s="239" t="s">
        <v>3333</v>
      </c>
      <c r="H1031" s="240">
        <v>41.0</v>
      </c>
      <c r="I1031" s="240">
        <v>41.0</v>
      </c>
      <c r="J1031" s="240">
        <v>0.0</v>
      </c>
      <c r="K1031" s="240">
        <v>0.0</v>
      </c>
      <c r="L1031" s="240">
        <v>0.0</v>
      </c>
      <c r="M1031" s="240" t="s">
        <v>4972</v>
      </c>
      <c r="N1031" s="240">
        <v>0.0</v>
      </c>
    </row>
    <row r="1032">
      <c r="A1032" s="215">
        <v>1028.0</v>
      </c>
      <c r="B1032" s="237"/>
      <c r="C1032" s="238">
        <v>6800.0</v>
      </c>
      <c r="D1032" s="238">
        <v>9189.0</v>
      </c>
      <c r="E1032" s="238" t="s">
        <v>4967</v>
      </c>
      <c r="F1032" s="238" t="s">
        <v>4973</v>
      </c>
      <c r="G1032" s="239" t="s">
        <v>3333</v>
      </c>
      <c r="H1032" s="240">
        <v>60.0</v>
      </c>
      <c r="I1032" s="240">
        <v>60.0</v>
      </c>
      <c r="J1032" s="240">
        <v>0.0</v>
      </c>
      <c r="K1032" s="240">
        <v>0.0</v>
      </c>
      <c r="L1032" s="240">
        <v>0.0</v>
      </c>
      <c r="M1032" s="240" t="s">
        <v>4762</v>
      </c>
      <c r="N1032" s="240">
        <v>0.0</v>
      </c>
    </row>
    <row r="1033">
      <c r="A1033" s="215">
        <v>1029.0</v>
      </c>
      <c r="B1033" s="237"/>
      <c r="C1033" s="238">
        <v>6800.0</v>
      </c>
      <c r="D1033" s="238">
        <v>9219.0</v>
      </c>
      <c r="E1033" s="238" t="s">
        <v>4967</v>
      </c>
      <c r="F1033" s="238" t="s">
        <v>3342</v>
      </c>
      <c r="G1033" s="239" t="s">
        <v>3333</v>
      </c>
      <c r="H1033" s="240">
        <v>110.0</v>
      </c>
      <c r="I1033" s="240">
        <v>110.0</v>
      </c>
      <c r="J1033" s="240">
        <v>0.0</v>
      </c>
      <c r="K1033" s="240">
        <v>1.0</v>
      </c>
      <c r="L1033" s="240">
        <v>1.0</v>
      </c>
      <c r="M1033" s="240" t="s">
        <v>4974</v>
      </c>
      <c r="N1033" s="240">
        <v>0.0</v>
      </c>
    </row>
    <row r="1034">
      <c r="A1034" s="215">
        <v>1030.0</v>
      </c>
      <c r="B1034" s="237"/>
      <c r="C1034" s="238">
        <v>6800.0</v>
      </c>
      <c r="D1034" s="238">
        <v>9238.0</v>
      </c>
      <c r="E1034" s="238" t="s">
        <v>4967</v>
      </c>
      <c r="F1034" s="238" t="s">
        <v>3344</v>
      </c>
      <c r="G1034" s="239" t="s">
        <v>3333</v>
      </c>
      <c r="H1034" s="240">
        <v>25.0</v>
      </c>
      <c r="I1034" s="240">
        <v>25.0</v>
      </c>
      <c r="J1034" s="240">
        <v>0.0</v>
      </c>
      <c r="K1034" s="240">
        <v>0.0</v>
      </c>
      <c r="L1034" s="240">
        <v>0.0</v>
      </c>
      <c r="M1034" s="240" t="s">
        <v>3454</v>
      </c>
      <c r="N1034" s="240">
        <v>0.0</v>
      </c>
    </row>
    <row r="1035">
      <c r="A1035" s="215">
        <v>1031.0</v>
      </c>
      <c r="B1035" s="237"/>
      <c r="C1035" s="238">
        <v>6800.0</v>
      </c>
      <c r="D1035" s="238">
        <v>9240.0</v>
      </c>
      <c r="E1035" s="238" t="s">
        <v>4967</v>
      </c>
      <c r="F1035" s="238" t="s">
        <v>3346</v>
      </c>
      <c r="G1035" s="239" t="s">
        <v>3333</v>
      </c>
      <c r="H1035" s="240">
        <v>63.0</v>
      </c>
      <c r="I1035" s="240">
        <v>63.0</v>
      </c>
      <c r="J1035" s="240">
        <v>0.0</v>
      </c>
      <c r="K1035" s="240">
        <v>1.0</v>
      </c>
      <c r="L1035" s="240">
        <v>1.0</v>
      </c>
      <c r="M1035" s="240" t="s">
        <v>3677</v>
      </c>
      <c r="N1035" s="240">
        <v>0.0</v>
      </c>
    </row>
    <row r="1036">
      <c r="A1036" s="215">
        <v>1032.0</v>
      </c>
      <c r="B1036" s="237"/>
      <c r="C1036" s="238">
        <v>6800.0</v>
      </c>
      <c r="D1036" s="238">
        <v>9257.0</v>
      </c>
      <c r="E1036" s="238" t="s">
        <v>4967</v>
      </c>
      <c r="F1036" s="238" t="s">
        <v>3602</v>
      </c>
      <c r="G1036" s="239" t="s">
        <v>3425</v>
      </c>
      <c r="H1036" s="240">
        <v>51.0</v>
      </c>
      <c r="I1036" s="240">
        <v>51.0</v>
      </c>
      <c r="J1036" s="240">
        <v>0.0</v>
      </c>
      <c r="K1036" s="240">
        <v>0.0</v>
      </c>
      <c r="L1036" s="240">
        <v>0.0</v>
      </c>
      <c r="M1036" s="240" t="s">
        <v>4110</v>
      </c>
      <c r="N1036" s="240">
        <v>0.0</v>
      </c>
    </row>
    <row r="1037">
      <c r="A1037" s="215">
        <v>1033.0</v>
      </c>
      <c r="B1037" s="237"/>
      <c r="C1037" s="238">
        <v>6800.0</v>
      </c>
      <c r="D1037" s="238">
        <v>9448.0</v>
      </c>
      <c r="E1037" s="238" t="s">
        <v>4967</v>
      </c>
      <c r="F1037" s="238" t="s">
        <v>3674</v>
      </c>
      <c r="G1037" s="239" t="s">
        <v>3333</v>
      </c>
      <c r="H1037" s="240">
        <v>27.0</v>
      </c>
      <c r="I1037" s="240">
        <v>27.0</v>
      </c>
      <c r="J1037" s="240">
        <v>0.0</v>
      </c>
      <c r="K1037" s="240">
        <v>1.0</v>
      </c>
      <c r="L1037" s="240">
        <v>1.0</v>
      </c>
      <c r="M1037" s="240" t="s">
        <v>3668</v>
      </c>
      <c r="N1037" s="240">
        <v>0.0</v>
      </c>
    </row>
    <row r="1038">
      <c r="A1038" s="215">
        <v>1034.0</v>
      </c>
      <c r="B1038" s="237"/>
      <c r="C1038" s="238">
        <v>6800.0</v>
      </c>
      <c r="D1038" s="238">
        <v>9885.0</v>
      </c>
      <c r="E1038" s="238" t="s">
        <v>4967</v>
      </c>
      <c r="F1038" s="238" t="s">
        <v>4538</v>
      </c>
      <c r="G1038" s="239" t="s">
        <v>3333</v>
      </c>
      <c r="H1038" s="240">
        <v>35.0</v>
      </c>
      <c r="I1038" s="240">
        <v>35.0</v>
      </c>
      <c r="J1038" s="240">
        <v>0.0</v>
      </c>
      <c r="K1038" s="240">
        <v>0.0</v>
      </c>
      <c r="L1038" s="240">
        <v>0.0</v>
      </c>
      <c r="M1038" s="240" t="s">
        <v>4982</v>
      </c>
      <c r="N1038" s="240">
        <v>0.0</v>
      </c>
    </row>
    <row r="1039">
      <c r="A1039" s="215">
        <v>1035.0</v>
      </c>
      <c r="B1039" s="237"/>
      <c r="C1039" s="238">
        <v>6800.0</v>
      </c>
      <c r="D1039" s="238">
        <v>9927.0</v>
      </c>
      <c r="E1039" s="238" t="s">
        <v>4967</v>
      </c>
      <c r="F1039" s="238" t="s">
        <v>4984</v>
      </c>
      <c r="G1039" s="239" t="s">
        <v>3333</v>
      </c>
      <c r="H1039" s="240">
        <v>33.0</v>
      </c>
      <c r="I1039" s="240">
        <v>33.0</v>
      </c>
      <c r="J1039" s="240">
        <v>0.0</v>
      </c>
      <c r="K1039" s="240">
        <v>0.0</v>
      </c>
      <c r="L1039" s="240">
        <v>0.0</v>
      </c>
      <c r="M1039" s="240" t="s">
        <v>3616</v>
      </c>
      <c r="N1039" s="240">
        <v>0.0</v>
      </c>
    </row>
    <row r="1040">
      <c r="A1040" s="215">
        <v>1036.0</v>
      </c>
      <c r="B1040" s="237"/>
      <c r="C1040" s="238">
        <v>6800.0</v>
      </c>
      <c r="D1040" s="238" t="s">
        <v>4781</v>
      </c>
      <c r="E1040" s="238" t="s">
        <v>4967</v>
      </c>
      <c r="F1040" s="238" t="s">
        <v>4782</v>
      </c>
      <c r="G1040" s="239" t="s">
        <v>3333</v>
      </c>
      <c r="H1040" s="240">
        <v>40.0</v>
      </c>
      <c r="I1040" s="240">
        <v>40.0</v>
      </c>
      <c r="J1040" s="240">
        <v>1.0</v>
      </c>
      <c r="K1040" s="240">
        <v>0.0</v>
      </c>
      <c r="L1040" s="240">
        <v>0.0</v>
      </c>
      <c r="M1040" s="240" t="s">
        <v>3737</v>
      </c>
      <c r="N1040" s="240">
        <v>0.0</v>
      </c>
    </row>
    <row r="1041">
      <c r="A1041" s="215">
        <v>1037.0</v>
      </c>
      <c r="B1041" s="237"/>
      <c r="C1041" s="238">
        <v>6800.0</v>
      </c>
      <c r="D1041" s="238" t="s">
        <v>3916</v>
      </c>
      <c r="E1041" s="238" t="s">
        <v>4967</v>
      </c>
      <c r="F1041" s="238" t="s">
        <v>3917</v>
      </c>
      <c r="G1041" s="239" t="s">
        <v>3333</v>
      </c>
      <c r="H1041" s="240">
        <v>60.0</v>
      </c>
      <c r="I1041" s="240">
        <v>60.0</v>
      </c>
      <c r="J1041" s="240">
        <v>0.0</v>
      </c>
      <c r="K1041" s="240">
        <v>0.0</v>
      </c>
      <c r="L1041" s="240">
        <v>0.0</v>
      </c>
      <c r="M1041" s="240" t="s">
        <v>4311</v>
      </c>
      <c r="N1041" s="240">
        <v>0.0</v>
      </c>
    </row>
    <row r="1042">
      <c r="A1042" s="215">
        <v>1038.0</v>
      </c>
      <c r="B1042" s="237"/>
      <c r="C1042" s="238">
        <v>6800.0</v>
      </c>
      <c r="D1042" s="238" t="s">
        <v>4987</v>
      </c>
      <c r="E1042" s="238" t="s">
        <v>4967</v>
      </c>
      <c r="F1042" s="238" t="s">
        <v>4989</v>
      </c>
      <c r="G1042" s="239" t="s">
        <v>3333</v>
      </c>
      <c r="H1042" s="240">
        <v>30.0</v>
      </c>
      <c r="I1042" s="240">
        <v>30.0</v>
      </c>
      <c r="J1042" s="240">
        <v>0.0</v>
      </c>
      <c r="K1042" s="240">
        <v>0.0</v>
      </c>
      <c r="L1042" s="240">
        <v>0.0</v>
      </c>
      <c r="M1042" s="240" t="s">
        <v>4990</v>
      </c>
      <c r="N1042" s="240">
        <v>0.0</v>
      </c>
    </row>
    <row r="1043">
      <c r="A1043" s="215">
        <v>1039.0</v>
      </c>
      <c r="B1043" s="237"/>
      <c r="C1043" s="238">
        <v>6810.0</v>
      </c>
      <c r="D1043" s="238" t="s">
        <v>4991</v>
      </c>
      <c r="E1043" s="238" t="s">
        <v>4992</v>
      </c>
      <c r="F1043" s="238" t="s">
        <v>4993</v>
      </c>
      <c r="G1043" s="239" t="s">
        <v>3333</v>
      </c>
      <c r="H1043" s="240">
        <v>35.0</v>
      </c>
      <c r="I1043" s="240">
        <v>8.0</v>
      </c>
      <c r="J1043" s="240">
        <v>0.0</v>
      </c>
      <c r="K1043" s="240">
        <v>0.0</v>
      </c>
      <c r="L1043" s="240">
        <v>0.0</v>
      </c>
      <c r="M1043" s="240" t="s">
        <v>3623</v>
      </c>
      <c r="N1043" s="240">
        <v>27.0</v>
      </c>
    </row>
    <row r="1044">
      <c r="A1044" s="215">
        <v>1040.0</v>
      </c>
      <c r="B1044" s="237"/>
      <c r="C1044" s="238">
        <v>6810.0</v>
      </c>
      <c r="D1044" s="238" t="s">
        <v>4994</v>
      </c>
      <c r="E1044" s="238" t="s">
        <v>4992</v>
      </c>
      <c r="F1044" s="238" t="s">
        <v>4995</v>
      </c>
      <c r="G1044" s="239" t="s">
        <v>3333</v>
      </c>
      <c r="H1044" s="240">
        <v>34.0</v>
      </c>
      <c r="I1044" s="240">
        <v>34.0</v>
      </c>
      <c r="J1044" s="240">
        <v>0.0</v>
      </c>
      <c r="K1044" s="240">
        <v>0.0</v>
      </c>
      <c r="L1044" s="240">
        <v>0.0</v>
      </c>
      <c r="M1044" s="240" t="s">
        <v>3824</v>
      </c>
      <c r="N1044" s="240">
        <v>0.0</v>
      </c>
    </row>
    <row r="1045">
      <c r="A1045" s="215">
        <v>1041.0</v>
      </c>
      <c r="B1045" s="237"/>
      <c r="C1045" s="238">
        <v>6810.0</v>
      </c>
      <c r="D1045" s="238" t="s">
        <v>4996</v>
      </c>
      <c r="E1045" s="238" t="s">
        <v>4992</v>
      </c>
      <c r="F1045" s="238" t="s">
        <v>4997</v>
      </c>
      <c r="G1045" s="239" t="s">
        <v>3333</v>
      </c>
      <c r="H1045" s="240">
        <v>35.0</v>
      </c>
      <c r="I1045" s="240">
        <v>35.0</v>
      </c>
      <c r="J1045" s="240">
        <v>0.0</v>
      </c>
      <c r="K1045" s="240">
        <v>0.0</v>
      </c>
      <c r="L1045" s="240">
        <v>0.0</v>
      </c>
      <c r="M1045" s="240" t="s">
        <v>3658</v>
      </c>
      <c r="N1045" s="240">
        <v>0.0</v>
      </c>
    </row>
    <row r="1046">
      <c r="A1046" s="215">
        <v>1042.0</v>
      </c>
      <c r="B1046" s="237"/>
      <c r="C1046" s="238">
        <v>6810.0</v>
      </c>
      <c r="D1046" s="238" t="s">
        <v>4998</v>
      </c>
      <c r="E1046" s="238" t="s">
        <v>4992</v>
      </c>
      <c r="F1046" s="238" t="s">
        <v>4999</v>
      </c>
      <c r="G1046" s="239" t="s">
        <v>3333</v>
      </c>
      <c r="H1046" s="240">
        <v>35.0</v>
      </c>
      <c r="I1046" s="240">
        <v>35.0</v>
      </c>
      <c r="J1046" s="240">
        <v>0.0</v>
      </c>
      <c r="K1046" s="240">
        <v>0.0</v>
      </c>
      <c r="L1046" s="240">
        <v>0.0</v>
      </c>
      <c r="M1046" s="240" t="s">
        <v>4395</v>
      </c>
      <c r="N1046" s="240">
        <v>0.0</v>
      </c>
    </row>
    <row r="1047">
      <c r="A1047" s="215">
        <v>1043.0</v>
      </c>
      <c r="B1047" s="237"/>
      <c r="C1047" s="238">
        <v>6810.0</v>
      </c>
      <c r="D1047" s="238" t="s">
        <v>5000</v>
      </c>
      <c r="E1047" s="238" t="s">
        <v>4992</v>
      </c>
      <c r="F1047" s="238" t="s">
        <v>5001</v>
      </c>
      <c r="G1047" s="239" t="s">
        <v>3333</v>
      </c>
      <c r="H1047" s="240">
        <v>33.0</v>
      </c>
      <c r="I1047" s="240">
        <v>33.0</v>
      </c>
      <c r="J1047" s="240">
        <v>0.0</v>
      </c>
      <c r="K1047" s="240">
        <v>0.0</v>
      </c>
      <c r="L1047" s="240">
        <v>0.0</v>
      </c>
      <c r="M1047" s="240" t="s">
        <v>3699</v>
      </c>
      <c r="N1047" s="240">
        <v>0.0</v>
      </c>
    </row>
    <row r="1048">
      <c r="A1048" s="215">
        <v>1044.0</v>
      </c>
      <c r="B1048" s="237"/>
      <c r="C1048" s="238">
        <v>6810.0</v>
      </c>
      <c r="D1048" s="238" t="s">
        <v>5002</v>
      </c>
      <c r="E1048" s="238" t="s">
        <v>4992</v>
      </c>
      <c r="F1048" s="238" t="s">
        <v>5003</v>
      </c>
      <c r="G1048" s="239" t="s">
        <v>3333</v>
      </c>
      <c r="H1048" s="240">
        <v>35.0</v>
      </c>
      <c r="I1048" s="240">
        <v>35.0</v>
      </c>
      <c r="J1048" s="240">
        <v>0.0</v>
      </c>
      <c r="K1048" s="240">
        <v>1.0</v>
      </c>
      <c r="L1048" s="240">
        <v>1.0</v>
      </c>
      <c r="M1048" s="240" t="s">
        <v>4215</v>
      </c>
      <c r="N1048" s="240">
        <v>0.0</v>
      </c>
    </row>
    <row r="1049">
      <c r="A1049" s="215">
        <v>1045.0</v>
      </c>
      <c r="B1049" s="237"/>
      <c r="C1049" s="238">
        <v>6810.0</v>
      </c>
      <c r="D1049" s="238" t="s">
        <v>5004</v>
      </c>
      <c r="E1049" s="238" t="s">
        <v>4992</v>
      </c>
      <c r="F1049" s="238" t="s">
        <v>5006</v>
      </c>
      <c r="G1049" s="239" t="s">
        <v>3333</v>
      </c>
      <c r="H1049" s="240">
        <v>35.0</v>
      </c>
      <c r="I1049" s="240">
        <v>35.0</v>
      </c>
      <c r="J1049" s="240">
        <v>0.0</v>
      </c>
      <c r="K1049" s="240">
        <v>0.0</v>
      </c>
      <c r="L1049" s="240">
        <v>0.0</v>
      </c>
      <c r="M1049" s="240" t="s">
        <v>3702</v>
      </c>
      <c r="N1049" s="240">
        <v>0.0</v>
      </c>
    </row>
    <row r="1050">
      <c r="A1050" s="215">
        <v>1046.0</v>
      </c>
      <c r="B1050" s="237"/>
      <c r="C1050" s="238">
        <v>6810.0</v>
      </c>
      <c r="D1050" s="238" t="s">
        <v>5007</v>
      </c>
      <c r="E1050" s="238" t="s">
        <v>4992</v>
      </c>
      <c r="F1050" s="238" t="s">
        <v>5008</v>
      </c>
      <c r="G1050" s="239" t="s">
        <v>3333</v>
      </c>
      <c r="H1050" s="240">
        <v>32.0</v>
      </c>
      <c r="I1050" s="240">
        <v>29.0</v>
      </c>
      <c r="J1050" s="240">
        <v>0.0</v>
      </c>
      <c r="K1050" s="240">
        <v>0.0</v>
      </c>
      <c r="L1050" s="240">
        <v>0.0</v>
      </c>
      <c r="M1050" s="240" t="s">
        <v>4127</v>
      </c>
      <c r="N1050" s="240">
        <v>3.0</v>
      </c>
    </row>
    <row r="1051">
      <c r="A1051" s="215">
        <v>1047.0</v>
      </c>
      <c r="B1051" s="237"/>
      <c r="C1051" s="238">
        <v>6810.0</v>
      </c>
      <c r="D1051" s="238" t="s">
        <v>5010</v>
      </c>
      <c r="E1051" s="238" t="s">
        <v>4992</v>
      </c>
      <c r="F1051" s="238" t="s">
        <v>5011</v>
      </c>
      <c r="G1051" s="239" t="s">
        <v>3333</v>
      </c>
      <c r="H1051" s="240">
        <v>34.0</v>
      </c>
      <c r="I1051" s="240">
        <v>34.0</v>
      </c>
      <c r="J1051" s="240">
        <v>0.0</v>
      </c>
      <c r="K1051" s="240">
        <v>0.0</v>
      </c>
      <c r="L1051" s="240">
        <v>0.0</v>
      </c>
      <c r="M1051" s="240" t="s">
        <v>4360</v>
      </c>
      <c r="N1051" s="240">
        <v>0.0</v>
      </c>
    </row>
    <row r="1052">
      <c r="A1052" s="215">
        <v>1048.0</v>
      </c>
      <c r="B1052" s="237"/>
      <c r="C1052" s="238">
        <v>6810.0</v>
      </c>
      <c r="D1052" s="238" t="s">
        <v>5012</v>
      </c>
      <c r="E1052" s="238" t="s">
        <v>4992</v>
      </c>
      <c r="F1052" s="238" t="s">
        <v>5013</v>
      </c>
      <c r="G1052" s="239" t="s">
        <v>3333</v>
      </c>
      <c r="H1052" s="240">
        <v>35.0</v>
      </c>
      <c r="I1052" s="240">
        <v>35.0</v>
      </c>
      <c r="J1052" s="240">
        <v>0.0</v>
      </c>
      <c r="K1052" s="240">
        <v>0.0</v>
      </c>
      <c r="L1052" s="240">
        <v>0.0</v>
      </c>
      <c r="M1052" s="240" t="s">
        <v>3589</v>
      </c>
      <c r="N1052" s="240">
        <v>0.0</v>
      </c>
    </row>
    <row r="1053">
      <c r="A1053" s="215">
        <v>1049.0</v>
      </c>
      <c r="B1053" s="237"/>
      <c r="C1053" s="238">
        <v>7002.0</v>
      </c>
      <c r="D1053" s="238">
        <v>9500.0</v>
      </c>
      <c r="E1053" s="238" t="s">
        <v>5014</v>
      </c>
      <c r="F1053" s="238" t="s">
        <v>4158</v>
      </c>
      <c r="G1053" s="239" t="s">
        <v>3333</v>
      </c>
      <c r="H1053" s="240">
        <v>278.0</v>
      </c>
      <c r="I1053" s="240">
        <v>278.0</v>
      </c>
      <c r="J1053" s="240">
        <v>0.0</v>
      </c>
      <c r="K1053" s="240">
        <v>0.0</v>
      </c>
      <c r="L1053" s="240">
        <v>0.0</v>
      </c>
      <c r="M1053" s="240" t="s">
        <v>4052</v>
      </c>
      <c r="N1053" s="240">
        <v>0.0</v>
      </c>
    </row>
    <row r="1054">
      <c r="A1054" s="215">
        <v>1050.0</v>
      </c>
      <c r="B1054" s="237"/>
      <c r="C1054" s="238">
        <v>7005.0</v>
      </c>
      <c r="D1054" s="238">
        <v>8138.0</v>
      </c>
      <c r="E1054" s="238" t="s">
        <v>5015</v>
      </c>
      <c r="F1054" s="238" t="s">
        <v>5016</v>
      </c>
      <c r="G1054" s="239" t="s">
        <v>3333</v>
      </c>
      <c r="H1054" s="240">
        <v>28.0</v>
      </c>
      <c r="I1054" s="240">
        <v>15.0</v>
      </c>
      <c r="J1054" s="240">
        <v>0.0</v>
      </c>
      <c r="K1054" s="240">
        <v>1.0</v>
      </c>
      <c r="L1054" s="240">
        <v>0.0</v>
      </c>
      <c r="M1054" s="240" t="s">
        <v>4019</v>
      </c>
      <c r="N1054" s="240">
        <v>12.0</v>
      </c>
    </row>
    <row r="1055">
      <c r="A1055" s="215">
        <v>1051.0</v>
      </c>
      <c r="B1055" s="237"/>
      <c r="C1055" s="238">
        <v>7005.0</v>
      </c>
      <c r="D1055" s="238">
        <v>9500.0</v>
      </c>
      <c r="E1055" s="238" t="s">
        <v>5015</v>
      </c>
      <c r="F1055" s="238" t="s">
        <v>4158</v>
      </c>
      <c r="G1055" s="239" t="s">
        <v>3333</v>
      </c>
      <c r="H1055" s="240">
        <v>37.0</v>
      </c>
      <c r="I1055" s="240">
        <v>37.0</v>
      </c>
      <c r="J1055" s="240">
        <v>0.0</v>
      </c>
      <c r="K1055" s="240">
        <v>2.0</v>
      </c>
      <c r="L1055" s="240">
        <v>2.0</v>
      </c>
      <c r="M1055" s="240" t="s">
        <v>3707</v>
      </c>
      <c r="N1055" s="240">
        <v>0.0</v>
      </c>
    </row>
    <row r="1056">
      <c r="A1056" s="215">
        <v>1052.0</v>
      </c>
      <c r="B1056" s="237"/>
      <c r="C1056" s="238">
        <v>7010.0</v>
      </c>
      <c r="D1056" s="238">
        <v>9500.0</v>
      </c>
      <c r="E1056" s="238" t="s">
        <v>5017</v>
      </c>
      <c r="F1056" s="238" t="s">
        <v>4158</v>
      </c>
      <c r="G1056" s="239" t="s">
        <v>3333</v>
      </c>
      <c r="H1056" s="240">
        <v>80.0</v>
      </c>
      <c r="I1056" s="240">
        <v>80.0</v>
      </c>
      <c r="J1056" s="240">
        <v>0.0</v>
      </c>
      <c r="K1056" s="240">
        <v>0.0</v>
      </c>
      <c r="L1056" s="240">
        <v>0.0</v>
      </c>
      <c r="M1056" s="240" t="s">
        <v>3454</v>
      </c>
      <c r="N1056" s="240">
        <v>0.0</v>
      </c>
    </row>
    <row r="1057">
      <c r="A1057" s="215">
        <v>1053.0</v>
      </c>
      <c r="B1057" s="237"/>
      <c r="C1057" s="238">
        <v>7015.0</v>
      </c>
      <c r="D1057" s="238">
        <v>8149.0</v>
      </c>
      <c r="E1057" s="238" t="s">
        <v>5019</v>
      </c>
      <c r="F1057" s="238" t="s">
        <v>5020</v>
      </c>
      <c r="G1057" s="239" t="s">
        <v>3333</v>
      </c>
      <c r="H1057" s="240">
        <v>30.0</v>
      </c>
      <c r="I1057" s="240">
        <v>13.0</v>
      </c>
      <c r="J1057" s="240">
        <v>0.0</v>
      </c>
      <c r="K1057" s="240">
        <v>1.0</v>
      </c>
      <c r="L1057" s="240">
        <v>0.0</v>
      </c>
      <c r="M1057" s="240" t="s">
        <v>3819</v>
      </c>
      <c r="N1057" s="240">
        <v>16.0</v>
      </c>
    </row>
    <row r="1058">
      <c r="A1058" s="215">
        <v>1054.0</v>
      </c>
      <c r="B1058" s="237"/>
      <c r="C1058" s="238">
        <v>7015.0</v>
      </c>
      <c r="D1058" s="238">
        <v>9500.0</v>
      </c>
      <c r="E1058" s="238" t="s">
        <v>5019</v>
      </c>
      <c r="F1058" s="238" t="s">
        <v>4158</v>
      </c>
      <c r="G1058" s="239" t="s">
        <v>3333</v>
      </c>
      <c r="H1058" s="240">
        <v>50.0</v>
      </c>
      <c r="I1058" s="240">
        <v>50.0</v>
      </c>
      <c r="J1058" s="240">
        <v>0.0</v>
      </c>
      <c r="K1058" s="240">
        <v>0.0</v>
      </c>
      <c r="L1058" s="240">
        <v>0.0</v>
      </c>
      <c r="M1058" s="240" t="s">
        <v>3376</v>
      </c>
      <c r="N1058" s="240">
        <v>0.0</v>
      </c>
    </row>
    <row r="1059">
      <c r="A1059" s="215">
        <v>1055.0</v>
      </c>
      <c r="B1059" s="237"/>
      <c r="C1059" s="238">
        <v>7015.0</v>
      </c>
      <c r="D1059" s="238">
        <v>9501.0</v>
      </c>
      <c r="E1059" s="238" t="s">
        <v>5019</v>
      </c>
      <c r="F1059" s="238" t="s">
        <v>5021</v>
      </c>
      <c r="G1059" s="239" t="s">
        <v>3333</v>
      </c>
      <c r="H1059" s="240">
        <v>45.0</v>
      </c>
      <c r="I1059" s="240">
        <v>11.0</v>
      </c>
      <c r="J1059" s="240">
        <v>0.0</v>
      </c>
      <c r="K1059" s="240">
        <v>0.0</v>
      </c>
      <c r="L1059" s="240">
        <v>0.0</v>
      </c>
      <c r="M1059" s="240" t="s">
        <v>3347</v>
      </c>
      <c r="N1059" s="240">
        <v>34.0</v>
      </c>
    </row>
    <row r="1060">
      <c r="A1060" s="215">
        <v>1056.0</v>
      </c>
      <c r="B1060" s="237"/>
      <c r="C1060" s="238">
        <v>7015.0</v>
      </c>
      <c r="D1060" s="238">
        <v>9549.0</v>
      </c>
      <c r="E1060" s="238" t="s">
        <v>5019</v>
      </c>
      <c r="F1060" s="238" t="s">
        <v>5022</v>
      </c>
      <c r="G1060" s="239" t="s">
        <v>3333</v>
      </c>
      <c r="H1060" s="240">
        <v>55.0</v>
      </c>
      <c r="I1060" s="240">
        <v>17.0</v>
      </c>
      <c r="J1060" s="240">
        <v>0.0</v>
      </c>
      <c r="K1060" s="240">
        <v>0.0</v>
      </c>
      <c r="L1060" s="240">
        <v>0.0</v>
      </c>
      <c r="M1060" s="240" t="s">
        <v>3336</v>
      </c>
      <c r="N1060" s="240">
        <v>38.0</v>
      </c>
    </row>
    <row r="1061">
      <c r="A1061" s="215">
        <v>1057.0</v>
      </c>
      <c r="B1061" s="237"/>
      <c r="C1061" s="238">
        <v>7015.0</v>
      </c>
      <c r="D1061" s="238">
        <v>9833.0</v>
      </c>
      <c r="E1061" s="238" t="s">
        <v>5019</v>
      </c>
      <c r="F1061" s="238" t="s">
        <v>4509</v>
      </c>
      <c r="G1061" s="239" t="s">
        <v>3333</v>
      </c>
      <c r="H1061" s="240">
        <v>20.0</v>
      </c>
      <c r="I1061" s="240">
        <v>0.0</v>
      </c>
      <c r="J1061" s="240">
        <v>0.0</v>
      </c>
      <c r="K1061" s="240">
        <v>0.0</v>
      </c>
      <c r="L1061" s="240">
        <v>0.0</v>
      </c>
      <c r="M1061" s="241"/>
      <c r="N1061" s="240">
        <v>20.0</v>
      </c>
    </row>
    <row r="1062">
      <c r="A1062" s="215">
        <v>1058.0</v>
      </c>
      <c r="B1062" s="237"/>
      <c r="C1062" s="238">
        <v>7015.0</v>
      </c>
      <c r="D1062" s="238" t="s">
        <v>5024</v>
      </c>
      <c r="E1062" s="238" t="s">
        <v>5019</v>
      </c>
      <c r="F1062" s="238" t="s">
        <v>5025</v>
      </c>
      <c r="G1062" s="239" t="s">
        <v>3333</v>
      </c>
      <c r="H1062" s="240">
        <v>50.0</v>
      </c>
      <c r="I1062" s="240">
        <v>32.0</v>
      </c>
      <c r="J1062" s="240">
        <v>0.0</v>
      </c>
      <c r="K1062" s="240">
        <v>1.0</v>
      </c>
      <c r="L1062" s="240">
        <v>0.0</v>
      </c>
      <c r="M1062" s="240" t="s">
        <v>4395</v>
      </c>
      <c r="N1062" s="240">
        <v>17.0</v>
      </c>
    </row>
    <row r="1063">
      <c r="A1063" s="215">
        <v>1059.0</v>
      </c>
      <c r="B1063" s="237"/>
      <c r="C1063" s="238">
        <v>7016.0</v>
      </c>
      <c r="D1063" s="238">
        <v>9504.0</v>
      </c>
      <c r="E1063" s="238" t="s">
        <v>5026</v>
      </c>
      <c r="F1063" s="238" t="s">
        <v>4330</v>
      </c>
      <c r="G1063" s="239" t="s">
        <v>3333</v>
      </c>
      <c r="H1063" s="240">
        <v>24.0</v>
      </c>
      <c r="I1063" s="240">
        <v>24.0</v>
      </c>
      <c r="J1063" s="240">
        <v>0.0</v>
      </c>
      <c r="K1063" s="240">
        <v>0.0</v>
      </c>
      <c r="L1063" s="240">
        <v>0.0</v>
      </c>
      <c r="M1063" s="240" t="s">
        <v>3796</v>
      </c>
      <c r="N1063" s="240">
        <v>0.0</v>
      </c>
    </row>
    <row r="1064">
      <c r="A1064" s="215">
        <v>1060.0</v>
      </c>
      <c r="B1064" s="237"/>
      <c r="C1064" s="238">
        <v>7020.0</v>
      </c>
      <c r="D1064" s="238">
        <v>9500.0</v>
      </c>
      <c r="E1064" s="238" t="s">
        <v>5028</v>
      </c>
      <c r="F1064" s="238" t="s">
        <v>4158</v>
      </c>
      <c r="G1064" s="239" t="s">
        <v>3333</v>
      </c>
      <c r="H1064" s="240">
        <v>54.0</v>
      </c>
      <c r="I1064" s="240">
        <v>54.0</v>
      </c>
      <c r="J1064" s="240">
        <v>0.0</v>
      </c>
      <c r="K1064" s="240">
        <v>0.0</v>
      </c>
      <c r="L1064" s="240">
        <v>0.0</v>
      </c>
      <c r="M1064" s="240" t="s">
        <v>3859</v>
      </c>
      <c r="N1064" s="240">
        <v>0.0</v>
      </c>
    </row>
    <row r="1065">
      <c r="A1065" s="215">
        <v>1061.0</v>
      </c>
      <c r="B1065" s="237"/>
      <c r="C1065" s="238">
        <v>7020.0</v>
      </c>
      <c r="D1065" s="238">
        <v>9504.0</v>
      </c>
      <c r="E1065" s="238" t="s">
        <v>5028</v>
      </c>
      <c r="F1065" s="238" t="s">
        <v>4330</v>
      </c>
      <c r="G1065" s="239" t="s">
        <v>3333</v>
      </c>
      <c r="H1065" s="240">
        <v>35.0</v>
      </c>
      <c r="I1065" s="240">
        <v>35.0</v>
      </c>
      <c r="J1065" s="240">
        <v>0.0</v>
      </c>
      <c r="K1065" s="240">
        <v>0.0</v>
      </c>
      <c r="L1065" s="240">
        <v>0.0</v>
      </c>
      <c r="M1065" s="240" t="s">
        <v>4200</v>
      </c>
      <c r="N1065" s="240">
        <v>0.0</v>
      </c>
    </row>
    <row r="1066">
      <c r="A1066" s="215">
        <v>1062.0</v>
      </c>
      <c r="B1066" s="237"/>
      <c r="C1066" s="238">
        <v>7020.0</v>
      </c>
      <c r="D1066" s="238" t="s">
        <v>4333</v>
      </c>
      <c r="E1066" s="238" t="s">
        <v>5028</v>
      </c>
      <c r="F1066" s="238" t="s">
        <v>4334</v>
      </c>
      <c r="G1066" s="239" t="s">
        <v>3333</v>
      </c>
      <c r="H1066" s="240">
        <v>24.0</v>
      </c>
      <c r="I1066" s="240">
        <v>24.0</v>
      </c>
      <c r="J1066" s="240">
        <v>0.0</v>
      </c>
      <c r="K1066" s="240">
        <v>0.0</v>
      </c>
      <c r="L1066" s="240">
        <v>0.0</v>
      </c>
      <c r="M1066" s="240" t="s">
        <v>3668</v>
      </c>
      <c r="N1066" s="240">
        <v>0.0</v>
      </c>
    </row>
    <row r="1067">
      <c r="A1067" s="215">
        <v>1063.0</v>
      </c>
      <c r="B1067" s="237"/>
      <c r="C1067" s="238">
        <v>7020.0</v>
      </c>
      <c r="D1067" s="238" t="s">
        <v>5033</v>
      </c>
      <c r="E1067" s="238" t="s">
        <v>5028</v>
      </c>
      <c r="F1067" s="238" t="s">
        <v>5034</v>
      </c>
      <c r="G1067" s="239" t="s">
        <v>3333</v>
      </c>
      <c r="H1067" s="240">
        <v>26.0</v>
      </c>
      <c r="I1067" s="240">
        <v>26.0</v>
      </c>
      <c r="J1067" s="240">
        <v>0.0</v>
      </c>
      <c r="K1067" s="240">
        <v>0.0</v>
      </c>
      <c r="L1067" s="240">
        <v>0.0</v>
      </c>
      <c r="M1067" s="240" t="s">
        <v>4366</v>
      </c>
      <c r="N1067" s="240">
        <v>0.0</v>
      </c>
    </row>
    <row r="1068">
      <c r="A1068" s="215">
        <v>1064.0</v>
      </c>
      <c r="B1068" s="237"/>
      <c r="C1068" s="238">
        <v>7020.0</v>
      </c>
      <c r="D1068" s="238" t="s">
        <v>5024</v>
      </c>
      <c r="E1068" s="238" t="s">
        <v>5028</v>
      </c>
      <c r="F1068" s="238" t="s">
        <v>5025</v>
      </c>
      <c r="G1068" s="239" t="s">
        <v>3333</v>
      </c>
      <c r="H1068" s="240">
        <v>32.0</v>
      </c>
      <c r="I1068" s="240">
        <v>32.0</v>
      </c>
      <c r="J1068" s="240">
        <v>0.0</v>
      </c>
      <c r="K1068" s="240">
        <v>1.0</v>
      </c>
      <c r="L1068" s="240">
        <v>1.0</v>
      </c>
      <c r="M1068" s="240" t="s">
        <v>4585</v>
      </c>
      <c r="N1068" s="240">
        <v>0.0</v>
      </c>
    </row>
    <row r="1069">
      <c r="A1069" s="215">
        <v>1065.0</v>
      </c>
      <c r="B1069" s="237"/>
      <c r="C1069" s="238">
        <v>7030.0</v>
      </c>
      <c r="D1069" s="238">
        <v>9500.0</v>
      </c>
      <c r="E1069" s="238" t="s">
        <v>5036</v>
      </c>
      <c r="F1069" s="238" t="s">
        <v>4158</v>
      </c>
      <c r="G1069" s="239" t="s">
        <v>3333</v>
      </c>
      <c r="H1069" s="240">
        <v>65.0</v>
      </c>
      <c r="I1069" s="240">
        <v>65.0</v>
      </c>
      <c r="J1069" s="240">
        <v>0.0</v>
      </c>
      <c r="K1069" s="240">
        <v>0.0</v>
      </c>
      <c r="L1069" s="240">
        <v>0.0</v>
      </c>
      <c r="M1069" s="240" t="s">
        <v>3444</v>
      </c>
      <c r="N1069" s="240">
        <v>0.0</v>
      </c>
    </row>
    <row r="1070">
      <c r="A1070" s="215">
        <v>1066.0</v>
      </c>
      <c r="B1070" s="237"/>
      <c r="C1070" s="238">
        <v>7035.0</v>
      </c>
      <c r="D1070" s="238">
        <v>8149.0</v>
      </c>
      <c r="E1070" s="238" t="s">
        <v>5038</v>
      </c>
      <c r="F1070" s="238" t="s">
        <v>5020</v>
      </c>
      <c r="G1070" s="239" t="s">
        <v>3333</v>
      </c>
      <c r="H1070" s="240">
        <v>28.0</v>
      </c>
      <c r="I1070" s="240">
        <v>28.0</v>
      </c>
      <c r="J1070" s="240">
        <v>0.0</v>
      </c>
      <c r="K1070" s="240">
        <v>1.0</v>
      </c>
      <c r="L1070" s="240">
        <v>1.0</v>
      </c>
      <c r="M1070" s="240" t="s">
        <v>3723</v>
      </c>
      <c r="N1070" s="240">
        <v>0.0</v>
      </c>
    </row>
    <row r="1071">
      <c r="A1071" s="215">
        <v>1067.0</v>
      </c>
      <c r="B1071" s="237"/>
      <c r="C1071" s="238">
        <v>7035.0</v>
      </c>
      <c r="D1071" s="238">
        <v>9500.0</v>
      </c>
      <c r="E1071" s="238" t="s">
        <v>5038</v>
      </c>
      <c r="F1071" s="238" t="s">
        <v>4158</v>
      </c>
      <c r="G1071" s="239" t="s">
        <v>3333</v>
      </c>
      <c r="H1071" s="240">
        <v>40.0</v>
      </c>
      <c r="I1071" s="240">
        <v>40.0</v>
      </c>
      <c r="J1071" s="240">
        <v>0.0</v>
      </c>
      <c r="K1071" s="240">
        <v>1.0</v>
      </c>
      <c r="L1071" s="240">
        <v>1.0</v>
      </c>
      <c r="M1071" s="240" t="s">
        <v>4990</v>
      </c>
      <c r="N1071" s="240">
        <v>0.0</v>
      </c>
    </row>
    <row r="1072">
      <c r="A1072" s="215">
        <v>1068.0</v>
      </c>
      <c r="B1072" s="237"/>
      <c r="C1072" s="238">
        <v>7035.0</v>
      </c>
      <c r="D1072" s="238">
        <v>9504.0</v>
      </c>
      <c r="E1072" s="238" t="s">
        <v>5038</v>
      </c>
      <c r="F1072" s="238" t="s">
        <v>4330</v>
      </c>
      <c r="G1072" s="239" t="s">
        <v>3333</v>
      </c>
      <c r="H1072" s="240">
        <v>26.0</v>
      </c>
      <c r="I1072" s="240">
        <v>26.0</v>
      </c>
      <c r="J1072" s="240">
        <v>0.0</v>
      </c>
      <c r="K1072" s="240">
        <v>0.0</v>
      </c>
      <c r="L1072" s="240">
        <v>0.0</v>
      </c>
      <c r="M1072" s="240" t="s">
        <v>3824</v>
      </c>
      <c r="N1072" s="240">
        <v>0.0</v>
      </c>
    </row>
    <row r="1073">
      <c r="A1073" s="215">
        <v>1069.0</v>
      </c>
      <c r="B1073" s="237"/>
      <c r="C1073" s="238">
        <v>7035.0</v>
      </c>
      <c r="D1073" s="238">
        <v>9549.0</v>
      </c>
      <c r="E1073" s="238" t="s">
        <v>5038</v>
      </c>
      <c r="F1073" s="238" t="s">
        <v>5022</v>
      </c>
      <c r="G1073" s="239" t="s">
        <v>3333</v>
      </c>
      <c r="H1073" s="240">
        <v>25.0</v>
      </c>
      <c r="I1073" s="240">
        <v>23.0</v>
      </c>
      <c r="J1073" s="240">
        <v>0.0</v>
      </c>
      <c r="K1073" s="240">
        <v>0.0</v>
      </c>
      <c r="L1073" s="240">
        <v>0.0</v>
      </c>
      <c r="M1073" s="240" t="s">
        <v>3382</v>
      </c>
      <c r="N1073" s="240">
        <v>2.0</v>
      </c>
    </row>
    <row r="1074">
      <c r="A1074" s="215">
        <v>1070.0</v>
      </c>
      <c r="B1074" s="237"/>
      <c r="C1074" s="238">
        <v>7035.0</v>
      </c>
      <c r="D1074" s="238">
        <v>9890.0</v>
      </c>
      <c r="E1074" s="238" t="s">
        <v>5038</v>
      </c>
      <c r="F1074" s="238" t="s">
        <v>4332</v>
      </c>
      <c r="G1074" s="239" t="s">
        <v>3333</v>
      </c>
      <c r="H1074" s="240">
        <v>25.0</v>
      </c>
      <c r="I1074" s="240">
        <v>21.0</v>
      </c>
      <c r="J1074" s="240">
        <v>0.0</v>
      </c>
      <c r="K1074" s="240">
        <v>0.0</v>
      </c>
      <c r="L1074" s="240">
        <v>0.0</v>
      </c>
      <c r="M1074" s="240" t="s">
        <v>3403</v>
      </c>
      <c r="N1074" s="240">
        <v>4.0</v>
      </c>
    </row>
    <row r="1075">
      <c r="A1075" s="215">
        <v>1071.0</v>
      </c>
      <c r="B1075" s="237"/>
      <c r="C1075" s="238">
        <v>7035.0</v>
      </c>
      <c r="D1075" s="238" t="s">
        <v>4333</v>
      </c>
      <c r="E1075" s="238" t="s">
        <v>5038</v>
      </c>
      <c r="F1075" s="238" t="s">
        <v>4334</v>
      </c>
      <c r="G1075" s="239" t="s">
        <v>3333</v>
      </c>
      <c r="H1075" s="240">
        <v>30.0</v>
      </c>
      <c r="I1075" s="240">
        <v>30.0</v>
      </c>
      <c r="J1075" s="240">
        <v>0.0</v>
      </c>
      <c r="K1075" s="240">
        <v>0.0</v>
      </c>
      <c r="L1075" s="240">
        <v>0.0</v>
      </c>
      <c r="M1075" s="240" t="s">
        <v>4321</v>
      </c>
      <c r="N1075" s="240">
        <v>0.0</v>
      </c>
    </row>
    <row r="1076">
      <c r="A1076" s="215">
        <v>1072.0</v>
      </c>
      <c r="B1076" s="237"/>
      <c r="C1076" s="238">
        <v>7035.0</v>
      </c>
      <c r="D1076" s="238" t="s">
        <v>5024</v>
      </c>
      <c r="E1076" s="238" t="s">
        <v>5038</v>
      </c>
      <c r="F1076" s="238" t="s">
        <v>5025</v>
      </c>
      <c r="G1076" s="239" t="s">
        <v>3333</v>
      </c>
      <c r="H1076" s="240">
        <v>27.0</v>
      </c>
      <c r="I1076" s="240">
        <v>27.0</v>
      </c>
      <c r="J1076" s="240">
        <v>0.0</v>
      </c>
      <c r="K1076" s="240">
        <v>0.0</v>
      </c>
      <c r="L1076" s="240">
        <v>0.0</v>
      </c>
      <c r="M1076" s="240" t="s">
        <v>3704</v>
      </c>
      <c r="N1076" s="240">
        <v>0.0</v>
      </c>
    </row>
    <row r="1077">
      <c r="A1077" s="215">
        <v>1073.0</v>
      </c>
      <c r="B1077" s="237"/>
      <c r="C1077" s="238">
        <v>7040.0</v>
      </c>
      <c r="D1077" s="238">
        <v>9500.0</v>
      </c>
      <c r="E1077" s="238" t="s">
        <v>5041</v>
      </c>
      <c r="F1077" s="238" t="s">
        <v>4158</v>
      </c>
      <c r="G1077" s="239" t="s">
        <v>3333</v>
      </c>
      <c r="H1077" s="240">
        <v>90.0</v>
      </c>
      <c r="I1077" s="240">
        <v>90.0</v>
      </c>
      <c r="J1077" s="240">
        <v>0.0</v>
      </c>
      <c r="K1077" s="240">
        <v>2.0</v>
      </c>
      <c r="L1077" s="240">
        <v>2.0</v>
      </c>
      <c r="M1077" s="240" t="s">
        <v>3952</v>
      </c>
      <c r="N1077" s="240">
        <v>0.0</v>
      </c>
    </row>
    <row r="1078">
      <c r="A1078" s="215">
        <v>1074.0</v>
      </c>
      <c r="B1078" s="237"/>
      <c r="C1078" s="238">
        <v>7040.0</v>
      </c>
      <c r="D1078" s="238">
        <v>9549.0</v>
      </c>
      <c r="E1078" s="238" t="s">
        <v>5041</v>
      </c>
      <c r="F1078" s="238" t="s">
        <v>5022</v>
      </c>
      <c r="G1078" s="239" t="s">
        <v>3333</v>
      </c>
      <c r="H1078" s="240">
        <v>35.0</v>
      </c>
      <c r="I1078" s="240">
        <v>10.0</v>
      </c>
      <c r="J1078" s="240">
        <v>0.0</v>
      </c>
      <c r="K1078" s="240">
        <v>0.0</v>
      </c>
      <c r="L1078" s="240">
        <v>0.0</v>
      </c>
      <c r="M1078" s="240" t="s">
        <v>3382</v>
      </c>
      <c r="N1078" s="240">
        <v>25.0</v>
      </c>
    </row>
    <row r="1079">
      <c r="A1079" s="215">
        <v>1075.0</v>
      </c>
      <c r="B1079" s="237"/>
      <c r="C1079" s="238">
        <v>7040.0</v>
      </c>
      <c r="D1079" s="238" t="s">
        <v>5024</v>
      </c>
      <c r="E1079" s="238" t="s">
        <v>5041</v>
      </c>
      <c r="F1079" s="238" t="s">
        <v>5025</v>
      </c>
      <c r="G1079" s="239" t="s">
        <v>3333</v>
      </c>
      <c r="H1079" s="240">
        <v>20.0</v>
      </c>
      <c r="I1079" s="240">
        <v>10.0</v>
      </c>
      <c r="J1079" s="240">
        <v>0.0</v>
      </c>
      <c r="K1079" s="240">
        <v>0.0</v>
      </c>
      <c r="L1079" s="240">
        <v>0.0</v>
      </c>
      <c r="M1079" s="240" t="s">
        <v>4325</v>
      </c>
      <c r="N1079" s="240">
        <v>10.0</v>
      </c>
    </row>
    <row r="1080">
      <c r="A1080" s="215">
        <v>1076.0</v>
      </c>
      <c r="B1080" s="237"/>
      <c r="C1080" s="238">
        <v>7040.0</v>
      </c>
      <c r="D1080" s="238" t="s">
        <v>5042</v>
      </c>
      <c r="E1080" s="238" t="s">
        <v>5041</v>
      </c>
      <c r="F1080" s="238" t="s">
        <v>5043</v>
      </c>
      <c r="G1080" s="239" t="s">
        <v>3333</v>
      </c>
      <c r="H1080" s="240">
        <v>25.0</v>
      </c>
      <c r="I1080" s="240">
        <v>3.0</v>
      </c>
      <c r="J1080" s="240">
        <v>0.0</v>
      </c>
      <c r="K1080" s="240">
        <v>1.0</v>
      </c>
      <c r="L1080" s="240">
        <v>0.0</v>
      </c>
      <c r="M1080" s="240" t="s">
        <v>3384</v>
      </c>
      <c r="N1080" s="240">
        <v>21.0</v>
      </c>
    </row>
    <row r="1081">
      <c r="A1081" s="215">
        <v>1077.0</v>
      </c>
      <c r="B1081" s="237"/>
      <c r="C1081" s="238">
        <v>7045.0</v>
      </c>
      <c r="D1081" s="238">
        <v>8138.0</v>
      </c>
      <c r="E1081" s="238" t="s">
        <v>5044</v>
      </c>
      <c r="F1081" s="238" t="s">
        <v>5016</v>
      </c>
      <c r="G1081" s="239" t="s">
        <v>3333</v>
      </c>
      <c r="H1081" s="240">
        <v>35.0</v>
      </c>
      <c r="I1081" s="240">
        <v>35.0</v>
      </c>
      <c r="J1081" s="240">
        <v>0.0</v>
      </c>
      <c r="K1081" s="240">
        <v>0.0</v>
      </c>
      <c r="L1081" s="240">
        <v>0.0</v>
      </c>
      <c r="M1081" s="240" t="s">
        <v>4321</v>
      </c>
      <c r="N1081" s="240">
        <v>0.0</v>
      </c>
    </row>
    <row r="1082">
      <c r="A1082" s="215">
        <v>1078.0</v>
      </c>
      <c r="B1082" s="237"/>
      <c r="C1082" s="238">
        <v>7045.0</v>
      </c>
      <c r="D1082" s="238">
        <v>8149.0</v>
      </c>
      <c r="E1082" s="238" t="s">
        <v>5044</v>
      </c>
      <c r="F1082" s="238" t="s">
        <v>5020</v>
      </c>
      <c r="G1082" s="239" t="s">
        <v>3333</v>
      </c>
      <c r="H1082" s="240">
        <v>29.0</v>
      </c>
      <c r="I1082" s="240">
        <v>8.0</v>
      </c>
      <c r="J1082" s="240">
        <v>0.0</v>
      </c>
      <c r="K1082" s="240">
        <v>0.0</v>
      </c>
      <c r="L1082" s="240">
        <v>0.0</v>
      </c>
      <c r="M1082" s="240" t="s">
        <v>3445</v>
      </c>
      <c r="N1082" s="240">
        <v>21.0</v>
      </c>
    </row>
    <row r="1083">
      <c r="A1083" s="215">
        <v>1079.0</v>
      </c>
      <c r="B1083" s="237"/>
      <c r="C1083" s="238">
        <v>7045.0</v>
      </c>
      <c r="D1083" s="238">
        <v>9500.0</v>
      </c>
      <c r="E1083" s="238" t="s">
        <v>5044</v>
      </c>
      <c r="F1083" s="238" t="s">
        <v>4158</v>
      </c>
      <c r="G1083" s="239" t="s">
        <v>3333</v>
      </c>
      <c r="H1083" s="240">
        <v>85.0</v>
      </c>
      <c r="I1083" s="240">
        <v>85.0</v>
      </c>
      <c r="J1083" s="240">
        <v>0.0</v>
      </c>
      <c r="K1083" s="240">
        <v>0.0</v>
      </c>
      <c r="L1083" s="240">
        <v>0.0</v>
      </c>
      <c r="M1083" s="240" t="s">
        <v>4231</v>
      </c>
      <c r="N1083" s="240">
        <v>0.0</v>
      </c>
    </row>
    <row r="1084">
      <c r="A1084" s="215">
        <v>1080.0</v>
      </c>
      <c r="B1084" s="237"/>
      <c r="C1084" s="238">
        <v>7045.0</v>
      </c>
      <c r="D1084" s="238">
        <v>9504.0</v>
      </c>
      <c r="E1084" s="238" t="s">
        <v>5044</v>
      </c>
      <c r="F1084" s="238" t="s">
        <v>4330</v>
      </c>
      <c r="G1084" s="239" t="s">
        <v>3333</v>
      </c>
      <c r="H1084" s="240">
        <v>34.0</v>
      </c>
      <c r="I1084" s="240">
        <v>34.0</v>
      </c>
      <c r="J1084" s="240">
        <v>0.0</v>
      </c>
      <c r="K1084" s="240">
        <v>0.0</v>
      </c>
      <c r="L1084" s="240">
        <v>0.0</v>
      </c>
      <c r="M1084" s="240" t="s">
        <v>4990</v>
      </c>
      <c r="N1084" s="240">
        <v>0.0</v>
      </c>
    </row>
    <row r="1085">
      <c r="A1085" s="215">
        <v>1081.0</v>
      </c>
      <c r="B1085" s="237"/>
      <c r="C1085" s="238">
        <v>7045.0</v>
      </c>
      <c r="D1085" s="238">
        <v>9890.0</v>
      </c>
      <c r="E1085" s="238" t="s">
        <v>5044</v>
      </c>
      <c r="F1085" s="238" t="s">
        <v>4332</v>
      </c>
      <c r="G1085" s="239" t="s">
        <v>3333</v>
      </c>
      <c r="H1085" s="240">
        <v>26.0</v>
      </c>
      <c r="I1085" s="240">
        <v>26.0</v>
      </c>
      <c r="J1085" s="240">
        <v>0.0</v>
      </c>
      <c r="K1085" s="240">
        <v>0.0</v>
      </c>
      <c r="L1085" s="240">
        <v>0.0</v>
      </c>
      <c r="M1085" s="240" t="s">
        <v>3341</v>
      </c>
      <c r="N1085" s="240">
        <v>0.0</v>
      </c>
    </row>
    <row r="1086">
      <c r="A1086" s="215">
        <v>1082.0</v>
      </c>
      <c r="B1086" s="237"/>
      <c r="C1086" s="238">
        <v>7055.0</v>
      </c>
      <c r="D1086" s="238">
        <v>9500.0</v>
      </c>
      <c r="E1086" s="238" t="s">
        <v>5045</v>
      </c>
      <c r="F1086" s="238" t="s">
        <v>4158</v>
      </c>
      <c r="G1086" s="239" t="s">
        <v>3333</v>
      </c>
      <c r="H1086" s="240">
        <v>65.0</v>
      </c>
      <c r="I1086" s="240">
        <v>65.0</v>
      </c>
      <c r="J1086" s="240">
        <v>0.0</v>
      </c>
      <c r="K1086" s="240">
        <v>0.0</v>
      </c>
      <c r="L1086" s="240">
        <v>0.0</v>
      </c>
      <c r="M1086" s="240" t="s">
        <v>3650</v>
      </c>
      <c r="N1086" s="240">
        <v>0.0</v>
      </c>
    </row>
    <row r="1087">
      <c r="A1087" s="215">
        <v>1083.0</v>
      </c>
      <c r="B1087" s="237"/>
      <c r="C1087" s="238">
        <v>7055.0</v>
      </c>
      <c r="D1087" s="238">
        <v>9504.0</v>
      </c>
      <c r="E1087" s="238" t="s">
        <v>5045</v>
      </c>
      <c r="F1087" s="238" t="s">
        <v>4330</v>
      </c>
      <c r="G1087" s="239" t="s">
        <v>3333</v>
      </c>
      <c r="H1087" s="240">
        <v>25.0</v>
      </c>
      <c r="I1087" s="240">
        <v>25.0</v>
      </c>
      <c r="J1087" s="240">
        <v>0.0</v>
      </c>
      <c r="K1087" s="240">
        <v>0.0</v>
      </c>
      <c r="L1087" s="240">
        <v>0.0</v>
      </c>
      <c r="M1087" s="240" t="s">
        <v>3500</v>
      </c>
      <c r="N1087" s="240">
        <v>0.0</v>
      </c>
    </row>
    <row r="1088">
      <c r="A1088" s="215">
        <v>1084.0</v>
      </c>
      <c r="B1088" s="237"/>
      <c r="C1088" s="238">
        <v>7055.0</v>
      </c>
      <c r="D1088" s="238">
        <v>9556.0</v>
      </c>
      <c r="E1088" s="238" t="s">
        <v>5045</v>
      </c>
      <c r="F1088" s="238" t="s">
        <v>4225</v>
      </c>
      <c r="G1088" s="239" t="s">
        <v>3333</v>
      </c>
      <c r="H1088" s="240">
        <v>20.0</v>
      </c>
      <c r="I1088" s="240">
        <v>20.0</v>
      </c>
      <c r="J1088" s="240">
        <v>0.0</v>
      </c>
      <c r="K1088" s="240">
        <v>0.0</v>
      </c>
      <c r="L1088" s="240">
        <v>0.0</v>
      </c>
      <c r="M1088" s="240" t="s">
        <v>3905</v>
      </c>
      <c r="N1088" s="240">
        <v>0.0</v>
      </c>
    </row>
    <row r="1089">
      <c r="A1089" s="215">
        <v>1085.0</v>
      </c>
      <c r="B1089" s="237"/>
      <c r="C1089" s="238">
        <v>7065.0</v>
      </c>
      <c r="D1089" s="238">
        <v>9500.0</v>
      </c>
      <c r="E1089" s="238" t="s">
        <v>5047</v>
      </c>
      <c r="F1089" s="238" t="s">
        <v>4158</v>
      </c>
      <c r="G1089" s="239" t="s">
        <v>3333</v>
      </c>
      <c r="H1089" s="240">
        <v>78.0</v>
      </c>
      <c r="I1089" s="240">
        <v>25.0</v>
      </c>
      <c r="J1089" s="240">
        <v>0.0</v>
      </c>
      <c r="K1089" s="240">
        <v>0.0</v>
      </c>
      <c r="L1089" s="240">
        <v>0.0</v>
      </c>
      <c r="M1089" s="240" t="s">
        <v>3814</v>
      </c>
      <c r="N1089" s="240">
        <v>53.0</v>
      </c>
    </row>
    <row r="1090">
      <c r="A1090" s="215">
        <v>1086.0</v>
      </c>
      <c r="B1090" s="237"/>
      <c r="C1090" s="238">
        <v>7075.0</v>
      </c>
      <c r="D1090" s="238">
        <v>9500.0</v>
      </c>
      <c r="E1090" s="238" t="s">
        <v>5048</v>
      </c>
      <c r="F1090" s="238" t="s">
        <v>4158</v>
      </c>
      <c r="G1090" s="239" t="s">
        <v>3333</v>
      </c>
      <c r="H1090" s="240">
        <v>70.0</v>
      </c>
      <c r="I1090" s="240">
        <v>70.0</v>
      </c>
      <c r="J1090" s="240">
        <v>0.0</v>
      </c>
      <c r="K1090" s="240">
        <v>0.0</v>
      </c>
      <c r="L1090" s="240">
        <v>0.0</v>
      </c>
      <c r="M1090" s="240" t="s">
        <v>4200</v>
      </c>
      <c r="N1090" s="240">
        <v>0.0</v>
      </c>
    </row>
    <row r="1091">
      <c r="A1091" s="215">
        <v>1087.0</v>
      </c>
      <c r="B1091" s="237"/>
      <c r="C1091" s="238">
        <v>7080.0</v>
      </c>
      <c r="D1091" s="238">
        <v>9500.0</v>
      </c>
      <c r="E1091" s="238" t="s">
        <v>5049</v>
      </c>
      <c r="F1091" s="238" t="s">
        <v>4158</v>
      </c>
      <c r="G1091" s="239" t="s">
        <v>3333</v>
      </c>
      <c r="H1091" s="240">
        <v>95.0</v>
      </c>
      <c r="I1091" s="240">
        <v>95.0</v>
      </c>
      <c r="J1091" s="240">
        <v>0.0</v>
      </c>
      <c r="K1091" s="240">
        <v>0.0</v>
      </c>
      <c r="L1091" s="240">
        <v>0.0</v>
      </c>
      <c r="M1091" s="240" t="s">
        <v>3875</v>
      </c>
      <c r="N1091" s="240">
        <v>0.0</v>
      </c>
    </row>
    <row r="1092">
      <c r="A1092" s="215">
        <v>1088.0</v>
      </c>
      <c r="B1092" s="237"/>
      <c r="C1092" s="238">
        <v>7085.0</v>
      </c>
      <c r="D1092" s="238">
        <v>9500.0</v>
      </c>
      <c r="E1092" s="238" t="s">
        <v>5050</v>
      </c>
      <c r="F1092" s="238" t="s">
        <v>4158</v>
      </c>
      <c r="G1092" s="239" t="s">
        <v>3333</v>
      </c>
      <c r="H1092" s="240">
        <v>90.0</v>
      </c>
      <c r="I1092" s="240">
        <v>90.0</v>
      </c>
      <c r="J1092" s="240">
        <v>0.0</v>
      </c>
      <c r="K1092" s="240">
        <v>0.0</v>
      </c>
      <c r="L1092" s="240">
        <v>0.0</v>
      </c>
      <c r="M1092" s="240" t="s">
        <v>3930</v>
      </c>
      <c r="N1092" s="240">
        <v>0.0</v>
      </c>
    </row>
    <row r="1093">
      <c r="A1093" s="215">
        <v>1089.0</v>
      </c>
      <c r="B1093" s="237"/>
      <c r="C1093" s="238">
        <v>7092.0</v>
      </c>
      <c r="D1093" s="238">
        <v>9500.0</v>
      </c>
      <c r="E1093" s="238" t="s">
        <v>5051</v>
      </c>
      <c r="F1093" s="238" t="s">
        <v>4158</v>
      </c>
      <c r="G1093" s="239" t="s">
        <v>3333</v>
      </c>
      <c r="H1093" s="240">
        <v>40.0</v>
      </c>
      <c r="I1093" s="240">
        <v>39.0</v>
      </c>
      <c r="J1093" s="240">
        <v>0.0</v>
      </c>
      <c r="K1093" s="240">
        <v>1.0</v>
      </c>
      <c r="L1093" s="240">
        <v>0.0</v>
      </c>
      <c r="M1093" s="240" t="s">
        <v>3347</v>
      </c>
      <c r="N1093" s="240">
        <v>0.0</v>
      </c>
    </row>
    <row r="1094">
      <c r="A1094" s="215">
        <v>1090.0</v>
      </c>
      <c r="B1094" s="237"/>
      <c r="C1094" s="238">
        <v>7093.0</v>
      </c>
      <c r="D1094" s="238">
        <v>9500.0</v>
      </c>
      <c r="E1094" s="238" t="s">
        <v>5052</v>
      </c>
      <c r="F1094" s="238" t="s">
        <v>4158</v>
      </c>
      <c r="G1094" s="239" t="s">
        <v>3333</v>
      </c>
      <c r="H1094" s="240">
        <v>40.0</v>
      </c>
      <c r="I1094" s="240">
        <v>40.0</v>
      </c>
      <c r="J1094" s="240">
        <v>0.0</v>
      </c>
      <c r="K1094" s="240">
        <v>0.0</v>
      </c>
      <c r="L1094" s="240">
        <v>0.0</v>
      </c>
      <c r="M1094" s="240" t="s">
        <v>4240</v>
      </c>
      <c r="N1094" s="240">
        <v>0.0</v>
      </c>
    </row>
    <row r="1095">
      <c r="A1095" s="215">
        <v>1091.0</v>
      </c>
      <c r="B1095" s="237"/>
      <c r="C1095" s="238">
        <v>7105.0</v>
      </c>
      <c r="D1095" s="238">
        <v>9121.0</v>
      </c>
      <c r="E1095" s="238" t="s">
        <v>5053</v>
      </c>
      <c r="F1095" s="238" t="s">
        <v>4283</v>
      </c>
      <c r="G1095" s="239" t="s">
        <v>3333</v>
      </c>
      <c r="H1095" s="240">
        <v>36.0</v>
      </c>
      <c r="I1095" s="240">
        <v>5.0</v>
      </c>
      <c r="J1095" s="240">
        <v>0.0</v>
      </c>
      <c r="K1095" s="240">
        <v>0.0</v>
      </c>
      <c r="L1095" s="240">
        <v>0.0</v>
      </c>
      <c r="M1095" s="240" t="s">
        <v>3470</v>
      </c>
      <c r="N1095" s="240">
        <v>31.0</v>
      </c>
    </row>
    <row r="1096">
      <c r="A1096" s="215">
        <v>1092.0</v>
      </c>
      <c r="B1096" s="237"/>
      <c r="C1096" s="238">
        <v>7105.0</v>
      </c>
      <c r="D1096" s="238">
        <v>9745.0</v>
      </c>
      <c r="E1096" s="238" t="s">
        <v>5053</v>
      </c>
      <c r="F1096" s="238" t="s">
        <v>5055</v>
      </c>
      <c r="G1096" s="239" t="s">
        <v>3333</v>
      </c>
      <c r="H1096" s="240">
        <v>39.0</v>
      </c>
      <c r="I1096" s="240">
        <v>19.0</v>
      </c>
      <c r="J1096" s="240">
        <v>0.0</v>
      </c>
      <c r="K1096" s="240">
        <v>0.0</v>
      </c>
      <c r="L1096" s="240">
        <v>0.0</v>
      </c>
      <c r="M1096" s="240" t="s">
        <v>3387</v>
      </c>
      <c r="N1096" s="240">
        <v>20.0</v>
      </c>
    </row>
    <row r="1097">
      <c r="A1097" s="215">
        <v>1093.0</v>
      </c>
      <c r="B1097" s="237"/>
      <c r="C1097" s="238">
        <v>7105.0</v>
      </c>
      <c r="D1097" s="238">
        <v>9789.0</v>
      </c>
      <c r="E1097" s="238" t="s">
        <v>5053</v>
      </c>
      <c r="F1097" s="238" t="s">
        <v>5056</v>
      </c>
      <c r="G1097" s="239" t="s">
        <v>3333</v>
      </c>
      <c r="H1097" s="240">
        <v>31.0</v>
      </c>
      <c r="I1097" s="240">
        <v>31.0</v>
      </c>
      <c r="J1097" s="240">
        <v>0.0</v>
      </c>
      <c r="K1097" s="240">
        <v>0.0</v>
      </c>
      <c r="L1097" s="240">
        <v>0.0</v>
      </c>
      <c r="M1097" s="240" t="s">
        <v>4477</v>
      </c>
      <c r="N1097" s="240">
        <v>0.0</v>
      </c>
    </row>
    <row r="1098">
      <c r="A1098" s="215">
        <v>1094.0</v>
      </c>
      <c r="B1098" s="237"/>
      <c r="C1098" s="238">
        <v>7105.0</v>
      </c>
      <c r="D1098" s="238">
        <v>9924.0</v>
      </c>
      <c r="E1098" s="238" t="s">
        <v>5053</v>
      </c>
      <c r="F1098" s="238" t="s">
        <v>5058</v>
      </c>
      <c r="G1098" s="239" t="s">
        <v>3333</v>
      </c>
      <c r="H1098" s="240">
        <v>41.0</v>
      </c>
      <c r="I1098" s="240">
        <v>30.0</v>
      </c>
      <c r="J1098" s="240">
        <v>0.0</v>
      </c>
      <c r="K1098" s="240">
        <v>2.0</v>
      </c>
      <c r="L1098" s="240">
        <v>0.0</v>
      </c>
      <c r="M1098" s="240" t="s">
        <v>5059</v>
      </c>
      <c r="N1098" s="240">
        <v>9.0</v>
      </c>
    </row>
    <row r="1099">
      <c r="A1099" s="215">
        <v>1095.0</v>
      </c>
      <c r="B1099" s="237"/>
      <c r="C1099" s="238">
        <v>7105.0</v>
      </c>
      <c r="D1099" s="238">
        <v>9926.0</v>
      </c>
      <c r="E1099" s="238" t="s">
        <v>5053</v>
      </c>
      <c r="F1099" s="238" t="s">
        <v>5061</v>
      </c>
      <c r="G1099" s="239" t="s">
        <v>3333</v>
      </c>
      <c r="H1099" s="240">
        <v>21.0</v>
      </c>
      <c r="I1099" s="240">
        <v>21.0</v>
      </c>
      <c r="J1099" s="240">
        <v>0.0</v>
      </c>
      <c r="K1099" s="240">
        <v>0.0</v>
      </c>
      <c r="L1099" s="240">
        <v>0.0</v>
      </c>
      <c r="M1099" s="240" t="s">
        <v>4701</v>
      </c>
      <c r="N1099" s="240">
        <v>0.0</v>
      </c>
    </row>
    <row r="1100">
      <c r="A1100" s="215">
        <v>1096.0</v>
      </c>
      <c r="B1100" s="237"/>
      <c r="C1100" s="238">
        <v>7105.0</v>
      </c>
      <c r="D1100" s="238" t="s">
        <v>5063</v>
      </c>
      <c r="E1100" s="238" t="s">
        <v>5053</v>
      </c>
      <c r="F1100" s="238" t="s">
        <v>5065</v>
      </c>
      <c r="G1100" s="239" t="s">
        <v>3333</v>
      </c>
      <c r="H1100" s="240">
        <v>24.0</v>
      </c>
      <c r="I1100" s="240">
        <v>7.0</v>
      </c>
      <c r="J1100" s="240">
        <v>0.0</v>
      </c>
      <c r="K1100" s="240">
        <v>0.0</v>
      </c>
      <c r="L1100" s="240">
        <v>0.0</v>
      </c>
      <c r="M1100" s="240" t="s">
        <v>3578</v>
      </c>
      <c r="N1100" s="240">
        <v>17.0</v>
      </c>
    </row>
    <row r="1101">
      <c r="A1101" s="215">
        <v>1097.0</v>
      </c>
      <c r="B1101" s="237"/>
      <c r="C1101" s="238">
        <v>7110.0</v>
      </c>
      <c r="D1101" s="238">
        <v>8011.0</v>
      </c>
      <c r="E1101" s="238" t="s">
        <v>5067</v>
      </c>
      <c r="F1101" s="238" t="s">
        <v>5068</v>
      </c>
      <c r="G1101" s="239" t="s">
        <v>3333</v>
      </c>
      <c r="H1101" s="240">
        <v>20.0</v>
      </c>
      <c r="I1101" s="240">
        <v>1.0</v>
      </c>
      <c r="J1101" s="240">
        <v>0.0</v>
      </c>
      <c r="K1101" s="240">
        <v>0.0</v>
      </c>
      <c r="L1101" s="240">
        <v>0.0</v>
      </c>
      <c r="M1101" s="240" t="s">
        <v>3392</v>
      </c>
      <c r="N1101" s="240">
        <v>19.0</v>
      </c>
    </row>
    <row r="1102">
      <c r="A1102" s="215">
        <v>1098.0</v>
      </c>
      <c r="B1102" s="237"/>
      <c r="C1102" s="238">
        <v>7110.0</v>
      </c>
      <c r="D1102" s="238">
        <v>9076.0</v>
      </c>
      <c r="E1102" s="238" t="s">
        <v>5067</v>
      </c>
      <c r="F1102" s="238" t="s">
        <v>4161</v>
      </c>
      <c r="G1102" s="239" t="s">
        <v>3333</v>
      </c>
      <c r="H1102" s="240">
        <v>63.0</v>
      </c>
      <c r="I1102" s="240">
        <v>37.0</v>
      </c>
      <c r="J1102" s="240">
        <v>0.0</v>
      </c>
      <c r="K1102" s="240">
        <v>2.0</v>
      </c>
      <c r="L1102" s="240">
        <v>0.0</v>
      </c>
      <c r="M1102" s="240" t="s">
        <v>3946</v>
      </c>
      <c r="N1102" s="240">
        <v>24.0</v>
      </c>
    </row>
    <row r="1103">
      <c r="A1103" s="215">
        <v>1099.0</v>
      </c>
      <c r="B1103" s="237"/>
      <c r="C1103" s="238">
        <v>7110.0</v>
      </c>
      <c r="D1103" s="238">
        <v>9163.0</v>
      </c>
      <c r="E1103" s="238" t="s">
        <v>5067</v>
      </c>
      <c r="F1103" s="238" t="s">
        <v>5072</v>
      </c>
      <c r="G1103" s="239" t="s">
        <v>3333</v>
      </c>
      <c r="H1103" s="240">
        <v>45.0</v>
      </c>
      <c r="I1103" s="240">
        <v>45.0</v>
      </c>
      <c r="J1103" s="240">
        <v>0.0</v>
      </c>
      <c r="K1103" s="240">
        <v>1.0</v>
      </c>
      <c r="L1103" s="240">
        <v>1.0</v>
      </c>
      <c r="M1103" s="240" t="s">
        <v>3654</v>
      </c>
      <c r="N1103" s="240">
        <v>0.0</v>
      </c>
    </row>
    <row r="1104">
      <c r="A1104" s="215">
        <v>1100.0</v>
      </c>
      <c r="B1104" s="237"/>
      <c r="C1104" s="238">
        <v>7110.0</v>
      </c>
      <c r="D1104" s="238">
        <v>9177.0</v>
      </c>
      <c r="E1104" s="238" t="s">
        <v>5067</v>
      </c>
      <c r="F1104" s="238" t="s">
        <v>5073</v>
      </c>
      <c r="G1104" s="239" t="s">
        <v>3333</v>
      </c>
      <c r="H1104" s="240">
        <v>61.0</v>
      </c>
      <c r="I1104" s="240">
        <v>28.0</v>
      </c>
      <c r="J1104" s="240">
        <v>0.0</v>
      </c>
      <c r="K1104" s="240">
        <v>1.0</v>
      </c>
      <c r="L1104" s="240">
        <v>0.0</v>
      </c>
      <c r="M1104" s="240" t="s">
        <v>4020</v>
      </c>
      <c r="N1104" s="240">
        <v>32.0</v>
      </c>
    </row>
    <row r="1105">
      <c r="A1105" s="215">
        <v>1101.0</v>
      </c>
      <c r="B1105" s="237"/>
      <c r="C1105" s="238">
        <v>7110.0</v>
      </c>
      <c r="D1105" s="238">
        <v>9183.0</v>
      </c>
      <c r="E1105" s="238" t="s">
        <v>5067</v>
      </c>
      <c r="F1105" s="238" t="s">
        <v>5074</v>
      </c>
      <c r="G1105" s="239" t="s">
        <v>3333</v>
      </c>
      <c r="H1105" s="240">
        <v>40.0</v>
      </c>
      <c r="I1105" s="240">
        <v>40.0</v>
      </c>
      <c r="J1105" s="240">
        <v>0.0</v>
      </c>
      <c r="K1105" s="240">
        <v>0.0</v>
      </c>
      <c r="L1105" s="240">
        <v>0.0</v>
      </c>
      <c r="M1105" s="240" t="s">
        <v>4127</v>
      </c>
      <c r="N1105" s="240">
        <v>0.0</v>
      </c>
    </row>
    <row r="1106">
      <c r="A1106" s="215">
        <v>1102.0</v>
      </c>
      <c r="B1106" s="237"/>
      <c r="C1106" s="238">
        <v>7110.0</v>
      </c>
      <c r="D1106" s="238">
        <v>9217.0</v>
      </c>
      <c r="E1106" s="238" t="s">
        <v>5067</v>
      </c>
      <c r="F1106" s="238" t="s">
        <v>5075</v>
      </c>
      <c r="G1106" s="239" t="s">
        <v>3333</v>
      </c>
      <c r="H1106" s="240">
        <v>40.0</v>
      </c>
      <c r="I1106" s="240">
        <v>11.0</v>
      </c>
      <c r="J1106" s="240">
        <v>0.0</v>
      </c>
      <c r="K1106" s="240">
        <v>0.0</v>
      </c>
      <c r="L1106" s="240">
        <v>0.0</v>
      </c>
      <c r="M1106" s="240" t="s">
        <v>4477</v>
      </c>
      <c r="N1106" s="240">
        <v>29.0</v>
      </c>
    </row>
    <row r="1107">
      <c r="A1107" s="215">
        <v>1103.0</v>
      </c>
      <c r="B1107" s="237"/>
      <c r="C1107" s="238">
        <v>7110.0</v>
      </c>
      <c r="D1107" s="238">
        <v>9875.0</v>
      </c>
      <c r="E1107" s="238" t="s">
        <v>5067</v>
      </c>
      <c r="F1107" s="238" t="s">
        <v>5076</v>
      </c>
      <c r="G1107" s="239" t="s">
        <v>3333</v>
      </c>
      <c r="H1107" s="240">
        <v>56.0</v>
      </c>
      <c r="I1107" s="240">
        <v>4.0</v>
      </c>
      <c r="J1107" s="240">
        <v>0.0</v>
      </c>
      <c r="K1107" s="240">
        <v>0.0</v>
      </c>
      <c r="L1107" s="240">
        <v>0.0</v>
      </c>
      <c r="M1107" s="240" t="s">
        <v>4308</v>
      </c>
      <c r="N1107" s="240">
        <v>52.0</v>
      </c>
    </row>
    <row r="1108">
      <c r="A1108" s="215">
        <v>1104.0</v>
      </c>
      <c r="B1108" s="237"/>
      <c r="C1108" s="238">
        <v>7110.0</v>
      </c>
      <c r="D1108" s="238">
        <v>9995.0</v>
      </c>
      <c r="E1108" s="238" t="s">
        <v>5067</v>
      </c>
      <c r="F1108" s="238" t="s">
        <v>5078</v>
      </c>
      <c r="G1108" s="239" t="s">
        <v>3333</v>
      </c>
      <c r="H1108" s="240">
        <v>40.0</v>
      </c>
      <c r="I1108" s="240">
        <v>18.0</v>
      </c>
      <c r="J1108" s="240">
        <v>0.0</v>
      </c>
      <c r="K1108" s="240">
        <v>0.0</v>
      </c>
      <c r="L1108" s="240">
        <v>0.0</v>
      </c>
      <c r="M1108" s="240" t="s">
        <v>3431</v>
      </c>
      <c r="N1108" s="240">
        <v>22.0</v>
      </c>
    </row>
    <row r="1109">
      <c r="A1109" s="215">
        <v>1105.0</v>
      </c>
      <c r="B1109" s="237"/>
      <c r="C1109" s="238">
        <v>7110.0</v>
      </c>
      <c r="D1109" s="238">
        <v>9996.0</v>
      </c>
      <c r="E1109" s="238" t="s">
        <v>5067</v>
      </c>
      <c r="F1109" s="238" t="s">
        <v>5079</v>
      </c>
      <c r="G1109" s="239" t="s">
        <v>3333</v>
      </c>
      <c r="H1109" s="240">
        <v>45.0</v>
      </c>
      <c r="I1109" s="240">
        <v>5.0</v>
      </c>
      <c r="J1109" s="240">
        <v>0.0</v>
      </c>
      <c r="K1109" s="240">
        <v>0.0</v>
      </c>
      <c r="L1109" s="240">
        <v>0.0</v>
      </c>
      <c r="M1109" s="240" t="s">
        <v>3650</v>
      </c>
      <c r="N1109" s="240">
        <v>40.0</v>
      </c>
    </row>
    <row r="1110">
      <c r="A1110" s="215">
        <v>1106.0</v>
      </c>
      <c r="B1110" s="237"/>
      <c r="C1110" s="238">
        <v>7210.0</v>
      </c>
      <c r="D1110" s="238">
        <v>8141.0</v>
      </c>
      <c r="E1110" s="238" t="s">
        <v>5081</v>
      </c>
      <c r="F1110" s="238" t="s">
        <v>5082</v>
      </c>
      <c r="G1110" s="239" t="s">
        <v>3333</v>
      </c>
      <c r="H1110" s="240">
        <v>30.0</v>
      </c>
      <c r="I1110" s="240">
        <v>3.0</v>
      </c>
      <c r="J1110" s="240">
        <v>0.0</v>
      </c>
      <c r="K1110" s="240">
        <v>0.0</v>
      </c>
      <c r="L1110" s="240">
        <v>0.0</v>
      </c>
      <c r="M1110" s="240" t="s">
        <v>3351</v>
      </c>
      <c r="N1110" s="240">
        <v>27.0</v>
      </c>
    </row>
    <row r="1111">
      <c r="A1111" s="215">
        <v>1107.0</v>
      </c>
      <c r="B1111" s="237"/>
      <c r="C1111" s="238">
        <v>7210.0</v>
      </c>
      <c r="D1111" s="238">
        <v>8149.0</v>
      </c>
      <c r="E1111" s="238" t="s">
        <v>5081</v>
      </c>
      <c r="F1111" s="238" t="s">
        <v>5020</v>
      </c>
      <c r="G1111" s="239" t="s">
        <v>3333</v>
      </c>
      <c r="H1111" s="240">
        <v>43.0</v>
      </c>
      <c r="I1111" s="240">
        <v>24.0</v>
      </c>
      <c r="J1111" s="240">
        <v>0.0</v>
      </c>
      <c r="K1111" s="240">
        <v>0.0</v>
      </c>
      <c r="L1111" s="240">
        <v>0.0</v>
      </c>
      <c r="M1111" s="240" t="s">
        <v>3526</v>
      </c>
      <c r="N1111" s="240">
        <v>19.0</v>
      </c>
    </row>
    <row r="1112">
      <c r="A1112" s="215">
        <v>1108.0</v>
      </c>
      <c r="B1112" s="237"/>
      <c r="C1112" s="238">
        <v>7210.0</v>
      </c>
      <c r="D1112" s="238">
        <v>9504.0</v>
      </c>
      <c r="E1112" s="238" t="s">
        <v>5081</v>
      </c>
      <c r="F1112" s="238" t="s">
        <v>4330</v>
      </c>
      <c r="G1112" s="239" t="s">
        <v>3333</v>
      </c>
      <c r="H1112" s="240">
        <v>43.0</v>
      </c>
      <c r="I1112" s="240">
        <v>43.0</v>
      </c>
      <c r="J1112" s="240">
        <v>0.0</v>
      </c>
      <c r="K1112" s="240">
        <v>0.0</v>
      </c>
      <c r="L1112" s="240">
        <v>0.0</v>
      </c>
      <c r="M1112" s="240" t="s">
        <v>4052</v>
      </c>
      <c r="N1112" s="240">
        <v>0.0</v>
      </c>
    </row>
    <row r="1113">
      <c r="A1113" s="215">
        <v>1109.0</v>
      </c>
      <c r="B1113" s="237"/>
      <c r="C1113" s="238">
        <v>7210.0</v>
      </c>
      <c r="D1113" s="238">
        <v>9549.0</v>
      </c>
      <c r="E1113" s="238" t="s">
        <v>5081</v>
      </c>
      <c r="F1113" s="238" t="s">
        <v>5022</v>
      </c>
      <c r="G1113" s="239" t="s">
        <v>3333</v>
      </c>
      <c r="H1113" s="240">
        <v>41.0</v>
      </c>
      <c r="I1113" s="240">
        <v>13.0</v>
      </c>
      <c r="J1113" s="240">
        <v>0.0</v>
      </c>
      <c r="K1113" s="240">
        <v>0.0</v>
      </c>
      <c r="L1113" s="240">
        <v>0.0</v>
      </c>
      <c r="M1113" s="240" t="s">
        <v>4117</v>
      </c>
      <c r="N1113" s="240">
        <v>28.0</v>
      </c>
    </row>
    <row r="1114">
      <c r="A1114" s="215">
        <v>1110.0</v>
      </c>
      <c r="B1114" s="237"/>
      <c r="C1114" s="238">
        <v>7210.0</v>
      </c>
      <c r="D1114" s="238">
        <v>9861.0</v>
      </c>
      <c r="E1114" s="238" t="s">
        <v>5081</v>
      </c>
      <c r="F1114" s="238" t="s">
        <v>5084</v>
      </c>
      <c r="G1114" s="239" t="s">
        <v>3333</v>
      </c>
      <c r="H1114" s="240">
        <v>32.0</v>
      </c>
      <c r="I1114" s="240">
        <v>2.0</v>
      </c>
      <c r="J1114" s="240">
        <v>0.0</v>
      </c>
      <c r="K1114" s="240">
        <v>0.0</v>
      </c>
      <c r="L1114" s="240">
        <v>0.0</v>
      </c>
      <c r="M1114" s="241"/>
      <c r="N1114" s="240">
        <v>30.0</v>
      </c>
    </row>
    <row r="1115">
      <c r="A1115" s="215">
        <v>1111.0</v>
      </c>
      <c r="B1115" s="237"/>
      <c r="C1115" s="238">
        <v>7210.0</v>
      </c>
      <c r="D1115" s="238" t="s">
        <v>4333</v>
      </c>
      <c r="E1115" s="238" t="s">
        <v>5081</v>
      </c>
      <c r="F1115" s="238" t="s">
        <v>4334</v>
      </c>
      <c r="G1115" s="239" t="s">
        <v>3333</v>
      </c>
      <c r="H1115" s="240">
        <v>37.0</v>
      </c>
      <c r="I1115" s="240">
        <v>23.0</v>
      </c>
      <c r="J1115" s="240">
        <v>0.0</v>
      </c>
      <c r="K1115" s="240">
        <v>0.0</v>
      </c>
      <c r="L1115" s="240">
        <v>0.0</v>
      </c>
      <c r="M1115" s="240" t="s">
        <v>4138</v>
      </c>
      <c r="N1115" s="240">
        <v>14.0</v>
      </c>
    </row>
    <row r="1116">
      <c r="A1116" s="215">
        <v>1112.0</v>
      </c>
      <c r="B1116" s="237"/>
      <c r="C1116" s="238">
        <v>7210.0</v>
      </c>
      <c r="D1116" s="238" t="s">
        <v>5033</v>
      </c>
      <c r="E1116" s="238" t="s">
        <v>5081</v>
      </c>
      <c r="F1116" s="238" t="s">
        <v>5034</v>
      </c>
      <c r="G1116" s="239" t="s">
        <v>3333</v>
      </c>
      <c r="H1116" s="240">
        <v>38.0</v>
      </c>
      <c r="I1116" s="240">
        <v>29.0</v>
      </c>
      <c r="J1116" s="240">
        <v>0.0</v>
      </c>
      <c r="K1116" s="240">
        <v>0.0</v>
      </c>
      <c r="L1116" s="240">
        <v>0.0</v>
      </c>
      <c r="M1116" s="240" t="s">
        <v>3863</v>
      </c>
      <c r="N1116" s="240">
        <v>9.0</v>
      </c>
    </row>
    <row r="1117">
      <c r="A1117" s="215">
        <v>1113.0</v>
      </c>
      <c r="B1117" s="237"/>
      <c r="C1117" s="238">
        <v>7210.0</v>
      </c>
      <c r="D1117" s="238" t="s">
        <v>5024</v>
      </c>
      <c r="E1117" s="238" t="s">
        <v>5081</v>
      </c>
      <c r="F1117" s="238" t="s">
        <v>5025</v>
      </c>
      <c r="G1117" s="239" t="s">
        <v>3333</v>
      </c>
      <c r="H1117" s="240">
        <v>38.0</v>
      </c>
      <c r="I1117" s="240">
        <v>38.0</v>
      </c>
      <c r="J1117" s="240">
        <v>0.0</v>
      </c>
      <c r="K1117" s="240">
        <v>1.0</v>
      </c>
      <c r="L1117" s="240">
        <v>1.0</v>
      </c>
      <c r="M1117" s="240" t="s">
        <v>3444</v>
      </c>
      <c r="N1117" s="240">
        <v>0.0</v>
      </c>
    </row>
    <row r="1118">
      <c r="A1118" s="215">
        <v>1114.0</v>
      </c>
      <c r="B1118" s="237"/>
      <c r="C1118" s="238">
        <v>7220.0</v>
      </c>
      <c r="D1118" s="238">
        <v>8149.0</v>
      </c>
      <c r="E1118" s="238" t="s">
        <v>5086</v>
      </c>
      <c r="F1118" s="238" t="s">
        <v>5020</v>
      </c>
      <c r="G1118" s="239" t="s">
        <v>3333</v>
      </c>
      <c r="H1118" s="240">
        <v>46.0</v>
      </c>
      <c r="I1118" s="240">
        <v>46.0</v>
      </c>
      <c r="J1118" s="240">
        <v>0.0</v>
      </c>
      <c r="K1118" s="240">
        <v>0.0</v>
      </c>
      <c r="L1118" s="240">
        <v>0.0</v>
      </c>
      <c r="M1118" s="240" t="s">
        <v>4477</v>
      </c>
      <c r="N1118" s="240">
        <v>0.0</v>
      </c>
    </row>
    <row r="1119">
      <c r="A1119" s="215">
        <v>1115.0</v>
      </c>
      <c r="B1119" s="237"/>
      <c r="C1119" s="238">
        <v>7220.0</v>
      </c>
      <c r="D1119" s="238">
        <v>8152.0</v>
      </c>
      <c r="E1119" s="238" t="s">
        <v>5086</v>
      </c>
      <c r="F1119" s="238" t="s">
        <v>5087</v>
      </c>
      <c r="G1119" s="239" t="s">
        <v>3333</v>
      </c>
      <c r="H1119" s="240">
        <v>30.0</v>
      </c>
      <c r="I1119" s="240">
        <v>17.0</v>
      </c>
      <c r="J1119" s="240">
        <v>0.0</v>
      </c>
      <c r="K1119" s="240">
        <v>0.0</v>
      </c>
      <c r="L1119" s="240">
        <v>0.0</v>
      </c>
      <c r="M1119" s="240" t="s">
        <v>3336</v>
      </c>
      <c r="N1119" s="240">
        <v>13.0</v>
      </c>
    </row>
    <row r="1120">
      <c r="A1120" s="215">
        <v>1116.0</v>
      </c>
      <c r="B1120" s="237"/>
      <c r="C1120" s="238">
        <v>7220.0</v>
      </c>
      <c r="D1120" s="238">
        <v>9504.0</v>
      </c>
      <c r="E1120" s="238" t="s">
        <v>5086</v>
      </c>
      <c r="F1120" s="238" t="s">
        <v>4330</v>
      </c>
      <c r="G1120" s="239" t="s">
        <v>3333</v>
      </c>
      <c r="H1120" s="240">
        <v>48.0</v>
      </c>
      <c r="I1120" s="240">
        <v>48.0</v>
      </c>
      <c r="J1120" s="240">
        <v>0.0</v>
      </c>
      <c r="K1120" s="240">
        <v>0.0</v>
      </c>
      <c r="L1120" s="240">
        <v>0.0</v>
      </c>
      <c r="M1120" s="240" t="s">
        <v>3675</v>
      </c>
      <c r="N1120" s="240">
        <v>0.0</v>
      </c>
    </row>
    <row r="1121">
      <c r="A1121" s="215">
        <v>1117.0</v>
      </c>
      <c r="B1121" s="237"/>
      <c r="C1121" s="238">
        <v>7220.0</v>
      </c>
      <c r="D1121" s="238">
        <v>9549.0</v>
      </c>
      <c r="E1121" s="238" t="s">
        <v>5086</v>
      </c>
      <c r="F1121" s="238" t="s">
        <v>5022</v>
      </c>
      <c r="G1121" s="239" t="s">
        <v>3333</v>
      </c>
      <c r="H1121" s="240">
        <v>54.0</v>
      </c>
      <c r="I1121" s="240">
        <v>52.0</v>
      </c>
      <c r="J1121" s="240">
        <v>0.0</v>
      </c>
      <c r="K1121" s="240">
        <v>0.0</v>
      </c>
      <c r="L1121" s="240">
        <v>0.0</v>
      </c>
      <c r="M1121" s="240" t="s">
        <v>3403</v>
      </c>
      <c r="N1121" s="240">
        <v>2.0</v>
      </c>
    </row>
    <row r="1122">
      <c r="A1122" s="215">
        <v>1118.0</v>
      </c>
      <c r="B1122" s="237"/>
      <c r="C1122" s="238">
        <v>7220.0</v>
      </c>
      <c r="D1122" s="238">
        <v>9861.0</v>
      </c>
      <c r="E1122" s="238" t="s">
        <v>5086</v>
      </c>
      <c r="F1122" s="238" t="s">
        <v>5084</v>
      </c>
      <c r="G1122" s="239" t="s">
        <v>3333</v>
      </c>
      <c r="H1122" s="240">
        <v>29.0</v>
      </c>
      <c r="I1122" s="240">
        <v>4.0</v>
      </c>
      <c r="J1122" s="240">
        <v>0.0</v>
      </c>
      <c r="K1122" s="240">
        <v>1.0</v>
      </c>
      <c r="L1122" s="240">
        <v>0.0</v>
      </c>
      <c r="M1122" s="240" t="s">
        <v>4188</v>
      </c>
      <c r="N1122" s="240">
        <v>24.0</v>
      </c>
    </row>
    <row r="1123">
      <c r="A1123" s="215">
        <v>1119.0</v>
      </c>
      <c r="B1123" s="237"/>
      <c r="C1123" s="238">
        <v>7220.0</v>
      </c>
      <c r="D1123" s="238" t="s">
        <v>4333</v>
      </c>
      <c r="E1123" s="238" t="s">
        <v>5086</v>
      </c>
      <c r="F1123" s="238" t="s">
        <v>4334</v>
      </c>
      <c r="G1123" s="239" t="s">
        <v>3333</v>
      </c>
      <c r="H1123" s="240">
        <v>64.0</v>
      </c>
      <c r="I1123" s="240">
        <v>57.0</v>
      </c>
      <c r="J1123" s="240">
        <v>0.0</v>
      </c>
      <c r="K1123" s="240">
        <v>0.0</v>
      </c>
      <c r="L1123" s="240">
        <v>0.0</v>
      </c>
      <c r="M1123" s="240" t="s">
        <v>5093</v>
      </c>
      <c r="N1123" s="240">
        <v>7.0</v>
      </c>
    </row>
    <row r="1124">
      <c r="A1124" s="215">
        <v>1120.0</v>
      </c>
      <c r="B1124" s="237"/>
      <c r="C1124" s="238">
        <v>7220.0</v>
      </c>
      <c r="D1124" s="238" t="s">
        <v>5033</v>
      </c>
      <c r="E1124" s="238" t="s">
        <v>5086</v>
      </c>
      <c r="F1124" s="238" t="s">
        <v>5034</v>
      </c>
      <c r="G1124" s="239" t="s">
        <v>3333</v>
      </c>
      <c r="H1124" s="240">
        <v>43.0</v>
      </c>
      <c r="I1124" s="240">
        <v>43.0</v>
      </c>
      <c r="J1124" s="240">
        <v>0.0</v>
      </c>
      <c r="K1124" s="240">
        <v>0.0</v>
      </c>
      <c r="L1124" s="240">
        <v>0.0</v>
      </c>
      <c r="M1124" s="240" t="s">
        <v>3863</v>
      </c>
      <c r="N1124" s="240">
        <v>0.0</v>
      </c>
    </row>
    <row r="1125">
      <c r="A1125" s="215">
        <v>1121.0</v>
      </c>
      <c r="B1125" s="237"/>
      <c r="C1125" s="238">
        <v>7220.0</v>
      </c>
      <c r="D1125" s="238" t="s">
        <v>5024</v>
      </c>
      <c r="E1125" s="238" t="s">
        <v>5086</v>
      </c>
      <c r="F1125" s="238" t="s">
        <v>5025</v>
      </c>
      <c r="G1125" s="239" t="s">
        <v>3333</v>
      </c>
      <c r="H1125" s="240">
        <v>61.0</v>
      </c>
      <c r="I1125" s="240">
        <v>61.0</v>
      </c>
      <c r="J1125" s="240">
        <v>0.0</v>
      </c>
      <c r="K1125" s="240">
        <v>0.0</v>
      </c>
      <c r="L1125" s="240">
        <v>0.0</v>
      </c>
      <c r="M1125" s="240" t="s">
        <v>3500</v>
      </c>
      <c r="N1125" s="240">
        <v>0.0</v>
      </c>
    </row>
    <row r="1126">
      <c r="A1126" s="215">
        <v>1122.0</v>
      </c>
      <c r="B1126" s="237"/>
      <c r="C1126" s="238">
        <v>7220.0</v>
      </c>
      <c r="D1126" s="238" t="s">
        <v>5096</v>
      </c>
      <c r="E1126" s="238" t="s">
        <v>5086</v>
      </c>
      <c r="F1126" s="238" t="s">
        <v>5097</v>
      </c>
      <c r="G1126" s="239" t="s">
        <v>3333</v>
      </c>
      <c r="H1126" s="240">
        <v>36.0</v>
      </c>
      <c r="I1126" s="240">
        <v>20.0</v>
      </c>
      <c r="J1126" s="240">
        <v>0.0</v>
      </c>
      <c r="K1126" s="240">
        <v>0.0</v>
      </c>
      <c r="L1126" s="240">
        <v>0.0</v>
      </c>
      <c r="M1126" s="240" t="s">
        <v>3382</v>
      </c>
      <c r="N1126" s="240">
        <v>16.0</v>
      </c>
    </row>
    <row r="1127">
      <c r="A1127" s="215">
        <v>1123.0</v>
      </c>
      <c r="B1127" s="237"/>
      <c r="C1127" s="238">
        <v>7230.0</v>
      </c>
      <c r="D1127" s="238">
        <v>8138.0</v>
      </c>
      <c r="E1127" s="238" t="s">
        <v>5098</v>
      </c>
      <c r="F1127" s="238" t="s">
        <v>5016</v>
      </c>
      <c r="G1127" s="239" t="s">
        <v>3333</v>
      </c>
      <c r="H1127" s="240">
        <v>46.0</v>
      </c>
      <c r="I1127" s="240">
        <v>37.0</v>
      </c>
      <c r="J1127" s="240">
        <v>0.0</v>
      </c>
      <c r="K1127" s="240">
        <v>0.0</v>
      </c>
      <c r="L1127" s="240">
        <v>0.0</v>
      </c>
      <c r="M1127" s="240" t="s">
        <v>3586</v>
      </c>
      <c r="N1127" s="240">
        <v>9.0</v>
      </c>
    </row>
    <row r="1128">
      <c r="A1128" s="215">
        <v>1124.0</v>
      </c>
      <c r="B1128" s="237"/>
      <c r="C1128" s="238">
        <v>7230.0</v>
      </c>
      <c r="D1128" s="238">
        <v>8141.0</v>
      </c>
      <c r="E1128" s="238" t="s">
        <v>5098</v>
      </c>
      <c r="F1128" s="238" t="s">
        <v>5082</v>
      </c>
      <c r="G1128" s="239" t="s">
        <v>3333</v>
      </c>
      <c r="H1128" s="240">
        <v>20.0</v>
      </c>
      <c r="I1128" s="240">
        <v>20.0</v>
      </c>
      <c r="J1128" s="240">
        <v>0.0</v>
      </c>
      <c r="K1128" s="240">
        <v>0.0</v>
      </c>
      <c r="L1128" s="240">
        <v>0.0</v>
      </c>
      <c r="M1128" s="240" t="s">
        <v>4084</v>
      </c>
      <c r="N1128" s="240">
        <v>0.0</v>
      </c>
    </row>
    <row r="1129">
      <c r="A1129" s="215">
        <v>1125.0</v>
      </c>
      <c r="B1129" s="237"/>
      <c r="C1129" s="238">
        <v>7230.0</v>
      </c>
      <c r="D1129" s="238">
        <v>8143.0</v>
      </c>
      <c r="E1129" s="238" t="s">
        <v>5098</v>
      </c>
      <c r="F1129" s="238" t="s">
        <v>5099</v>
      </c>
      <c r="G1129" s="239" t="s">
        <v>3333</v>
      </c>
      <c r="H1129" s="240">
        <v>22.0</v>
      </c>
      <c r="I1129" s="240">
        <v>22.0</v>
      </c>
      <c r="J1129" s="240">
        <v>0.0</v>
      </c>
      <c r="K1129" s="240">
        <v>0.0</v>
      </c>
      <c r="L1129" s="240">
        <v>0.0</v>
      </c>
      <c r="M1129" s="240" t="s">
        <v>3380</v>
      </c>
      <c r="N1129" s="240">
        <v>0.0</v>
      </c>
    </row>
    <row r="1130">
      <c r="A1130" s="215">
        <v>1126.0</v>
      </c>
      <c r="B1130" s="237"/>
      <c r="C1130" s="238">
        <v>7230.0</v>
      </c>
      <c r="D1130" s="238">
        <v>9504.0</v>
      </c>
      <c r="E1130" s="238" t="s">
        <v>5098</v>
      </c>
      <c r="F1130" s="238" t="s">
        <v>4330</v>
      </c>
      <c r="G1130" s="239" t="s">
        <v>3333</v>
      </c>
      <c r="H1130" s="240">
        <v>63.0</v>
      </c>
      <c r="I1130" s="240">
        <v>63.0</v>
      </c>
      <c r="J1130" s="240">
        <v>1.0</v>
      </c>
      <c r="K1130" s="240">
        <v>0.0</v>
      </c>
      <c r="L1130" s="240">
        <v>0.0</v>
      </c>
      <c r="M1130" s="240" t="s">
        <v>4762</v>
      </c>
      <c r="N1130" s="240">
        <v>0.0</v>
      </c>
    </row>
    <row r="1131">
      <c r="A1131" s="215">
        <v>1127.0</v>
      </c>
      <c r="B1131" s="237"/>
      <c r="C1131" s="238">
        <v>7230.0</v>
      </c>
      <c r="D1131" s="238">
        <v>9549.0</v>
      </c>
      <c r="E1131" s="238" t="s">
        <v>5098</v>
      </c>
      <c r="F1131" s="238" t="s">
        <v>5022</v>
      </c>
      <c r="G1131" s="239" t="s">
        <v>3333</v>
      </c>
      <c r="H1131" s="240">
        <v>50.0</v>
      </c>
      <c r="I1131" s="240">
        <v>50.0</v>
      </c>
      <c r="J1131" s="240">
        <v>0.0</v>
      </c>
      <c r="K1131" s="240">
        <v>0.0</v>
      </c>
      <c r="L1131" s="240">
        <v>0.0</v>
      </c>
      <c r="M1131" s="240" t="s">
        <v>3339</v>
      </c>
      <c r="N1131" s="240">
        <v>0.0</v>
      </c>
    </row>
    <row r="1132">
      <c r="A1132" s="215">
        <v>1128.0</v>
      </c>
      <c r="B1132" s="237"/>
      <c r="C1132" s="238">
        <v>7230.0</v>
      </c>
      <c r="D1132" s="238">
        <v>9861.0</v>
      </c>
      <c r="E1132" s="238" t="s">
        <v>5098</v>
      </c>
      <c r="F1132" s="238" t="s">
        <v>5084</v>
      </c>
      <c r="G1132" s="239" t="s">
        <v>3333</v>
      </c>
      <c r="H1132" s="240">
        <v>35.0</v>
      </c>
      <c r="I1132" s="240">
        <v>7.0</v>
      </c>
      <c r="J1132" s="240">
        <v>0.0</v>
      </c>
      <c r="K1132" s="240">
        <v>0.0</v>
      </c>
      <c r="L1132" s="240">
        <v>0.0</v>
      </c>
      <c r="M1132" s="240" t="s">
        <v>3397</v>
      </c>
      <c r="N1132" s="240">
        <v>28.0</v>
      </c>
    </row>
    <row r="1133">
      <c r="A1133" s="215">
        <v>1129.0</v>
      </c>
      <c r="B1133" s="237"/>
      <c r="C1133" s="238">
        <v>7230.0</v>
      </c>
      <c r="D1133" s="238">
        <v>9890.0</v>
      </c>
      <c r="E1133" s="238" t="s">
        <v>5098</v>
      </c>
      <c r="F1133" s="238" t="s">
        <v>4332</v>
      </c>
      <c r="G1133" s="239" t="s">
        <v>3333</v>
      </c>
      <c r="H1133" s="240">
        <v>37.0</v>
      </c>
      <c r="I1133" s="240">
        <v>37.0</v>
      </c>
      <c r="J1133" s="240">
        <v>0.0</v>
      </c>
      <c r="K1133" s="240">
        <v>0.0</v>
      </c>
      <c r="L1133" s="240">
        <v>0.0</v>
      </c>
      <c r="M1133" s="240" t="s">
        <v>4159</v>
      </c>
      <c r="N1133" s="240">
        <v>0.0</v>
      </c>
    </row>
    <row r="1134">
      <c r="A1134" s="215">
        <v>1130.0</v>
      </c>
      <c r="B1134" s="237"/>
      <c r="C1134" s="238">
        <v>7230.0</v>
      </c>
      <c r="D1134" s="238" t="s">
        <v>4333</v>
      </c>
      <c r="E1134" s="238" t="s">
        <v>5098</v>
      </c>
      <c r="F1134" s="238" t="s">
        <v>4334</v>
      </c>
      <c r="G1134" s="239" t="s">
        <v>3333</v>
      </c>
      <c r="H1134" s="240">
        <v>61.0</v>
      </c>
      <c r="I1134" s="240">
        <v>61.0</v>
      </c>
      <c r="J1134" s="240">
        <v>0.0</v>
      </c>
      <c r="K1134" s="240">
        <v>0.0</v>
      </c>
      <c r="L1134" s="240">
        <v>0.0</v>
      </c>
      <c r="M1134" s="240" t="s">
        <v>4360</v>
      </c>
      <c r="N1134" s="240">
        <v>0.0</v>
      </c>
    </row>
    <row r="1135">
      <c r="A1135" s="215">
        <v>1131.0</v>
      </c>
      <c r="B1135" s="237"/>
      <c r="C1135" s="238">
        <v>7230.0</v>
      </c>
      <c r="D1135" s="238" t="s">
        <v>5033</v>
      </c>
      <c r="E1135" s="238" t="s">
        <v>5098</v>
      </c>
      <c r="F1135" s="238" t="s">
        <v>5034</v>
      </c>
      <c r="G1135" s="239" t="s">
        <v>3333</v>
      </c>
      <c r="H1135" s="240">
        <v>48.0</v>
      </c>
      <c r="I1135" s="240">
        <v>48.0</v>
      </c>
      <c r="J1135" s="240">
        <v>0.0</v>
      </c>
      <c r="K1135" s="240">
        <v>0.0</v>
      </c>
      <c r="L1135" s="240">
        <v>0.0</v>
      </c>
      <c r="M1135" s="240" t="s">
        <v>3662</v>
      </c>
      <c r="N1135" s="240">
        <v>0.0</v>
      </c>
    </row>
    <row r="1136">
      <c r="A1136" s="215">
        <v>1132.0</v>
      </c>
      <c r="B1136" s="237"/>
      <c r="C1136" s="238">
        <v>7230.0</v>
      </c>
      <c r="D1136" s="238" t="s">
        <v>5024</v>
      </c>
      <c r="E1136" s="238" t="s">
        <v>5098</v>
      </c>
      <c r="F1136" s="238" t="s">
        <v>5025</v>
      </c>
      <c r="G1136" s="239" t="s">
        <v>3333</v>
      </c>
      <c r="H1136" s="240">
        <v>60.0</v>
      </c>
      <c r="I1136" s="240">
        <v>60.0</v>
      </c>
      <c r="J1136" s="240">
        <v>0.0</v>
      </c>
      <c r="K1136" s="240">
        <v>0.0</v>
      </c>
      <c r="L1136" s="240">
        <v>0.0</v>
      </c>
      <c r="M1136" s="240" t="s">
        <v>5103</v>
      </c>
      <c r="N1136" s="240">
        <v>0.0</v>
      </c>
    </row>
    <row r="1137">
      <c r="A1137" s="215">
        <v>1133.0</v>
      </c>
      <c r="B1137" s="237"/>
      <c r="C1137" s="238">
        <v>7230.0</v>
      </c>
      <c r="D1137" s="238" t="s">
        <v>5042</v>
      </c>
      <c r="E1137" s="238" t="s">
        <v>5098</v>
      </c>
      <c r="F1137" s="238" t="s">
        <v>5043</v>
      </c>
      <c r="G1137" s="239" t="s">
        <v>3333</v>
      </c>
      <c r="H1137" s="240">
        <v>32.0</v>
      </c>
      <c r="I1137" s="240">
        <v>31.0</v>
      </c>
      <c r="J1137" s="240">
        <v>0.0</v>
      </c>
      <c r="K1137" s="240">
        <v>0.0</v>
      </c>
      <c r="L1137" s="240">
        <v>0.0</v>
      </c>
      <c r="M1137" s="240" t="s">
        <v>3955</v>
      </c>
      <c r="N1137" s="240">
        <v>1.0</v>
      </c>
    </row>
    <row r="1138">
      <c r="A1138" s="215">
        <v>1134.0</v>
      </c>
      <c r="B1138" s="237"/>
      <c r="C1138" s="238">
        <v>7230.0</v>
      </c>
      <c r="D1138" s="238" t="s">
        <v>4441</v>
      </c>
      <c r="E1138" s="238" t="s">
        <v>5098</v>
      </c>
      <c r="F1138" s="238" t="s">
        <v>4442</v>
      </c>
      <c r="G1138" s="239" t="s">
        <v>3333</v>
      </c>
      <c r="H1138" s="240">
        <v>21.0</v>
      </c>
      <c r="I1138" s="240">
        <v>21.0</v>
      </c>
      <c r="J1138" s="240">
        <v>0.0</v>
      </c>
      <c r="K1138" s="240">
        <v>0.0</v>
      </c>
      <c r="L1138" s="240">
        <v>0.0</v>
      </c>
      <c r="M1138" s="240" t="s">
        <v>3441</v>
      </c>
      <c r="N1138" s="240">
        <v>0.0</v>
      </c>
    </row>
    <row r="1139">
      <c r="A1139" s="215">
        <v>1135.0</v>
      </c>
      <c r="B1139" s="237"/>
      <c r="C1139" s="238">
        <v>7230.0</v>
      </c>
      <c r="D1139" s="238" t="s">
        <v>5104</v>
      </c>
      <c r="E1139" s="238" t="s">
        <v>5098</v>
      </c>
      <c r="F1139" s="238" t="s">
        <v>5105</v>
      </c>
      <c r="G1139" s="239" t="s">
        <v>3333</v>
      </c>
      <c r="H1139" s="240">
        <v>18.0</v>
      </c>
      <c r="I1139" s="240">
        <v>10.0</v>
      </c>
      <c r="J1139" s="240">
        <v>0.0</v>
      </c>
      <c r="K1139" s="240">
        <v>0.0</v>
      </c>
      <c r="L1139" s="240">
        <v>0.0</v>
      </c>
      <c r="M1139" s="240" t="s">
        <v>4360</v>
      </c>
      <c r="N1139" s="240">
        <v>8.0</v>
      </c>
    </row>
    <row r="1140">
      <c r="A1140" s="215">
        <v>1136.0</v>
      </c>
      <c r="B1140" s="237"/>
      <c r="C1140" s="238">
        <v>7240.0</v>
      </c>
      <c r="D1140" s="238">
        <v>9500.0</v>
      </c>
      <c r="E1140" s="238" t="s">
        <v>5106</v>
      </c>
      <c r="F1140" s="238" t="s">
        <v>4158</v>
      </c>
      <c r="G1140" s="239" t="s">
        <v>3333</v>
      </c>
      <c r="H1140" s="240">
        <v>311.0</v>
      </c>
      <c r="I1140" s="240">
        <v>272.0</v>
      </c>
      <c r="J1140" s="240">
        <v>0.0</v>
      </c>
      <c r="K1140" s="240">
        <v>2.0</v>
      </c>
      <c r="L1140" s="240">
        <v>0.0</v>
      </c>
      <c r="M1140" s="240" t="s">
        <v>3387</v>
      </c>
      <c r="N1140" s="240">
        <v>37.0</v>
      </c>
    </row>
    <row r="1141">
      <c r="A1141" s="215">
        <v>1137.0</v>
      </c>
      <c r="B1141" s="237"/>
      <c r="C1141" s="238">
        <v>7270.0</v>
      </c>
      <c r="D1141" s="238">
        <v>9500.0</v>
      </c>
      <c r="E1141" s="238" t="s">
        <v>5107</v>
      </c>
      <c r="F1141" s="238" t="s">
        <v>4158</v>
      </c>
      <c r="G1141" s="239" t="s">
        <v>3333</v>
      </c>
      <c r="H1141" s="240">
        <v>257.0</v>
      </c>
      <c r="I1141" s="240">
        <v>257.0</v>
      </c>
      <c r="J1141" s="240">
        <v>0.0</v>
      </c>
      <c r="K1141" s="240">
        <v>0.0</v>
      </c>
      <c r="L1141" s="240">
        <v>0.0</v>
      </c>
      <c r="M1141" s="240" t="s">
        <v>3626</v>
      </c>
      <c r="N1141" s="240">
        <v>0.0</v>
      </c>
    </row>
    <row r="1142">
      <c r="A1142" s="215">
        <v>1138.0</v>
      </c>
      <c r="B1142" s="216"/>
      <c r="C1142" s="228"/>
      <c r="D1142" s="228"/>
      <c r="E1142" s="227"/>
      <c r="F1142" s="227"/>
      <c r="G1142" s="228"/>
      <c r="H1142" s="227"/>
      <c r="I1142" s="227"/>
      <c r="J1142" s="227"/>
      <c r="K1142" s="227"/>
      <c r="L1142" s="227"/>
      <c r="M1142" s="227"/>
      <c r="N1142" s="227"/>
    </row>
    <row r="1143">
      <c r="A1143" s="215">
        <v>1139.0</v>
      </c>
      <c r="B1143" s="259"/>
      <c r="C1143" s="260"/>
      <c r="D1143" s="260"/>
      <c r="E1143" s="261"/>
      <c r="F1143" s="262" t="s">
        <v>25</v>
      </c>
      <c r="G1143" s="260"/>
      <c r="H1143" s="263">
        <v>55292.0</v>
      </c>
      <c r="I1143" s="263">
        <v>43647.0</v>
      </c>
      <c r="J1143" s="263">
        <v>16.0</v>
      </c>
      <c r="K1143" s="263">
        <v>236.0</v>
      </c>
      <c r="L1143" s="263">
        <v>104.0</v>
      </c>
      <c r="M1143" s="261"/>
      <c r="N1143" s="263">
        <v>11513.0</v>
      </c>
    </row>
    <row r="1144">
      <c r="A1144" s="215">
        <v>1140.0</v>
      </c>
      <c r="B1144" s="216"/>
      <c r="C1144" s="228"/>
      <c r="D1144" s="228"/>
      <c r="E1144" s="227"/>
      <c r="F1144" s="227"/>
      <c r="G1144" s="228"/>
      <c r="H1144" s="227"/>
      <c r="I1144" s="264">
        <v>43899.0</v>
      </c>
      <c r="J1144" s="227"/>
      <c r="K1144" s="227"/>
      <c r="L1144" s="227"/>
      <c r="M1144" s="227"/>
      <c r="N1144" s="227"/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5" max="5" width="17.38"/>
    <col customWidth="1" min="6" max="6" width="20.13"/>
    <col customWidth="1" min="7" max="7" width="14.88"/>
    <col customWidth="1" min="8" max="8" width="7.38"/>
    <col customWidth="1" min="9" max="9" width="6.75"/>
    <col customWidth="1" min="11" max="11" width="14.88"/>
    <col customWidth="1" min="17" max="17" width="20.5"/>
    <col customWidth="1" min="18" max="18" width="16.5"/>
    <col customWidth="1" min="19" max="19" width="74.5"/>
    <col customWidth="1" min="20" max="20" width="18.0"/>
    <col customWidth="1" min="29" max="29" width="18.0"/>
    <col customWidth="1" min="30" max="30" width="73.0"/>
  </cols>
  <sheetData>
    <row r="1">
      <c r="A1" s="72"/>
      <c r="D1" s="73"/>
      <c r="E1" s="72"/>
      <c r="F1" s="72"/>
      <c r="G1" s="72"/>
      <c r="H1" s="72"/>
      <c r="I1" s="72"/>
      <c r="J1" s="72"/>
      <c r="K1" s="74"/>
      <c r="L1" s="74"/>
      <c r="M1" s="74"/>
      <c r="N1" s="75"/>
      <c r="O1" s="72"/>
      <c r="P1" s="72"/>
      <c r="Q1" s="72"/>
      <c r="R1" s="73"/>
      <c r="S1" s="73"/>
      <c r="T1" s="73"/>
      <c r="U1" s="73"/>
      <c r="V1" s="73"/>
      <c r="Y1" s="73"/>
      <c r="Z1" s="73"/>
      <c r="AA1" s="73"/>
      <c r="AB1" s="73"/>
      <c r="AC1" s="73"/>
      <c r="AD1" s="73"/>
      <c r="AE1" s="73"/>
      <c r="AF1" s="73"/>
    </row>
    <row r="2" ht="22.5" customHeight="1">
      <c r="A2" s="73"/>
      <c r="D2" s="73"/>
      <c r="E2" s="79" t="s">
        <v>116</v>
      </c>
      <c r="F2" s="80" t="s">
        <v>118</v>
      </c>
      <c r="G2" s="80" t="s">
        <v>119</v>
      </c>
      <c r="H2" s="80" t="s">
        <v>120</v>
      </c>
      <c r="I2" s="80" t="s">
        <v>121</v>
      </c>
      <c r="J2" s="79" t="s">
        <v>122</v>
      </c>
      <c r="K2" s="82" t="s">
        <v>123</v>
      </c>
      <c r="L2" s="82" t="s">
        <v>124</v>
      </c>
      <c r="M2" s="82" t="s">
        <v>125</v>
      </c>
      <c r="N2" s="85" t="s">
        <v>126</v>
      </c>
      <c r="O2" s="86" t="s">
        <v>127</v>
      </c>
      <c r="P2" s="79" t="s">
        <v>128</v>
      </c>
      <c r="Q2" s="79" t="s">
        <v>129</v>
      </c>
      <c r="R2" s="87" t="s">
        <v>130</v>
      </c>
      <c r="S2" s="89" t="s">
        <v>4773</v>
      </c>
      <c r="T2" s="87" t="s">
        <v>4775</v>
      </c>
      <c r="U2" s="89" t="s">
        <v>151</v>
      </c>
      <c r="V2" s="89" t="s">
        <v>152</v>
      </c>
      <c r="W2" s="89" t="s">
        <v>153</v>
      </c>
      <c r="X2" s="89" t="s">
        <v>154</v>
      </c>
      <c r="Y2" s="89" t="s">
        <v>155</v>
      </c>
      <c r="Z2" s="89" t="s">
        <v>159</v>
      </c>
      <c r="AA2" s="89" t="s">
        <v>163</v>
      </c>
      <c r="AB2" s="89" t="s">
        <v>165</v>
      </c>
      <c r="AC2" s="89" t="s">
        <v>168</v>
      </c>
      <c r="AD2" s="89" t="s">
        <v>171</v>
      </c>
      <c r="AE2" s="73"/>
    </row>
    <row r="3" ht="22.5" customHeight="1">
      <c r="A3" s="73"/>
      <c r="D3" s="73"/>
      <c r="E3" s="127" t="s">
        <v>457</v>
      </c>
      <c r="F3" s="110" t="s">
        <v>458</v>
      </c>
      <c r="G3" s="96">
        <f>IFERROR(__xludf.DUMMYFUNCTION("GOOGLEFINANCE(E3, ""price"")"),132.25)</f>
        <v>132.25</v>
      </c>
      <c r="H3" s="97">
        <f>IFERROR(__xludf.DUMMYFUNCTION("GOOGLEFINANCE(E3, ""low"")"),130.81)</f>
        <v>130.81</v>
      </c>
      <c r="I3" s="99">
        <f>IFERROR(__xludf.DUMMYFUNCTION("GOOGLEFINANCE(E3, ""high"")"),141.74)</f>
        <v>141.74</v>
      </c>
      <c r="J3" s="144"/>
      <c r="K3" s="145"/>
      <c r="L3" s="145"/>
      <c r="M3" s="145"/>
      <c r="N3" s="145"/>
      <c r="O3" s="143"/>
      <c r="P3" s="129">
        <v>90.18</v>
      </c>
      <c r="Q3" s="130">
        <v>45805.76461986111</v>
      </c>
      <c r="R3" s="131" t="b">
        <v>1</v>
      </c>
      <c r="S3" s="143" t="str">
        <f t="shared" ref="S3:S1022" si="1">IF(R3, ANALISE_TACTICA(E3), "Suspenso")</f>
        <v>Análise Pausada</v>
      </c>
      <c r="T3" s="143" t="s">
        <v>4816</v>
      </c>
      <c r="U3" s="110" t="s">
        <v>457</v>
      </c>
      <c r="V3" s="110">
        <v>92.06</v>
      </c>
      <c r="W3" s="255">
        <v>0.0079</v>
      </c>
      <c r="X3" s="110">
        <v>2.05</v>
      </c>
      <c r="Y3" s="110">
        <v>53.7</v>
      </c>
      <c r="Z3" s="110">
        <v>19.57</v>
      </c>
      <c r="AA3" s="110">
        <v>3.88</v>
      </c>
      <c r="AB3" s="110">
        <v>0.41</v>
      </c>
      <c r="AC3" s="110" t="s">
        <v>4826</v>
      </c>
      <c r="AD3" s="110" t="s">
        <v>4827</v>
      </c>
      <c r="AE3" s="73"/>
    </row>
    <row r="4" ht="22.5" customHeight="1">
      <c r="A4" s="73"/>
      <c r="D4" s="73"/>
      <c r="E4" s="127" t="s">
        <v>519</v>
      </c>
      <c r="F4" s="110" t="s">
        <v>524</v>
      </c>
      <c r="G4" s="96">
        <f>IFERROR(__xludf.DUMMYFUNCTION("GOOGLEFINANCE(E4, ""price"")"),185.3)</f>
        <v>185.3</v>
      </c>
      <c r="H4" s="97">
        <f>IFERROR(__xludf.DUMMYFUNCTION("GOOGLEFINANCE(E4, ""low"")"),182.56)</f>
        <v>182.56</v>
      </c>
      <c r="I4" s="99">
        <f>IFERROR(__xludf.DUMMYFUNCTION("GOOGLEFINANCE(E4, ""high"")"),188.28)</f>
        <v>188.28</v>
      </c>
      <c r="J4" s="128" t="s">
        <v>673</v>
      </c>
      <c r="K4" s="129">
        <v>-4.31</v>
      </c>
      <c r="L4" s="129">
        <v>47.14</v>
      </c>
      <c r="M4" s="129">
        <v>13.93</v>
      </c>
      <c r="N4" s="129">
        <v>5.42</v>
      </c>
      <c r="O4" s="110" t="s">
        <v>197</v>
      </c>
      <c r="P4" s="129">
        <v>311.07</v>
      </c>
      <c r="Q4" s="130">
        <v>45828.33428734954</v>
      </c>
      <c r="R4" s="131" t="b">
        <v>1</v>
      </c>
      <c r="S4" s="143" t="str">
        <f t="shared" si="1"/>
        <v>Análise Pausada</v>
      </c>
      <c r="T4" s="143" t="s">
        <v>4816</v>
      </c>
      <c r="U4" s="110" t="s">
        <v>519</v>
      </c>
      <c r="V4" s="110">
        <v>140.86</v>
      </c>
      <c r="W4" s="255">
        <v>0.0422</v>
      </c>
      <c r="X4" s="110">
        <v>16.42</v>
      </c>
      <c r="Y4" s="110">
        <v>46.57</v>
      </c>
      <c r="Z4" s="110">
        <v>20.14</v>
      </c>
      <c r="AA4" s="110">
        <v>6.29</v>
      </c>
      <c r="AB4" s="110">
        <v>0.35</v>
      </c>
      <c r="AC4" s="110" t="s">
        <v>4826</v>
      </c>
      <c r="AD4" s="110" t="s">
        <v>4861</v>
      </c>
      <c r="AE4" s="73"/>
    </row>
    <row r="5" ht="22.5" customHeight="1">
      <c r="A5" s="73"/>
      <c r="B5" s="115" t="s">
        <v>327</v>
      </c>
      <c r="C5" s="116">
        <f>now()</f>
        <v>46288.71545</v>
      </c>
      <c r="D5" s="73"/>
      <c r="E5" s="125" t="s">
        <v>1201</v>
      </c>
      <c r="F5" s="125" t="s">
        <v>1202</v>
      </c>
      <c r="G5" s="96">
        <f>IFERROR(__xludf.DUMMYFUNCTION("GOOGLEFINANCE(E5, ""price"")"),144.45)</f>
        <v>144.45</v>
      </c>
      <c r="H5" s="97">
        <f>IFERROR(__xludf.DUMMYFUNCTION("GOOGLEFINANCE(E5, ""low"")"),143.75)</f>
        <v>143.75</v>
      </c>
      <c r="I5" s="99">
        <f>IFERROR(__xludf.DUMMYFUNCTION("GOOGLEFINANCE(E5, ""high"")"),147.2)</f>
        <v>147.2</v>
      </c>
      <c r="J5" s="152"/>
      <c r="K5" s="104">
        <v>-17.08</v>
      </c>
      <c r="L5" s="104">
        <v>27.68</v>
      </c>
      <c r="M5" s="104">
        <v>16.91</v>
      </c>
      <c r="N5" s="104">
        <v>4.95</v>
      </c>
      <c r="O5" s="104" t="s">
        <v>1204</v>
      </c>
      <c r="P5" s="104">
        <v>194.44</v>
      </c>
      <c r="Q5" s="108">
        <v>45827.34319833333</v>
      </c>
      <c r="R5" s="109" t="b">
        <v>1</v>
      </c>
      <c r="S5" s="143" t="str">
        <f t="shared" si="1"/>
        <v>Análise Pausada</v>
      </c>
      <c r="T5" s="118" t="s">
        <v>4816</v>
      </c>
      <c r="U5" s="111" t="s">
        <v>1201</v>
      </c>
      <c r="V5" s="111">
        <v>178.4</v>
      </c>
      <c r="W5" s="257">
        <v>-0.0137</v>
      </c>
      <c r="X5" s="111">
        <v>-1.6</v>
      </c>
      <c r="Y5" s="111">
        <v>51.95</v>
      </c>
      <c r="Z5" s="111">
        <v>27.05</v>
      </c>
      <c r="AA5" s="111">
        <v>4.05</v>
      </c>
      <c r="AB5" s="111">
        <v>12.57</v>
      </c>
      <c r="AC5" s="111" t="s">
        <v>4826</v>
      </c>
      <c r="AD5" s="111" t="s">
        <v>4911</v>
      </c>
      <c r="AE5" s="73"/>
    </row>
    <row r="6" ht="22.5" customHeight="1">
      <c r="A6" s="73"/>
      <c r="B6" s="123"/>
      <c r="C6" s="73"/>
      <c r="D6" s="73"/>
      <c r="E6" s="134" t="s">
        <v>424</v>
      </c>
      <c r="F6" s="125" t="s">
        <v>425</v>
      </c>
      <c r="G6" s="96">
        <f>IFERROR(__xludf.DUMMYFUNCTION("GOOGLEFINANCE(E6, ""price"")"),240.71)</f>
        <v>240.71</v>
      </c>
      <c r="H6" s="97">
        <f>IFERROR(__xludf.DUMMYFUNCTION("GOOGLEFINANCE(E6, ""low"")"),237.51)</f>
        <v>237.51</v>
      </c>
      <c r="I6" s="99">
        <f>IFERROR(__xludf.DUMMYFUNCTION("GOOGLEFINANCE(E6, ""high"")"),241.69)</f>
        <v>241.69</v>
      </c>
      <c r="J6" s="126" t="s">
        <v>4922</v>
      </c>
      <c r="K6" s="106"/>
      <c r="L6" s="106"/>
      <c r="M6" s="106"/>
      <c r="N6" s="106"/>
      <c r="O6" s="105"/>
      <c r="P6" s="106"/>
      <c r="Q6" s="108"/>
      <c r="R6" s="109" t="b">
        <v>1</v>
      </c>
      <c r="S6" s="143" t="str">
        <f t="shared" si="1"/>
        <v>Análise Pausada</v>
      </c>
      <c r="T6" s="118" t="s">
        <v>4816</v>
      </c>
      <c r="U6" s="111" t="s">
        <v>424</v>
      </c>
      <c r="V6" s="111">
        <v>227.16</v>
      </c>
      <c r="W6" s="257">
        <v>0.0445</v>
      </c>
      <c r="X6" s="111">
        <v>22.14</v>
      </c>
      <c r="Y6" s="111">
        <v>52.45</v>
      </c>
      <c r="Z6" s="111">
        <v>16.23</v>
      </c>
      <c r="AA6" s="111">
        <v>8.18</v>
      </c>
      <c r="AB6" s="111">
        <v>0.83</v>
      </c>
      <c r="AC6" s="111" t="s">
        <v>4826</v>
      </c>
      <c r="AD6" s="111" t="s">
        <v>4960</v>
      </c>
      <c r="AE6" s="73"/>
    </row>
    <row r="7" ht="22.5" customHeight="1">
      <c r="A7" s="73"/>
      <c r="B7" s="123"/>
      <c r="C7" s="73"/>
      <c r="D7" s="73"/>
      <c r="E7" s="139" t="s">
        <v>808</v>
      </c>
      <c r="F7" s="95" t="s">
        <v>811</v>
      </c>
      <c r="G7" s="96">
        <f>IFERROR(__xludf.DUMMYFUNCTION("GOOGLEFINANCE(E7, ""price"")"),860.1)</f>
        <v>860.1</v>
      </c>
      <c r="H7" s="97">
        <f>IFERROR(__xludf.DUMMYFUNCTION("GOOGLEFINANCE(E7, ""low"")"),856.0)</f>
        <v>856</v>
      </c>
      <c r="I7" s="99">
        <f>IFERROR(__xludf.DUMMYFUNCTION("GOOGLEFINANCE(E7, ""high"")"),899.6)</f>
        <v>899.6</v>
      </c>
      <c r="J7" s="140"/>
      <c r="K7" s="104">
        <v>246.4</v>
      </c>
      <c r="L7" s="104">
        <v>80.15</v>
      </c>
      <c r="M7" s="104">
        <v>24.54</v>
      </c>
      <c r="N7" s="104">
        <v>51.6</v>
      </c>
      <c r="O7" s="105" t="s">
        <v>213</v>
      </c>
      <c r="P7" s="104">
        <v>1835.8</v>
      </c>
      <c r="Q7" s="108">
        <v>45707.81391524305</v>
      </c>
      <c r="R7" s="109" t="b">
        <v>1</v>
      </c>
      <c r="S7" s="143" t="str">
        <f t="shared" si="1"/>
        <v>Análise Pausada</v>
      </c>
      <c r="T7" s="118" t="s">
        <v>4816</v>
      </c>
      <c r="U7" s="111" t="s">
        <v>808</v>
      </c>
      <c r="V7" s="111">
        <v>820.6</v>
      </c>
      <c r="W7" s="257">
        <v>-0.0241</v>
      </c>
      <c r="X7" s="111">
        <v>-28.7</v>
      </c>
      <c r="Y7" s="111">
        <v>43.08</v>
      </c>
      <c r="Z7" s="111">
        <v>13.37</v>
      </c>
      <c r="AA7" s="111">
        <v>28.59</v>
      </c>
      <c r="AB7" s="111">
        <v>1.12</v>
      </c>
      <c r="AC7" s="111" t="s">
        <v>4826</v>
      </c>
      <c r="AD7" s="111" t="s">
        <v>4977</v>
      </c>
      <c r="AE7" s="73"/>
    </row>
    <row r="8" ht="22.5" customHeight="1">
      <c r="A8" s="73"/>
      <c r="B8" s="123"/>
      <c r="C8" s="73"/>
      <c r="D8" s="73"/>
      <c r="E8" s="151" t="s">
        <v>4979</v>
      </c>
      <c r="F8" s="125" t="s">
        <v>4980</v>
      </c>
      <c r="G8" s="96">
        <f>IFERROR(__xludf.DUMMYFUNCTION("GOOGLEFINANCE(E8, ""price"")"),97.8)</f>
        <v>97.8</v>
      </c>
      <c r="H8" s="97">
        <f>IFERROR(__xludf.DUMMYFUNCTION("GOOGLEFINANCE(E8, ""low"")"),97.3)</f>
        <v>97.3</v>
      </c>
      <c r="I8" s="99">
        <f>IFERROR(__xludf.DUMMYFUNCTION("GOOGLEFINANCE(E8, ""high"")"),98.9)</f>
        <v>98.9</v>
      </c>
      <c r="J8" s="152"/>
      <c r="K8" s="104">
        <v>24.2</v>
      </c>
      <c r="L8" s="104">
        <v>87.07</v>
      </c>
      <c r="M8" s="104">
        <v>47.28</v>
      </c>
      <c r="N8" s="104">
        <v>4.4</v>
      </c>
      <c r="O8" s="105" t="s">
        <v>588</v>
      </c>
      <c r="P8" s="104">
        <v>123.7</v>
      </c>
      <c r="Q8" s="108">
        <v>45706.44973284722</v>
      </c>
      <c r="R8" s="109" t="b">
        <v>1</v>
      </c>
      <c r="S8" s="143" t="str">
        <f t="shared" si="1"/>
        <v>Análise Pausada</v>
      </c>
      <c r="T8" s="118" t="s">
        <v>4816</v>
      </c>
      <c r="U8" s="111"/>
      <c r="V8" s="111"/>
      <c r="W8" s="257"/>
      <c r="X8" s="111"/>
      <c r="Y8" s="111"/>
      <c r="Z8" s="111"/>
      <c r="AA8" s="111"/>
      <c r="AB8" s="111"/>
      <c r="AC8" s="111"/>
      <c r="AD8" s="111"/>
      <c r="AE8" s="73"/>
    </row>
    <row r="9" ht="22.5" customHeight="1">
      <c r="A9" s="73"/>
      <c r="B9" s="123"/>
      <c r="C9" s="73"/>
      <c r="D9" s="73"/>
      <c r="E9" s="155" t="s">
        <v>211</v>
      </c>
      <c r="F9" s="125" t="s">
        <v>212</v>
      </c>
      <c r="G9" s="96">
        <f>IFERROR(__xludf.DUMMYFUNCTION("GOOGLEFINANCE(E9, ""price"")"),110.98)</f>
        <v>110.98</v>
      </c>
      <c r="H9" s="97">
        <f>IFERROR(__xludf.DUMMYFUNCTION("GOOGLEFINANCE(E9, ""low"")"),110.87)</f>
        <v>110.87</v>
      </c>
      <c r="I9" s="99">
        <f>IFERROR(__xludf.DUMMYFUNCTION("GOOGLEFINANCE(E9, ""high"")"),112.28)</f>
        <v>112.28</v>
      </c>
      <c r="J9" s="126" t="s">
        <v>615</v>
      </c>
      <c r="K9" s="106"/>
      <c r="L9" s="106"/>
      <c r="M9" s="106"/>
      <c r="N9" s="106"/>
      <c r="O9" s="125" t="s">
        <v>213</v>
      </c>
      <c r="P9" s="104">
        <v>117.11</v>
      </c>
      <c r="Q9" s="108">
        <v>45856.30512809027</v>
      </c>
      <c r="R9" s="109" t="b">
        <v>1</v>
      </c>
      <c r="S9" s="143" t="str">
        <f t="shared" si="1"/>
        <v>Análise Pausada</v>
      </c>
      <c r="T9" s="118" t="s">
        <v>4816</v>
      </c>
      <c r="U9" s="111" t="s">
        <v>211</v>
      </c>
      <c r="V9" s="111">
        <v>117.97</v>
      </c>
      <c r="W9" s="257">
        <v>0.1132</v>
      </c>
      <c r="X9" s="111">
        <v>21.99</v>
      </c>
      <c r="Y9" s="111">
        <v>59.61</v>
      </c>
      <c r="Z9" s="111">
        <v>30.11</v>
      </c>
      <c r="AA9" s="111">
        <v>2.9</v>
      </c>
      <c r="AB9" s="111">
        <v>0.58</v>
      </c>
      <c r="AC9" s="111" t="s">
        <v>4826</v>
      </c>
      <c r="AD9" s="111" t="s">
        <v>5030</v>
      </c>
      <c r="AE9" s="73"/>
    </row>
    <row r="10" ht="22.5" customHeight="1">
      <c r="A10" s="73"/>
      <c r="B10" s="123"/>
      <c r="C10" s="73"/>
      <c r="D10" s="73"/>
      <c r="E10" s="242" t="s">
        <v>3558</v>
      </c>
      <c r="F10" s="95" t="s">
        <v>3559</v>
      </c>
      <c r="G10" s="96">
        <f>IFERROR(__xludf.DUMMYFUNCTION("GOOGLEFINANCE(E10, ""price"")"),413.1)</f>
        <v>413.1</v>
      </c>
      <c r="H10" s="97">
        <f>IFERROR(__xludf.DUMMYFUNCTION("GOOGLEFINANCE(E10, ""low"")"),412.9)</f>
        <v>412.9</v>
      </c>
      <c r="I10" s="99">
        <f>IFERROR(__xludf.DUMMYFUNCTION("GOOGLEFINANCE(E10, ""high"")"),432.0)</f>
        <v>432</v>
      </c>
      <c r="J10" s="100" t="s">
        <v>615</v>
      </c>
      <c r="K10" s="104">
        <v>13.1</v>
      </c>
      <c r="L10" s="104">
        <v>65.84</v>
      </c>
      <c r="M10" s="104">
        <v>28.57</v>
      </c>
      <c r="N10" s="104">
        <v>4.6</v>
      </c>
      <c r="O10" s="125" t="s">
        <v>245</v>
      </c>
      <c r="P10" s="104">
        <v>337.7</v>
      </c>
      <c r="Q10" s="108">
        <v>45827.3108494676</v>
      </c>
      <c r="R10" s="109" t="b">
        <v>1</v>
      </c>
      <c r="S10" s="143" t="str">
        <f t="shared" si="1"/>
        <v>Análise Pausada</v>
      </c>
      <c r="T10" s="118" t="s">
        <v>4816</v>
      </c>
      <c r="U10" s="111"/>
      <c r="V10" s="111"/>
      <c r="W10" s="257"/>
      <c r="X10" s="111"/>
      <c r="Y10" s="111"/>
      <c r="Z10" s="111"/>
      <c r="AA10" s="111"/>
      <c r="AB10" s="111"/>
      <c r="AC10" s="111"/>
      <c r="AD10" s="111"/>
      <c r="AE10" s="73"/>
    </row>
    <row r="11" ht="22.5" customHeight="1">
      <c r="A11" s="73"/>
      <c r="B11" s="123"/>
      <c r="C11" s="73"/>
      <c r="D11" s="73"/>
      <c r="E11" s="212" t="s">
        <v>3250</v>
      </c>
      <c r="F11" s="212" t="s">
        <v>3251</v>
      </c>
      <c r="G11" s="96">
        <f>IFERROR(__xludf.DUMMYFUNCTION("GOOGLEFINANCE(E11, ""price"")"),340.63)</f>
        <v>340.63</v>
      </c>
      <c r="H11" s="97">
        <f>IFERROR(__xludf.DUMMYFUNCTION("GOOGLEFINANCE(E11, ""low"")"),340.14)</f>
        <v>340.14</v>
      </c>
      <c r="I11" s="99">
        <f>IFERROR(__xludf.DUMMYFUNCTION("GOOGLEFINANCE(E11, ""high"")"),350.0)</f>
        <v>350</v>
      </c>
      <c r="J11" s="128" t="s">
        <v>4922</v>
      </c>
      <c r="K11" s="145"/>
      <c r="L11" s="145"/>
      <c r="M11" s="145"/>
      <c r="N11" s="145"/>
      <c r="O11" s="105" t="s">
        <v>3253</v>
      </c>
      <c r="P11" s="129">
        <v>213.56</v>
      </c>
      <c r="Q11" s="130">
        <v>45898.83263488426</v>
      </c>
      <c r="R11" s="131" t="b">
        <v>1</v>
      </c>
      <c r="S11" s="143" t="str">
        <f t="shared" si="1"/>
        <v>Análise Pausada</v>
      </c>
      <c r="T11" s="143" t="s">
        <v>4816</v>
      </c>
      <c r="U11" s="110" t="s">
        <v>3250</v>
      </c>
      <c r="V11" s="110">
        <v>347.15</v>
      </c>
      <c r="W11" s="255">
        <v>-0.022</v>
      </c>
      <c r="X11" s="110">
        <v>-10.22</v>
      </c>
      <c r="Y11" s="110">
        <v>43.1</v>
      </c>
      <c r="Z11" s="110">
        <v>11.62</v>
      </c>
      <c r="AA11" s="110">
        <v>9.57</v>
      </c>
      <c r="AB11" s="110">
        <v>0.68</v>
      </c>
      <c r="AC11" s="110" t="s">
        <v>4826</v>
      </c>
      <c r="AD11" s="110" t="s">
        <v>5071</v>
      </c>
      <c r="AE11" s="73"/>
    </row>
    <row r="12" ht="22.5" customHeight="1">
      <c r="A12" s="73"/>
      <c r="B12" s="73"/>
      <c r="C12" s="73"/>
      <c r="D12" s="73"/>
      <c r="E12" s="258" t="s">
        <v>5077</v>
      </c>
      <c r="F12" s="110" t="s">
        <v>5080</v>
      </c>
      <c r="G12" s="96">
        <f>IFERROR(__xludf.DUMMYFUNCTION("GOOGLEFINANCE(E12, ""price"")"),219.75)</f>
        <v>219.75</v>
      </c>
      <c r="H12" s="97">
        <f>IFERROR(__xludf.DUMMYFUNCTION("GOOGLEFINANCE(E12, ""low"")"),218.0)</f>
        <v>218</v>
      </c>
      <c r="I12" s="99">
        <f>IFERROR(__xludf.DUMMYFUNCTION("GOOGLEFINANCE(E12, ""high"")"),225.1)</f>
        <v>225.1</v>
      </c>
      <c r="J12" s="128" t="s">
        <v>615</v>
      </c>
      <c r="K12" s="145"/>
      <c r="L12" s="145"/>
      <c r="M12" s="145"/>
      <c r="N12" s="145"/>
      <c r="O12" s="143"/>
      <c r="P12" s="129">
        <v>181.8</v>
      </c>
      <c r="Q12" s="130">
        <v>45812.238433032406</v>
      </c>
      <c r="R12" s="131" t="b">
        <v>1</v>
      </c>
      <c r="S12" s="143" t="str">
        <f t="shared" si="1"/>
        <v>Análise Pausada</v>
      </c>
      <c r="T12" s="143" t="s">
        <v>4816</v>
      </c>
      <c r="U12" s="143"/>
      <c r="V12" s="143"/>
      <c r="W12" s="143"/>
      <c r="X12" s="143"/>
      <c r="Y12" s="143"/>
      <c r="Z12" s="143"/>
      <c r="AA12" s="143"/>
      <c r="AB12" s="143"/>
      <c r="AC12" s="143"/>
      <c r="AD12" s="110"/>
      <c r="AE12" s="73"/>
    </row>
    <row r="13" ht="22.5" customHeight="1">
      <c r="A13" s="73"/>
      <c r="B13" s="73"/>
      <c r="C13" s="73"/>
      <c r="D13" s="73"/>
      <c r="E13" s="127" t="s">
        <v>1106</v>
      </c>
      <c r="F13" s="110" t="s">
        <v>1107</v>
      </c>
      <c r="G13" s="96">
        <f>IFERROR(__xludf.DUMMYFUNCTION("GOOGLEFINANCE(E13, ""price"")"),250.45)</f>
        <v>250.45</v>
      </c>
      <c r="H13" s="97">
        <f>IFERROR(__xludf.DUMMYFUNCTION("GOOGLEFINANCE(E13, ""low"")"),248.19)</f>
        <v>248.19</v>
      </c>
      <c r="I13" s="99">
        <f>IFERROR(__xludf.DUMMYFUNCTION("GOOGLEFINANCE(E13, ""high"")"),253.99)</f>
        <v>253.99</v>
      </c>
      <c r="J13" s="128" t="s">
        <v>957</v>
      </c>
      <c r="K13" s="129">
        <v>1.93</v>
      </c>
      <c r="L13" s="129">
        <v>58.43</v>
      </c>
      <c r="M13" s="129">
        <v>18.49</v>
      </c>
      <c r="N13" s="129">
        <v>5.28</v>
      </c>
      <c r="O13" s="110" t="s">
        <v>170</v>
      </c>
      <c r="P13" s="129">
        <v>206.0</v>
      </c>
      <c r="Q13" s="130">
        <v>45812.240284687505</v>
      </c>
      <c r="R13" s="131" t="b">
        <v>1</v>
      </c>
      <c r="S13" s="143" t="str">
        <f t="shared" si="1"/>
        <v>Análise Pausada</v>
      </c>
      <c r="T13" s="143" t="s">
        <v>4816</v>
      </c>
      <c r="U13" s="110" t="s">
        <v>1106</v>
      </c>
      <c r="V13" s="110">
        <v>247.55</v>
      </c>
      <c r="W13" s="255">
        <v>0.0184</v>
      </c>
      <c r="X13" s="110">
        <v>9.21</v>
      </c>
      <c r="Y13" s="110">
        <v>51.31</v>
      </c>
      <c r="Z13" s="110">
        <v>21.63</v>
      </c>
      <c r="AA13" s="110">
        <v>6.31</v>
      </c>
      <c r="AB13" s="110">
        <v>0.45</v>
      </c>
      <c r="AC13" s="110" t="s">
        <v>4826</v>
      </c>
      <c r="AD13" s="110" t="s">
        <v>5126</v>
      </c>
      <c r="AE13" s="73"/>
    </row>
    <row r="14" ht="22.5" customHeight="1">
      <c r="A14" s="73"/>
      <c r="B14" s="73"/>
      <c r="C14" s="73"/>
      <c r="D14" s="73"/>
      <c r="E14" s="125" t="s">
        <v>1180</v>
      </c>
      <c r="F14" s="125" t="s">
        <v>1182</v>
      </c>
      <c r="G14" s="96">
        <f>IFERROR(__xludf.DUMMYFUNCTION("GOOGLEFINANCE(E14, ""price"")"),612.95)</f>
        <v>612.95</v>
      </c>
      <c r="H14" s="97">
        <f>IFERROR(__xludf.DUMMYFUNCTION("GOOGLEFINANCE(E14, ""low"")"),608.08)</f>
        <v>608.08</v>
      </c>
      <c r="I14" s="99">
        <f>IFERROR(__xludf.DUMMYFUNCTION("GOOGLEFINANCE(E14, ""high"")"),624.69)</f>
        <v>624.69</v>
      </c>
      <c r="J14" s="126" t="s">
        <v>957</v>
      </c>
      <c r="K14" s="106"/>
      <c r="L14" s="106"/>
      <c r="M14" s="106"/>
      <c r="N14" s="106"/>
      <c r="O14" s="105"/>
      <c r="P14" s="106"/>
      <c r="Q14" s="108"/>
      <c r="R14" s="109" t="b">
        <v>1</v>
      </c>
      <c r="S14" s="143" t="str">
        <f t="shared" si="1"/>
        <v>Análise Pausada</v>
      </c>
      <c r="T14" s="118" t="s">
        <v>4816</v>
      </c>
      <c r="U14" s="111" t="s">
        <v>1180</v>
      </c>
      <c r="V14" s="111">
        <v>544.43</v>
      </c>
      <c r="W14" s="257">
        <v>0.0254</v>
      </c>
      <c r="X14" s="111">
        <v>-36.48</v>
      </c>
      <c r="Y14" s="111">
        <v>54.83</v>
      </c>
      <c r="Z14" s="111">
        <v>16.9</v>
      </c>
      <c r="AA14" s="111">
        <v>30.26</v>
      </c>
      <c r="AB14" s="111">
        <v>0.96</v>
      </c>
      <c r="AC14" s="111" t="s">
        <v>4826</v>
      </c>
      <c r="AD14" s="111" t="s">
        <v>5171</v>
      </c>
      <c r="AE14" s="73"/>
    </row>
    <row r="15" ht="22.5" customHeight="1">
      <c r="A15" s="73"/>
      <c r="B15" s="73"/>
      <c r="C15" s="73"/>
      <c r="D15" s="73"/>
      <c r="E15" s="127" t="s">
        <v>1694</v>
      </c>
      <c r="F15" s="110" t="s">
        <v>1700</v>
      </c>
      <c r="G15" s="96">
        <f>IFERROR(__xludf.DUMMYFUNCTION("GOOGLEFINANCE(E15, ""price"")"),27.17)</f>
        <v>27.17</v>
      </c>
      <c r="H15" s="97">
        <f>IFERROR(__xludf.DUMMYFUNCTION("GOOGLEFINANCE(E15, ""low"")"),26.91)</f>
        <v>26.91</v>
      </c>
      <c r="I15" s="99">
        <f>IFERROR(__xludf.DUMMYFUNCTION("GOOGLEFINANCE(E15, ""high"")"),27.63)</f>
        <v>27.63</v>
      </c>
      <c r="J15" s="128" t="s">
        <v>957</v>
      </c>
      <c r="K15" s="129">
        <v>6.06</v>
      </c>
      <c r="L15" s="129">
        <v>72.57</v>
      </c>
      <c r="M15" s="129">
        <v>22.0</v>
      </c>
      <c r="N15" s="129">
        <v>1.48</v>
      </c>
      <c r="O15" s="110" t="s">
        <v>170</v>
      </c>
      <c r="P15" s="129">
        <v>30.5</v>
      </c>
      <c r="Q15" s="130">
        <v>45796.32851384259</v>
      </c>
      <c r="R15" s="131" t="b">
        <v>1</v>
      </c>
      <c r="S15" s="143" t="str">
        <f t="shared" si="1"/>
        <v>Análise Pausada</v>
      </c>
      <c r="T15" s="143" t="s">
        <v>4816</v>
      </c>
      <c r="U15" s="110"/>
      <c r="V15" s="110"/>
      <c r="W15" s="255"/>
      <c r="X15" s="110"/>
      <c r="Y15" s="110"/>
      <c r="Z15" s="110"/>
      <c r="AA15" s="110"/>
      <c r="AB15" s="110"/>
      <c r="AC15" s="110"/>
      <c r="AD15" s="110"/>
      <c r="AE15" s="73"/>
    </row>
    <row r="16" ht="22.5" customHeight="1">
      <c r="A16" s="73"/>
      <c r="B16" s="73"/>
      <c r="C16" s="73"/>
      <c r="D16" s="73"/>
      <c r="E16" s="127" t="s">
        <v>259</v>
      </c>
      <c r="F16" s="110" t="s">
        <v>827</v>
      </c>
      <c r="G16" s="96">
        <f>IFERROR(__xludf.DUMMYFUNCTION("GOOGLEFINANCE(E16, ""price"")"),13.68)</f>
        <v>13.68</v>
      </c>
      <c r="H16" s="97">
        <f>IFERROR(__xludf.DUMMYFUNCTION("GOOGLEFINANCE(E16, ""low"")"),12.84)</f>
        <v>12.84</v>
      </c>
      <c r="I16" s="99">
        <f>IFERROR(__xludf.DUMMYFUNCTION("GOOGLEFINANCE(E16, ""high"")"),13.71)</f>
        <v>13.71</v>
      </c>
      <c r="J16" s="144"/>
      <c r="K16" s="145"/>
      <c r="L16" s="145"/>
      <c r="M16" s="145"/>
      <c r="N16" s="145"/>
      <c r="O16" s="145"/>
      <c r="P16" s="145"/>
      <c r="Q16" s="130"/>
      <c r="R16" s="131" t="b">
        <v>1</v>
      </c>
      <c r="S16" s="143" t="str">
        <f t="shared" si="1"/>
        <v>Análise Pausada</v>
      </c>
      <c r="T16" s="143" t="s">
        <v>4816</v>
      </c>
      <c r="U16" s="110" t="s">
        <v>259</v>
      </c>
      <c r="V16" s="110">
        <v>9.59</v>
      </c>
      <c r="W16" s="255">
        <v>0.1083</v>
      </c>
      <c r="X16" s="110">
        <v>1.94</v>
      </c>
      <c r="Y16" s="110">
        <v>67.7</v>
      </c>
      <c r="Z16" s="110">
        <v>34.73</v>
      </c>
      <c r="AA16" s="110">
        <v>0.6</v>
      </c>
      <c r="AB16" s="110">
        <v>0.62</v>
      </c>
      <c r="AC16" s="110" t="s">
        <v>4826</v>
      </c>
      <c r="AD16" s="110" t="s">
        <v>5205</v>
      </c>
      <c r="AE16" s="73"/>
    </row>
    <row r="17" ht="22.5" customHeight="1">
      <c r="A17" s="73"/>
      <c r="B17" s="73"/>
      <c r="C17" s="73"/>
      <c r="D17" s="73"/>
      <c r="E17" s="93" t="s">
        <v>5207</v>
      </c>
      <c r="F17" s="95" t="s">
        <v>5208</v>
      </c>
      <c r="G17" s="96"/>
      <c r="H17" s="97">
        <f>IFERROR(__xludf.DUMMYFUNCTION("GOOGLEFINANCE(E17, ""low"")"),295.0)</f>
        <v>295</v>
      </c>
      <c r="I17" s="99">
        <f>IFERROR(__xludf.DUMMYFUNCTION("GOOGLEFINANCE(E17, ""high"")"),301.65)</f>
        <v>301.65</v>
      </c>
      <c r="J17" s="100" t="s">
        <v>615</v>
      </c>
      <c r="K17" s="104">
        <v>11.37</v>
      </c>
      <c r="L17" s="104">
        <v>60.41</v>
      </c>
      <c r="M17" s="104">
        <v>18.38</v>
      </c>
      <c r="N17" s="104">
        <v>5.06</v>
      </c>
      <c r="O17" s="105" t="s">
        <v>998</v>
      </c>
      <c r="P17" s="104">
        <v>233.45</v>
      </c>
      <c r="Q17" s="108">
        <v>45707.44242771991</v>
      </c>
      <c r="R17" s="109" t="b">
        <v>1</v>
      </c>
      <c r="S17" s="143" t="str">
        <f t="shared" si="1"/>
        <v>Análise Pausada</v>
      </c>
      <c r="T17" s="118" t="s">
        <v>4816</v>
      </c>
      <c r="U17" s="111" t="s">
        <v>5207</v>
      </c>
      <c r="V17" s="111">
        <v>21.21</v>
      </c>
      <c r="W17" s="257">
        <v>0.0951</v>
      </c>
      <c r="X17" s="111">
        <v>2.36</v>
      </c>
      <c r="Y17" s="111">
        <v>66.35</v>
      </c>
      <c r="Z17" s="111">
        <v>22.52</v>
      </c>
      <c r="AA17" s="111">
        <v>0.71</v>
      </c>
      <c r="AB17" s="111">
        <v>0.33</v>
      </c>
      <c r="AC17" s="111" t="s">
        <v>4826</v>
      </c>
      <c r="AD17" s="111" t="s">
        <v>5225</v>
      </c>
      <c r="AE17" s="73"/>
    </row>
    <row r="18" ht="22.5" customHeight="1">
      <c r="A18" s="73"/>
      <c r="B18" s="115" t="s">
        <v>327</v>
      </c>
      <c r="C18" s="116">
        <f>now()</f>
        <v>46288.71545</v>
      </c>
      <c r="D18" s="73"/>
      <c r="E18" s="93" t="s">
        <v>193</v>
      </c>
      <c r="F18" s="95" t="s">
        <v>199</v>
      </c>
      <c r="G18" s="96">
        <f>IFERROR(__xludf.DUMMYFUNCTION("GOOGLEFINANCE(E18, ""price"")"),336.89)</f>
        <v>336.89</v>
      </c>
      <c r="H18" s="97">
        <f>IFERROR(__xludf.DUMMYFUNCTION("GOOGLEFINANCE(E18, ""low"")"),335.91)</f>
        <v>335.91</v>
      </c>
      <c r="I18" s="99">
        <f>IFERROR(__xludf.DUMMYFUNCTION("GOOGLEFINANCE(E18, ""high"")"),341.8)</f>
        <v>341.8</v>
      </c>
      <c r="J18" s="100" t="s">
        <v>615</v>
      </c>
      <c r="K18" s="102">
        <v>11.27</v>
      </c>
      <c r="L18" s="104">
        <v>59.69</v>
      </c>
      <c r="M18" s="104">
        <v>19.99</v>
      </c>
      <c r="N18" s="104">
        <v>5.47</v>
      </c>
      <c r="O18" s="105" t="s">
        <v>245</v>
      </c>
      <c r="P18" s="106">
        <v>205.2</v>
      </c>
      <c r="Q18" s="108">
        <v>45761.64357159722</v>
      </c>
      <c r="R18" s="109" t="b">
        <v>1</v>
      </c>
      <c r="S18" s="143" t="str">
        <f t="shared" si="1"/>
        <v>Análise Pausada</v>
      </c>
      <c r="T18" s="118" t="s">
        <v>4816</v>
      </c>
      <c r="U18" s="111" t="s">
        <v>193</v>
      </c>
      <c r="V18" s="111">
        <v>327.74</v>
      </c>
      <c r="W18" s="257">
        <v>0.0624</v>
      </c>
      <c r="X18" s="111">
        <v>38.38</v>
      </c>
      <c r="Y18" s="111">
        <v>64.54</v>
      </c>
      <c r="Z18" s="111">
        <v>27.08</v>
      </c>
      <c r="AA18" s="111">
        <v>7.94</v>
      </c>
      <c r="AB18" s="111">
        <v>0.62</v>
      </c>
      <c r="AC18" s="111" t="s">
        <v>4826</v>
      </c>
      <c r="AD18" s="111" t="s">
        <v>5241</v>
      </c>
      <c r="AE18" s="73"/>
    </row>
    <row r="19" ht="22.5" customHeight="1">
      <c r="A19" s="73"/>
      <c r="B19" s="73"/>
      <c r="C19" s="73"/>
      <c r="D19" s="73"/>
      <c r="E19" s="127" t="s">
        <v>913</v>
      </c>
      <c r="F19" s="110" t="s">
        <v>1094</v>
      </c>
      <c r="G19" s="96">
        <f>IFERROR(__xludf.DUMMYFUNCTION("GOOGLEFINANCE(E19, ""price"")"),312.02)</f>
        <v>312.02</v>
      </c>
      <c r="H19" s="97">
        <f>IFERROR(__xludf.DUMMYFUNCTION("GOOGLEFINANCE(E19, ""low"")"),304.77)</f>
        <v>304.77</v>
      </c>
      <c r="I19" s="99">
        <f>IFERROR(__xludf.DUMMYFUNCTION("GOOGLEFINANCE(E19, ""high"")"),316.0)</f>
        <v>316</v>
      </c>
      <c r="J19" s="144"/>
      <c r="K19" s="145"/>
      <c r="L19" s="145"/>
      <c r="M19" s="145"/>
      <c r="N19" s="145"/>
      <c r="O19" s="143"/>
      <c r="P19" s="145"/>
      <c r="Q19" s="130"/>
      <c r="R19" s="131" t="b">
        <v>1</v>
      </c>
      <c r="S19" s="143" t="str">
        <f t="shared" si="1"/>
        <v>Análise Pausada</v>
      </c>
      <c r="T19" s="143" t="s">
        <v>4816</v>
      </c>
      <c r="U19" s="110" t="s">
        <v>913</v>
      </c>
      <c r="V19" s="110">
        <v>428.69</v>
      </c>
      <c r="W19" s="255">
        <v>-0.1105</v>
      </c>
      <c r="X19" s="110">
        <v>-86.54</v>
      </c>
      <c r="Y19" s="110">
        <v>37.36</v>
      </c>
      <c r="Z19" s="110">
        <v>19.47</v>
      </c>
      <c r="AA19" s="110">
        <v>30.77</v>
      </c>
      <c r="AB19" s="110">
        <v>0.9</v>
      </c>
      <c r="AC19" s="110" t="s">
        <v>4826</v>
      </c>
      <c r="AD19" s="110" t="s">
        <v>5264</v>
      </c>
      <c r="AE19" s="73"/>
    </row>
    <row r="20" ht="22.5" customHeight="1">
      <c r="A20" s="73"/>
      <c r="B20" s="73"/>
      <c r="C20" s="73"/>
      <c r="D20" s="73"/>
      <c r="E20" s="127" t="s">
        <v>1416</v>
      </c>
      <c r="F20" s="110" t="s">
        <v>1419</v>
      </c>
      <c r="G20" s="96">
        <f>IFERROR(__xludf.DUMMYFUNCTION("GOOGLEFINANCE(E20, ""price"")"),201.68)</f>
        <v>201.68</v>
      </c>
      <c r="H20" s="143"/>
      <c r="I20" s="143"/>
      <c r="J20" s="128" t="s">
        <v>4922</v>
      </c>
      <c r="K20" s="129">
        <v>19.88</v>
      </c>
      <c r="L20" s="129">
        <v>75.4</v>
      </c>
      <c r="M20" s="129">
        <v>28.09</v>
      </c>
      <c r="N20" s="129">
        <v>4.4</v>
      </c>
      <c r="O20" s="110" t="s">
        <v>998</v>
      </c>
      <c r="P20" s="129">
        <v>145.81</v>
      </c>
      <c r="Q20" s="130">
        <v>45918.4844130787</v>
      </c>
      <c r="R20" s="131" t="b">
        <v>1</v>
      </c>
      <c r="S20" s="143" t="str">
        <f t="shared" si="1"/>
        <v>Análise Pausada</v>
      </c>
      <c r="T20" s="143" t="s">
        <v>4816</v>
      </c>
      <c r="U20" s="110" t="s">
        <v>1416</v>
      </c>
      <c r="V20" s="110">
        <v>174.58</v>
      </c>
      <c r="W20" s="255">
        <v>0.0219</v>
      </c>
      <c r="X20" s="110">
        <v>4.7</v>
      </c>
      <c r="Y20" s="110">
        <v>53.75</v>
      </c>
      <c r="Z20" s="110">
        <v>16.29</v>
      </c>
      <c r="AA20" s="110">
        <v>10.35</v>
      </c>
      <c r="AB20" s="110">
        <v>0.75</v>
      </c>
      <c r="AC20" s="110" t="s">
        <v>4826</v>
      </c>
      <c r="AD20" s="110" t="s">
        <v>5282</v>
      </c>
      <c r="AE20" s="73"/>
    </row>
    <row r="21" ht="22.5" customHeight="1">
      <c r="A21" s="73"/>
      <c r="B21" s="73"/>
      <c r="C21" s="73"/>
      <c r="D21" s="73"/>
      <c r="E21" s="125" t="s">
        <v>3847</v>
      </c>
      <c r="F21" s="125" t="s">
        <v>3847</v>
      </c>
      <c r="G21" s="96">
        <f>IFERROR(__xludf.DUMMYFUNCTION("GOOGLEFINANCE(E21, ""price"")"),1727.08)</f>
        <v>1727.08</v>
      </c>
      <c r="H21" s="97">
        <f>IFERROR(__xludf.DUMMYFUNCTION("GOOGLEFINANCE(E21, ""low"")"),1704.3)</f>
        <v>1704.3</v>
      </c>
      <c r="I21" s="99">
        <f>IFERROR(__xludf.DUMMYFUNCTION("GOOGLEFINANCE(E21, ""high"")"),1738.55)</f>
        <v>1738.55</v>
      </c>
      <c r="J21" s="152"/>
      <c r="K21" s="106"/>
      <c r="L21" s="106"/>
      <c r="M21" s="106"/>
      <c r="N21" s="106"/>
      <c r="O21" s="105"/>
      <c r="P21" s="104">
        <v>746.09</v>
      </c>
      <c r="Q21" s="108">
        <v>45709.47920290509</v>
      </c>
      <c r="R21" s="109" t="b">
        <v>1</v>
      </c>
      <c r="S21" s="143" t="str">
        <f t="shared" si="1"/>
        <v>Análise Pausada</v>
      </c>
      <c r="T21" s="118" t="s">
        <v>4816</v>
      </c>
      <c r="U21" s="111" t="s">
        <v>3847</v>
      </c>
      <c r="V21" s="111">
        <v>1801.51</v>
      </c>
      <c r="W21" s="257">
        <v>0.001</v>
      </c>
      <c r="X21" s="111">
        <v>-187.93</v>
      </c>
      <c r="Y21" s="111">
        <v>51.94</v>
      </c>
      <c r="Z21" s="111">
        <v>12.61</v>
      </c>
      <c r="AA21" s="111">
        <v>67.99</v>
      </c>
      <c r="AB21" s="111">
        <v>0.76</v>
      </c>
      <c r="AC21" s="111" t="s">
        <v>4826</v>
      </c>
      <c r="AD21" s="111" t="s">
        <v>5300</v>
      </c>
      <c r="AE21" s="73"/>
    </row>
    <row r="22" ht="22.5" customHeight="1">
      <c r="A22" s="73"/>
      <c r="B22" s="73"/>
      <c r="C22" s="73"/>
      <c r="D22" s="73"/>
      <c r="E22" s="151" t="s">
        <v>1782</v>
      </c>
      <c r="F22" s="125" t="s">
        <v>1789</v>
      </c>
      <c r="G22" s="96">
        <f>IFERROR(__xludf.DUMMYFUNCTION("GOOGLEFINANCE(E22, ""price"")"),61.7)</f>
        <v>61.7</v>
      </c>
      <c r="H22" s="97">
        <f>IFERROR(__xludf.DUMMYFUNCTION("GOOGLEFINANCE(E22, ""low"")"),61.38)</f>
        <v>61.38</v>
      </c>
      <c r="I22" s="99">
        <f>IFERROR(__xludf.DUMMYFUNCTION("GOOGLEFINANCE(E22, ""high"")"),63.79)</f>
        <v>63.79</v>
      </c>
      <c r="J22" s="152"/>
      <c r="K22" s="104">
        <v>-25.79</v>
      </c>
      <c r="L22" s="104">
        <v>34.66</v>
      </c>
      <c r="M22" s="104">
        <v>17.28</v>
      </c>
      <c r="N22" s="104">
        <v>7.47</v>
      </c>
      <c r="O22" s="104" t="s">
        <v>170</v>
      </c>
      <c r="P22" s="104">
        <v>60.53</v>
      </c>
      <c r="Q22" s="108">
        <v>46219.377022280096</v>
      </c>
      <c r="R22" s="109" t="b">
        <v>1</v>
      </c>
      <c r="S22" s="143" t="str">
        <f t="shared" si="1"/>
        <v>Análise Pausada</v>
      </c>
      <c r="T22" s="111" t="s">
        <v>4816</v>
      </c>
      <c r="U22" s="111" t="s">
        <v>1782</v>
      </c>
      <c r="V22" s="111">
        <v>63.34</v>
      </c>
      <c r="W22" s="257">
        <v>-0.1191</v>
      </c>
      <c r="X22" s="111">
        <v>-25.52</v>
      </c>
      <c r="Y22" s="111">
        <v>40.72</v>
      </c>
      <c r="Z22" s="111">
        <v>21.59</v>
      </c>
      <c r="AA22" s="111">
        <v>5.88</v>
      </c>
      <c r="AB22" s="111">
        <v>1.09</v>
      </c>
      <c r="AC22" s="111" t="s">
        <v>4826</v>
      </c>
      <c r="AD22" s="111" t="s">
        <v>5320</v>
      </c>
      <c r="AE22" s="73"/>
    </row>
    <row r="23" ht="22.5" customHeight="1">
      <c r="A23" s="73"/>
      <c r="B23" s="73"/>
      <c r="C23" s="73"/>
      <c r="D23" s="73"/>
      <c r="E23" s="110" t="s">
        <v>455</v>
      </c>
      <c r="F23" s="110" t="s">
        <v>507</v>
      </c>
      <c r="G23" s="96">
        <f>IFERROR(__xludf.DUMMYFUNCTION("GOOGLEFINANCE(E23, ""price"")"),194.95)</f>
        <v>194.95</v>
      </c>
      <c r="H23" s="97">
        <f>IFERROR(__xludf.DUMMYFUNCTION("GOOGLEFINANCE(E23, ""low"")"),188.97)</f>
        <v>188.97</v>
      </c>
      <c r="I23" s="99">
        <f>IFERROR(__xludf.DUMMYFUNCTION("GOOGLEFINANCE(E23, ""high"")"),196.92)</f>
        <v>196.92</v>
      </c>
      <c r="J23" s="144"/>
      <c r="K23" s="145"/>
      <c r="L23" s="145"/>
      <c r="M23" s="145"/>
      <c r="N23" s="145"/>
      <c r="O23" s="129"/>
      <c r="P23" s="129">
        <v>315.51</v>
      </c>
      <c r="Q23" s="130">
        <v>45707.37273732639</v>
      </c>
      <c r="R23" s="131" t="b">
        <v>1</v>
      </c>
      <c r="S23" s="143" t="str">
        <f t="shared" si="1"/>
        <v>Análise Pausada</v>
      </c>
      <c r="T23" s="143" t="s">
        <v>4816</v>
      </c>
      <c r="U23" s="110" t="s">
        <v>455</v>
      </c>
      <c r="V23" s="110">
        <v>90.6</v>
      </c>
      <c r="W23" s="255">
        <v>0.048</v>
      </c>
      <c r="X23" s="110">
        <v>12.81</v>
      </c>
      <c r="Y23" s="110">
        <v>52.06</v>
      </c>
      <c r="Z23" s="110">
        <v>17.24</v>
      </c>
      <c r="AA23" s="110">
        <v>5.55</v>
      </c>
      <c r="AB23" s="110">
        <v>0.87</v>
      </c>
      <c r="AC23" s="110" t="s">
        <v>5333</v>
      </c>
      <c r="AD23" s="110" t="s">
        <v>5334</v>
      </c>
      <c r="AE23" s="73"/>
    </row>
    <row r="24" ht="22.5" customHeight="1">
      <c r="A24" s="73"/>
      <c r="B24" s="73"/>
      <c r="C24" s="73"/>
      <c r="D24" s="73"/>
      <c r="E24" s="284" t="s">
        <v>5339</v>
      </c>
      <c r="F24" s="284" t="s">
        <v>5121</v>
      </c>
      <c r="G24" s="96">
        <f>IFERROR(__xludf.DUMMYFUNCTION("GOOGLEFINANCE(E24, ""price"")"),49.31)</f>
        <v>49.31</v>
      </c>
      <c r="H24" s="97">
        <f>IFERROR(__xludf.DUMMYFUNCTION("GOOGLEFINANCE(E24, ""low"")"),49.1)</f>
        <v>49.1</v>
      </c>
      <c r="I24" s="99">
        <f>IFERROR(__xludf.DUMMYFUNCTION("GOOGLEFINANCE(E24, ""high"")"),49.92)</f>
        <v>49.92</v>
      </c>
      <c r="J24" s="285"/>
      <c r="K24" s="145"/>
      <c r="L24" s="145"/>
      <c r="M24" s="145"/>
      <c r="N24" s="145"/>
      <c r="O24" s="129"/>
      <c r="P24" s="129">
        <v>27.2</v>
      </c>
      <c r="Q24" s="130">
        <v>45827.331941400465</v>
      </c>
      <c r="R24" s="131" t="b">
        <v>1</v>
      </c>
      <c r="S24" s="143" t="str">
        <f t="shared" si="1"/>
        <v>Análise Pausada</v>
      </c>
      <c r="T24" s="143" t="s">
        <v>4816</v>
      </c>
      <c r="U24" s="143"/>
      <c r="V24" s="143"/>
      <c r="W24" s="143"/>
      <c r="X24" s="143"/>
      <c r="Y24" s="143"/>
      <c r="Z24" s="143"/>
      <c r="AA24" s="143"/>
      <c r="AB24" s="143"/>
      <c r="AC24" s="143"/>
      <c r="AD24" s="110"/>
      <c r="AE24" s="73"/>
    </row>
    <row r="25" ht="22.5" customHeight="1">
      <c r="A25" s="73"/>
      <c r="B25" s="73"/>
      <c r="C25" s="73"/>
      <c r="D25" s="73"/>
      <c r="E25" s="127" t="s">
        <v>882</v>
      </c>
      <c r="F25" s="110" t="s">
        <v>883</v>
      </c>
      <c r="G25" s="96">
        <f>IFERROR(__xludf.DUMMYFUNCTION("GOOGLEFINANCE(E25, ""price"")"),508.51)</f>
        <v>508.51</v>
      </c>
      <c r="H25" s="97">
        <f>IFERROR(__xludf.DUMMYFUNCTION("GOOGLEFINANCE(E25, ""low"")"),502.81)</f>
        <v>502.81</v>
      </c>
      <c r="I25" s="99">
        <f>IFERROR(__xludf.DUMMYFUNCTION("GOOGLEFINANCE(E25, ""high"")"),509.85)</f>
        <v>509.85</v>
      </c>
      <c r="J25" s="128" t="s">
        <v>615</v>
      </c>
      <c r="K25" s="129">
        <v>3.53</v>
      </c>
      <c r="L25" s="129">
        <v>60.7</v>
      </c>
      <c r="M25" s="129">
        <v>12.67</v>
      </c>
      <c r="N25" s="129">
        <v>6.13</v>
      </c>
      <c r="O25" s="143"/>
      <c r="P25" s="106">
        <v>480.42</v>
      </c>
      <c r="Q25" s="130">
        <v>45709.677997314815</v>
      </c>
      <c r="R25" s="131" t="b">
        <v>1</v>
      </c>
      <c r="S25" s="143" t="str">
        <f t="shared" si="1"/>
        <v>Análise Pausada</v>
      </c>
      <c r="T25" s="143" t="s">
        <v>4816</v>
      </c>
      <c r="U25" s="110" t="s">
        <v>882</v>
      </c>
      <c r="V25" s="110">
        <v>489.65</v>
      </c>
      <c r="W25" s="255">
        <v>-0.0122</v>
      </c>
      <c r="X25" s="110">
        <v>-10.74</v>
      </c>
      <c r="Y25" s="110">
        <v>46.87</v>
      </c>
      <c r="Z25" s="110">
        <v>16.5</v>
      </c>
      <c r="AA25" s="110">
        <v>6.6</v>
      </c>
      <c r="AB25" s="110">
        <v>0.97</v>
      </c>
      <c r="AC25" s="110" t="s">
        <v>5333</v>
      </c>
      <c r="AD25" s="110" t="s">
        <v>5381</v>
      </c>
      <c r="AE25" s="73"/>
    </row>
    <row r="26" ht="22.5" customHeight="1">
      <c r="A26" s="73"/>
      <c r="B26" s="73"/>
      <c r="C26" s="73"/>
      <c r="D26" s="73"/>
      <c r="E26" s="157" t="s">
        <v>1450</v>
      </c>
      <c r="F26" s="95" t="s">
        <v>1451</v>
      </c>
      <c r="G26" s="96">
        <f>IFERROR(__xludf.DUMMYFUNCTION("GOOGLEFINANCE(E26, ""price"")"),2.89)</f>
        <v>2.89</v>
      </c>
      <c r="H26" s="97">
        <f>IFERROR(__xludf.DUMMYFUNCTION("GOOGLEFINANCE(E26, ""low"")"),2.84)</f>
        <v>2.84</v>
      </c>
      <c r="I26" s="99">
        <f>IFERROR(__xludf.DUMMYFUNCTION("GOOGLEFINANCE(E26, ""high"")"),2.9)</f>
        <v>2.9</v>
      </c>
      <c r="J26" s="100" t="s">
        <v>615</v>
      </c>
      <c r="K26" s="104">
        <v>-0.46</v>
      </c>
      <c r="L26" s="104">
        <v>63.98</v>
      </c>
      <c r="M26" s="104">
        <v>47.18</v>
      </c>
      <c r="N26" s="104">
        <v>0.71</v>
      </c>
      <c r="O26" s="125" t="s">
        <v>998</v>
      </c>
      <c r="P26" s="104">
        <v>7.1</v>
      </c>
      <c r="Q26" s="108">
        <v>45855.328992083334</v>
      </c>
      <c r="R26" s="109" t="b">
        <v>1</v>
      </c>
      <c r="S26" s="143" t="str">
        <f t="shared" si="1"/>
        <v>Análise Pausada</v>
      </c>
      <c r="T26" s="118" t="s">
        <v>4816</v>
      </c>
      <c r="U26" s="111" t="s">
        <v>1450</v>
      </c>
      <c r="V26" s="111">
        <v>2.94</v>
      </c>
      <c r="W26" s="257">
        <v>-0.1142</v>
      </c>
      <c r="X26" s="111">
        <v>-0.73</v>
      </c>
      <c r="Y26" s="111">
        <v>31.79</v>
      </c>
      <c r="Z26" s="111">
        <v>28.98</v>
      </c>
      <c r="AA26" s="111">
        <v>0.18</v>
      </c>
      <c r="AB26" s="111">
        <v>0.56</v>
      </c>
      <c r="AC26" s="111" t="s">
        <v>5333</v>
      </c>
      <c r="AD26" s="111" t="s">
        <v>5395</v>
      </c>
      <c r="AE26" s="73"/>
    </row>
    <row r="27" ht="22.5" customHeight="1">
      <c r="A27" s="73"/>
      <c r="B27" s="149" t="s">
        <v>327</v>
      </c>
      <c r="C27" s="150">
        <f>now()</f>
        <v>46288.71545</v>
      </c>
      <c r="D27" s="73"/>
      <c r="E27" s="311" t="s">
        <v>5136</v>
      </c>
      <c r="F27" s="125" t="s">
        <v>5136</v>
      </c>
      <c r="G27" s="96">
        <f>IFERROR(__xludf.DUMMYFUNCTION("GOOGLEFINANCE(E27, ""price"")"),57.88)</f>
        <v>57.88</v>
      </c>
      <c r="H27" s="97">
        <f>IFERROR(__xludf.DUMMYFUNCTION("GOOGLEFINANCE(E27, ""low"")"),57.88)</f>
        <v>57.88</v>
      </c>
      <c r="I27" s="99">
        <f>IFERROR(__xludf.DUMMYFUNCTION("GOOGLEFINANCE(E27, ""high"")"),60.08)</f>
        <v>60.08</v>
      </c>
      <c r="J27" s="126" t="s">
        <v>615</v>
      </c>
      <c r="K27" s="104">
        <v>6.55</v>
      </c>
      <c r="L27" s="104">
        <v>61.3</v>
      </c>
      <c r="M27" s="104">
        <v>23.82</v>
      </c>
      <c r="N27" s="104">
        <v>2.3</v>
      </c>
      <c r="O27" s="125" t="s">
        <v>5408</v>
      </c>
      <c r="P27" s="106">
        <v>66.12</v>
      </c>
      <c r="Q27" s="108">
        <v>45755.44560748842</v>
      </c>
      <c r="R27" s="109" t="b">
        <v>1</v>
      </c>
      <c r="S27" s="143" t="str">
        <f t="shared" si="1"/>
        <v>Análise Pausada</v>
      </c>
      <c r="T27" s="118" t="s">
        <v>4816</v>
      </c>
      <c r="U27" s="118"/>
      <c r="V27" s="118"/>
      <c r="W27" s="118"/>
      <c r="X27" s="118"/>
      <c r="Y27" s="118"/>
      <c r="Z27" s="118"/>
      <c r="AA27" s="118"/>
      <c r="AB27" s="118"/>
      <c r="AC27" s="118"/>
      <c r="AD27" s="111"/>
      <c r="AE27" s="73"/>
    </row>
    <row r="28" ht="22.5" customHeight="1">
      <c r="A28" s="73"/>
      <c r="B28" s="73"/>
      <c r="C28" s="73"/>
      <c r="D28" s="73"/>
      <c r="E28" s="127" t="s">
        <v>2024</v>
      </c>
      <c r="F28" s="110" t="s">
        <v>2027</v>
      </c>
      <c r="G28" s="96">
        <f>IFERROR(__xludf.DUMMYFUNCTION("GOOGLEFINANCE(E28, ""price"")"),201.51)</f>
        <v>201.51</v>
      </c>
      <c r="H28" s="97">
        <f>IFERROR(__xludf.DUMMYFUNCTION("GOOGLEFINANCE(E28, ""low"")"),197.98)</f>
        <v>197.98</v>
      </c>
      <c r="I28" s="99">
        <f>IFERROR(__xludf.DUMMYFUNCTION("GOOGLEFINANCE(E28, ""high"")"),204.07)</f>
        <v>204.07</v>
      </c>
      <c r="J28" s="144"/>
      <c r="K28" s="145"/>
      <c r="L28" s="129">
        <v>45.52</v>
      </c>
      <c r="M28" s="129">
        <v>35.64</v>
      </c>
      <c r="N28" s="129">
        <v>5.79</v>
      </c>
      <c r="O28" s="110" t="s">
        <v>245</v>
      </c>
      <c r="P28" s="129">
        <v>198.22</v>
      </c>
      <c r="Q28" s="130">
        <v>45821.67355234954</v>
      </c>
      <c r="R28" s="131" t="b">
        <v>1</v>
      </c>
      <c r="S28" s="143" t="str">
        <f t="shared" si="1"/>
        <v>Análise Pausada</v>
      </c>
      <c r="T28" s="143" t="s">
        <v>4816</v>
      </c>
      <c r="U28" s="110" t="s">
        <v>2024</v>
      </c>
      <c r="V28" s="110">
        <v>204.8</v>
      </c>
      <c r="W28" s="255">
        <v>-0.0645</v>
      </c>
      <c r="X28" s="110">
        <v>-11.67</v>
      </c>
      <c r="Y28" s="110">
        <v>35.17</v>
      </c>
      <c r="Z28" s="110">
        <v>12.68</v>
      </c>
      <c r="AA28" s="110">
        <v>5.75</v>
      </c>
      <c r="AB28" s="110">
        <v>1.84</v>
      </c>
      <c r="AC28" s="110" t="s">
        <v>5333</v>
      </c>
      <c r="AD28" s="110" t="s">
        <v>5424</v>
      </c>
      <c r="AE28" s="73"/>
    </row>
    <row r="29" ht="22.5" customHeight="1">
      <c r="A29" s="73"/>
      <c r="B29" s="73"/>
      <c r="C29" s="73"/>
      <c r="D29" s="73"/>
      <c r="E29" s="317" t="s">
        <v>5429</v>
      </c>
      <c r="F29" s="125" t="s">
        <v>5429</v>
      </c>
      <c r="G29" s="96">
        <f>IFERROR(__xludf.DUMMYFUNCTION("GOOGLEFINANCE(E29, ""price"")"),38.39)</f>
        <v>38.39</v>
      </c>
      <c r="H29" s="97">
        <f>IFERROR(__xludf.DUMMYFUNCTION("GOOGLEFINANCE(E29, ""low"")"),38.13)</f>
        <v>38.13</v>
      </c>
      <c r="I29" s="99">
        <f>IFERROR(__xludf.DUMMYFUNCTION("GOOGLEFINANCE(E29, ""high"")"),38.4)</f>
        <v>38.4</v>
      </c>
      <c r="J29" s="126" t="s">
        <v>615</v>
      </c>
      <c r="K29" s="106"/>
      <c r="L29" s="106"/>
      <c r="M29" s="106"/>
      <c r="N29" s="106"/>
      <c r="O29" s="104"/>
      <c r="P29" s="104">
        <v>40.21</v>
      </c>
      <c r="Q29" s="108">
        <v>45812.2421772338</v>
      </c>
      <c r="R29" s="109" t="b">
        <v>1</v>
      </c>
      <c r="S29" s="143" t="str">
        <f t="shared" si="1"/>
        <v>Análise Pausada</v>
      </c>
      <c r="T29" s="118" t="s">
        <v>4816</v>
      </c>
      <c r="U29" s="118"/>
      <c r="V29" s="118"/>
      <c r="W29" s="118"/>
      <c r="X29" s="118"/>
      <c r="Y29" s="118"/>
      <c r="Z29" s="118"/>
      <c r="AA29" s="118"/>
      <c r="AB29" s="118"/>
      <c r="AC29" s="118"/>
      <c r="AD29" s="111"/>
      <c r="AE29" s="73"/>
    </row>
    <row r="30" ht="22.5" customHeight="1">
      <c r="A30" s="73"/>
      <c r="B30" s="73"/>
      <c r="C30" s="73"/>
      <c r="D30" s="73"/>
      <c r="E30" s="154" t="s">
        <v>219</v>
      </c>
      <c r="F30" s="110" t="s">
        <v>221</v>
      </c>
      <c r="G30" s="96">
        <f>IFERROR(__xludf.DUMMYFUNCTION("GOOGLEFINANCE(E30, ""price"")"),356.26)</f>
        <v>356.26</v>
      </c>
      <c r="H30" s="97">
        <f>IFERROR(__xludf.DUMMYFUNCTION("GOOGLEFINANCE(E30, ""low"")"),354.8)</f>
        <v>354.8</v>
      </c>
      <c r="I30" s="99">
        <f>IFERROR(__xludf.DUMMYFUNCTION("GOOGLEFINANCE(E30, ""high"")"),362.9)</f>
        <v>362.9</v>
      </c>
      <c r="J30" s="128" t="s">
        <v>4922</v>
      </c>
      <c r="K30" s="129">
        <v>26.17</v>
      </c>
      <c r="L30" s="129">
        <v>81.35</v>
      </c>
      <c r="M30" s="129">
        <v>35.38</v>
      </c>
      <c r="N30" s="129">
        <v>7.33</v>
      </c>
      <c r="O30" s="129" t="s">
        <v>170</v>
      </c>
      <c r="P30" s="129">
        <v>248.89</v>
      </c>
      <c r="Q30" s="130">
        <v>45814.12637445602</v>
      </c>
      <c r="R30" s="131" t="b">
        <v>1</v>
      </c>
      <c r="S30" s="143" t="str">
        <f t="shared" si="1"/>
        <v>Análise Pausada</v>
      </c>
      <c r="T30" s="143" t="s">
        <v>4816</v>
      </c>
      <c r="U30" s="110"/>
      <c r="V30" s="110"/>
      <c r="W30" s="255"/>
      <c r="X30" s="110"/>
      <c r="Y30" s="110"/>
      <c r="Z30" s="110"/>
      <c r="AA30" s="110"/>
      <c r="AB30" s="110"/>
      <c r="AC30" s="110"/>
      <c r="AD30" s="110"/>
      <c r="AE30" s="73"/>
    </row>
    <row r="31" ht="22.5" customHeight="1">
      <c r="A31" s="73"/>
      <c r="B31" s="73"/>
      <c r="C31" s="73"/>
      <c r="D31" s="73"/>
      <c r="E31" s="127" t="s">
        <v>2506</v>
      </c>
      <c r="F31" s="110" t="s">
        <v>2508</v>
      </c>
      <c r="G31" s="96">
        <f>IFERROR(__xludf.DUMMYFUNCTION("GOOGLEFINANCE(E31, ""price"")"),10.14)</f>
        <v>10.14</v>
      </c>
      <c r="H31" s="97">
        <f>IFERROR(__xludf.DUMMYFUNCTION("GOOGLEFINANCE(E31, ""low"")"),10.13)</f>
        <v>10.13</v>
      </c>
      <c r="I31" s="99">
        <f>IFERROR(__xludf.DUMMYFUNCTION("GOOGLEFINANCE(E31, ""high"")"),10.22)</f>
        <v>10.22</v>
      </c>
      <c r="J31" s="144"/>
      <c r="K31" s="145"/>
      <c r="L31" s="145"/>
      <c r="M31" s="145"/>
      <c r="N31" s="145"/>
      <c r="O31" s="143"/>
      <c r="P31" s="129">
        <v>99.11</v>
      </c>
      <c r="Q31" s="130">
        <v>45769.732814953706</v>
      </c>
      <c r="R31" s="131" t="b">
        <v>1</v>
      </c>
      <c r="S31" s="143" t="str">
        <f t="shared" si="1"/>
        <v>Análise Pausada</v>
      </c>
      <c r="T31" s="143" t="s">
        <v>4816</v>
      </c>
      <c r="U31" s="110" t="s">
        <v>2506</v>
      </c>
      <c r="V31" s="110">
        <v>11.34</v>
      </c>
      <c r="W31" s="255">
        <v>0.0898</v>
      </c>
      <c r="X31" s="110">
        <v>2.07</v>
      </c>
      <c r="Y31" s="110">
        <v>59.39</v>
      </c>
      <c r="Z31" s="110">
        <v>24.02</v>
      </c>
      <c r="AA31" s="110">
        <v>0.16</v>
      </c>
      <c r="AB31" s="110">
        <v>0.11</v>
      </c>
      <c r="AC31" s="110" t="s">
        <v>5333</v>
      </c>
      <c r="AD31" s="110" t="s">
        <v>5464</v>
      </c>
      <c r="AE31" s="73"/>
    </row>
    <row r="32" ht="22.5" customHeight="1">
      <c r="A32" s="73"/>
      <c r="B32" s="73"/>
      <c r="C32" s="73"/>
      <c r="D32" s="73"/>
      <c r="E32" s="127" t="s">
        <v>665</v>
      </c>
      <c r="F32" s="141" t="s">
        <v>1009</v>
      </c>
      <c r="G32" s="96">
        <f>IFERROR(__xludf.DUMMYFUNCTION("GOOGLEFINANCE(E32, ""price"")"),10.89)</f>
        <v>10.89</v>
      </c>
      <c r="H32" s="143"/>
      <c r="I32" s="143"/>
      <c r="J32" s="128" t="s">
        <v>615</v>
      </c>
      <c r="K32" s="129">
        <v>2.45</v>
      </c>
      <c r="L32" s="129">
        <v>58.0</v>
      </c>
      <c r="M32" s="129">
        <v>27.5</v>
      </c>
      <c r="N32" s="129">
        <v>1.61</v>
      </c>
      <c r="O32" s="110" t="s">
        <v>197</v>
      </c>
      <c r="P32" s="129">
        <v>25.85</v>
      </c>
      <c r="Q32" s="130">
        <v>45812.51162340278</v>
      </c>
      <c r="R32" s="131" t="b">
        <v>1</v>
      </c>
      <c r="S32" s="143" t="str">
        <f t="shared" si="1"/>
        <v>Análise Pausada</v>
      </c>
      <c r="T32" s="143" t="s">
        <v>4816</v>
      </c>
      <c r="U32" s="110" t="s">
        <v>665</v>
      </c>
      <c r="V32" s="110">
        <v>8.59</v>
      </c>
      <c r="W32" s="255">
        <v>-0.0483</v>
      </c>
      <c r="X32" s="110">
        <v>-0.5</v>
      </c>
      <c r="Y32" s="110">
        <v>36.7</v>
      </c>
      <c r="Z32" s="110">
        <v>18.85</v>
      </c>
      <c r="AA32" s="110">
        <v>0.47</v>
      </c>
      <c r="AB32" s="110">
        <v>0.78</v>
      </c>
      <c r="AC32" s="110" t="s">
        <v>5333</v>
      </c>
      <c r="AD32" s="110" t="s">
        <v>5485</v>
      </c>
      <c r="AE32" s="73"/>
    </row>
    <row r="33" ht="22.5" customHeight="1">
      <c r="A33" s="73"/>
      <c r="B33" s="73"/>
      <c r="C33" s="73"/>
      <c r="D33" s="73"/>
      <c r="E33" s="125" t="s">
        <v>2536</v>
      </c>
      <c r="F33" s="125" t="s">
        <v>2537</v>
      </c>
      <c r="G33" s="96">
        <f>IFERROR(__xludf.DUMMYFUNCTION("GOOGLEFINANCE(E33, ""price"")"),106.1)</f>
        <v>106.1</v>
      </c>
      <c r="H33" s="97">
        <f>IFERROR(__xludf.DUMMYFUNCTION("GOOGLEFINANCE(E33, ""low"")"),104.65)</f>
        <v>104.65</v>
      </c>
      <c r="I33" s="99">
        <f>IFERROR(__xludf.DUMMYFUNCTION("GOOGLEFINANCE(E33, ""high"")"),107.5)</f>
        <v>107.5</v>
      </c>
      <c r="J33" s="152"/>
      <c r="K33" s="106"/>
      <c r="L33" s="106"/>
      <c r="M33" s="106"/>
      <c r="N33" s="106"/>
      <c r="O33" s="105"/>
      <c r="P33" s="106">
        <v>161.7</v>
      </c>
      <c r="Q33" s="108"/>
      <c r="R33" s="109" t="b">
        <v>1</v>
      </c>
      <c r="S33" s="143" t="str">
        <f t="shared" si="1"/>
        <v>Análise Pausada</v>
      </c>
      <c r="T33" s="118" t="s">
        <v>4816</v>
      </c>
      <c r="U33" s="111" t="s">
        <v>2536</v>
      </c>
      <c r="V33" s="111">
        <v>19.5</v>
      </c>
      <c r="W33" s="257">
        <v>0.0</v>
      </c>
      <c r="X33" s="111">
        <v>0.0</v>
      </c>
      <c r="Y33" s="111">
        <v>59.04</v>
      </c>
      <c r="Z33" s="111">
        <v>19.41</v>
      </c>
      <c r="AA33" s="111">
        <v>0.0</v>
      </c>
      <c r="AB33" s="111">
        <v>0.05</v>
      </c>
      <c r="AC33" s="111" t="s">
        <v>5333</v>
      </c>
      <c r="AD33" s="111" t="s">
        <v>5499</v>
      </c>
      <c r="AE33" s="73"/>
    </row>
    <row r="34" ht="22.5" customHeight="1">
      <c r="A34" s="73"/>
      <c r="B34" s="73"/>
      <c r="C34" s="73"/>
      <c r="D34" s="73"/>
      <c r="E34" s="127" t="s">
        <v>2631</v>
      </c>
      <c r="F34" s="110" t="s">
        <v>2633</v>
      </c>
      <c r="G34" s="96">
        <f>IFERROR(__xludf.DUMMYFUNCTION("GOOGLEFINANCE(E34, ""price"")"),29.05)</f>
        <v>29.05</v>
      </c>
      <c r="H34" s="97">
        <f>IFERROR(__xludf.DUMMYFUNCTION("GOOGLEFINANCE(E34, ""low"")"),28.7)</f>
        <v>28.7</v>
      </c>
      <c r="I34" s="99">
        <f>IFERROR(__xludf.DUMMYFUNCTION("GOOGLEFINANCE(E34, ""high"")"),29.46)</f>
        <v>29.46</v>
      </c>
      <c r="J34" s="144"/>
      <c r="K34" s="145"/>
      <c r="L34" s="145"/>
      <c r="M34" s="145"/>
      <c r="N34" s="145"/>
      <c r="O34" s="110" t="s">
        <v>998</v>
      </c>
      <c r="P34" s="129">
        <v>57.5</v>
      </c>
      <c r="Q34" s="130">
        <v>45918.477911574075</v>
      </c>
      <c r="R34" s="131" t="b">
        <v>1</v>
      </c>
      <c r="S34" s="143" t="str">
        <f t="shared" si="1"/>
        <v>Análise Pausada</v>
      </c>
      <c r="T34" s="143" t="s">
        <v>4816</v>
      </c>
      <c r="U34" s="110" t="s">
        <v>2631</v>
      </c>
      <c r="V34" s="110">
        <v>28.02</v>
      </c>
      <c r="W34" s="255">
        <v>-0.0689</v>
      </c>
      <c r="X34" s="110">
        <v>-1.26</v>
      </c>
      <c r="Y34" s="110">
        <v>39.2</v>
      </c>
      <c r="Z34" s="110">
        <v>14.3</v>
      </c>
      <c r="AA34" s="110">
        <v>1.47</v>
      </c>
      <c r="AB34" s="110">
        <v>1.51</v>
      </c>
      <c r="AC34" s="110" t="s">
        <v>5333</v>
      </c>
      <c r="AD34" s="110" t="s">
        <v>5514</v>
      </c>
      <c r="AE34" s="73"/>
    </row>
    <row r="35" ht="22.5" customHeight="1">
      <c r="A35" s="73"/>
      <c r="B35" s="73"/>
      <c r="C35" s="73"/>
      <c r="D35" s="73"/>
      <c r="E35" s="127" t="s">
        <v>1189</v>
      </c>
      <c r="F35" s="110" t="s">
        <v>1190</v>
      </c>
      <c r="G35" s="96">
        <f>IFERROR(__xludf.DUMMYFUNCTION("GOOGLEFINANCE(E35, ""price"")"),148.75)</f>
        <v>148.75</v>
      </c>
      <c r="H35" s="97">
        <f>IFERROR(__xludf.DUMMYFUNCTION("GOOGLEFINANCE(E35, ""low"")"),147.95)</f>
        <v>147.95</v>
      </c>
      <c r="I35" s="99">
        <f>IFERROR(__xludf.DUMMYFUNCTION("GOOGLEFINANCE(E35, ""high"")"),150.95)</f>
        <v>150.95</v>
      </c>
      <c r="J35" s="144"/>
      <c r="K35" s="145"/>
      <c r="L35" s="145"/>
      <c r="M35" s="145"/>
      <c r="N35" s="145"/>
      <c r="O35" s="145"/>
      <c r="P35" s="145"/>
      <c r="Q35" s="130"/>
      <c r="R35" s="131" t="b">
        <v>1</v>
      </c>
      <c r="S35" s="143" t="str">
        <f t="shared" si="1"/>
        <v>Análise Pausada</v>
      </c>
      <c r="T35" s="143" t="s">
        <v>4816</v>
      </c>
      <c r="U35" s="110" t="s">
        <v>1189</v>
      </c>
      <c r="V35" s="110">
        <v>52.62</v>
      </c>
      <c r="W35" s="255">
        <v>0.0454</v>
      </c>
      <c r="X35" s="110">
        <v>4.01</v>
      </c>
      <c r="Y35" s="110">
        <v>68.24</v>
      </c>
      <c r="Z35" s="110">
        <v>36.73</v>
      </c>
      <c r="AA35" s="110">
        <v>1.09</v>
      </c>
      <c r="AB35" s="110">
        <v>0.46</v>
      </c>
      <c r="AC35" s="110" t="s">
        <v>5333</v>
      </c>
      <c r="AD35" s="110" t="s">
        <v>5532</v>
      </c>
      <c r="AE35" s="73"/>
    </row>
    <row r="36" ht="22.5" customHeight="1">
      <c r="A36" s="73"/>
      <c r="B36" s="73"/>
      <c r="C36" s="73"/>
      <c r="D36" s="73"/>
      <c r="E36" s="171" t="s">
        <v>183</v>
      </c>
      <c r="F36" s="95" t="s">
        <v>184</v>
      </c>
      <c r="G36" s="96">
        <f>IFERROR(__xludf.DUMMYFUNCTION("GOOGLEFINANCE(E36, ""price"")"),106.16)</f>
        <v>106.16</v>
      </c>
      <c r="H36" s="97">
        <f>IFERROR(__xludf.DUMMYFUNCTION("GOOGLEFINANCE(E36, ""low"")"),105.95)</f>
        <v>105.95</v>
      </c>
      <c r="I36" s="99">
        <f>IFERROR(__xludf.DUMMYFUNCTION("GOOGLEFINANCE(E36, ""high"")"),106.88)</f>
        <v>106.88</v>
      </c>
      <c r="J36" s="140"/>
      <c r="K36" s="106"/>
      <c r="L36" s="106"/>
      <c r="M36" s="106"/>
      <c r="N36" s="106"/>
      <c r="O36" s="105"/>
      <c r="P36" s="104">
        <v>57.13</v>
      </c>
      <c r="Q36" s="108">
        <v>45827.33328304398</v>
      </c>
      <c r="R36" s="109" t="b">
        <v>1</v>
      </c>
      <c r="S36" s="143" t="str">
        <f t="shared" si="1"/>
        <v>Análise Pausada</v>
      </c>
      <c r="T36" s="118" t="s">
        <v>4816</v>
      </c>
      <c r="U36" s="111" t="s">
        <v>183</v>
      </c>
      <c r="V36" s="111">
        <v>112.18</v>
      </c>
      <c r="W36" s="257">
        <v>-0.0289</v>
      </c>
      <c r="X36" s="111">
        <v>-5.28</v>
      </c>
      <c r="Y36" s="111">
        <v>45.36</v>
      </c>
      <c r="Z36" s="111">
        <v>21.05</v>
      </c>
      <c r="AA36" s="111">
        <v>3.65</v>
      </c>
      <c r="AB36" s="111">
        <v>0.62</v>
      </c>
      <c r="AC36" s="111" t="s">
        <v>5333</v>
      </c>
      <c r="AD36" s="111" t="s">
        <v>5547</v>
      </c>
      <c r="AE36" s="73"/>
    </row>
    <row r="37" ht="22.5" customHeight="1">
      <c r="A37" s="73"/>
      <c r="B37" s="73"/>
      <c r="C37" s="73"/>
      <c r="D37" s="73"/>
      <c r="E37" s="110" t="s">
        <v>2657</v>
      </c>
      <c r="F37" s="110" t="s">
        <v>2659</v>
      </c>
      <c r="G37" s="96">
        <f>IFERROR(__xludf.DUMMYFUNCTION("GOOGLEFINANCE(E37, ""price"")"),14.81)</f>
        <v>14.81</v>
      </c>
      <c r="H37" s="97">
        <f>IFERROR(__xludf.DUMMYFUNCTION("GOOGLEFINANCE(E37, ""low"")"),14.7)</f>
        <v>14.7</v>
      </c>
      <c r="I37" s="99">
        <f>IFERROR(__xludf.DUMMYFUNCTION("GOOGLEFINANCE(E37, ""high"")"),15.22)</f>
        <v>15.22</v>
      </c>
      <c r="J37" s="144"/>
      <c r="K37" s="145"/>
      <c r="L37" s="145"/>
      <c r="M37" s="145"/>
      <c r="N37" s="145"/>
      <c r="O37" s="129"/>
      <c r="P37" s="129">
        <v>9.16</v>
      </c>
      <c r="Q37" s="130">
        <v>45812.25111438657</v>
      </c>
      <c r="R37" s="131" t="b">
        <v>1</v>
      </c>
      <c r="S37" s="143" t="str">
        <f t="shared" si="1"/>
        <v>Análise Pausada</v>
      </c>
      <c r="T37" s="143" t="s">
        <v>4816</v>
      </c>
      <c r="U37" s="110" t="s">
        <v>2657</v>
      </c>
      <c r="V37" s="110">
        <v>15.38</v>
      </c>
      <c r="W37" s="255">
        <v>0.0924</v>
      </c>
      <c r="X37" s="110">
        <v>0.83</v>
      </c>
      <c r="Y37" s="110">
        <v>55.67</v>
      </c>
      <c r="Z37" s="110">
        <v>16.61</v>
      </c>
      <c r="AA37" s="110">
        <v>1.19</v>
      </c>
      <c r="AB37" s="110">
        <v>1.22</v>
      </c>
      <c r="AC37" s="110" t="s">
        <v>5333</v>
      </c>
      <c r="AD37" s="110" t="s">
        <v>5561</v>
      </c>
      <c r="AE37" s="73"/>
    </row>
    <row r="38" ht="22.5" customHeight="1">
      <c r="A38" s="73"/>
      <c r="B38" s="149" t="s">
        <v>327</v>
      </c>
      <c r="C38" s="150">
        <f>now()</f>
        <v>46288.71545</v>
      </c>
      <c r="D38" s="73"/>
      <c r="E38" s="250" t="s">
        <v>68</v>
      </c>
      <c r="F38" s="125" t="s">
        <v>787</v>
      </c>
      <c r="G38" s="96">
        <f>IFERROR(__xludf.DUMMYFUNCTION("GOOGLEFINANCE(E38, ""price"")"),358.42)</f>
        <v>358.42</v>
      </c>
      <c r="H38" s="97">
        <f>IFERROR(__xludf.DUMMYFUNCTION("GOOGLEFINANCE(E38, ""low"")"),345.3)</f>
        <v>345.3</v>
      </c>
      <c r="I38" s="99">
        <f>IFERROR(__xludf.DUMMYFUNCTION("GOOGLEFINANCE(E38, ""high"")"),364.23)</f>
        <v>364.23</v>
      </c>
      <c r="J38" s="152"/>
      <c r="K38" s="104">
        <v>-11.0</v>
      </c>
      <c r="L38" s="104">
        <v>54.75</v>
      </c>
      <c r="M38" s="104">
        <v>29.18</v>
      </c>
      <c r="N38" s="104">
        <v>6.52</v>
      </c>
      <c r="O38" s="125" t="s">
        <v>197</v>
      </c>
      <c r="P38" s="104">
        <v>184.62</v>
      </c>
      <c r="Q38" s="108">
        <v>45853.691538831015</v>
      </c>
      <c r="R38" s="109" t="b">
        <v>1</v>
      </c>
      <c r="S38" s="143" t="str">
        <f t="shared" si="1"/>
        <v>Análise Pausada</v>
      </c>
      <c r="T38" s="118" t="s">
        <v>4816</v>
      </c>
      <c r="U38" s="111" t="s">
        <v>68</v>
      </c>
      <c r="V38" s="111">
        <v>272.31</v>
      </c>
      <c r="W38" s="257">
        <v>0.0589</v>
      </c>
      <c r="X38" s="111">
        <v>27.03</v>
      </c>
      <c r="Y38" s="111">
        <v>60.93</v>
      </c>
      <c r="Z38" s="111">
        <v>23.37</v>
      </c>
      <c r="AA38" s="111">
        <v>13.47</v>
      </c>
      <c r="AB38" s="111">
        <v>1.01</v>
      </c>
      <c r="AC38" s="111" t="s">
        <v>5333</v>
      </c>
      <c r="AD38" s="111" t="s">
        <v>5580</v>
      </c>
      <c r="AE38" s="73"/>
    </row>
    <row r="39" ht="22.5" customHeight="1">
      <c r="A39" s="73"/>
      <c r="B39" s="73"/>
      <c r="C39" s="73"/>
      <c r="D39" s="73"/>
      <c r="E39" s="127" t="s">
        <v>2746</v>
      </c>
      <c r="F39" s="110" t="s">
        <v>2747</v>
      </c>
      <c r="G39" s="96">
        <f>IFERROR(__xludf.DUMMYFUNCTION("GOOGLEFINANCE(E39, ""price"")"),30.25)</f>
        <v>30.25</v>
      </c>
      <c r="H39" s="97">
        <f>IFERROR(__xludf.DUMMYFUNCTION("GOOGLEFINANCE(E39, ""low"")"),28.84)</f>
        <v>28.84</v>
      </c>
      <c r="I39" s="99">
        <f>IFERROR(__xludf.DUMMYFUNCTION("GOOGLEFINANCE(E39, ""high"")"),31.26)</f>
        <v>31.26</v>
      </c>
      <c r="J39" s="128" t="s">
        <v>673</v>
      </c>
      <c r="K39" s="129">
        <v>4.27</v>
      </c>
      <c r="L39" s="129">
        <v>56.4</v>
      </c>
      <c r="M39" s="129">
        <v>14.94</v>
      </c>
      <c r="N39" s="129">
        <v>2.25</v>
      </c>
      <c r="O39" s="110" t="s">
        <v>2752</v>
      </c>
      <c r="P39" s="129">
        <v>57.43</v>
      </c>
      <c r="Q39" s="130">
        <v>45841.42246173611</v>
      </c>
      <c r="R39" s="131" t="b">
        <v>1</v>
      </c>
      <c r="S39" s="143" t="str">
        <f t="shared" si="1"/>
        <v>Análise Pausada</v>
      </c>
      <c r="T39" s="143" t="s">
        <v>4816</v>
      </c>
      <c r="U39" s="110" t="s">
        <v>2746</v>
      </c>
      <c r="V39" s="110">
        <v>23.79</v>
      </c>
      <c r="W39" s="255">
        <v>0.0039</v>
      </c>
      <c r="X39" s="110">
        <v>1.38</v>
      </c>
      <c r="Y39" s="110">
        <v>47.9</v>
      </c>
      <c r="Z39" s="110">
        <v>15.63</v>
      </c>
      <c r="AA39" s="110">
        <v>1.7</v>
      </c>
      <c r="AB39" s="110">
        <v>0.44</v>
      </c>
      <c r="AC39" s="110" t="s">
        <v>5333</v>
      </c>
      <c r="AD39" s="110" t="s">
        <v>5589</v>
      </c>
      <c r="AE39" s="73"/>
    </row>
    <row r="40" ht="22.5" customHeight="1">
      <c r="A40" s="73"/>
      <c r="B40" s="73"/>
      <c r="C40" s="73"/>
      <c r="D40" s="73"/>
      <c r="E40" s="256" t="s">
        <v>5591</v>
      </c>
      <c r="F40" s="256" t="s">
        <v>4848</v>
      </c>
      <c r="G40" s="96">
        <f>IFERROR(__xludf.DUMMYFUNCTION("GOOGLEFINANCE(E40, ""price"")"),69.82)</f>
        <v>69.82</v>
      </c>
      <c r="H40" s="97">
        <f>IFERROR(__xludf.DUMMYFUNCTION("GOOGLEFINANCE(E40, ""low"")"),69.04)</f>
        <v>69.04</v>
      </c>
      <c r="I40" s="99">
        <f>IFERROR(__xludf.DUMMYFUNCTION("GOOGLEFINANCE(E40, ""high"")"),70.58)</f>
        <v>70.58</v>
      </c>
      <c r="J40" s="161" t="s">
        <v>957</v>
      </c>
      <c r="K40" s="104">
        <v>3.86</v>
      </c>
      <c r="L40" s="104">
        <v>62.6</v>
      </c>
      <c r="M40" s="104">
        <v>23.12</v>
      </c>
      <c r="N40" s="104">
        <v>3.48</v>
      </c>
      <c r="O40" s="105" t="s">
        <v>998</v>
      </c>
      <c r="P40" s="106">
        <v>61.08</v>
      </c>
      <c r="Q40" s="108">
        <v>45759.412028923616</v>
      </c>
      <c r="R40" s="109" t="b">
        <v>1</v>
      </c>
      <c r="S40" s="143" t="str">
        <f t="shared" si="1"/>
        <v>Análise Pausada</v>
      </c>
      <c r="T40" s="118" t="s">
        <v>4816</v>
      </c>
      <c r="U40" s="111" t="s">
        <v>5591</v>
      </c>
      <c r="V40" s="111">
        <v>31.78</v>
      </c>
      <c r="W40" s="257">
        <v>0.0304</v>
      </c>
      <c r="X40" s="111">
        <v>2.03</v>
      </c>
      <c r="Y40" s="111">
        <v>68.47</v>
      </c>
      <c r="Z40" s="111">
        <v>46.79</v>
      </c>
      <c r="AA40" s="111">
        <v>0.76</v>
      </c>
      <c r="AB40" s="111">
        <v>0.59</v>
      </c>
      <c r="AC40" s="111" t="s">
        <v>5333</v>
      </c>
      <c r="AD40" s="111" t="s">
        <v>5601</v>
      </c>
      <c r="AE40" s="73"/>
    </row>
    <row r="41" ht="22.5" customHeight="1">
      <c r="A41" s="73"/>
      <c r="B41" s="73"/>
      <c r="C41" s="73"/>
      <c r="D41" s="73"/>
      <c r="E41" s="127" t="s">
        <v>4846</v>
      </c>
      <c r="F41" s="256" t="s">
        <v>4848</v>
      </c>
      <c r="G41" s="96">
        <f>IFERROR(__xludf.DUMMYFUNCTION("GOOGLEFINANCE(E41, ""price"")"),42.58)</f>
        <v>42.58</v>
      </c>
      <c r="H41" s="97">
        <f>IFERROR(__xludf.DUMMYFUNCTION("GOOGLEFINANCE(E41, ""low"")"),42.38)</f>
        <v>42.38</v>
      </c>
      <c r="I41" s="99">
        <f>IFERROR(__xludf.DUMMYFUNCTION("GOOGLEFINANCE(E41, ""high"")"),43.61)</f>
        <v>43.61</v>
      </c>
      <c r="J41" s="144"/>
      <c r="K41" s="145"/>
      <c r="L41" s="145"/>
      <c r="M41" s="145"/>
      <c r="N41" s="145"/>
      <c r="O41" s="143"/>
      <c r="P41" s="129">
        <v>38.93</v>
      </c>
      <c r="Q41" s="130">
        <v>45825.42386123842</v>
      </c>
      <c r="R41" s="131" t="b">
        <v>1</v>
      </c>
      <c r="S41" s="143" t="str">
        <f t="shared" si="1"/>
        <v>Análise Pausada</v>
      </c>
      <c r="T41" s="143" t="s">
        <v>4816</v>
      </c>
      <c r="U41" s="110" t="s">
        <v>4846</v>
      </c>
      <c r="V41" s="110">
        <v>16.77</v>
      </c>
      <c r="W41" s="255">
        <v>-0.008</v>
      </c>
      <c r="X41" s="110">
        <v>-0.25</v>
      </c>
      <c r="Y41" s="110">
        <v>41.36</v>
      </c>
      <c r="Z41" s="110">
        <v>17.61</v>
      </c>
      <c r="AA41" s="110">
        <v>0.13</v>
      </c>
      <c r="AB41" s="110">
        <v>0.32</v>
      </c>
      <c r="AC41" s="110" t="s">
        <v>5333</v>
      </c>
      <c r="AD41" s="110" t="s">
        <v>5615</v>
      </c>
      <c r="AE41" s="73"/>
    </row>
    <row r="42" ht="22.5" customHeight="1">
      <c r="A42" s="73"/>
      <c r="B42" s="73"/>
      <c r="C42" s="73"/>
      <c r="D42" s="73"/>
      <c r="E42" s="189" t="s">
        <v>367</v>
      </c>
      <c r="F42" s="110" t="s">
        <v>2861</v>
      </c>
      <c r="G42" s="96">
        <f>IFERROR(__xludf.DUMMYFUNCTION("GOOGLEFINANCE(E42, ""price"")"),34.09)</f>
        <v>34.09</v>
      </c>
      <c r="H42" s="97">
        <f>IFERROR(__xludf.DUMMYFUNCTION("GOOGLEFINANCE(E42, ""low"")"),33.3)</f>
        <v>33.3</v>
      </c>
      <c r="I42" s="99">
        <f>IFERROR(__xludf.DUMMYFUNCTION("GOOGLEFINANCE(E42, ""high"")"),34.12)</f>
        <v>34.12</v>
      </c>
      <c r="J42" s="128" t="s">
        <v>615</v>
      </c>
      <c r="K42" s="145"/>
      <c r="L42" s="145"/>
      <c r="M42" s="145"/>
      <c r="N42" s="145"/>
      <c r="O42" s="110" t="s">
        <v>245</v>
      </c>
      <c r="P42" s="129">
        <v>31.77</v>
      </c>
      <c r="Q42" s="130">
        <v>45708.792570046295</v>
      </c>
      <c r="R42" s="131" t="b">
        <v>1</v>
      </c>
      <c r="S42" s="143" t="str">
        <f t="shared" si="1"/>
        <v>Análise Pausada</v>
      </c>
      <c r="T42" s="143" t="s">
        <v>4816</v>
      </c>
      <c r="U42" s="110" t="s">
        <v>367</v>
      </c>
      <c r="V42" s="110">
        <v>29.42</v>
      </c>
      <c r="W42" s="255">
        <v>0.0284</v>
      </c>
      <c r="X42" s="110">
        <v>1.95</v>
      </c>
      <c r="Y42" s="110">
        <v>57.16</v>
      </c>
      <c r="Z42" s="110">
        <v>16.74</v>
      </c>
      <c r="AA42" s="110">
        <v>0.9</v>
      </c>
      <c r="AB42" s="110">
        <v>1.02</v>
      </c>
      <c r="AC42" s="110" t="s">
        <v>5626</v>
      </c>
      <c r="AD42" s="110" t="s">
        <v>5627</v>
      </c>
      <c r="AE42" s="73"/>
    </row>
    <row r="43" ht="22.5" customHeight="1">
      <c r="A43" s="73"/>
      <c r="B43" s="73"/>
      <c r="C43" s="73"/>
      <c r="D43" s="73"/>
      <c r="E43" s="160" t="s">
        <v>2468</v>
      </c>
      <c r="F43" s="125" t="s">
        <v>2471</v>
      </c>
      <c r="G43" s="96">
        <f>IFERROR(__xludf.DUMMYFUNCTION("GOOGLEFINANCE(E43, ""price"")"),38.6)</f>
        <v>38.6</v>
      </c>
      <c r="H43" s="97">
        <f>IFERROR(__xludf.DUMMYFUNCTION("GOOGLEFINANCE(E43, ""low"")"),37.72)</f>
        <v>37.72</v>
      </c>
      <c r="I43" s="99">
        <f>IFERROR(__xludf.DUMMYFUNCTION("GOOGLEFINANCE(E43, ""high"")"),38.94)</f>
        <v>38.94</v>
      </c>
      <c r="J43" s="161" t="s">
        <v>673</v>
      </c>
      <c r="K43" s="104">
        <v>21.88</v>
      </c>
      <c r="L43" s="104">
        <v>82.05</v>
      </c>
      <c r="M43" s="104">
        <v>37.66</v>
      </c>
      <c r="N43" s="104">
        <v>3.53</v>
      </c>
      <c r="O43" s="105" t="s">
        <v>2478</v>
      </c>
      <c r="P43" s="104">
        <v>86.5</v>
      </c>
      <c r="Q43" s="108">
        <v>45707.21796927083</v>
      </c>
      <c r="R43" s="109" t="b">
        <v>1</v>
      </c>
      <c r="S43" s="143" t="str">
        <f t="shared" si="1"/>
        <v>Análise Pausada</v>
      </c>
      <c r="T43" s="118" t="s">
        <v>4816</v>
      </c>
      <c r="U43" s="111" t="s">
        <v>2468</v>
      </c>
      <c r="V43" s="111">
        <v>66.13</v>
      </c>
      <c r="W43" s="257">
        <v>-0.0239</v>
      </c>
      <c r="X43" s="111">
        <v>-5.68</v>
      </c>
      <c r="Y43" s="111">
        <v>51.44</v>
      </c>
      <c r="Z43" s="111">
        <v>21.46</v>
      </c>
      <c r="AA43" s="111">
        <v>3.07</v>
      </c>
      <c r="AB43" s="111">
        <v>0.58</v>
      </c>
      <c r="AC43" s="111" t="s">
        <v>5626</v>
      </c>
      <c r="AD43" s="111" t="s">
        <v>5637</v>
      </c>
      <c r="AE43" s="73"/>
    </row>
    <row r="44" ht="22.5" customHeight="1">
      <c r="A44" s="73"/>
      <c r="B44" s="73"/>
      <c r="C44" s="73"/>
      <c r="D44" s="73"/>
      <c r="E44" s="127" t="s">
        <v>3108</v>
      </c>
      <c r="F44" s="110" t="s">
        <v>3109</v>
      </c>
      <c r="G44" s="96">
        <f>IFERROR(__xludf.DUMMYFUNCTION("GOOGLEFINANCE(E44, ""price"")"),108.43)</f>
        <v>108.43</v>
      </c>
      <c r="H44" s="97">
        <f>IFERROR(__xludf.DUMMYFUNCTION("GOOGLEFINANCE(E44, ""low"")"),106.44)</f>
        <v>106.44</v>
      </c>
      <c r="I44" s="99">
        <f>IFERROR(__xludf.DUMMYFUNCTION("GOOGLEFINANCE(E44, ""high"")"),110.52)</f>
        <v>110.52</v>
      </c>
      <c r="J44" s="128" t="s">
        <v>4922</v>
      </c>
      <c r="K44" s="129">
        <v>12.86</v>
      </c>
      <c r="L44" s="129">
        <v>75.08</v>
      </c>
      <c r="M44" s="129">
        <v>34.62</v>
      </c>
      <c r="N44" s="129">
        <v>2.43</v>
      </c>
      <c r="O44" s="110" t="s">
        <v>3111</v>
      </c>
      <c r="P44" s="129">
        <v>91.0</v>
      </c>
      <c r="Q44" s="243">
        <v>45870.40808241898</v>
      </c>
      <c r="R44" s="208" t="b">
        <v>1</v>
      </c>
      <c r="S44" s="143" t="str">
        <f t="shared" si="1"/>
        <v>Análise Pausada</v>
      </c>
      <c r="T44" s="326" t="s">
        <v>4816</v>
      </c>
      <c r="U44" s="209" t="s">
        <v>3108</v>
      </c>
      <c r="V44" s="209">
        <v>113.04</v>
      </c>
      <c r="W44" s="327">
        <v>0.0041</v>
      </c>
      <c r="X44" s="209">
        <v>1.29</v>
      </c>
      <c r="Y44" s="209">
        <v>52.58</v>
      </c>
      <c r="Z44" s="209">
        <v>14.62</v>
      </c>
      <c r="AA44" s="209">
        <v>2.84</v>
      </c>
      <c r="AB44" s="209">
        <v>1.2</v>
      </c>
      <c r="AC44" s="209" t="s">
        <v>5626</v>
      </c>
      <c r="AD44" s="209" t="s">
        <v>5647</v>
      </c>
      <c r="AE44" s="73"/>
    </row>
    <row r="45" ht="22.5" customHeight="1">
      <c r="A45" s="73"/>
      <c r="B45" s="73"/>
      <c r="C45" s="73"/>
      <c r="D45" s="73"/>
      <c r="E45" s="124" t="s">
        <v>3651</v>
      </c>
      <c r="F45" s="125" t="s">
        <v>5649</v>
      </c>
      <c r="G45" s="96">
        <f>IFERROR(__xludf.DUMMYFUNCTION("GOOGLEFINANCE(E45, ""price"")"),1015.6)</f>
        <v>1015.6</v>
      </c>
      <c r="H45" s="97">
        <f>IFERROR(__xludf.DUMMYFUNCTION("GOOGLEFINANCE(E45, ""low"")"),1014.8)</f>
        <v>1014.8</v>
      </c>
      <c r="I45" s="99">
        <f>IFERROR(__xludf.DUMMYFUNCTION("GOOGLEFINANCE(E45, ""high"")"),1040.0)</f>
        <v>1040</v>
      </c>
      <c r="J45" s="126" t="s">
        <v>957</v>
      </c>
      <c r="K45" s="104"/>
      <c r="L45" s="104"/>
      <c r="M45" s="104"/>
      <c r="N45" s="104"/>
      <c r="O45" s="125"/>
      <c r="P45" s="106">
        <v>839.1</v>
      </c>
      <c r="Q45" s="108">
        <v>45709.53835163194</v>
      </c>
      <c r="R45" s="109" t="b">
        <v>1</v>
      </c>
      <c r="S45" s="143" t="str">
        <f t="shared" si="1"/>
        <v>Análise Pausada</v>
      </c>
      <c r="T45" s="118" t="s">
        <v>4816</v>
      </c>
      <c r="U45" s="111" t="s">
        <v>3651</v>
      </c>
      <c r="V45" s="111">
        <v>1175.41</v>
      </c>
      <c r="W45" s="257">
        <v>-0.0045</v>
      </c>
      <c r="X45" s="111">
        <v>-24.02</v>
      </c>
      <c r="Y45" s="111">
        <v>53.52</v>
      </c>
      <c r="Z45" s="111">
        <v>21.45</v>
      </c>
      <c r="AA45" s="111">
        <v>35.75</v>
      </c>
      <c r="AB45" s="111">
        <v>0.48</v>
      </c>
      <c r="AC45" s="111" t="s">
        <v>5626</v>
      </c>
      <c r="AD45" s="111" t="s">
        <v>5657</v>
      </c>
      <c r="AE45" s="73"/>
    </row>
    <row r="46" ht="22.5" customHeight="1">
      <c r="A46" s="73"/>
      <c r="B46" s="149" t="s">
        <v>327</v>
      </c>
      <c r="C46" s="150">
        <f>now()</f>
        <v>46288.71545</v>
      </c>
      <c r="D46" s="73"/>
      <c r="E46" s="124" t="s">
        <v>3651</v>
      </c>
      <c r="F46" s="125" t="s">
        <v>3652</v>
      </c>
      <c r="G46" s="96">
        <f>IFERROR(__xludf.DUMMYFUNCTION("GOOGLEFINANCE(E46, ""price"")"),1154.84)</f>
        <v>1154.84</v>
      </c>
      <c r="H46" s="97">
        <f>IFERROR(__xludf.DUMMYFUNCTION("GOOGLEFINANCE(E46, ""low"")"),1154.0)</f>
        <v>1154</v>
      </c>
      <c r="I46" s="99">
        <f>IFERROR(__xludf.DUMMYFUNCTION("GOOGLEFINANCE(E46, ""high"")"),1188.88)</f>
        <v>1188.88</v>
      </c>
      <c r="J46" s="126" t="s">
        <v>615</v>
      </c>
      <c r="K46" s="104">
        <v>7.71</v>
      </c>
      <c r="L46" s="104">
        <v>64.6</v>
      </c>
      <c r="M46" s="104">
        <v>25.22</v>
      </c>
      <c r="N46" s="104">
        <v>20.69</v>
      </c>
      <c r="O46" s="125" t="s">
        <v>3656</v>
      </c>
      <c r="P46" s="106">
        <v>873.12</v>
      </c>
      <c r="Q46" s="108">
        <v>45709.53835163194</v>
      </c>
      <c r="R46" s="109" t="b">
        <v>1</v>
      </c>
      <c r="S46" s="143" t="str">
        <f t="shared" si="1"/>
        <v>Análise Pausada</v>
      </c>
      <c r="T46" s="118" t="s">
        <v>4816</v>
      </c>
      <c r="U46" s="111" t="s">
        <v>3651</v>
      </c>
      <c r="V46" s="111">
        <v>1175.41</v>
      </c>
      <c r="W46" s="257">
        <v>-0.0045</v>
      </c>
      <c r="X46" s="111">
        <v>-24.02</v>
      </c>
      <c r="Y46" s="111">
        <v>53.52</v>
      </c>
      <c r="Z46" s="111">
        <v>21.45</v>
      </c>
      <c r="AA46" s="111">
        <v>35.75</v>
      </c>
      <c r="AB46" s="111">
        <v>0.48</v>
      </c>
      <c r="AC46" s="111" t="s">
        <v>5626</v>
      </c>
      <c r="AD46" s="111" t="s">
        <v>5657</v>
      </c>
      <c r="AE46" s="73"/>
    </row>
    <row r="47" ht="22.5" customHeight="1">
      <c r="A47" s="73"/>
      <c r="B47" s="73"/>
      <c r="C47" s="73"/>
      <c r="D47" s="73"/>
      <c r="E47" s="127" t="s">
        <v>1077</v>
      </c>
      <c r="F47" s="110" t="s">
        <v>1079</v>
      </c>
      <c r="G47" s="96">
        <f>IFERROR(__xludf.DUMMYFUNCTION("GOOGLEFINANCE(E47, ""price"")"),2.98)</f>
        <v>2.98</v>
      </c>
      <c r="H47" s="97">
        <f>IFERROR(__xludf.DUMMYFUNCTION("GOOGLEFINANCE(E47, ""low"")"),2.93)</f>
        <v>2.93</v>
      </c>
      <c r="I47" s="99">
        <f>IFERROR(__xludf.DUMMYFUNCTION("GOOGLEFINANCE(E47, ""high"")"),3.05)</f>
        <v>3.05</v>
      </c>
      <c r="J47" s="128" t="s">
        <v>673</v>
      </c>
      <c r="K47" s="145"/>
      <c r="L47" s="145"/>
      <c r="M47" s="145"/>
      <c r="N47" s="145"/>
      <c r="O47" s="110" t="s">
        <v>588</v>
      </c>
      <c r="P47" s="129">
        <v>14.62</v>
      </c>
      <c r="Q47" s="130">
        <v>45852.921677280094</v>
      </c>
      <c r="R47" s="131" t="b">
        <v>1</v>
      </c>
      <c r="S47" s="143" t="str">
        <f t="shared" si="1"/>
        <v>Análise Pausada</v>
      </c>
      <c r="T47" s="143" t="s">
        <v>4816</v>
      </c>
      <c r="U47" s="110" t="s">
        <v>1077</v>
      </c>
      <c r="V47" s="110">
        <v>4.83</v>
      </c>
      <c r="W47" s="255">
        <v>-0.1058</v>
      </c>
      <c r="X47" s="110">
        <v>-1.25</v>
      </c>
      <c r="Y47" s="110">
        <v>37.94</v>
      </c>
      <c r="Z47" s="110">
        <v>26.7</v>
      </c>
      <c r="AA47" s="110">
        <v>0.38</v>
      </c>
      <c r="AB47" s="110">
        <v>0.68</v>
      </c>
      <c r="AC47" s="110" t="s">
        <v>5626</v>
      </c>
      <c r="AD47" s="110" t="s">
        <v>5681</v>
      </c>
      <c r="AE47" s="73"/>
    </row>
    <row r="48" ht="22.5" customHeight="1">
      <c r="A48" s="73"/>
      <c r="E48" s="125" t="s">
        <v>313</v>
      </c>
      <c r="F48" s="125" t="s">
        <v>540</v>
      </c>
      <c r="G48" s="96">
        <f>IFERROR(__xludf.DUMMYFUNCTION("GOOGLEFINANCE(E48, ""price"")"),149.95)</f>
        <v>149.95</v>
      </c>
      <c r="H48" s="97">
        <f>IFERROR(__xludf.DUMMYFUNCTION("GOOGLEFINANCE(E48, ""low"")"),144.55)</f>
        <v>144.55</v>
      </c>
      <c r="I48" s="99">
        <f>IFERROR(__xludf.DUMMYFUNCTION("GOOGLEFINANCE(E48, ""high"")"),149.95)</f>
        <v>149.95</v>
      </c>
      <c r="J48" s="161" t="s">
        <v>673</v>
      </c>
      <c r="K48" s="104">
        <v>23.4</v>
      </c>
      <c r="L48" s="104">
        <v>82.38</v>
      </c>
      <c r="M48" s="104">
        <v>60.69</v>
      </c>
      <c r="N48" s="104">
        <v>5.4</v>
      </c>
      <c r="O48" s="105" t="s">
        <v>542</v>
      </c>
      <c r="P48" s="104">
        <v>292.0</v>
      </c>
      <c r="Q48" s="108">
        <v>45706.404897939814</v>
      </c>
      <c r="R48" s="109" t="b">
        <v>1</v>
      </c>
      <c r="S48" s="143" t="str">
        <f t="shared" si="1"/>
        <v>Análise Pausada</v>
      </c>
      <c r="T48" s="118" t="s">
        <v>4816</v>
      </c>
      <c r="U48" s="111" t="s">
        <v>313</v>
      </c>
      <c r="V48" s="111">
        <v>82.37</v>
      </c>
      <c r="W48" s="257">
        <v>0.0017</v>
      </c>
      <c r="X48" s="111">
        <v>3.42</v>
      </c>
      <c r="Y48" s="111">
        <v>48.56</v>
      </c>
      <c r="Z48" s="111">
        <v>8.94</v>
      </c>
      <c r="AA48" s="111">
        <v>2.72</v>
      </c>
      <c r="AB48" s="111">
        <v>0.48</v>
      </c>
      <c r="AC48" s="111" t="s">
        <v>5692</v>
      </c>
      <c r="AD48" s="111" t="s">
        <v>5694</v>
      </c>
      <c r="AE48" s="73"/>
    </row>
    <row r="49" ht="22.5" customHeight="1">
      <c r="A49" s="73"/>
      <c r="E49" s="258" t="s">
        <v>5188</v>
      </c>
      <c r="F49" s="110" t="s">
        <v>5130</v>
      </c>
      <c r="G49" s="96">
        <f>IFERROR(__xludf.DUMMYFUNCTION("GOOGLEFINANCE(E49, ""price"")"),22.45)</f>
        <v>22.45</v>
      </c>
      <c r="H49" s="97">
        <f>IFERROR(__xludf.DUMMYFUNCTION("GOOGLEFINANCE(E49, ""low"")"),21.65)</f>
        <v>21.65</v>
      </c>
      <c r="I49" s="99">
        <f>IFERROR(__xludf.DUMMYFUNCTION("GOOGLEFINANCE(E49, ""high"")"),22.46)</f>
        <v>22.46</v>
      </c>
      <c r="J49" s="128" t="s">
        <v>615</v>
      </c>
      <c r="K49" s="145"/>
      <c r="L49" s="145"/>
      <c r="M49" s="145"/>
      <c r="N49" s="145"/>
      <c r="O49" s="143"/>
      <c r="P49" s="129">
        <v>15.3</v>
      </c>
      <c r="Q49" s="130">
        <v>45709.4618458912</v>
      </c>
      <c r="R49" s="131" t="b">
        <v>1</v>
      </c>
      <c r="S49" s="143" t="str">
        <f t="shared" si="1"/>
        <v>Análise Pausada</v>
      </c>
      <c r="T49" s="143" t="s">
        <v>4816</v>
      </c>
      <c r="U49" s="143"/>
      <c r="V49" s="143"/>
      <c r="W49" s="143"/>
      <c r="X49" s="143"/>
      <c r="Y49" s="143"/>
      <c r="Z49" s="143"/>
      <c r="AA49" s="143"/>
      <c r="AB49" s="143"/>
      <c r="AC49" s="143"/>
      <c r="AD49" s="110"/>
      <c r="AE49" s="73"/>
    </row>
    <row r="50" ht="22.5" customHeight="1">
      <c r="A50" s="73"/>
      <c r="E50" s="213" t="s">
        <v>1065</v>
      </c>
      <c r="F50" s="125" t="s">
        <v>1066</v>
      </c>
      <c r="G50" s="96">
        <f>IFERROR(__xludf.DUMMYFUNCTION("GOOGLEFINANCE(E50, ""price"")"),285.19)</f>
        <v>285.19</v>
      </c>
      <c r="H50" s="97">
        <f>IFERROR(__xludf.DUMMYFUNCTION("GOOGLEFINANCE(E50, ""low"")"),283.09)</f>
        <v>283.09</v>
      </c>
      <c r="I50" s="99">
        <f>IFERROR(__xludf.DUMMYFUNCTION("GOOGLEFINANCE(E50, ""high"")"),286.25)</f>
        <v>286.25</v>
      </c>
      <c r="J50" s="126" t="s">
        <v>615</v>
      </c>
      <c r="K50" s="104">
        <v>18.32</v>
      </c>
      <c r="L50" s="104">
        <v>70.4</v>
      </c>
      <c r="M50" s="104">
        <v>21.06</v>
      </c>
      <c r="N50" s="104">
        <v>6.57</v>
      </c>
      <c r="O50" s="105" t="s">
        <v>542</v>
      </c>
      <c r="P50" s="104">
        <v>238.54</v>
      </c>
      <c r="Q50" s="108">
        <v>45708.6095084375</v>
      </c>
      <c r="R50" s="109" t="b">
        <v>1</v>
      </c>
      <c r="S50" s="143" t="str">
        <f t="shared" si="1"/>
        <v>Análise Pausada</v>
      </c>
      <c r="T50" s="118" t="s">
        <v>4816</v>
      </c>
      <c r="U50" s="111" t="s">
        <v>1065</v>
      </c>
      <c r="V50" s="111">
        <v>236.65</v>
      </c>
      <c r="W50" s="257">
        <v>-0.0195</v>
      </c>
      <c r="X50" s="111">
        <v>-0.89</v>
      </c>
      <c r="Y50" s="111">
        <v>44.61</v>
      </c>
      <c r="Z50" s="111">
        <v>15.14</v>
      </c>
      <c r="AA50" s="111">
        <v>5.98</v>
      </c>
      <c r="AB50" s="111">
        <v>1.01</v>
      </c>
      <c r="AC50" s="111" t="s">
        <v>5692</v>
      </c>
      <c r="AD50" s="111" t="s">
        <v>5715</v>
      </c>
      <c r="AE50" s="73"/>
    </row>
    <row r="51" ht="22.5" customHeight="1">
      <c r="A51" s="73"/>
      <c r="B51" s="73"/>
      <c r="C51" s="73"/>
      <c r="D51" s="73"/>
      <c r="E51" s="328" t="s">
        <v>5720</v>
      </c>
      <c r="F51" s="328" t="s">
        <v>5432</v>
      </c>
      <c r="G51" s="96">
        <f>IFERROR(__xludf.DUMMYFUNCTION("GOOGLEFINANCE(E51, ""price"")"),70.92)</f>
        <v>70.92</v>
      </c>
      <c r="H51" s="97">
        <f>IFERROR(__xludf.DUMMYFUNCTION("GOOGLEFINANCE(E51, ""low"")"),70.86)</f>
        <v>70.86</v>
      </c>
      <c r="I51" s="99">
        <f>IFERROR(__xludf.DUMMYFUNCTION("GOOGLEFINANCE(E51, ""high"")"),71.58)</f>
        <v>71.58</v>
      </c>
      <c r="J51" s="161" t="s">
        <v>957</v>
      </c>
      <c r="K51" s="104">
        <v>12.86</v>
      </c>
      <c r="L51" s="104">
        <v>75.94</v>
      </c>
      <c r="M51" s="104">
        <v>30.76</v>
      </c>
      <c r="N51" s="104">
        <v>1.68</v>
      </c>
      <c r="O51" s="105" t="s">
        <v>5435</v>
      </c>
      <c r="P51" s="104">
        <v>78.51</v>
      </c>
      <c r="Q51" s="108">
        <v>45706.43533447917</v>
      </c>
      <c r="R51" s="109" t="b">
        <v>1</v>
      </c>
      <c r="S51" s="143" t="str">
        <f t="shared" si="1"/>
        <v>Análise Pausada</v>
      </c>
      <c r="T51" s="118" t="s">
        <v>4816</v>
      </c>
      <c r="U51" s="118"/>
      <c r="V51" s="118"/>
      <c r="W51" s="118"/>
      <c r="X51" s="118"/>
      <c r="Y51" s="118"/>
      <c r="Z51" s="118"/>
      <c r="AA51" s="118"/>
      <c r="AB51" s="118"/>
      <c r="AC51" s="118"/>
      <c r="AD51" s="111"/>
      <c r="AE51" s="73"/>
    </row>
    <row r="52" ht="22.5" customHeight="1">
      <c r="A52" s="73"/>
      <c r="E52" s="127" t="s">
        <v>5240</v>
      </c>
      <c r="F52" s="110" t="s">
        <v>5243</v>
      </c>
      <c r="G52" s="96">
        <f>IFERROR(__xludf.DUMMYFUNCTION("GOOGLEFINANCE(E52, ""price"")"),74.26)</f>
        <v>74.26</v>
      </c>
      <c r="H52" s="97">
        <f>IFERROR(__xludf.DUMMYFUNCTION("GOOGLEFINANCE(E52, ""low"")"),74.26)</f>
        <v>74.26</v>
      </c>
      <c r="I52" s="99">
        <f>IFERROR(__xludf.DUMMYFUNCTION("GOOGLEFINANCE(E52, ""high"")"),75.18)</f>
        <v>75.18</v>
      </c>
      <c r="J52" s="128" t="s">
        <v>4922</v>
      </c>
      <c r="K52" s="129">
        <v>1.16</v>
      </c>
      <c r="L52" s="129">
        <v>50.82</v>
      </c>
      <c r="M52" s="129">
        <v>21.75</v>
      </c>
      <c r="N52" s="129">
        <v>1.35</v>
      </c>
      <c r="O52" s="110" t="s">
        <v>998</v>
      </c>
      <c r="P52" s="129">
        <v>70.2</v>
      </c>
      <c r="Q52" s="130">
        <v>45796.34033175926</v>
      </c>
      <c r="R52" s="131" t="b">
        <v>1</v>
      </c>
      <c r="S52" s="143" t="str">
        <f t="shared" si="1"/>
        <v>Análise Pausada</v>
      </c>
      <c r="T52" s="143" t="s">
        <v>4816</v>
      </c>
      <c r="U52" s="143"/>
      <c r="V52" s="143"/>
      <c r="W52" s="143"/>
      <c r="X52" s="143"/>
      <c r="Y52" s="143"/>
      <c r="Z52" s="143"/>
      <c r="AA52" s="143"/>
      <c r="AB52" s="143"/>
      <c r="AC52" s="143"/>
      <c r="AD52" s="110"/>
      <c r="AE52" s="73"/>
    </row>
    <row r="53" ht="22.5" customHeight="1">
      <c r="A53" s="73"/>
      <c r="B53" s="73"/>
      <c r="C53" s="73"/>
      <c r="D53" s="73"/>
      <c r="E53" s="281" t="s">
        <v>5268</v>
      </c>
      <c r="F53" s="281" t="s">
        <v>5269</v>
      </c>
      <c r="G53" s="96">
        <f>IFERROR(__xludf.DUMMYFUNCTION("GOOGLEFINANCE(E53, ""price"")"),1518.44)</f>
        <v>1518.44</v>
      </c>
      <c r="H53" s="97">
        <f>IFERROR(__xludf.DUMMYFUNCTION("GOOGLEFINANCE(E53, ""low"")"),1511.0)</f>
        <v>1511</v>
      </c>
      <c r="I53" s="99">
        <f>IFERROR(__xludf.DUMMYFUNCTION("GOOGLEFINANCE(E53, ""high"")"),1529.0)</f>
        <v>1529</v>
      </c>
      <c r="J53" s="126" t="s">
        <v>673</v>
      </c>
      <c r="K53" s="104">
        <v>75.8</v>
      </c>
      <c r="L53" s="104">
        <v>76.61</v>
      </c>
      <c r="M53" s="104">
        <v>42.39</v>
      </c>
      <c r="N53" s="104">
        <v>13.7</v>
      </c>
      <c r="O53" s="105" t="s">
        <v>170</v>
      </c>
      <c r="P53" s="104">
        <v>902.2</v>
      </c>
      <c r="Q53" s="108">
        <v>45707.4297869213</v>
      </c>
      <c r="R53" s="109" t="b">
        <v>1</v>
      </c>
      <c r="S53" s="143" t="str">
        <f t="shared" si="1"/>
        <v>Análise Pausada</v>
      </c>
      <c r="T53" s="118" t="s">
        <v>4816</v>
      </c>
      <c r="U53" s="118"/>
      <c r="V53" s="118"/>
      <c r="W53" s="118"/>
      <c r="X53" s="118"/>
      <c r="Y53" s="118"/>
      <c r="Z53" s="118"/>
      <c r="AA53" s="118"/>
      <c r="AB53" s="118"/>
      <c r="AC53" s="118"/>
      <c r="AD53" s="111"/>
      <c r="AE53" s="73"/>
    </row>
    <row r="54" ht="22.5" customHeight="1">
      <c r="A54" s="73"/>
      <c r="B54" s="73"/>
      <c r="C54" s="73"/>
      <c r="D54" s="73"/>
      <c r="E54" s="281" t="s">
        <v>5281</v>
      </c>
      <c r="F54" s="281" t="s">
        <v>5283</v>
      </c>
      <c r="G54" s="96">
        <f>IFERROR(__xludf.DUMMYFUNCTION("GOOGLEFINANCE(E54, ""price"")"),100.59)</f>
        <v>100.59</v>
      </c>
      <c r="H54" s="97">
        <f>IFERROR(__xludf.DUMMYFUNCTION("GOOGLEFINANCE(E54, ""low"")"),100.51)</f>
        <v>100.51</v>
      </c>
      <c r="I54" s="99">
        <f>IFERROR(__xludf.DUMMYFUNCTION("GOOGLEFINANCE(E54, ""high"")"),101.51)</f>
        <v>101.51</v>
      </c>
      <c r="J54" s="161" t="s">
        <v>673</v>
      </c>
      <c r="K54" s="104">
        <v>5.94</v>
      </c>
      <c r="L54" s="104">
        <v>84.12</v>
      </c>
      <c r="M54" s="104">
        <v>36.27</v>
      </c>
      <c r="N54" s="104">
        <v>0.83</v>
      </c>
      <c r="O54" s="105" t="s">
        <v>588</v>
      </c>
      <c r="P54" s="104">
        <v>57.02</v>
      </c>
      <c r="Q54" s="108">
        <v>45707.4297869213</v>
      </c>
      <c r="R54" s="109" t="b">
        <v>1</v>
      </c>
      <c r="S54" s="143" t="str">
        <f t="shared" si="1"/>
        <v>Análise Pausada</v>
      </c>
      <c r="T54" s="118" t="s">
        <v>4816</v>
      </c>
      <c r="U54" s="111" t="s">
        <v>5281</v>
      </c>
      <c r="V54" s="111">
        <v>101.12</v>
      </c>
      <c r="W54" s="257">
        <v>0.0374</v>
      </c>
      <c r="X54" s="111">
        <v>6.03</v>
      </c>
      <c r="Y54" s="111">
        <v>63.09</v>
      </c>
      <c r="Z54" s="111">
        <v>16.8</v>
      </c>
      <c r="AA54" s="111">
        <v>1.5</v>
      </c>
      <c r="AB54" s="111">
        <v>0.8</v>
      </c>
      <c r="AC54" s="111" t="s">
        <v>5692</v>
      </c>
      <c r="AD54" s="111" t="s">
        <v>5776</v>
      </c>
      <c r="AE54" s="73"/>
    </row>
    <row r="55" ht="22.5" customHeight="1">
      <c r="A55" s="73"/>
      <c r="B55" s="73"/>
      <c r="C55" s="73"/>
      <c r="D55" s="73"/>
      <c r="E55" s="127" t="s">
        <v>3435</v>
      </c>
      <c r="F55" s="110" t="s">
        <v>3437</v>
      </c>
      <c r="G55" s="96">
        <f>IFERROR(__xludf.DUMMYFUNCTION("GOOGLEFINANCE(E55, ""price"")"),62.24)</f>
        <v>62.24</v>
      </c>
      <c r="H55" s="97">
        <f>IFERROR(__xludf.DUMMYFUNCTION("GOOGLEFINANCE(E55, ""low"")"),61.32)</f>
        <v>61.32</v>
      </c>
      <c r="I55" s="99">
        <f>IFERROR(__xludf.DUMMYFUNCTION("GOOGLEFINANCE(E55, ""high"")"),62.72)</f>
        <v>62.72</v>
      </c>
      <c r="J55" s="144"/>
      <c r="K55" s="129">
        <v>-0.16</v>
      </c>
      <c r="L55" s="129">
        <v>60.8</v>
      </c>
      <c r="M55" s="129">
        <v>29.38</v>
      </c>
      <c r="N55" s="129">
        <v>1.12</v>
      </c>
      <c r="O55" s="110" t="s">
        <v>245</v>
      </c>
      <c r="P55" s="129">
        <v>36.12</v>
      </c>
      <c r="Q55" s="130">
        <v>45827.35339923611</v>
      </c>
      <c r="R55" s="131" t="b">
        <v>1</v>
      </c>
      <c r="S55" s="143" t="str">
        <f t="shared" si="1"/>
        <v>Análise Pausada</v>
      </c>
      <c r="T55" s="143" t="s">
        <v>4816</v>
      </c>
      <c r="U55" s="110" t="s">
        <v>3435</v>
      </c>
      <c r="V55" s="110">
        <v>29.69</v>
      </c>
      <c r="W55" s="255">
        <v>-0.0472</v>
      </c>
      <c r="X55" s="110">
        <v>-3.06</v>
      </c>
      <c r="Y55" s="110">
        <v>41.94</v>
      </c>
      <c r="Z55" s="110">
        <v>13.32</v>
      </c>
      <c r="AA55" s="110">
        <v>1.69</v>
      </c>
      <c r="AB55" s="110">
        <v>0.51</v>
      </c>
      <c r="AC55" s="110" t="s">
        <v>5692</v>
      </c>
      <c r="AD55" s="110" t="s">
        <v>5778</v>
      </c>
      <c r="AE55" s="73"/>
    </row>
    <row r="56" ht="22.5" customHeight="1">
      <c r="A56" s="73"/>
      <c r="B56" s="73"/>
      <c r="C56" s="73"/>
      <c r="D56" s="73"/>
      <c r="E56" s="127" t="s">
        <v>5336</v>
      </c>
      <c r="F56" s="110" t="s">
        <v>5338</v>
      </c>
      <c r="G56" s="96">
        <f>IFERROR(__xludf.DUMMYFUNCTION("GOOGLEFINANCE(E56, ""price"")"),58.57)</f>
        <v>58.57</v>
      </c>
      <c r="H56" s="97">
        <f>IFERROR(__xludf.DUMMYFUNCTION("GOOGLEFINANCE(E56, ""low"")"),57.84)</f>
        <v>57.84</v>
      </c>
      <c r="I56" s="99">
        <f>IFERROR(__xludf.DUMMYFUNCTION("GOOGLEFINANCE(E56, ""high"")"),60.48)</f>
        <v>60.48</v>
      </c>
      <c r="J56" s="128" t="s">
        <v>957</v>
      </c>
      <c r="K56" s="129">
        <v>3.179</v>
      </c>
      <c r="L56" s="129">
        <v>61.74</v>
      </c>
      <c r="M56" s="129">
        <v>20.2</v>
      </c>
      <c r="N56" s="129">
        <v>1.213</v>
      </c>
      <c r="O56" s="110" t="s">
        <v>170</v>
      </c>
      <c r="P56" s="129">
        <v>33.264</v>
      </c>
      <c r="Q56" s="130">
        <v>45796.36793302083</v>
      </c>
      <c r="R56" s="131" t="b">
        <v>1</v>
      </c>
      <c r="S56" s="143" t="str">
        <f t="shared" si="1"/>
        <v>Análise Pausada</v>
      </c>
      <c r="T56" s="143" t="s">
        <v>4816</v>
      </c>
      <c r="U56" s="143"/>
      <c r="V56" s="143"/>
      <c r="W56" s="143"/>
      <c r="X56" s="143"/>
      <c r="Y56" s="143"/>
      <c r="Z56" s="143"/>
      <c r="AA56" s="143"/>
      <c r="AB56" s="143"/>
      <c r="AC56" s="143"/>
      <c r="AD56" s="110"/>
      <c r="AE56" s="73"/>
    </row>
    <row r="57" ht="22.5" customHeight="1">
      <c r="A57" s="73"/>
      <c r="B57" s="73"/>
      <c r="C57" s="73"/>
      <c r="D57" s="73"/>
      <c r="E57" s="286" t="s">
        <v>5354</v>
      </c>
      <c r="F57" s="242" t="s">
        <v>5355</v>
      </c>
      <c r="G57" s="96">
        <f>IFERROR(__xludf.DUMMYFUNCTION("GOOGLEFINANCE(E57, ""price"")"),106.3)</f>
        <v>106.3</v>
      </c>
      <c r="H57" s="97">
        <f>IFERROR(__xludf.DUMMYFUNCTION("GOOGLEFINANCE(E57, ""low"")"),105.06)</f>
        <v>105.06</v>
      </c>
      <c r="I57" s="99">
        <f>IFERROR(__xludf.DUMMYFUNCTION("GOOGLEFINANCE(E57, ""high"")"),108.84)</f>
        <v>108.84</v>
      </c>
      <c r="J57" s="152"/>
      <c r="K57" s="106"/>
      <c r="L57" s="106"/>
      <c r="M57" s="106"/>
      <c r="N57" s="106"/>
      <c r="O57" s="104"/>
      <c r="P57" s="106">
        <v>24.42</v>
      </c>
      <c r="Q57" s="108">
        <v>45708.411887372684</v>
      </c>
      <c r="R57" s="109" t="b">
        <v>1</v>
      </c>
      <c r="S57" s="143" t="str">
        <f t="shared" si="1"/>
        <v>Análise Pausada</v>
      </c>
      <c r="T57" s="118" t="s">
        <v>4816</v>
      </c>
      <c r="U57" s="118"/>
      <c r="V57" s="118"/>
      <c r="W57" s="118"/>
      <c r="X57" s="118"/>
      <c r="Y57" s="118"/>
      <c r="Z57" s="118"/>
      <c r="AA57" s="118"/>
      <c r="AB57" s="118"/>
      <c r="AC57" s="118"/>
      <c r="AD57" s="111"/>
      <c r="AE57" s="73"/>
    </row>
    <row r="58" ht="22.5" customHeight="1">
      <c r="A58" s="73"/>
      <c r="B58" s="73"/>
      <c r="C58" s="73"/>
      <c r="D58" s="73"/>
      <c r="E58" s="242" t="s">
        <v>3472</v>
      </c>
      <c r="F58" s="242" t="s">
        <v>3474</v>
      </c>
      <c r="G58" s="96">
        <f>IFERROR(__xludf.DUMMYFUNCTION("GOOGLEFINANCE(E58, ""price"")"),120.36)</f>
        <v>120.36</v>
      </c>
      <c r="H58" s="97">
        <f>IFERROR(__xludf.DUMMYFUNCTION("GOOGLEFINANCE(E58, ""low"")"),119.44)</f>
        <v>119.44</v>
      </c>
      <c r="I58" s="99">
        <f>IFERROR(__xludf.DUMMYFUNCTION("GOOGLEFINANCE(E58, ""high"")"),124.25)</f>
        <v>124.25</v>
      </c>
      <c r="J58" s="152"/>
      <c r="K58" s="106"/>
      <c r="L58" s="106"/>
      <c r="M58" s="106"/>
      <c r="N58" s="106"/>
      <c r="O58" s="104"/>
      <c r="P58" s="104">
        <v>20.29</v>
      </c>
      <c r="Q58" s="108">
        <v>45812.250381550926</v>
      </c>
      <c r="R58" s="109" t="b">
        <v>1</v>
      </c>
      <c r="S58" s="143" t="str">
        <f t="shared" si="1"/>
        <v>Análise Pausada</v>
      </c>
      <c r="T58" s="118" t="s">
        <v>4816</v>
      </c>
      <c r="U58" s="111"/>
      <c r="V58" s="111"/>
      <c r="W58" s="257"/>
      <c r="X58" s="111"/>
      <c r="Y58" s="111"/>
      <c r="Z58" s="111"/>
      <c r="AA58" s="111"/>
      <c r="AB58" s="111"/>
      <c r="AC58" s="111"/>
      <c r="AD58" s="111"/>
      <c r="AE58" s="73"/>
    </row>
    <row r="59" ht="22.5" customHeight="1">
      <c r="A59" s="73"/>
      <c r="B59" s="73"/>
      <c r="C59" s="73"/>
      <c r="D59" s="73"/>
      <c r="E59" s="127" t="s">
        <v>1057</v>
      </c>
      <c r="F59" s="110" t="s">
        <v>1058</v>
      </c>
      <c r="G59" s="96">
        <f>IFERROR(__xludf.DUMMYFUNCTION("GOOGLEFINANCE(E59, ""price"")"),42.86)</f>
        <v>42.86</v>
      </c>
      <c r="H59" s="97">
        <f>IFERROR(__xludf.DUMMYFUNCTION("GOOGLEFINANCE(E59, ""low"")"),41.63)</f>
        <v>41.63</v>
      </c>
      <c r="I59" s="99">
        <f>IFERROR(__xludf.DUMMYFUNCTION("GOOGLEFINANCE(E59, ""high"")"),46.05)</f>
        <v>46.05</v>
      </c>
      <c r="J59" s="144"/>
      <c r="K59" s="129">
        <v>-2.1</v>
      </c>
      <c r="L59" s="129">
        <v>50.61</v>
      </c>
      <c r="M59" s="129">
        <v>29.81</v>
      </c>
      <c r="N59" s="129">
        <v>3.37</v>
      </c>
      <c r="O59" s="110" t="s">
        <v>998</v>
      </c>
      <c r="P59" s="129">
        <v>41.06</v>
      </c>
      <c r="Q59" s="243">
        <v>45868.35878219907</v>
      </c>
      <c r="R59" s="208" t="b">
        <v>1</v>
      </c>
      <c r="S59" s="143" t="str">
        <f t="shared" si="1"/>
        <v>Análise Pausada</v>
      </c>
      <c r="T59" s="331" t="s">
        <v>4816</v>
      </c>
      <c r="U59" s="244" t="s">
        <v>1057</v>
      </c>
      <c r="V59" s="244">
        <v>35.51</v>
      </c>
      <c r="W59" s="332">
        <v>-0.212</v>
      </c>
      <c r="X59" s="244">
        <v>-17.75</v>
      </c>
      <c r="Y59" s="244">
        <v>29.14</v>
      </c>
      <c r="Z59" s="244">
        <v>35.91</v>
      </c>
      <c r="AA59" s="244">
        <v>2.88</v>
      </c>
      <c r="AB59" s="244">
        <v>0.8</v>
      </c>
      <c r="AC59" s="244" t="s">
        <v>5692</v>
      </c>
      <c r="AD59" s="244" t="s">
        <v>5788</v>
      </c>
      <c r="AE59" s="73"/>
    </row>
    <row r="60" ht="22.5" customHeight="1">
      <c r="A60" s="73"/>
      <c r="B60" s="73"/>
      <c r="C60" s="73"/>
      <c r="D60" s="73"/>
      <c r="E60" s="127" t="s">
        <v>2505</v>
      </c>
      <c r="F60" s="110" t="s">
        <v>3672</v>
      </c>
      <c r="G60" s="96">
        <f>IFERROR(__xludf.DUMMYFUNCTION("GOOGLEFINANCE(E60, ""price"")"),526.54)</f>
        <v>526.54</v>
      </c>
      <c r="H60" s="97">
        <f>IFERROR(__xludf.DUMMYFUNCTION("GOOGLEFINANCE(E60, ""low"")"),523.57)</f>
        <v>523.57</v>
      </c>
      <c r="I60" s="99">
        <f>IFERROR(__xludf.DUMMYFUNCTION("GOOGLEFINANCE(E60, ""high"")"),534.93)</f>
        <v>534.93</v>
      </c>
      <c r="J60" s="144"/>
      <c r="K60" s="129">
        <v>-47.0</v>
      </c>
      <c r="L60" s="129">
        <v>27.16</v>
      </c>
      <c r="M60" s="129">
        <v>14.96</v>
      </c>
      <c r="N60" s="129">
        <v>11.23</v>
      </c>
      <c r="O60" s="110" t="s">
        <v>3253</v>
      </c>
      <c r="P60" s="129">
        <v>415.91</v>
      </c>
      <c r="Q60" s="130">
        <v>45861.48222961806</v>
      </c>
      <c r="R60" s="131" t="b">
        <v>1</v>
      </c>
      <c r="S60" s="143" t="str">
        <f t="shared" si="1"/>
        <v>Análise Pausada</v>
      </c>
      <c r="T60" s="143" t="s">
        <v>4816</v>
      </c>
      <c r="U60" s="110" t="s">
        <v>2505</v>
      </c>
      <c r="V60" s="110">
        <v>507.09</v>
      </c>
      <c r="W60" s="255">
        <v>-0.0172</v>
      </c>
      <c r="X60" s="110">
        <v>-2.37</v>
      </c>
      <c r="Y60" s="110">
        <v>42.84</v>
      </c>
      <c r="Z60" s="110">
        <v>13.08</v>
      </c>
      <c r="AA60" s="110">
        <v>12.28</v>
      </c>
      <c r="AB60" s="110">
        <v>0.9</v>
      </c>
      <c r="AC60" s="110" t="s">
        <v>5692</v>
      </c>
      <c r="AD60" s="110" t="s">
        <v>5791</v>
      </c>
      <c r="AE60" s="73"/>
    </row>
    <row r="61" ht="22.5" customHeight="1">
      <c r="A61" s="73"/>
      <c r="B61" s="73"/>
      <c r="C61" s="73"/>
      <c r="D61" s="73"/>
      <c r="E61" s="125" t="s">
        <v>227</v>
      </c>
      <c r="F61" s="125" t="s">
        <v>228</v>
      </c>
      <c r="G61" s="96">
        <f>IFERROR(__xludf.DUMMYFUNCTION("GOOGLEFINANCE(E61, ""price"")"),380.5)</f>
        <v>380.5</v>
      </c>
      <c r="H61" s="97">
        <f>IFERROR(__xludf.DUMMYFUNCTION("GOOGLEFINANCE(E61, ""low"")"),380.5)</f>
        <v>380.5</v>
      </c>
      <c r="I61" s="99">
        <f>IFERROR(__xludf.DUMMYFUNCTION("GOOGLEFINANCE(E61, ""high"")"),389.55)</f>
        <v>389.55</v>
      </c>
      <c r="J61" s="152"/>
      <c r="K61" s="106"/>
      <c r="L61" s="106"/>
      <c r="M61" s="106"/>
      <c r="N61" s="106"/>
      <c r="O61" s="105"/>
      <c r="P61" s="106">
        <v>335.95</v>
      </c>
      <c r="Q61" s="108"/>
      <c r="R61" s="109" t="b">
        <v>1</v>
      </c>
      <c r="S61" s="143" t="str">
        <f t="shared" si="1"/>
        <v>Análise Pausada</v>
      </c>
      <c r="T61" s="118" t="s">
        <v>4816</v>
      </c>
      <c r="U61" s="111" t="s">
        <v>227</v>
      </c>
      <c r="V61" s="111">
        <v>29.22</v>
      </c>
      <c r="W61" s="257">
        <v>-0.0309</v>
      </c>
      <c r="X61" s="111">
        <v>-2.41</v>
      </c>
      <c r="Y61" s="111">
        <v>39.44</v>
      </c>
      <c r="Z61" s="111">
        <v>22.96</v>
      </c>
      <c r="AA61" s="111">
        <v>1.03</v>
      </c>
      <c r="AB61" s="111">
        <v>1.15</v>
      </c>
      <c r="AC61" s="111" t="s">
        <v>5692</v>
      </c>
      <c r="AD61" s="111" t="s">
        <v>5795</v>
      </c>
      <c r="AE61" s="73"/>
    </row>
    <row r="62" ht="22.5" customHeight="1">
      <c r="A62" s="73"/>
      <c r="B62" s="149" t="s">
        <v>327</v>
      </c>
      <c r="C62" s="150">
        <f>now()</f>
        <v>46288.71545</v>
      </c>
      <c r="D62" s="73"/>
      <c r="E62" s="127" t="s">
        <v>1424</v>
      </c>
      <c r="F62" s="110" t="s">
        <v>1425</v>
      </c>
      <c r="G62" s="96">
        <f>IFERROR(__xludf.DUMMYFUNCTION("GOOGLEFINANCE(E62, ""price"")"),258.87)</f>
        <v>258.87</v>
      </c>
      <c r="H62" s="97">
        <f>IFERROR(__xludf.DUMMYFUNCTION("GOOGLEFINANCE(E62, ""low"")"),254.0)</f>
        <v>254</v>
      </c>
      <c r="I62" s="99">
        <f>IFERROR(__xludf.DUMMYFUNCTION("GOOGLEFINANCE(E62, ""high"")"),266.0)</f>
        <v>266</v>
      </c>
      <c r="J62" s="144"/>
      <c r="K62" s="145"/>
      <c r="L62" s="145"/>
      <c r="M62" s="145"/>
      <c r="N62" s="145"/>
      <c r="O62" s="143"/>
      <c r="P62" s="145"/>
      <c r="Q62" s="130"/>
      <c r="R62" s="131" t="b">
        <v>1</v>
      </c>
      <c r="S62" s="143" t="str">
        <f t="shared" si="1"/>
        <v>Análise Pausada</v>
      </c>
      <c r="T62" s="143" t="s">
        <v>4816</v>
      </c>
      <c r="U62" s="110"/>
      <c r="V62" s="110"/>
      <c r="W62" s="255"/>
      <c r="X62" s="110"/>
      <c r="Y62" s="110"/>
      <c r="Z62" s="110"/>
      <c r="AA62" s="110"/>
      <c r="AB62" s="110"/>
      <c r="AC62" s="110"/>
      <c r="AD62" s="110"/>
      <c r="AE62" s="73"/>
    </row>
    <row r="63" ht="22.5" customHeight="1">
      <c r="A63" s="73"/>
      <c r="B63" s="73"/>
      <c r="C63" s="73"/>
      <c r="D63" s="73"/>
      <c r="E63" s="247" t="s">
        <v>5496</v>
      </c>
      <c r="F63" s="247" t="s">
        <v>5498</v>
      </c>
      <c r="G63" s="96">
        <f>IFERROR(__xludf.DUMMYFUNCTION("GOOGLEFINANCE(E63, ""price"")"),493.3)</f>
        <v>493.3</v>
      </c>
      <c r="H63" s="97">
        <f>IFERROR(__xludf.DUMMYFUNCTION("GOOGLEFINANCE(E63, ""low"")"),487.0)</f>
        <v>487</v>
      </c>
      <c r="I63" s="99">
        <f>IFERROR(__xludf.DUMMYFUNCTION("GOOGLEFINANCE(E63, ""high"")"),496.0)</f>
        <v>496</v>
      </c>
      <c r="J63" s="126" t="s">
        <v>4922</v>
      </c>
      <c r="K63" s="106"/>
      <c r="L63" s="104">
        <v>39.07</v>
      </c>
      <c r="M63" s="104">
        <v>18.57</v>
      </c>
      <c r="N63" s="104">
        <v>9.79</v>
      </c>
      <c r="O63" s="104" t="s">
        <v>3253</v>
      </c>
      <c r="P63" s="104">
        <v>484.65</v>
      </c>
      <c r="Q63" s="108">
        <v>45827.32442396991</v>
      </c>
      <c r="R63" s="109" t="b">
        <v>1</v>
      </c>
      <c r="S63" s="143" t="str">
        <f t="shared" si="1"/>
        <v>Análise Pausada</v>
      </c>
      <c r="T63" s="118" t="s">
        <v>4816</v>
      </c>
      <c r="U63" s="118"/>
      <c r="V63" s="118"/>
      <c r="W63" s="118"/>
      <c r="X63" s="118"/>
      <c r="Y63" s="118"/>
      <c r="Z63" s="118"/>
      <c r="AA63" s="118"/>
      <c r="AB63" s="118"/>
      <c r="AC63" s="118"/>
      <c r="AD63" s="111"/>
      <c r="AE63" s="73"/>
    </row>
    <row r="64" ht="22.5" customHeight="1">
      <c r="A64" s="73"/>
      <c r="B64" s="73"/>
      <c r="C64" s="73"/>
      <c r="D64" s="73"/>
      <c r="E64" s="247" t="s">
        <v>612</v>
      </c>
      <c r="F64" s="247" t="s">
        <v>613</v>
      </c>
      <c r="G64" s="96">
        <f>IFERROR(__xludf.DUMMYFUNCTION("GOOGLEFINANCE(E64, ""price"")"),560.81)</f>
        <v>560.81</v>
      </c>
      <c r="H64" s="97">
        <f>IFERROR(__xludf.DUMMYFUNCTION("GOOGLEFINANCE(E64, ""low"")"),554.0)</f>
        <v>554</v>
      </c>
      <c r="I64" s="99">
        <f>IFERROR(__xludf.DUMMYFUNCTION("GOOGLEFINANCE(E64, ""high"")"),565.75)</f>
        <v>565.75</v>
      </c>
      <c r="J64" s="126" t="s">
        <v>615</v>
      </c>
      <c r="K64" s="106"/>
      <c r="L64" s="106"/>
      <c r="M64" s="106"/>
      <c r="N64" s="106"/>
      <c r="O64" s="104"/>
      <c r="P64" s="104">
        <v>588.03</v>
      </c>
      <c r="Q64" s="108">
        <v>45912.10145469908</v>
      </c>
      <c r="R64" s="109" t="b">
        <v>1</v>
      </c>
      <c r="S64" s="143" t="str">
        <f t="shared" si="1"/>
        <v>Análise Pausada</v>
      </c>
      <c r="T64" s="118" t="s">
        <v>4816</v>
      </c>
      <c r="U64" s="111" t="s">
        <v>612</v>
      </c>
      <c r="V64" s="111">
        <v>538.3</v>
      </c>
      <c r="W64" s="257">
        <v>0.0271</v>
      </c>
      <c r="X64" s="111">
        <v>24.7</v>
      </c>
      <c r="Y64" s="111">
        <v>59.16</v>
      </c>
      <c r="Z64" s="111">
        <v>28.93</v>
      </c>
      <c r="AA64" s="111">
        <v>12.06</v>
      </c>
      <c r="AB64" s="111">
        <v>0.67</v>
      </c>
      <c r="AC64" s="111" t="s">
        <v>5626</v>
      </c>
      <c r="AD64" s="111" t="s">
        <v>5798</v>
      </c>
      <c r="AE64" s="73"/>
    </row>
    <row r="65" ht="22.5" customHeight="1">
      <c r="A65" s="73"/>
      <c r="B65" s="73"/>
      <c r="C65" s="73"/>
      <c r="D65" s="73"/>
      <c r="E65" s="125" t="s">
        <v>5799</v>
      </c>
      <c r="F65" s="125" t="s">
        <v>5139</v>
      </c>
      <c r="G65" s="96">
        <f>IFERROR(__xludf.DUMMYFUNCTION("GOOGLEFINANCE(E65, ""price"")"),42.11)</f>
        <v>42.11</v>
      </c>
      <c r="H65" s="97">
        <f>IFERROR(__xludf.DUMMYFUNCTION("GOOGLEFINANCE(E65, ""low"")"),42.02)</f>
        <v>42.02</v>
      </c>
      <c r="I65" s="99">
        <f>IFERROR(__xludf.DUMMYFUNCTION("GOOGLEFINANCE(E65, ""high"")"),43.74)</f>
        <v>43.74</v>
      </c>
      <c r="J65" s="161" t="s">
        <v>4922</v>
      </c>
      <c r="K65" s="106"/>
      <c r="L65" s="106"/>
      <c r="M65" s="106"/>
      <c r="N65" s="106"/>
      <c r="O65" s="104"/>
      <c r="P65" s="104">
        <v>62.21</v>
      </c>
      <c r="Q65" s="108">
        <v>45707.255894560185</v>
      </c>
      <c r="R65" s="109" t="b">
        <v>1</v>
      </c>
      <c r="S65" s="143" t="str">
        <f t="shared" si="1"/>
        <v>Análise Pausada</v>
      </c>
      <c r="T65" s="118" t="s">
        <v>4816</v>
      </c>
      <c r="U65" s="118"/>
      <c r="V65" s="118"/>
      <c r="W65" s="118"/>
      <c r="X65" s="118"/>
      <c r="Y65" s="118"/>
      <c r="Z65" s="118"/>
      <c r="AA65" s="118"/>
      <c r="AB65" s="118"/>
      <c r="AC65" s="118"/>
      <c r="AD65" s="111"/>
      <c r="AE65" s="73"/>
    </row>
    <row r="66" ht="22.5" customHeight="1">
      <c r="A66" s="73"/>
      <c r="B66" s="73"/>
      <c r="C66" s="73"/>
      <c r="D66" s="73"/>
      <c r="E66" s="160" t="s">
        <v>3139</v>
      </c>
      <c r="F66" s="125" t="s">
        <v>3948</v>
      </c>
      <c r="G66" s="96">
        <f>IFERROR(__xludf.DUMMYFUNCTION("GOOGLEFINANCE(E66, ""price"")"),754.12)</f>
        <v>754.12</v>
      </c>
      <c r="H66" s="97">
        <f>IFERROR(__xludf.DUMMYFUNCTION("GOOGLEFINANCE(E66, ""low"")"),739.51)</f>
        <v>739.51</v>
      </c>
      <c r="I66" s="99">
        <f>IFERROR(__xludf.DUMMYFUNCTION("GOOGLEFINANCE(E66, ""high"")"),763.9)</f>
        <v>763.9</v>
      </c>
      <c r="J66" s="126" t="s">
        <v>4922</v>
      </c>
      <c r="K66" s="104">
        <v>-7.0</v>
      </c>
      <c r="L66" s="104">
        <v>51.23</v>
      </c>
      <c r="M66" s="104">
        <v>27.21</v>
      </c>
      <c r="N66" s="104">
        <v>14.06</v>
      </c>
      <c r="O66" s="125" t="s">
        <v>197</v>
      </c>
      <c r="P66" s="104">
        <v>705.8</v>
      </c>
      <c r="Q66" s="108">
        <v>45855.34063770833</v>
      </c>
      <c r="R66" s="109" t="b">
        <v>1</v>
      </c>
      <c r="S66" s="143" t="str">
        <f t="shared" si="1"/>
        <v>Análise Pausada</v>
      </c>
      <c r="T66" s="118" t="s">
        <v>4816</v>
      </c>
      <c r="U66" s="111"/>
      <c r="V66" s="111"/>
      <c r="W66" s="257"/>
      <c r="X66" s="111"/>
      <c r="Y66" s="111"/>
      <c r="Z66" s="111"/>
      <c r="AA66" s="111"/>
      <c r="AB66" s="111"/>
      <c r="AC66" s="111"/>
      <c r="AD66" s="111"/>
      <c r="AE66" s="73"/>
    </row>
    <row r="67" ht="22.5" customHeight="1">
      <c r="A67" s="73"/>
      <c r="B67" s="73"/>
      <c r="C67" s="73"/>
      <c r="D67" s="73"/>
      <c r="E67" s="127" t="s">
        <v>254</v>
      </c>
      <c r="F67" s="110" t="s">
        <v>255</v>
      </c>
      <c r="G67" s="96">
        <f>IFERROR(__xludf.DUMMYFUNCTION("GOOGLEFINANCE(E67, ""price"")"),498.95)</f>
        <v>498.95</v>
      </c>
      <c r="H67" s="97">
        <f>IFERROR(__xludf.DUMMYFUNCTION("GOOGLEFINANCE(E67, ""low"")"),493.65)</f>
        <v>493.65</v>
      </c>
      <c r="I67" s="99">
        <f>IFERROR(__xludf.DUMMYFUNCTION("GOOGLEFINANCE(E67, ""high"")"),509.44)</f>
        <v>509.44</v>
      </c>
      <c r="J67" s="144"/>
      <c r="K67" s="145"/>
      <c r="L67" s="145"/>
      <c r="M67" s="145"/>
      <c r="N67" s="145"/>
      <c r="O67" s="145"/>
      <c r="P67" s="145"/>
      <c r="Q67" s="130"/>
      <c r="R67" s="131" t="b">
        <v>1</v>
      </c>
      <c r="S67" s="143" t="str">
        <f t="shared" si="1"/>
        <v>Análise Pausada</v>
      </c>
      <c r="T67" s="143" t="s">
        <v>4816</v>
      </c>
      <c r="U67" s="110" t="s">
        <v>254</v>
      </c>
      <c r="V67" s="110">
        <v>397.75</v>
      </c>
      <c r="W67" s="255">
        <v>0.0363</v>
      </c>
      <c r="X67" s="110">
        <v>24.73</v>
      </c>
      <c r="Y67" s="110">
        <v>53.4</v>
      </c>
      <c r="Z67" s="110">
        <v>13.68</v>
      </c>
      <c r="AA67" s="110">
        <v>9.76</v>
      </c>
      <c r="AB67" s="110">
        <v>0.54</v>
      </c>
      <c r="AC67" s="110" t="s">
        <v>5626</v>
      </c>
      <c r="AD67" s="110" t="s">
        <v>5802</v>
      </c>
      <c r="AE67" s="73"/>
    </row>
    <row r="68" ht="22.5" customHeight="1">
      <c r="A68" s="73"/>
      <c r="B68" s="73"/>
      <c r="C68" s="73"/>
      <c r="D68" s="73"/>
      <c r="E68" s="127" t="s">
        <v>597</v>
      </c>
      <c r="F68" s="110" t="s">
        <v>598</v>
      </c>
      <c r="G68" s="96">
        <f>IFERROR(__xludf.DUMMYFUNCTION("GOOGLEFINANCE(E68, ""price"")"),184.69)</f>
        <v>184.69</v>
      </c>
      <c r="H68" s="97">
        <f>IFERROR(__xludf.DUMMYFUNCTION("GOOGLEFINANCE(E68, ""low"")"),182.6)</f>
        <v>182.6</v>
      </c>
      <c r="I68" s="99">
        <f>IFERROR(__xludf.DUMMYFUNCTION("GOOGLEFINANCE(E68, ""high"")"),192.31)</f>
        <v>192.31</v>
      </c>
      <c r="J68" s="128" t="s">
        <v>673</v>
      </c>
      <c r="K68" s="129">
        <v>5.14</v>
      </c>
      <c r="L68" s="129">
        <v>67.62</v>
      </c>
      <c r="M68" s="129">
        <v>23.09</v>
      </c>
      <c r="N68" s="129">
        <v>1.35</v>
      </c>
      <c r="O68" s="110" t="s">
        <v>170</v>
      </c>
      <c r="P68" s="129">
        <v>30.54</v>
      </c>
      <c r="Q68" s="130">
        <v>45841.41908578704</v>
      </c>
      <c r="R68" s="131" t="b">
        <v>1</v>
      </c>
      <c r="S68" s="143" t="str">
        <f t="shared" si="1"/>
        <v>Análise Pausada</v>
      </c>
      <c r="T68" s="143" t="s">
        <v>4816</v>
      </c>
      <c r="U68" s="110" t="s">
        <v>597</v>
      </c>
      <c r="V68" s="110">
        <v>59.66</v>
      </c>
      <c r="W68" s="255">
        <v>-0.1274</v>
      </c>
      <c r="X68" s="110">
        <v>-10.37</v>
      </c>
      <c r="Y68" s="110">
        <v>43.52</v>
      </c>
      <c r="Z68" s="110">
        <v>27.16</v>
      </c>
      <c r="AA68" s="110">
        <v>4.66</v>
      </c>
      <c r="AB68" s="110">
        <v>0.52</v>
      </c>
      <c r="AC68" s="110" t="s">
        <v>5626</v>
      </c>
      <c r="AD68" s="110" t="s">
        <v>5804</v>
      </c>
      <c r="AE68" s="73"/>
    </row>
    <row r="69" ht="22.5" customHeight="1">
      <c r="A69" s="73"/>
      <c r="B69" s="73"/>
      <c r="C69" s="73"/>
      <c r="D69" s="73"/>
      <c r="E69" s="248" t="s">
        <v>3972</v>
      </c>
      <c r="F69" s="249" t="s">
        <v>3974</v>
      </c>
      <c r="G69" s="96">
        <f>IFERROR(__xludf.DUMMYFUNCTION("GOOGLEFINANCE(E69, ""price"")"),87.51)</f>
        <v>87.51</v>
      </c>
      <c r="H69" s="97">
        <f>IFERROR(__xludf.DUMMYFUNCTION("GOOGLEFINANCE(E69, ""low"")"),83.51)</f>
        <v>83.51</v>
      </c>
      <c r="I69" s="99">
        <f>IFERROR(__xludf.DUMMYFUNCTION("GOOGLEFINANCE(E69, ""high"")"),90.76)</f>
        <v>90.76</v>
      </c>
      <c r="J69" s="126" t="s">
        <v>615</v>
      </c>
      <c r="K69" s="106"/>
      <c r="L69" s="106"/>
      <c r="M69" s="106"/>
      <c r="N69" s="106"/>
      <c r="O69" s="104"/>
      <c r="P69" s="104">
        <v>316.01</v>
      </c>
      <c r="Q69" s="108">
        <v>45707.2548800463</v>
      </c>
      <c r="R69" s="109" t="b">
        <v>1</v>
      </c>
      <c r="S69" s="143" t="str">
        <f t="shared" si="1"/>
        <v>Análise Pausada</v>
      </c>
      <c r="T69" s="118" t="s">
        <v>4816</v>
      </c>
      <c r="U69" s="111"/>
      <c r="V69" s="111"/>
      <c r="W69" s="257"/>
      <c r="X69" s="111"/>
      <c r="Y69" s="111"/>
      <c r="Z69" s="111"/>
      <c r="AA69" s="111"/>
      <c r="AB69" s="111"/>
      <c r="AC69" s="111"/>
      <c r="AD69" s="111"/>
      <c r="AE69" s="73"/>
    </row>
    <row r="70" ht="22.5" customHeight="1">
      <c r="A70" s="73"/>
      <c r="B70" s="73"/>
      <c r="C70" s="73"/>
      <c r="D70" s="73"/>
      <c r="E70" s="134" t="s">
        <v>5807</v>
      </c>
      <c r="F70" s="134" t="s">
        <v>5474</v>
      </c>
      <c r="G70" s="96">
        <f>IFERROR(__xludf.DUMMYFUNCTION("GOOGLEFINANCE(E70, ""price"")"),62.9)</f>
        <v>62.9</v>
      </c>
      <c r="H70" s="97">
        <f>IFERROR(__xludf.DUMMYFUNCTION("GOOGLEFINANCE(E70, ""low"")"),62.41)</f>
        <v>62.41</v>
      </c>
      <c r="I70" s="99">
        <f>IFERROR(__xludf.DUMMYFUNCTION("GOOGLEFINANCE(E70, ""high"")"),63.56)</f>
        <v>63.56</v>
      </c>
      <c r="J70" s="161" t="s">
        <v>673</v>
      </c>
      <c r="K70" s="104">
        <v>55.1</v>
      </c>
      <c r="L70" s="104">
        <v>75.46</v>
      </c>
      <c r="M70" s="104">
        <v>39.67</v>
      </c>
      <c r="N70" s="104">
        <v>19.6</v>
      </c>
      <c r="O70" s="105" t="s">
        <v>170</v>
      </c>
      <c r="P70" s="104">
        <v>1018.0</v>
      </c>
      <c r="Q70" s="108">
        <v>45706.40608256945</v>
      </c>
      <c r="R70" s="109" t="b">
        <v>1</v>
      </c>
      <c r="S70" s="143" t="str">
        <f t="shared" si="1"/>
        <v>Análise Pausada</v>
      </c>
      <c r="T70" s="118" t="s">
        <v>4816</v>
      </c>
      <c r="U70" s="118"/>
      <c r="V70" s="118"/>
      <c r="W70" s="118"/>
      <c r="X70" s="118"/>
      <c r="Y70" s="118"/>
      <c r="Z70" s="118"/>
      <c r="AA70" s="118"/>
      <c r="AB70" s="118"/>
      <c r="AC70" s="118"/>
      <c r="AD70" s="111"/>
      <c r="AE70" s="73"/>
    </row>
    <row r="71" ht="22.5" customHeight="1">
      <c r="A71" s="73"/>
      <c r="B71" s="73"/>
      <c r="C71" s="73"/>
      <c r="D71" s="73"/>
      <c r="E71" s="134" t="s">
        <v>1397</v>
      </c>
      <c r="F71" s="134" t="s">
        <v>1398</v>
      </c>
      <c r="G71" s="96">
        <f>IFERROR(__xludf.DUMMYFUNCTION("GOOGLEFINANCE(E71, ""price"")"),71.44)</f>
        <v>71.44</v>
      </c>
      <c r="H71" s="97">
        <f>IFERROR(__xludf.DUMMYFUNCTION("GOOGLEFINANCE(E71, ""low"")"),71.07)</f>
        <v>71.07</v>
      </c>
      <c r="I71" s="99">
        <f>IFERROR(__xludf.DUMMYFUNCTION("GOOGLEFINANCE(E71, ""high"")"),72.37)</f>
        <v>72.37</v>
      </c>
      <c r="J71" s="152"/>
      <c r="K71" s="104">
        <v>26.83</v>
      </c>
      <c r="L71" s="104">
        <v>68.29</v>
      </c>
      <c r="M71" s="104">
        <v>30.74</v>
      </c>
      <c r="N71" s="104">
        <v>24.79</v>
      </c>
      <c r="O71" s="125" t="s">
        <v>170</v>
      </c>
      <c r="P71" s="104">
        <v>1218.85</v>
      </c>
      <c r="Q71" s="108">
        <v>45812.24753260417</v>
      </c>
      <c r="R71" s="109" t="b">
        <v>1</v>
      </c>
      <c r="S71" s="143" t="str">
        <f t="shared" si="1"/>
        <v>Análise Pausada</v>
      </c>
      <c r="T71" s="118" t="s">
        <v>4816</v>
      </c>
      <c r="U71" s="111" t="s">
        <v>1397</v>
      </c>
      <c r="V71" s="111">
        <v>68.67</v>
      </c>
      <c r="W71" s="257">
        <v>-0.0616</v>
      </c>
      <c r="X71" s="111">
        <v>-2.73</v>
      </c>
      <c r="Y71" s="111">
        <v>32.54</v>
      </c>
      <c r="Z71" s="111">
        <v>35.01</v>
      </c>
      <c r="AA71" s="111">
        <v>2.25</v>
      </c>
      <c r="AB71" s="111">
        <v>1.08</v>
      </c>
      <c r="AC71" s="111" t="s">
        <v>5626</v>
      </c>
      <c r="AD71" s="111" t="s">
        <v>5810</v>
      </c>
      <c r="AE71" s="73"/>
    </row>
    <row r="72" ht="22.5" customHeight="1">
      <c r="A72" s="73"/>
      <c r="B72" s="73"/>
      <c r="C72" s="73"/>
      <c r="D72" s="73"/>
      <c r="E72" s="127" t="s">
        <v>4266</v>
      </c>
      <c r="F72" s="110" t="s">
        <v>5811</v>
      </c>
      <c r="G72" s="96">
        <f>IFERROR(__xludf.DUMMYFUNCTION("GOOGLEFINANCE(E72, ""price"")"),31.75)</f>
        <v>31.75</v>
      </c>
      <c r="H72" s="97">
        <f>IFERROR(__xludf.DUMMYFUNCTION("GOOGLEFINANCE(E72, ""low"")"),31.43)</f>
        <v>31.43</v>
      </c>
      <c r="I72" s="99">
        <f>IFERROR(__xludf.DUMMYFUNCTION("GOOGLEFINANCE(E72, ""high"")"),32.03)</f>
        <v>32.03</v>
      </c>
      <c r="J72" s="144"/>
      <c r="K72" s="129">
        <v>-3.5</v>
      </c>
      <c r="L72" s="129">
        <v>39.65</v>
      </c>
      <c r="M72" s="129">
        <v>11.59</v>
      </c>
      <c r="N72" s="129">
        <v>1.36</v>
      </c>
      <c r="O72" s="110" t="s">
        <v>197</v>
      </c>
      <c r="P72" s="129">
        <v>52.03</v>
      </c>
      <c r="Q72" s="130">
        <v>45769.45360998843</v>
      </c>
      <c r="R72" s="131" t="b">
        <v>1</v>
      </c>
      <c r="S72" s="143" t="str">
        <f t="shared" si="1"/>
        <v>Análise Pausada</v>
      </c>
      <c r="T72" s="143" t="s">
        <v>4816</v>
      </c>
      <c r="U72" s="110" t="s">
        <v>4266</v>
      </c>
      <c r="V72" s="110">
        <v>42.96</v>
      </c>
      <c r="W72" s="255">
        <v>0.0034</v>
      </c>
      <c r="X72" s="110">
        <v>1.91</v>
      </c>
      <c r="Y72" s="110">
        <v>47.61</v>
      </c>
      <c r="Z72" s="110">
        <v>11.52</v>
      </c>
      <c r="AA72" s="110">
        <v>1.51</v>
      </c>
      <c r="AB72" s="110">
        <v>0.35</v>
      </c>
      <c r="AC72" s="110" t="s">
        <v>5626</v>
      </c>
      <c r="AD72" s="110" t="s">
        <v>5812</v>
      </c>
      <c r="AE72" s="73"/>
    </row>
    <row r="73" ht="22.5" customHeight="1">
      <c r="A73" s="73"/>
      <c r="B73" s="73"/>
      <c r="C73" s="73"/>
      <c r="D73" s="73"/>
      <c r="E73" s="125" t="s">
        <v>4266</v>
      </c>
      <c r="F73" s="125" t="s">
        <v>4268</v>
      </c>
      <c r="G73" s="96">
        <f>IFERROR(__xludf.DUMMYFUNCTION("GOOGLEFINANCE(E73, ""price"")"),36.28)</f>
        <v>36.28</v>
      </c>
      <c r="H73" s="97">
        <f>IFERROR(__xludf.DUMMYFUNCTION("GOOGLEFINANCE(E73, ""low"")"),35.78)</f>
        <v>35.78</v>
      </c>
      <c r="I73" s="99">
        <f>IFERROR(__xludf.DUMMYFUNCTION("GOOGLEFINANCE(E73, ""high"")"),36.62)</f>
        <v>36.62</v>
      </c>
      <c r="J73" s="152"/>
      <c r="K73" s="106"/>
      <c r="L73" s="106"/>
      <c r="M73" s="106"/>
      <c r="N73" s="106"/>
      <c r="O73" s="105"/>
      <c r="P73" s="106">
        <v>76.78</v>
      </c>
      <c r="Q73" s="108">
        <v>46219.377022280096</v>
      </c>
      <c r="R73" s="109" t="b">
        <v>1</v>
      </c>
      <c r="S73" s="143" t="str">
        <f t="shared" si="1"/>
        <v>Análise Pausada</v>
      </c>
      <c r="T73" s="111" t="s">
        <v>4816</v>
      </c>
      <c r="U73" s="111"/>
      <c r="V73" s="111"/>
      <c r="W73" s="257"/>
      <c r="X73" s="111"/>
      <c r="Y73" s="111"/>
      <c r="Z73" s="111"/>
      <c r="AA73" s="111"/>
      <c r="AB73" s="111"/>
      <c r="AC73" s="111"/>
      <c r="AD73" s="111"/>
      <c r="AE73" s="73"/>
    </row>
    <row r="74" ht="22.5" customHeight="1">
      <c r="A74" s="73"/>
      <c r="B74" s="73"/>
      <c r="C74" s="73"/>
      <c r="D74" s="73"/>
      <c r="E74" s="125" t="s">
        <v>5816</v>
      </c>
      <c r="F74" s="125" t="s">
        <v>5154</v>
      </c>
      <c r="G74" s="96">
        <f>IFERROR(__xludf.DUMMYFUNCTION("GOOGLEFINANCE(E74, ""price"")"),117.6)</f>
        <v>117.6</v>
      </c>
      <c r="H74" s="97">
        <f>IFERROR(__xludf.DUMMYFUNCTION("GOOGLEFINANCE(E74, ""low"")"),116.16)</f>
        <v>116.16</v>
      </c>
      <c r="I74" s="99">
        <f>IFERROR(__xludf.DUMMYFUNCTION("GOOGLEFINANCE(E74, ""high"")"),118.8)</f>
        <v>118.8</v>
      </c>
      <c r="J74" s="161" t="s">
        <v>4922</v>
      </c>
      <c r="K74" s="106"/>
      <c r="L74" s="106"/>
      <c r="M74" s="106"/>
      <c r="N74" s="106"/>
      <c r="O74" s="105"/>
      <c r="P74" s="106"/>
      <c r="Q74" s="108"/>
      <c r="R74" s="109" t="b">
        <v>1</v>
      </c>
      <c r="S74" s="143" t="str">
        <f t="shared" si="1"/>
        <v>Análise Pausada</v>
      </c>
      <c r="T74" s="118" t="s">
        <v>4816</v>
      </c>
      <c r="U74" s="118"/>
      <c r="V74" s="118"/>
      <c r="W74" s="118"/>
      <c r="X74" s="118"/>
      <c r="Y74" s="118"/>
      <c r="Z74" s="118"/>
      <c r="AA74" s="118"/>
      <c r="AB74" s="118"/>
      <c r="AC74" s="118"/>
      <c r="AD74" s="111"/>
      <c r="AE74" s="73"/>
    </row>
    <row r="75" ht="22.5" customHeight="1">
      <c r="A75" s="73"/>
      <c r="B75" s="73"/>
      <c r="C75" s="73"/>
      <c r="D75" s="73"/>
      <c r="E75" s="251" t="s">
        <v>79</v>
      </c>
      <c r="F75" s="125" t="s">
        <v>4310</v>
      </c>
      <c r="G75" s="96">
        <f>IFERROR(__xludf.DUMMYFUNCTION("GOOGLEFINANCE(E75, ""price"")"),33.78)</f>
        <v>33.78</v>
      </c>
      <c r="H75" s="97">
        <f>IFERROR(__xludf.DUMMYFUNCTION("GOOGLEFINANCE(E75, ""low"")"),33.75)</f>
        <v>33.75</v>
      </c>
      <c r="I75" s="99">
        <f>IFERROR(__xludf.DUMMYFUNCTION("GOOGLEFINANCE(E75, ""high"")"),34.82)</f>
        <v>34.82</v>
      </c>
      <c r="J75" s="126" t="s">
        <v>957</v>
      </c>
      <c r="K75" s="104">
        <v>-1.26</v>
      </c>
      <c r="L75" s="104">
        <v>52.42</v>
      </c>
      <c r="M75" s="104">
        <v>17.96</v>
      </c>
      <c r="N75" s="104">
        <v>2.75</v>
      </c>
      <c r="O75" s="125" t="s">
        <v>4324</v>
      </c>
      <c r="P75" s="106">
        <v>82.41</v>
      </c>
      <c r="Q75" s="108">
        <v>45708.41444143519</v>
      </c>
      <c r="R75" s="109" t="b">
        <v>1</v>
      </c>
      <c r="S75" s="143" t="str">
        <f t="shared" si="1"/>
        <v>Análise Pausada</v>
      </c>
      <c r="T75" s="118" t="s">
        <v>4816</v>
      </c>
      <c r="U75" s="111" t="s">
        <v>79</v>
      </c>
      <c r="V75" s="111">
        <v>20.19</v>
      </c>
      <c r="W75" s="257">
        <v>0.0726</v>
      </c>
      <c r="X75" s="111">
        <v>1.64</v>
      </c>
      <c r="Y75" s="111">
        <v>61.74</v>
      </c>
      <c r="Z75" s="111">
        <v>16.05</v>
      </c>
      <c r="AA75" s="111">
        <v>0.5</v>
      </c>
      <c r="AB75" s="111">
        <v>0.6</v>
      </c>
      <c r="AC75" s="111" t="s">
        <v>5822</v>
      </c>
      <c r="AD75" s="111" t="s">
        <v>5823</v>
      </c>
      <c r="AE75" s="73"/>
    </row>
    <row r="76" ht="22.5" customHeight="1">
      <c r="A76" s="73"/>
      <c r="B76" s="73"/>
      <c r="C76" s="73"/>
      <c r="D76" s="73"/>
      <c r="E76" s="125" t="s">
        <v>4500</v>
      </c>
      <c r="F76" s="125" t="s">
        <v>4502</v>
      </c>
      <c r="G76" s="96">
        <f>IFERROR(__xludf.DUMMYFUNCTION("GOOGLEFINANCE(E76, ""price"")"),38.4)</f>
        <v>38.4</v>
      </c>
      <c r="H76" s="97">
        <f>IFERROR(__xludf.DUMMYFUNCTION("GOOGLEFINANCE(E76, ""low"")"),38.32)</f>
        <v>38.32</v>
      </c>
      <c r="I76" s="99">
        <f>IFERROR(__xludf.DUMMYFUNCTION("GOOGLEFINANCE(E76, ""high"")"),39.14)</f>
        <v>39.14</v>
      </c>
      <c r="J76" s="126" t="s">
        <v>957</v>
      </c>
      <c r="K76" s="106"/>
      <c r="L76" s="106"/>
      <c r="M76" s="106"/>
      <c r="N76" s="106"/>
      <c r="O76" s="105"/>
      <c r="P76" s="106">
        <v>83.4</v>
      </c>
      <c r="Q76" s="108">
        <v>45709.47920290509</v>
      </c>
      <c r="R76" s="109" t="b">
        <v>1</v>
      </c>
      <c r="S76" s="143" t="str">
        <f t="shared" si="1"/>
        <v>Análise Pausada</v>
      </c>
      <c r="T76" s="118" t="s">
        <v>4816</v>
      </c>
      <c r="U76" s="111" t="s">
        <v>4500</v>
      </c>
      <c r="V76" s="111">
        <v>49.38</v>
      </c>
      <c r="W76" s="257">
        <v>0.0058</v>
      </c>
      <c r="X76" s="111">
        <v>1.44</v>
      </c>
      <c r="Y76" s="111">
        <v>56.99</v>
      </c>
      <c r="Z76" s="111">
        <v>26.25</v>
      </c>
      <c r="AA76" s="111">
        <v>1.05</v>
      </c>
      <c r="AB76" s="111">
        <v>0.55</v>
      </c>
      <c r="AC76" s="111" t="s">
        <v>5822</v>
      </c>
      <c r="AD76" s="111" t="s">
        <v>5829</v>
      </c>
      <c r="AE76" s="73"/>
    </row>
    <row r="77" ht="22.5" customHeight="1">
      <c r="A77" s="73"/>
      <c r="B77" s="149" t="s">
        <v>327</v>
      </c>
      <c r="C77" s="150">
        <f>now()</f>
        <v>46288.71545</v>
      </c>
      <c r="D77" s="73"/>
      <c r="E77" s="252" t="s">
        <v>4420</v>
      </c>
      <c r="F77" s="252" t="s">
        <v>4421</v>
      </c>
      <c r="G77" s="96">
        <f>IFERROR(__xludf.DUMMYFUNCTION("GOOGLEFINANCE(E77, ""price"")"),198.04)</f>
        <v>198.04</v>
      </c>
      <c r="H77" s="97">
        <f>IFERROR(__xludf.DUMMYFUNCTION("GOOGLEFINANCE(E77, ""low"")"),197.52)</f>
        <v>197.52</v>
      </c>
      <c r="I77" s="99">
        <f>IFERROR(__xludf.DUMMYFUNCTION("GOOGLEFINANCE(E77, ""high"")"),201.1)</f>
        <v>201.1</v>
      </c>
      <c r="J77" s="128" t="s">
        <v>673</v>
      </c>
      <c r="K77" s="129">
        <v>5.84</v>
      </c>
      <c r="L77" s="129">
        <v>65.71</v>
      </c>
      <c r="M77" s="129">
        <v>20.12</v>
      </c>
      <c r="N77" s="129">
        <v>4.46</v>
      </c>
      <c r="O77" s="129" t="s">
        <v>170</v>
      </c>
      <c r="P77" s="129">
        <v>124.6</v>
      </c>
      <c r="Q77" s="130">
        <v>45812.25500096065</v>
      </c>
      <c r="R77" s="131" t="b">
        <v>1</v>
      </c>
      <c r="S77" s="143" t="str">
        <f t="shared" si="1"/>
        <v>Análise Pausada</v>
      </c>
      <c r="T77" s="143" t="s">
        <v>4816</v>
      </c>
      <c r="U77" s="143"/>
      <c r="V77" s="143"/>
      <c r="W77" s="143"/>
      <c r="X77" s="143"/>
      <c r="Y77" s="143"/>
      <c r="Z77" s="143"/>
      <c r="AA77" s="143"/>
      <c r="AB77" s="143"/>
      <c r="AC77" s="143"/>
      <c r="AD77" s="110"/>
      <c r="AE77" s="73"/>
    </row>
    <row r="78" ht="22.5" customHeight="1">
      <c r="A78" s="73"/>
      <c r="B78" s="73"/>
      <c r="C78" s="73"/>
      <c r="D78" s="73"/>
      <c r="E78" s="252" t="s">
        <v>4457</v>
      </c>
      <c r="F78" s="252" t="s">
        <v>4458</v>
      </c>
      <c r="G78" s="96">
        <f>IFERROR(__xludf.DUMMYFUNCTION("GOOGLEFINANCE(E78, ""price"")"),224.83)</f>
        <v>224.83</v>
      </c>
      <c r="H78" s="97">
        <f>IFERROR(__xludf.DUMMYFUNCTION("GOOGLEFINANCE(E78, ""low"")"),224.72)</f>
        <v>224.72</v>
      </c>
      <c r="I78" s="99">
        <f>IFERROR(__xludf.DUMMYFUNCTION("GOOGLEFINANCE(E78, ""high"")"),228.95)</f>
        <v>228.95</v>
      </c>
      <c r="J78" s="128" t="s">
        <v>673</v>
      </c>
      <c r="K78" s="129">
        <v>11.5</v>
      </c>
      <c r="L78" s="129">
        <v>57.74</v>
      </c>
      <c r="M78" s="129">
        <v>15.49</v>
      </c>
      <c r="N78" s="129">
        <v>5.29</v>
      </c>
      <c r="O78" s="125" t="s">
        <v>4324</v>
      </c>
      <c r="P78" s="145">
        <v>132.57</v>
      </c>
      <c r="Q78" s="130">
        <v>45714.7297333912</v>
      </c>
      <c r="R78" s="131" t="b">
        <v>1</v>
      </c>
      <c r="S78" s="143" t="str">
        <f t="shared" si="1"/>
        <v>Análise Pausada</v>
      </c>
      <c r="T78" s="143" t="s">
        <v>4816</v>
      </c>
      <c r="U78" s="110" t="s">
        <v>4457</v>
      </c>
      <c r="V78" s="110">
        <v>207.29</v>
      </c>
      <c r="W78" s="255">
        <v>0.0278</v>
      </c>
      <c r="X78" s="110">
        <v>7.2</v>
      </c>
      <c r="Y78" s="110">
        <v>52.24</v>
      </c>
      <c r="Z78" s="110">
        <v>13.52</v>
      </c>
      <c r="AA78" s="110">
        <v>6.99</v>
      </c>
      <c r="AB78" s="110">
        <v>0.79</v>
      </c>
      <c r="AC78" s="110" t="s">
        <v>5822</v>
      </c>
      <c r="AD78" s="110" t="s">
        <v>5834</v>
      </c>
      <c r="AE78" s="73"/>
    </row>
    <row r="79" ht="22.5" customHeight="1">
      <c r="A79" s="73"/>
      <c r="B79" s="73"/>
      <c r="C79" s="73"/>
      <c r="D79" s="73"/>
      <c r="E79" s="253" t="s">
        <v>1046</v>
      </c>
      <c r="F79" s="125" t="s">
        <v>2152</v>
      </c>
      <c r="G79" s="96">
        <f>IFERROR(__xludf.DUMMYFUNCTION("GOOGLEFINANCE(E79, ""price"")"),129.64)</f>
        <v>129.64</v>
      </c>
      <c r="H79" s="97">
        <f>IFERROR(__xludf.DUMMYFUNCTION("GOOGLEFINANCE(E79, ""low"")"),127.8)</f>
        <v>127.8</v>
      </c>
      <c r="I79" s="99">
        <f>IFERROR(__xludf.DUMMYFUNCTION("GOOGLEFINANCE(E79, ""high"")"),131.3)</f>
        <v>131.3</v>
      </c>
      <c r="J79" s="161"/>
      <c r="K79" s="106"/>
      <c r="L79" s="106"/>
      <c r="M79" s="106"/>
      <c r="N79" s="106"/>
      <c r="O79" s="105"/>
      <c r="P79" s="106">
        <v>173.12</v>
      </c>
      <c r="Q79" s="108">
        <v>45708.41577071759</v>
      </c>
      <c r="R79" s="109" t="b">
        <v>1</v>
      </c>
      <c r="S79" s="143" t="str">
        <f t="shared" si="1"/>
        <v>Análise Pausada</v>
      </c>
      <c r="T79" s="118" t="s">
        <v>4816</v>
      </c>
      <c r="U79" s="111" t="s">
        <v>1046</v>
      </c>
      <c r="V79" s="111">
        <v>6.77</v>
      </c>
      <c r="W79" s="257">
        <v>-0.0116</v>
      </c>
      <c r="X79" s="111">
        <v>-0.2</v>
      </c>
      <c r="Y79" s="111">
        <v>47.88</v>
      </c>
      <c r="Z79" s="111">
        <v>18.48</v>
      </c>
      <c r="AA79" s="111">
        <v>0.13</v>
      </c>
      <c r="AB79" s="111">
        <v>0.76</v>
      </c>
      <c r="AC79" s="111" t="s">
        <v>5822</v>
      </c>
      <c r="AD79" s="111" t="s">
        <v>5837</v>
      </c>
      <c r="AE79" s="73"/>
    </row>
    <row r="80" ht="22.5" customHeight="1">
      <c r="A80" s="73"/>
      <c r="B80" s="73"/>
      <c r="C80" s="73"/>
      <c r="D80" s="73"/>
      <c r="E80" s="254" t="s">
        <v>798</v>
      </c>
      <c r="F80" s="125" t="s">
        <v>799</v>
      </c>
      <c r="G80" s="96">
        <f>IFERROR(__xludf.DUMMYFUNCTION("GOOGLEFINANCE(E80, ""price"")"),147.5)</f>
        <v>147.5</v>
      </c>
      <c r="H80" s="97">
        <f>IFERROR(__xludf.DUMMYFUNCTION("GOOGLEFINANCE(E80, ""low"")"),145.53)</f>
        <v>145.53</v>
      </c>
      <c r="I80" s="99">
        <f>IFERROR(__xludf.DUMMYFUNCTION("GOOGLEFINANCE(E80, ""high"")"),148.66)</f>
        <v>148.66</v>
      </c>
      <c r="J80" s="161"/>
      <c r="K80" s="102">
        <v>-16.41</v>
      </c>
      <c r="L80" s="104">
        <v>27.65</v>
      </c>
      <c r="M80" s="104">
        <v>36.4</v>
      </c>
      <c r="N80" s="104">
        <v>8.44</v>
      </c>
      <c r="O80" s="105"/>
      <c r="P80" s="106">
        <v>181.52</v>
      </c>
      <c r="Q80" s="108">
        <v>46219.377022280096</v>
      </c>
      <c r="R80" s="109" t="b">
        <v>1</v>
      </c>
      <c r="S80" s="143" t="str">
        <f t="shared" si="1"/>
        <v>Análise Pausada</v>
      </c>
      <c r="T80" s="111" t="s">
        <v>4816</v>
      </c>
      <c r="U80" s="111"/>
      <c r="V80" s="111"/>
      <c r="W80" s="257"/>
      <c r="X80" s="111"/>
      <c r="Y80" s="111"/>
      <c r="Z80" s="111"/>
      <c r="AA80" s="111"/>
      <c r="AB80" s="111"/>
      <c r="AC80" s="111"/>
      <c r="AD80" s="111"/>
      <c r="AE80" s="73"/>
    </row>
    <row r="81" ht="22.5" customHeight="1">
      <c r="A81" s="73"/>
      <c r="B81" s="73"/>
      <c r="C81" s="73"/>
      <c r="D81" s="73"/>
      <c r="E81" s="93" t="s">
        <v>5790</v>
      </c>
      <c r="F81" s="95" t="s">
        <v>5510</v>
      </c>
      <c r="G81" s="96">
        <f>IFERROR(__xludf.DUMMYFUNCTION("GOOGLEFINANCE(E81, ""price"")"),168.44)</f>
        <v>168.44</v>
      </c>
      <c r="H81" s="97">
        <f>IFERROR(__xludf.DUMMYFUNCTION("GOOGLEFINANCE(E81, ""low"")"),160.48)</f>
        <v>160.48</v>
      </c>
      <c r="I81" s="99">
        <f>IFERROR(__xludf.DUMMYFUNCTION("GOOGLEFINANCE(E81, ""high"")"),169.98)</f>
        <v>169.98</v>
      </c>
      <c r="J81" s="100" t="s">
        <v>673</v>
      </c>
      <c r="K81" s="104">
        <v>13.1</v>
      </c>
      <c r="L81" s="106"/>
      <c r="M81" s="104">
        <v>40.46</v>
      </c>
      <c r="N81" s="104">
        <v>5.31</v>
      </c>
      <c r="O81" s="105" t="s">
        <v>3629</v>
      </c>
      <c r="P81" s="104">
        <v>119.88</v>
      </c>
      <c r="Q81" s="108">
        <v>45707.81005053241</v>
      </c>
      <c r="R81" s="109" t="b">
        <v>1</v>
      </c>
      <c r="S81" s="143" t="str">
        <f t="shared" si="1"/>
        <v>Análise Pausada</v>
      </c>
      <c r="T81" s="118" t="s">
        <v>4816</v>
      </c>
      <c r="U81" s="118"/>
      <c r="V81" s="118"/>
      <c r="W81" s="118"/>
      <c r="X81" s="118"/>
      <c r="Y81" s="118"/>
      <c r="Z81" s="118"/>
      <c r="AA81" s="118"/>
      <c r="AB81" s="118"/>
      <c r="AC81" s="118"/>
      <c r="AD81" s="111"/>
      <c r="AE81" s="73"/>
    </row>
    <row r="82" ht="22.5" customHeight="1">
      <c r="A82" s="73"/>
      <c r="B82" s="73"/>
      <c r="C82" s="73"/>
      <c r="D82" s="73"/>
      <c r="E82" s="93" t="s">
        <v>195</v>
      </c>
      <c r="F82" s="95" t="s">
        <v>196</v>
      </c>
      <c r="G82" s="96">
        <f>IFERROR(__xludf.DUMMYFUNCTION("GOOGLEFINANCE(E82, ""price"")"),191.71)</f>
        <v>191.71</v>
      </c>
      <c r="H82" s="97">
        <f>IFERROR(__xludf.DUMMYFUNCTION("GOOGLEFINANCE(E82, ""low"")"),182.94)</f>
        <v>182.94</v>
      </c>
      <c r="I82" s="99">
        <f>IFERROR(__xludf.DUMMYFUNCTION("GOOGLEFINANCE(E82, ""high"")"),193.79)</f>
        <v>193.79</v>
      </c>
      <c r="J82" s="100" t="s">
        <v>4922</v>
      </c>
      <c r="K82" s="104">
        <v>7.79</v>
      </c>
      <c r="L82" s="104">
        <v>66.59</v>
      </c>
      <c r="M82" s="104">
        <v>18.67</v>
      </c>
      <c r="N82" s="104">
        <v>5.75</v>
      </c>
      <c r="O82" s="125" t="s">
        <v>197</v>
      </c>
      <c r="P82" s="104">
        <v>123.26</v>
      </c>
      <c r="Q82" s="108">
        <v>45814.37938008102</v>
      </c>
      <c r="R82" s="109" t="b">
        <v>1</v>
      </c>
      <c r="S82" s="143" t="str">
        <f t="shared" si="1"/>
        <v>Análise Pausada</v>
      </c>
      <c r="T82" s="111" t="s">
        <v>4816</v>
      </c>
      <c r="U82" s="111" t="s">
        <v>195</v>
      </c>
      <c r="V82" s="111">
        <v>132.66</v>
      </c>
      <c r="W82" s="257">
        <v>0.0509</v>
      </c>
      <c r="X82" s="111">
        <v>15.99</v>
      </c>
      <c r="Y82" s="111">
        <v>52.83</v>
      </c>
      <c r="Z82" s="111">
        <v>12.78</v>
      </c>
      <c r="AA82" s="111">
        <v>6.32</v>
      </c>
      <c r="AB82" s="111">
        <v>0.52</v>
      </c>
      <c r="AC82" s="111" t="s">
        <v>5822</v>
      </c>
      <c r="AD82" s="111" t="s">
        <v>5848</v>
      </c>
      <c r="AE82" s="73"/>
    </row>
    <row r="83" ht="22.5" customHeight="1">
      <c r="A83" s="73"/>
      <c r="B83" s="73"/>
      <c r="C83" s="73"/>
      <c r="D83" s="73"/>
      <c r="E83" s="127" t="s">
        <v>1031</v>
      </c>
      <c r="F83" s="110" t="s">
        <v>1033</v>
      </c>
      <c r="G83" s="96">
        <f>IFERROR(__xludf.DUMMYFUNCTION("GOOGLEFINANCE(E83, ""price"")"),388.22)</f>
        <v>388.22</v>
      </c>
      <c r="H83" s="143"/>
      <c r="I83" s="143"/>
      <c r="J83" s="144"/>
      <c r="K83" s="145"/>
      <c r="L83" s="145"/>
      <c r="M83" s="145"/>
      <c r="N83" s="145"/>
      <c r="O83" s="143"/>
      <c r="P83" s="129">
        <v>184.45</v>
      </c>
      <c r="Q83" s="130">
        <v>45888.649150196754</v>
      </c>
      <c r="R83" s="131" t="b">
        <v>1</v>
      </c>
      <c r="S83" s="143" t="str">
        <f t="shared" si="1"/>
        <v>Análise Pausada</v>
      </c>
      <c r="T83" s="143" t="s">
        <v>4816</v>
      </c>
      <c r="U83" s="110" t="s">
        <v>1031</v>
      </c>
      <c r="V83" s="110">
        <v>342.15</v>
      </c>
      <c r="W83" s="255">
        <v>0.0265</v>
      </c>
      <c r="X83" s="110">
        <v>1.13</v>
      </c>
      <c r="Y83" s="110">
        <v>58.84</v>
      </c>
      <c r="Z83" s="110">
        <v>45.6</v>
      </c>
      <c r="AA83" s="110">
        <v>18.87</v>
      </c>
      <c r="AB83" s="110">
        <v>0.92</v>
      </c>
      <c r="AC83" s="110" t="s">
        <v>5822</v>
      </c>
      <c r="AD83" s="110" t="s">
        <v>5857</v>
      </c>
      <c r="AE83" s="73"/>
    </row>
    <row r="84" ht="22.5" customHeight="1">
      <c r="A84" s="73"/>
      <c r="B84" s="73"/>
      <c r="C84" s="73"/>
      <c r="D84" s="73"/>
      <c r="E84" s="335" t="s">
        <v>5858</v>
      </c>
      <c r="F84" s="335" t="s">
        <v>5859</v>
      </c>
      <c r="G84" s="96">
        <f>IFERROR(__xludf.DUMMYFUNCTION("GOOGLEFINANCE(E84, ""price"")"),46.05)</f>
        <v>46.05</v>
      </c>
      <c r="H84" s="97">
        <f>IFERROR(__xludf.DUMMYFUNCTION("GOOGLEFINANCE(E84, ""low"")"),45.49)</f>
        <v>45.49</v>
      </c>
      <c r="I84" s="99">
        <f>IFERROR(__xludf.DUMMYFUNCTION("GOOGLEFINANCE(E84, ""high"")"),47.11)</f>
        <v>47.11</v>
      </c>
      <c r="J84" s="128" t="s">
        <v>4922</v>
      </c>
      <c r="K84" s="145"/>
      <c r="L84" s="145"/>
      <c r="M84" s="145"/>
      <c r="N84" s="145"/>
      <c r="O84" s="129"/>
      <c r="P84" s="129">
        <v>75.5</v>
      </c>
      <c r="Q84" s="130">
        <v>45707.369553854165</v>
      </c>
      <c r="R84" s="131" t="b">
        <v>1</v>
      </c>
      <c r="S84" s="143" t="str">
        <f t="shared" si="1"/>
        <v>Análise Pausada</v>
      </c>
      <c r="T84" s="143" t="s">
        <v>4816</v>
      </c>
      <c r="U84" s="143"/>
      <c r="V84" s="143"/>
      <c r="W84" s="143"/>
      <c r="X84" s="143"/>
      <c r="Y84" s="143"/>
      <c r="Z84" s="143"/>
      <c r="AA84" s="143"/>
      <c r="AB84" s="143"/>
      <c r="AC84" s="143"/>
      <c r="AD84" s="110"/>
      <c r="AE84" s="73"/>
    </row>
    <row r="85" ht="22.5" customHeight="1">
      <c r="A85" s="73"/>
      <c r="B85" s="73"/>
      <c r="C85" s="73"/>
      <c r="D85" s="73"/>
      <c r="E85" s="127" t="s">
        <v>4748</v>
      </c>
      <c r="F85" s="110" t="s">
        <v>4749</v>
      </c>
      <c r="G85" s="96">
        <f>IFERROR(__xludf.DUMMYFUNCTION("GOOGLEFINANCE(E85, ""price"")"),78.93)</f>
        <v>78.93</v>
      </c>
      <c r="H85" s="97">
        <f>IFERROR(__xludf.DUMMYFUNCTION("GOOGLEFINANCE(E85, ""low"")"),78.7)</f>
        <v>78.7</v>
      </c>
      <c r="I85" s="99">
        <f>IFERROR(__xludf.DUMMYFUNCTION("GOOGLEFINANCE(E85, ""high"")"),79.52)</f>
        <v>79.52</v>
      </c>
      <c r="J85" s="128" t="s">
        <v>957</v>
      </c>
      <c r="K85" s="129">
        <v>-21.0</v>
      </c>
      <c r="L85" s="129">
        <v>51.72</v>
      </c>
      <c r="M85" s="129">
        <v>11.6</v>
      </c>
      <c r="N85" s="129">
        <v>2.81</v>
      </c>
      <c r="O85" s="110" t="s">
        <v>1339</v>
      </c>
      <c r="P85" s="129">
        <v>105.35</v>
      </c>
      <c r="Q85" s="130">
        <v>45847.31281206019</v>
      </c>
      <c r="R85" s="131" t="b">
        <v>1</v>
      </c>
      <c r="S85" s="143" t="str">
        <f t="shared" si="1"/>
        <v>Análise Pausada</v>
      </c>
      <c r="T85" s="143" t="s">
        <v>4816</v>
      </c>
      <c r="U85" s="110"/>
      <c r="V85" s="110"/>
      <c r="W85" s="255"/>
      <c r="X85" s="110"/>
      <c r="Y85" s="110"/>
      <c r="Z85" s="110"/>
      <c r="AA85" s="110"/>
      <c r="AB85" s="110"/>
      <c r="AC85" s="110"/>
      <c r="AD85" s="110"/>
      <c r="AE85" s="73"/>
    </row>
    <row r="86" ht="22.5" customHeight="1">
      <c r="A86" s="73"/>
      <c r="B86" s="73"/>
      <c r="C86" s="73"/>
      <c r="D86" s="73"/>
      <c r="E86" s="127" t="s">
        <v>4777</v>
      </c>
      <c r="F86" s="110" t="s">
        <v>4779</v>
      </c>
      <c r="G86" s="96">
        <f>IFERROR(__xludf.DUMMYFUNCTION("GOOGLEFINANCE(E86, ""price"")"),129.95)</f>
        <v>129.95</v>
      </c>
      <c r="H86" s="97">
        <f>IFERROR(__xludf.DUMMYFUNCTION("GOOGLEFINANCE(E86, ""low"")"),129.66)</f>
        <v>129.66</v>
      </c>
      <c r="I86" s="99">
        <f>IFERROR(__xludf.DUMMYFUNCTION("GOOGLEFINANCE(E86, ""high"")"),131.39)</f>
        <v>131.39</v>
      </c>
      <c r="J86" s="128" t="s">
        <v>957</v>
      </c>
      <c r="K86" s="129">
        <v>0.46</v>
      </c>
      <c r="L86" s="129">
        <v>47.14</v>
      </c>
      <c r="M86" s="129">
        <v>31.03</v>
      </c>
      <c r="N86" s="129">
        <v>2.15</v>
      </c>
      <c r="O86" s="129" t="s">
        <v>998</v>
      </c>
      <c r="P86" s="129">
        <v>132.26</v>
      </c>
      <c r="Q86" s="130">
        <v>45812.33364386574</v>
      </c>
      <c r="R86" s="131" t="b">
        <v>1</v>
      </c>
      <c r="S86" s="143" t="str">
        <f t="shared" si="1"/>
        <v>Análise Pausada</v>
      </c>
      <c r="T86" s="143" t="s">
        <v>4816</v>
      </c>
      <c r="U86" s="110" t="s">
        <v>4777</v>
      </c>
      <c r="V86" s="110">
        <v>135.0</v>
      </c>
      <c r="W86" s="255">
        <v>-0.0312</v>
      </c>
      <c r="X86" s="110">
        <v>-0.4</v>
      </c>
      <c r="Y86" s="110">
        <v>39.86</v>
      </c>
      <c r="Z86" s="110">
        <v>17.26</v>
      </c>
      <c r="AA86" s="110">
        <v>3.38</v>
      </c>
      <c r="AB86" s="110">
        <v>0.83</v>
      </c>
      <c r="AC86" s="110" t="s">
        <v>5822</v>
      </c>
      <c r="AD86" s="110" t="s">
        <v>5864</v>
      </c>
      <c r="AE86" s="73"/>
    </row>
    <row r="87" ht="22.5" customHeight="1">
      <c r="A87" s="73"/>
      <c r="B87" s="73"/>
      <c r="C87" s="73"/>
      <c r="D87" s="73"/>
      <c r="E87" s="110" t="s">
        <v>5784</v>
      </c>
      <c r="F87" s="110" t="s">
        <v>5785</v>
      </c>
      <c r="G87" s="96">
        <f>IFERROR(__xludf.DUMMYFUNCTION("GOOGLEFINANCE(E87, ""price"")"),21.63)</f>
        <v>21.63</v>
      </c>
      <c r="H87" s="97">
        <f>IFERROR(__xludf.DUMMYFUNCTION("GOOGLEFINANCE(E87, ""low"")"),21.63)</f>
        <v>21.63</v>
      </c>
      <c r="I87" s="99">
        <f>IFERROR(__xludf.DUMMYFUNCTION("GOOGLEFINANCE(E87, ""high"")"),21.88)</f>
        <v>21.88</v>
      </c>
      <c r="J87" s="128" t="s">
        <v>4922</v>
      </c>
      <c r="K87" s="145"/>
      <c r="L87" s="145"/>
      <c r="M87" s="145"/>
      <c r="N87" s="145"/>
      <c r="O87" s="105" t="s">
        <v>3253</v>
      </c>
      <c r="P87" s="129">
        <v>24.05</v>
      </c>
      <c r="Q87" s="130">
        <v>45707.459528865744</v>
      </c>
      <c r="R87" s="131" t="b">
        <v>1</v>
      </c>
      <c r="S87" s="143" t="str">
        <f t="shared" si="1"/>
        <v>Análise Pausada</v>
      </c>
      <c r="T87" s="143" t="s">
        <v>4816</v>
      </c>
      <c r="U87" s="143"/>
      <c r="V87" s="143"/>
      <c r="W87" s="143"/>
      <c r="X87" s="143"/>
      <c r="Y87" s="143"/>
      <c r="Z87" s="143"/>
      <c r="AA87" s="143"/>
      <c r="AB87" s="143"/>
      <c r="AC87" s="143"/>
      <c r="AD87" s="110"/>
      <c r="AE87" s="73"/>
    </row>
    <row r="88" ht="22.5" customHeight="1">
      <c r="A88" s="73"/>
      <c r="B88" s="73"/>
      <c r="C88" s="73"/>
      <c r="D88" s="73"/>
      <c r="E88" s="127" t="s">
        <v>5866</v>
      </c>
      <c r="F88" s="110" t="s">
        <v>5867</v>
      </c>
      <c r="G88" s="96">
        <f>IFERROR(__xludf.DUMMYFUNCTION("GOOGLEFINANCE(E88, ""price"")"),44.16)</f>
        <v>44.16</v>
      </c>
      <c r="H88" s="97">
        <f>IFERROR(__xludf.DUMMYFUNCTION("GOOGLEFINANCE(E88, ""low"")"),43.81)</f>
        <v>43.81</v>
      </c>
      <c r="I88" s="99">
        <f>IFERROR(__xludf.DUMMYFUNCTION("GOOGLEFINANCE(E88, ""high"")"),45.64)</f>
        <v>45.64</v>
      </c>
      <c r="J88" s="128" t="s">
        <v>957</v>
      </c>
      <c r="K88" s="129">
        <v>-4.22</v>
      </c>
      <c r="L88" s="129">
        <v>35.57</v>
      </c>
      <c r="M88" s="129">
        <v>22.82</v>
      </c>
      <c r="N88" s="129">
        <v>1.34</v>
      </c>
      <c r="O88" s="110" t="s">
        <v>245</v>
      </c>
      <c r="P88" s="129">
        <v>41.81</v>
      </c>
      <c r="Q88" s="130">
        <v>45812.34479935185</v>
      </c>
      <c r="R88" s="131" t="b">
        <v>1</v>
      </c>
      <c r="S88" s="143" t="str">
        <f t="shared" si="1"/>
        <v>Análise Pausada</v>
      </c>
      <c r="T88" s="143" t="s">
        <v>4816</v>
      </c>
      <c r="U88" s="143"/>
      <c r="V88" s="143"/>
      <c r="W88" s="143"/>
      <c r="X88" s="143"/>
      <c r="Y88" s="143"/>
      <c r="Z88" s="143"/>
      <c r="AA88" s="143"/>
      <c r="AB88" s="143"/>
      <c r="AC88" s="143"/>
      <c r="AD88" s="110"/>
      <c r="AE88" s="73"/>
    </row>
    <row r="89" ht="22.5" customHeight="1">
      <c r="A89" s="73"/>
      <c r="B89" s="73"/>
      <c r="C89" s="73"/>
      <c r="D89" s="73"/>
      <c r="E89" s="189" t="s">
        <v>1499</v>
      </c>
      <c r="F89" s="110" t="s">
        <v>5869</v>
      </c>
      <c r="G89" s="96">
        <f>IFERROR(__xludf.DUMMYFUNCTION("GOOGLEFINANCE(E89, ""price"")"),129.7)</f>
        <v>129.7</v>
      </c>
      <c r="H89" s="97">
        <f>IFERROR(__xludf.DUMMYFUNCTION("GOOGLEFINANCE(E89, ""low"")"),129.38)</f>
        <v>129.38</v>
      </c>
      <c r="I89" s="99">
        <f>IFERROR(__xludf.DUMMYFUNCTION("GOOGLEFINANCE(E89, ""high"")"),130.6)</f>
        <v>130.6</v>
      </c>
      <c r="J89" s="128" t="s">
        <v>957</v>
      </c>
      <c r="K89" s="145"/>
      <c r="L89" s="145"/>
      <c r="M89" s="145"/>
      <c r="N89" s="145"/>
      <c r="O89" s="145"/>
      <c r="P89" s="145"/>
      <c r="Q89" s="130"/>
      <c r="R89" s="131" t="b">
        <v>1</v>
      </c>
      <c r="S89" s="143" t="str">
        <f t="shared" si="1"/>
        <v>Análise Pausada</v>
      </c>
      <c r="T89" s="143" t="s">
        <v>4816</v>
      </c>
      <c r="U89" s="143"/>
      <c r="V89" s="143"/>
      <c r="W89" s="143"/>
      <c r="X89" s="143"/>
      <c r="Y89" s="143"/>
      <c r="Z89" s="143"/>
      <c r="AA89" s="143"/>
      <c r="AB89" s="143"/>
      <c r="AC89" s="143"/>
      <c r="AD89" s="110"/>
      <c r="AE89" s="73"/>
    </row>
    <row r="90" ht="22.5" customHeight="1">
      <c r="A90" s="73"/>
      <c r="B90" s="73"/>
      <c r="C90" s="73"/>
      <c r="D90" s="73"/>
      <c r="E90" s="189" t="s">
        <v>4839</v>
      </c>
      <c r="F90" s="110" t="s">
        <v>5871</v>
      </c>
      <c r="G90" s="96">
        <f>IFERROR(__xludf.DUMMYFUNCTION("GOOGLEFINANCE(E90, ""price"")"),147.32)</f>
        <v>147.32</v>
      </c>
      <c r="H90" s="97">
        <f>IFERROR(__xludf.DUMMYFUNCTION("GOOGLEFINANCE(E90, ""low"")"),147.22)</f>
        <v>147.22</v>
      </c>
      <c r="I90" s="99">
        <f>IFERROR(__xludf.DUMMYFUNCTION("GOOGLEFINANCE(E90, ""high"")"),148.93)</f>
        <v>148.93</v>
      </c>
      <c r="J90" s="128" t="s">
        <v>957</v>
      </c>
      <c r="K90" s="145"/>
      <c r="L90" s="145"/>
      <c r="M90" s="145"/>
      <c r="N90" s="145"/>
      <c r="O90" s="145"/>
      <c r="P90" s="145">
        <v>160.23</v>
      </c>
      <c r="Q90" s="130">
        <v>45755.44765773148</v>
      </c>
      <c r="R90" s="131" t="b">
        <v>1</v>
      </c>
      <c r="S90" s="143" t="str">
        <f t="shared" si="1"/>
        <v>Análise Pausada</v>
      </c>
      <c r="T90" s="143" t="s">
        <v>4816</v>
      </c>
      <c r="U90" s="110" t="s">
        <v>4839</v>
      </c>
      <c r="V90" s="110">
        <v>148.1</v>
      </c>
      <c r="W90" s="255">
        <v>-0.006</v>
      </c>
      <c r="X90" s="110">
        <v>1.46</v>
      </c>
      <c r="Y90" s="110">
        <v>49.4</v>
      </c>
      <c r="Z90" s="110">
        <v>10.86</v>
      </c>
      <c r="AA90" s="110">
        <v>2.95</v>
      </c>
      <c r="AB90" s="110">
        <v>0.74</v>
      </c>
      <c r="AC90" s="110" t="s">
        <v>5822</v>
      </c>
      <c r="AD90" s="110" t="s">
        <v>5873</v>
      </c>
      <c r="AE90" s="73"/>
    </row>
    <row r="91" ht="22.5" customHeight="1">
      <c r="A91" s="73"/>
      <c r="B91" s="73"/>
      <c r="C91" s="73"/>
      <c r="D91" s="73"/>
      <c r="E91" s="127" t="s">
        <v>4839</v>
      </c>
      <c r="F91" s="110" t="s">
        <v>4840</v>
      </c>
      <c r="G91" s="96">
        <f>IFERROR(__xludf.DUMMYFUNCTION("GOOGLEFINANCE(E91, ""price"")"),147.32)</f>
        <v>147.32</v>
      </c>
      <c r="H91" s="97">
        <f>IFERROR(__xludf.DUMMYFUNCTION("GOOGLEFINANCE(E91, ""low"")"),147.22)</f>
        <v>147.22</v>
      </c>
      <c r="I91" s="99">
        <f>IFERROR(__xludf.DUMMYFUNCTION("GOOGLEFINANCE(E91, ""high"")"),148.93)</f>
        <v>148.93</v>
      </c>
      <c r="J91" s="128" t="s">
        <v>673</v>
      </c>
      <c r="K91" s="145"/>
      <c r="L91" s="145"/>
      <c r="M91" s="145"/>
      <c r="N91" s="145"/>
      <c r="O91" s="143"/>
      <c r="P91" s="129">
        <v>162.59</v>
      </c>
      <c r="Q91" s="130">
        <v>45793.50532239584</v>
      </c>
      <c r="R91" s="131" t="b">
        <v>1</v>
      </c>
      <c r="S91" s="143" t="str">
        <f t="shared" si="1"/>
        <v>Análise Pausada</v>
      </c>
      <c r="T91" s="143" t="s">
        <v>4816</v>
      </c>
      <c r="U91" s="110" t="s">
        <v>4839</v>
      </c>
      <c r="V91" s="110">
        <v>148.1</v>
      </c>
      <c r="W91" s="255">
        <v>-0.006</v>
      </c>
      <c r="X91" s="110">
        <v>1.46</v>
      </c>
      <c r="Y91" s="110">
        <v>49.4</v>
      </c>
      <c r="Z91" s="110">
        <v>10.86</v>
      </c>
      <c r="AA91" s="110">
        <v>2.95</v>
      </c>
      <c r="AB91" s="110">
        <v>0.74</v>
      </c>
      <c r="AC91" s="110" t="s">
        <v>5822</v>
      </c>
      <c r="AD91" s="110" t="s">
        <v>5873</v>
      </c>
      <c r="AE91" s="73"/>
    </row>
    <row r="92" ht="22.5" customHeight="1">
      <c r="A92" s="73"/>
      <c r="B92" s="73"/>
      <c r="C92" s="73"/>
      <c r="D92" s="73"/>
      <c r="E92" s="254" t="s">
        <v>330</v>
      </c>
      <c r="F92" s="254" t="s">
        <v>532</v>
      </c>
      <c r="G92" s="96">
        <f>IFERROR(__xludf.DUMMYFUNCTION("GOOGLEFINANCE(E92, ""price"")"),185.88)</f>
        <v>185.88</v>
      </c>
      <c r="H92" s="97">
        <f>IFERROR(__xludf.DUMMYFUNCTION("GOOGLEFINANCE(E92, ""low"")"),180.23)</f>
        <v>180.23</v>
      </c>
      <c r="I92" s="99">
        <f>IFERROR(__xludf.DUMMYFUNCTION("GOOGLEFINANCE(E92, ""high"")"),186.64)</f>
        <v>186.64</v>
      </c>
      <c r="J92" s="140"/>
      <c r="K92" s="106"/>
      <c r="L92" s="106"/>
      <c r="M92" s="106"/>
      <c r="N92" s="106"/>
      <c r="O92" s="104"/>
      <c r="P92" s="104">
        <v>146.06</v>
      </c>
      <c r="Q92" s="108">
        <v>45706.703309131946</v>
      </c>
      <c r="R92" s="109" t="b">
        <v>1</v>
      </c>
      <c r="S92" s="143" t="str">
        <f t="shared" si="1"/>
        <v>Análise Pausada</v>
      </c>
      <c r="T92" s="118" t="s">
        <v>4816</v>
      </c>
      <c r="U92" s="118"/>
      <c r="V92" s="118"/>
      <c r="W92" s="118"/>
      <c r="X92" s="118"/>
      <c r="Y92" s="118"/>
      <c r="Z92" s="118"/>
      <c r="AA92" s="118"/>
      <c r="AB92" s="118"/>
      <c r="AC92" s="118"/>
      <c r="AD92" s="111"/>
      <c r="AE92" s="73"/>
    </row>
    <row r="93" ht="22.5" customHeight="1">
      <c r="A93" s="73"/>
      <c r="B93" s="73"/>
      <c r="C93" s="73"/>
      <c r="D93" s="73"/>
      <c r="E93" s="127" t="s">
        <v>5101</v>
      </c>
      <c r="F93" s="110" t="s">
        <v>5102</v>
      </c>
      <c r="G93" s="96">
        <f>IFERROR(__xludf.DUMMYFUNCTION("GOOGLEFINANCE(E93, ""price"")"),9.34)</f>
        <v>9.34</v>
      </c>
      <c r="H93" s="97">
        <f>IFERROR(__xludf.DUMMYFUNCTION("GOOGLEFINANCE(E93, ""low"")"),9.05)</f>
        <v>9.05</v>
      </c>
      <c r="I93" s="99">
        <f>IFERROR(__xludf.DUMMYFUNCTION("GOOGLEFINANCE(E93, ""high"")"),9.76)</f>
        <v>9.76</v>
      </c>
      <c r="J93" s="128" t="s">
        <v>4922</v>
      </c>
      <c r="K93" s="129">
        <v>2.6</v>
      </c>
      <c r="L93" s="129">
        <v>63.17</v>
      </c>
      <c r="M93" s="129">
        <v>36.41</v>
      </c>
      <c r="N93" s="129">
        <v>1.02</v>
      </c>
      <c r="O93" s="110" t="s">
        <v>170</v>
      </c>
      <c r="P93" s="129">
        <v>17.51</v>
      </c>
      <c r="Q93" s="130">
        <v>45838.323184444445</v>
      </c>
      <c r="R93" s="131" t="b">
        <v>1</v>
      </c>
      <c r="S93" s="143" t="str">
        <f t="shared" si="1"/>
        <v>Análise Pausada</v>
      </c>
      <c r="T93" s="143" t="s">
        <v>4816</v>
      </c>
      <c r="U93" s="110" t="s">
        <v>5101</v>
      </c>
      <c r="V93" s="110">
        <v>8.22</v>
      </c>
      <c r="W93" s="255">
        <v>-0.0718</v>
      </c>
      <c r="X93" s="110">
        <v>-1.48</v>
      </c>
      <c r="Y93" s="110">
        <v>42.56</v>
      </c>
      <c r="Z93" s="110">
        <v>14.8</v>
      </c>
      <c r="AA93" s="110">
        <v>0.55</v>
      </c>
      <c r="AB93" s="110">
        <v>0.71</v>
      </c>
      <c r="AC93" s="110" t="s">
        <v>5885</v>
      </c>
      <c r="AD93" s="110" t="s">
        <v>5886</v>
      </c>
      <c r="AE93" s="73"/>
    </row>
    <row r="94" ht="22.5" customHeight="1">
      <c r="A94" s="73"/>
      <c r="B94" s="73"/>
      <c r="C94" s="73"/>
      <c r="D94" s="73"/>
      <c r="E94" s="127" t="s">
        <v>1558</v>
      </c>
      <c r="F94" s="110" t="s">
        <v>1559</v>
      </c>
      <c r="G94" s="96" t="str">
        <f>IFERROR(__xludf.DUMMYFUNCTION("GOOGLEFINANCE(E94, ""price"")"),"#N/A")</f>
        <v>#N/A</v>
      </c>
      <c r="H94" s="97" t="str">
        <f>IFERROR(__xludf.DUMMYFUNCTION("GOOGLEFINANCE(E94, ""low"")"),"#N/A")</f>
        <v>#N/A</v>
      </c>
      <c r="I94" s="99" t="str">
        <f>IFERROR(__xludf.DUMMYFUNCTION("GOOGLEFINANCE(E94, ""high"")"),"#N/A")</f>
        <v>#N/A</v>
      </c>
      <c r="J94" s="144"/>
      <c r="K94" s="129">
        <v>2.53</v>
      </c>
      <c r="L94" s="129">
        <v>69.76</v>
      </c>
      <c r="M94" s="129">
        <v>39.56</v>
      </c>
      <c r="N94" s="129">
        <v>0.55</v>
      </c>
      <c r="O94" s="110" t="s">
        <v>1561</v>
      </c>
      <c r="P94" s="129">
        <v>6.81</v>
      </c>
      <c r="Q94" s="130">
        <v>45838.32549383102</v>
      </c>
      <c r="R94" s="131" t="b">
        <v>1</v>
      </c>
      <c r="S94" s="143" t="str">
        <f t="shared" si="1"/>
        <v>Análise Pausada</v>
      </c>
      <c r="T94" s="143" t="s">
        <v>4816</v>
      </c>
      <c r="U94" s="110" t="s">
        <v>1558</v>
      </c>
      <c r="V94" s="110">
        <v>6.05</v>
      </c>
      <c r="W94" s="255">
        <v>-0.108</v>
      </c>
      <c r="X94" s="110">
        <v>-1.51</v>
      </c>
      <c r="Y94" s="110">
        <v>37.33</v>
      </c>
      <c r="Z94" s="110">
        <v>16.18</v>
      </c>
      <c r="AA94" s="110">
        <v>0.41</v>
      </c>
      <c r="AB94" s="110">
        <v>0.71</v>
      </c>
      <c r="AC94" s="110" t="s">
        <v>5885</v>
      </c>
      <c r="AD94" s="110" t="s">
        <v>5889</v>
      </c>
      <c r="AE94" s="73"/>
    </row>
    <row r="95" ht="22.5" customHeight="1">
      <c r="A95" s="73"/>
      <c r="B95" s="73"/>
      <c r="C95" s="73"/>
      <c r="D95" s="73"/>
      <c r="E95" s="127" t="s">
        <v>5236</v>
      </c>
      <c r="F95" s="110" t="s">
        <v>5237</v>
      </c>
      <c r="G95" s="96">
        <f>IFERROR(__xludf.DUMMYFUNCTION("GOOGLEFINANCE(E95, ""price"")"),342.11)</f>
        <v>342.11</v>
      </c>
      <c r="H95" s="97">
        <f>IFERROR(__xludf.DUMMYFUNCTION("GOOGLEFINANCE(E95, ""low"")"),339.79)</f>
        <v>339.79</v>
      </c>
      <c r="I95" s="99">
        <f>IFERROR(__xludf.DUMMYFUNCTION("GOOGLEFINANCE(E95, ""high"")"),348.51)</f>
        <v>348.51</v>
      </c>
      <c r="J95" s="128" t="s">
        <v>957</v>
      </c>
      <c r="K95" s="129">
        <v>22.54</v>
      </c>
      <c r="L95" s="129">
        <v>71.56</v>
      </c>
      <c r="M95" s="129">
        <v>38.42</v>
      </c>
      <c r="N95" s="129">
        <v>8.59</v>
      </c>
      <c r="O95" s="110" t="s">
        <v>542</v>
      </c>
      <c r="P95" s="129">
        <v>274.01</v>
      </c>
      <c r="Q95" s="130">
        <v>45799.42217734954</v>
      </c>
      <c r="R95" s="131" t="b">
        <v>1</v>
      </c>
      <c r="S95" s="143" t="str">
        <f t="shared" si="1"/>
        <v>Análise Pausada</v>
      </c>
      <c r="T95" s="143" t="s">
        <v>4816</v>
      </c>
      <c r="U95" s="110" t="s">
        <v>5236</v>
      </c>
      <c r="V95" s="110">
        <v>382.93</v>
      </c>
      <c r="W95" s="255">
        <v>-0.0229</v>
      </c>
      <c r="X95" s="110">
        <v>-18.48</v>
      </c>
      <c r="Y95" s="110">
        <v>48.37</v>
      </c>
      <c r="Z95" s="110">
        <v>18.67</v>
      </c>
      <c r="AA95" s="110">
        <v>12.36</v>
      </c>
      <c r="AB95" s="110">
        <v>0.62</v>
      </c>
      <c r="AC95" s="110" t="s">
        <v>5885</v>
      </c>
      <c r="AD95" s="110" t="s">
        <v>5890</v>
      </c>
      <c r="AE95" s="73"/>
    </row>
    <row r="96" ht="22.5" customHeight="1">
      <c r="A96" s="73"/>
      <c r="B96" s="149" t="s">
        <v>327</v>
      </c>
      <c r="C96" s="150">
        <f>now()</f>
        <v>46288.71545</v>
      </c>
      <c r="D96" s="73"/>
      <c r="E96" s="127" t="s">
        <v>5892</v>
      </c>
      <c r="F96" s="110" t="s">
        <v>5893</v>
      </c>
      <c r="G96" s="96">
        <f>IFERROR(__xludf.DUMMYFUNCTION("GOOGLEFINANCE(E96, ""price"")"),1025.0)</f>
        <v>1025</v>
      </c>
      <c r="H96" s="97">
        <f>IFERROR(__xludf.DUMMYFUNCTION("GOOGLEFINANCE(E96, ""low"")"),994.3)</f>
        <v>994.3</v>
      </c>
      <c r="I96" s="99">
        <f>IFERROR(__xludf.DUMMYFUNCTION("GOOGLEFINANCE(E96, ""high"")"),1025.2)</f>
        <v>1025.2</v>
      </c>
      <c r="J96" s="144"/>
      <c r="K96" s="129">
        <v>-92.0</v>
      </c>
      <c r="L96" s="129">
        <v>50.48</v>
      </c>
      <c r="M96" s="129">
        <v>12.65</v>
      </c>
      <c r="N96" s="129">
        <v>75.3</v>
      </c>
      <c r="O96" s="110" t="s">
        <v>197</v>
      </c>
      <c r="P96" s="129">
        <v>1741.0</v>
      </c>
      <c r="Q96" s="130">
        <v>45827.31578664352</v>
      </c>
      <c r="R96" s="131" t="b">
        <v>1</v>
      </c>
      <c r="S96" s="143" t="str">
        <f t="shared" si="1"/>
        <v>Análise Pausada</v>
      </c>
      <c r="T96" s="143" t="s">
        <v>4816</v>
      </c>
      <c r="U96" s="143"/>
      <c r="V96" s="143"/>
      <c r="W96" s="143"/>
      <c r="X96" s="143"/>
      <c r="Y96" s="143"/>
      <c r="Z96" s="143"/>
      <c r="AA96" s="143"/>
      <c r="AB96" s="143"/>
      <c r="AC96" s="143"/>
      <c r="AD96" s="110"/>
      <c r="AE96" s="73"/>
    </row>
    <row r="97" ht="22.5" customHeight="1">
      <c r="A97" s="73"/>
      <c r="B97" s="73"/>
      <c r="C97" s="73"/>
      <c r="D97" s="73"/>
      <c r="E97" s="280" t="s">
        <v>1362</v>
      </c>
      <c r="F97" s="280" t="s">
        <v>1364</v>
      </c>
      <c r="G97" s="96">
        <f>IFERROR(__xludf.DUMMYFUNCTION("GOOGLEFINANCE(E97, ""price"")"),16.19)</f>
        <v>16.19</v>
      </c>
      <c r="H97" s="97">
        <f>IFERROR(__xludf.DUMMYFUNCTION("GOOGLEFINANCE(E97, ""low"")"),16.07)</f>
        <v>16.07</v>
      </c>
      <c r="I97" s="99">
        <f>IFERROR(__xludf.DUMMYFUNCTION("GOOGLEFINANCE(E97, ""high"")"),17.66)</f>
        <v>17.66</v>
      </c>
      <c r="J97" s="144"/>
      <c r="K97" s="145"/>
      <c r="L97" s="145"/>
      <c r="M97" s="145"/>
      <c r="N97" s="145"/>
      <c r="O97" s="129"/>
      <c r="P97" s="129">
        <v>10.48</v>
      </c>
      <c r="Q97" s="130">
        <v>45707.2402543287</v>
      </c>
      <c r="R97" s="131" t="b">
        <v>1</v>
      </c>
      <c r="S97" s="143" t="str">
        <f t="shared" si="1"/>
        <v>Análise Pausada</v>
      </c>
      <c r="T97" s="143" t="s">
        <v>4816</v>
      </c>
      <c r="U97" s="110" t="s">
        <v>1362</v>
      </c>
      <c r="V97" s="110">
        <v>15.28</v>
      </c>
      <c r="W97" s="255">
        <v>-0.1074</v>
      </c>
      <c r="X97" s="110">
        <v>-4.04</v>
      </c>
      <c r="Y97" s="110">
        <v>39.18</v>
      </c>
      <c r="Z97" s="110">
        <v>28.59</v>
      </c>
      <c r="AA97" s="110">
        <v>1.05</v>
      </c>
      <c r="AB97" s="110">
        <v>0.72</v>
      </c>
      <c r="AC97" s="110" t="s">
        <v>5885</v>
      </c>
      <c r="AD97" s="110" t="s">
        <v>5895</v>
      </c>
      <c r="AE97" s="73"/>
    </row>
    <row r="98" ht="22.5" customHeight="1">
      <c r="A98" s="73"/>
      <c r="B98" s="73"/>
      <c r="C98" s="73"/>
      <c r="D98" s="73"/>
      <c r="E98" s="127" t="s">
        <v>3271</v>
      </c>
      <c r="F98" s="110" t="s">
        <v>3272</v>
      </c>
      <c r="G98" s="96">
        <f>IFERROR(__xludf.DUMMYFUNCTION("GOOGLEFINANCE(E98, ""price"")"),125.32)</f>
        <v>125.32</v>
      </c>
      <c r="H98" s="97">
        <f>IFERROR(__xludf.DUMMYFUNCTION("GOOGLEFINANCE(E98, ""low"")"),122.55)</f>
        <v>122.55</v>
      </c>
      <c r="I98" s="99">
        <f>IFERROR(__xludf.DUMMYFUNCTION("GOOGLEFINANCE(E98, ""high"")"),126.74)</f>
        <v>126.74</v>
      </c>
      <c r="J98" s="144"/>
      <c r="K98" s="129">
        <v>24.88</v>
      </c>
      <c r="L98" s="129">
        <v>80.67</v>
      </c>
      <c r="M98" s="129">
        <v>45.07</v>
      </c>
      <c r="N98" s="129">
        <v>4.98</v>
      </c>
      <c r="O98" s="110" t="s">
        <v>998</v>
      </c>
      <c r="P98" s="129">
        <v>99.83</v>
      </c>
      <c r="Q98" s="130">
        <v>45840.7610403125</v>
      </c>
      <c r="R98" s="131" t="b">
        <v>1</v>
      </c>
      <c r="S98" s="143" t="str">
        <f t="shared" si="1"/>
        <v>Análise Pausada</v>
      </c>
      <c r="T98" s="143" t="s">
        <v>4816</v>
      </c>
      <c r="U98" s="110" t="s">
        <v>3271</v>
      </c>
      <c r="V98" s="110">
        <v>106.36</v>
      </c>
      <c r="W98" s="255">
        <v>-0.0049</v>
      </c>
      <c r="X98" s="110">
        <v>6.08</v>
      </c>
      <c r="Y98" s="110">
        <v>52.85</v>
      </c>
      <c r="Z98" s="110">
        <v>23.91</v>
      </c>
      <c r="AA98" s="110">
        <v>6.61</v>
      </c>
      <c r="AB98" s="110">
        <v>0.76</v>
      </c>
      <c r="AC98" s="110" t="s">
        <v>5885</v>
      </c>
      <c r="AD98" s="110" t="s">
        <v>5896</v>
      </c>
      <c r="AE98" s="73"/>
    </row>
    <row r="99" ht="22.5" customHeight="1">
      <c r="A99" s="73"/>
      <c r="B99" s="73"/>
      <c r="C99" s="73"/>
      <c r="D99" s="73"/>
      <c r="E99" s="127" t="s">
        <v>1017</v>
      </c>
      <c r="F99" s="110" t="s">
        <v>1018</v>
      </c>
      <c r="G99" s="96">
        <f>IFERROR(__xludf.DUMMYFUNCTION("GOOGLEFINANCE(E99, ""price"")"),71.62)</f>
        <v>71.62</v>
      </c>
      <c r="H99" s="97">
        <f>IFERROR(__xludf.DUMMYFUNCTION("GOOGLEFINANCE(E99, ""low"")"),70.98)</f>
        <v>70.98</v>
      </c>
      <c r="I99" s="99">
        <f>IFERROR(__xludf.DUMMYFUNCTION("GOOGLEFINANCE(E99, ""high"")"),73.57)</f>
        <v>73.57</v>
      </c>
      <c r="J99" s="144"/>
      <c r="K99" s="129">
        <v>7.29</v>
      </c>
      <c r="L99" s="129">
        <v>72.27</v>
      </c>
      <c r="M99" s="129">
        <v>23.53</v>
      </c>
      <c r="N99" s="129">
        <v>1.75</v>
      </c>
      <c r="O99" s="110" t="s">
        <v>542</v>
      </c>
      <c r="P99" s="129">
        <v>47.03</v>
      </c>
      <c r="Q99" s="130">
        <v>45895.30139100694</v>
      </c>
      <c r="R99" s="131" t="b">
        <v>1</v>
      </c>
      <c r="S99" s="143" t="str">
        <f t="shared" si="1"/>
        <v>Análise Pausada</v>
      </c>
      <c r="T99" s="143" t="s">
        <v>4816</v>
      </c>
      <c r="U99" s="110"/>
      <c r="V99" s="110"/>
      <c r="W99" s="255"/>
      <c r="X99" s="110"/>
      <c r="Y99" s="110"/>
      <c r="Z99" s="110"/>
      <c r="AA99" s="110"/>
      <c r="AB99" s="110"/>
      <c r="AC99" s="110"/>
      <c r="AD99" s="110"/>
      <c r="AE99" s="73"/>
    </row>
    <row r="100" ht="22.5" customHeight="1">
      <c r="A100" s="73"/>
      <c r="B100" s="73"/>
      <c r="C100" s="73"/>
      <c r="D100" s="73"/>
      <c r="E100" s="125" t="s">
        <v>147</v>
      </c>
      <c r="F100" s="125" t="s">
        <v>148</v>
      </c>
      <c r="G100" s="96">
        <f>IFERROR(__xludf.DUMMYFUNCTION("GOOGLEFINANCE(E100, ""price"")"),253.12)</f>
        <v>253.12</v>
      </c>
      <c r="H100" s="97">
        <f>IFERROR(__xludf.DUMMYFUNCTION("GOOGLEFINANCE(E100, ""low"")"),251.14)</f>
        <v>251.14</v>
      </c>
      <c r="I100" s="99">
        <f>IFERROR(__xludf.DUMMYFUNCTION("GOOGLEFINANCE(E100, ""high"")"),254.26)</f>
        <v>254.26</v>
      </c>
      <c r="J100" s="152"/>
      <c r="K100" s="106"/>
      <c r="L100" s="106"/>
      <c r="M100" s="106"/>
      <c r="N100" s="106"/>
      <c r="O100" s="105"/>
      <c r="P100" s="106"/>
      <c r="Q100" s="108"/>
      <c r="R100" s="109" t="b">
        <v>1</v>
      </c>
      <c r="S100" s="143" t="str">
        <f t="shared" si="1"/>
        <v>Análise Pausada</v>
      </c>
      <c r="T100" s="118" t="s">
        <v>4816</v>
      </c>
      <c r="U100" s="118"/>
      <c r="V100" s="118"/>
      <c r="W100" s="118"/>
      <c r="X100" s="118"/>
      <c r="Y100" s="118"/>
      <c r="Z100" s="118"/>
      <c r="AA100" s="118"/>
      <c r="AB100" s="118"/>
      <c r="AC100" s="118"/>
      <c r="AD100" s="111"/>
      <c r="AE100" s="73"/>
    </row>
    <row r="101" ht="22.5" customHeight="1">
      <c r="A101" s="73"/>
      <c r="B101" s="73"/>
      <c r="C101" s="73"/>
      <c r="D101" s="73"/>
      <c r="E101" s="124" t="s">
        <v>5177</v>
      </c>
      <c r="F101" s="125" t="s">
        <v>5178</v>
      </c>
      <c r="G101" s="96">
        <f>IFERROR(__xludf.DUMMYFUNCTION("GOOGLEFINANCE(E101, ""price"")"),209.55)</f>
        <v>209.55</v>
      </c>
      <c r="H101" s="97">
        <f>IFERROR(__xludf.DUMMYFUNCTION("GOOGLEFINANCE(E101, ""low"")"),204.8)</f>
        <v>204.8</v>
      </c>
      <c r="I101" s="99">
        <f>IFERROR(__xludf.DUMMYFUNCTION("GOOGLEFINANCE(E101, ""high"")"),209.55)</f>
        <v>209.55</v>
      </c>
      <c r="J101" s="161"/>
      <c r="K101" s="106"/>
      <c r="L101" s="106"/>
      <c r="M101" s="106"/>
      <c r="N101" s="106"/>
      <c r="O101" s="105"/>
      <c r="P101" s="106"/>
      <c r="Q101" s="108"/>
      <c r="R101" s="109" t="b">
        <v>1</v>
      </c>
      <c r="S101" s="143" t="str">
        <f t="shared" si="1"/>
        <v>Análise Pausada</v>
      </c>
      <c r="T101" s="118" t="s">
        <v>4816</v>
      </c>
      <c r="U101" s="118"/>
      <c r="V101" s="118"/>
      <c r="W101" s="118"/>
      <c r="X101" s="118"/>
      <c r="Y101" s="118"/>
      <c r="Z101" s="118"/>
      <c r="AA101" s="118"/>
      <c r="AB101" s="118"/>
      <c r="AC101" s="118"/>
      <c r="AD101" s="111"/>
      <c r="AE101" s="73"/>
    </row>
    <row r="102" ht="22.5" customHeight="1">
      <c r="A102" s="73"/>
      <c r="B102" s="73"/>
      <c r="C102" s="73"/>
      <c r="D102" s="73"/>
      <c r="E102" s="125" t="s">
        <v>416</v>
      </c>
      <c r="F102" s="125" t="s">
        <v>417</v>
      </c>
      <c r="G102" s="96">
        <f>IFERROR(__xludf.DUMMYFUNCTION("GOOGLEFINANCE(E102, ""price"")"),238.9)</f>
        <v>238.9</v>
      </c>
      <c r="H102" s="97">
        <f>IFERROR(__xludf.DUMMYFUNCTION("GOOGLEFINANCE(E102, ""low"")"),234.24)</f>
        <v>234.24</v>
      </c>
      <c r="I102" s="99">
        <f>IFERROR(__xludf.DUMMYFUNCTION("GOOGLEFINANCE(E102, ""high"")"),239.14)</f>
        <v>239.14</v>
      </c>
      <c r="J102" s="161"/>
      <c r="K102" s="106"/>
      <c r="L102" s="106"/>
      <c r="M102" s="106"/>
      <c r="N102" s="106"/>
      <c r="O102" s="105"/>
      <c r="P102" s="106"/>
      <c r="Q102" s="108"/>
      <c r="R102" s="109" t="b">
        <v>1</v>
      </c>
      <c r="S102" s="143" t="str">
        <f t="shared" si="1"/>
        <v>Análise Pausada</v>
      </c>
      <c r="T102" s="118" t="s">
        <v>4816</v>
      </c>
      <c r="U102" s="111" t="s">
        <v>416</v>
      </c>
      <c r="V102" s="111">
        <v>170.06</v>
      </c>
      <c r="W102" s="257">
        <v>0.0372</v>
      </c>
      <c r="X102" s="111">
        <v>13.4</v>
      </c>
      <c r="Y102" s="111">
        <v>52.44</v>
      </c>
      <c r="Z102" s="111">
        <v>9.61</v>
      </c>
      <c r="AA102" s="111">
        <v>6.04</v>
      </c>
      <c r="AB102" s="111">
        <v>0.6</v>
      </c>
      <c r="AC102" s="111" t="s">
        <v>5885</v>
      </c>
      <c r="AD102" s="111" t="s">
        <v>5899</v>
      </c>
      <c r="AE102" s="73"/>
    </row>
    <row r="103" ht="22.5" customHeight="1">
      <c r="A103" s="73"/>
      <c r="B103" s="73"/>
      <c r="C103" s="73"/>
      <c r="D103" s="73"/>
      <c r="E103" s="127" t="s">
        <v>513</v>
      </c>
      <c r="F103" s="110" t="s">
        <v>513</v>
      </c>
      <c r="G103" s="96">
        <f>IFERROR(__xludf.DUMMYFUNCTION("GOOGLEFINANCE(E103, ""price"")"),186.46)</f>
        <v>186.46</v>
      </c>
      <c r="H103" s="97">
        <f>IFERROR(__xludf.DUMMYFUNCTION("GOOGLEFINANCE(E103, ""low"")"),183.48)</f>
        <v>183.48</v>
      </c>
      <c r="I103" s="99">
        <f>IFERROR(__xludf.DUMMYFUNCTION("GOOGLEFINANCE(E103, ""high"")"),187.8)</f>
        <v>187.8</v>
      </c>
      <c r="J103" s="128" t="s">
        <v>615</v>
      </c>
      <c r="K103" s="129">
        <v>-5.0</v>
      </c>
      <c r="L103" s="129">
        <v>58.72</v>
      </c>
      <c r="M103" s="129">
        <v>39.72</v>
      </c>
      <c r="N103" s="129">
        <v>4.63</v>
      </c>
      <c r="O103" s="143"/>
      <c r="P103" s="129">
        <v>238.78</v>
      </c>
      <c r="Q103" s="130">
        <v>45770.36725606481</v>
      </c>
      <c r="R103" s="131" t="b">
        <v>1</v>
      </c>
      <c r="S103" s="143" t="str">
        <f t="shared" si="1"/>
        <v>Análise Pausada</v>
      </c>
      <c r="T103" s="143" t="s">
        <v>4816</v>
      </c>
      <c r="U103" s="110"/>
      <c r="V103" s="110"/>
      <c r="W103" s="255"/>
      <c r="X103" s="110"/>
      <c r="Y103" s="110"/>
      <c r="Z103" s="110"/>
      <c r="AA103" s="110"/>
      <c r="AB103" s="110"/>
      <c r="AC103" s="110"/>
      <c r="AD103" s="110"/>
      <c r="AE103" s="73"/>
    </row>
    <row r="104" ht="22.5" customHeight="1">
      <c r="A104" s="73"/>
      <c r="B104" s="73"/>
      <c r="C104" s="73"/>
      <c r="D104" s="73"/>
      <c r="E104" s="127" t="s">
        <v>3618</v>
      </c>
      <c r="F104" s="110" t="s">
        <v>3619</v>
      </c>
      <c r="G104" s="96">
        <f>IFERROR(__xludf.DUMMYFUNCTION("GOOGLEFINANCE(E104, ""price"")"),2.32)</f>
        <v>2.32</v>
      </c>
      <c r="H104" s="97">
        <f>IFERROR(__xludf.DUMMYFUNCTION("GOOGLEFINANCE(E104, ""low"")"),2.29)</f>
        <v>2.29</v>
      </c>
      <c r="I104" s="99">
        <f>IFERROR(__xludf.DUMMYFUNCTION("GOOGLEFINANCE(E104, ""high"")"),2.48)</f>
        <v>2.48</v>
      </c>
      <c r="J104" s="144"/>
      <c r="K104" s="129">
        <v>-2.48</v>
      </c>
      <c r="L104" s="129">
        <v>46.72</v>
      </c>
      <c r="M104" s="129">
        <v>15.69</v>
      </c>
      <c r="N104" s="129">
        <v>2.76</v>
      </c>
      <c r="O104" s="110" t="s">
        <v>3629</v>
      </c>
      <c r="P104" s="129">
        <v>3.72</v>
      </c>
      <c r="Q104" s="130">
        <v>45799.88204802084</v>
      </c>
      <c r="R104" s="131" t="b">
        <v>1</v>
      </c>
      <c r="S104" s="143" t="str">
        <f t="shared" si="1"/>
        <v>Análise Pausada</v>
      </c>
      <c r="T104" s="143" t="s">
        <v>4816</v>
      </c>
      <c r="U104" s="143"/>
      <c r="V104" s="143"/>
      <c r="W104" s="143"/>
      <c r="X104" s="143"/>
      <c r="Y104" s="143"/>
      <c r="Z104" s="143"/>
      <c r="AA104" s="143"/>
      <c r="AB104" s="143"/>
      <c r="AC104" s="143"/>
      <c r="AD104" s="110"/>
      <c r="AE104" s="73"/>
    </row>
    <row r="105" ht="22.5" customHeight="1">
      <c r="A105" s="73"/>
      <c r="B105" s="73"/>
      <c r="C105" s="73"/>
      <c r="D105" s="73"/>
      <c r="E105" s="127" t="s">
        <v>766</v>
      </c>
      <c r="F105" s="110" t="s">
        <v>4352</v>
      </c>
      <c r="G105" s="96">
        <f>IFERROR(__xludf.DUMMYFUNCTION("GOOGLEFINANCE(E105, ""price"")"),140.29)</f>
        <v>140.29</v>
      </c>
      <c r="H105" s="97">
        <f>IFERROR(__xludf.DUMMYFUNCTION("GOOGLEFINANCE(E105, ""low"")"),136.15)</f>
        <v>136.15</v>
      </c>
      <c r="I105" s="99">
        <f>IFERROR(__xludf.DUMMYFUNCTION("GOOGLEFINANCE(E105, ""high"")"),141.54)</f>
        <v>141.54</v>
      </c>
      <c r="J105" s="128" t="s">
        <v>957</v>
      </c>
      <c r="K105" s="145"/>
      <c r="L105" s="145"/>
      <c r="M105" s="145"/>
      <c r="N105" s="145"/>
      <c r="O105" s="143"/>
      <c r="P105" s="129">
        <v>1039.55</v>
      </c>
      <c r="Q105" s="130">
        <v>45793.51152741898</v>
      </c>
      <c r="R105" s="131" t="b">
        <v>1</v>
      </c>
      <c r="S105" s="143" t="str">
        <f t="shared" si="1"/>
        <v>Análise Pausada</v>
      </c>
      <c r="T105" s="143" t="s">
        <v>4816</v>
      </c>
      <c r="U105" s="110" t="s">
        <v>766</v>
      </c>
      <c r="V105" s="110">
        <v>102.06</v>
      </c>
      <c r="W105" s="255">
        <v>-0.0124</v>
      </c>
      <c r="X105" s="110">
        <v>2.78</v>
      </c>
      <c r="Y105" s="110">
        <v>46.97</v>
      </c>
      <c r="Z105" s="110">
        <v>12.41</v>
      </c>
      <c r="AA105" s="110">
        <v>5.19</v>
      </c>
      <c r="AB105" s="110">
        <v>0.91</v>
      </c>
      <c r="AC105" s="110" t="s">
        <v>5885</v>
      </c>
      <c r="AD105" s="110" t="s">
        <v>5903</v>
      </c>
      <c r="AE105" s="73"/>
    </row>
    <row r="106" ht="22.5" customHeight="1">
      <c r="A106" s="73"/>
      <c r="B106" s="73"/>
      <c r="C106" s="73"/>
      <c r="D106" s="73"/>
      <c r="E106" s="282" t="s">
        <v>1002</v>
      </c>
      <c r="F106" s="103" t="s">
        <v>1003</v>
      </c>
      <c r="G106" s="96">
        <f>IFERROR(__xludf.DUMMYFUNCTION("GOOGLEFINANCE(E106, ""price"")"),57.68)</f>
        <v>57.68</v>
      </c>
      <c r="H106" s="97">
        <f>IFERROR(__xludf.DUMMYFUNCTION("GOOGLEFINANCE(E106, ""low"")"),56.25)</f>
        <v>56.25</v>
      </c>
      <c r="I106" s="99">
        <f>IFERROR(__xludf.DUMMYFUNCTION("GOOGLEFINANCE(E106, ""high"")"),57.85)</f>
        <v>57.85</v>
      </c>
      <c r="J106" s="144"/>
      <c r="K106" s="145"/>
      <c r="L106" s="145"/>
      <c r="M106" s="145"/>
      <c r="N106" s="145"/>
      <c r="O106" s="145"/>
      <c r="P106" s="145"/>
      <c r="Q106" s="130"/>
      <c r="R106" s="131" t="b">
        <v>1</v>
      </c>
      <c r="S106" s="143" t="str">
        <f t="shared" si="1"/>
        <v>Análise Pausada</v>
      </c>
      <c r="T106" s="143" t="s">
        <v>4816</v>
      </c>
      <c r="U106" s="110" t="s">
        <v>1002</v>
      </c>
      <c r="V106" s="110">
        <v>56.44</v>
      </c>
      <c r="W106" s="255">
        <v>-0.0066</v>
      </c>
      <c r="X106" s="110">
        <v>0.42</v>
      </c>
      <c r="Y106" s="110">
        <v>44.43</v>
      </c>
      <c r="Z106" s="110">
        <v>16.69</v>
      </c>
      <c r="AA106" s="110">
        <v>2.57</v>
      </c>
      <c r="AB106" s="110">
        <v>0.9</v>
      </c>
      <c r="AC106" s="110" t="s">
        <v>5885</v>
      </c>
      <c r="AD106" s="110" t="s">
        <v>5906</v>
      </c>
      <c r="AE106" s="73"/>
    </row>
    <row r="107" ht="22.5" customHeight="1">
      <c r="A107" s="73"/>
      <c r="B107" s="73"/>
      <c r="C107" s="73"/>
      <c r="D107" s="73"/>
      <c r="E107" s="328" t="s">
        <v>5907</v>
      </c>
      <c r="F107" s="125" t="s">
        <v>5908</v>
      </c>
      <c r="G107" s="96">
        <f>IFERROR(__xludf.DUMMYFUNCTION("GOOGLEFINANCE(E107, ""price"")"),273.95)</f>
        <v>273.95</v>
      </c>
      <c r="H107" s="97">
        <f>IFERROR(__xludf.DUMMYFUNCTION("GOOGLEFINANCE(E107, ""low"")"),273.2)</f>
        <v>273.2</v>
      </c>
      <c r="I107" s="99">
        <f>IFERROR(__xludf.DUMMYFUNCTION("GOOGLEFINANCE(E107, ""high"")"),276.25)</f>
        <v>276.25</v>
      </c>
      <c r="J107" s="126" t="s">
        <v>4922</v>
      </c>
      <c r="K107" s="104">
        <v>24.35</v>
      </c>
      <c r="L107" s="104">
        <v>71.63</v>
      </c>
      <c r="M107" s="104">
        <v>37.58</v>
      </c>
      <c r="N107" s="104">
        <v>4.81</v>
      </c>
      <c r="O107" s="105" t="s">
        <v>542</v>
      </c>
      <c r="P107" s="104">
        <v>220.35</v>
      </c>
      <c r="Q107" s="108">
        <v>45707.82483041666</v>
      </c>
      <c r="R107" s="109" t="b">
        <v>1</v>
      </c>
      <c r="S107" s="143" t="str">
        <f t="shared" si="1"/>
        <v>Análise Pausada</v>
      </c>
      <c r="T107" s="118" t="s">
        <v>4816</v>
      </c>
      <c r="U107" s="118"/>
      <c r="V107" s="118"/>
      <c r="W107" s="118"/>
      <c r="X107" s="118"/>
      <c r="Y107" s="118"/>
      <c r="Z107" s="118"/>
      <c r="AA107" s="118"/>
      <c r="AB107" s="118"/>
      <c r="AC107" s="118"/>
      <c r="AD107" s="111"/>
      <c r="AE107" s="73"/>
    </row>
    <row r="108" ht="22.5" customHeight="1">
      <c r="A108" s="73"/>
      <c r="B108" s="73"/>
      <c r="C108" s="73"/>
      <c r="D108" s="73"/>
      <c r="E108" s="127" t="s">
        <v>5406</v>
      </c>
      <c r="F108" s="110" t="s">
        <v>5407</v>
      </c>
      <c r="G108" s="96">
        <f>IFERROR(__xludf.DUMMYFUNCTION("GOOGLEFINANCE(E108, ""price"")"),90.51)</f>
        <v>90.51</v>
      </c>
      <c r="H108" s="97">
        <f>IFERROR(__xludf.DUMMYFUNCTION("GOOGLEFINANCE(E108, ""low"")"),89.81)</f>
        <v>89.81</v>
      </c>
      <c r="I108" s="99">
        <f>IFERROR(__xludf.DUMMYFUNCTION("GOOGLEFINANCE(E108, ""high"")"),92.8)</f>
        <v>92.8</v>
      </c>
      <c r="J108" s="128" t="s">
        <v>4922</v>
      </c>
      <c r="K108" s="129">
        <v>-1.59</v>
      </c>
      <c r="L108" s="129">
        <v>49.07</v>
      </c>
      <c r="M108" s="129">
        <v>15.83</v>
      </c>
      <c r="N108" s="129">
        <v>1.99</v>
      </c>
      <c r="O108" s="110" t="s">
        <v>197</v>
      </c>
      <c r="P108" s="129">
        <v>71.78</v>
      </c>
      <c r="Q108" s="130">
        <v>45875.402502303245</v>
      </c>
      <c r="R108" s="131" t="b">
        <v>1</v>
      </c>
      <c r="S108" s="143" t="str">
        <f t="shared" si="1"/>
        <v>Análise Pausada</v>
      </c>
      <c r="T108" s="143" t="s">
        <v>4816</v>
      </c>
      <c r="U108" s="143"/>
      <c r="V108" s="143"/>
      <c r="W108" s="143"/>
      <c r="X108" s="143"/>
      <c r="Y108" s="143"/>
      <c r="Z108" s="143"/>
      <c r="AA108" s="143"/>
      <c r="AB108" s="143"/>
      <c r="AC108" s="143"/>
      <c r="AD108" s="110"/>
      <c r="AE108" s="73"/>
    </row>
    <row r="109" ht="22.5" customHeight="1">
      <c r="A109" s="73"/>
      <c r="B109" s="73"/>
      <c r="C109" s="73"/>
      <c r="D109" s="73"/>
      <c r="E109" s="110" t="s">
        <v>1749</v>
      </c>
      <c r="F109" s="110" t="s">
        <v>1750</v>
      </c>
      <c r="G109" s="96">
        <f>IFERROR(__xludf.DUMMYFUNCTION("GOOGLEFINANCE(E109, ""price"")"),72.25)</f>
        <v>72.25</v>
      </c>
      <c r="H109" s="97">
        <f>IFERROR(__xludf.DUMMYFUNCTION("GOOGLEFINANCE(E109, ""low"")"),71.97)</f>
        <v>71.97</v>
      </c>
      <c r="I109" s="99">
        <f>IFERROR(__xludf.DUMMYFUNCTION("GOOGLEFINANCE(E109, ""high"")"),73.78)</f>
        <v>73.78</v>
      </c>
      <c r="J109" s="144"/>
      <c r="K109" s="145"/>
      <c r="L109" s="145"/>
      <c r="M109" s="145"/>
      <c r="N109" s="145"/>
      <c r="O109" s="129"/>
      <c r="P109" s="129">
        <v>37.937</v>
      </c>
      <c r="Q109" s="130">
        <v>45707.365755555555</v>
      </c>
      <c r="R109" s="131" t="b">
        <v>1</v>
      </c>
      <c r="S109" s="143" t="str">
        <f t="shared" si="1"/>
        <v>Análise Pausada</v>
      </c>
      <c r="T109" s="143" t="s">
        <v>4816</v>
      </c>
      <c r="U109" s="110" t="s">
        <v>1749</v>
      </c>
      <c r="V109" s="110">
        <v>0.4</v>
      </c>
      <c r="W109" s="255">
        <v>-0.0633</v>
      </c>
      <c r="X109" s="110">
        <v>-0.03</v>
      </c>
      <c r="Y109" s="110">
        <v>45.11</v>
      </c>
      <c r="Z109" s="110">
        <v>36.76</v>
      </c>
      <c r="AA109" s="110">
        <v>0.03</v>
      </c>
      <c r="AB109" s="110">
        <v>0.13</v>
      </c>
      <c r="AC109" s="110" t="s">
        <v>5885</v>
      </c>
      <c r="AD109" s="110" t="s">
        <v>5912</v>
      </c>
      <c r="AE109" s="73"/>
    </row>
    <row r="110" ht="22.5" customHeight="1">
      <c r="A110" s="73"/>
      <c r="B110" s="73"/>
      <c r="C110" s="73"/>
      <c r="D110" s="73"/>
      <c r="E110" s="110" t="s">
        <v>5819</v>
      </c>
      <c r="F110" s="110" t="s">
        <v>5820</v>
      </c>
      <c r="G110" s="96">
        <f>IFERROR(__xludf.DUMMYFUNCTION("GOOGLEFINANCE(E110, ""price"")"),241.8)</f>
        <v>241.8</v>
      </c>
      <c r="H110" s="97">
        <f>IFERROR(__xludf.DUMMYFUNCTION("GOOGLEFINANCE(E110, ""low"")"),239.2)</f>
        <v>239.2</v>
      </c>
      <c r="I110" s="99">
        <f>IFERROR(__xludf.DUMMYFUNCTION("GOOGLEFINANCE(E110, ""high"")"),241.8)</f>
        <v>241.8</v>
      </c>
      <c r="J110" s="144"/>
      <c r="K110" s="145"/>
      <c r="L110" s="145"/>
      <c r="M110" s="145"/>
      <c r="N110" s="145"/>
      <c r="O110" s="129"/>
      <c r="P110" s="129">
        <v>298.9</v>
      </c>
      <c r="Q110" s="130">
        <v>45707.371802939815</v>
      </c>
      <c r="R110" s="131" t="b">
        <v>1</v>
      </c>
      <c r="S110" s="143" t="str">
        <f t="shared" si="1"/>
        <v>Análise Pausada</v>
      </c>
      <c r="T110" s="143" t="s">
        <v>4816</v>
      </c>
      <c r="U110" s="143"/>
      <c r="V110" s="143"/>
      <c r="W110" s="143"/>
      <c r="X110" s="143"/>
      <c r="Y110" s="143"/>
      <c r="Z110" s="143"/>
      <c r="AA110" s="143"/>
      <c r="AB110" s="143"/>
      <c r="AC110" s="143"/>
      <c r="AD110" s="110"/>
      <c r="AE110" s="73"/>
    </row>
    <row r="111" ht="22.5" customHeight="1">
      <c r="A111" s="73"/>
      <c r="B111" s="149" t="s">
        <v>327</v>
      </c>
      <c r="C111" s="150">
        <f>now()</f>
        <v>46288.71545</v>
      </c>
      <c r="D111" s="73"/>
      <c r="E111" s="125" t="s">
        <v>5335</v>
      </c>
      <c r="F111" s="125" t="s">
        <v>5337</v>
      </c>
      <c r="G111" s="96">
        <f>IFERROR(__xludf.DUMMYFUNCTION("GOOGLEFINANCE(E111, ""price"")"),6.1)</f>
        <v>6.1</v>
      </c>
      <c r="H111" s="97">
        <f>IFERROR(__xludf.DUMMYFUNCTION("GOOGLEFINANCE(E111, ""low"")"),6.0)</f>
        <v>6</v>
      </c>
      <c r="I111" s="99">
        <f>IFERROR(__xludf.DUMMYFUNCTION("GOOGLEFINANCE(E111, ""high"")"),6.16)</f>
        <v>6.16</v>
      </c>
      <c r="J111" s="152"/>
      <c r="K111" s="106"/>
      <c r="L111" s="106"/>
      <c r="M111" s="106"/>
      <c r="N111" s="106"/>
      <c r="O111" s="105"/>
      <c r="P111" s="104">
        <v>15.59</v>
      </c>
      <c r="Q111" s="108">
        <v>45918.477911574075</v>
      </c>
      <c r="R111" s="109" t="b">
        <v>1</v>
      </c>
      <c r="S111" s="143" t="str">
        <f t="shared" si="1"/>
        <v>Análise Pausada</v>
      </c>
      <c r="T111" s="118" t="s">
        <v>4816</v>
      </c>
      <c r="U111" s="118"/>
      <c r="V111" s="118"/>
      <c r="W111" s="118"/>
      <c r="X111" s="118"/>
      <c r="Y111" s="118"/>
      <c r="Z111" s="118"/>
      <c r="AA111" s="118"/>
      <c r="AB111" s="118"/>
      <c r="AC111" s="118"/>
      <c r="AD111" s="111"/>
      <c r="AE111" s="73"/>
    </row>
    <row r="112" ht="22.5" customHeight="1">
      <c r="A112" s="73"/>
      <c r="B112" s="73"/>
      <c r="C112" s="73"/>
      <c r="D112" s="73"/>
      <c r="E112" s="127" t="s">
        <v>5832</v>
      </c>
      <c r="F112" s="110" t="s">
        <v>5833</v>
      </c>
      <c r="G112" s="96">
        <f>IFERROR(__xludf.DUMMYFUNCTION("GOOGLEFINANCE(E112, ""price"")"),105.4)</f>
        <v>105.4</v>
      </c>
      <c r="H112" s="97">
        <f>IFERROR(__xludf.DUMMYFUNCTION("GOOGLEFINANCE(E112, ""low"")"),104.6)</f>
        <v>104.6</v>
      </c>
      <c r="I112" s="99">
        <f>IFERROR(__xludf.DUMMYFUNCTION("GOOGLEFINANCE(E112, ""high"")"),108.2)</f>
        <v>108.2</v>
      </c>
      <c r="J112" s="128" t="s">
        <v>957</v>
      </c>
      <c r="K112" s="145"/>
      <c r="L112" s="145"/>
      <c r="M112" s="145"/>
      <c r="N112" s="145"/>
      <c r="O112" s="143"/>
      <c r="P112" s="145">
        <v>69.8</v>
      </c>
      <c r="Q112" s="130">
        <v>45763.457536064816</v>
      </c>
      <c r="R112" s="131" t="b">
        <v>1</v>
      </c>
      <c r="S112" s="143" t="str">
        <f t="shared" si="1"/>
        <v>Análise Pausada</v>
      </c>
      <c r="T112" s="143" t="s">
        <v>4816</v>
      </c>
      <c r="U112" s="143"/>
      <c r="V112" s="143"/>
      <c r="W112" s="143"/>
      <c r="X112" s="143"/>
      <c r="Y112" s="143"/>
      <c r="Z112" s="143"/>
      <c r="AA112" s="143"/>
      <c r="AB112" s="143"/>
      <c r="AC112" s="143"/>
      <c r="AD112" s="110"/>
      <c r="AE112" s="73"/>
    </row>
    <row r="113" ht="22.5" customHeight="1">
      <c r="A113" s="73"/>
      <c r="B113" s="73"/>
      <c r="C113" s="73"/>
      <c r="D113" s="73"/>
      <c r="E113" s="110" t="s">
        <v>300</v>
      </c>
      <c r="F113" s="110" t="s">
        <v>301</v>
      </c>
      <c r="G113" s="96">
        <f>IFERROR(__xludf.DUMMYFUNCTION("GOOGLEFINANCE(E113, ""price"")"),41.6)</f>
        <v>41.6</v>
      </c>
      <c r="H113" s="97">
        <f>IFERROR(__xludf.DUMMYFUNCTION("GOOGLEFINANCE(E113, ""low"")"),40.79)</f>
        <v>40.79</v>
      </c>
      <c r="I113" s="99">
        <f>IFERROR(__xludf.DUMMYFUNCTION("GOOGLEFINANCE(E113, ""high"")"),42.7)</f>
        <v>42.7</v>
      </c>
      <c r="J113" s="144"/>
      <c r="K113" s="145"/>
      <c r="L113" s="145"/>
      <c r="M113" s="145"/>
      <c r="N113" s="145"/>
      <c r="O113" s="129"/>
      <c r="P113" s="129">
        <v>44.04</v>
      </c>
      <c r="Q113" s="130">
        <v>46219.39700707176</v>
      </c>
      <c r="R113" s="131" t="b">
        <v>1</v>
      </c>
      <c r="S113" s="143" t="str">
        <f t="shared" si="1"/>
        <v>Análise Pausada</v>
      </c>
      <c r="T113" s="143" t="s">
        <v>4816</v>
      </c>
      <c r="U113" s="110" t="s">
        <v>300</v>
      </c>
      <c r="V113" s="110">
        <v>25.5</v>
      </c>
      <c r="W113" s="255">
        <v>-0.0876</v>
      </c>
      <c r="X113" s="110">
        <v>-3.83</v>
      </c>
      <c r="Y113" s="110">
        <v>40.13</v>
      </c>
      <c r="Z113" s="110">
        <v>25.3</v>
      </c>
      <c r="AA113" s="110">
        <v>1.45</v>
      </c>
      <c r="AB113" s="110">
        <v>0.67</v>
      </c>
      <c r="AC113" s="110" t="s">
        <v>5915</v>
      </c>
      <c r="AD113" s="110" t="s">
        <v>5916</v>
      </c>
      <c r="AE113" s="73"/>
    </row>
    <row r="114" ht="22.5" customHeight="1">
      <c r="A114" s="73"/>
      <c r="B114" s="73"/>
      <c r="C114" s="73"/>
      <c r="D114" s="73"/>
      <c r="E114" s="127" t="s">
        <v>995</v>
      </c>
      <c r="F114" s="110" t="s">
        <v>996</v>
      </c>
      <c r="G114" s="96" t="str">
        <f>IFERROR(__xludf.DUMMYFUNCTION("GOOGLEFINANCE(E114, ""price"")"),"#N/A")</f>
        <v>#N/A</v>
      </c>
      <c r="H114" s="97" t="str">
        <f>IFERROR(__xludf.DUMMYFUNCTION("GOOGLEFINANCE(E114, ""low"")"),"#N/A")</f>
        <v>#N/A</v>
      </c>
      <c r="I114" s="99" t="str">
        <f>IFERROR(__xludf.DUMMYFUNCTION("GOOGLEFINANCE(E114, ""high"")"),"#N/A")</f>
        <v>#N/A</v>
      </c>
      <c r="J114" s="128" t="s">
        <v>673</v>
      </c>
      <c r="K114" s="129">
        <v>0.43</v>
      </c>
      <c r="L114" s="129">
        <v>66.99</v>
      </c>
      <c r="M114" s="129">
        <v>19.96</v>
      </c>
      <c r="N114" s="129">
        <v>0.18</v>
      </c>
      <c r="O114" s="110" t="s">
        <v>998</v>
      </c>
      <c r="P114" s="129">
        <v>2.42</v>
      </c>
      <c r="Q114" s="130">
        <v>45856.303116469906</v>
      </c>
      <c r="R114" s="131" t="b">
        <v>1</v>
      </c>
      <c r="S114" s="143" t="str">
        <f t="shared" si="1"/>
        <v>Análise Pausada</v>
      </c>
      <c r="T114" s="143" t="s">
        <v>4816</v>
      </c>
      <c r="U114" s="110" t="s">
        <v>995</v>
      </c>
      <c r="V114" s="110">
        <v>5.22</v>
      </c>
      <c r="W114" s="255">
        <v>0.0015</v>
      </c>
      <c r="X114" s="110">
        <v>0.02</v>
      </c>
      <c r="Y114" s="110">
        <v>53.88</v>
      </c>
      <c r="Z114" s="110">
        <v>36.59</v>
      </c>
      <c r="AA114" s="110">
        <v>0.02</v>
      </c>
      <c r="AB114" s="110">
        <v>0.3</v>
      </c>
      <c r="AC114" s="110" t="s">
        <v>5915</v>
      </c>
      <c r="AD114" s="110" t="s">
        <v>5917</v>
      </c>
      <c r="AE114" s="73"/>
    </row>
    <row r="115" ht="22.5" customHeight="1">
      <c r="A115" s="73"/>
      <c r="B115" s="73"/>
      <c r="C115" s="73"/>
      <c r="D115" s="73"/>
      <c r="E115" s="93" t="s">
        <v>586</v>
      </c>
      <c r="F115" s="93" t="s">
        <v>587</v>
      </c>
      <c r="G115" s="96">
        <f>IFERROR(__xludf.DUMMYFUNCTION("GOOGLEFINANCE(E115, ""price"")"),77.22)</f>
        <v>77.22</v>
      </c>
      <c r="H115" s="97">
        <f>IFERROR(__xludf.DUMMYFUNCTION("GOOGLEFINANCE(E115, ""low"")"),76.03)</f>
        <v>76.03</v>
      </c>
      <c r="I115" s="99">
        <f>IFERROR(__xludf.DUMMYFUNCTION("GOOGLEFINANCE(E115, ""high"")"),78.97)</f>
        <v>78.97</v>
      </c>
      <c r="J115" s="152"/>
      <c r="K115" s="104">
        <v>24.65</v>
      </c>
      <c r="L115" s="104">
        <v>73.45</v>
      </c>
      <c r="M115" s="104">
        <v>44.84</v>
      </c>
      <c r="N115" s="104">
        <v>7.18</v>
      </c>
      <c r="O115" s="105" t="s">
        <v>588</v>
      </c>
      <c r="P115" s="104">
        <v>72.55</v>
      </c>
      <c r="Q115" s="108">
        <v>45973.399707951394</v>
      </c>
      <c r="R115" s="109" t="b">
        <v>1</v>
      </c>
      <c r="S115" s="143" t="str">
        <f t="shared" si="1"/>
        <v>Análise Pausada</v>
      </c>
      <c r="T115" s="118" t="s">
        <v>4816</v>
      </c>
      <c r="U115" s="118"/>
      <c r="V115" s="118"/>
      <c r="W115" s="118"/>
      <c r="X115" s="118"/>
      <c r="Y115" s="118"/>
      <c r="Z115" s="118"/>
      <c r="AA115" s="118"/>
      <c r="AB115" s="118"/>
      <c r="AC115" s="118"/>
      <c r="AD115" s="111"/>
      <c r="AE115" s="73"/>
    </row>
    <row r="116" ht="22.5" customHeight="1">
      <c r="A116" s="73"/>
      <c r="B116" s="73"/>
      <c r="C116" s="73"/>
      <c r="D116" s="73"/>
      <c r="E116" s="127" t="s">
        <v>270</v>
      </c>
      <c r="F116" s="110" t="s">
        <v>271</v>
      </c>
      <c r="G116" s="96">
        <f>IFERROR(__xludf.DUMMYFUNCTION("GOOGLEFINANCE(E116, ""price"")"),380.96)</f>
        <v>380.96</v>
      </c>
      <c r="H116" s="97">
        <f>IFERROR(__xludf.DUMMYFUNCTION("GOOGLEFINANCE(E116, ""low"")"),378.56)</f>
        <v>378.56</v>
      </c>
      <c r="I116" s="99">
        <f>IFERROR(__xludf.DUMMYFUNCTION("GOOGLEFINANCE(E116, ""high"")"),386.7)</f>
        <v>386.7</v>
      </c>
      <c r="J116" s="144"/>
      <c r="K116" s="145"/>
      <c r="L116" s="145"/>
      <c r="M116" s="145"/>
      <c r="N116" s="145"/>
      <c r="O116" s="145"/>
      <c r="P116" s="129">
        <v>318.38</v>
      </c>
      <c r="Q116" s="130">
        <v>45826.37594136574</v>
      </c>
      <c r="R116" s="131" t="b">
        <v>1</v>
      </c>
      <c r="S116" s="143" t="str">
        <f t="shared" si="1"/>
        <v>Análise Pausada</v>
      </c>
      <c r="T116" s="143" t="s">
        <v>4816</v>
      </c>
      <c r="U116" s="143"/>
      <c r="V116" s="143"/>
      <c r="W116" s="143"/>
      <c r="X116" s="143"/>
      <c r="Y116" s="143"/>
      <c r="Z116" s="143"/>
      <c r="AA116" s="143"/>
      <c r="AB116" s="143"/>
      <c r="AC116" s="143"/>
      <c r="AD116" s="110"/>
      <c r="AE116" s="73"/>
    </row>
    <row r="117" ht="22.5" customHeight="1">
      <c r="A117" s="73"/>
      <c r="B117" s="73"/>
      <c r="C117" s="73"/>
      <c r="D117" s="73"/>
      <c r="E117" s="127" t="s">
        <v>5920</v>
      </c>
      <c r="F117" s="110" t="s">
        <v>5914</v>
      </c>
      <c r="G117" s="96">
        <f>IFERROR(__xludf.DUMMYFUNCTION("GOOGLEFINANCE(E117, ""price"")"),333.95)</f>
        <v>333.95</v>
      </c>
      <c r="H117" s="97">
        <f>IFERROR(__xludf.DUMMYFUNCTION("GOOGLEFINANCE(E117, ""low"")"),330.95)</f>
        <v>330.95</v>
      </c>
      <c r="I117" s="99">
        <f>IFERROR(__xludf.DUMMYFUNCTION("GOOGLEFINANCE(E117, ""high"")"),339.15)</f>
        <v>339.15</v>
      </c>
      <c r="J117" s="144"/>
      <c r="K117" s="129">
        <v>-8.95</v>
      </c>
      <c r="L117" s="129">
        <v>50.03</v>
      </c>
      <c r="M117" s="129">
        <v>16.22</v>
      </c>
      <c r="N117" s="129">
        <v>14.46</v>
      </c>
      <c r="O117" s="110" t="s">
        <v>197</v>
      </c>
      <c r="P117" s="129">
        <v>283.15</v>
      </c>
      <c r="Q117" s="130">
        <v>45827.328033206024</v>
      </c>
      <c r="R117" s="131" t="b">
        <v>1</v>
      </c>
      <c r="S117" s="143" t="str">
        <f t="shared" si="1"/>
        <v>Análise Pausada</v>
      </c>
      <c r="T117" s="143" t="s">
        <v>4816</v>
      </c>
      <c r="U117" s="143"/>
      <c r="V117" s="143"/>
      <c r="W117" s="143"/>
      <c r="X117" s="143"/>
      <c r="Y117" s="143"/>
      <c r="Z117" s="143"/>
      <c r="AA117" s="143"/>
      <c r="AB117" s="143"/>
      <c r="AC117" s="143"/>
      <c r="AD117" s="110"/>
      <c r="AE117" s="73"/>
    </row>
    <row r="118" ht="22.5" customHeight="1">
      <c r="A118" s="73"/>
      <c r="B118" s="73"/>
      <c r="C118" s="73"/>
      <c r="D118" s="73"/>
      <c r="E118" s="160" t="s">
        <v>5921</v>
      </c>
      <c r="F118" s="160" t="s">
        <v>5546</v>
      </c>
      <c r="G118" s="96">
        <f>IFERROR(__xludf.DUMMYFUNCTION("GOOGLEFINANCE(E118, ""price"")"),15.0)</f>
        <v>15</v>
      </c>
      <c r="H118" s="97">
        <f>IFERROR(__xludf.DUMMYFUNCTION("GOOGLEFINANCE(E118, ""low"")"),14.88)</f>
        <v>14.88</v>
      </c>
      <c r="I118" s="99">
        <f>IFERROR(__xludf.DUMMYFUNCTION("GOOGLEFINANCE(E118, ""high"")"),15.42)</f>
        <v>15.42</v>
      </c>
      <c r="J118" s="126" t="s">
        <v>673</v>
      </c>
      <c r="K118" s="104">
        <v>1419.0</v>
      </c>
      <c r="L118" s="104">
        <v>81.0</v>
      </c>
      <c r="M118" s="104">
        <v>35.83</v>
      </c>
      <c r="N118" s="104">
        <v>0.252</v>
      </c>
      <c r="O118" s="105" t="s">
        <v>542</v>
      </c>
      <c r="P118" s="104">
        <v>5.824</v>
      </c>
      <c r="Q118" s="108">
        <v>45706.42169315972</v>
      </c>
      <c r="R118" s="109" t="b">
        <v>1</v>
      </c>
      <c r="S118" s="143" t="str">
        <f t="shared" si="1"/>
        <v>Análise Pausada</v>
      </c>
      <c r="T118" s="118" t="s">
        <v>4816</v>
      </c>
      <c r="U118" s="118"/>
      <c r="V118" s="118"/>
      <c r="W118" s="118"/>
      <c r="X118" s="118"/>
      <c r="Y118" s="118"/>
      <c r="Z118" s="118"/>
      <c r="AA118" s="118"/>
      <c r="AB118" s="118"/>
      <c r="AC118" s="118"/>
      <c r="AD118" s="111"/>
      <c r="AE118" s="73"/>
    </row>
    <row r="119" ht="22.5" customHeight="1">
      <c r="A119" s="73"/>
      <c r="B119" s="73"/>
      <c r="C119" s="73"/>
      <c r="D119" s="73"/>
      <c r="E119" s="127" t="s">
        <v>5471</v>
      </c>
      <c r="F119" s="110" t="s">
        <v>5472</v>
      </c>
      <c r="G119" s="96">
        <f>IFERROR(__xludf.DUMMYFUNCTION("GOOGLEFINANCE(E119, ""price"")"),12.64)</f>
        <v>12.64</v>
      </c>
      <c r="H119" s="97">
        <f>IFERROR(__xludf.DUMMYFUNCTION("GOOGLEFINANCE(E119, ""low"")"),12.58)</f>
        <v>12.58</v>
      </c>
      <c r="I119" s="99">
        <f>IFERROR(__xludf.DUMMYFUNCTION("GOOGLEFINANCE(E119, ""high"")"),13.17)</f>
        <v>13.17</v>
      </c>
      <c r="J119" s="128" t="s">
        <v>957</v>
      </c>
      <c r="K119" s="145"/>
      <c r="L119" s="145"/>
      <c r="M119" s="145"/>
      <c r="N119" s="145"/>
      <c r="O119" s="143"/>
      <c r="P119" s="145">
        <f>77.66</f>
        <v>77.66</v>
      </c>
      <c r="Q119" s="130">
        <v>45793.481786018514</v>
      </c>
      <c r="R119" s="131" t="b">
        <v>1</v>
      </c>
      <c r="S119" s="143" t="str">
        <f t="shared" si="1"/>
        <v>Análise Pausada</v>
      </c>
      <c r="T119" s="143" t="s">
        <v>4816</v>
      </c>
      <c r="U119" s="143"/>
      <c r="V119" s="143"/>
      <c r="W119" s="143"/>
      <c r="X119" s="143"/>
      <c r="Y119" s="143"/>
      <c r="Z119" s="143"/>
      <c r="AA119" s="143"/>
      <c r="AB119" s="143"/>
      <c r="AC119" s="143"/>
      <c r="AD119" s="110"/>
      <c r="AE119" s="73"/>
    </row>
    <row r="120" ht="22.5" customHeight="1">
      <c r="A120" s="73"/>
      <c r="B120" s="73"/>
      <c r="C120" s="73"/>
      <c r="D120" s="73"/>
      <c r="E120" s="125" t="s">
        <v>5356</v>
      </c>
      <c r="F120" s="125" t="s">
        <v>5351</v>
      </c>
      <c r="G120" s="96">
        <f>IFERROR(__xludf.DUMMYFUNCTION("GOOGLEFINANCE(E120, ""price"")"),61.05)</f>
        <v>61.05</v>
      </c>
      <c r="H120" s="97">
        <f>IFERROR(__xludf.DUMMYFUNCTION("GOOGLEFINANCE(E120, ""low"")"),60.23)</f>
        <v>60.23</v>
      </c>
      <c r="I120" s="99">
        <f>IFERROR(__xludf.DUMMYFUNCTION("GOOGLEFINANCE(E120, ""high"")"),61.47)</f>
        <v>61.47</v>
      </c>
      <c r="J120" s="152"/>
      <c r="K120" s="106"/>
      <c r="L120" s="106"/>
      <c r="M120" s="106"/>
      <c r="N120" s="106"/>
      <c r="O120" s="105"/>
      <c r="P120" s="106"/>
      <c r="Q120" s="108"/>
      <c r="R120" s="109" t="b">
        <v>1</v>
      </c>
      <c r="S120" s="143" t="str">
        <f t="shared" si="1"/>
        <v>Análise Pausada</v>
      </c>
      <c r="T120" s="118" t="s">
        <v>4816</v>
      </c>
      <c r="U120" s="118"/>
      <c r="V120" s="118"/>
      <c r="W120" s="118"/>
      <c r="X120" s="118"/>
      <c r="Y120" s="118"/>
      <c r="Z120" s="118"/>
      <c r="AA120" s="118"/>
      <c r="AB120" s="118"/>
      <c r="AC120" s="118"/>
      <c r="AD120" s="111"/>
      <c r="AE120" s="73"/>
    </row>
    <row r="121" ht="22.5" customHeight="1">
      <c r="A121" s="73"/>
      <c r="B121" s="73"/>
      <c r="C121" s="73"/>
      <c r="D121" s="73"/>
      <c r="E121" s="127" t="s">
        <v>1249</v>
      </c>
      <c r="F121" s="110" t="s">
        <v>1250</v>
      </c>
      <c r="G121" s="96">
        <f>IFERROR(__xludf.DUMMYFUNCTION("GOOGLEFINANCE(E121, ""price"")"),371.15)</f>
        <v>371.15</v>
      </c>
      <c r="H121" s="97">
        <f>IFERROR(__xludf.DUMMYFUNCTION("GOOGLEFINANCE(E121, ""low"")"),366.0)</f>
        <v>366</v>
      </c>
      <c r="I121" s="99">
        <f>IFERROR(__xludf.DUMMYFUNCTION("GOOGLEFINANCE(E121, ""high"")"),372.61)</f>
        <v>372.61</v>
      </c>
      <c r="J121" s="144"/>
      <c r="K121" s="145"/>
      <c r="L121" s="145"/>
      <c r="M121" s="145"/>
      <c r="N121" s="145"/>
      <c r="O121" s="143"/>
      <c r="P121" s="129">
        <v>282.77</v>
      </c>
      <c r="Q121" s="130">
        <v>45793.54257520833</v>
      </c>
      <c r="R121" s="131" t="b">
        <v>1</v>
      </c>
      <c r="S121" s="143" t="str">
        <f t="shared" si="1"/>
        <v>Análise Pausada</v>
      </c>
      <c r="T121" s="143" t="s">
        <v>4816</v>
      </c>
      <c r="U121" s="143"/>
      <c r="V121" s="143"/>
      <c r="W121" s="143"/>
      <c r="X121" s="143"/>
      <c r="Y121" s="143"/>
      <c r="Z121" s="143"/>
      <c r="AA121" s="143"/>
      <c r="AB121" s="143"/>
      <c r="AC121" s="143"/>
      <c r="AD121" s="110"/>
      <c r="AE121" s="73"/>
    </row>
    <row r="122" ht="22.5" customHeight="1">
      <c r="A122" s="73"/>
      <c r="B122" s="73"/>
      <c r="C122" s="73"/>
      <c r="D122" s="73"/>
      <c r="E122" s="127" t="s">
        <v>166</v>
      </c>
      <c r="F122" s="110" t="s">
        <v>167</v>
      </c>
      <c r="G122" s="96">
        <f>IFERROR(__xludf.DUMMYFUNCTION("GOOGLEFINANCE(E122, ""price"")"),42.63)</f>
        <v>42.63</v>
      </c>
      <c r="H122" s="97">
        <f>IFERROR(__xludf.DUMMYFUNCTION("GOOGLEFINANCE(E122, ""low"")"),42.21)</f>
        <v>42.21</v>
      </c>
      <c r="I122" s="99">
        <f>IFERROR(__xludf.DUMMYFUNCTION("GOOGLEFINANCE(E122, ""high"")"),43.87)</f>
        <v>43.87</v>
      </c>
      <c r="J122" s="128" t="s">
        <v>673</v>
      </c>
      <c r="K122" s="129">
        <v>6.81</v>
      </c>
      <c r="L122" s="129">
        <v>72.8</v>
      </c>
      <c r="M122" s="129">
        <v>14.06</v>
      </c>
      <c r="N122" s="129" t="s">
        <v>169</v>
      </c>
      <c r="O122" s="110" t="s">
        <v>170</v>
      </c>
      <c r="P122" s="106">
        <v>28.0</v>
      </c>
      <c r="Q122" s="130">
        <v>45709.328280671296</v>
      </c>
      <c r="R122" s="131" t="b">
        <v>1</v>
      </c>
      <c r="S122" s="143" t="str">
        <f t="shared" si="1"/>
        <v>Análise Pausada</v>
      </c>
      <c r="T122" s="143" t="s">
        <v>4816</v>
      </c>
      <c r="U122" s="143"/>
      <c r="V122" s="143"/>
      <c r="W122" s="143"/>
      <c r="X122" s="143"/>
      <c r="Y122" s="143"/>
      <c r="Z122" s="143"/>
      <c r="AA122" s="143"/>
      <c r="AB122" s="143"/>
      <c r="AC122" s="143"/>
      <c r="AD122" s="110"/>
      <c r="AE122" s="73"/>
    </row>
    <row r="123" ht="22.5" customHeight="1">
      <c r="A123" s="73"/>
      <c r="B123" s="73"/>
      <c r="C123" s="73"/>
      <c r="D123" s="73"/>
      <c r="E123" s="125" t="s">
        <v>5578</v>
      </c>
      <c r="F123" s="125" t="s">
        <v>5558</v>
      </c>
      <c r="G123" s="96">
        <f>IFERROR(__xludf.DUMMYFUNCTION("GOOGLEFINANCE(E123, ""price"")"),24.94)</f>
        <v>24.94</v>
      </c>
      <c r="H123" s="97">
        <f>IFERROR(__xludf.DUMMYFUNCTION("GOOGLEFINANCE(E123, ""low"")"),24.94)</f>
        <v>24.94</v>
      </c>
      <c r="I123" s="99">
        <f>IFERROR(__xludf.DUMMYFUNCTION("GOOGLEFINANCE(E123, ""high"")"),26.19)</f>
        <v>26.19</v>
      </c>
      <c r="J123" s="126" t="s">
        <v>4922</v>
      </c>
      <c r="K123" s="104">
        <v>3.89</v>
      </c>
      <c r="L123" s="104">
        <v>55.28</v>
      </c>
      <c r="M123" s="104">
        <v>10.3</v>
      </c>
      <c r="N123" s="104">
        <v>2.72</v>
      </c>
      <c r="O123" s="125" t="s">
        <v>1339</v>
      </c>
      <c r="P123" s="104">
        <v>62.23</v>
      </c>
      <c r="Q123" s="108">
        <v>45912.09860583334</v>
      </c>
      <c r="R123" s="109" t="b">
        <v>1</v>
      </c>
      <c r="S123" s="143" t="str">
        <f t="shared" si="1"/>
        <v>Análise Pausada</v>
      </c>
      <c r="T123" s="118" t="s">
        <v>4816</v>
      </c>
      <c r="U123" s="118"/>
      <c r="V123" s="118"/>
      <c r="W123" s="118"/>
      <c r="X123" s="118"/>
      <c r="Y123" s="118"/>
      <c r="Z123" s="118"/>
      <c r="AA123" s="118"/>
      <c r="AB123" s="118"/>
      <c r="AC123" s="118"/>
      <c r="AD123" s="111"/>
      <c r="AE123" s="73"/>
    </row>
    <row r="124" ht="22.5" customHeight="1">
      <c r="A124" s="73"/>
      <c r="B124" s="73"/>
      <c r="C124" s="73"/>
      <c r="D124" s="73"/>
      <c r="E124" s="125" t="s">
        <v>5924</v>
      </c>
      <c r="F124" s="95" t="s">
        <v>5919</v>
      </c>
      <c r="G124" s="96">
        <f>IFERROR(__xludf.DUMMYFUNCTION("GOOGLEFINANCE(E124, ""price"")"),318.55)</f>
        <v>318.55</v>
      </c>
      <c r="H124" s="97">
        <f>IFERROR(__xludf.DUMMYFUNCTION("GOOGLEFINANCE(E124, ""low"")"),316.4)</f>
        <v>316.4</v>
      </c>
      <c r="I124" s="99">
        <f>IFERROR(__xludf.DUMMYFUNCTION("GOOGLEFINANCE(E124, ""high"")"),320.85)</f>
        <v>320.85</v>
      </c>
      <c r="J124" s="100" t="s">
        <v>4922</v>
      </c>
      <c r="K124" s="106"/>
      <c r="L124" s="106"/>
      <c r="M124" s="106"/>
      <c r="N124" s="106"/>
      <c r="O124" s="104"/>
      <c r="P124" s="298"/>
      <c r="Q124" s="108">
        <v>45721.70316664352</v>
      </c>
      <c r="R124" s="109" t="b">
        <v>1</v>
      </c>
      <c r="S124" s="143" t="str">
        <f t="shared" si="1"/>
        <v>Análise Pausada</v>
      </c>
      <c r="T124" s="118" t="s">
        <v>4816</v>
      </c>
      <c r="U124" s="118"/>
      <c r="V124" s="118"/>
      <c r="W124" s="118"/>
      <c r="X124" s="118"/>
      <c r="Y124" s="118"/>
      <c r="Z124" s="118"/>
      <c r="AA124" s="118"/>
      <c r="AB124" s="118"/>
      <c r="AC124" s="118"/>
      <c r="AD124" s="111"/>
      <c r="AE124" s="73"/>
    </row>
    <row r="125" ht="22.5" customHeight="1">
      <c r="A125" s="73"/>
      <c r="B125" s="73"/>
      <c r="C125" s="73"/>
      <c r="D125" s="73"/>
      <c r="E125" s="127" t="s">
        <v>1152</v>
      </c>
      <c r="F125" s="110" t="s">
        <v>1153</v>
      </c>
      <c r="G125" s="96">
        <f>IFERROR(__xludf.DUMMYFUNCTION("GOOGLEFINANCE(E125, ""price"")"),363.5)</f>
        <v>363.5</v>
      </c>
      <c r="H125" s="97">
        <f>IFERROR(__xludf.DUMMYFUNCTION("GOOGLEFINANCE(E125, ""low"")"),360.0)</f>
        <v>360</v>
      </c>
      <c r="I125" s="99">
        <f>IFERROR(__xludf.DUMMYFUNCTION("GOOGLEFINANCE(E125, ""high"")"),366.33)</f>
        <v>366.33</v>
      </c>
      <c r="J125" s="128" t="s">
        <v>615</v>
      </c>
      <c r="K125" s="145"/>
      <c r="L125" s="145"/>
      <c r="M125" s="145"/>
      <c r="N125" s="145"/>
      <c r="O125" s="143"/>
      <c r="P125" s="104">
        <v>351.99</v>
      </c>
      <c r="Q125" s="130">
        <v>45721.7049833912</v>
      </c>
      <c r="R125" s="131" t="b">
        <v>1</v>
      </c>
      <c r="S125" s="143" t="str">
        <f t="shared" si="1"/>
        <v>Análise Pausada</v>
      </c>
      <c r="T125" s="143" t="s">
        <v>4816</v>
      </c>
      <c r="U125" s="110"/>
      <c r="V125" s="110"/>
      <c r="W125" s="255"/>
      <c r="X125" s="110"/>
      <c r="Y125" s="110"/>
      <c r="Z125" s="110"/>
      <c r="AA125" s="110"/>
      <c r="AB125" s="110"/>
      <c r="AC125" s="110"/>
      <c r="AD125" s="110"/>
      <c r="AE125" s="73"/>
    </row>
    <row r="126" ht="22.5" customHeight="1">
      <c r="A126" s="73"/>
      <c r="B126" s="149" t="s">
        <v>327</v>
      </c>
      <c r="C126" s="150">
        <f>now()</f>
        <v>46288.71545</v>
      </c>
      <c r="D126" s="73"/>
      <c r="E126" s="127" t="s">
        <v>5876</v>
      </c>
      <c r="F126" s="110" t="s">
        <v>5500</v>
      </c>
      <c r="G126" s="96">
        <f>IFERROR(__xludf.DUMMYFUNCTION("GOOGLEFINANCE(E126, ""price"")"),72.9)</f>
        <v>72.9</v>
      </c>
      <c r="H126" s="97">
        <f>IFERROR(__xludf.DUMMYFUNCTION("GOOGLEFINANCE(E126, ""low"")"),72.9)</f>
        <v>72.9</v>
      </c>
      <c r="I126" s="99">
        <f>IFERROR(__xludf.DUMMYFUNCTION("GOOGLEFINANCE(E126, ""high"")"),75.5)</f>
        <v>75.5</v>
      </c>
      <c r="J126" s="144"/>
      <c r="K126" s="145"/>
      <c r="L126" s="145"/>
      <c r="M126" s="145"/>
      <c r="N126" s="145"/>
      <c r="O126" s="143"/>
      <c r="P126" s="145">
        <v>91.2</v>
      </c>
      <c r="Q126" s="130">
        <v>45769.44240119213</v>
      </c>
      <c r="R126" s="131" t="b">
        <v>1</v>
      </c>
      <c r="S126" s="143" t="str">
        <f t="shared" si="1"/>
        <v>Análise Pausada</v>
      </c>
      <c r="T126" s="143" t="s">
        <v>4816</v>
      </c>
      <c r="U126" s="143"/>
      <c r="V126" s="143"/>
      <c r="W126" s="143"/>
      <c r="X126" s="143"/>
      <c r="Y126" s="143"/>
      <c r="Z126" s="143"/>
      <c r="AA126" s="143"/>
      <c r="AB126" s="143"/>
      <c r="AC126" s="143"/>
      <c r="AD126" s="110"/>
      <c r="AE126" s="73"/>
    </row>
    <row r="127" ht="22.5" customHeight="1">
      <c r="A127" s="73"/>
      <c r="B127" s="73"/>
      <c r="C127" s="73"/>
      <c r="D127" s="73"/>
      <c r="E127" s="342" t="s">
        <v>5638</v>
      </c>
      <c r="F127" s="325" t="s">
        <v>5925</v>
      </c>
      <c r="G127" s="96">
        <f>IFERROR(__xludf.DUMMYFUNCTION("GOOGLEFINANCE(E127, ""price"")"),96.43)</f>
        <v>96.43</v>
      </c>
      <c r="H127" s="97">
        <f>IFERROR(__xludf.DUMMYFUNCTION("GOOGLEFINANCE(E127, ""low"")"),95.85)</f>
        <v>95.85</v>
      </c>
      <c r="I127" s="99">
        <f>IFERROR(__xludf.DUMMYFUNCTION("GOOGLEFINANCE(E127, ""high"")"),97.3)</f>
        <v>97.3</v>
      </c>
      <c r="J127" s="144"/>
      <c r="K127" s="145"/>
      <c r="L127" s="145"/>
      <c r="M127" s="145"/>
      <c r="N127" s="145"/>
      <c r="O127" s="129"/>
      <c r="P127" s="129"/>
      <c r="Q127" s="130"/>
      <c r="R127" s="131" t="b">
        <v>1</v>
      </c>
      <c r="S127" s="143" t="str">
        <f t="shared" si="1"/>
        <v>Análise Pausada</v>
      </c>
      <c r="T127" s="143" t="s">
        <v>4816</v>
      </c>
      <c r="U127" s="143"/>
      <c r="V127" s="143"/>
      <c r="W127" s="143"/>
      <c r="X127" s="143"/>
      <c r="Y127" s="143"/>
      <c r="Z127" s="143"/>
      <c r="AA127" s="143"/>
      <c r="AB127" s="143"/>
      <c r="AC127" s="143"/>
      <c r="AD127" s="110"/>
      <c r="AE127" s="73"/>
    </row>
    <row r="128" ht="22.5" customHeight="1">
      <c r="A128" s="73"/>
      <c r="B128" s="73"/>
      <c r="C128" s="73"/>
      <c r="D128" s="73"/>
      <c r="E128" s="325" t="s">
        <v>5638</v>
      </c>
      <c r="F128" s="325" t="s">
        <v>5639</v>
      </c>
      <c r="G128" s="96" t="str">
        <f>IFERROR(__xludf.DUMMYFUNCTION("GOOGLEFINANCE(E128, ""price"")"),"#N/A")</f>
        <v>#N/A</v>
      </c>
      <c r="H128" s="97" t="str">
        <f>IFERROR(__xludf.DUMMYFUNCTION("GOOGLEFINANCE(E128, ""low"")"),"#N/A")</f>
        <v>#N/A</v>
      </c>
      <c r="I128" s="99" t="str">
        <f>IFERROR(__xludf.DUMMYFUNCTION("GOOGLEFINANCE(E128, ""high"")"),"#N/A")</f>
        <v>#N/A</v>
      </c>
      <c r="J128" s="128" t="s">
        <v>4922</v>
      </c>
      <c r="K128" s="129">
        <v>2.55</v>
      </c>
      <c r="L128" s="129">
        <v>65.37</v>
      </c>
      <c r="M128" s="129">
        <v>12.62</v>
      </c>
      <c r="N128" s="129">
        <v>1.95</v>
      </c>
      <c r="O128" s="129" t="s">
        <v>170</v>
      </c>
      <c r="P128" s="129">
        <v>100.35</v>
      </c>
      <c r="Q128" s="130">
        <v>45812.259509745374</v>
      </c>
      <c r="R128" s="131" t="b">
        <v>1</v>
      </c>
      <c r="S128" s="143" t="str">
        <f t="shared" si="1"/>
        <v>Análise Pausada</v>
      </c>
      <c r="T128" s="143" t="s">
        <v>4816</v>
      </c>
      <c r="U128" s="143"/>
      <c r="V128" s="143"/>
      <c r="W128" s="143"/>
      <c r="X128" s="143"/>
      <c r="Y128" s="143"/>
      <c r="Z128" s="143"/>
      <c r="AA128" s="143"/>
      <c r="AB128" s="143"/>
      <c r="AC128" s="143"/>
      <c r="AD128" s="110"/>
      <c r="AE128" s="73"/>
    </row>
    <row r="129" ht="22.5" customHeight="1">
      <c r="A129" s="73"/>
      <c r="B129" s="73"/>
      <c r="C129" s="73"/>
      <c r="D129" s="73"/>
      <c r="E129" s="125" t="s">
        <v>2922</v>
      </c>
      <c r="F129" s="193"/>
      <c r="G129" s="96">
        <f>IFERROR(__xludf.DUMMYFUNCTION("GOOGLEFINANCE(E129, ""price"")"),552.03)</f>
        <v>552.03</v>
      </c>
      <c r="H129" s="97">
        <f>IFERROR(__xludf.DUMMYFUNCTION("GOOGLEFINANCE(E129, ""low"")"),548.55)</f>
        <v>548.55</v>
      </c>
      <c r="I129" s="99">
        <f>IFERROR(__xludf.DUMMYFUNCTION("GOOGLEFINANCE(E129, ""high"")"),570.72)</f>
        <v>570.72</v>
      </c>
      <c r="J129" s="161"/>
      <c r="K129" s="106"/>
      <c r="L129" s="106"/>
      <c r="M129" s="106"/>
      <c r="N129" s="106"/>
      <c r="O129" s="105"/>
      <c r="P129" s="106">
        <v>120.96</v>
      </c>
      <c r="Q129" s="108"/>
      <c r="R129" s="109" t="b">
        <v>1</v>
      </c>
      <c r="S129" s="143" t="str">
        <f t="shared" si="1"/>
        <v>Análise Pausada</v>
      </c>
      <c r="T129" s="118" t="s">
        <v>4816</v>
      </c>
      <c r="U129" s="111"/>
      <c r="V129" s="111"/>
      <c r="W129" s="257"/>
      <c r="X129" s="111"/>
      <c r="Y129" s="111"/>
      <c r="Z129" s="111"/>
      <c r="AA129" s="111"/>
      <c r="AB129" s="111"/>
      <c r="AC129" s="111"/>
      <c r="AD129" s="111"/>
      <c r="AE129" s="73"/>
    </row>
    <row r="130" ht="22.5" customHeight="1">
      <c r="A130" s="73"/>
      <c r="B130" s="73"/>
      <c r="C130" s="73"/>
      <c r="D130" s="73"/>
      <c r="E130" s="125" t="s">
        <v>5923</v>
      </c>
      <c r="F130" s="96"/>
      <c r="G130" s="96">
        <f>IFERROR(__xludf.DUMMYFUNCTION("GOOGLEFINANCE(E130, ""price"")"),41.69)</f>
        <v>41.69</v>
      </c>
      <c r="H130" s="97">
        <f>IFERROR(__xludf.DUMMYFUNCTION("GOOGLEFINANCE(E130, ""low"")"),41.0)</f>
        <v>41</v>
      </c>
      <c r="I130" s="99">
        <f>IFERROR(__xludf.DUMMYFUNCTION("GOOGLEFINANCE(E130, ""high"")"),41.76)</f>
        <v>41.76</v>
      </c>
      <c r="J130" s="152"/>
      <c r="K130" s="106"/>
      <c r="L130" s="106"/>
      <c r="M130" s="106"/>
      <c r="N130" s="106"/>
      <c r="O130" s="105"/>
      <c r="P130" s="106"/>
      <c r="Q130" s="108"/>
      <c r="R130" s="109" t="b">
        <v>1</v>
      </c>
      <c r="S130" s="143" t="str">
        <f t="shared" si="1"/>
        <v>Análise Pausada</v>
      </c>
      <c r="T130" s="118" t="s">
        <v>4816</v>
      </c>
      <c r="U130" s="118"/>
      <c r="V130" s="118"/>
      <c r="W130" s="118"/>
      <c r="X130" s="118"/>
      <c r="Y130" s="118"/>
      <c r="Z130" s="118"/>
      <c r="AA130" s="118"/>
      <c r="AB130" s="118"/>
      <c r="AC130" s="118"/>
      <c r="AD130" s="111"/>
      <c r="AE130" s="73"/>
    </row>
    <row r="131" ht="22.5" customHeight="1">
      <c r="A131" s="73"/>
      <c r="B131" s="73"/>
      <c r="C131" s="73"/>
      <c r="D131" s="73"/>
      <c r="E131" s="127" t="s">
        <v>1832</v>
      </c>
      <c r="F131" s="110" t="s">
        <v>5299</v>
      </c>
      <c r="G131" s="96">
        <f>IFERROR(__xludf.DUMMYFUNCTION("GOOGLEFINANCE(E131, ""price"")"),142.32)</f>
        <v>142.32</v>
      </c>
      <c r="H131" s="97">
        <f>IFERROR(__xludf.DUMMYFUNCTION("GOOGLEFINANCE(E131, ""low"")"),135.68)</f>
        <v>135.68</v>
      </c>
      <c r="I131" s="99">
        <f>IFERROR(__xludf.DUMMYFUNCTION("GOOGLEFINANCE(E131, ""high"")"),151.29)</f>
        <v>151.29</v>
      </c>
      <c r="J131" s="144"/>
      <c r="K131" s="145"/>
      <c r="L131" s="145"/>
      <c r="M131" s="145"/>
      <c r="N131" s="145"/>
      <c r="O131" s="110" t="s">
        <v>998</v>
      </c>
      <c r="P131" s="129">
        <v>157.1</v>
      </c>
      <c r="Q131" s="130">
        <v>45923.13713537037</v>
      </c>
      <c r="R131" s="131" t="b">
        <v>1</v>
      </c>
      <c r="S131" s="143" t="str">
        <f t="shared" si="1"/>
        <v>Análise Pausada</v>
      </c>
      <c r="T131" s="143" t="s">
        <v>4816</v>
      </c>
      <c r="U131" s="143"/>
      <c r="V131" s="143"/>
      <c r="W131" s="143"/>
      <c r="X131" s="143"/>
      <c r="Y131" s="143"/>
      <c r="Z131" s="143"/>
      <c r="AA131" s="143"/>
      <c r="AB131" s="143"/>
      <c r="AC131" s="143"/>
      <c r="AD131" s="110"/>
      <c r="AE131" s="73"/>
    </row>
    <row r="132" ht="22.5" customHeight="1">
      <c r="A132" s="73"/>
      <c r="B132" s="73"/>
      <c r="C132" s="73"/>
      <c r="D132" s="73"/>
      <c r="E132" s="127" t="s">
        <v>203</v>
      </c>
      <c r="F132" s="110" t="s">
        <v>204</v>
      </c>
      <c r="G132" s="96">
        <f>IFERROR(__xludf.DUMMYFUNCTION("GOOGLEFINANCE(E132, ""price"")"),28.03)</f>
        <v>28.03</v>
      </c>
      <c r="H132" s="97">
        <f>IFERROR(__xludf.DUMMYFUNCTION("GOOGLEFINANCE(E132, ""low"")"),27.84)</f>
        <v>27.84</v>
      </c>
      <c r="I132" s="99">
        <f>IFERROR(__xludf.DUMMYFUNCTION("GOOGLEFINANCE(E132, ""high"")"),28.16)</f>
        <v>28.16</v>
      </c>
      <c r="J132" s="144"/>
      <c r="K132" s="145"/>
      <c r="L132" s="145"/>
      <c r="M132" s="145"/>
      <c r="N132" s="145"/>
      <c r="O132" s="143"/>
      <c r="P132" s="145"/>
      <c r="Q132" s="130"/>
      <c r="R132" s="131" t="b">
        <v>1</v>
      </c>
      <c r="S132" s="143" t="str">
        <f t="shared" si="1"/>
        <v>Análise Pausada</v>
      </c>
      <c r="T132" s="143" t="s">
        <v>4816</v>
      </c>
      <c r="U132" s="143"/>
      <c r="V132" s="143"/>
      <c r="W132" s="143"/>
      <c r="X132" s="143"/>
      <c r="Y132" s="143"/>
      <c r="Z132" s="143"/>
      <c r="AA132" s="143"/>
      <c r="AB132" s="143"/>
      <c r="AC132" s="143"/>
      <c r="AD132" s="110"/>
      <c r="AE132" s="73"/>
    </row>
    <row r="133" ht="22.5" customHeight="1">
      <c r="A133" s="73"/>
      <c r="B133" s="73"/>
      <c r="C133" s="73"/>
      <c r="D133" s="73"/>
      <c r="E133" s="127" t="s">
        <v>5181</v>
      </c>
      <c r="F133" s="110" t="s">
        <v>5182</v>
      </c>
      <c r="G133" s="96">
        <f>IFERROR(__xludf.DUMMYFUNCTION("GOOGLEFINANCE(E133, ""price"")"),150.39)</f>
        <v>150.39</v>
      </c>
      <c r="H133" s="97">
        <f>IFERROR(__xludf.DUMMYFUNCTION("GOOGLEFINANCE(E133, ""low"")"),147.77)</f>
        <v>147.77</v>
      </c>
      <c r="I133" s="99">
        <f>IFERROR(__xludf.DUMMYFUNCTION("GOOGLEFINANCE(E133, ""high"")"),154.94)</f>
        <v>154.94</v>
      </c>
      <c r="J133" s="128" t="s">
        <v>673</v>
      </c>
      <c r="K133" s="129">
        <v>-3.0</v>
      </c>
      <c r="L133" s="129">
        <v>38.73</v>
      </c>
      <c r="M133" s="129">
        <v>29.51</v>
      </c>
      <c r="N133" s="129">
        <v>12.03</v>
      </c>
      <c r="O133" s="110" t="s">
        <v>3253</v>
      </c>
      <c r="P133" s="129">
        <v>198.49</v>
      </c>
      <c r="Q133" s="130">
        <v>45945.280962476856</v>
      </c>
      <c r="R133" s="131" t="b">
        <v>1</v>
      </c>
      <c r="S133" s="143" t="str">
        <f t="shared" si="1"/>
        <v>Análise Pausada</v>
      </c>
      <c r="T133" s="143" t="s">
        <v>4816</v>
      </c>
      <c r="U133" s="143"/>
      <c r="V133" s="143"/>
      <c r="W133" s="143"/>
      <c r="X133" s="143"/>
      <c r="Y133" s="143"/>
      <c r="Z133" s="143"/>
      <c r="AA133" s="143"/>
      <c r="AB133" s="143"/>
      <c r="AC133" s="143"/>
      <c r="AD133" s="110"/>
      <c r="AE133" s="73"/>
    </row>
    <row r="134" ht="22.5" customHeight="1">
      <c r="A134" s="73"/>
      <c r="B134" s="73"/>
      <c r="C134" s="73"/>
      <c r="D134" s="73"/>
      <c r="E134" s="127" t="s">
        <v>977</v>
      </c>
      <c r="F134" s="110" t="s">
        <v>5118</v>
      </c>
      <c r="G134" s="96">
        <f>IFERROR(__xludf.DUMMYFUNCTION("GOOGLEFINANCE(E134, ""price"")"),49.12)</f>
        <v>49.12</v>
      </c>
      <c r="H134" s="97">
        <f>IFERROR(__xludf.DUMMYFUNCTION("GOOGLEFINANCE(E134, ""low"")"),48.92)</f>
        <v>48.92</v>
      </c>
      <c r="I134" s="99">
        <f>IFERROR(__xludf.DUMMYFUNCTION("GOOGLEFINANCE(E134, ""high"")"),50.4)</f>
        <v>50.4</v>
      </c>
      <c r="J134" s="128" t="s">
        <v>673</v>
      </c>
      <c r="K134" s="145"/>
      <c r="L134" s="145"/>
      <c r="M134" s="145"/>
      <c r="N134" s="145"/>
      <c r="O134" s="143"/>
      <c r="P134" s="129">
        <v>102.75</v>
      </c>
      <c r="Q134" s="130">
        <v>45966.805508715275</v>
      </c>
      <c r="R134" s="131" t="b">
        <v>1</v>
      </c>
      <c r="S134" s="143" t="str">
        <f t="shared" si="1"/>
        <v>Análise Pausada</v>
      </c>
      <c r="T134" s="143" t="s">
        <v>4816</v>
      </c>
      <c r="U134" s="143"/>
      <c r="V134" s="143"/>
      <c r="W134" s="143"/>
      <c r="X134" s="143"/>
      <c r="Y134" s="143"/>
      <c r="Z134" s="143"/>
      <c r="AA134" s="143"/>
      <c r="AB134" s="143"/>
      <c r="AC134" s="143"/>
      <c r="AD134" s="110"/>
      <c r="AE134" s="73"/>
    </row>
    <row r="135" ht="22.5" customHeight="1">
      <c r="A135" s="73"/>
      <c r="B135" s="73"/>
      <c r="C135" s="73"/>
      <c r="D135" s="73"/>
      <c r="E135" s="127" t="s">
        <v>3202</v>
      </c>
      <c r="F135" s="110" t="s">
        <v>3203</v>
      </c>
      <c r="G135" s="96" t="str">
        <f>IFERROR(__xludf.DUMMYFUNCTION("GOOGLEFINANCE(E135, ""price"")"),"#N/A")</f>
        <v>#N/A</v>
      </c>
      <c r="H135" s="97" t="str">
        <f>IFERROR(__xludf.DUMMYFUNCTION("GOOGLEFINANCE(E135, ""low"")"),"#N/A")</f>
        <v>#N/A</v>
      </c>
      <c r="I135" s="99" t="str">
        <f>IFERROR(__xludf.DUMMYFUNCTION("GOOGLEFINANCE(E135, ""high"")"),"#N/A")</f>
        <v>#N/A</v>
      </c>
      <c r="J135" s="128" t="s">
        <v>673</v>
      </c>
      <c r="K135" s="129">
        <v>0.69</v>
      </c>
      <c r="L135" s="129">
        <v>54.18</v>
      </c>
      <c r="M135" s="129">
        <v>22.72</v>
      </c>
      <c r="N135" s="129">
        <v>0.97</v>
      </c>
      <c r="O135" s="110" t="s">
        <v>998</v>
      </c>
      <c r="P135" s="129">
        <v>43.14</v>
      </c>
      <c r="Q135" s="130">
        <v>45972.325234131946</v>
      </c>
      <c r="R135" s="131" t="b">
        <v>1</v>
      </c>
      <c r="S135" s="143" t="str">
        <f t="shared" si="1"/>
        <v>Análise Pausada</v>
      </c>
      <c r="T135" s="143" t="s">
        <v>4816</v>
      </c>
      <c r="U135" s="143"/>
      <c r="V135" s="143"/>
      <c r="W135" s="143"/>
      <c r="X135" s="143"/>
      <c r="Y135" s="143"/>
      <c r="Z135" s="143"/>
      <c r="AA135" s="143"/>
      <c r="AB135" s="143"/>
      <c r="AC135" s="143"/>
      <c r="AD135" s="110"/>
      <c r="AE135" s="73"/>
    </row>
    <row r="136" ht="22.5" customHeight="1">
      <c r="A136" s="73"/>
      <c r="B136" s="73"/>
      <c r="C136" s="73"/>
      <c r="D136" s="73"/>
      <c r="E136" s="127" t="s">
        <v>5156</v>
      </c>
      <c r="F136" s="110" t="s">
        <v>5158</v>
      </c>
      <c r="G136" s="96">
        <f>IFERROR(__xludf.DUMMYFUNCTION("GOOGLEFINANCE(E136, ""price"")"),6.79)</f>
        <v>6.79</v>
      </c>
      <c r="H136" s="97">
        <f>IFERROR(__xludf.DUMMYFUNCTION("GOOGLEFINANCE(E136, ""low"")"),6.68)</f>
        <v>6.68</v>
      </c>
      <c r="I136" s="99">
        <f>IFERROR(__xludf.DUMMYFUNCTION("GOOGLEFINANCE(E136, ""high"")"),6.94)</f>
        <v>6.94</v>
      </c>
      <c r="J136" s="128" t="s">
        <v>4922</v>
      </c>
      <c r="K136" s="145"/>
      <c r="L136" s="145"/>
      <c r="M136" s="145"/>
      <c r="N136" s="145"/>
      <c r="O136" s="110" t="s">
        <v>3253</v>
      </c>
      <c r="P136" s="129">
        <v>6.12</v>
      </c>
      <c r="Q136" s="130">
        <v>45982.40019418982</v>
      </c>
      <c r="R136" s="131" t="b">
        <v>1</v>
      </c>
      <c r="S136" s="143" t="str">
        <f t="shared" si="1"/>
        <v>Análise Pausada</v>
      </c>
      <c r="T136" s="143" t="s">
        <v>4816</v>
      </c>
      <c r="U136" s="143"/>
      <c r="V136" s="143"/>
      <c r="W136" s="143"/>
      <c r="X136" s="143"/>
      <c r="Y136" s="143"/>
      <c r="Z136" s="143"/>
      <c r="AA136" s="143"/>
      <c r="AB136" s="143"/>
      <c r="AC136" s="143"/>
      <c r="AD136" s="110"/>
      <c r="AE136" s="73"/>
    </row>
    <row r="137" ht="22.5" customHeight="1">
      <c r="A137" s="73"/>
      <c r="B137" s="73"/>
      <c r="C137" s="73"/>
      <c r="D137" s="73"/>
      <c r="E137" s="127" t="s">
        <v>1336</v>
      </c>
      <c r="F137" s="110" t="s">
        <v>1338</v>
      </c>
      <c r="G137" s="96">
        <f>IFERROR(__xludf.DUMMYFUNCTION("GOOGLEFINANCE(E137, ""price"")"),75.23)</f>
        <v>75.23</v>
      </c>
      <c r="H137" s="97">
        <f>IFERROR(__xludf.DUMMYFUNCTION("GOOGLEFINANCE(E137, ""low"")"),73.77)</f>
        <v>73.77</v>
      </c>
      <c r="I137" s="99">
        <f>IFERROR(__xludf.DUMMYFUNCTION("GOOGLEFINANCE(E137, ""high"")"),75.77)</f>
        <v>75.77</v>
      </c>
      <c r="J137" s="144"/>
      <c r="K137" s="129">
        <v>12.7</v>
      </c>
      <c r="L137" s="129">
        <v>66.73</v>
      </c>
      <c r="M137" s="145"/>
      <c r="N137" s="145"/>
      <c r="O137" s="110" t="s">
        <v>1339</v>
      </c>
      <c r="P137" s="129">
        <v>63.5</v>
      </c>
      <c r="Q137" s="130">
        <v>45995.48168557871</v>
      </c>
      <c r="R137" s="131" t="b">
        <v>1</v>
      </c>
      <c r="S137" s="143" t="str">
        <f t="shared" si="1"/>
        <v>Análise Pausada</v>
      </c>
      <c r="T137" s="143" t="s">
        <v>4816</v>
      </c>
      <c r="U137" s="143"/>
      <c r="V137" s="143"/>
      <c r="W137" s="143"/>
      <c r="X137" s="143"/>
      <c r="Y137" s="143"/>
      <c r="Z137" s="143"/>
      <c r="AA137" s="143"/>
      <c r="AB137" s="143"/>
      <c r="AC137" s="143"/>
      <c r="AD137" s="110"/>
      <c r="AE137" s="73"/>
    </row>
    <row r="138" ht="22.5" customHeight="1">
      <c r="A138" s="73"/>
      <c r="B138" s="73"/>
      <c r="C138" s="73"/>
      <c r="D138" s="73"/>
      <c r="E138" s="127" t="s">
        <v>580</v>
      </c>
      <c r="F138" s="110" t="s">
        <v>581</v>
      </c>
      <c r="G138" s="96">
        <f>IFERROR(__xludf.DUMMYFUNCTION("GOOGLEFINANCE(E138, ""price"")"),122.54)</f>
        <v>122.54</v>
      </c>
      <c r="H138" s="97">
        <f>IFERROR(__xludf.DUMMYFUNCTION("GOOGLEFINANCE(E138, ""low"")"),121.21)</f>
        <v>121.21</v>
      </c>
      <c r="I138" s="99">
        <f>IFERROR(__xludf.DUMMYFUNCTION("GOOGLEFINANCE(E138, ""high"")"),123.96)</f>
        <v>123.96</v>
      </c>
      <c r="J138" s="144"/>
      <c r="K138" s="145"/>
      <c r="L138" s="145"/>
      <c r="M138" s="145"/>
      <c r="N138" s="145"/>
      <c r="O138" s="143"/>
      <c r="P138" s="145"/>
      <c r="Q138" s="130"/>
      <c r="R138" s="131" t="b">
        <v>1</v>
      </c>
      <c r="S138" s="143" t="str">
        <f t="shared" si="1"/>
        <v>Análise Pausada</v>
      </c>
      <c r="T138" s="143" t="s">
        <v>4816</v>
      </c>
      <c r="U138" s="143"/>
      <c r="V138" s="143"/>
      <c r="W138" s="143"/>
      <c r="X138" s="143"/>
      <c r="Y138" s="143"/>
      <c r="Z138" s="143"/>
      <c r="AA138" s="143"/>
      <c r="AB138" s="143"/>
      <c r="AC138" s="143"/>
      <c r="AD138" s="110"/>
      <c r="AE138" s="73"/>
    </row>
    <row r="139" ht="22.5" customHeight="1">
      <c r="A139" s="73"/>
      <c r="B139" s="73"/>
      <c r="C139" s="73"/>
      <c r="D139" s="73"/>
      <c r="E139" s="127" t="s">
        <v>2297</v>
      </c>
      <c r="F139" s="110" t="s">
        <v>2300</v>
      </c>
      <c r="G139" s="96">
        <f>IFERROR(__xludf.DUMMYFUNCTION("GOOGLEFINANCE(E139, ""price"")"),133.4)</f>
        <v>133.4</v>
      </c>
      <c r="H139" s="97">
        <f>IFERROR(__xludf.DUMMYFUNCTION("GOOGLEFINANCE(E139, ""low"")"),131.89)</f>
        <v>131.89</v>
      </c>
      <c r="I139" s="99">
        <f>IFERROR(__xludf.DUMMYFUNCTION("GOOGLEFINANCE(E139, ""high"")"),134.29)</f>
        <v>134.29</v>
      </c>
      <c r="J139" s="128" t="s">
        <v>957</v>
      </c>
      <c r="K139" s="129">
        <v>10.75</v>
      </c>
      <c r="L139" s="129">
        <v>48.28</v>
      </c>
      <c r="M139" s="129">
        <v>28.46</v>
      </c>
      <c r="N139" s="129" t="s">
        <v>2319</v>
      </c>
      <c r="O139" s="110" t="s">
        <v>245</v>
      </c>
      <c r="P139" s="129">
        <v>158.18</v>
      </c>
      <c r="Q139" s="130">
        <v>46072.14340472222</v>
      </c>
      <c r="R139" s="131" t="b">
        <v>1</v>
      </c>
      <c r="S139" s="143" t="str">
        <f t="shared" si="1"/>
        <v>Análise Pausada</v>
      </c>
      <c r="T139" s="143" t="s">
        <v>4816</v>
      </c>
      <c r="U139" s="143"/>
      <c r="V139" s="143"/>
      <c r="W139" s="143"/>
      <c r="X139" s="143"/>
      <c r="Y139" s="143"/>
      <c r="Z139" s="143"/>
      <c r="AA139" s="143"/>
      <c r="AB139" s="143"/>
      <c r="AC139" s="143"/>
      <c r="AD139" s="110"/>
      <c r="AE139" s="73"/>
    </row>
    <row r="140" ht="22.5" customHeight="1">
      <c r="A140" s="73"/>
      <c r="B140" s="73"/>
      <c r="C140" s="73"/>
      <c r="D140" s="73"/>
      <c r="E140" s="124" t="s">
        <v>350</v>
      </c>
      <c r="F140" s="125" t="s">
        <v>5531</v>
      </c>
      <c r="G140" s="96">
        <f>IFERROR(__xludf.DUMMYFUNCTION("GOOGLEFINANCE(E140, ""price"")"),69.67)</f>
        <v>69.67</v>
      </c>
      <c r="H140" s="97">
        <f>IFERROR(__xludf.DUMMYFUNCTION("GOOGLEFINANCE(E140, ""low"")"),68.55)</f>
        <v>68.55</v>
      </c>
      <c r="I140" s="99">
        <f>IFERROR(__xludf.DUMMYFUNCTION("GOOGLEFINANCE(E140, ""high"")"),69.74)</f>
        <v>69.74</v>
      </c>
      <c r="J140" s="126" t="s">
        <v>673</v>
      </c>
      <c r="K140" s="104">
        <v>1.76</v>
      </c>
      <c r="L140" s="104">
        <v>40.97</v>
      </c>
      <c r="M140" s="104">
        <v>38.46</v>
      </c>
      <c r="N140" s="104">
        <v>2.42</v>
      </c>
      <c r="O140" s="125" t="s">
        <v>5535</v>
      </c>
      <c r="P140" s="104">
        <v>72.77</v>
      </c>
      <c r="Q140" s="108">
        <v>46079.29971739583</v>
      </c>
      <c r="R140" s="109" t="b">
        <v>1</v>
      </c>
      <c r="S140" s="143" t="str">
        <f t="shared" si="1"/>
        <v>Análise Pausada</v>
      </c>
      <c r="T140" s="118" t="s">
        <v>4816</v>
      </c>
      <c r="U140" s="111"/>
      <c r="V140" s="111"/>
      <c r="W140" s="257"/>
      <c r="X140" s="111"/>
      <c r="Y140" s="111"/>
      <c r="Z140" s="111"/>
      <c r="AA140" s="111"/>
      <c r="AB140" s="111"/>
      <c r="AC140" s="111"/>
      <c r="AD140" s="111"/>
      <c r="AE140" s="73"/>
    </row>
    <row r="141" ht="22.5" customHeight="1">
      <c r="A141" s="73"/>
      <c r="B141" s="73"/>
      <c r="C141" s="73"/>
      <c r="D141" s="73"/>
      <c r="E141" s="124" t="s">
        <v>3190</v>
      </c>
      <c r="F141" s="125" t="s">
        <v>3191</v>
      </c>
      <c r="G141" s="96">
        <f>IFERROR(__xludf.DUMMYFUNCTION("GOOGLEFINANCE(E141, ""price"")"),21.94)</f>
        <v>21.94</v>
      </c>
      <c r="H141" s="97">
        <f>IFERROR(__xludf.DUMMYFUNCTION("GOOGLEFINANCE(E141, ""low"")"),21.67)</f>
        <v>21.67</v>
      </c>
      <c r="I141" s="99">
        <f>IFERROR(__xludf.DUMMYFUNCTION("GOOGLEFINANCE(E141, ""high"")"),22.48)</f>
        <v>22.48</v>
      </c>
      <c r="J141" s="126" t="s">
        <v>957</v>
      </c>
      <c r="K141" s="104">
        <v>8.57</v>
      </c>
      <c r="L141" s="104">
        <v>62.05</v>
      </c>
      <c r="M141" s="104">
        <v>30.49</v>
      </c>
      <c r="N141" s="104">
        <v>2.2</v>
      </c>
      <c r="O141" s="125" t="s">
        <v>998</v>
      </c>
      <c r="P141" s="104">
        <v>31.14</v>
      </c>
      <c r="Q141" s="108">
        <v>46079.31358994213</v>
      </c>
      <c r="R141" s="109" t="b">
        <v>1</v>
      </c>
      <c r="S141" s="143" t="str">
        <f t="shared" si="1"/>
        <v>Análise Pausada</v>
      </c>
      <c r="T141" s="118" t="s">
        <v>4816</v>
      </c>
      <c r="U141" s="111"/>
      <c r="V141" s="111"/>
      <c r="W141" s="257"/>
      <c r="X141" s="111"/>
      <c r="Y141" s="111"/>
      <c r="Z141" s="111"/>
      <c r="AA141" s="111"/>
      <c r="AB141" s="111"/>
      <c r="AC141" s="111"/>
      <c r="AD141" s="111"/>
      <c r="AE141" s="73"/>
    </row>
    <row r="142" ht="22.5" customHeight="1">
      <c r="A142" s="73"/>
      <c r="B142" s="73"/>
      <c r="C142" s="73"/>
      <c r="D142" s="73"/>
      <c r="E142" s="124" t="s">
        <v>818</v>
      </c>
      <c r="F142" s="125" t="s">
        <v>968</v>
      </c>
      <c r="G142" s="96">
        <f>IFERROR(__xludf.DUMMYFUNCTION("GOOGLEFINANCE(E142, ""price"")"),375.17)</f>
        <v>375.17</v>
      </c>
      <c r="H142" s="97">
        <f>IFERROR(__xludf.DUMMYFUNCTION("GOOGLEFINANCE(E142, ""low"")"),369.13)</f>
        <v>369.13</v>
      </c>
      <c r="I142" s="99">
        <f>IFERROR(__xludf.DUMMYFUNCTION("GOOGLEFINANCE(E142, ""high"")"),377.68)</f>
        <v>377.68</v>
      </c>
      <c r="J142" s="126" t="s">
        <v>957</v>
      </c>
      <c r="K142" s="104">
        <v>0.47</v>
      </c>
      <c r="L142" s="104">
        <v>28.9</v>
      </c>
      <c r="M142" s="104">
        <v>47.68</v>
      </c>
      <c r="N142" s="104">
        <v>7.69</v>
      </c>
      <c r="O142" s="125" t="s">
        <v>197</v>
      </c>
      <c r="P142" s="104">
        <v>175.87</v>
      </c>
      <c r="Q142" s="108">
        <v>46079.320398587966</v>
      </c>
      <c r="R142" s="109" t="b">
        <v>1</v>
      </c>
      <c r="S142" s="143" t="str">
        <f t="shared" si="1"/>
        <v>Análise Pausada</v>
      </c>
      <c r="T142" s="118" t="s">
        <v>4816</v>
      </c>
      <c r="U142" s="118"/>
      <c r="V142" s="118"/>
      <c r="W142" s="118"/>
      <c r="X142" s="118"/>
      <c r="Y142" s="118"/>
      <c r="Z142" s="118"/>
      <c r="AA142" s="118"/>
      <c r="AB142" s="118"/>
      <c r="AC142" s="118"/>
      <c r="AD142" s="111"/>
      <c r="AE142" s="73"/>
    </row>
    <row r="143" ht="22.5" customHeight="1">
      <c r="A143" s="73"/>
      <c r="B143" s="149" t="s">
        <v>327</v>
      </c>
      <c r="C143" s="150">
        <f>now()</f>
        <v>46288.71545</v>
      </c>
      <c r="D143" s="73"/>
      <c r="E143" s="124" t="s">
        <v>954</v>
      </c>
      <c r="F143" s="125" t="s">
        <v>955</v>
      </c>
      <c r="G143" s="96">
        <f>IFERROR(__xludf.DUMMYFUNCTION("GOOGLEFINANCE(E143, ""price"")"),5.53)</f>
        <v>5.53</v>
      </c>
      <c r="H143" s="97">
        <f>IFERROR(__xludf.DUMMYFUNCTION("GOOGLEFINANCE(E143, ""low"")"),5.5)</f>
        <v>5.5</v>
      </c>
      <c r="I143" s="99">
        <f>IFERROR(__xludf.DUMMYFUNCTION("GOOGLEFINANCE(E143, ""high"")"),5.7)</f>
        <v>5.7</v>
      </c>
      <c r="J143" s="126" t="s">
        <v>957</v>
      </c>
      <c r="K143" s="104">
        <v>0.71</v>
      </c>
      <c r="L143" s="104">
        <v>56.25</v>
      </c>
      <c r="M143" s="104">
        <v>35.21</v>
      </c>
      <c r="N143" s="104">
        <v>0.37</v>
      </c>
      <c r="O143" s="125" t="s">
        <v>197</v>
      </c>
      <c r="P143" s="104">
        <v>6.17</v>
      </c>
      <c r="Q143" s="108">
        <v>46079.41762620371</v>
      </c>
      <c r="R143" s="109" t="b">
        <v>1</v>
      </c>
      <c r="S143" s="143" t="str">
        <f t="shared" si="1"/>
        <v>Análise Pausada</v>
      </c>
      <c r="T143" s="118" t="s">
        <v>4816</v>
      </c>
      <c r="U143" s="111"/>
      <c r="V143" s="111"/>
      <c r="W143" s="257"/>
      <c r="X143" s="111"/>
      <c r="Y143" s="111"/>
      <c r="Z143" s="111"/>
      <c r="AA143" s="111"/>
      <c r="AB143" s="111"/>
      <c r="AC143" s="111"/>
      <c r="AD143" s="111"/>
      <c r="AE143" s="73"/>
    </row>
    <row r="144" ht="22.5" customHeight="1">
      <c r="A144" s="73"/>
      <c r="B144" s="73"/>
      <c r="C144" s="73"/>
      <c r="D144" s="73"/>
      <c r="E144" s="124" t="s">
        <v>2057</v>
      </c>
      <c r="F144" s="125" t="s">
        <v>2060</v>
      </c>
      <c r="G144" s="96">
        <f>IFERROR(__xludf.DUMMYFUNCTION("GOOGLEFINANCE(E144, ""price"")"),172.24)</f>
        <v>172.24</v>
      </c>
      <c r="H144" s="97">
        <f>IFERROR(__xludf.DUMMYFUNCTION("GOOGLEFINANCE(E144, ""low"")"),169.62)</f>
        <v>169.62</v>
      </c>
      <c r="I144" s="99">
        <f>IFERROR(__xludf.DUMMYFUNCTION("GOOGLEFINANCE(E144, ""high"")"),172.45)</f>
        <v>172.45</v>
      </c>
      <c r="J144" s="126" t="s">
        <v>957</v>
      </c>
      <c r="K144" s="104">
        <v>21.23</v>
      </c>
      <c r="L144" s="104">
        <v>50.64</v>
      </c>
      <c r="M144" s="104">
        <v>33.55</v>
      </c>
      <c r="N144" s="104">
        <v>6.95</v>
      </c>
      <c r="O144" s="125" t="s">
        <v>2061</v>
      </c>
      <c r="P144" s="104">
        <v>195.0</v>
      </c>
      <c r="Q144" s="108">
        <v>46079.42712140046</v>
      </c>
      <c r="R144" s="109" t="b">
        <v>1</v>
      </c>
      <c r="S144" s="143" t="str">
        <f t="shared" si="1"/>
        <v>Análise Pausada</v>
      </c>
      <c r="T144" s="118" t="s">
        <v>4816</v>
      </c>
      <c r="U144" s="118"/>
      <c r="V144" s="118"/>
      <c r="W144" s="118"/>
      <c r="X144" s="118"/>
      <c r="Y144" s="118"/>
      <c r="Z144" s="118"/>
      <c r="AA144" s="118"/>
      <c r="AB144" s="118"/>
      <c r="AC144" s="118"/>
      <c r="AD144" s="111"/>
      <c r="AE144" s="73"/>
    </row>
    <row r="145" ht="22.5" customHeight="1">
      <c r="A145" s="73"/>
      <c r="B145" s="73"/>
      <c r="C145" s="73"/>
      <c r="D145" s="73"/>
      <c r="E145" s="124" t="s">
        <v>433</v>
      </c>
      <c r="F145" s="125" t="s">
        <v>434</v>
      </c>
      <c r="G145" s="96">
        <f>IFERROR(__xludf.DUMMYFUNCTION("GOOGLEFINANCE(E145, ""price"")"),335.82)</f>
        <v>335.82</v>
      </c>
      <c r="H145" s="97">
        <f>IFERROR(__xludf.DUMMYFUNCTION("GOOGLEFINANCE(E145, ""low"")"),329.38)</f>
        <v>329.38</v>
      </c>
      <c r="I145" s="99">
        <f>IFERROR(__xludf.DUMMYFUNCTION("GOOGLEFINANCE(E145, ""high"")"),336.28)</f>
        <v>336.28</v>
      </c>
      <c r="J145" s="152"/>
      <c r="K145" s="104">
        <v>13.08</v>
      </c>
      <c r="L145" s="104">
        <v>48.27</v>
      </c>
      <c r="M145" s="104">
        <v>44.69</v>
      </c>
      <c r="N145" s="104">
        <v>17.04</v>
      </c>
      <c r="O145" s="125" t="s">
        <v>197</v>
      </c>
      <c r="P145" s="104">
        <v>352.49</v>
      </c>
      <c r="Q145" s="108">
        <v>46079.72386462963</v>
      </c>
      <c r="R145" s="109" t="b">
        <v>1</v>
      </c>
      <c r="S145" s="143" t="str">
        <f t="shared" si="1"/>
        <v>Análise Pausada</v>
      </c>
      <c r="T145" s="118" t="s">
        <v>4816</v>
      </c>
      <c r="U145" s="111"/>
      <c r="V145" s="111"/>
      <c r="W145" s="257"/>
      <c r="X145" s="111"/>
      <c r="Y145" s="111"/>
      <c r="Z145" s="111"/>
      <c r="AA145" s="111"/>
      <c r="AB145" s="111"/>
      <c r="AC145" s="111"/>
      <c r="AD145" s="111"/>
      <c r="AE145" s="73"/>
    </row>
    <row r="146" ht="22.5" customHeight="1">
      <c r="A146" s="73"/>
      <c r="B146" s="73"/>
      <c r="C146" s="73"/>
      <c r="D146" s="73"/>
      <c r="E146" s="124" t="s">
        <v>2893</v>
      </c>
      <c r="F146" s="125" t="s">
        <v>2894</v>
      </c>
      <c r="G146" s="96">
        <f>IFERROR(__xludf.DUMMYFUNCTION("GOOGLEFINANCE(E146, ""price"")"),254.25)</f>
        <v>254.25</v>
      </c>
      <c r="H146" s="97">
        <f>IFERROR(__xludf.DUMMYFUNCTION("GOOGLEFINANCE(E146, ""low"")"),247.6)</f>
        <v>247.6</v>
      </c>
      <c r="I146" s="99">
        <f>IFERROR(__xludf.DUMMYFUNCTION("GOOGLEFINANCE(E146, ""high"")"),256.71)</f>
        <v>256.71</v>
      </c>
      <c r="J146" s="126" t="s">
        <v>957</v>
      </c>
      <c r="K146" s="104">
        <v>-15.0</v>
      </c>
      <c r="L146" s="104">
        <v>39.43</v>
      </c>
      <c r="M146" s="104">
        <v>19.3</v>
      </c>
      <c r="N146" s="104">
        <v>7.31</v>
      </c>
      <c r="O146" s="125" t="s">
        <v>197</v>
      </c>
      <c r="P146" s="104">
        <v>107.37</v>
      </c>
      <c r="Q146" s="108">
        <v>46084.659835555554</v>
      </c>
      <c r="R146" s="109" t="b">
        <v>1</v>
      </c>
      <c r="S146" s="143" t="str">
        <f t="shared" si="1"/>
        <v>Análise Pausada</v>
      </c>
      <c r="T146" s="118" t="s">
        <v>4816</v>
      </c>
      <c r="U146" s="111"/>
      <c r="V146" s="111"/>
      <c r="W146" s="257"/>
      <c r="X146" s="111"/>
      <c r="Y146" s="111"/>
      <c r="Z146" s="111"/>
      <c r="AA146" s="111"/>
      <c r="AB146" s="111"/>
      <c r="AC146" s="111"/>
      <c r="AD146" s="111"/>
      <c r="AE146" s="73"/>
    </row>
    <row r="147" ht="22.5" customHeight="1">
      <c r="A147" s="73"/>
      <c r="B147" s="73"/>
      <c r="C147" s="73"/>
      <c r="D147" s="73"/>
      <c r="E147" s="124" t="s">
        <v>364</v>
      </c>
      <c r="F147" s="125" t="s">
        <v>365</v>
      </c>
      <c r="G147" s="96">
        <f>IFERROR(__xludf.DUMMYFUNCTION("GOOGLEFINANCE(E147, ""price"")"),104.05)</f>
        <v>104.05</v>
      </c>
      <c r="H147" s="97">
        <f>IFERROR(__xludf.DUMMYFUNCTION("GOOGLEFINANCE(E147, ""low"")"),102.85)</f>
        <v>102.85</v>
      </c>
      <c r="I147" s="99">
        <f>IFERROR(__xludf.DUMMYFUNCTION("GOOGLEFINANCE(E147, ""high"")"),104.29)</f>
        <v>104.29</v>
      </c>
      <c r="J147" s="152"/>
      <c r="K147" s="104">
        <v>7.93</v>
      </c>
      <c r="L147" s="104">
        <v>0.0</v>
      </c>
      <c r="M147" s="104">
        <v>21.44</v>
      </c>
      <c r="N147" s="104">
        <v>3.13</v>
      </c>
      <c r="O147" s="105"/>
      <c r="P147" s="106"/>
      <c r="Q147" s="108"/>
      <c r="R147" s="109" t="b">
        <v>1</v>
      </c>
      <c r="S147" s="143" t="str">
        <f t="shared" si="1"/>
        <v>Análise Pausada</v>
      </c>
      <c r="T147" s="118" t="s">
        <v>4816</v>
      </c>
      <c r="U147" s="111"/>
      <c r="V147" s="111"/>
      <c r="W147" s="257"/>
      <c r="X147" s="111"/>
      <c r="Y147" s="111"/>
      <c r="Z147" s="111"/>
      <c r="AA147" s="111"/>
      <c r="AB147" s="111"/>
      <c r="AC147" s="111"/>
      <c r="AD147" s="111"/>
      <c r="AE147" s="73"/>
    </row>
    <row r="148" ht="22.5" customHeight="1">
      <c r="A148" s="73"/>
      <c r="B148" s="73"/>
      <c r="C148" s="73"/>
      <c r="D148" s="73"/>
      <c r="E148" s="124" t="s">
        <v>1230</v>
      </c>
      <c r="F148" s="125" t="s">
        <v>1230</v>
      </c>
      <c r="G148" s="96">
        <f>IFERROR(__xludf.DUMMYFUNCTION("GOOGLEFINANCE(E148, ""price"")"),236.23)</f>
        <v>236.23</v>
      </c>
      <c r="H148" s="97">
        <f>IFERROR(__xludf.DUMMYFUNCTION("GOOGLEFINANCE(E148, ""low"")"),233.1)</f>
        <v>233.1</v>
      </c>
      <c r="I148" s="99">
        <f>IFERROR(__xludf.DUMMYFUNCTION("GOOGLEFINANCE(E148, ""high"")"),237.86)</f>
        <v>237.86</v>
      </c>
      <c r="J148" s="152"/>
      <c r="K148" s="106"/>
      <c r="L148" s="106"/>
      <c r="M148" s="106"/>
      <c r="N148" s="106"/>
      <c r="O148" s="105"/>
      <c r="P148" s="106"/>
      <c r="Q148" s="108"/>
      <c r="R148" s="109" t="b">
        <v>1</v>
      </c>
      <c r="S148" s="143" t="str">
        <f t="shared" si="1"/>
        <v>Análise Pausada</v>
      </c>
      <c r="T148" s="118" t="s">
        <v>4816</v>
      </c>
      <c r="U148" s="111"/>
      <c r="V148" s="111"/>
      <c r="W148" s="257"/>
      <c r="X148" s="111"/>
      <c r="Y148" s="111"/>
      <c r="Z148" s="111"/>
      <c r="AA148" s="111"/>
      <c r="AB148" s="111"/>
      <c r="AC148" s="111"/>
      <c r="AD148" s="111"/>
      <c r="AE148" s="73"/>
    </row>
    <row r="149" ht="22.5" customHeight="1">
      <c r="A149" s="73"/>
      <c r="B149" s="73"/>
      <c r="C149" s="73"/>
      <c r="D149" s="73"/>
      <c r="E149" s="124" t="s">
        <v>549</v>
      </c>
      <c r="F149" s="125" t="s">
        <v>550</v>
      </c>
      <c r="G149" s="96">
        <f>IFERROR(__xludf.DUMMYFUNCTION("GOOGLEFINANCE(E149, ""price"")"),186.54)</f>
        <v>186.54</v>
      </c>
      <c r="H149" s="97">
        <f>IFERROR(__xludf.DUMMYFUNCTION("GOOGLEFINANCE(E149, ""low"")"),184.85)</f>
        <v>184.85</v>
      </c>
      <c r="I149" s="99">
        <f>IFERROR(__xludf.DUMMYFUNCTION("GOOGLEFINANCE(E149, ""high"")"),200.59)</f>
        <v>200.59</v>
      </c>
      <c r="J149" s="152"/>
      <c r="K149" s="106"/>
      <c r="L149" s="106"/>
      <c r="M149" s="106"/>
      <c r="N149" s="106"/>
      <c r="O149" s="105"/>
      <c r="P149" s="106"/>
      <c r="Q149" s="108"/>
      <c r="R149" s="109" t="b">
        <v>1</v>
      </c>
      <c r="S149" s="143" t="str">
        <f t="shared" si="1"/>
        <v>Análise Pausada</v>
      </c>
      <c r="T149" s="118" t="s">
        <v>4816</v>
      </c>
      <c r="U149" s="111"/>
      <c r="V149" s="111"/>
      <c r="W149" s="257"/>
      <c r="X149" s="111"/>
      <c r="Y149" s="111"/>
      <c r="Z149" s="111"/>
      <c r="AA149" s="111"/>
      <c r="AB149" s="111"/>
      <c r="AC149" s="111"/>
      <c r="AD149" s="111"/>
      <c r="AE149" s="73"/>
    </row>
    <row r="150" ht="22.5" customHeight="1">
      <c r="A150" s="73"/>
      <c r="B150" s="73"/>
      <c r="C150" s="73"/>
      <c r="D150" s="73"/>
      <c r="E150" s="343"/>
      <c r="F150" s="105"/>
      <c r="G150" s="105"/>
      <c r="H150" s="105"/>
      <c r="I150" s="105"/>
      <c r="J150" s="152"/>
      <c r="K150" s="106"/>
      <c r="L150" s="106"/>
      <c r="M150" s="106"/>
      <c r="N150" s="106"/>
      <c r="O150" s="105"/>
      <c r="P150" s="106"/>
      <c r="Q150" s="108"/>
      <c r="R150" s="109" t="b">
        <v>0</v>
      </c>
      <c r="S150" s="143" t="str">
        <f t="shared" si="1"/>
        <v>Suspenso</v>
      </c>
      <c r="T150" s="118"/>
      <c r="U150" s="118"/>
      <c r="V150" s="118"/>
      <c r="W150" s="118"/>
      <c r="X150" s="118"/>
      <c r="Y150" s="118"/>
      <c r="Z150" s="118"/>
      <c r="AA150" s="118"/>
      <c r="AB150" s="118"/>
      <c r="AC150" s="118"/>
      <c r="AD150" s="111"/>
      <c r="AE150" s="73"/>
    </row>
    <row r="151" ht="22.5" customHeight="1">
      <c r="A151" s="73"/>
      <c r="B151" s="73"/>
      <c r="C151" s="73"/>
      <c r="D151" s="73"/>
      <c r="E151" s="343"/>
      <c r="F151" s="105"/>
      <c r="G151" s="105"/>
      <c r="H151" s="105"/>
      <c r="I151" s="105"/>
      <c r="J151" s="152"/>
      <c r="K151" s="106"/>
      <c r="L151" s="106"/>
      <c r="M151" s="106"/>
      <c r="N151" s="106"/>
      <c r="O151" s="105"/>
      <c r="P151" s="106"/>
      <c r="Q151" s="108"/>
      <c r="R151" s="109" t="b">
        <v>0</v>
      </c>
      <c r="S151" s="143" t="str">
        <f t="shared" si="1"/>
        <v>Suspenso</v>
      </c>
      <c r="T151" s="118"/>
      <c r="U151" s="118"/>
      <c r="V151" s="118"/>
      <c r="W151" s="118"/>
      <c r="X151" s="118"/>
      <c r="Y151" s="118"/>
      <c r="Z151" s="118"/>
      <c r="AA151" s="118"/>
      <c r="AB151" s="118"/>
      <c r="AC151" s="118"/>
      <c r="AD151" s="111"/>
      <c r="AE151" s="73"/>
      <c r="AF151" s="73"/>
    </row>
    <row r="152" ht="22.5" customHeight="1">
      <c r="A152" s="73"/>
      <c r="B152" s="73"/>
      <c r="C152" s="73"/>
      <c r="D152" s="73"/>
      <c r="E152" s="343"/>
      <c r="F152" s="105"/>
      <c r="G152" s="105"/>
      <c r="H152" s="105"/>
      <c r="I152" s="105"/>
      <c r="J152" s="152"/>
      <c r="K152" s="106"/>
      <c r="L152" s="106"/>
      <c r="M152" s="106"/>
      <c r="N152" s="106"/>
      <c r="O152" s="105"/>
      <c r="P152" s="106"/>
      <c r="Q152" s="108"/>
      <c r="R152" s="109" t="b">
        <v>0</v>
      </c>
      <c r="S152" s="143" t="str">
        <f t="shared" si="1"/>
        <v>Suspenso</v>
      </c>
      <c r="T152" s="118"/>
      <c r="U152" s="118"/>
      <c r="V152" s="118"/>
      <c r="W152" s="118"/>
      <c r="X152" s="118"/>
      <c r="Y152" s="118"/>
      <c r="Z152" s="118"/>
      <c r="AA152" s="118"/>
      <c r="AB152" s="118"/>
      <c r="AC152" s="118"/>
      <c r="AD152" s="111"/>
      <c r="AE152" s="73"/>
      <c r="AF152" s="73"/>
    </row>
    <row r="153" ht="22.5" customHeight="1">
      <c r="A153" s="73"/>
      <c r="B153" s="73"/>
      <c r="C153" s="73"/>
      <c r="D153" s="73"/>
      <c r="E153" s="343"/>
      <c r="F153" s="105"/>
      <c r="G153" s="105"/>
      <c r="H153" s="105"/>
      <c r="I153" s="105"/>
      <c r="J153" s="152"/>
      <c r="K153" s="106"/>
      <c r="L153" s="106"/>
      <c r="M153" s="106"/>
      <c r="N153" s="106"/>
      <c r="O153" s="105"/>
      <c r="P153" s="106"/>
      <c r="Q153" s="108"/>
      <c r="R153" s="109" t="b">
        <v>0</v>
      </c>
      <c r="S153" s="143" t="str">
        <f t="shared" si="1"/>
        <v>Suspenso</v>
      </c>
      <c r="T153" s="118"/>
      <c r="U153" s="118"/>
      <c r="V153" s="118"/>
      <c r="W153" s="118"/>
      <c r="X153" s="118"/>
      <c r="Y153" s="118"/>
      <c r="Z153" s="118"/>
      <c r="AA153" s="118"/>
      <c r="AB153" s="118"/>
      <c r="AC153" s="118"/>
      <c r="AD153" s="111"/>
      <c r="AE153" s="73"/>
      <c r="AF153" s="73"/>
    </row>
    <row r="154" ht="22.5" customHeight="1">
      <c r="A154" s="73"/>
      <c r="B154" s="73"/>
      <c r="C154" s="73"/>
      <c r="D154" s="73"/>
      <c r="E154" s="343"/>
      <c r="F154" s="105"/>
      <c r="G154" s="105"/>
      <c r="H154" s="105"/>
      <c r="I154" s="105"/>
      <c r="J154" s="152"/>
      <c r="K154" s="106"/>
      <c r="L154" s="106"/>
      <c r="M154" s="106"/>
      <c r="N154" s="106"/>
      <c r="O154" s="105"/>
      <c r="P154" s="106"/>
      <c r="Q154" s="108"/>
      <c r="R154" s="109" t="b">
        <v>0</v>
      </c>
      <c r="S154" s="143" t="str">
        <f t="shared" si="1"/>
        <v>Suspenso</v>
      </c>
      <c r="T154" s="118"/>
      <c r="U154" s="118"/>
      <c r="V154" s="118"/>
      <c r="W154" s="118"/>
      <c r="X154" s="118"/>
      <c r="Y154" s="118"/>
      <c r="Z154" s="118"/>
      <c r="AA154" s="118"/>
      <c r="AB154" s="118"/>
      <c r="AC154" s="118"/>
      <c r="AD154" s="111"/>
      <c r="AE154" s="73"/>
      <c r="AF154" s="73"/>
    </row>
    <row r="155" ht="22.5" customHeight="1">
      <c r="A155" s="73"/>
      <c r="B155" s="73"/>
      <c r="C155" s="73"/>
      <c r="D155" s="73"/>
      <c r="E155" s="330"/>
      <c r="F155" s="118"/>
      <c r="G155" s="118"/>
      <c r="H155" s="118"/>
      <c r="I155" s="118"/>
      <c r="J155" s="119"/>
      <c r="K155" s="120"/>
      <c r="L155" s="120"/>
      <c r="M155" s="120"/>
      <c r="N155" s="120"/>
      <c r="O155" s="118"/>
      <c r="P155" s="120"/>
      <c r="Q155" s="121"/>
      <c r="R155" s="109" t="b">
        <v>0</v>
      </c>
      <c r="S155" s="143" t="str">
        <f t="shared" si="1"/>
        <v>Suspenso</v>
      </c>
      <c r="T155" s="118"/>
      <c r="U155" s="118"/>
      <c r="V155" s="118"/>
      <c r="W155" s="118"/>
      <c r="X155" s="118"/>
      <c r="Y155" s="118"/>
      <c r="Z155" s="118"/>
      <c r="AA155" s="118"/>
      <c r="AB155" s="118"/>
      <c r="AC155" s="118"/>
      <c r="AD155" s="111"/>
      <c r="AE155" s="73"/>
      <c r="AF155" s="73"/>
    </row>
    <row r="156" ht="22.5" customHeight="1">
      <c r="A156" s="73"/>
      <c r="B156" s="73"/>
      <c r="C156" s="73"/>
      <c r="D156" s="73"/>
      <c r="E156" s="330"/>
      <c r="F156" s="118"/>
      <c r="G156" s="118"/>
      <c r="H156" s="118"/>
      <c r="I156" s="118"/>
      <c r="J156" s="119"/>
      <c r="K156" s="120"/>
      <c r="L156" s="120"/>
      <c r="M156" s="120"/>
      <c r="N156" s="120"/>
      <c r="O156" s="118"/>
      <c r="P156" s="120"/>
      <c r="Q156" s="121"/>
      <c r="R156" s="109" t="b">
        <v>0</v>
      </c>
      <c r="S156" s="143" t="str">
        <f t="shared" si="1"/>
        <v>Suspenso</v>
      </c>
      <c r="T156" s="118"/>
      <c r="U156" s="118"/>
      <c r="V156" s="118"/>
      <c r="W156" s="118"/>
      <c r="X156" s="118"/>
      <c r="Y156" s="118"/>
      <c r="Z156" s="118"/>
      <c r="AA156" s="118"/>
      <c r="AB156" s="118"/>
      <c r="AC156" s="118"/>
      <c r="AD156" s="111"/>
      <c r="AE156" s="73"/>
      <c r="AF156" s="73"/>
    </row>
    <row r="157" ht="22.5" customHeight="1">
      <c r="A157" s="73"/>
      <c r="B157" s="73"/>
      <c r="C157" s="73"/>
      <c r="D157" s="73"/>
      <c r="E157" s="330"/>
      <c r="F157" s="118"/>
      <c r="G157" s="118"/>
      <c r="H157" s="118"/>
      <c r="I157" s="118"/>
      <c r="J157" s="119"/>
      <c r="K157" s="120"/>
      <c r="L157" s="120"/>
      <c r="M157" s="120"/>
      <c r="N157" s="120"/>
      <c r="O157" s="118"/>
      <c r="P157" s="120"/>
      <c r="Q157" s="121"/>
      <c r="R157" s="109" t="b">
        <v>0</v>
      </c>
      <c r="S157" s="143" t="str">
        <f t="shared" si="1"/>
        <v>Suspenso</v>
      </c>
      <c r="T157" s="118"/>
      <c r="U157" s="118"/>
      <c r="V157" s="118"/>
      <c r="W157" s="118"/>
      <c r="X157" s="118"/>
      <c r="Y157" s="118"/>
      <c r="Z157" s="118"/>
      <c r="AA157" s="118"/>
      <c r="AB157" s="118"/>
      <c r="AC157" s="118"/>
      <c r="AD157" s="111"/>
      <c r="AE157" s="73"/>
      <c r="AF157" s="73"/>
    </row>
    <row r="158" ht="22.5" customHeight="1">
      <c r="A158" s="73"/>
      <c r="B158" s="73"/>
      <c r="C158" s="73"/>
      <c r="D158" s="73"/>
      <c r="E158" s="330"/>
      <c r="F158" s="118"/>
      <c r="G158" s="118"/>
      <c r="H158" s="118"/>
      <c r="I158" s="118"/>
      <c r="J158" s="119"/>
      <c r="K158" s="120"/>
      <c r="L158" s="120"/>
      <c r="M158" s="120"/>
      <c r="N158" s="120"/>
      <c r="O158" s="118"/>
      <c r="P158" s="120"/>
      <c r="Q158" s="121"/>
      <c r="R158" s="109" t="b">
        <v>0</v>
      </c>
      <c r="S158" s="143" t="str">
        <f t="shared" si="1"/>
        <v>Suspenso</v>
      </c>
      <c r="T158" s="118"/>
      <c r="U158" s="118"/>
      <c r="V158" s="118"/>
      <c r="W158" s="118"/>
      <c r="X158" s="118"/>
      <c r="Y158" s="118"/>
      <c r="Z158" s="118"/>
      <c r="AA158" s="118"/>
      <c r="AB158" s="118"/>
      <c r="AC158" s="118"/>
      <c r="AD158" s="111"/>
      <c r="AE158" s="73"/>
      <c r="AF158" s="73"/>
    </row>
    <row r="159" ht="22.5" customHeight="1">
      <c r="A159" s="73"/>
      <c r="B159" s="73"/>
      <c r="C159" s="73"/>
      <c r="D159" s="73"/>
      <c r="E159" s="330"/>
      <c r="F159" s="118"/>
      <c r="G159" s="118"/>
      <c r="H159" s="118"/>
      <c r="I159" s="118"/>
      <c r="J159" s="119"/>
      <c r="K159" s="120"/>
      <c r="L159" s="120"/>
      <c r="M159" s="120"/>
      <c r="N159" s="120"/>
      <c r="O159" s="118"/>
      <c r="P159" s="120"/>
      <c r="Q159" s="121"/>
      <c r="R159" s="109" t="b">
        <v>0</v>
      </c>
      <c r="S159" s="143" t="str">
        <f t="shared" si="1"/>
        <v>Suspenso</v>
      </c>
      <c r="T159" s="118"/>
      <c r="U159" s="118"/>
      <c r="V159" s="118"/>
      <c r="W159" s="118"/>
      <c r="X159" s="118"/>
      <c r="Y159" s="118"/>
      <c r="Z159" s="118"/>
      <c r="AA159" s="118"/>
      <c r="AB159" s="118"/>
      <c r="AC159" s="118"/>
      <c r="AD159" s="111"/>
      <c r="AE159" s="73"/>
      <c r="AF159" s="73"/>
    </row>
    <row r="160" ht="22.5" customHeight="1">
      <c r="A160" s="73"/>
      <c r="B160" s="73"/>
      <c r="C160" s="73"/>
      <c r="D160" s="73"/>
      <c r="E160" s="330"/>
      <c r="F160" s="118"/>
      <c r="G160" s="118"/>
      <c r="H160" s="118"/>
      <c r="I160" s="118"/>
      <c r="J160" s="119"/>
      <c r="K160" s="120"/>
      <c r="L160" s="120"/>
      <c r="M160" s="120"/>
      <c r="N160" s="120"/>
      <c r="O160" s="118"/>
      <c r="P160" s="120"/>
      <c r="Q160" s="121"/>
      <c r="R160" s="109" t="b">
        <v>0</v>
      </c>
      <c r="S160" s="143" t="str">
        <f t="shared" si="1"/>
        <v>Suspenso</v>
      </c>
      <c r="T160" s="118"/>
      <c r="U160" s="118"/>
      <c r="V160" s="118"/>
      <c r="W160" s="118"/>
      <c r="X160" s="118"/>
      <c r="Y160" s="118"/>
      <c r="Z160" s="118"/>
      <c r="AA160" s="118"/>
      <c r="AB160" s="118"/>
      <c r="AC160" s="118"/>
      <c r="AD160" s="111"/>
      <c r="AE160" s="73"/>
      <c r="AF160" s="73"/>
    </row>
    <row r="161" ht="22.5" customHeight="1">
      <c r="A161" s="73"/>
      <c r="B161" s="73"/>
      <c r="C161" s="73"/>
      <c r="D161" s="73"/>
      <c r="E161" s="330"/>
      <c r="F161" s="118"/>
      <c r="G161" s="118"/>
      <c r="H161" s="118"/>
      <c r="I161" s="118"/>
      <c r="J161" s="119"/>
      <c r="K161" s="120"/>
      <c r="L161" s="120"/>
      <c r="M161" s="120"/>
      <c r="N161" s="120"/>
      <c r="O161" s="118"/>
      <c r="P161" s="120"/>
      <c r="Q161" s="121"/>
      <c r="R161" s="109" t="b">
        <v>0</v>
      </c>
      <c r="S161" s="143" t="str">
        <f t="shared" si="1"/>
        <v>Suspenso</v>
      </c>
      <c r="T161" s="118"/>
      <c r="U161" s="118"/>
      <c r="V161" s="118"/>
      <c r="W161" s="118"/>
      <c r="X161" s="118"/>
      <c r="Y161" s="118"/>
      <c r="Z161" s="118"/>
      <c r="AA161" s="118"/>
      <c r="AB161" s="118"/>
      <c r="AC161" s="118"/>
      <c r="AD161" s="111"/>
      <c r="AE161" s="73"/>
      <c r="AF161" s="73"/>
    </row>
    <row r="162" ht="22.5" customHeight="1">
      <c r="A162" s="73"/>
      <c r="B162" s="73"/>
      <c r="C162" s="73"/>
      <c r="D162" s="73"/>
      <c r="E162" s="330"/>
      <c r="F162" s="118"/>
      <c r="G162" s="118"/>
      <c r="H162" s="118"/>
      <c r="I162" s="118"/>
      <c r="J162" s="119"/>
      <c r="K162" s="120"/>
      <c r="L162" s="120"/>
      <c r="M162" s="120"/>
      <c r="N162" s="120"/>
      <c r="O162" s="118"/>
      <c r="P162" s="120"/>
      <c r="Q162" s="121"/>
      <c r="R162" s="109" t="b">
        <v>0</v>
      </c>
      <c r="S162" s="143" t="str">
        <f t="shared" si="1"/>
        <v>Suspenso</v>
      </c>
      <c r="T162" s="118"/>
      <c r="U162" s="118"/>
      <c r="V162" s="118"/>
      <c r="W162" s="118"/>
      <c r="X162" s="118"/>
      <c r="Y162" s="118"/>
      <c r="Z162" s="118"/>
      <c r="AA162" s="118"/>
      <c r="AB162" s="118"/>
      <c r="AC162" s="118"/>
      <c r="AD162" s="111"/>
      <c r="AE162" s="73"/>
      <c r="AF162" s="73"/>
    </row>
    <row r="163" ht="22.5" customHeight="1">
      <c r="A163" s="73"/>
      <c r="B163" s="73"/>
      <c r="C163" s="73"/>
      <c r="D163" s="73"/>
      <c r="E163" s="330"/>
      <c r="F163" s="118"/>
      <c r="G163" s="118"/>
      <c r="H163" s="118"/>
      <c r="I163" s="118"/>
      <c r="J163" s="119"/>
      <c r="K163" s="120"/>
      <c r="L163" s="120"/>
      <c r="M163" s="120"/>
      <c r="N163" s="120"/>
      <c r="O163" s="118"/>
      <c r="P163" s="120"/>
      <c r="Q163" s="121"/>
      <c r="R163" s="109" t="b">
        <v>0</v>
      </c>
      <c r="S163" s="143" t="str">
        <f t="shared" si="1"/>
        <v>Suspenso</v>
      </c>
      <c r="T163" s="118"/>
      <c r="U163" s="118"/>
      <c r="V163" s="118"/>
      <c r="W163" s="118"/>
      <c r="X163" s="118"/>
      <c r="Y163" s="118"/>
      <c r="Z163" s="118"/>
      <c r="AA163" s="118"/>
      <c r="AB163" s="118"/>
      <c r="AC163" s="118"/>
      <c r="AD163" s="111"/>
      <c r="AE163" s="73"/>
      <c r="AF163" s="73"/>
    </row>
    <row r="164" ht="22.5" customHeight="1">
      <c r="A164" s="73"/>
      <c r="B164" s="73"/>
      <c r="C164" s="73"/>
      <c r="D164" s="73"/>
      <c r="E164" s="330"/>
      <c r="F164" s="118"/>
      <c r="G164" s="118"/>
      <c r="H164" s="118"/>
      <c r="I164" s="118"/>
      <c r="J164" s="119"/>
      <c r="K164" s="120"/>
      <c r="L164" s="120"/>
      <c r="M164" s="120"/>
      <c r="N164" s="120"/>
      <c r="O164" s="118"/>
      <c r="P164" s="120"/>
      <c r="Q164" s="121"/>
      <c r="R164" s="109" t="b">
        <v>0</v>
      </c>
      <c r="S164" s="143" t="str">
        <f t="shared" si="1"/>
        <v>Suspenso</v>
      </c>
      <c r="T164" s="118"/>
      <c r="U164" s="118"/>
      <c r="V164" s="118"/>
      <c r="W164" s="118"/>
      <c r="X164" s="118"/>
      <c r="Y164" s="118"/>
      <c r="Z164" s="118"/>
      <c r="AA164" s="118"/>
      <c r="AB164" s="118"/>
      <c r="AC164" s="118"/>
      <c r="AD164" s="111"/>
      <c r="AE164" s="73"/>
      <c r="AF164" s="73"/>
    </row>
    <row r="165" ht="22.5" customHeight="1">
      <c r="A165" s="73"/>
      <c r="B165" s="73"/>
      <c r="C165" s="73"/>
      <c r="D165" s="73"/>
      <c r="E165" s="330"/>
      <c r="F165" s="118"/>
      <c r="G165" s="118"/>
      <c r="H165" s="118"/>
      <c r="I165" s="118"/>
      <c r="J165" s="119"/>
      <c r="K165" s="120"/>
      <c r="L165" s="120"/>
      <c r="M165" s="120"/>
      <c r="N165" s="120"/>
      <c r="O165" s="118"/>
      <c r="P165" s="120"/>
      <c r="Q165" s="121"/>
      <c r="R165" s="109" t="b">
        <v>0</v>
      </c>
      <c r="S165" s="143" t="str">
        <f t="shared" si="1"/>
        <v>Suspenso</v>
      </c>
      <c r="T165" s="118"/>
      <c r="U165" s="118"/>
      <c r="V165" s="118"/>
      <c r="W165" s="118"/>
      <c r="X165" s="118"/>
      <c r="Y165" s="118"/>
      <c r="Z165" s="118"/>
      <c r="AA165" s="118"/>
      <c r="AB165" s="118"/>
      <c r="AC165" s="118"/>
      <c r="AD165" s="111"/>
      <c r="AE165" s="73"/>
      <c r="AF165" s="73"/>
    </row>
    <row r="166" ht="22.5" customHeight="1">
      <c r="A166" s="73"/>
      <c r="B166" s="73"/>
      <c r="C166" s="73"/>
      <c r="D166" s="73"/>
      <c r="E166" s="330"/>
      <c r="F166" s="118"/>
      <c r="G166" s="118"/>
      <c r="H166" s="118"/>
      <c r="I166" s="118"/>
      <c r="J166" s="119"/>
      <c r="K166" s="120"/>
      <c r="L166" s="120"/>
      <c r="M166" s="120"/>
      <c r="N166" s="120"/>
      <c r="O166" s="118"/>
      <c r="P166" s="120"/>
      <c r="Q166" s="121"/>
      <c r="R166" s="109" t="b">
        <v>0</v>
      </c>
      <c r="S166" s="143" t="str">
        <f t="shared" si="1"/>
        <v>Suspenso</v>
      </c>
      <c r="T166" s="118"/>
      <c r="U166" s="118"/>
      <c r="V166" s="118"/>
      <c r="W166" s="118"/>
      <c r="X166" s="118"/>
      <c r="Y166" s="118"/>
      <c r="Z166" s="118"/>
      <c r="AA166" s="118"/>
      <c r="AB166" s="118"/>
      <c r="AC166" s="118"/>
      <c r="AD166" s="111"/>
      <c r="AE166" s="73"/>
      <c r="AF166" s="73"/>
    </row>
    <row r="167" ht="22.5" customHeight="1">
      <c r="A167" s="73"/>
      <c r="B167" s="73"/>
      <c r="C167" s="73"/>
      <c r="D167" s="73"/>
      <c r="E167" s="330"/>
      <c r="F167" s="118"/>
      <c r="G167" s="118"/>
      <c r="H167" s="118"/>
      <c r="I167" s="118"/>
      <c r="J167" s="119"/>
      <c r="K167" s="120"/>
      <c r="L167" s="120"/>
      <c r="M167" s="120"/>
      <c r="N167" s="120"/>
      <c r="O167" s="118"/>
      <c r="P167" s="120"/>
      <c r="Q167" s="121"/>
      <c r="R167" s="109" t="b">
        <v>0</v>
      </c>
      <c r="S167" s="143" t="str">
        <f t="shared" si="1"/>
        <v>Suspenso</v>
      </c>
      <c r="T167" s="118"/>
      <c r="U167" s="118"/>
      <c r="V167" s="118"/>
      <c r="W167" s="118"/>
      <c r="X167" s="118"/>
      <c r="Y167" s="118"/>
      <c r="Z167" s="118"/>
      <c r="AA167" s="118"/>
      <c r="AB167" s="118"/>
      <c r="AC167" s="118"/>
      <c r="AD167" s="111"/>
      <c r="AE167" s="73"/>
      <c r="AF167" s="73"/>
    </row>
    <row r="168" ht="22.5" customHeight="1">
      <c r="A168" s="73"/>
      <c r="B168" s="73"/>
      <c r="C168" s="73"/>
      <c r="D168" s="73"/>
      <c r="E168" s="330"/>
      <c r="F168" s="118"/>
      <c r="G168" s="118"/>
      <c r="H168" s="118"/>
      <c r="I168" s="118"/>
      <c r="J168" s="119"/>
      <c r="K168" s="120"/>
      <c r="L168" s="120"/>
      <c r="M168" s="120"/>
      <c r="N168" s="120"/>
      <c r="O168" s="118"/>
      <c r="P168" s="120"/>
      <c r="Q168" s="121"/>
      <c r="R168" s="109" t="b">
        <v>0</v>
      </c>
      <c r="S168" s="143" t="str">
        <f t="shared" si="1"/>
        <v>Suspenso</v>
      </c>
      <c r="T168" s="118"/>
      <c r="U168" s="118"/>
      <c r="V168" s="118"/>
      <c r="W168" s="118"/>
      <c r="X168" s="118"/>
      <c r="Y168" s="118"/>
      <c r="Z168" s="118"/>
      <c r="AA168" s="118"/>
      <c r="AB168" s="118"/>
      <c r="AC168" s="118"/>
      <c r="AD168" s="111"/>
      <c r="AE168" s="73"/>
      <c r="AF168" s="73"/>
    </row>
    <row r="169" ht="22.5" customHeight="1">
      <c r="A169" s="73"/>
      <c r="B169" s="73"/>
      <c r="C169" s="73"/>
      <c r="D169" s="73"/>
      <c r="E169" s="330"/>
      <c r="F169" s="118"/>
      <c r="G169" s="118"/>
      <c r="H169" s="118"/>
      <c r="I169" s="118"/>
      <c r="J169" s="119"/>
      <c r="K169" s="120"/>
      <c r="L169" s="120"/>
      <c r="M169" s="120"/>
      <c r="N169" s="120"/>
      <c r="O169" s="118"/>
      <c r="P169" s="120"/>
      <c r="Q169" s="121"/>
      <c r="R169" s="109" t="b">
        <v>0</v>
      </c>
      <c r="S169" s="143" t="str">
        <f t="shared" si="1"/>
        <v>Suspenso</v>
      </c>
      <c r="T169" s="118"/>
      <c r="U169" s="118"/>
      <c r="V169" s="118"/>
      <c r="W169" s="118"/>
      <c r="X169" s="118"/>
      <c r="Y169" s="118"/>
      <c r="Z169" s="118"/>
      <c r="AA169" s="118"/>
      <c r="AB169" s="118"/>
      <c r="AC169" s="118"/>
      <c r="AD169" s="111"/>
      <c r="AE169" s="73"/>
      <c r="AF169" s="73"/>
    </row>
    <row r="170" ht="22.5" customHeight="1">
      <c r="A170" s="73"/>
      <c r="B170" s="73"/>
      <c r="C170" s="73"/>
      <c r="D170" s="73"/>
      <c r="E170" s="330"/>
      <c r="F170" s="118"/>
      <c r="G170" s="118"/>
      <c r="H170" s="118"/>
      <c r="I170" s="118"/>
      <c r="J170" s="119"/>
      <c r="K170" s="120"/>
      <c r="L170" s="120"/>
      <c r="M170" s="120"/>
      <c r="N170" s="120"/>
      <c r="O170" s="118"/>
      <c r="P170" s="120"/>
      <c r="Q170" s="121"/>
      <c r="R170" s="109" t="b">
        <v>0</v>
      </c>
      <c r="S170" s="143" t="str">
        <f t="shared" si="1"/>
        <v>Suspenso</v>
      </c>
      <c r="T170" s="118"/>
      <c r="U170" s="118"/>
      <c r="V170" s="118"/>
      <c r="W170" s="118"/>
      <c r="X170" s="118"/>
      <c r="Y170" s="118"/>
      <c r="Z170" s="118"/>
      <c r="AA170" s="118"/>
      <c r="AB170" s="118"/>
      <c r="AC170" s="118"/>
      <c r="AD170" s="111"/>
      <c r="AE170" s="73"/>
      <c r="AF170" s="73"/>
    </row>
    <row r="171" ht="22.5" customHeight="1">
      <c r="A171" s="73"/>
      <c r="B171" s="73"/>
      <c r="C171" s="73"/>
      <c r="D171" s="73"/>
      <c r="E171" s="330"/>
      <c r="F171" s="118"/>
      <c r="G171" s="118"/>
      <c r="H171" s="118"/>
      <c r="I171" s="118"/>
      <c r="J171" s="119"/>
      <c r="K171" s="120"/>
      <c r="L171" s="120"/>
      <c r="M171" s="120"/>
      <c r="N171" s="120"/>
      <c r="O171" s="118"/>
      <c r="P171" s="120"/>
      <c r="Q171" s="121"/>
      <c r="R171" s="109" t="b">
        <v>0</v>
      </c>
      <c r="S171" s="143" t="str">
        <f t="shared" si="1"/>
        <v>Suspenso</v>
      </c>
      <c r="T171" s="118"/>
      <c r="U171" s="118"/>
      <c r="V171" s="118"/>
      <c r="W171" s="118"/>
      <c r="X171" s="118"/>
      <c r="Y171" s="118"/>
      <c r="Z171" s="118"/>
      <c r="AA171" s="118"/>
      <c r="AB171" s="118"/>
      <c r="AC171" s="118"/>
      <c r="AD171" s="111"/>
      <c r="AE171" s="73"/>
      <c r="AF171" s="73"/>
    </row>
    <row r="172" ht="22.5" customHeight="1">
      <c r="A172" s="73"/>
      <c r="B172" s="73"/>
      <c r="C172" s="73"/>
      <c r="D172" s="73"/>
      <c r="E172" s="330"/>
      <c r="F172" s="118"/>
      <c r="G172" s="118"/>
      <c r="H172" s="118"/>
      <c r="I172" s="118"/>
      <c r="J172" s="119"/>
      <c r="K172" s="120"/>
      <c r="L172" s="120"/>
      <c r="M172" s="120"/>
      <c r="N172" s="120"/>
      <c r="O172" s="118"/>
      <c r="P172" s="120"/>
      <c r="Q172" s="121"/>
      <c r="R172" s="109" t="b">
        <v>0</v>
      </c>
      <c r="S172" s="143" t="str">
        <f t="shared" si="1"/>
        <v>Suspenso</v>
      </c>
      <c r="T172" s="118"/>
      <c r="U172" s="118"/>
      <c r="V172" s="118"/>
      <c r="W172" s="118"/>
      <c r="X172" s="118"/>
      <c r="Y172" s="118"/>
      <c r="Z172" s="118"/>
      <c r="AA172" s="118"/>
      <c r="AB172" s="118"/>
      <c r="AC172" s="118"/>
      <c r="AD172" s="111"/>
      <c r="AE172" s="73"/>
      <c r="AF172" s="73"/>
    </row>
    <row r="173" ht="22.5" customHeight="1">
      <c r="A173" s="73"/>
      <c r="B173" s="73"/>
      <c r="C173" s="73"/>
      <c r="D173" s="73"/>
      <c r="E173" s="330"/>
      <c r="F173" s="118"/>
      <c r="G173" s="118"/>
      <c r="H173" s="118"/>
      <c r="I173" s="118"/>
      <c r="J173" s="119"/>
      <c r="K173" s="120"/>
      <c r="L173" s="120"/>
      <c r="M173" s="120"/>
      <c r="N173" s="120"/>
      <c r="O173" s="118"/>
      <c r="P173" s="120"/>
      <c r="Q173" s="121"/>
      <c r="R173" s="109" t="b">
        <v>0</v>
      </c>
      <c r="S173" s="143" t="str">
        <f t="shared" si="1"/>
        <v>Suspenso</v>
      </c>
      <c r="T173" s="118"/>
      <c r="U173" s="118"/>
      <c r="V173" s="118"/>
      <c r="W173" s="118"/>
      <c r="X173" s="118"/>
      <c r="Y173" s="118"/>
      <c r="Z173" s="118"/>
      <c r="AA173" s="118"/>
      <c r="AB173" s="118"/>
      <c r="AC173" s="118"/>
      <c r="AD173" s="111"/>
      <c r="AE173" s="73"/>
      <c r="AF173" s="73"/>
    </row>
    <row r="174" ht="22.5" customHeight="1">
      <c r="A174" s="73"/>
      <c r="B174" s="73"/>
      <c r="C174" s="73"/>
      <c r="D174" s="73"/>
      <c r="E174" s="330"/>
      <c r="F174" s="118"/>
      <c r="G174" s="118"/>
      <c r="H174" s="118"/>
      <c r="I174" s="118"/>
      <c r="J174" s="119"/>
      <c r="K174" s="120"/>
      <c r="L174" s="120"/>
      <c r="M174" s="120"/>
      <c r="N174" s="120"/>
      <c r="O174" s="118"/>
      <c r="P174" s="120"/>
      <c r="Q174" s="121"/>
      <c r="R174" s="109" t="b">
        <v>0</v>
      </c>
      <c r="S174" s="143" t="str">
        <f t="shared" si="1"/>
        <v>Suspenso</v>
      </c>
      <c r="T174" s="118"/>
      <c r="U174" s="118"/>
      <c r="V174" s="118"/>
      <c r="W174" s="118"/>
      <c r="X174" s="118"/>
      <c r="Y174" s="118"/>
      <c r="Z174" s="118"/>
      <c r="AA174" s="118"/>
      <c r="AB174" s="118"/>
      <c r="AC174" s="118"/>
      <c r="AD174" s="111"/>
      <c r="AE174" s="73"/>
      <c r="AF174" s="73"/>
    </row>
    <row r="175" ht="22.5" customHeight="1">
      <c r="A175" s="73"/>
      <c r="B175" s="73"/>
      <c r="C175" s="73"/>
      <c r="D175" s="73"/>
      <c r="E175" s="330"/>
      <c r="F175" s="118"/>
      <c r="G175" s="118"/>
      <c r="H175" s="118"/>
      <c r="I175" s="118"/>
      <c r="J175" s="119"/>
      <c r="K175" s="120"/>
      <c r="L175" s="120"/>
      <c r="M175" s="120"/>
      <c r="N175" s="120"/>
      <c r="O175" s="118"/>
      <c r="P175" s="120"/>
      <c r="Q175" s="121"/>
      <c r="R175" s="109" t="b">
        <v>0</v>
      </c>
      <c r="S175" s="143" t="str">
        <f t="shared" si="1"/>
        <v>Suspenso</v>
      </c>
      <c r="T175" s="118"/>
      <c r="U175" s="118"/>
      <c r="V175" s="118"/>
      <c r="W175" s="118"/>
      <c r="X175" s="118"/>
      <c r="Y175" s="118"/>
      <c r="Z175" s="118"/>
      <c r="AA175" s="118"/>
      <c r="AB175" s="118"/>
      <c r="AC175" s="118"/>
      <c r="AD175" s="111"/>
      <c r="AE175" s="73"/>
      <c r="AF175" s="73"/>
    </row>
    <row r="176" ht="22.5" customHeight="1">
      <c r="A176" s="73"/>
      <c r="B176" s="73"/>
      <c r="C176" s="73"/>
      <c r="D176" s="73"/>
      <c r="E176" s="330"/>
      <c r="F176" s="118"/>
      <c r="G176" s="118"/>
      <c r="H176" s="118"/>
      <c r="I176" s="118"/>
      <c r="J176" s="119"/>
      <c r="K176" s="120"/>
      <c r="L176" s="120"/>
      <c r="M176" s="120"/>
      <c r="N176" s="120"/>
      <c r="O176" s="118"/>
      <c r="P176" s="120"/>
      <c r="Q176" s="121"/>
      <c r="R176" s="109" t="b">
        <v>0</v>
      </c>
      <c r="S176" s="143" t="str">
        <f t="shared" si="1"/>
        <v>Suspenso</v>
      </c>
      <c r="T176" s="118"/>
      <c r="U176" s="118"/>
      <c r="V176" s="118"/>
      <c r="W176" s="118"/>
      <c r="X176" s="118"/>
      <c r="Y176" s="118"/>
      <c r="Z176" s="118"/>
      <c r="AA176" s="118"/>
      <c r="AB176" s="118"/>
      <c r="AC176" s="118"/>
      <c r="AD176" s="111"/>
      <c r="AE176" s="73"/>
      <c r="AF176" s="73"/>
    </row>
    <row r="177" ht="22.5" customHeight="1">
      <c r="A177" s="73"/>
      <c r="B177" s="73"/>
      <c r="C177" s="73"/>
      <c r="D177" s="73"/>
      <c r="E177" s="330"/>
      <c r="F177" s="118"/>
      <c r="G177" s="118"/>
      <c r="H177" s="118"/>
      <c r="I177" s="118"/>
      <c r="J177" s="119"/>
      <c r="K177" s="120"/>
      <c r="L177" s="120"/>
      <c r="M177" s="120"/>
      <c r="N177" s="120"/>
      <c r="O177" s="118"/>
      <c r="P177" s="120"/>
      <c r="Q177" s="121"/>
      <c r="R177" s="109" t="b">
        <v>0</v>
      </c>
      <c r="S177" s="143" t="str">
        <f t="shared" si="1"/>
        <v>Suspenso</v>
      </c>
      <c r="T177" s="118"/>
      <c r="U177" s="118"/>
      <c r="V177" s="118"/>
      <c r="W177" s="118"/>
      <c r="X177" s="118"/>
      <c r="Y177" s="118"/>
      <c r="Z177" s="118"/>
      <c r="AA177" s="118"/>
      <c r="AB177" s="118"/>
      <c r="AC177" s="118"/>
      <c r="AD177" s="111"/>
      <c r="AE177" s="73"/>
      <c r="AF177" s="73"/>
    </row>
    <row r="178" ht="22.5" customHeight="1">
      <c r="A178" s="73"/>
      <c r="B178" s="73"/>
      <c r="C178" s="73"/>
      <c r="D178" s="73"/>
      <c r="E178" s="330"/>
      <c r="F178" s="118"/>
      <c r="G178" s="118"/>
      <c r="H178" s="118"/>
      <c r="I178" s="118"/>
      <c r="J178" s="119"/>
      <c r="K178" s="120"/>
      <c r="L178" s="120"/>
      <c r="M178" s="120"/>
      <c r="N178" s="120"/>
      <c r="O178" s="118"/>
      <c r="P178" s="120"/>
      <c r="Q178" s="121"/>
      <c r="R178" s="109" t="b">
        <v>0</v>
      </c>
      <c r="S178" s="143" t="str">
        <f t="shared" si="1"/>
        <v>Suspenso</v>
      </c>
      <c r="T178" s="118"/>
      <c r="U178" s="118"/>
      <c r="V178" s="118"/>
      <c r="W178" s="118"/>
      <c r="X178" s="118"/>
      <c r="Y178" s="118"/>
      <c r="Z178" s="118"/>
      <c r="AA178" s="118"/>
      <c r="AB178" s="118"/>
      <c r="AC178" s="118"/>
      <c r="AD178" s="111"/>
      <c r="AE178" s="73"/>
      <c r="AF178" s="73"/>
    </row>
    <row r="179" ht="22.5" customHeight="1">
      <c r="A179" s="73"/>
      <c r="B179" s="73"/>
      <c r="C179" s="73"/>
      <c r="D179" s="73"/>
      <c r="E179" s="330"/>
      <c r="F179" s="118"/>
      <c r="G179" s="118"/>
      <c r="H179" s="118"/>
      <c r="I179" s="118"/>
      <c r="J179" s="119"/>
      <c r="K179" s="120"/>
      <c r="L179" s="120"/>
      <c r="M179" s="120"/>
      <c r="N179" s="120"/>
      <c r="O179" s="118"/>
      <c r="P179" s="120"/>
      <c r="Q179" s="121"/>
      <c r="R179" s="109" t="b">
        <v>0</v>
      </c>
      <c r="S179" s="143" t="str">
        <f t="shared" si="1"/>
        <v>Suspenso</v>
      </c>
      <c r="T179" s="118"/>
      <c r="U179" s="118"/>
      <c r="V179" s="118"/>
      <c r="W179" s="118"/>
      <c r="X179" s="118"/>
      <c r="Y179" s="118"/>
      <c r="Z179" s="118"/>
      <c r="AA179" s="118"/>
      <c r="AB179" s="118"/>
      <c r="AC179" s="118"/>
      <c r="AD179" s="111"/>
      <c r="AE179" s="73"/>
      <c r="AF179" s="73"/>
    </row>
    <row r="180" ht="22.5" customHeight="1">
      <c r="A180" s="73"/>
      <c r="B180" s="73"/>
      <c r="C180" s="73"/>
      <c r="D180" s="73"/>
      <c r="E180" s="330"/>
      <c r="F180" s="118"/>
      <c r="G180" s="118"/>
      <c r="H180" s="118"/>
      <c r="I180" s="118"/>
      <c r="J180" s="119"/>
      <c r="K180" s="120"/>
      <c r="L180" s="120"/>
      <c r="M180" s="120"/>
      <c r="N180" s="120"/>
      <c r="O180" s="118"/>
      <c r="P180" s="120"/>
      <c r="Q180" s="121"/>
      <c r="R180" s="109" t="b">
        <v>0</v>
      </c>
      <c r="S180" s="143" t="str">
        <f t="shared" si="1"/>
        <v>Suspenso</v>
      </c>
      <c r="T180" s="118"/>
      <c r="U180" s="118"/>
      <c r="V180" s="118"/>
      <c r="W180" s="118"/>
      <c r="X180" s="118"/>
      <c r="Y180" s="118"/>
      <c r="Z180" s="118"/>
      <c r="AA180" s="118"/>
      <c r="AB180" s="118"/>
      <c r="AC180" s="118"/>
      <c r="AD180" s="111"/>
      <c r="AE180" s="73"/>
      <c r="AF180" s="73"/>
    </row>
    <row r="181" ht="22.5" customHeight="1">
      <c r="A181" s="73"/>
      <c r="B181" s="73"/>
      <c r="C181" s="73"/>
      <c r="D181" s="73"/>
      <c r="E181" s="330"/>
      <c r="F181" s="118"/>
      <c r="G181" s="118"/>
      <c r="H181" s="118"/>
      <c r="I181" s="118"/>
      <c r="J181" s="119"/>
      <c r="K181" s="120"/>
      <c r="L181" s="120"/>
      <c r="M181" s="120"/>
      <c r="N181" s="120"/>
      <c r="O181" s="118"/>
      <c r="P181" s="120"/>
      <c r="Q181" s="121"/>
      <c r="R181" s="109" t="b">
        <v>0</v>
      </c>
      <c r="S181" s="143" t="str">
        <f t="shared" si="1"/>
        <v>Suspenso</v>
      </c>
      <c r="T181" s="118"/>
      <c r="U181" s="118"/>
      <c r="V181" s="118"/>
      <c r="W181" s="118"/>
      <c r="X181" s="118"/>
      <c r="Y181" s="118"/>
      <c r="Z181" s="118"/>
      <c r="AA181" s="118"/>
      <c r="AB181" s="118"/>
      <c r="AC181" s="118"/>
      <c r="AD181" s="111"/>
      <c r="AE181" s="73"/>
      <c r="AF181" s="73"/>
    </row>
    <row r="182" ht="22.5" customHeight="1">
      <c r="A182" s="73"/>
      <c r="B182" s="73"/>
      <c r="C182" s="73"/>
      <c r="D182" s="73"/>
      <c r="E182" s="330"/>
      <c r="F182" s="118"/>
      <c r="G182" s="118"/>
      <c r="H182" s="118"/>
      <c r="I182" s="118"/>
      <c r="J182" s="119"/>
      <c r="K182" s="120"/>
      <c r="L182" s="120"/>
      <c r="M182" s="120"/>
      <c r="N182" s="120"/>
      <c r="O182" s="118"/>
      <c r="P182" s="120"/>
      <c r="Q182" s="121"/>
      <c r="R182" s="109" t="b">
        <v>0</v>
      </c>
      <c r="S182" s="143" t="str">
        <f t="shared" si="1"/>
        <v>Suspenso</v>
      </c>
      <c r="T182" s="118"/>
      <c r="U182" s="118"/>
      <c r="V182" s="118"/>
      <c r="W182" s="118"/>
      <c r="X182" s="118"/>
      <c r="Y182" s="118"/>
      <c r="Z182" s="118"/>
      <c r="AA182" s="118"/>
      <c r="AB182" s="118"/>
      <c r="AC182" s="118"/>
      <c r="AD182" s="111"/>
      <c r="AE182" s="73"/>
      <c r="AF182" s="73"/>
    </row>
    <row r="183" ht="22.5" customHeight="1">
      <c r="A183" s="73"/>
      <c r="B183" s="73"/>
      <c r="C183" s="73"/>
      <c r="D183" s="73"/>
      <c r="E183" s="330"/>
      <c r="F183" s="118"/>
      <c r="G183" s="118"/>
      <c r="H183" s="118"/>
      <c r="I183" s="118"/>
      <c r="J183" s="119"/>
      <c r="K183" s="120"/>
      <c r="L183" s="120"/>
      <c r="M183" s="120"/>
      <c r="N183" s="120"/>
      <c r="O183" s="118"/>
      <c r="P183" s="120"/>
      <c r="Q183" s="121"/>
      <c r="R183" s="109" t="b">
        <v>0</v>
      </c>
      <c r="S183" s="143" t="str">
        <f t="shared" si="1"/>
        <v>Suspenso</v>
      </c>
      <c r="T183" s="118"/>
      <c r="U183" s="118"/>
      <c r="V183" s="118"/>
      <c r="W183" s="118"/>
      <c r="X183" s="118"/>
      <c r="Y183" s="118"/>
      <c r="Z183" s="118"/>
      <c r="AA183" s="118"/>
      <c r="AB183" s="118"/>
      <c r="AC183" s="118"/>
      <c r="AD183" s="111"/>
      <c r="AE183" s="73"/>
      <c r="AF183" s="73"/>
    </row>
    <row r="184" ht="22.5" customHeight="1">
      <c r="A184" s="73"/>
      <c r="B184" s="73"/>
      <c r="C184" s="73"/>
      <c r="D184" s="73"/>
      <c r="E184" s="330"/>
      <c r="F184" s="118"/>
      <c r="G184" s="118"/>
      <c r="H184" s="118"/>
      <c r="I184" s="118"/>
      <c r="J184" s="119"/>
      <c r="K184" s="120"/>
      <c r="L184" s="120"/>
      <c r="M184" s="120"/>
      <c r="N184" s="120"/>
      <c r="O184" s="118"/>
      <c r="P184" s="120"/>
      <c r="Q184" s="121"/>
      <c r="R184" s="109" t="b">
        <v>0</v>
      </c>
      <c r="S184" s="143" t="str">
        <f t="shared" si="1"/>
        <v>Suspenso</v>
      </c>
      <c r="T184" s="118"/>
      <c r="U184" s="118"/>
      <c r="V184" s="118"/>
      <c r="W184" s="118"/>
      <c r="X184" s="118"/>
      <c r="Y184" s="118"/>
      <c r="Z184" s="118"/>
      <c r="AA184" s="118"/>
      <c r="AB184" s="118"/>
      <c r="AC184" s="118"/>
      <c r="AD184" s="111"/>
      <c r="AE184" s="73"/>
      <c r="AF184" s="73"/>
    </row>
    <row r="185" ht="22.5" customHeight="1">
      <c r="A185" s="73"/>
      <c r="B185" s="73"/>
      <c r="C185" s="73"/>
      <c r="D185" s="73"/>
      <c r="E185" s="330"/>
      <c r="F185" s="118"/>
      <c r="G185" s="118"/>
      <c r="H185" s="118"/>
      <c r="I185" s="118"/>
      <c r="J185" s="119"/>
      <c r="K185" s="120"/>
      <c r="L185" s="120"/>
      <c r="M185" s="120"/>
      <c r="N185" s="120"/>
      <c r="O185" s="118"/>
      <c r="P185" s="120"/>
      <c r="Q185" s="121"/>
      <c r="R185" s="109" t="b">
        <v>0</v>
      </c>
      <c r="S185" s="143" t="str">
        <f t="shared" si="1"/>
        <v>Suspenso</v>
      </c>
      <c r="T185" s="118"/>
      <c r="U185" s="118"/>
      <c r="V185" s="118"/>
      <c r="W185" s="118"/>
      <c r="X185" s="118"/>
      <c r="Y185" s="118"/>
      <c r="Z185" s="118"/>
      <c r="AA185" s="118"/>
      <c r="AB185" s="118"/>
      <c r="AC185" s="118"/>
      <c r="AD185" s="111"/>
      <c r="AE185" s="73"/>
      <c r="AF185" s="73"/>
    </row>
    <row r="186" ht="22.5" customHeight="1">
      <c r="A186" s="73"/>
      <c r="B186" s="73"/>
      <c r="C186" s="73"/>
      <c r="D186" s="73"/>
      <c r="E186" s="330"/>
      <c r="F186" s="118"/>
      <c r="G186" s="118"/>
      <c r="H186" s="118"/>
      <c r="I186" s="118"/>
      <c r="J186" s="119"/>
      <c r="K186" s="120"/>
      <c r="L186" s="120"/>
      <c r="M186" s="120"/>
      <c r="N186" s="120"/>
      <c r="O186" s="118"/>
      <c r="P186" s="120"/>
      <c r="Q186" s="121"/>
      <c r="R186" s="109" t="b">
        <v>0</v>
      </c>
      <c r="S186" s="143" t="str">
        <f t="shared" si="1"/>
        <v>Suspenso</v>
      </c>
      <c r="T186" s="118"/>
      <c r="U186" s="118"/>
      <c r="V186" s="118"/>
      <c r="W186" s="118"/>
      <c r="X186" s="118"/>
      <c r="Y186" s="118"/>
      <c r="Z186" s="118"/>
      <c r="AA186" s="118"/>
      <c r="AB186" s="118"/>
      <c r="AC186" s="118"/>
      <c r="AD186" s="111"/>
      <c r="AE186" s="73"/>
      <c r="AF186" s="73"/>
    </row>
    <row r="187" ht="22.5" customHeight="1">
      <c r="A187" s="73"/>
      <c r="B187" s="73"/>
      <c r="C187" s="73"/>
      <c r="D187" s="73"/>
      <c r="E187" s="330"/>
      <c r="F187" s="118"/>
      <c r="G187" s="118"/>
      <c r="H187" s="118"/>
      <c r="I187" s="118"/>
      <c r="J187" s="119"/>
      <c r="K187" s="120"/>
      <c r="L187" s="120"/>
      <c r="M187" s="120"/>
      <c r="N187" s="120"/>
      <c r="O187" s="118"/>
      <c r="P187" s="120"/>
      <c r="Q187" s="121"/>
      <c r="R187" s="109" t="b">
        <v>0</v>
      </c>
      <c r="S187" s="143" t="str">
        <f t="shared" si="1"/>
        <v>Suspenso</v>
      </c>
      <c r="T187" s="118"/>
      <c r="U187" s="118"/>
      <c r="V187" s="118"/>
      <c r="W187" s="118"/>
      <c r="X187" s="118"/>
      <c r="Y187" s="118"/>
      <c r="Z187" s="118"/>
      <c r="AA187" s="118"/>
      <c r="AB187" s="118"/>
      <c r="AC187" s="118"/>
      <c r="AD187" s="111"/>
      <c r="AE187" s="73"/>
      <c r="AF187" s="73"/>
    </row>
    <row r="188" ht="22.5" customHeight="1">
      <c r="A188" s="73"/>
      <c r="B188" s="73"/>
      <c r="C188" s="73"/>
      <c r="D188" s="73"/>
      <c r="E188" s="330"/>
      <c r="F188" s="118"/>
      <c r="G188" s="118"/>
      <c r="H188" s="118"/>
      <c r="I188" s="118"/>
      <c r="J188" s="119"/>
      <c r="K188" s="120"/>
      <c r="L188" s="120"/>
      <c r="M188" s="120"/>
      <c r="N188" s="120"/>
      <c r="O188" s="118"/>
      <c r="P188" s="120"/>
      <c r="Q188" s="121"/>
      <c r="R188" s="109" t="b">
        <v>0</v>
      </c>
      <c r="S188" s="143" t="str">
        <f t="shared" si="1"/>
        <v>Suspenso</v>
      </c>
      <c r="T188" s="118"/>
      <c r="U188" s="118"/>
      <c r="V188" s="118"/>
      <c r="W188" s="118"/>
      <c r="X188" s="118"/>
      <c r="Y188" s="118"/>
      <c r="Z188" s="118"/>
      <c r="AA188" s="118"/>
      <c r="AB188" s="118"/>
      <c r="AC188" s="118"/>
      <c r="AD188" s="111"/>
      <c r="AE188" s="73"/>
      <c r="AF188" s="73"/>
    </row>
    <row r="189" ht="22.5" customHeight="1">
      <c r="A189" s="73"/>
      <c r="B189" s="73"/>
      <c r="C189" s="73"/>
      <c r="D189" s="73"/>
      <c r="E189" s="330"/>
      <c r="F189" s="118"/>
      <c r="G189" s="118"/>
      <c r="H189" s="118"/>
      <c r="I189" s="118"/>
      <c r="J189" s="119"/>
      <c r="K189" s="120"/>
      <c r="L189" s="120"/>
      <c r="M189" s="120"/>
      <c r="N189" s="120"/>
      <c r="O189" s="118"/>
      <c r="P189" s="120"/>
      <c r="Q189" s="121"/>
      <c r="R189" s="109" t="b">
        <v>0</v>
      </c>
      <c r="S189" s="143" t="str">
        <f t="shared" si="1"/>
        <v>Suspenso</v>
      </c>
      <c r="T189" s="118"/>
      <c r="U189" s="118"/>
      <c r="V189" s="118"/>
      <c r="W189" s="118"/>
      <c r="X189" s="118"/>
      <c r="Y189" s="118"/>
      <c r="Z189" s="118"/>
      <c r="AA189" s="118"/>
      <c r="AB189" s="118"/>
      <c r="AC189" s="118"/>
      <c r="AD189" s="111"/>
      <c r="AE189" s="73"/>
      <c r="AF189" s="73"/>
    </row>
    <row r="190" ht="22.5" customHeight="1">
      <c r="A190" s="73"/>
      <c r="B190" s="73"/>
      <c r="C190" s="73"/>
      <c r="D190" s="73"/>
      <c r="E190" s="330"/>
      <c r="F190" s="118"/>
      <c r="G190" s="118"/>
      <c r="H190" s="118"/>
      <c r="I190" s="118"/>
      <c r="J190" s="119"/>
      <c r="K190" s="120"/>
      <c r="L190" s="120"/>
      <c r="M190" s="120"/>
      <c r="N190" s="120"/>
      <c r="O190" s="118"/>
      <c r="P190" s="120"/>
      <c r="Q190" s="121"/>
      <c r="R190" s="109" t="b">
        <v>0</v>
      </c>
      <c r="S190" s="143" t="str">
        <f t="shared" si="1"/>
        <v>Suspenso</v>
      </c>
      <c r="T190" s="118"/>
      <c r="U190" s="118"/>
      <c r="V190" s="118"/>
      <c r="W190" s="118"/>
      <c r="X190" s="118"/>
      <c r="Y190" s="118"/>
      <c r="Z190" s="118"/>
      <c r="AA190" s="118"/>
      <c r="AB190" s="118"/>
      <c r="AC190" s="118"/>
      <c r="AD190" s="111"/>
      <c r="AE190" s="73"/>
      <c r="AF190" s="73"/>
    </row>
    <row r="191" ht="22.5" customHeight="1">
      <c r="A191" s="73"/>
      <c r="B191" s="73"/>
      <c r="C191" s="73"/>
      <c r="D191" s="73"/>
      <c r="E191" s="330"/>
      <c r="F191" s="118"/>
      <c r="G191" s="118"/>
      <c r="H191" s="118"/>
      <c r="I191" s="118"/>
      <c r="J191" s="119"/>
      <c r="K191" s="120"/>
      <c r="L191" s="120"/>
      <c r="M191" s="120"/>
      <c r="N191" s="120"/>
      <c r="O191" s="118"/>
      <c r="P191" s="120"/>
      <c r="Q191" s="121"/>
      <c r="R191" s="109" t="b">
        <v>0</v>
      </c>
      <c r="S191" s="143" t="str">
        <f t="shared" si="1"/>
        <v>Suspenso</v>
      </c>
      <c r="T191" s="118"/>
      <c r="U191" s="118"/>
      <c r="V191" s="118"/>
      <c r="W191" s="118"/>
      <c r="X191" s="118"/>
      <c r="Y191" s="118"/>
      <c r="Z191" s="118"/>
      <c r="AA191" s="118"/>
      <c r="AB191" s="118"/>
      <c r="AC191" s="118"/>
      <c r="AD191" s="111"/>
      <c r="AE191" s="73"/>
      <c r="AF191" s="73"/>
    </row>
    <row r="192" ht="22.5" customHeight="1">
      <c r="A192" s="73"/>
      <c r="B192" s="73"/>
      <c r="C192" s="73"/>
      <c r="D192" s="73"/>
      <c r="E192" s="330"/>
      <c r="F192" s="118"/>
      <c r="G192" s="118"/>
      <c r="H192" s="118"/>
      <c r="I192" s="118"/>
      <c r="J192" s="119"/>
      <c r="K192" s="120"/>
      <c r="L192" s="120"/>
      <c r="M192" s="120"/>
      <c r="N192" s="120"/>
      <c r="O192" s="118"/>
      <c r="P192" s="120"/>
      <c r="Q192" s="121"/>
      <c r="R192" s="109" t="b">
        <v>0</v>
      </c>
      <c r="S192" s="143" t="str">
        <f t="shared" si="1"/>
        <v>Suspenso</v>
      </c>
      <c r="T192" s="118"/>
      <c r="U192" s="118"/>
      <c r="V192" s="118"/>
      <c r="W192" s="118"/>
      <c r="X192" s="118"/>
      <c r="Y192" s="118"/>
      <c r="Z192" s="118"/>
      <c r="AA192" s="118"/>
      <c r="AB192" s="118"/>
      <c r="AC192" s="118"/>
      <c r="AD192" s="111"/>
      <c r="AE192" s="73"/>
      <c r="AF192" s="73"/>
    </row>
    <row r="193" ht="22.5" customHeight="1">
      <c r="A193" s="73"/>
      <c r="B193" s="73"/>
      <c r="C193" s="73"/>
      <c r="D193" s="73"/>
      <c r="E193" s="330"/>
      <c r="F193" s="118"/>
      <c r="G193" s="118"/>
      <c r="H193" s="118"/>
      <c r="I193" s="118"/>
      <c r="J193" s="119"/>
      <c r="K193" s="120"/>
      <c r="L193" s="120"/>
      <c r="M193" s="120"/>
      <c r="N193" s="120"/>
      <c r="O193" s="118"/>
      <c r="P193" s="120"/>
      <c r="Q193" s="121"/>
      <c r="R193" s="109" t="b">
        <v>0</v>
      </c>
      <c r="S193" s="143" t="str">
        <f t="shared" si="1"/>
        <v>Suspenso</v>
      </c>
      <c r="T193" s="118"/>
      <c r="U193" s="118"/>
      <c r="V193" s="118"/>
      <c r="W193" s="118"/>
      <c r="X193" s="118"/>
      <c r="Y193" s="118"/>
      <c r="Z193" s="118"/>
      <c r="AA193" s="118"/>
      <c r="AB193" s="118"/>
      <c r="AC193" s="118"/>
      <c r="AD193" s="111"/>
      <c r="AE193" s="73"/>
      <c r="AF193" s="73"/>
    </row>
    <row r="194" ht="22.5" customHeight="1">
      <c r="A194" s="73"/>
      <c r="B194" s="73"/>
      <c r="C194" s="73"/>
      <c r="D194" s="73"/>
      <c r="E194" s="330"/>
      <c r="F194" s="118"/>
      <c r="G194" s="118"/>
      <c r="H194" s="118"/>
      <c r="I194" s="118"/>
      <c r="J194" s="119"/>
      <c r="K194" s="120"/>
      <c r="L194" s="120"/>
      <c r="M194" s="120"/>
      <c r="N194" s="120"/>
      <c r="O194" s="118"/>
      <c r="P194" s="120"/>
      <c r="Q194" s="121"/>
      <c r="R194" s="109" t="b">
        <v>0</v>
      </c>
      <c r="S194" s="143" t="str">
        <f t="shared" si="1"/>
        <v>Suspenso</v>
      </c>
      <c r="T194" s="118"/>
      <c r="U194" s="118"/>
      <c r="V194" s="118"/>
      <c r="W194" s="118"/>
      <c r="X194" s="118"/>
      <c r="Y194" s="118"/>
      <c r="Z194" s="118"/>
      <c r="AA194" s="118"/>
      <c r="AB194" s="118"/>
      <c r="AC194" s="118"/>
      <c r="AD194" s="111"/>
      <c r="AE194" s="73"/>
      <c r="AF194" s="73"/>
    </row>
    <row r="195" ht="22.5" customHeight="1">
      <c r="A195" s="73"/>
      <c r="B195" s="73"/>
      <c r="C195" s="73"/>
      <c r="D195" s="73"/>
      <c r="E195" s="330"/>
      <c r="F195" s="118"/>
      <c r="G195" s="118"/>
      <c r="H195" s="118"/>
      <c r="I195" s="118"/>
      <c r="J195" s="119"/>
      <c r="K195" s="120"/>
      <c r="L195" s="120"/>
      <c r="M195" s="120"/>
      <c r="N195" s="120"/>
      <c r="O195" s="118"/>
      <c r="P195" s="120"/>
      <c r="Q195" s="121"/>
      <c r="R195" s="109" t="b">
        <v>0</v>
      </c>
      <c r="S195" s="143" t="str">
        <f t="shared" si="1"/>
        <v>Suspenso</v>
      </c>
      <c r="T195" s="118"/>
      <c r="U195" s="118"/>
      <c r="V195" s="118"/>
      <c r="W195" s="118"/>
      <c r="X195" s="118"/>
      <c r="Y195" s="118"/>
      <c r="Z195" s="118"/>
      <c r="AA195" s="118"/>
      <c r="AB195" s="118"/>
      <c r="AC195" s="118"/>
      <c r="AD195" s="111"/>
      <c r="AE195" s="73"/>
      <c r="AF195" s="73"/>
    </row>
    <row r="196" ht="22.5" customHeight="1">
      <c r="A196" s="73"/>
      <c r="B196" s="73"/>
      <c r="C196" s="73"/>
      <c r="D196" s="73"/>
      <c r="E196" s="330"/>
      <c r="F196" s="118"/>
      <c r="G196" s="118"/>
      <c r="H196" s="118"/>
      <c r="I196" s="118"/>
      <c r="J196" s="119"/>
      <c r="K196" s="120"/>
      <c r="L196" s="120"/>
      <c r="M196" s="120"/>
      <c r="N196" s="120"/>
      <c r="O196" s="118"/>
      <c r="P196" s="120"/>
      <c r="Q196" s="121"/>
      <c r="R196" s="109" t="b">
        <v>0</v>
      </c>
      <c r="S196" s="143" t="str">
        <f t="shared" si="1"/>
        <v>Suspenso</v>
      </c>
      <c r="T196" s="118"/>
      <c r="U196" s="118"/>
      <c r="V196" s="118"/>
      <c r="W196" s="118"/>
      <c r="X196" s="118"/>
      <c r="Y196" s="118"/>
      <c r="Z196" s="118"/>
      <c r="AA196" s="118"/>
      <c r="AB196" s="118"/>
      <c r="AC196" s="118"/>
      <c r="AD196" s="111"/>
      <c r="AE196" s="73"/>
      <c r="AF196" s="73"/>
    </row>
    <row r="197" ht="22.5" customHeight="1">
      <c r="A197" s="73"/>
      <c r="B197" s="73"/>
      <c r="C197" s="73"/>
      <c r="D197" s="73"/>
      <c r="E197" s="330"/>
      <c r="F197" s="118"/>
      <c r="G197" s="118"/>
      <c r="H197" s="118"/>
      <c r="I197" s="118"/>
      <c r="J197" s="119"/>
      <c r="K197" s="120"/>
      <c r="L197" s="120"/>
      <c r="M197" s="120"/>
      <c r="N197" s="120"/>
      <c r="O197" s="118"/>
      <c r="P197" s="120"/>
      <c r="Q197" s="121"/>
      <c r="R197" s="109" t="b">
        <v>0</v>
      </c>
      <c r="S197" s="143" t="str">
        <f t="shared" si="1"/>
        <v>Suspenso</v>
      </c>
      <c r="T197" s="118"/>
      <c r="U197" s="118"/>
      <c r="V197" s="118"/>
      <c r="W197" s="118"/>
      <c r="X197" s="118"/>
      <c r="Y197" s="118"/>
      <c r="Z197" s="118"/>
      <c r="AA197" s="118"/>
      <c r="AB197" s="118"/>
      <c r="AC197" s="118"/>
      <c r="AD197" s="111"/>
      <c r="AE197" s="73"/>
      <c r="AF197" s="73"/>
    </row>
    <row r="198" ht="22.5" customHeight="1">
      <c r="A198" s="73"/>
      <c r="B198" s="73"/>
      <c r="C198" s="73"/>
      <c r="D198" s="73"/>
      <c r="E198" s="330"/>
      <c r="F198" s="118"/>
      <c r="G198" s="118"/>
      <c r="H198" s="118"/>
      <c r="I198" s="118"/>
      <c r="J198" s="119"/>
      <c r="K198" s="120"/>
      <c r="L198" s="120"/>
      <c r="M198" s="120"/>
      <c r="N198" s="120"/>
      <c r="O198" s="118"/>
      <c r="P198" s="120"/>
      <c r="Q198" s="121"/>
      <c r="R198" s="109" t="b">
        <v>0</v>
      </c>
      <c r="S198" s="143" t="str">
        <f t="shared" si="1"/>
        <v>Suspenso</v>
      </c>
      <c r="T198" s="118"/>
      <c r="U198" s="118"/>
      <c r="V198" s="118"/>
      <c r="W198" s="118"/>
      <c r="X198" s="118"/>
      <c r="Y198" s="118"/>
      <c r="Z198" s="118"/>
      <c r="AA198" s="118"/>
      <c r="AB198" s="118"/>
      <c r="AC198" s="118"/>
      <c r="AD198" s="111"/>
      <c r="AE198" s="73"/>
      <c r="AF198" s="73"/>
    </row>
    <row r="199" ht="22.5" customHeight="1">
      <c r="A199" s="73"/>
      <c r="B199" s="73"/>
      <c r="C199" s="73"/>
      <c r="D199" s="73"/>
      <c r="E199" s="330"/>
      <c r="F199" s="118"/>
      <c r="G199" s="118"/>
      <c r="H199" s="118"/>
      <c r="I199" s="118"/>
      <c r="J199" s="119"/>
      <c r="K199" s="120"/>
      <c r="L199" s="120"/>
      <c r="M199" s="120"/>
      <c r="N199" s="120"/>
      <c r="O199" s="118"/>
      <c r="P199" s="120"/>
      <c r="Q199" s="121"/>
      <c r="R199" s="109" t="b">
        <v>0</v>
      </c>
      <c r="S199" s="143" t="str">
        <f t="shared" si="1"/>
        <v>Suspenso</v>
      </c>
      <c r="T199" s="118"/>
      <c r="U199" s="118"/>
      <c r="V199" s="118"/>
      <c r="W199" s="118"/>
      <c r="X199" s="118"/>
      <c r="Y199" s="118"/>
      <c r="Z199" s="118"/>
      <c r="AA199" s="118"/>
      <c r="AB199" s="118"/>
      <c r="AC199" s="118"/>
      <c r="AD199" s="111"/>
      <c r="AE199" s="73"/>
      <c r="AF199" s="73"/>
    </row>
    <row r="200" ht="22.5" customHeight="1">
      <c r="A200" s="73"/>
      <c r="B200" s="73"/>
      <c r="C200" s="73"/>
      <c r="D200" s="73"/>
      <c r="E200" s="330"/>
      <c r="F200" s="118"/>
      <c r="G200" s="118"/>
      <c r="H200" s="118"/>
      <c r="I200" s="118"/>
      <c r="J200" s="119"/>
      <c r="K200" s="120"/>
      <c r="L200" s="120"/>
      <c r="M200" s="120"/>
      <c r="N200" s="120"/>
      <c r="O200" s="118"/>
      <c r="P200" s="120"/>
      <c r="Q200" s="121"/>
      <c r="R200" s="109" t="b">
        <v>0</v>
      </c>
      <c r="S200" s="143" t="str">
        <f t="shared" si="1"/>
        <v>Suspenso</v>
      </c>
      <c r="T200" s="118"/>
      <c r="U200" s="118"/>
      <c r="V200" s="118"/>
      <c r="W200" s="118"/>
      <c r="X200" s="118"/>
      <c r="Y200" s="118"/>
      <c r="Z200" s="118"/>
      <c r="AA200" s="118"/>
      <c r="AB200" s="118"/>
      <c r="AC200" s="118"/>
      <c r="AD200" s="111"/>
      <c r="AE200" s="73"/>
      <c r="AF200" s="73"/>
    </row>
    <row r="201" ht="22.5" customHeight="1">
      <c r="A201" s="73"/>
      <c r="B201" s="73"/>
      <c r="C201" s="73"/>
      <c r="D201" s="73"/>
      <c r="E201" s="330"/>
      <c r="F201" s="118"/>
      <c r="G201" s="118"/>
      <c r="H201" s="118"/>
      <c r="I201" s="118"/>
      <c r="J201" s="119"/>
      <c r="K201" s="120"/>
      <c r="L201" s="120"/>
      <c r="M201" s="120"/>
      <c r="N201" s="120"/>
      <c r="O201" s="118"/>
      <c r="P201" s="120"/>
      <c r="Q201" s="121"/>
      <c r="R201" s="109" t="b">
        <v>0</v>
      </c>
      <c r="S201" s="143" t="str">
        <f t="shared" si="1"/>
        <v>Suspenso</v>
      </c>
      <c r="T201" s="118"/>
      <c r="U201" s="118"/>
      <c r="V201" s="118"/>
      <c r="W201" s="118"/>
      <c r="X201" s="118"/>
      <c r="Y201" s="118"/>
      <c r="Z201" s="118"/>
      <c r="AA201" s="118"/>
      <c r="AB201" s="118"/>
      <c r="AC201" s="118"/>
      <c r="AD201" s="111"/>
      <c r="AE201" s="73"/>
      <c r="AF201" s="73"/>
    </row>
    <row r="202" ht="22.5" customHeight="1">
      <c r="A202" s="73"/>
      <c r="B202" s="73"/>
      <c r="C202" s="73"/>
      <c r="D202" s="73"/>
      <c r="E202" s="330"/>
      <c r="F202" s="118"/>
      <c r="G202" s="118"/>
      <c r="H202" s="118"/>
      <c r="I202" s="118"/>
      <c r="J202" s="119"/>
      <c r="K202" s="120"/>
      <c r="L202" s="120"/>
      <c r="M202" s="120"/>
      <c r="N202" s="120"/>
      <c r="O202" s="118"/>
      <c r="P202" s="120"/>
      <c r="Q202" s="121"/>
      <c r="R202" s="109" t="b">
        <v>0</v>
      </c>
      <c r="S202" s="143" t="str">
        <f t="shared" si="1"/>
        <v>Suspenso</v>
      </c>
      <c r="T202" s="118"/>
      <c r="U202" s="118"/>
      <c r="V202" s="118"/>
      <c r="W202" s="118"/>
      <c r="X202" s="118"/>
      <c r="Y202" s="118"/>
      <c r="Z202" s="118"/>
      <c r="AA202" s="118"/>
      <c r="AB202" s="118"/>
      <c r="AC202" s="118"/>
      <c r="AD202" s="111"/>
      <c r="AE202" s="73"/>
      <c r="AF202" s="73"/>
    </row>
    <row r="203" ht="22.5" customHeight="1">
      <c r="A203" s="73"/>
      <c r="B203" s="73"/>
      <c r="C203" s="73"/>
      <c r="D203" s="73"/>
      <c r="E203" s="330"/>
      <c r="F203" s="118"/>
      <c r="G203" s="118"/>
      <c r="H203" s="118"/>
      <c r="I203" s="118"/>
      <c r="J203" s="119"/>
      <c r="K203" s="120"/>
      <c r="L203" s="120"/>
      <c r="M203" s="120"/>
      <c r="N203" s="120"/>
      <c r="O203" s="118"/>
      <c r="P203" s="120"/>
      <c r="Q203" s="121"/>
      <c r="R203" s="109" t="b">
        <v>0</v>
      </c>
      <c r="S203" s="143" t="str">
        <f t="shared" si="1"/>
        <v>Suspenso</v>
      </c>
      <c r="T203" s="118"/>
      <c r="U203" s="118"/>
      <c r="V203" s="118"/>
      <c r="W203" s="118"/>
      <c r="X203" s="118"/>
      <c r="Y203" s="118"/>
      <c r="Z203" s="118"/>
      <c r="AA203" s="118"/>
      <c r="AB203" s="118"/>
      <c r="AC203" s="118"/>
      <c r="AD203" s="111"/>
      <c r="AE203" s="73"/>
      <c r="AF203" s="73"/>
    </row>
    <row r="204" ht="22.5" customHeight="1">
      <c r="A204" s="73"/>
      <c r="B204" s="73"/>
      <c r="C204" s="73"/>
      <c r="D204" s="73"/>
      <c r="E204" s="330"/>
      <c r="F204" s="118"/>
      <c r="G204" s="118"/>
      <c r="H204" s="118"/>
      <c r="I204" s="118"/>
      <c r="J204" s="119"/>
      <c r="K204" s="120"/>
      <c r="L204" s="120"/>
      <c r="M204" s="120"/>
      <c r="N204" s="120"/>
      <c r="O204" s="118"/>
      <c r="P204" s="120"/>
      <c r="Q204" s="121"/>
      <c r="R204" s="109" t="b">
        <v>0</v>
      </c>
      <c r="S204" s="143" t="str">
        <f t="shared" si="1"/>
        <v>Suspenso</v>
      </c>
      <c r="T204" s="118"/>
      <c r="U204" s="118"/>
      <c r="V204" s="118"/>
      <c r="W204" s="118"/>
      <c r="X204" s="118"/>
      <c r="Y204" s="118"/>
      <c r="Z204" s="118"/>
      <c r="AA204" s="118"/>
      <c r="AB204" s="118"/>
      <c r="AC204" s="118"/>
      <c r="AD204" s="111"/>
      <c r="AE204" s="73"/>
      <c r="AF204" s="73"/>
    </row>
    <row r="205" ht="22.5" customHeight="1">
      <c r="A205" s="73"/>
      <c r="B205" s="73"/>
      <c r="C205" s="73"/>
      <c r="D205" s="73"/>
      <c r="E205" s="330"/>
      <c r="F205" s="118"/>
      <c r="G205" s="118"/>
      <c r="H205" s="118"/>
      <c r="I205" s="118"/>
      <c r="J205" s="119"/>
      <c r="K205" s="120"/>
      <c r="L205" s="120"/>
      <c r="M205" s="120"/>
      <c r="N205" s="120"/>
      <c r="O205" s="118"/>
      <c r="P205" s="120"/>
      <c r="Q205" s="121"/>
      <c r="R205" s="109" t="b">
        <v>0</v>
      </c>
      <c r="S205" s="143" t="str">
        <f t="shared" si="1"/>
        <v>Suspenso</v>
      </c>
      <c r="T205" s="118"/>
      <c r="U205" s="118"/>
      <c r="V205" s="118"/>
      <c r="W205" s="118"/>
      <c r="X205" s="118"/>
      <c r="Y205" s="118"/>
      <c r="Z205" s="118"/>
      <c r="AA205" s="118"/>
      <c r="AB205" s="118"/>
      <c r="AC205" s="118"/>
      <c r="AD205" s="111"/>
      <c r="AE205" s="73"/>
      <c r="AF205" s="73"/>
    </row>
    <row r="206" ht="22.5" customHeight="1">
      <c r="A206" s="73"/>
      <c r="B206" s="73"/>
      <c r="C206" s="73"/>
      <c r="D206" s="73"/>
      <c r="E206" s="330"/>
      <c r="F206" s="118"/>
      <c r="G206" s="118"/>
      <c r="H206" s="118"/>
      <c r="I206" s="118"/>
      <c r="J206" s="119"/>
      <c r="K206" s="120"/>
      <c r="L206" s="120"/>
      <c r="M206" s="120"/>
      <c r="N206" s="120"/>
      <c r="O206" s="118"/>
      <c r="P206" s="120"/>
      <c r="Q206" s="121"/>
      <c r="R206" s="109" t="b">
        <v>0</v>
      </c>
      <c r="S206" s="143" t="str">
        <f t="shared" si="1"/>
        <v>Suspenso</v>
      </c>
      <c r="T206" s="118"/>
      <c r="U206" s="118"/>
      <c r="V206" s="118"/>
      <c r="W206" s="118"/>
      <c r="X206" s="118"/>
      <c r="Y206" s="118"/>
      <c r="Z206" s="118"/>
      <c r="AA206" s="118"/>
      <c r="AB206" s="118"/>
      <c r="AC206" s="118"/>
      <c r="AD206" s="111"/>
      <c r="AE206" s="73"/>
      <c r="AF206" s="73"/>
    </row>
    <row r="207" ht="22.5" customHeight="1">
      <c r="A207" s="73"/>
      <c r="B207" s="73"/>
      <c r="C207" s="73"/>
      <c r="D207" s="73"/>
      <c r="E207" s="330"/>
      <c r="F207" s="118"/>
      <c r="G207" s="118"/>
      <c r="H207" s="118"/>
      <c r="I207" s="118"/>
      <c r="J207" s="119"/>
      <c r="K207" s="120"/>
      <c r="L207" s="120"/>
      <c r="M207" s="120"/>
      <c r="N207" s="120"/>
      <c r="O207" s="118"/>
      <c r="P207" s="120"/>
      <c r="Q207" s="121"/>
      <c r="R207" s="109" t="b">
        <v>0</v>
      </c>
      <c r="S207" s="143" t="str">
        <f t="shared" si="1"/>
        <v>Suspenso</v>
      </c>
      <c r="T207" s="118"/>
      <c r="U207" s="118"/>
      <c r="V207" s="118"/>
      <c r="W207" s="118"/>
      <c r="X207" s="118"/>
      <c r="Y207" s="118"/>
      <c r="Z207" s="118"/>
      <c r="AA207" s="118"/>
      <c r="AB207" s="118"/>
      <c r="AC207" s="118"/>
      <c r="AD207" s="111"/>
      <c r="AE207" s="73"/>
      <c r="AF207" s="73"/>
    </row>
    <row r="208" ht="22.5" customHeight="1">
      <c r="A208" s="73"/>
      <c r="B208" s="73"/>
      <c r="C208" s="73"/>
      <c r="D208" s="73"/>
      <c r="E208" s="330"/>
      <c r="F208" s="118"/>
      <c r="G208" s="118"/>
      <c r="H208" s="118"/>
      <c r="I208" s="118"/>
      <c r="J208" s="119"/>
      <c r="K208" s="120"/>
      <c r="L208" s="120"/>
      <c r="M208" s="120"/>
      <c r="N208" s="120"/>
      <c r="O208" s="118"/>
      <c r="P208" s="120"/>
      <c r="Q208" s="121"/>
      <c r="R208" s="109" t="b">
        <v>0</v>
      </c>
      <c r="S208" s="143" t="str">
        <f t="shared" si="1"/>
        <v>Suspenso</v>
      </c>
      <c r="T208" s="118"/>
      <c r="U208" s="118"/>
      <c r="V208" s="118"/>
      <c r="W208" s="118"/>
      <c r="X208" s="118"/>
      <c r="Y208" s="118"/>
      <c r="Z208" s="118"/>
      <c r="AA208" s="118"/>
      <c r="AB208" s="118"/>
      <c r="AC208" s="118"/>
      <c r="AD208" s="111"/>
      <c r="AE208" s="73"/>
      <c r="AF208" s="73"/>
    </row>
    <row r="209" ht="22.5" customHeight="1">
      <c r="A209" s="73"/>
      <c r="B209" s="73"/>
      <c r="C209" s="73"/>
      <c r="D209" s="73"/>
      <c r="E209" s="330"/>
      <c r="F209" s="118"/>
      <c r="G209" s="118"/>
      <c r="H209" s="118"/>
      <c r="I209" s="118"/>
      <c r="J209" s="119"/>
      <c r="K209" s="120"/>
      <c r="L209" s="120"/>
      <c r="M209" s="120"/>
      <c r="N209" s="120"/>
      <c r="O209" s="118"/>
      <c r="P209" s="120"/>
      <c r="Q209" s="121"/>
      <c r="R209" s="109" t="b">
        <v>0</v>
      </c>
      <c r="S209" s="143" t="str">
        <f t="shared" si="1"/>
        <v>Suspenso</v>
      </c>
      <c r="T209" s="118"/>
      <c r="U209" s="118"/>
      <c r="V209" s="118"/>
      <c r="W209" s="118"/>
      <c r="X209" s="118"/>
      <c r="Y209" s="118"/>
      <c r="Z209" s="118"/>
      <c r="AA209" s="118"/>
      <c r="AB209" s="118"/>
      <c r="AC209" s="118"/>
      <c r="AD209" s="111"/>
      <c r="AE209" s="73"/>
      <c r="AF209" s="73"/>
    </row>
    <row r="210" ht="22.5" customHeight="1">
      <c r="A210" s="73"/>
      <c r="B210" s="73"/>
      <c r="C210" s="73"/>
      <c r="D210" s="73"/>
      <c r="E210" s="330"/>
      <c r="F210" s="118"/>
      <c r="G210" s="118"/>
      <c r="H210" s="118"/>
      <c r="I210" s="118"/>
      <c r="J210" s="119"/>
      <c r="K210" s="120"/>
      <c r="L210" s="120"/>
      <c r="M210" s="120"/>
      <c r="N210" s="120"/>
      <c r="O210" s="118"/>
      <c r="P210" s="120"/>
      <c r="Q210" s="121"/>
      <c r="R210" s="109" t="b">
        <v>0</v>
      </c>
      <c r="S210" s="143" t="str">
        <f t="shared" si="1"/>
        <v>Suspenso</v>
      </c>
      <c r="T210" s="118"/>
      <c r="U210" s="118"/>
      <c r="V210" s="118"/>
      <c r="W210" s="118"/>
      <c r="X210" s="118"/>
      <c r="Y210" s="118"/>
      <c r="Z210" s="118"/>
      <c r="AA210" s="118"/>
      <c r="AB210" s="118"/>
      <c r="AC210" s="118"/>
      <c r="AD210" s="111"/>
      <c r="AE210" s="73"/>
      <c r="AF210" s="73"/>
    </row>
    <row r="211" ht="22.5" customHeight="1">
      <c r="A211" s="73"/>
      <c r="B211" s="73"/>
      <c r="C211" s="73"/>
      <c r="D211" s="73"/>
      <c r="E211" s="330"/>
      <c r="F211" s="118"/>
      <c r="G211" s="118"/>
      <c r="H211" s="118"/>
      <c r="I211" s="118"/>
      <c r="J211" s="119"/>
      <c r="K211" s="120"/>
      <c r="L211" s="120"/>
      <c r="M211" s="120"/>
      <c r="N211" s="120"/>
      <c r="O211" s="118"/>
      <c r="P211" s="120"/>
      <c r="Q211" s="121"/>
      <c r="R211" s="109" t="b">
        <v>0</v>
      </c>
      <c r="S211" s="143" t="str">
        <f t="shared" si="1"/>
        <v>Suspenso</v>
      </c>
      <c r="T211" s="118"/>
      <c r="U211" s="118"/>
      <c r="V211" s="118"/>
      <c r="W211" s="118"/>
      <c r="X211" s="118"/>
      <c r="Y211" s="118"/>
      <c r="Z211" s="118"/>
      <c r="AA211" s="118"/>
      <c r="AB211" s="118"/>
      <c r="AC211" s="118"/>
      <c r="AD211" s="111"/>
      <c r="AE211" s="73"/>
      <c r="AF211" s="73"/>
    </row>
    <row r="212" ht="22.5" customHeight="1">
      <c r="A212" s="73"/>
      <c r="B212" s="73"/>
      <c r="C212" s="73"/>
      <c r="D212" s="73"/>
      <c r="E212" s="330"/>
      <c r="F212" s="118"/>
      <c r="G212" s="118"/>
      <c r="H212" s="118"/>
      <c r="I212" s="118"/>
      <c r="J212" s="119"/>
      <c r="K212" s="120"/>
      <c r="L212" s="120"/>
      <c r="M212" s="120"/>
      <c r="N212" s="120"/>
      <c r="O212" s="118"/>
      <c r="P212" s="120"/>
      <c r="Q212" s="121"/>
      <c r="R212" s="109" t="b">
        <v>0</v>
      </c>
      <c r="S212" s="143" t="str">
        <f t="shared" si="1"/>
        <v>Suspenso</v>
      </c>
      <c r="T212" s="118"/>
      <c r="U212" s="118"/>
      <c r="V212" s="118"/>
      <c r="W212" s="118"/>
      <c r="X212" s="118"/>
      <c r="Y212" s="118"/>
      <c r="Z212" s="118"/>
      <c r="AA212" s="118"/>
      <c r="AB212" s="118"/>
      <c r="AC212" s="118"/>
      <c r="AD212" s="111"/>
      <c r="AE212" s="73"/>
      <c r="AF212" s="73"/>
    </row>
    <row r="213" ht="22.5" customHeight="1">
      <c r="A213" s="73"/>
      <c r="B213" s="73"/>
      <c r="C213" s="73"/>
      <c r="D213" s="73"/>
      <c r="E213" s="330"/>
      <c r="F213" s="118"/>
      <c r="G213" s="118"/>
      <c r="H213" s="118"/>
      <c r="I213" s="118"/>
      <c r="J213" s="119"/>
      <c r="K213" s="120"/>
      <c r="L213" s="120"/>
      <c r="M213" s="120"/>
      <c r="N213" s="120"/>
      <c r="O213" s="118"/>
      <c r="P213" s="120"/>
      <c r="Q213" s="121"/>
      <c r="R213" s="109" t="b">
        <v>0</v>
      </c>
      <c r="S213" s="143" t="str">
        <f t="shared" si="1"/>
        <v>Suspenso</v>
      </c>
      <c r="T213" s="118"/>
      <c r="U213" s="118"/>
      <c r="V213" s="118"/>
      <c r="W213" s="118"/>
      <c r="X213" s="118"/>
      <c r="Y213" s="118"/>
      <c r="Z213" s="118"/>
      <c r="AA213" s="118"/>
      <c r="AB213" s="118"/>
      <c r="AC213" s="118"/>
      <c r="AD213" s="111"/>
      <c r="AE213" s="73"/>
      <c r="AF213" s="73"/>
    </row>
    <row r="214" ht="22.5" customHeight="1">
      <c r="A214" s="73"/>
      <c r="B214" s="73"/>
      <c r="C214" s="73"/>
      <c r="D214" s="73"/>
      <c r="E214" s="330"/>
      <c r="F214" s="118"/>
      <c r="G214" s="118"/>
      <c r="H214" s="118"/>
      <c r="I214" s="118"/>
      <c r="J214" s="119"/>
      <c r="K214" s="120"/>
      <c r="L214" s="120"/>
      <c r="M214" s="120"/>
      <c r="N214" s="120"/>
      <c r="O214" s="118"/>
      <c r="P214" s="120"/>
      <c r="Q214" s="121"/>
      <c r="R214" s="109" t="b">
        <v>0</v>
      </c>
      <c r="S214" s="143" t="str">
        <f t="shared" si="1"/>
        <v>Suspenso</v>
      </c>
      <c r="T214" s="118"/>
      <c r="U214" s="118"/>
      <c r="V214" s="118"/>
      <c r="W214" s="118"/>
      <c r="X214" s="118"/>
      <c r="Y214" s="118"/>
      <c r="Z214" s="118"/>
      <c r="AA214" s="118"/>
      <c r="AB214" s="118"/>
      <c r="AC214" s="118"/>
      <c r="AD214" s="111"/>
      <c r="AE214" s="73"/>
      <c r="AF214" s="73"/>
    </row>
    <row r="215" ht="22.5" customHeight="1">
      <c r="A215" s="73"/>
      <c r="B215" s="73"/>
      <c r="C215" s="73"/>
      <c r="D215" s="73"/>
      <c r="E215" s="330"/>
      <c r="F215" s="118"/>
      <c r="G215" s="118"/>
      <c r="H215" s="118"/>
      <c r="I215" s="118"/>
      <c r="J215" s="119"/>
      <c r="K215" s="120"/>
      <c r="L215" s="120"/>
      <c r="M215" s="120"/>
      <c r="N215" s="120"/>
      <c r="O215" s="118"/>
      <c r="P215" s="120"/>
      <c r="Q215" s="121"/>
      <c r="R215" s="109" t="b">
        <v>0</v>
      </c>
      <c r="S215" s="143" t="str">
        <f t="shared" si="1"/>
        <v>Suspenso</v>
      </c>
      <c r="T215" s="118"/>
      <c r="U215" s="118"/>
      <c r="V215" s="118"/>
      <c r="W215" s="118"/>
      <c r="X215" s="118"/>
      <c r="Y215" s="118"/>
      <c r="Z215" s="118"/>
      <c r="AA215" s="118"/>
      <c r="AB215" s="118"/>
      <c r="AC215" s="118"/>
      <c r="AD215" s="111"/>
      <c r="AE215" s="73"/>
      <c r="AF215" s="73"/>
    </row>
    <row r="216" ht="22.5" customHeight="1">
      <c r="A216" s="73"/>
      <c r="B216" s="73"/>
      <c r="C216" s="73"/>
      <c r="D216" s="73"/>
      <c r="E216" s="330"/>
      <c r="F216" s="118"/>
      <c r="G216" s="118"/>
      <c r="H216" s="118"/>
      <c r="I216" s="118"/>
      <c r="J216" s="119"/>
      <c r="K216" s="120"/>
      <c r="L216" s="120"/>
      <c r="M216" s="120"/>
      <c r="N216" s="120"/>
      <c r="O216" s="118"/>
      <c r="P216" s="120"/>
      <c r="Q216" s="121"/>
      <c r="R216" s="109" t="b">
        <v>0</v>
      </c>
      <c r="S216" s="143" t="str">
        <f t="shared" si="1"/>
        <v>Suspenso</v>
      </c>
      <c r="T216" s="118"/>
      <c r="U216" s="118"/>
      <c r="V216" s="118"/>
      <c r="W216" s="118"/>
      <c r="X216" s="118"/>
      <c r="Y216" s="118"/>
      <c r="Z216" s="118"/>
      <c r="AA216" s="118"/>
      <c r="AB216" s="118"/>
      <c r="AC216" s="118"/>
      <c r="AD216" s="111"/>
      <c r="AE216" s="73"/>
      <c r="AF216" s="73"/>
    </row>
    <row r="217" ht="22.5" customHeight="1">
      <c r="A217" s="73"/>
      <c r="B217" s="73"/>
      <c r="C217" s="73"/>
      <c r="D217" s="73"/>
      <c r="E217" s="330"/>
      <c r="F217" s="118"/>
      <c r="G217" s="118"/>
      <c r="H217" s="118"/>
      <c r="I217" s="118"/>
      <c r="J217" s="119"/>
      <c r="K217" s="120"/>
      <c r="L217" s="120"/>
      <c r="M217" s="120"/>
      <c r="N217" s="120"/>
      <c r="O217" s="118"/>
      <c r="P217" s="120"/>
      <c r="Q217" s="121"/>
      <c r="R217" s="109" t="b">
        <v>0</v>
      </c>
      <c r="S217" s="143" t="str">
        <f t="shared" si="1"/>
        <v>Suspenso</v>
      </c>
      <c r="T217" s="118"/>
      <c r="U217" s="118"/>
      <c r="V217" s="118"/>
      <c r="W217" s="118"/>
      <c r="X217" s="118"/>
      <c r="Y217" s="118"/>
      <c r="Z217" s="118"/>
      <c r="AA217" s="118"/>
      <c r="AB217" s="118"/>
      <c r="AC217" s="118"/>
      <c r="AD217" s="111"/>
      <c r="AE217" s="73"/>
      <c r="AF217" s="73"/>
    </row>
    <row r="218" ht="22.5" customHeight="1">
      <c r="A218" s="73"/>
      <c r="B218" s="73"/>
      <c r="C218" s="73"/>
      <c r="D218" s="73"/>
      <c r="E218" s="330"/>
      <c r="F218" s="118"/>
      <c r="G218" s="118"/>
      <c r="H218" s="118"/>
      <c r="I218" s="118"/>
      <c r="J218" s="119"/>
      <c r="K218" s="120"/>
      <c r="L218" s="120"/>
      <c r="M218" s="120"/>
      <c r="N218" s="120"/>
      <c r="O218" s="118"/>
      <c r="P218" s="120"/>
      <c r="Q218" s="121"/>
      <c r="R218" s="109" t="b">
        <v>0</v>
      </c>
      <c r="S218" s="143" t="str">
        <f t="shared" si="1"/>
        <v>Suspenso</v>
      </c>
      <c r="T218" s="118"/>
      <c r="U218" s="118"/>
      <c r="V218" s="118"/>
      <c r="W218" s="118"/>
      <c r="X218" s="118"/>
      <c r="Y218" s="118"/>
      <c r="Z218" s="118"/>
      <c r="AA218" s="118"/>
      <c r="AB218" s="118"/>
      <c r="AC218" s="118"/>
      <c r="AD218" s="111"/>
      <c r="AE218" s="73"/>
      <c r="AF218" s="73"/>
    </row>
    <row r="219" ht="22.5" customHeight="1">
      <c r="A219" s="73"/>
      <c r="B219" s="73"/>
      <c r="C219" s="73"/>
      <c r="D219" s="73"/>
      <c r="E219" s="330"/>
      <c r="F219" s="118"/>
      <c r="G219" s="118"/>
      <c r="H219" s="118"/>
      <c r="I219" s="118"/>
      <c r="J219" s="119"/>
      <c r="K219" s="120"/>
      <c r="L219" s="120"/>
      <c r="M219" s="120"/>
      <c r="N219" s="120"/>
      <c r="O219" s="118"/>
      <c r="P219" s="120"/>
      <c r="Q219" s="121"/>
      <c r="R219" s="109" t="b">
        <v>0</v>
      </c>
      <c r="S219" s="143" t="str">
        <f t="shared" si="1"/>
        <v>Suspenso</v>
      </c>
      <c r="T219" s="118"/>
      <c r="U219" s="118"/>
      <c r="V219" s="118"/>
      <c r="W219" s="118"/>
      <c r="X219" s="118"/>
      <c r="Y219" s="118"/>
      <c r="Z219" s="118"/>
      <c r="AA219" s="118"/>
      <c r="AB219" s="118"/>
      <c r="AC219" s="118"/>
      <c r="AD219" s="111"/>
      <c r="AE219" s="73"/>
      <c r="AF219" s="73"/>
    </row>
    <row r="220" ht="22.5" customHeight="1">
      <c r="A220" s="73"/>
      <c r="B220" s="73"/>
      <c r="C220" s="73"/>
      <c r="D220" s="73"/>
      <c r="E220" s="330"/>
      <c r="F220" s="118"/>
      <c r="G220" s="118"/>
      <c r="H220" s="118"/>
      <c r="I220" s="118"/>
      <c r="J220" s="119"/>
      <c r="K220" s="120"/>
      <c r="L220" s="120"/>
      <c r="M220" s="120"/>
      <c r="N220" s="120"/>
      <c r="O220" s="118"/>
      <c r="P220" s="120"/>
      <c r="Q220" s="121"/>
      <c r="R220" s="109" t="b">
        <v>0</v>
      </c>
      <c r="S220" s="143" t="str">
        <f t="shared" si="1"/>
        <v>Suspenso</v>
      </c>
      <c r="T220" s="118"/>
      <c r="U220" s="118"/>
      <c r="V220" s="118"/>
      <c r="W220" s="118"/>
      <c r="X220" s="118"/>
      <c r="Y220" s="118"/>
      <c r="Z220" s="118"/>
      <c r="AA220" s="118"/>
      <c r="AB220" s="118"/>
      <c r="AC220" s="118"/>
      <c r="AD220" s="111"/>
      <c r="AE220" s="73"/>
      <c r="AF220" s="73"/>
    </row>
    <row r="221" ht="22.5" customHeight="1">
      <c r="A221" s="73"/>
      <c r="B221" s="73"/>
      <c r="C221" s="73"/>
      <c r="D221" s="73"/>
      <c r="E221" s="330"/>
      <c r="F221" s="118"/>
      <c r="G221" s="118"/>
      <c r="H221" s="118"/>
      <c r="I221" s="118"/>
      <c r="J221" s="119"/>
      <c r="K221" s="120"/>
      <c r="L221" s="120"/>
      <c r="M221" s="120"/>
      <c r="N221" s="120"/>
      <c r="O221" s="118"/>
      <c r="P221" s="120"/>
      <c r="Q221" s="121"/>
      <c r="R221" s="109" t="b">
        <v>0</v>
      </c>
      <c r="S221" s="143" t="str">
        <f t="shared" si="1"/>
        <v>Suspenso</v>
      </c>
      <c r="T221" s="118"/>
      <c r="U221" s="118"/>
      <c r="V221" s="118"/>
      <c r="W221" s="118"/>
      <c r="X221" s="118"/>
      <c r="Y221" s="118"/>
      <c r="Z221" s="118"/>
      <c r="AA221" s="118"/>
      <c r="AB221" s="118"/>
      <c r="AC221" s="118"/>
      <c r="AD221" s="111"/>
      <c r="AE221" s="73"/>
      <c r="AF221" s="73"/>
    </row>
    <row r="222" ht="22.5" customHeight="1">
      <c r="A222" s="73"/>
      <c r="B222" s="73"/>
      <c r="C222" s="73"/>
      <c r="D222" s="73"/>
      <c r="E222" s="330"/>
      <c r="F222" s="118"/>
      <c r="G222" s="118"/>
      <c r="H222" s="118"/>
      <c r="I222" s="118"/>
      <c r="J222" s="119"/>
      <c r="K222" s="120"/>
      <c r="L222" s="120"/>
      <c r="M222" s="120"/>
      <c r="N222" s="120"/>
      <c r="O222" s="118"/>
      <c r="P222" s="120"/>
      <c r="Q222" s="121"/>
      <c r="R222" s="109" t="b">
        <v>0</v>
      </c>
      <c r="S222" s="143" t="str">
        <f t="shared" si="1"/>
        <v>Suspenso</v>
      </c>
      <c r="T222" s="118"/>
      <c r="U222" s="118"/>
      <c r="V222" s="118"/>
      <c r="W222" s="118"/>
      <c r="X222" s="118"/>
      <c r="Y222" s="118"/>
      <c r="Z222" s="118"/>
      <c r="AA222" s="118"/>
      <c r="AB222" s="118"/>
      <c r="AC222" s="118"/>
      <c r="AD222" s="111"/>
      <c r="AE222" s="73"/>
      <c r="AF222" s="73"/>
    </row>
    <row r="223" ht="22.5" customHeight="1">
      <c r="A223" s="73"/>
      <c r="B223" s="73"/>
      <c r="C223" s="73"/>
      <c r="D223" s="73"/>
      <c r="E223" s="330"/>
      <c r="F223" s="118"/>
      <c r="G223" s="118"/>
      <c r="H223" s="118"/>
      <c r="I223" s="118"/>
      <c r="J223" s="119"/>
      <c r="K223" s="120"/>
      <c r="L223" s="120"/>
      <c r="M223" s="120"/>
      <c r="N223" s="120"/>
      <c r="O223" s="118"/>
      <c r="P223" s="120"/>
      <c r="Q223" s="121"/>
      <c r="R223" s="109" t="b">
        <v>0</v>
      </c>
      <c r="S223" s="143" t="str">
        <f t="shared" si="1"/>
        <v>Suspenso</v>
      </c>
      <c r="T223" s="118"/>
      <c r="U223" s="118"/>
      <c r="V223" s="118"/>
      <c r="W223" s="118"/>
      <c r="X223" s="118"/>
      <c r="Y223" s="118"/>
      <c r="Z223" s="118"/>
      <c r="AA223" s="118"/>
      <c r="AB223" s="118"/>
      <c r="AC223" s="118"/>
      <c r="AD223" s="111"/>
      <c r="AE223" s="73"/>
      <c r="AF223" s="73"/>
    </row>
    <row r="224" ht="22.5" customHeight="1">
      <c r="A224" s="73"/>
      <c r="B224" s="73"/>
      <c r="C224" s="73"/>
      <c r="D224" s="73"/>
      <c r="E224" s="330"/>
      <c r="F224" s="118"/>
      <c r="G224" s="118"/>
      <c r="H224" s="118"/>
      <c r="I224" s="118"/>
      <c r="J224" s="119"/>
      <c r="K224" s="120"/>
      <c r="L224" s="120"/>
      <c r="M224" s="120"/>
      <c r="N224" s="120"/>
      <c r="O224" s="118"/>
      <c r="P224" s="120"/>
      <c r="Q224" s="121"/>
      <c r="R224" s="109" t="b">
        <v>0</v>
      </c>
      <c r="S224" s="143" t="str">
        <f t="shared" si="1"/>
        <v>Suspenso</v>
      </c>
      <c r="T224" s="118"/>
      <c r="U224" s="118"/>
      <c r="V224" s="118"/>
      <c r="W224" s="118"/>
      <c r="X224" s="118"/>
      <c r="Y224" s="118"/>
      <c r="Z224" s="118"/>
      <c r="AA224" s="118"/>
      <c r="AB224" s="118"/>
      <c r="AC224" s="118"/>
      <c r="AD224" s="111"/>
      <c r="AE224" s="73"/>
      <c r="AF224" s="73"/>
    </row>
    <row r="225" ht="22.5" customHeight="1">
      <c r="A225" s="73"/>
      <c r="B225" s="73"/>
      <c r="C225" s="73"/>
      <c r="D225" s="73"/>
      <c r="E225" s="330"/>
      <c r="F225" s="118"/>
      <c r="G225" s="118"/>
      <c r="H225" s="118"/>
      <c r="I225" s="118"/>
      <c r="J225" s="119"/>
      <c r="K225" s="120"/>
      <c r="L225" s="120"/>
      <c r="M225" s="120"/>
      <c r="N225" s="120"/>
      <c r="O225" s="118"/>
      <c r="P225" s="120"/>
      <c r="Q225" s="121"/>
      <c r="R225" s="109" t="b">
        <v>0</v>
      </c>
      <c r="S225" s="143" t="str">
        <f t="shared" si="1"/>
        <v>Suspenso</v>
      </c>
      <c r="T225" s="118"/>
      <c r="U225" s="118"/>
      <c r="V225" s="118"/>
      <c r="W225" s="118"/>
      <c r="X225" s="118"/>
      <c r="Y225" s="118"/>
      <c r="Z225" s="118"/>
      <c r="AA225" s="118"/>
      <c r="AB225" s="118"/>
      <c r="AC225" s="118"/>
      <c r="AD225" s="111"/>
      <c r="AE225" s="73"/>
      <c r="AF225" s="73"/>
    </row>
    <row r="226" ht="22.5" customHeight="1">
      <c r="A226" s="73"/>
      <c r="B226" s="73"/>
      <c r="C226" s="73"/>
      <c r="D226" s="73"/>
      <c r="E226" s="330"/>
      <c r="F226" s="118"/>
      <c r="G226" s="118"/>
      <c r="H226" s="118"/>
      <c r="I226" s="118"/>
      <c r="J226" s="119"/>
      <c r="K226" s="120"/>
      <c r="L226" s="120"/>
      <c r="M226" s="120"/>
      <c r="N226" s="120"/>
      <c r="O226" s="118"/>
      <c r="P226" s="120"/>
      <c r="Q226" s="121"/>
      <c r="R226" s="109" t="b">
        <v>0</v>
      </c>
      <c r="S226" s="143" t="str">
        <f t="shared" si="1"/>
        <v>Suspenso</v>
      </c>
      <c r="T226" s="118"/>
      <c r="U226" s="118"/>
      <c r="V226" s="118"/>
      <c r="W226" s="118"/>
      <c r="X226" s="118"/>
      <c r="Y226" s="118"/>
      <c r="Z226" s="118"/>
      <c r="AA226" s="118"/>
      <c r="AB226" s="118"/>
      <c r="AC226" s="118"/>
      <c r="AD226" s="111"/>
      <c r="AE226" s="73"/>
      <c r="AF226" s="73"/>
    </row>
    <row r="227" ht="22.5" customHeight="1">
      <c r="A227" s="73"/>
      <c r="B227" s="73"/>
      <c r="C227" s="73"/>
      <c r="D227" s="73"/>
      <c r="E227" s="330"/>
      <c r="F227" s="118"/>
      <c r="G227" s="118"/>
      <c r="H227" s="118"/>
      <c r="I227" s="118"/>
      <c r="J227" s="119"/>
      <c r="K227" s="120"/>
      <c r="L227" s="120"/>
      <c r="M227" s="120"/>
      <c r="N227" s="120"/>
      <c r="O227" s="118"/>
      <c r="P227" s="120"/>
      <c r="Q227" s="121"/>
      <c r="R227" s="109" t="b">
        <v>0</v>
      </c>
      <c r="S227" s="143" t="str">
        <f t="shared" si="1"/>
        <v>Suspenso</v>
      </c>
      <c r="T227" s="118"/>
      <c r="U227" s="118"/>
      <c r="V227" s="118"/>
      <c r="W227" s="118"/>
      <c r="X227" s="118"/>
      <c r="Y227" s="118"/>
      <c r="Z227" s="118"/>
      <c r="AA227" s="118"/>
      <c r="AB227" s="118"/>
      <c r="AC227" s="118"/>
      <c r="AD227" s="111"/>
      <c r="AE227" s="73"/>
      <c r="AF227" s="73"/>
    </row>
    <row r="228" ht="22.5" customHeight="1">
      <c r="A228" s="73"/>
      <c r="B228" s="73"/>
      <c r="C228" s="73"/>
      <c r="D228" s="73"/>
      <c r="E228" s="330"/>
      <c r="F228" s="118"/>
      <c r="G228" s="118"/>
      <c r="H228" s="118"/>
      <c r="I228" s="118"/>
      <c r="J228" s="119"/>
      <c r="K228" s="120"/>
      <c r="L228" s="120"/>
      <c r="M228" s="120"/>
      <c r="N228" s="120"/>
      <c r="O228" s="118"/>
      <c r="P228" s="120"/>
      <c r="Q228" s="121"/>
      <c r="R228" s="109" t="b">
        <v>0</v>
      </c>
      <c r="S228" s="143" t="str">
        <f t="shared" si="1"/>
        <v>Suspenso</v>
      </c>
      <c r="T228" s="118"/>
      <c r="U228" s="118"/>
      <c r="V228" s="118"/>
      <c r="W228" s="118"/>
      <c r="X228" s="118"/>
      <c r="Y228" s="118"/>
      <c r="Z228" s="118"/>
      <c r="AA228" s="118"/>
      <c r="AB228" s="118"/>
      <c r="AC228" s="118"/>
      <c r="AD228" s="111"/>
      <c r="AE228" s="73"/>
      <c r="AF228" s="73"/>
    </row>
    <row r="229" ht="22.5" customHeight="1">
      <c r="A229" s="73"/>
      <c r="B229" s="73"/>
      <c r="C229" s="73"/>
      <c r="D229" s="73"/>
      <c r="E229" s="330"/>
      <c r="F229" s="118"/>
      <c r="G229" s="118"/>
      <c r="H229" s="118"/>
      <c r="I229" s="118"/>
      <c r="J229" s="119"/>
      <c r="K229" s="120"/>
      <c r="L229" s="120"/>
      <c r="M229" s="120"/>
      <c r="N229" s="120"/>
      <c r="O229" s="118"/>
      <c r="P229" s="120"/>
      <c r="Q229" s="121"/>
      <c r="R229" s="109" t="b">
        <v>0</v>
      </c>
      <c r="S229" s="143" t="str">
        <f t="shared" si="1"/>
        <v>Suspenso</v>
      </c>
      <c r="T229" s="118"/>
      <c r="U229" s="118"/>
      <c r="V229" s="118"/>
      <c r="W229" s="118"/>
      <c r="X229" s="118"/>
      <c r="Y229" s="118"/>
      <c r="Z229" s="118"/>
      <c r="AA229" s="118"/>
      <c r="AB229" s="118"/>
      <c r="AC229" s="118"/>
      <c r="AD229" s="111"/>
      <c r="AE229" s="73"/>
      <c r="AF229" s="73"/>
    </row>
    <row r="230" ht="22.5" customHeight="1">
      <c r="A230" s="73"/>
      <c r="B230" s="73"/>
      <c r="C230" s="73"/>
      <c r="D230" s="73"/>
      <c r="E230" s="330"/>
      <c r="F230" s="118"/>
      <c r="G230" s="118"/>
      <c r="H230" s="118"/>
      <c r="I230" s="118"/>
      <c r="J230" s="119"/>
      <c r="K230" s="120"/>
      <c r="L230" s="120"/>
      <c r="M230" s="120"/>
      <c r="N230" s="120"/>
      <c r="O230" s="118"/>
      <c r="P230" s="120"/>
      <c r="Q230" s="121"/>
      <c r="R230" s="109" t="b">
        <v>0</v>
      </c>
      <c r="S230" s="143" t="str">
        <f t="shared" si="1"/>
        <v>Suspenso</v>
      </c>
      <c r="T230" s="118"/>
      <c r="U230" s="118"/>
      <c r="V230" s="118"/>
      <c r="W230" s="118"/>
      <c r="X230" s="118"/>
      <c r="Y230" s="118"/>
      <c r="Z230" s="118"/>
      <c r="AA230" s="118"/>
      <c r="AB230" s="118"/>
      <c r="AC230" s="118"/>
      <c r="AD230" s="111"/>
      <c r="AE230" s="73"/>
      <c r="AF230" s="73"/>
    </row>
    <row r="231" ht="22.5" customHeight="1">
      <c r="A231" s="73"/>
      <c r="B231" s="73"/>
      <c r="C231" s="73"/>
      <c r="D231" s="73"/>
      <c r="E231" s="330"/>
      <c r="F231" s="118"/>
      <c r="G231" s="118"/>
      <c r="H231" s="118"/>
      <c r="I231" s="118"/>
      <c r="J231" s="119"/>
      <c r="K231" s="120"/>
      <c r="L231" s="120"/>
      <c r="M231" s="120"/>
      <c r="N231" s="120"/>
      <c r="O231" s="118"/>
      <c r="P231" s="120"/>
      <c r="Q231" s="121"/>
      <c r="R231" s="109" t="b">
        <v>0</v>
      </c>
      <c r="S231" s="143" t="str">
        <f t="shared" si="1"/>
        <v>Suspenso</v>
      </c>
      <c r="T231" s="118"/>
      <c r="U231" s="118"/>
      <c r="V231" s="118"/>
      <c r="W231" s="118"/>
      <c r="X231" s="118"/>
      <c r="Y231" s="118"/>
      <c r="Z231" s="118"/>
      <c r="AA231" s="118"/>
      <c r="AB231" s="118"/>
      <c r="AC231" s="118"/>
      <c r="AD231" s="111"/>
      <c r="AE231" s="73"/>
      <c r="AF231" s="73"/>
    </row>
    <row r="232" ht="22.5" customHeight="1">
      <c r="A232" s="73"/>
      <c r="B232" s="73"/>
      <c r="C232" s="73"/>
      <c r="D232" s="73"/>
      <c r="E232" s="330"/>
      <c r="F232" s="118"/>
      <c r="G232" s="118"/>
      <c r="H232" s="118"/>
      <c r="I232" s="118"/>
      <c r="J232" s="119"/>
      <c r="K232" s="120"/>
      <c r="L232" s="120"/>
      <c r="M232" s="120"/>
      <c r="N232" s="120"/>
      <c r="O232" s="118"/>
      <c r="P232" s="120"/>
      <c r="Q232" s="121"/>
      <c r="R232" s="109" t="b">
        <v>0</v>
      </c>
      <c r="S232" s="143" t="str">
        <f t="shared" si="1"/>
        <v>Suspenso</v>
      </c>
      <c r="T232" s="118"/>
      <c r="U232" s="118"/>
      <c r="V232" s="118"/>
      <c r="W232" s="118"/>
      <c r="X232" s="118"/>
      <c r="Y232" s="118"/>
      <c r="Z232" s="118"/>
      <c r="AA232" s="118"/>
      <c r="AB232" s="118"/>
      <c r="AC232" s="118"/>
      <c r="AD232" s="111"/>
      <c r="AE232" s="73"/>
      <c r="AF232" s="73"/>
    </row>
    <row r="233" ht="22.5" customHeight="1">
      <c r="A233" s="73"/>
      <c r="B233" s="73"/>
      <c r="C233" s="73"/>
      <c r="D233" s="73"/>
      <c r="E233" s="330"/>
      <c r="F233" s="118"/>
      <c r="G233" s="118"/>
      <c r="H233" s="118"/>
      <c r="I233" s="118"/>
      <c r="J233" s="119"/>
      <c r="K233" s="120"/>
      <c r="L233" s="120"/>
      <c r="M233" s="120"/>
      <c r="N233" s="120"/>
      <c r="O233" s="118"/>
      <c r="P233" s="120"/>
      <c r="Q233" s="121"/>
      <c r="R233" s="109" t="b">
        <v>0</v>
      </c>
      <c r="S233" s="143" t="str">
        <f t="shared" si="1"/>
        <v>Suspenso</v>
      </c>
      <c r="T233" s="118"/>
      <c r="U233" s="118"/>
      <c r="V233" s="118"/>
      <c r="W233" s="118"/>
      <c r="X233" s="118"/>
      <c r="Y233" s="118"/>
      <c r="Z233" s="118"/>
      <c r="AA233" s="118"/>
      <c r="AB233" s="118"/>
      <c r="AC233" s="118"/>
      <c r="AD233" s="111"/>
      <c r="AE233" s="73"/>
      <c r="AF233" s="73"/>
    </row>
    <row r="234" ht="22.5" customHeight="1">
      <c r="A234" s="73"/>
      <c r="B234" s="73"/>
      <c r="C234" s="73"/>
      <c r="D234" s="73"/>
      <c r="E234" s="330"/>
      <c r="F234" s="118"/>
      <c r="G234" s="118"/>
      <c r="H234" s="118"/>
      <c r="I234" s="118"/>
      <c r="J234" s="119"/>
      <c r="K234" s="120"/>
      <c r="L234" s="120"/>
      <c r="M234" s="120"/>
      <c r="N234" s="120"/>
      <c r="O234" s="118"/>
      <c r="P234" s="120"/>
      <c r="Q234" s="121"/>
      <c r="R234" s="109" t="b">
        <v>0</v>
      </c>
      <c r="S234" s="143" t="str">
        <f t="shared" si="1"/>
        <v>Suspenso</v>
      </c>
      <c r="T234" s="118"/>
      <c r="U234" s="118"/>
      <c r="V234" s="118"/>
      <c r="W234" s="118"/>
      <c r="X234" s="118"/>
      <c r="Y234" s="118"/>
      <c r="Z234" s="118"/>
      <c r="AA234" s="118"/>
      <c r="AB234" s="118"/>
      <c r="AC234" s="118"/>
      <c r="AD234" s="111"/>
      <c r="AE234" s="73"/>
      <c r="AF234" s="73"/>
    </row>
    <row r="235" ht="22.5" customHeight="1">
      <c r="A235" s="73"/>
      <c r="B235" s="73"/>
      <c r="C235" s="73"/>
      <c r="D235" s="73"/>
      <c r="E235" s="330"/>
      <c r="F235" s="118"/>
      <c r="G235" s="118"/>
      <c r="H235" s="118"/>
      <c r="I235" s="118"/>
      <c r="J235" s="119"/>
      <c r="K235" s="120"/>
      <c r="L235" s="120"/>
      <c r="M235" s="120"/>
      <c r="N235" s="120"/>
      <c r="O235" s="118"/>
      <c r="P235" s="120"/>
      <c r="Q235" s="121"/>
      <c r="R235" s="109" t="b">
        <v>0</v>
      </c>
      <c r="S235" s="143" t="str">
        <f t="shared" si="1"/>
        <v>Suspenso</v>
      </c>
      <c r="T235" s="118"/>
      <c r="U235" s="118"/>
      <c r="V235" s="118"/>
      <c r="W235" s="118"/>
      <c r="X235" s="118"/>
      <c r="Y235" s="118"/>
      <c r="Z235" s="118"/>
      <c r="AA235" s="118"/>
      <c r="AB235" s="118"/>
      <c r="AC235" s="118"/>
      <c r="AD235" s="111"/>
      <c r="AE235" s="73"/>
      <c r="AF235" s="73"/>
    </row>
    <row r="236" ht="22.5" customHeight="1">
      <c r="A236" s="73"/>
      <c r="B236" s="73"/>
      <c r="C236" s="73"/>
      <c r="D236" s="73"/>
      <c r="E236" s="330"/>
      <c r="F236" s="118"/>
      <c r="G236" s="118"/>
      <c r="H236" s="118"/>
      <c r="I236" s="118"/>
      <c r="J236" s="119"/>
      <c r="K236" s="120"/>
      <c r="L236" s="120"/>
      <c r="M236" s="120"/>
      <c r="N236" s="120"/>
      <c r="O236" s="118"/>
      <c r="P236" s="120"/>
      <c r="Q236" s="121"/>
      <c r="R236" s="109" t="b">
        <v>0</v>
      </c>
      <c r="S236" s="143" t="str">
        <f t="shared" si="1"/>
        <v>Suspenso</v>
      </c>
      <c r="T236" s="118"/>
      <c r="U236" s="118"/>
      <c r="V236" s="118"/>
      <c r="W236" s="118"/>
      <c r="X236" s="118"/>
      <c r="Y236" s="118"/>
      <c r="Z236" s="118"/>
      <c r="AA236" s="118"/>
      <c r="AB236" s="118"/>
      <c r="AC236" s="118"/>
      <c r="AD236" s="111"/>
      <c r="AE236" s="73"/>
      <c r="AF236" s="73"/>
    </row>
    <row r="237" ht="22.5" customHeight="1">
      <c r="A237" s="73"/>
      <c r="B237" s="73"/>
      <c r="C237" s="73"/>
      <c r="D237" s="73"/>
      <c r="E237" s="330"/>
      <c r="F237" s="118"/>
      <c r="G237" s="118"/>
      <c r="H237" s="118"/>
      <c r="I237" s="118"/>
      <c r="J237" s="119"/>
      <c r="K237" s="120"/>
      <c r="L237" s="120"/>
      <c r="M237" s="120"/>
      <c r="N237" s="120"/>
      <c r="O237" s="118"/>
      <c r="P237" s="120"/>
      <c r="Q237" s="121"/>
      <c r="R237" s="109" t="b">
        <v>0</v>
      </c>
      <c r="S237" s="143" t="str">
        <f t="shared" si="1"/>
        <v>Suspenso</v>
      </c>
      <c r="T237" s="118"/>
      <c r="U237" s="118"/>
      <c r="V237" s="118"/>
      <c r="W237" s="118"/>
      <c r="X237" s="118"/>
      <c r="Y237" s="118"/>
      <c r="Z237" s="118"/>
      <c r="AA237" s="118"/>
      <c r="AB237" s="118"/>
      <c r="AC237" s="118"/>
      <c r="AD237" s="111"/>
      <c r="AE237" s="73"/>
      <c r="AF237" s="73"/>
    </row>
    <row r="238" ht="22.5" customHeight="1">
      <c r="A238" s="73"/>
      <c r="B238" s="73"/>
      <c r="C238" s="73"/>
      <c r="D238" s="73"/>
      <c r="E238" s="330"/>
      <c r="F238" s="118"/>
      <c r="G238" s="118"/>
      <c r="H238" s="118"/>
      <c r="I238" s="118"/>
      <c r="J238" s="119"/>
      <c r="K238" s="120"/>
      <c r="L238" s="120"/>
      <c r="M238" s="120"/>
      <c r="N238" s="120"/>
      <c r="O238" s="118"/>
      <c r="P238" s="120"/>
      <c r="Q238" s="121"/>
      <c r="R238" s="109" t="b">
        <v>0</v>
      </c>
      <c r="S238" s="143" t="str">
        <f t="shared" si="1"/>
        <v>Suspenso</v>
      </c>
      <c r="T238" s="118"/>
      <c r="U238" s="118"/>
      <c r="V238" s="118"/>
      <c r="W238" s="118"/>
      <c r="X238" s="118"/>
      <c r="Y238" s="118"/>
      <c r="Z238" s="118"/>
      <c r="AA238" s="118"/>
      <c r="AB238" s="118"/>
      <c r="AC238" s="118"/>
      <c r="AD238" s="111"/>
      <c r="AE238" s="73"/>
      <c r="AF238" s="73"/>
    </row>
    <row r="239" ht="22.5" customHeight="1">
      <c r="A239" s="73"/>
      <c r="B239" s="73"/>
      <c r="C239" s="73"/>
      <c r="D239" s="73"/>
      <c r="E239" s="330"/>
      <c r="F239" s="118"/>
      <c r="G239" s="118"/>
      <c r="H239" s="118"/>
      <c r="I239" s="118"/>
      <c r="J239" s="119"/>
      <c r="K239" s="120"/>
      <c r="L239" s="120"/>
      <c r="M239" s="120"/>
      <c r="N239" s="120"/>
      <c r="O239" s="118"/>
      <c r="P239" s="120"/>
      <c r="Q239" s="121"/>
      <c r="R239" s="109" t="b">
        <v>0</v>
      </c>
      <c r="S239" s="143" t="str">
        <f t="shared" si="1"/>
        <v>Suspenso</v>
      </c>
      <c r="T239" s="118"/>
      <c r="U239" s="118"/>
      <c r="V239" s="118"/>
      <c r="W239" s="118"/>
      <c r="X239" s="118"/>
      <c r="Y239" s="118"/>
      <c r="Z239" s="118"/>
      <c r="AA239" s="118"/>
      <c r="AB239" s="118"/>
      <c r="AC239" s="118"/>
      <c r="AD239" s="111"/>
      <c r="AE239" s="73"/>
      <c r="AF239" s="73"/>
    </row>
    <row r="240" ht="22.5" customHeight="1">
      <c r="A240" s="73"/>
      <c r="B240" s="73"/>
      <c r="C240" s="73"/>
      <c r="D240" s="73"/>
      <c r="E240" s="330"/>
      <c r="F240" s="118"/>
      <c r="G240" s="118"/>
      <c r="H240" s="118"/>
      <c r="I240" s="118"/>
      <c r="J240" s="119"/>
      <c r="K240" s="120"/>
      <c r="L240" s="120"/>
      <c r="M240" s="120"/>
      <c r="N240" s="120"/>
      <c r="O240" s="118"/>
      <c r="P240" s="120"/>
      <c r="Q240" s="121"/>
      <c r="R240" s="109" t="b">
        <v>0</v>
      </c>
      <c r="S240" s="143" t="str">
        <f t="shared" si="1"/>
        <v>Suspenso</v>
      </c>
      <c r="T240" s="118"/>
      <c r="U240" s="118"/>
      <c r="V240" s="118"/>
      <c r="W240" s="118"/>
      <c r="X240" s="118"/>
      <c r="Y240" s="118"/>
      <c r="Z240" s="118"/>
      <c r="AA240" s="118"/>
      <c r="AB240" s="118"/>
      <c r="AC240" s="118"/>
      <c r="AD240" s="111"/>
      <c r="AE240" s="73"/>
      <c r="AF240" s="73"/>
    </row>
    <row r="241" ht="22.5" customHeight="1">
      <c r="A241" s="73"/>
      <c r="B241" s="73"/>
      <c r="C241" s="73"/>
      <c r="D241" s="73"/>
      <c r="E241" s="330"/>
      <c r="F241" s="118"/>
      <c r="G241" s="118"/>
      <c r="H241" s="118"/>
      <c r="I241" s="118"/>
      <c r="J241" s="119"/>
      <c r="K241" s="120"/>
      <c r="L241" s="120"/>
      <c r="M241" s="120"/>
      <c r="N241" s="120"/>
      <c r="O241" s="118"/>
      <c r="P241" s="120"/>
      <c r="Q241" s="121"/>
      <c r="R241" s="109" t="b">
        <v>0</v>
      </c>
      <c r="S241" s="143" t="str">
        <f t="shared" si="1"/>
        <v>Suspenso</v>
      </c>
      <c r="T241" s="118"/>
      <c r="U241" s="118"/>
      <c r="V241" s="118"/>
      <c r="W241" s="118"/>
      <c r="X241" s="118"/>
      <c r="Y241" s="118"/>
      <c r="Z241" s="118"/>
      <c r="AA241" s="118"/>
      <c r="AB241" s="118"/>
      <c r="AC241" s="118"/>
      <c r="AD241" s="111"/>
      <c r="AE241" s="73"/>
      <c r="AF241" s="73"/>
    </row>
    <row r="242" ht="22.5" customHeight="1">
      <c r="A242" s="73"/>
      <c r="B242" s="73"/>
      <c r="C242" s="73"/>
      <c r="D242" s="73"/>
      <c r="E242" s="330"/>
      <c r="F242" s="118"/>
      <c r="G242" s="118"/>
      <c r="H242" s="118"/>
      <c r="I242" s="118"/>
      <c r="J242" s="119"/>
      <c r="K242" s="120"/>
      <c r="L242" s="120"/>
      <c r="M242" s="120"/>
      <c r="N242" s="120"/>
      <c r="O242" s="118"/>
      <c r="P242" s="120"/>
      <c r="Q242" s="121"/>
      <c r="R242" s="109" t="b">
        <v>0</v>
      </c>
      <c r="S242" s="143" t="str">
        <f t="shared" si="1"/>
        <v>Suspenso</v>
      </c>
      <c r="T242" s="118"/>
      <c r="U242" s="118"/>
      <c r="V242" s="118"/>
      <c r="W242" s="118"/>
      <c r="X242" s="118"/>
      <c r="Y242" s="118"/>
      <c r="Z242" s="118"/>
      <c r="AA242" s="118"/>
      <c r="AB242" s="118"/>
      <c r="AC242" s="118"/>
      <c r="AD242" s="111"/>
      <c r="AE242" s="73"/>
      <c r="AF242" s="73"/>
    </row>
    <row r="243" ht="22.5" customHeight="1">
      <c r="A243" s="73"/>
      <c r="B243" s="73"/>
      <c r="C243" s="73"/>
      <c r="D243" s="73"/>
      <c r="E243" s="330"/>
      <c r="F243" s="118"/>
      <c r="G243" s="118"/>
      <c r="H243" s="118"/>
      <c r="I243" s="118"/>
      <c r="J243" s="119"/>
      <c r="K243" s="120"/>
      <c r="L243" s="120"/>
      <c r="M243" s="120"/>
      <c r="N243" s="120"/>
      <c r="O243" s="118"/>
      <c r="P243" s="120"/>
      <c r="Q243" s="121"/>
      <c r="R243" s="109" t="b">
        <v>0</v>
      </c>
      <c r="S243" s="143" t="str">
        <f t="shared" si="1"/>
        <v>Suspenso</v>
      </c>
      <c r="T243" s="118"/>
      <c r="U243" s="118"/>
      <c r="V243" s="118"/>
      <c r="W243" s="118"/>
      <c r="X243" s="118"/>
      <c r="Y243" s="118"/>
      <c r="Z243" s="118"/>
      <c r="AA243" s="118"/>
      <c r="AB243" s="118"/>
      <c r="AC243" s="118"/>
      <c r="AD243" s="111"/>
      <c r="AE243" s="73"/>
      <c r="AF243" s="73"/>
    </row>
    <row r="244" ht="22.5" customHeight="1">
      <c r="A244" s="73"/>
      <c r="B244" s="73"/>
      <c r="C244" s="73"/>
      <c r="D244" s="73"/>
      <c r="E244" s="330"/>
      <c r="F244" s="118"/>
      <c r="G244" s="118"/>
      <c r="H244" s="118"/>
      <c r="I244" s="118"/>
      <c r="J244" s="119"/>
      <c r="K244" s="120"/>
      <c r="L244" s="120"/>
      <c r="M244" s="120"/>
      <c r="N244" s="120"/>
      <c r="O244" s="118"/>
      <c r="P244" s="120"/>
      <c r="Q244" s="121"/>
      <c r="R244" s="109" t="b">
        <v>0</v>
      </c>
      <c r="S244" s="143" t="str">
        <f t="shared" si="1"/>
        <v>Suspenso</v>
      </c>
      <c r="T244" s="118"/>
      <c r="U244" s="118"/>
      <c r="V244" s="118"/>
      <c r="W244" s="118"/>
      <c r="X244" s="118"/>
      <c r="Y244" s="118"/>
      <c r="Z244" s="118"/>
      <c r="AA244" s="118"/>
      <c r="AB244" s="118"/>
      <c r="AC244" s="118"/>
      <c r="AD244" s="111"/>
      <c r="AE244" s="73"/>
      <c r="AF244" s="73"/>
    </row>
    <row r="245" ht="22.5" customHeight="1">
      <c r="A245" s="73"/>
      <c r="B245" s="73"/>
      <c r="C245" s="73"/>
      <c r="D245" s="73"/>
      <c r="E245" s="330"/>
      <c r="F245" s="118"/>
      <c r="G245" s="118"/>
      <c r="H245" s="118"/>
      <c r="I245" s="118"/>
      <c r="J245" s="119"/>
      <c r="K245" s="120"/>
      <c r="L245" s="120"/>
      <c r="M245" s="120"/>
      <c r="N245" s="120"/>
      <c r="O245" s="118"/>
      <c r="P245" s="120"/>
      <c r="Q245" s="121"/>
      <c r="R245" s="109" t="b">
        <v>0</v>
      </c>
      <c r="S245" s="143" t="str">
        <f t="shared" si="1"/>
        <v>Suspenso</v>
      </c>
      <c r="T245" s="118"/>
      <c r="U245" s="118"/>
      <c r="V245" s="118"/>
      <c r="W245" s="118"/>
      <c r="X245" s="118"/>
      <c r="Y245" s="118"/>
      <c r="Z245" s="118"/>
      <c r="AA245" s="118"/>
      <c r="AB245" s="118"/>
      <c r="AC245" s="118"/>
      <c r="AD245" s="111"/>
      <c r="AE245" s="73"/>
      <c r="AF245" s="73"/>
    </row>
    <row r="246" ht="22.5" customHeight="1">
      <c r="A246" s="73"/>
      <c r="B246" s="73"/>
      <c r="C246" s="73"/>
      <c r="D246" s="73"/>
      <c r="E246" s="330"/>
      <c r="F246" s="118"/>
      <c r="G246" s="118"/>
      <c r="H246" s="118"/>
      <c r="I246" s="118"/>
      <c r="J246" s="119"/>
      <c r="K246" s="120"/>
      <c r="L246" s="120"/>
      <c r="M246" s="120"/>
      <c r="N246" s="120"/>
      <c r="O246" s="118"/>
      <c r="P246" s="120"/>
      <c r="Q246" s="121"/>
      <c r="R246" s="109" t="b">
        <v>0</v>
      </c>
      <c r="S246" s="143" t="str">
        <f t="shared" si="1"/>
        <v>Suspenso</v>
      </c>
      <c r="T246" s="118"/>
      <c r="U246" s="118"/>
      <c r="V246" s="118"/>
      <c r="W246" s="118"/>
      <c r="X246" s="118"/>
      <c r="Y246" s="118"/>
      <c r="Z246" s="118"/>
      <c r="AA246" s="118"/>
      <c r="AB246" s="118"/>
      <c r="AC246" s="118"/>
      <c r="AD246" s="111"/>
      <c r="AE246" s="73"/>
      <c r="AF246" s="73"/>
    </row>
    <row r="247" ht="22.5" customHeight="1">
      <c r="A247" s="73"/>
      <c r="B247" s="73"/>
      <c r="C247" s="73"/>
      <c r="D247" s="73"/>
      <c r="E247" s="330"/>
      <c r="F247" s="118"/>
      <c r="G247" s="118"/>
      <c r="H247" s="118"/>
      <c r="I247" s="118"/>
      <c r="J247" s="119"/>
      <c r="K247" s="120"/>
      <c r="L247" s="120"/>
      <c r="M247" s="120"/>
      <c r="N247" s="120"/>
      <c r="O247" s="118"/>
      <c r="P247" s="120"/>
      <c r="Q247" s="121"/>
      <c r="R247" s="109" t="b">
        <v>0</v>
      </c>
      <c r="S247" s="143" t="str">
        <f t="shared" si="1"/>
        <v>Suspenso</v>
      </c>
      <c r="T247" s="118"/>
      <c r="U247" s="118"/>
      <c r="V247" s="118"/>
      <c r="W247" s="118"/>
      <c r="X247" s="118"/>
      <c r="Y247" s="118"/>
      <c r="Z247" s="118"/>
      <c r="AA247" s="118"/>
      <c r="AB247" s="118"/>
      <c r="AC247" s="118"/>
      <c r="AD247" s="111"/>
      <c r="AE247" s="73"/>
      <c r="AF247" s="73"/>
    </row>
    <row r="248" ht="22.5" customHeight="1">
      <c r="A248" s="73"/>
      <c r="B248" s="73"/>
      <c r="C248" s="73"/>
      <c r="D248" s="73"/>
      <c r="E248" s="330"/>
      <c r="F248" s="118"/>
      <c r="G248" s="118"/>
      <c r="H248" s="118"/>
      <c r="I248" s="118"/>
      <c r="J248" s="119"/>
      <c r="K248" s="120"/>
      <c r="L248" s="120"/>
      <c r="M248" s="120"/>
      <c r="N248" s="120"/>
      <c r="O248" s="118"/>
      <c r="P248" s="120"/>
      <c r="Q248" s="121"/>
      <c r="R248" s="109" t="b">
        <v>0</v>
      </c>
      <c r="S248" s="143" t="str">
        <f t="shared" si="1"/>
        <v>Suspenso</v>
      </c>
      <c r="T248" s="118"/>
      <c r="U248" s="118"/>
      <c r="V248" s="118"/>
      <c r="W248" s="118"/>
      <c r="X248" s="118"/>
      <c r="Y248" s="118"/>
      <c r="Z248" s="118"/>
      <c r="AA248" s="118"/>
      <c r="AB248" s="118"/>
      <c r="AC248" s="118"/>
      <c r="AD248" s="111"/>
      <c r="AE248" s="73"/>
      <c r="AF248" s="73"/>
    </row>
    <row r="249" ht="22.5" customHeight="1">
      <c r="A249" s="73"/>
      <c r="B249" s="73"/>
      <c r="C249" s="73"/>
      <c r="D249" s="73"/>
      <c r="E249" s="330"/>
      <c r="F249" s="118"/>
      <c r="G249" s="118"/>
      <c r="H249" s="118"/>
      <c r="I249" s="118"/>
      <c r="J249" s="119"/>
      <c r="K249" s="120"/>
      <c r="L249" s="120"/>
      <c r="M249" s="120"/>
      <c r="N249" s="120"/>
      <c r="O249" s="118"/>
      <c r="P249" s="120"/>
      <c r="Q249" s="121"/>
      <c r="R249" s="109" t="b">
        <v>0</v>
      </c>
      <c r="S249" s="143" t="str">
        <f t="shared" si="1"/>
        <v>Suspenso</v>
      </c>
      <c r="T249" s="118"/>
      <c r="U249" s="118"/>
      <c r="V249" s="118"/>
      <c r="W249" s="118"/>
      <c r="X249" s="118"/>
      <c r="Y249" s="118"/>
      <c r="Z249" s="118"/>
      <c r="AA249" s="118"/>
      <c r="AB249" s="118"/>
      <c r="AC249" s="118"/>
      <c r="AD249" s="111"/>
      <c r="AE249" s="73"/>
      <c r="AF249" s="73"/>
    </row>
    <row r="250" ht="22.5" customHeight="1">
      <c r="A250" s="73"/>
      <c r="B250" s="73"/>
      <c r="C250" s="73"/>
      <c r="D250" s="73"/>
      <c r="E250" s="330"/>
      <c r="F250" s="118"/>
      <c r="G250" s="118"/>
      <c r="H250" s="118"/>
      <c r="I250" s="118"/>
      <c r="J250" s="119"/>
      <c r="K250" s="120"/>
      <c r="L250" s="120"/>
      <c r="M250" s="120"/>
      <c r="N250" s="120"/>
      <c r="O250" s="118"/>
      <c r="P250" s="120"/>
      <c r="Q250" s="121"/>
      <c r="R250" s="109" t="b">
        <v>0</v>
      </c>
      <c r="S250" s="143" t="str">
        <f t="shared" si="1"/>
        <v>Suspenso</v>
      </c>
      <c r="T250" s="118"/>
      <c r="U250" s="118"/>
      <c r="V250" s="118"/>
      <c r="W250" s="118"/>
      <c r="X250" s="118"/>
      <c r="Y250" s="118"/>
      <c r="Z250" s="118"/>
      <c r="AA250" s="118"/>
      <c r="AB250" s="118"/>
      <c r="AC250" s="118"/>
      <c r="AD250" s="111"/>
      <c r="AE250" s="73"/>
      <c r="AF250" s="73"/>
    </row>
    <row r="251" ht="22.5" customHeight="1">
      <c r="A251" s="73"/>
      <c r="B251" s="73"/>
      <c r="C251" s="73"/>
      <c r="D251" s="73"/>
      <c r="E251" s="330"/>
      <c r="F251" s="118"/>
      <c r="G251" s="118"/>
      <c r="H251" s="118"/>
      <c r="I251" s="118"/>
      <c r="J251" s="119"/>
      <c r="K251" s="120"/>
      <c r="L251" s="120"/>
      <c r="M251" s="120"/>
      <c r="N251" s="120"/>
      <c r="O251" s="118"/>
      <c r="P251" s="120"/>
      <c r="Q251" s="121"/>
      <c r="R251" s="109" t="b">
        <v>0</v>
      </c>
      <c r="S251" s="143" t="str">
        <f t="shared" si="1"/>
        <v>Suspenso</v>
      </c>
      <c r="T251" s="118"/>
      <c r="U251" s="118"/>
      <c r="V251" s="118"/>
      <c r="W251" s="118"/>
      <c r="X251" s="118"/>
      <c r="Y251" s="118"/>
      <c r="Z251" s="118"/>
      <c r="AA251" s="118"/>
      <c r="AB251" s="118"/>
      <c r="AC251" s="118"/>
      <c r="AD251" s="111"/>
      <c r="AE251" s="73"/>
      <c r="AF251" s="73"/>
    </row>
    <row r="252" ht="22.5" customHeight="1">
      <c r="A252" s="73"/>
      <c r="B252" s="73"/>
      <c r="C252" s="73"/>
      <c r="D252" s="73"/>
      <c r="E252" s="330"/>
      <c r="F252" s="118"/>
      <c r="G252" s="118"/>
      <c r="H252" s="118"/>
      <c r="I252" s="118"/>
      <c r="J252" s="119"/>
      <c r="K252" s="120"/>
      <c r="L252" s="120"/>
      <c r="M252" s="120"/>
      <c r="N252" s="120"/>
      <c r="O252" s="118"/>
      <c r="P252" s="120"/>
      <c r="Q252" s="121"/>
      <c r="R252" s="109" t="b">
        <v>0</v>
      </c>
      <c r="S252" s="143" t="str">
        <f t="shared" si="1"/>
        <v>Suspenso</v>
      </c>
      <c r="T252" s="118"/>
      <c r="U252" s="118"/>
      <c r="V252" s="118"/>
      <c r="W252" s="118"/>
      <c r="X252" s="118"/>
      <c r="Y252" s="118"/>
      <c r="Z252" s="118"/>
      <c r="AA252" s="118"/>
      <c r="AB252" s="118"/>
      <c r="AC252" s="118"/>
      <c r="AD252" s="111"/>
      <c r="AE252" s="73"/>
      <c r="AF252" s="73"/>
    </row>
    <row r="253" ht="22.5" customHeight="1">
      <c r="A253" s="73"/>
      <c r="B253" s="73"/>
      <c r="C253" s="73"/>
      <c r="D253" s="73"/>
      <c r="E253" s="330"/>
      <c r="F253" s="118"/>
      <c r="G253" s="118"/>
      <c r="H253" s="118"/>
      <c r="I253" s="118"/>
      <c r="J253" s="119"/>
      <c r="K253" s="120"/>
      <c r="L253" s="120"/>
      <c r="M253" s="120"/>
      <c r="N253" s="120"/>
      <c r="O253" s="118"/>
      <c r="P253" s="120"/>
      <c r="Q253" s="121"/>
      <c r="R253" s="109" t="b">
        <v>0</v>
      </c>
      <c r="S253" s="143" t="str">
        <f t="shared" si="1"/>
        <v>Suspenso</v>
      </c>
      <c r="T253" s="118"/>
      <c r="U253" s="118"/>
      <c r="V253" s="118"/>
      <c r="W253" s="118"/>
      <c r="X253" s="118"/>
      <c r="Y253" s="118"/>
      <c r="Z253" s="118"/>
      <c r="AA253" s="118"/>
      <c r="AB253" s="118"/>
      <c r="AC253" s="118"/>
      <c r="AD253" s="111"/>
      <c r="AE253" s="73"/>
      <c r="AF253" s="73"/>
    </row>
    <row r="254" ht="22.5" customHeight="1">
      <c r="A254" s="73"/>
      <c r="B254" s="73"/>
      <c r="C254" s="73"/>
      <c r="D254" s="73"/>
      <c r="E254" s="330"/>
      <c r="F254" s="118"/>
      <c r="G254" s="118"/>
      <c r="H254" s="118"/>
      <c r="I254" s="118"/>
      <c r="J254" s="119"/>
      <c r="K254" s="120"/>
      <c r="L254" s="120"/>
      <c r="M254" s="120"/>
      <c r="N254" s="120"/>
      <c r="O254" s="118"/>
      <c r="P254" s="120"/>
      <c r="Q254" s="121"/>
      <c r="R254" s="109" t="b">
        <v>0</v>
      </c>
      <c r="S254" s="143" t="str">
        <f t="shared" si="1"/>
        <v>Suspenso</v>
      </c>
      <c r="T254" s="118"/>
      <c r="U254" s="118"/>
      <c r="V254" s="118"/>
      <c r="W254" s="118"/>
      <c r="X254" s="118"/>
      <c r="Y254" s="118"/>
      <c r="Z254" s="118"/>
      <c r="AA254" s="118"/>
      <c r="AB254" s="118"/>
      <c r="AC254" s="118"/>
      <c r="AD254" s="111"/>
      <c r="AE254" s="73"/>
      <c r="AF254" s="73"/>
    </row>
    <row r="255" ht="22.5" customHeight="1">
      <c r="A255" s="73"/>
      <c r="B255" s="73"/>
      <c r="C255" s="73"/>
      <c r="D255" s="73"/>
      <c r="E255" s="330"/>
      <c r="F255" s="118"/>
      <c r="G255" s="118"/>
      <c r="H255" s="118"/>
      <c r="I255" s="118"/>
      <c r="J255" s="119"/>
      <c r="K255" s="120"/>
      <c r="L255" s="120"/>
      <c r="M255" s="120"/>
      <c r="N255" s="120"/>
      <c r="O255" s="118"/>
      <c r="P255" s="120"/>
      <c r="Q255" s="121"/>
      <c r="R255" s="109" t="b">
        <v>0</v>
      </c>
      <c r="S255" s="143" t="str">
        <f t="shared" si="1"/>
        <v>Suspenso</v>
      </c>
      <c r="T255" s="118"/>
      <c r="U255" s="118"/>
      <c r="V255" s="118"/>
      <c r="W255" s="118"/>
      <c r="X255" s="118"/>
      <c r="Y255" s="118"/>
      <c r="Z255" s="118"/>
      <c r="AA255" s="118"/>
      <c r="AB255" s="118"/>
      <c r="AC255" s="118"/>
      <c r="AD255" s="111"/>
      <c r="AE255" s="73"/>
      <c r="AF255" s="73"/>
    </row>
    <row r="256" ht="22.5" customHeight="1">
      <c r="A256" s="73"/>
      <c r="B256" s="73"/>
      <c r="C256" s="73"/>
      <c r="D256" s="73"/>
      <c r="E256" s="330"/>
      <c r="F256" s="118"/>
      <c r="G256" s="118"/>
      <c r="H256" s="118"/>
      <c r="I256" s="118"/>
      <c r="J256" s="119"/>
      <c r="K256" s="120"/>
      <c r="L256" s="120"/>
      <c r="M256" s="120"/>
      <c r="N256" s="120"/>
      <c r="O256" s="118"/>
      <c r="P256" s="120"/>
      <c r="Q256" s="121"/>
      <c r="R256" s="109" t="b">
        <v>0</v>
      </c>
      <c r="S256" s="143" t="str">
        <f t="shared" si="1"/>
        <v>Suspenso</v>
      </c>
      <c r="T256" s="118"/>
      <c r="U256" s="118"/>
      <c r="V256" s="118"/>
      <c r="W256" s="118"/>
      <c r="X256" s="118"/>
      <c r="Y256" s="118"/>
      <c r="Z256" s="118"/>
      <c r="AA256" s="118"/>
      <c r="AB256" s="118"/>
      <c r="AC256" s="118"/>
      <c r="AD256" s="111"/>
      <c r="AE256" s="73"/>
      <c r="AF256" s="73"/>
    </row>
    <row r="257" ht="22.5" customHeight="1">
      <c r="A257" s="73"/>
      <c r="B257" s="73"/>
      <c r="C257" s="73"/>
      <c r="D257" s="73"/>
      <c r="E257" s="330"/>
      <c r="F257" s="118"/>
      <c r="G257" s="118"/>
      <c r="H257" s="118"/>
      <c r="I257" s="118"/>
      <c r="J257" s="119"/>
      <c r="K257" s="120"/>
      <c r="L257" s="120"/>
      <c r="M257" s="120"/>
      <c r="N257" s="120"/>
      <c r="O257" s="118"/>
      <c r="P257" s="120"/>
      <c r="Q257" s="121"/>
      <c r="R257" s="109" t="b">
        <v>0</v>
      </c>
      <c r="S257" s="143" t="str">
        <f t="shared" si="1"/>
        <v>Suspenso</v>
      </c>
      <c r="T257" s="118"/>
      <c r="U257" s="118"/>
      <c r="V257" s="118"/>
      <c r="W257" s="118"/>
      <c r="X257" s="118"/>
      <c r="Y257" s="118"/>
      <c r="Z257" s="118"/>
      <c r="AA257" s="118"/>
      <c r="AB257" s="118"/>
      <c r="AC257" s="118"/>
      <c r="AD257" s="111"/>
      <c r="AE257" s="73"/>
      <c r="AF257" s="73"/>
    </row>
    <row r="258" ht="22.5" customHeight="1">
      <c r="A258" s="73"/>
      <c r="B258" s="73"/>
      <c r="C258" s="73"/>
      <c r="D258" s="73"/>
      <c r="E258" s="330"/>
      <c r="F258" s="118"/>
      <c r="G258" s="118"/>
      <c r="H258" s="118"/>
      <c r="I258" s="118"/>
      <c r="J258" s="119"/>
      <c r="K258" s="120"/>
      <c r="L258" s="120"/>
      <c r="M258" s="120"/>
      <c r="N258" s="120"/>
      <c r="O258" s="118"/>
      <c r="P258" s="120"/>
      <c r="Q258" s="121"/>
      <c r="R258" s="109" t="b">
        <v>0</v>
      </c>
      <c r="S258" s="143" t="str">
        <f t="shared" si="1"/>
        <v>Suspenso</v>
      </c>
      <c r="T258" s="118"/>
      <c r="U258" s="118"/>
      <c r="V258" s="118"/>
      <c r="W258" s="118"/>
      <c r="X258" s="118"/>
      <c r="Y258" s="118"/>
      <c r="Z258" s="118"/>
      <c r="AA258" s="118"/>
      <c r="AB258" s="118"/>
      <c r="AC258" s="118"/>
      <c r="AD258" s="111"/>
      <c r="AE258" s="73"/>
      <c r="AF258" s="73"/>
    </row>
    <row r="259" ht="22.5" customHeight="1">
      <c r="A259" s="73"/>
      <c r="B259" s="73"/>
      <c r="C259" s="73"/>
      <c r="D259" s="73"/>
      <c r="E259" s="330"/>
      <c r="F259" s="118"/>
      <c r="G259" s="118"/>
      <c r="H259" s="118"/>
      <c r="I259" s="118"/>
      <c r="J259" s="119"/>
      <c r="K259" s="120"/>
      <c r="L259" s="120"/>
      <c r="M259" s="120"/>
      <c r="N259" s="120"/>
      <c r="O259" s="118"/>
      <c r="P259" s="120"/>
      <c r="Q259" s="121"/>
      <c r="R259" s="109" t="b">
        <v>0</v>
      </c>
      <c r="S259" s="143" t="str">
        <f t="shared" si="1"/>
        <v>Suspenso</v>
      </c>
      <c r="T259" s="118"/>
      <c r="U259" s="118"/>
      <c r="V259" s="118"/>
      <c r="W259" s="118"/>
      <c r="X259" s="118"/>
      <c r="Y259" s="118"/>
      <c r="Z259" s="118"/>
      <c r="AA259" s="118"/>
      <c r="AB259" s="118"/>
      <c r="AC259" s="118"/>
      <c r="AD259" s="111"/>
      <c r="AE259" s="73"/>
      <c r="AF259" s="73"/>
    </row>
    <row r="260" ht="22.5" customHeight="1">
      <c r="A260" s="73"/>
      <c r="B260" s="73"/>
      <c r="C260" s="73"/>
      <c r="D260" s="73"/>
      <c r="E260" s="330"/>
      <c r="F260" s="118"/>
      <c r="G260" s="118"/>
      <c r="H260" s="118"/>
      <c r="I260" s="118"/>
      <c r="J260" s="119"/>
      <c r="K260" s="120"/>
      <c r="L260" s="120"/>
      <c r="M260" s="120"/>
      <c r="N260" s="120"/>
      <c r="O260" s="118"/>
      <c r="P260" s="120"/>
      <c r="Q260" s="121"/>
      <c r="R260" s="109" t="b">
        <v>0</v>
      </c>
      <c r="S260" s="143" t="str">
        <f t="shared" si="1"/>
        <v>Suspenso</v>
      </c>
      <c r="T260" s="118"/>
      <c r="U260" s="118"/>
      <c r="V260" s="118"/>
      <c r="W260" s="118"/>
      <c r="X260" s="118"/>
      <c r="Y260" s="118"/>
      <c r="Z260" s="118"/>
      <c r="AA260" s="118"/>
      <c r="AB260" s="118"/>
      <c r="AC260" s="118"/>
      <c r="AD260" s="111"/>
      <c r="AE260" s="73"/>
      <c r="AF260" s="73"/>
    </row>
    <row r="261" ht="22.5" customHeight="1">
      <c r="A261" s="73"/>
      <c r="B261" s="73"/>
      <c r="C261" s="73"/>
      <c r="D261" s="73"/>
      <c r="E261" s="330"/>
      <c r="F261" s="118"/>
      <c r="G261" s="118"/>
      <c r="H261" s="118"/>
      <c r="I261" s="118"/>
      <c r="J261" s="119"/>
      <c r="K261" s="120"/>
      <c r="L261" s="120"/>
      <c r="M261" s="120"/>
      <c r="N261" s="120"/>
      <c r="O261" s="118"/>
      <c r="P261" s="120"/>
      <c r="Q261" s="121"/>
      <c r="R261" s="109" t="b">
        <v>0</v>
      </c>
      <c r="S261" s="143" t="str">
        <f t="shared" si="1"/>
        <v>Suspenso</v>
      </c>
      <c r="T261" s="118"/>
      <c r="U261" s="118"/>
      <c r="V261" s="118"/>
      <c r="W261" s="118"/>
      <c r="X261" s="118"/>
      <c r="Y261" s="118"/>
      <c r="Z261" s="118"/>
      <c r="AA261" s="118"/>
      <c r="AB261" s="118"/>
      <c r="AC261" s="118"/>
      <c r="AD261" s="111"/>
      <c r="AE261" s="73"/>
      <c r="AF261" s="73"/>
    </row>
    <row r="262" ht="22.5" customHeight="1">
      <c r="A262" s="73"/>
      <c r="B262" s="73"/>
      <c r="C262" s="73"/>
      <c r="D262" s="73"/>
      <c r="E262" s="330"/>
      <c r="F262" s="118"/>
      <c r="G262" s="118"/>
      <c r="H262" s="118"/>
      <c r="I262" s="118"/>
      <c r="J262" s="119"/>
      <c r="K262" s="120"/>
      <c r="L262" s="120"/>
      <c r="M262" s="120"/>
      <c r="N262" s="120"/>
      <c r="O262" s="118"/>
      <c r="P262" s="120"/>
      <c r="Q262" s="121"/>
      <c r="R262" s="109" t="b">
        <v>0</v>
      </c>
      <c r="S262" s="143" t="str">
        <f t="shared" si="1"/>
        <v>Suspenso</v>
      </c>
      <c r="T262" s="118"/>
      <c r="U262" s="118"/>
      <c r="V262" s="118"/>
      <c r="W262" s="118"/>
      <c r="X262" s="118"/>
      <c r="Y262" s="118"/>
      <c r="Z262" s="118"/>
      <c r="AA262" s="118"/>
      <c r="AB262" s="118"/>
      <c r="AC262" s="118"/>
      <c r="AD262" s="111"/>
      <c r="AE262" s="73"/>
      <c r="AF262" s="73"/>
    </row>
    <row r="263" ht="22.5" customHeight="1">
      <c r="A263" s="73"/>
      <c r="B263" s="73"/>
      <c r="C263" s="73"/>
      <c r="D263" s="73"/>
      <c r="E263" s="330"/>
      <c r="F263" s="118"/>
      <c r="G263" s="118"/>
      <c r="H263" s="118"/>
      <c r="I263" s="118"/>
      <c r="J263" s="119"/>
      <c r="K263" s="120"/>
      <c r="L263" s="120"/>
      <c r="M263" s="120"/>
      <c r="N263" s="120"/>
      <c r="O263" s="118"/>
      <c r="P263" s="120"/>
      <c r="Q263" s="121"/>
      <c r="R263" s="109" t="b">
        <v>0</v>
      </c>
      <c r="S263" s="143" t="str">
        <f t="shared" si="1"/>
        <v>Suspenso</v>
      </c>
      <c r="T263" s="118"/>
      <c r="U263" s="118"/>
      <c r="V263" s="118"/>
      <c r="W263" s="118"/>
      <c r="X263" s="118"/>
      <c r="Y263" s="118"/>
      <c r="Z263" s="118"/>
      <c r="AA263" s="118"/>
      <c r="AB263" s="118"/>
      <c r="AC263" s="118"/>
      <c r="AD263" s="111"/>
      <c r="AE263" s="73"/>
      <c r="AF263" s="73"/>
    </row>
    <row r="264" ht="22.5" customHeight="1">
      <c r="A264" s="73"/>
      <c r="B264" s="73"/>
      <c r="C264" s="73"/>
      <c r="D264" s="73"/>
      <c r="E264" s="330"/>
      <c r="F264" s="118"/>
      <c r="G264" s="118"/>
      <c r="H264" s="118"/>
      <c r="I264" s="118"/>
      <c r="J264" s="119"/>
      <c r="K264" s="120"/>
      <c r="L264" s="120"/>
      <c r="M264" s="120"/>
      <c r="N264" s="120"/>
      <c r="O264" s="118"/>
      <c r="P264" s="120"/>
      <c r="Q264" s="121"/>
      <c r="R264" s="109" t="b">
        <v>0</v>
      </c>
      <c r="S264" s="143" t="str">
        <f t="shared" si="1"/>
        <v>Suspenso</v>
      </c>
      <c r="T264" s="118"/>
      <c r="U264" s="118"/>
      <c r="V264" s="118"/>
      <c r="W264" s="118"/>
      <c r="X264" s="118"/>
      <c r="Y264" s="118"/>
      <c r="Z264" s="118"/>
      <c r="AA264" s="118"/>
      <c r="AB264" s="118"/>
      <c r="AC264" s="118"/>
      <c r="AD264" s="111"/>
      <c r="AE264" s="73"/>
      <c r="AF264" s="73"/>
    </row>
    <row r="265" ht="22.5" customHeight="1">
      <c r="A265" s="73"/>
      <c r="B265" s="73"/>
      <c r="C265" s="73"/>
      <c r="D265" s="73"/>
      <c r="E265" s="330"/>
      <c r="F265" s="118"/>
      <c r="G265" s="118"/>
      <c r="H265" s="118"/>
      <c r="I265" s="118"/>
      <c r="J265" s="119"/>
      <c r="K265" s="120"/>
      <c r="L265" s="120"/>
      <c r="M265" s="120"/>
      <c r="N265" s="120"/>
      <c r="O265" s="118"/>
      <c r="P265" s="120"/>
      <c r="Q265" s="121"/>
      <c r="R265" s="109" t="b">
        <v>0</v>
      </c>
      <c r="S265" s="143" t="str">
        <f t="shared" si="1"/>
        <v>Suspenso</v>
      </c>
      <c r="T265" s="118"/>
      <c r="U265" s="118"/>
      <c r="V265" s="118"/>
      <c r="W265" s="118"/>
      <c r="X265" s="118"/>
      <c r="Y265" s="118"/>
      <c r="Z265" s="118"/>
      <c r="AA265" s="118"/>
      <c r="AB265" s="118"/>
      <c r="AC265" s="118"/>
      <c r="AD265" s="111"/>
      <c r="AE265" s="73"/>
      <c r="AF265" s="73"/>
    </row>
    <row r="266" ht="22.5" customHeight="1">
      <c r="A266" s="73"/>
      <c r="B266" s="73"/>
      <c r="C266" s="73"/>
      <c r="D266" s="73"/>
      <c r="E266" s="330"/>
      <c r="F266" s="118"/>
      <c r="G266" s="118"/>
      <c r="H266" s="118"/>
      <c r="I266" s="118"/>
      <c r="J266" s="119"/>
      <c r="K266" s="120"/>
      <c r="L266" s="120"/>
      <c r="M266" s="120"/>
      <c r="N266" s="120"/>
      <c r="O266" s="118"/>
      <c r="P266" s="120"/>
      <c r="Q266" s="121"/>
      <c r="R266" s="109" t="b">
        <v>0</v>
      </c>
      <c r="S266" s="143" t="str">
        <f t="shared" si="1"/>
        <v>Suspenso</v>
      </c>
      <c r="T266" s="118"/>
      <c r="U266" s="118"/>
      <c r="V266" s="118"/>
      <c r="W266" s="118"/>
      <c r="X266" s="118"/>
      <c r="Y266" s="118"/>
      <c r="Z266" s="118"/>
      <c r="AA266" s="118"/>
      <c r="AB266" s="118"/>
      <c r="AC266" s="118"/>
      <c r="AD266" s="111"/>
      <c r="AE266" s="73"/>
      <c r="AF266" s="73"/>
    </row>
    <row r="267" ht="22.5" customHeight="1">
      <c r="A267" s="73"/>
      <c r="B267" s="73"/>
      <c r="C267" s="73"/>
      <c r="D267" s="73"/>
      <c r="E267" s="330"/>
      <c r="F267" s="118"/>
      <c r="G267" s="118"/>
      <c r="H267" s="118"/>
      <c r="I267" s="118"/>
      <c r="J267" s="119"/>
      <c r="K267" s="120"/>
      <c r="L267" s="120"/>
      <c r="M267" s="120"/>
      <c r="N267" s="120"/>
      <c r="O267" s="118"/>
      <c r="P267" s="120"/>
      <c r="Q267" s="121"/>
      <c r="R267" s="109" t="b">
        <v>0</v>
      </c>
      <c r="S267" s="143" t="str">
        <f t="shared" si="1"/>
        <v>Suspenso</v>
      </c>
      <c r="T267" s="118"/>
      <c r="U267" s="118"/>
      <c r="V267" s="118"/>
      <c r="W267" s="118"/>
      <c r="X267" s="118"/>
      <c r="Y267" s="118"/>
      <c r="Z267" s="118"/>
      <c r="AA267" s="118"/>
      <c r="AB267" s="118"/>
      <c r="AC267" s="118"/>
      <c r="AD267" s="111"/>
      <c r="AE267" s="73"/>
      <c r="AF267" s="73"/>
    </row>
    <row r="268" ht="22.5" customHeight="1">
      <c r="A268" s="73"/>
      <c r="B268" s="73"/>
      <c r="C268" s="73"/>
      <c r="D268" s="73"/>
      <c r="E268" s="330"/>
      <c r="F268" s="118"/>
      <c r="G268" s="118"/>
      <c r="H268" s="118"/>
      <c r="I268" s="118"/>
      <c r="J268" s="119"/>
      <c r="K268" s="120"/>
      <c r="L268" s="120"/>
      <c r="M268" s="120"/>
      <c r="N268" s="120"/>
      <c r="O268" s="118"/>
      <c r="P268" s="120"/>
      <c r="Q268" s="121"/>
      <c r="R268" s="109" t="b">
        <v>0</v>
      </c>
      <c r="S268" s="143" t="str">
        <f t="shared" si="1"/>
        <v>Suspenso</v>
      </c>
      <c r="T268" s="118"/>
      <c r="U268" s="118"/>
      <c r="V268" s="118"/>
      <c r="W268" s="118"/>
      <c r="X268" s="118"/>
      <c r="Y268" s="118"/>
      <c r="Z268" s="118"/>
      <c r="AA268" s="118"/>
      <c r="AB268" s="118"/>
      <c r="AC268" s="118"/>
      <c r="AD268" s="111"/>
      <c r="AE268" s="73"/>
      <c r="AF268" s="73"/>
    </row>
    <row r="269" ht="22.5" customHeight="1">
      <c r="A269" s="73"/>
      <c r="B269" s="73"/>
      <c r="C269" s="73"/>
      <c r="D269" s="73"/>
      <c r="E269" s="330"/>
      <c r="F269" s="118"/>
      <c r="G269" s="118"/>
      <c r="H269" s="118"/>
      <c r="I269" s="118"/>
      <c r="J269" s="119"/>
      <c r="K269" s="120"/>
      <c r="L269" s="120"/>
      <c r="M269" s="120"/>
      <c r="N269" s="120"/>
      <c r="O269" s="118"/>
      <c r="P269" s="120"/>
      <c r="Q269" s="121"/>
      <c r="R269" s="109" t="b">
        <v>0</v>
      </c>
      <c r="S269" s="143" t="str">
        <f t="shared" si="1"/>
        <v>Suspenso</v>
      </c>
      <c r="T269" s="118"/>
      <c r="U269" s="118"/>
      <c r="V269" s="118"/>
      <c r="W269" s="118"/>
      <c r="X269" s="118"/>
      <c r="Y269" s="118"/>
      <c r="Z269" s="118"/>
      <c r="AA269" s="118"/>
      <c r="AB269" s="118"/>
      <c r="AC269" s="118"/>
      <c r="AD269" s="111"/>
      <c r="AE269" s="73"/>
      <c r="AF269" s="73"/>
    </row>
    <row r="270" ht="22.5" customHeight="1">
      <c r="A270" s="73"/>
      <c r="B270" s="73"/>
      <c r="C270" s="73"/>
      <c r="D270" s="73"/>
      <c r="E270" s="330"/>
      <c r="F270" s="118"/>
      <c r="G270" s="118"/>
      <c r="H270" s="118"/>
      <c r="I270" s="118"/>
      <c r="J270" s="119"/>
      <c r="K270" s="120"/>
      <c r="L270" s="120"/>
      <c r="M270" s="120"/>
      <c r="N270" s="120"/>
      <c r="O270" s="118"/>
      <c r="P270" s="120"/>
      <c r="Q270" s="121"/>
      <c r="R270" s="109" t="b">
        <v>0</v>
      </c>
      <c r="S270" s="143" t="str">
        <f t="shared" si="1"/>
        <v>Suspenso</v>
      </c>
      <c r="T270" s="118"/>
      <c r="U270" s="118"/>
      <c r="V270" s="118"/>
      <c r="W270" s="118"/>
      <c r="X270" s="118"/>
      <c r="Y270" s="118"/>
      <c r="Z270" s="118"/>
      <c r="AA270" s="118"/>
      <c r="AB270" s="118"/>
      <c r="AC270" s="118"/>
      <c r="AD270" s="111"/>
      <c r="AE270" s="73"/>
      <c r="AF270" s="73"/>
    </row>
    <row r="271" ht="22.5" customHeight="1">
      <c r="A271" s="73"/>
      <c r="B271" s="73"/>
      <c r="C271" s="73"/>
      <c r="D271" s="73"/>
      <c r="E271" s="330"/>
      <c r="F271" s="118"/>
      <c r="G271" s="118"/>
      <c r="H271" s="118"/>
      <c r="I271" s="118"/>
      <c r="J271" s="119"/>
      <c r="K271" s="120"/>
      <c r="L271" s="120"/>
      <c r="M271" s="120"/>
      <c r="N271" s="120"/>
      <c r="O271" s="118"/>
      <c r="P271" s="120"/>
      <c r="Q271" s="121"/>
      <c r="R271" s="109" t="b">
        <v>0</v>
      </c>
      <c r="S271" s="143" t="str">
        <f t="shared" si="1"/>
        <v>Suspenso</v>
      </c>
      <c r="T271" s="118"/>
      <c r="U271" s="118"/>
      <c r="V271" s="118"/>
      <c r="W271" s="118"/>
      <c r="X271" s="118"/>
      <c r="Y271" s="118"/>
      <c r="Z271" s="118"/>
      <c r="AA271" s="118"/>
      <c r="AB271" s="118"/>
      <c r="AC271" s="118"/>
      <c r="AD271" s="111"/>
      <c r="AE271" s="73"/>
      <c r="AF271" s="73"/>
    </row>
    <row r="272" ht="22.5" customHeight="1">
      <c r="A272" s="73"/>
      <c r="B272" s="73"/>
      <c r="C272" s="73"/>
      <c r="D272" s="73"/>
      <c r="E272" s="330"/>
      <c r="F272" s="118"/>
      <c r="G272" s="118"/>
      <c r="H272" s="118"/>
      <c r="I272" s="118"/>
      <c r="J272" s="119"/>
      <c r="K272" s="120"/>
      <c r="L272" s="120"/>
      <c r="M272" s="120"/>
      <c r="N272" s="120"/>
      <c r="O272" s="118"/>
      <c r="P272" s="120"/>
      <c r="Q272" s="121"/>
      <c r="R272" s="109" t="b">
        <v>0</v>
      </c>
      <c r="S272" s="143" t="str">
        <f t="shared" si="1"/>
        <v>Suspenso</v>
      </c>
      <c r="T272" s="118"/>
      <c r="U272" s="118"/>
      <c r="V272" s="118"/>
      <c r="W272" s="118"/>
      <c r="X272" s="118"/>
      <c r="Y272" s="118"/>
      <c r="Z272" s="118"/>
      <c r="AA272" s="118"/>
      <c r="AB272" s="118"/>
      <c r="AC272" s="118"/>
      <c r="AD272" s="111"/>
      <c r="AE272" s="73"/>
      <c r="AF272" s="73"/>
    </row>
    <row r="273" ht="22.5" customHeight="1">
      <c r="A273" s="73"/>
      <c r="B273" s="73"/>
      <c r="C273" s="73"/>
      <c r="D273" s="73"/>
      <c r="E273" s="330"/>
      <c r="F273" s="118"/>
      <c r="G273" s="118"/>
      <c r="H273" s="118"/>
      <c r="I273" s="118"/>
      <c r="J273" s="119"/>
      <c r="K273" s="120"/>
      <c r="L273" s="120"/>
      <c r="M273" s="120"/>
      <c r="N273" s="120"/>
      <c r="O273" s="118"/>
      <c r="P273" s="120"/>
      <c r="Q273" s="121"/>
      <c r="R273" s="109" t="b">
        <v>0</v>
      </c>
      <c r="S273" s="143" t="str">
        <f t="shared" si="1"/>
        <v>Suspenso</v>
      </c>
      <c r="T273" s="118"/>
      <c r="U273" s="118"/>
      <c r="V273" s="118"/>
      <c r="W273" s="118"/>
      <c r="X273" s="118"/>
      <c r="Y273" s="118"/>
      <c r="Z273" s="118"/>
      <c r="AA273" s="118"/>
      <c r="AB273" s="118"/>
      <c r="AC273" s="118"/>
      <c r="AD273" s="111"/>
      <c r="AE273" s="73"/>
      <c r="AF273" s="73"/>
    </row>
    <row r="274" ht="22.5" customHeight="1">
      <c r="A274" s="73"/>
      <c r="B274" s="73"/>
      <c r="C274" s="73"/>
      <c r="D274" s="73"/>
      <c r="E274" s="330"/>
      <c r="F274" s="118"/>
      <c r="G274" s="118"/>
      <c r="H274" s="118"/>
      <c r="I274" s="118"/>
      <c r="J274" s="119"/>
      <c r="K274" s="120"/>
      <c r="L274" s="120"/>
      <c r="M274" s="120"/>
      <c r="N274" s="120"/>
      <c r="O274" s="118"/>
      <c r="P274" s="120"/>
      <c r="Q274" s="121"/>
      <c r="R274" s="109" t="b">
        <v>0</v>
      </c>
      <c r="S274" s="143" t="str">
        <f t="shared" si="1"/>
        <v>Suspenso</v>
      </c>
      <c r="T274" s="118"/>
      <c r="U274" s="118"/>
      <c r="V274" s="118"/>
      <c r="W274" s="118"/>
      <c r="X274" s="118"/>
      <c r="Y274" s="118"/>
      <c r="Z274" s="118"/>
      <c r="AA274" s="118"/>
      <c r="AB274" s="118"/>
      <c r="AC274" s="118"/>
      <c r="AD274" s="111"/>
      <c r="AE274" s="73"/>
      <c r="AF274" s="73"/>
    </row>
    <row r="275" ht="22.5" customHeight="1">
      <c r="A275" s="73"/>
      <c r="B275" s="73"/>
      <c r="C275" s="73"/>
      <c r="D275" s="73"/>
      <c r="E275" s="330"/>
      <c r="F275" s="118"/>
      <c r="G275" s="118"/>
      <c r="H275" s="118"/>
      <c r="I275" s="118"/>
      <c r="J275" s="119"/>
      <c r="K275" s="120"/>
      <c r="L275" s="120"/>
      <c r="M275" s="120"/>
      <c r="N275" s="120"/>
      <c r="O275" s="118"/>
      <c r="P275" s="120"/>
      <c r="Q275" s="121"/>
      <c r="R275" s="109" t="b">
        <v>0</v>
      </c>
      <c r="S275" s="143" t="str">
        <f t="shared" si="1"/>
        <v>Suspenso</v>
      </c>
      <c r="T275" s="118"/>
      <c r="U275" s="118"/>
      <c r="V275" s="118"/>
      <c r="W275" s="118"/>
      <c r="X275" s="118"/>
      <c r="Y275" s="118"/>
      <c r="Z275" s="118"/>
      <c r="AA275" s="118"/>
      <c r="AB275" s="118"/>
      <c r="AC275" s="118"/>
      <c r="AD275" s="111"/>
      <c r="AE275" s="73"/>
      <c r="AF275" s="73"/>
    </row>
    <row r="276" ht="22.5" customHeight="1">
      <c r="A276" s="73"/>
      <c r="B276" s="73"/>
      <c r="C276" s="73"/>
      <c r="D276" s="73"/>
      <c r="E276" s="330"/>
      <c r="F276" s="118"/>
      <c r="G276" s="118"/>
      <c r="H276" s="118"/>
      <c r="I276" s="118"/>
      <c r="J276" s="119"/>
      <c r="K276" s="120"/>
      <c r="L276" s="120"/>
      <c r="M276" s="120"/>
      <c r="N276" s="120"/>
      <c r="O276" s="118"/>
      <c r="P276" s="120"/>
      <c r="Q276" s="121"/>
      <c r="R276" s="109" t="b">
        <v>0</v>
      </c>
      <c r="S276" s="143" t="str">
        <f t="shared" si="1"/>
        <v>Suspenso</v>
      </c>
      <c r="T276" s="118"/>
      <c r="U276" s="118"/>
      <c r="V276" s="118"/>
      <c r="W276" s="118"/>
      <c r="X276" s="118"/>
      <c r="Y276" s="118"/>
      <c r="Z276" s="118"/>
      <c r="AA276" s="118"/>
      <c r="AB276" s="118"/>
      <c r="AC276" s="118"/>
      <c r="AD276" s="111"/>
      <c r="AE276" s="73"/>
      <c r="AF276" s="73"/>
    </row>
    <row r="277" ht="22.5" customHeight="1">
      <c r="A277" s="73"/>
      <c r="B277" s="73"/>
      <c r="C277" s="73"/>
      <c r="D277" s="73"/>
      <c r="E277" s="330"/>
      <c r="F277" s="118"/>
      <c r="G277" s="118"/>
      <c r="H277" s="118"/>
      <c r="I277" s="118"/>
      <c r="J277" s="119"/>
      <c r="K277" s="120"/>
      <c r="L277" s="120"/>
      <c r="M277" s="120"/>
      <c r="N277" s="120"/>
      <c r="O277" s="118"/>
      <c r="P277" s="120"/>
      <c r="Q277" s="121"/>
      <c r="R277" s="109" t="b">
        <v>0</v>
      </c>
      <c r="S277" s="143" t="str">
        <f t="shared" si="1"/>
        <v>Suspenso</v>
      </c>
      <c r="T277" s="118"/>
      <c r="U277" s="118"/>
      <c r="V277" s="118"/>
      <c r="W277" s="118"/>
      <c r="X277" s="118"/>
      <c r="Y277" s="118"/>
      <c r="Z277" s="118"/>
      <c r="AA277" s="118"/>
      <c r="AB277" s="118"/>
      <c r="AC277" s="118"/>
      <c r="AD277" s="111"/>
      <c r="AE277" s="73"/>
      <c r="AF277" s="73"/>
    </row>
    <row r="278" ht="22.5" customHeight="1">
      <c r="A278" s="73"/>
      <c r="B278" s="73"/>
      <c r="C278" s="73"/>
      <c r="D278" s="73"/>
      <c r="E278" s="330"/>
      <c r="F278" s="118"/>
      <c r="G278" s="118"/>
      <c r="H278" s="118"/>
      <c r="I278" s="118"/>
      <c r="J278" s="119"/>
      <c r="K278" s="120"/>
      <c r="L278" s="120"/>
      <c r="M278" s="120"/>
      <c r="N278" s="120"/>
      <c r="O278" s="118"/>
      <c r="P278" s="120"/>
      <c r="Q278" s="121"/>
      <c r="R278" s="109" t="b">
        <v>0</v>
      </c>
      <c r="S278" s="143" t="str">
        <f t="shared" si="1"/>
        <v>Suspenso</v>
      </c>
      <c r="T278" s="118"/>
      <c r="U278" s="118"/>
      <c r="V278" s="118"/>
      <c r="W278" s="118"/>
      <c r="X278" s="118"/>
      <c r="Y278" s="118"/>
      <c r="Z278" s="118"/>
      <c r="AA278" s="118"/>
      <c r="AB278" s="118"/>
      <c r="AC278" s="118"/>
      <c r="AD278" s="111"/>
      <c r="AE278" s="73"/>
      <c r="AF278" s="73"/>
    </row>
    <row r="279" ht="22.5" customHeight="1">
      <c r="A279" s="73"/>
      <c r="B279" s="73"/>
      <c r="C279" s="73"/>
      <c r="D279" s="73"/>
      <c r="E279" s="330"/>
      <c r="F279" s="118"/>
      <c r="G279" s="118"/>
      <c r="H279" s="118"/>
      <c r="I279" s="118"/>
      <c r="J279" s="119"/>
      <c r="K279" s="120"/>
      <c r="L279" s="120"/>
      <c r="M279" s="120"/>
      <c r="N279" s="120"/>
      <c r="O279" s="118"/>
      <c r="P279" s="120"/>
      <c r="Q279" s="121"/>
      <c r="R279" s="109" t="b">
        <v>0</v>
      </c>
      <c r="S279" s="143" t="str">
        <f t="shared" si="1"/>
        <v>Suspenso</v>
      </c>
      <c r="T279" s="118"/>
      <c r="U279" s="118"/>
      <c r="V279" s="118"/>
      <c r="W279" s="118"/>
      <c r="X279" s="118"/>
      <c r="Y279" s="118"/>
      <c r="Z279" s="118"/>
      <c r="AA279" s="118"/>
      <c r="AB279" s="118"/>
      <c r="AC279" s="118"/>
      <c r="AD279" s="111"/>
      <c r="AE279" s="73"/>
      <c r="AF279" s="73"/>
    </row>
    <row r="280" ht="22.5" customHeight="1">
      <c r="A280" s="73"/>
      <c r="B280" s="73"/>
      <c r="C280" s="73"/>
      <c r="D280" s="73"/>
      <c r="E280" s="330"/>
      <c r="F280" s="118"/>
      <c r="G280" s="118"/>
      <c r="H280" s="118"/>
      <c r="I280" s="118"/>
      <c r="J280" s="119"/>
      <c r="K280" s="120"/>
      <c r="L280" s="120"/>
      <c r="M280" s="120"/>
      <c r="N280" s="120"/>
      <c r="O280" s="118"/>
      <c r="P280" s="120"/>
      <c r="Q280" s="121"/>
      <c r="R280" s="109" t="b">
        <v>0</v>
      </c>
      <c r="S280" s="143" t="str">
        <f t="shared" si="1"/>
        <v>Suspenso</v>
      </c>
      <c r="T280" s="118"/>
      <c r="U280" s="118"/>
      <c r="V280" s="118"/>
      <c r="W280" s="118"/>
      <c r="X280" s="118"/>
      <c r="Y280" s="118"/>
      <c r="Z280" s="118"/>
      <c r="AA280" s="118"/>
      <c r="AB280" s="118"/>
      <c r="AC280" s="118"/>
      <c r="AD280" s="111"/>
      <c r="AE280" s="73"/>
      <c r="AF280" s="73"/>
    </row>
    <row r="281" ht="22.5" customHeight="1">
      <c r="A281" s="73"/>
      <c r="B281" s="73"/>
      <c r="C281" s="73"/>
      <c r="D281" s="73"/>
      <c r="E281" s="330"/>
      <c r="F281" s="118"/>
      <c r="G281" s="118"/>
      <c r="H281" s="118"/>
      <c r="I281" s="118"/>
      <c r="J281" s="119"/>
      <c r="K281" s="120"/>
      <c r="L281" s="120"/>
      <c r="M281" s="120"/>
      <c r="N281" s="120"/>
      <c r="O281" s="118"/>
      <c r="P281" s="120"/>
      <c r="Q281" s="121"/>
      <c r="R281" s="109" t="b">
        <v>0</v>
      </c>
      <c r="S281" s="143" t="str">
        <f t="shared" si="1"/>
        <v>Suspenso</v>
      </c>
      <c r="T281" s="118"/>
      <c r="U281" s="118"/>
      <c r="V281" s="118"/>
      <c r="W281" s="118"/>
      <c r="X281" s="118"/>
      <c r="Y281" s="118"/>
      <c r="Z281" s="118"/>
      <c r="AA281" s="118"/>
      <c r="AB281" s="118"/>
      <c r="AC281" s="118"/>
      <c r="AD281" s="111"/>
      <c r="AE281" s="73"/>
      <c r="AF281" s="73"/>
    </row>
    <row r="282" ht="22.5" customHeight="1">
      <c r="A282" s="73"/>
      <c r="B282" s="73"/>
      <c r="C282" s="73"/>
      <c r="D282" s="73"/>
      <c r="E282" s="330"/>
      <c r="F282" s="118"/>
      <c r="G282" s="118"/>
      <c r="H282" s="118"/>
      <c r="I282" s="118"/>
      <c r="J282" s="119"/>
      <c r="K282" s="120"/>
      <c r="L282" s="120"/>
      <c r="M282" s="120"/>
      <c r="N282" s="120"/>
      <c r="O282" s="118"/>
      <c r="P282" s="120"/>
      <c r="Q282" s="121"/>
      <c r="R282" s="109" t="b">
        <v>0</v>
      </c>
      <c r="S282" s="143" t="str">
        <f t="shared" si="1"/>
        <v>Suspenso</v>
      </c>
      <c r="T282" s="118"/>
      <c r="U282" s="118"/>
      <c r="V282" s="118"/>
      <c r="W282" s="118"/>
      <c r="X282" s="118"/>
      <c r="Y282" s="118"/>
      <c r="Z282" s="118"/>
      <c r="AA282" s="118"/>
      <c r="AB282" s="118"/>
      <c r="AC282" s="118"/>
      <c r="AD282" s="111"/>
      <c r="AE282" s="73"/>
      <c r="AF282" s="73"/>
    </row>
    <row r="283" ht="22.5" customHeight="1">
      <c r="A283" s="73"/>
      <c r="B283" s="73"/>
      <c r="C283" s="73"/>
      <c r="D283" s="73"/>
      <c r="E283" s="330"/>
      <c r="F283" s="118"/>
      <c r="G283" s="118"/>
      <c r="H283" s="118"/>
      <c r="I283" s="118"/>
      <c r="J283" s="119"/>
      <c r="K283" s="120"/>
      <c r="L283" s="120"/>
      <c r="M283" s="120"/>
      <c r="N283" s="120"/>
      <c r="O283" s="118"/>
      <c r="P283" s="120"/>
      <c r="Q283" s="121"/>
      <c r="R283" s="109" t="b">
        <v>0</v>
      </c>
      <c r="S283" s="143" t="str">
        <f t="shared" si="1"/>
        <v>Suspenso</v>
      </c>
      <c r="T283" s="118"/>
      <c r="U283" s="118"/>
      <c r="V283" s="118"/>
      <c r="W283" s="118"/>
      <c r="X283" s="118"/>
      <c r="Y283" s="118"/>
      <c r="Z283" s="118"/>
      <c r="AA283" s="118"/>
      <c r="AB283" s="118"/>
      <c r="AC283" s="118"/>
      <c r="AD283" s="111"/>
      <c r="AE283" s="73"/>
      <c r="AF283" s="73"/>
    </row>
    <row r="284" ht="22.5" customHeight="1">
      <c r="A284" s="73"/>
      <c r="B284" s="73"/>
      <c r="C284" s="73"/>
      <c r="D284" s="73"/>
      <c r="E284" s="330"/>
      <c r="F284" s="118"/>
      <c r="G284" s="118"/>
      <c r="H284" s="118"/>
      <c r="I284" s="118"/>
      <c r="J284" s="119"/>
      <c r="K284" s="120"/>
      <c r="L284" s="120"/>
      <c r="M284" s="120"/>
      <c r="N284" s="120"/>
      <c r="O284" s="118"/>
      <c r="P284" s="120"/>
      <c r="Q284" s="121"/>
      <c r="R284" s="109" t="b">
        <v>0</v>
      </c>
      <c r="S284" s="143" t="str">
        <f t="shared" si="1"/>
        <v>Suspenso</v>
      </c>
      <c r="T284" s="118"/>
      <c r="U284" s="118"/>
      <c r="V284" s="118"/>
      <c r="W284" s="118"/>
      <c r="X284" s="118"/>
      <c r="Y284" s="118"/>
      <c r="Z284" s="118"/>
      <c r="AA284" s="118"/>
      <c r="AB284" s="118"/>
      <c r="AC284" s="118"/>
      <c r="AD284" s="111"/>
      <c r="AE284" s="73"/>
      <c r="AF284" s="73"/>
    </row>
    <row r="285" ht="22.5" customHeight="1">
      <c r="A285" s="73"/>
      <c r="B285" s="73"/>
      <c r="C285" s="73"/>
      <c r="D285" s="73"/>
      <c r="E285" s="330"/>
      <c r="F285" s="118"/>
      <c r="G285" s="118"/>
      <c r="H285" s="118"/>
      <c r="I285" s="118"/>
      <c r="J285" s="119"/>
      <c r="K285" s="120"/>
      <c r="L285" s="120"/>
      <c r="M285" s="120"/>
      <c r="N285" s="120"/>
      <c r="O285" s="118"/>
      <c r="P285" s="120"/>
      <c r="Q285" s="121"/>
      <c r="R285" s="109" t="b">
        <v>0</v>
      </c>
      <c r="S285" s="143" t="str">
        <f t="shared" si="1"/>
        <v>Suspenso</v>
      </c>
      <c r="T285" s="118"/>
      <c r="U285" s="118"/>
      <c r="V285" s="118"/>
      <c r="W285" s="118"/>
      <c r="X285" s="118"/>
      <c r="Y285" s="118"/>
      <c r="Z285" s="118"/>
      <c r="AA285" s="118"/>
      <c r="AB285" s="118"/>
      <c r="AC285" s="118"/>
      <c r="AD285" s="111"/>
      <c r="AE285" s="73"/>
      <c r="AF285" s="73"/>
    </row>
    <row r="286" ht="22.5" customHeight="1">
      <c r="A286" s="73"/>
      <c r="B286" s="73"/>
      <c r="C286" s="73"/>
      <c r="D286" s="73"/>
      <c r="E286" s="330"/>
      <c r="F286" s="118"/>
      <c r="G286" s="118"/>
      <c r="H286" s="118"/>
      <c r="I286" s="118"/>
      <c r="J286" s="119"/>
      <c r="K286" s="120"/>
      <c r="L286" s="120"/>
      <c r="M286" s="120"/>
      <c r="N286" s="120"/>
      <c r="O286" s="118"/>
      <c r="P286" s="120"/>
      <c r="Q286" s="121"/>
      <c r="R286" s="109" t="b">
        <v>0</v>
      </c>
      <c r="S286" s="143" t="str">
        <f t="shared" si="1"/>
        <v>Suspenso</v>
      </c>
      <c r="T286" s="118"/>
      <c r="U286" s="118"/>
      <c r="V286" s="118"/>
      <c r="W286" s="118"/>
      <c r="X286" s="118"/>
      <c r="Y286" s="118"/>
      <c r="Z286" s="118"/>
      <c r="AA286" s="118"/>
      <c r="AB286" s="118"/>
      <c r="AC286" s="118"/>
      <c r="AD286" s="111"/>
      <c r="AE286" s="73"/>
      <c r="AF286" s="73"/>
    </row>
    <row r="287" ht="22.5" customHeight="1">
      <c r="A287" s="73"/>
      <c r="B287" s="73"/>
      <c r="C287" s="73"/>
      <c r="D287" s="73"/>
      <c r="E287" s="330"/>
      <c r="F287" s="118"/>
      <c r="G287" s="118"/>
      <c r="H287" s="118"/>
      <c r="I287" s="118"/>
      <c r="J287" s="119"/>
      <c r="K287" s="120"/>
      <c r="L287" s="120"/>
      <c r="M287" s="120"/>
      <c r="N287" s="120"/>
      <c r="O287" s="118"/>
      <c r="P287" s="120"/>
      <c r="Q287" s="121"/>
      <c r="R287" s="109" t="b">
        <v>0</v>
      </c>
      <c r="S287" s="143" t="str">
        <f t="shared" si="1"/>
        <v>Suspenso</v>
      </c>
      <c r="T287" s="118"/>
      <c r="U287" s="118"/>
      <c r="V287" s="118"/>
      <c r="W287" s="118"/>
      <c r="X287" s="118"/>
      <c r="Y287" s="118"/>
      <c r="Z287" s="118"/>
      <c r="AA287" s="118"/>
      <c r="AB287" s="118"/>
      <c r="AC287" s="118"/>
      <c r="AD287" s="111"/>
      <c r="AE287" s="73"/>
      <c r="AF287" s="73"/>
    </row>
    <row r="288" ht="22.5" customHeight="1">
      <c r="A288" s="73"/>
      <c r="B288" s="73"/>
      <c r="C288" s="73"/>
      <c r="D288" s="73"/>
      <c r="E288" s="330"/>
      <c r="F288" s="118"/>
      <c r="G288" s="118"/>
      <c r="H288" s="118"/>
      <c r="I288" s="118"/>
      <c r="J288" s="119"/>
      <c r="K288" s="120"/>
      <c r="L288" s="120"/>
      <c r="M288" s="120"/>
      <c r="N288" s="120"/>
      <c r="O288" s="118"/>
      <c r="P288" s="120"/>
      <c r="Q288" s="121"/>
      <c r="R288" s="109" t="b">
        <v>0</v>
      </c>
      <c r="S288" s="143" t="str">
        <f t="shared" si="1"/>
        <v>Suspenso</v>
      </c>
      <c r="T288" s="118"/>
      <c r="U288" s="118"/>
      <c r="V288" s="118"/>
      <c r="W288" s="118"/>
      <c r="X288" s="118"/>
      <c r="Y288" s="118"/>
      <c r="Z288" s="118"/>
      <c r="AA288" s="118"/>
      <c r="AB288" s="118"/>
      <c r="AC288" s="118"/>
      <c r="AD288" s="111"/>
      <c r="AE288" s="73"/>
      <c r="AF288" s="73"/>
    </row>
    <row r="289" ht="22.5" customHeight="1">
      <c r="A289" s="73"/>
      <c r="B289" s="73"/>
      <c r="C289" s="73"/>
      <c r="D289" s="73"/>
      <c r="E289" s="330"/>
      <c r="F289" s="118"/>
      <c r="G289" s="118"/>
      <c r="H289" s="118"/>
      <c r="I289" s="118"/>
      <c r="J289" s="119"/>
      <c r="K289" s="120"/>
      <c r="L289" s="120"/>
      <c r="M289" s="120"/>
      <c r="N289" s="120"/>
      <c r="O289" s="118"/>
      <c r="P289" s="120"/>
      <c r="Q289" s="121"/>
      <c r="R289" s="109" t="b">
        <v>0</v>
      </c>
      <c r="S289" s="143" t="str">
        <f t="shared" si="1"/>
        <v>Suspenso</v>
      </c>
      <c r="T289" s="118"/>
      <c r="U289" s="118"/>
      <c r="V289" s="118"/>
      <c r="W289" s="118"/>
      <c r="X289" s="118"/>
      <c r="Y289" s="118"/>
      <c r="Z289" s="118"/>
      <c r="AA289" s="118"/>
      <c r="AB289" s="118"/>
      <c r="AC289" s="118"/>
      <c r="AD289" s="111"/>
      <c r="AE289" s="73"/>
      <c r="AF289" s="73"/>
    </row>
    <row r="290" ht="22.5" customHeight="1">
      <c r="A290" s="73"/>
      <c r="B290" s="73"/>
      <c r="C290" s="73"/>
      <c r="D290" s="73"/>
      <c r="E290" s="330"/>
      <c r="F290" s="118"/>
      <c r="G290" s="118"/>
      <c r="H290" s="118"/>
      <c r="I290" s="118"/>
      <c r="J290" s="119"/>
      <c r="K290" s="120"/>
      <c r="L290" s="120"/>
      <c r="M290" s="120"/>
      <c r="N290" s="120"/>
      <c r="O290" s="118"/>
      <c r="P290" s="120"/>
      <c r="Q290" s="121"/>
      <c r="R290" s="109" t="b">
        <v>0</v>
      </c>
      <c r="S290" s="143" t="str">
        <f t="shared" si="1"/>
        <v>Suspenso</v>
      </c>
      <c r="T290" s="118"/>
      <c r="U290" s="118"/>
      <c r="V290" s="118"/>
      <c r="W290" s="118"/>
      <c r="X290" s="118"/>
      <c r="Y290" s="118"/>
      <c r="Z290" s="118"/>
      <c r="AA290" s="118"/>
      <c r="AB290" s="118"/>
      <c r="AC290" s="118"/>
      <c r="AD290" s="111"/>
      <c r="AE290" s="73"/>
      <c r="AF290" s="73"/>
    </row>
    <row r="291" ht="22.5" customHeight="1">
      <c r="A291" s="73"/>
      <c r="B291" s="73"/>
      <c r="C291" s="73"/>
      <c r="D291" s="73"/>
      <c r="E291" s="330"/>
      <c r="F291" s="118"/>
      <c r="G291" s="118"/>
      <c r="H291" s="118"/>
      <c r="I291" s="118"/>
      <c r="J291" s="119"/>
      <c r="K291" s="120"/>
      <c r="L291" s="120"/>
      <c r="M291" s="120"/>
      <c r="N291" s="120"/>
      <c r="O291" s="118"/>
      <c r="P291" s="120"/>
      <c r="Q291" s="121"/>
      <c r="R291" s="109" t="b">
        <v>0</v>
      </c>
      <c r="S291" s="143" t="str">
        <f t="shared" si="1"/>
        <v>Suspenso</v>
      </c>
      <c r="T291" s="118"/>
      <c r="U291" s="118"/>
      <c r="V291" s="118"/>
      <c r="W291" s="118"/>
      <c r="X291" s="118"/>
      <c r="Y291" s="118"/>
      <c r="Z291" s="118"/>
      <c r="AA291" s="118"/>
      <c r="AB291" s="118"/>
      <c r="AC291" s="118"/>
      <c r="AD291" s="111"/>
      <c r="AE291" s="73"/>
      <c r="AF291" s="73"/>
    </row>
    <row r="292" ht="22.5" customHeight="1">
      <c r="A292" s="73"/>
      <c r="B292" s="73"/>
      <c r="C292" s="73"/>
      <c r="D292" s="73"/>
      <c r="E292" s="330"/>
      <c r="F292" s="118"/>
      <c r="G292" s="118"/>
      <c r="H292" s="118"/>
      <c r="I292" s="118"/>
      <c r="J292" s="119"/>
      <c r="K292" s="120"/>
      <c r="L292" s="120"/>
      <c r="M292" s="120"/>
      <c r="N292" s="120"/>
      <c r="O292" s="118"/>
      <c r="P292" s="120"/>
      <c r="Q292" s="121"/>
      <c r="R292" s="109" t="b">
        <v>0</v>
      </c>
      <c r="S292" s="143" t="str">
        <f t="shared" si="1"/>
        <v>Suspenso</v>
      </c>
      <c r="T292" s="118"/>
      <c r="U292" s="118"/>
      <c r="V292" s="118"/>
      <c r="W292" s="118"/>
      <c r="X292" s="118"/>
      <c r="Y292" s="118"/>
      <c r="Z292" s="118"/>
      <c r="AA292" s="118"/>
      <c r="AB292" s="118"/>
      <c r="AC292" s="118"/>
      <c r="AD292" s="111"/>
      <c r="AE292" s="73"/>
      <c r="AF292" s="73"/>
    </row>
    <row r="293" ht="22.5" customHeight="1">
      <c r="A293" s="73"/>
      <c r="B293" s="73"/>
      <c r="C293" s="73"/>
      <c r="D293" s="73"/>
      <c r="E293" s="330"/>
      <c r="F293" s="118"/>
      <c r="G293" s="118"/>
      <c r="H293" s="118"/>
      <c r="I293" s="118"/>
      <c r="J293" s="119"/>
      <c r="K293" s="120"/>
      <c r="L293" s="120"/>
      <c r="M293" s="120"/>
      <c r="N293" s="120"/>
      <c r="O293" s="118"/>
      <c r="P293" s="120"/>
      <c r="Q293" s="121"/>
      <c r="R293" s="109" t="b">
        <v>0</v>
      </c>
      <c r="S293" s="143" t="str">
        <f t="shared" si="1"/>
        <v>Suspenso</v>
      </c>
      <c r="T293" s="118"/>
      <c r="U293" s="118"/>
      <c r="V293" s="118"/>
      <c r="W293" s="118"/>
      <c r="X293" s="118"/>
      <c r="Y293" s="118"/>
      <c r="Z293" s="118"/>
      <c r="AA293" s="118"/>
      <c r="AB293" s="118"/>
      <c r="AC293" s="118"/>
      <c r="AD293" s="111"/>
      <c r="AE293" s="73"/>
      <c r="AF293" s="73"/>
    </row>
    <row r="294" ht="22.5" customHeight="1">
      <c r="A294" s="73"/>
      <c r="B294" s="73"/>
      <c r="C294" s="73"/>
      <c r="D294" s="73"/>
      <c r="E294" s="330"/>
      <c r="F294" s="118"/>
      <c r="G294" s="118"/>
      <c r="H294" s="118"/>
      <c r="I294" s="118"/>
      <c r="J294" s="119"/>
      <c r="K294" s="120"/>
      <c r="L294" s="120"/>
      <c r="M294" s="120"/>
      <c r="N294" s="120"/>
      <c r="O294" s="118"/>
      <c r="P294" s="120"/>
      <c r="Q294" s="121"/>
      <c r="R294" s="109" t="b">
        <v>0</v>
      </c>
      <c r="S294" s="143" t="str">
        <f t="shared" si="1"/>
        <v>Suspenso</v>
      </c>
      <c r="T294" s="118"/>
      <c r="U294" s="118"/>
      <c r="V294" s="118"/>
      <c r="W294" s="118"/>
      <c r="X294" s="118"/>
      <c r="Y294" s="118"/>
      <c r="Z294" s="118"/>
      <c r="AA294" s="118"/>
      <c r="AB294" s="118"/>
      <c r="AC294" s="118"/>
      <c r="AD294" s="111"/>
      <c r="AE294" s="73"/>
      <c r="AF294" s="73"/>
    </row>
    <row r="295" ht="22.5" customHeight="1">
      <c r="A295" s="73"/>
      <c r="B295" s="73"/>
      <c r="C295" s="73"/>
      <c r="D295" s="73"/>
      <c r="E295" s="330"/>
      <c r="F295" s="118"/>
      <c r="G295" s="118"/>
      <c r="H295" s="118"/>
      <c r="I295" s="118"/>
      <c r="J295" s="119"/>
      <c r="K295" s="120"/>
      <c r="L295" s="120"/>
      <c r="M295" s="120"/>
      <c r="N295" s="120"/>
      <c r="O295" s="118"/>
      <c r="P295" s="120"/>
      <c r="Q295" s="121"/>
      <c r="R295" s="109" t="b">
        <v>0</v>
      </c>
      <c r="S295" s="143" t="str">
        <f t="shared" si="1"/>
        <v>Suspenso</v>
      </c>
      <c r="T295" s="118"/>
      <c r="U295" s="118"/>
      <c r="V295" s="118"/>
      <c r="W295" s="118"/>
      <c r="X295" s="118"/>
      <c r="Y295" s="118"/>
      <c r="Z295" s="118"/>
      <c r="AA295" s="118"/>
      <c r="AB295" s="118"/>
      <c r="AC295" s="118"/>
      <c r="AD295" s="111"/>
      <c r="AE295" s="73"/>
      <c r="AF295" s="73"/>
    </row>
    <row r="296" ht="22.5" customHeight="1">
      <c r="A296" s="73"/>
      <c r="B296" s="73"/>
      <c r="C296" s="73"/>
      <c r="D296" s="73"/>
      <c r="E296" s="330"/>
      <c r="F296" s="118"/>
      <c r="G296" s="118"/>
      <c r="H296" s="118"/>
      <c r="I296" s="118"/>
      <c r="J296" s="119"/>
      <c r="K296" s="120"/>
      <c r="L296" s="120"/>
      <c r="M296" s="120"/>
      <c r="N296" s="120"/>
      <c r="O296" s="118"/>
      <c r="P296" s="120"/>
      <c r="Q296" s="121"/>
      <c r="R296" s="109" t="b">
        <v>0</v>
      </c>
      <c r="S296" s="143" t="str">
        <f t="shared" si="1"/>
        <v>Suspenso</v>
      </c>
      <c r="T296" s="118"/>
      <c r="U296" s="118"/>
      <c r="V296" s="118"/>
      <c r="W296" s="118"/>
      <c r="X296" s="118"/>
      <c r="Y296" s="118"/>
      <c r="Z296" s="118"/>
      <c r="AA296" s="118"/>
      <c r="AB296" s="118"/>
      <c r="AC296" s="118"/>
      <c r="AD296" s="111"/>
      <c r="AE296" s="73"/>
      <c r="AF296" s="73"/>
    </row>
    <row r="297" ht="22.5" customHeight="1">
      <c r="A297" s="73"/>
      <c r="B297" s="73"/>
      <c r="C297" s="73"/>
      <c r="D297" s="73"/>
      <c r="E297" s="330"/>
      <c r="F297" s="118"/>
      <c r="G297" s="118"/>
      <c r="H297" s="118"/>
      <c r="I297" s="118"/>
      <c r="J297" s="119"/>
      <c r="K297" s="120"/>
      <c r="L297" s="120"/>
      <c r="M297" s="120"/>
      <c r="N297" s="120"/>
      <c r="O297" s="118"/>
      <c r="P297" s="120"/>
      <c r="Q297" s="121"/>
      <c r="R297" s="109" t="b">
        <v>0</v>
      </c>
      <c r="S297" s="143" t="str">
        <f t="shared" si="1"/>
        <v>Suspenso</v>
      </c>
      <c r="T297" s="118"/>
      <c r="U297" s="118"/>
      <c r="V297" s="118"/>
      <c r="W297" s="118"/>
      <c r="X297" s="118"/>
      <c r="Y297" s="118"/>
      <c r="Z297" s="118"/>
      <c r="AA297" s="118"/>
      <c r="AB297" s="118"/>
      <c r="AC297" s="118"/>
      <c r="AD297" s="111"/>
      <c r="AE297" s="73"/>
      <c r="AF297" s="73"/>
    </row>
    <row r="298" ht="22.5" customHeight="1">
      <c r="A298" s="73"/>
      <c r="B298" s="73"/>
      <c r="C298" s="73"/>
      <c r="D298" s="73"/>
      <c r="E298" s="330"/>
      <c r="F298" s="118"/>
      <c r="G298" s="118"/>
      <c r="H298" s="118"/>
      <c r="I298" s="118"/>
      <c r="J298" s="119"/>
      <c r="K298" s="120"/>
      <c r="L298" s="120"/>
      <c r="M298" s="120"/>
      <c r="N298" s="120"/>
      <c r="O298" s="118"/>
      <c r="P298" s="120"/>
      <c r="Q298" s="121"/>
      <c r="R298" s="109" t="b">
        <v>0</v>
      </c>
      <c r="S298" s="143" t="str">
        <f t="shared" si="1"/>
        <v>Suspenso</v>
      </c>
      <c r="T298" s="118"/>
      <c r="U298" s="118"/>
      <c r="V298" s="118"/>
      <c r="W298" s="118"/>
      <c r="X298" s="118"/>
      <c r="Y298" s="118"/>
      <c r="Z298" s="118"/>
      <c r="AA298" s="118"/>
      <c r="AB298" s="118"/>
      <c r="AC298" s="118"/>
      <c r="AD298" s="111"/>
      <c r="AE298" s="73"/>
      <c r="AF298" s="73"/>
    </row>
    <row r="299" ht="22.5" customHeight="1">
      <c r="A299" s="73"/>
      <c r="B299" s="73"/>
      <c r="C299" s="73"/>
      <c r="D299" s="73"/>
      <c r="E299" s="330"/>
      <c r="F299" s="118"/>
      <c r="G299" s="118"/>
      <c r="H299" s="118"/>
      <c r="I299" s="118"/>
      <c r="J299" s="119"/>
      <c r="K299" s="120"/>
      <c r="L299" s="120"/>
      <c r="M299" s="120"/>
      <c r="N299" s="120"/>
      <c r="O299" s="118"/>
      <c r="P299" s="120"/>
      <c r="Q299" s="121"/>
      <c r="R299" s="109" t="b">
        <v>0</v>
      </c>
      <c r="S299" s="143" t="str">
        <f t="shared" si="1"/>
        <v>Suspenso</v>
      </c>
      <c r="T299" s="118"/>
      <c r="U299" s="118"/>
      <c r="V299" s="118"/>
      <c r="W299" s="118"/>
      <c r="X299" s="118"/>
      <c r="Y299" s="118"/>
      <c r="Z299" s="118"/>
      <c r="AA299" s="118"/>
      <c r="AB299" s="118"/>
      <c r="AC299" s="118"/>
      <c r="AD299" s="111"/>
      <c r="AE299" s="73"/>
      <c r="AF299" s="73"/>
    </row>
    <row r="300" ht="22.5" customHeight="1">
      <c r="A300" s="73"/>
      <c r="B300" s="73"/>
      <c r="C300" s="73"/>
      <c r="D300" s="73"/>
      <c r="E300" s="330"/>
      <c r="F300" s="118"/>
      <c r="G300" s="118"/>
      <c r="H300" s="118"/>
      <c r="I300" s="118"/>
      <c r="J300" s="119"/>
      <c r="K300" s="120"/>
      <c r="L300" s="120"/>
      <c r="M300" s="120"/>
      <c r="N300" s="120"/>
      <c r="O300" s="118"/>
      <c r="P300" s="120"/>
      <c r="Q300" s="121"/>
      <c r="R300" s="109" t="b">
        <v>0</v>
      </c>
      <c r="S300" s="143" t="str">
        <f t="shared" si="1"/>
        <v>Suspenso</v>
      </c>
      <c r="T300" s="118"/>
      <c r="U300" s="118"/>
      <c r="V300" s="118"/>
      <c r="W300" s="118"/>
      <c r="X300" s="118"/>
      <c r="Y300" s="118"/>
      <c r="Z300" s="118"/>
      <c r="AA300" s="118"/>
      <c r="AB300" s="118"/>
      <c r="AC300" s="118"/>
      <c r="AD300" s="111"/>
      <c r="AE300" s="73"/>
      <c r="AF300" s="73"/>
    </row>
    <row r="301" ht="22.5" customHeight="1">
      <c r="A301" s="73"/>
      <c r="B301" s="73"/>
      <c r="C301" s="73"/>
      <c r="D301" s="73"/>
      <c r="E301" s="330"/>
      <c r="F301" s="118"/>
      <c r="G301" s="118"/>
      <c r="H301" s="118"/>
      <c r="I301" s="118"/>
      <c r="J301" s="119"/>
      <c r="K301" s="120"/>
      <c r="L301" s="120"/>
      <c r="M301" s="120"/>
      <c r="N301" s="120"/>
      <c r="O301" s="118"/>
      <c r="P301" s="120"/>
      <c r="Q301" s="121"/>
      <c r="R301" s="109" t="b">
        <v>0</v>
      </c>
      <c r="S301" s="143" t="str">
        <f t="shared" si="1"/>
        <v>Suspenso</v>
      </c>
      <c r="T301" s="118"/>
      <c r="U301" s="118"/>
      <c r="V301" s="118"/>
      <c r="W301" s="118"/>
      <c r="X301" s="118"/>
      <c r="Y301" s="118"/>
      <c r="Z301" s="118"/>
      <c r="AA301" s="118"/>
      <c r="AB301" s="118"/>
      <c r="AC301" s="118"/>
      <c r="AD301" s="111"/>
      <c r="AE301" s="73"/>
      <c r="AF301" s="73"/>
    </row>
    <row r="302" ht="22.5" customHeight="1">
      <c r="A302" s="73"/>
      <c r="B302" s="73"/>
      <c r="C302" s="73"/>
      <c r="D302" s="73"/>
      <c r="E302" s="330"/>
      <c r="F302" s="118"/>
      <c r="G302" s="118"/>
      <c r="H302" s="118"/>
      <c r="I302" s="118"/>
      <c r="J302" s="119"/>
      <c r="K302" s="120"/>
      <c r="L302" s="120"/>
      <c r="M302" s="120"/>
      <c r="N302" s="120"/>
      <c r="O302" s="118"/>
      <c r="P302" s="120"/>
      <c r="Q302" s="121"/>
      <c r="R302" s="109" t="b">
        <v>0</v>
      </c>
      <c r="S302" s="143" t="str">
        <f t="shared" si="1"/>
        <v>Suspenso</v>
      </c>
      <c r="T302" s="118"/>
      <c r="U302" s="118"/>
      <c r="V302" s="118"/>
      <c r="W302" s="118"/>
      <c r="X302" s="118"/>
      <c r="Y302" s="118"/>
      <c r="Z302" s="118"/>
      <c r="AA302" s="118"/>
      <c r="AB302" s="118"/>
      <c r="AC302" s="118"/>
      <c r="AD302" s="111"/>
      <c r="AE302" s="73"/>
      <c r="AF302" s="73"/>
    </row>
    <row r="303" ht="22.5" customHeight="1">
      <c r="A303" s="73"/>
      <c r="B303" s="73"/>
      <c r="C303" s="73"/>
      <c r="D303" s="73"/>
      <c r="E303" s="330"/>
      <c r="F303" s="118"/>
      <c r="G303" s="118"/>
      <c r="H303" s="118"/>
      <c r="I303" s="118"/>
      <c r="J303" s="119"/>
      <c r="K303" s="120"/>
      <c r="L303" s="120"/>
      <c r="M303" s="120"/>
      <c r="N303" s="120"/>
      <c r="O303" s="118"/>
      <c r="P303" s="120"/>
      <c r="Q303" s="121"/>
      <c r="R303" s="109" t="b">
        <v>0</v>
      </c>
      <c r="S303" s="143" t="str">
        <f t="shared" si="1"/>
        <v>Suspenso</v>
      </c>
      <c r="T303" s="118"/>
      <c r="U303" s="118"/>
      <c r="V303" s="118"/>
      <c r="W303" s="118"/>
      <c r="X303" s="118"/>
      <c r="Y303" s="118"/>
      <c r="Z303" s="118"/>
      <c r="AA303" s="118"/>
      <c r="AB303" s="118"/>
      <c r="AC303" s="118"/>
      <c r="AD303" s="111"/>
      <c r="AE303" s="73"/>
      <c r="AF303" s="73"/>
    </row>
    <row r="304" ht="22.5" customHeight="1">
      <c r="A304" s="73"/>
      <c r="B304" s="73"/>
      <c r="C304" s="73"/>
      <c r="D304" s="73"/>
      <c r="E304" s="330"/>
      <c r="F304" s="118"/>
      <c r="G304" s="118"/>
      <c r="H304" s="118"/>
      <c r="I304" s="118"/>
      <c r="J304" s="119"/>
      <c r="K304" s="120"/>
      <c r="L304" s="120"/>
      <c r="M304" s="120"/>
      <c r="N304" s="120"/>
      <c r="O304" s="118"/>
      <c r="P304" s="120"/>
      <c r="Q304" s="121"/>
      <c r="R304" s="109" t="b">
        <v>0</v>
      </c>
      <c r="S304" s="143" t="str">
        <f t="shared" si="1"/>
        <v>Suspenso</v>
      </c>
      <c r="T304" s="118"/>
      <c r="U304" s="118"/>
      <c r="V304" s="118"/>
      <c r="W304" s="118"/>
      <c r="X304" s="118"/>
      <c r="Y304" s="118"/>
      <c r="Z304" s="118"/>
      <c r="AA304" s="118"/>
      <c r="AB304" s="118"/>
      <c r="AC304" s="118"/>
      <c r="AD304" s="111"/>
      <c r="AE304" s="73"/>
      <c r="AF304" s="73"/>
    </row>
    <row r="305" ht="22.5" customHeight="1">
      <c r="A305" s="73"/>
      <c r="B305" s="73"/>
      <c r="C305" s="73"/>
      <c r="D305" s="73"/>
      <c r="E305" s="330"/>
      <c r="F305" s="118"/>
      <c r="G305" s="118"/>
      <c r="H305" s="118"/>
      <c r="I305" s="118"/>
      <c r="J305" s="119"/>
      <c r="K305" s="120"/>
      <c r="L305" s="120"/>
      <c r="M305" s="120"/>
      <c r="N305" s="120"/>
      <c r="O305" s="118"/>
      <c r="P305" s="120"/>
      <c r="Q305" s="121"/>
      <c r="R305" s="109" t="b">
        <v>0</v>
      </c>
      <c r="S305" s="143" t="str">
        <f t="shared" si="1"/>
        <v>Suspenso</v>
      </c>
      <c r="T305" s="118"/>
      <c r="U305" s="118"/>
      <c r="V305" s="118"/>
      <c r="W305" s="118"/>
      <c r="X305" s="118"/>
      <c r="Y305" s="118"/>
      <c r="Z305" s="118"/>
      <c r="AA305" s="118"/>
      <c r="AB305" s="118"/>
      <c r="AC305" s="118"/>
      <c r="AD305" s="111"/>
      <c r="AE305" s="73"/>
      <c r="AF305" s="73"/>
    </row>
    <row r="306" ht="22.5" customHeight="1">
      <c r="A306" s="73"/>
      <c r="B306" s="73"/>
      <c r="C306" s="73"/>
      <c r="D306" s="73"/>
      <c r="E306" s="330"/>
      <c r="F306" s="118"/>
      <c r="G306" s="118"/>
      <c r="H306" s="118"/>
      <c r="I306" s="118"/>
      <c r="J306" s="119"/>
      <c r="K306" s="120"/>
      <c r="L306" s="120"/>
      <c r="M306" s="120"/>
      <c r="N306" s="120"/>
      <c r="O306" s="118"/>
      <c r="P306" s="120"/>
      <c r="Q306" s="121"/>
      <c r="R306" s="109" t="b">
        <v>0</v>
      </c>
      <c r="S306" s="143" t="str">
        <f t="shared" si="1"/>
        <v>Suspenso</v>
      </c>
      <c r="T306" s="118"/>
      <c r="U306" s="118"/>
      <c r="V306" s="118"/>
      <c r="W306" s="118"/>
      <c r="X306" s="118"/>
      <c r="Y306" s="118"/>
      <c r="Z306" s="118"/>
      <c r="AA306" s="118"/>
      <c r="AB306" s="118"/>
      <c r="AC306" s="118"/>
      <c r="AD306" s="111"/>
      <c r="AE306" s="73"/>
      <c r="AF306" s="73"/>
    </row>
    <row r="307" ht="22.5" customHeight="1">
      <c r="A307" s="73"/>
      <c r="B307" s="73"/>
      <c r="C307" s="73"/>
      <c r="D307" s="73"/>
      <c r="E307" s="330"/>
      <c r="F307" s="118"/>
      <c r="G307" s="118"/>
      <c r="H307" s="118"/>
      <c r="I307" s="118"/>
      <c r="J307" s="119"/>
      <c r="K307" s="120"/>
      <c r="L307" s="120"/>
      <c r="M307" s="120"/>
      <c r="N307" s="120"/>
      <c r="O307" s="118"/>
      <c r="P307" s="120"/>
      <c r="Q307" s="121"/>
      <c r="R307" s="109" t="b">
        <v>0</v>
      </c>
      <c r="S307" s="143" t="str">
        <f t="shared" si="1"/>
        <v>Suspenso</v>
      </c>
      <c r="T307" s="118"/>
      <c r="U307" s="118"/>
      <c r="V307" s="118"/>
      <c r="W307" s="118"/>
      <c r="X307" s="118"/>
      <c r="Y307" s="118"/>
      <c r="Z307" s="118"/>
      <c r="AA307" s="118"/>
      <c r="AB307" s="118"/>
      <c r="AC307" s="118"/>
      <c r="AD307" s="111"/>
      <c r="AE307" s="73"/>
      <c r="AF307" s="73"/>
    </row>
    <row r="308" ht="22.5" customHeight="1">
      <c r="A308" s="73"/>
      <c r="B308" s="73"/>
      <c r="C308" s="73"/>
      <c r="D308" s="73"/>
      <c r="E308" s="330"/>
      <c r="F308" s="118"/>
      <c r="G308" s="118"/>
      <c r="H308" s="118"/>
      <c r="I308" s="118"/>
      <c r="J308" s="119"/>
      <c r="K308" s="120"/>
      <c r="L308" s="120"/>
      <c r="M308" s="120"/>
      <c r="N308" s="120"/>
      <c r="O308" s="118"/>
      <c r="P308" s="120"/>
      <c r="Q308" s="121"/>
      <c r="R308" s="109" t="b">
        <v>0</v>
      </c>
      <c r="S308" s="143" t="str">
        <f t="shared" si="1"/>
        <v>Suspenso</v>
      </c>
      <c r="T308" s="118"/>
      <c r="U308" s="118"/>
      <c r="V308" s="118"/>
      <c r="W308" s="118"/>
      <c r="X308" s="118"/>
      <c r="Y308" s="118"/>
      <c r="Z308" s="118"/>
      <c r="AA308" s="118"/>
      <c r="AB308" s="118"/>
      <c r="AC308" s="118"/>
      <c r="AD308" s="111"/>
      <c r="AE308" s="73"/>
      <c r="AF308" s="73"/>
    </row>
    <row r="309" ht="22.5" customHeight="1">
      <c r="A309" s="73"/>
      <c r="B309" s="73"/>
      <c r="C309" s="73"/>
      <c r="D309" s="73"/>
      <c r="E309" s="330"/>
      <c r="F309" s="118"/>
      <c r="G309" s="118"/>
      <c r="H309" s="118"/>
      <c r="I309" s="118"/>
      <c r="J309" s="119"/>
      <c r="K309" s="120"/>
      <c r="L309" s="120"/>
      <c r="M309" s="120"/>
      <c r="N309" s="120"/>
      <c r="O309" s="118"/>
      <c r="P309" s="120"/>
      <c r="Q309" s="121"/>
      <c r="R309" s="109" t="b">
        <v>0</v>
      </c>
      <c r="S309" s="143" t="str">
        <f t="shared" si="1"/>
        <v>Suspenso</v>
      </c>
      <c r="T309" s="118"/>
      <c r="U309" s="118"/>
      <c r="V309" s="118"/>
      <c r="W309" s="118"/>
      <c r="X309" s="118"/>
      <c r="Y309" s="118"/>
      <c r="Z309" s="118"/>
      <c r="AA309" s="118"/>
      <c r="AB309" s="118"/>
      <c r="AC309" s="118"/>
      <c r="AD309" s="111"/>
      <c r="AE309" s="73"/>
      <c r="AF309" s="73"/>
    </row>
    <row r="310" ht="22.5" customHeight="1">
      <c r="A310" s="73"/>
      <c r="B310" s="73"/>
      <c r="C310" s="73"/>
      <c r="D310" s="73"/>
      <c r="E310" s="330"/>
      <c r="F310" s="118"/>
      <c r="G310" s="118"/>
      <c r="H310" s="118"/>
      <c r="I310" s="118"/>
      <c r="J310" s="119"/>
      <c r="K310" s="120"/>
      <c r="L310" s="120"/>
      <c r="M310" s="120"/>
      <c r="N310" s="120"/>
      <c r="O310" s="118"/>
      <c r="P310" s="120"/>
      <c r="Q310" s="121"/>
      <c r="R310" s="109" t="b">
        <v>0</v>
      </c>
      <c r="S310" s="143" t="str">
        <f t="shared" si="1"/>
        <v>Suspenso</v>
      </c>
      <c r="T310" s="118"/>
      <c r="U310" s="118"/>
      <c r="V310" s="118"/>
      <c r="W310" s="118"/>
      <c r="X310" s="118"/>
      <c r="Y310" s="118"/>
      <c r="Z310" s="118"/>
      <c r="AA310" s="118"/>
      <c r="AB310" s="118"/>
      <c r="AC310" s="118"/>
      <c r="AD310" s="111"/>
      <c r="AE310" s="73"/>
      <c r="AF310" s="73"/>
    </row>
    <row r="311" ht="22.5" customHeight="1">
      <c r="A311" s="73"/>
      <c r="B311" s="73"/>
      <c r="C311" s="73"/>
      <c r="D311" s="73"/>
      <c r="E311" s="330"/>
      <c r="F311" s="118"/>
      <c r="G311" s="118"/>
      <c r="H311" s="118"/>
      <c r="I311" s="118"/>
      <c r="J311" s="119"/>
      <c r="K311" s="120"/>
      <c r="L311" s="120"/>
      <c r="M311" s="120"/>
      <c r="N311" s="120"/>
      <c r="O311" s="118"/>
      <c r="P311" s="120"/>
      <c r="Q311" s="121"/>
      <c r="R311" s="109" t="b">
        <v>0</v>
      </c>
      <c r="S311" s="143" t="str">
        <f t="shared" si="1"/>
        <v>Suspenso</v>
      </c>
      <c r="T311" s="118"/>
      <c r="U311" s="118"/>
      <c r="V311" s="118"/>
      <c r="W311" s="118"/>
      <c r="X311" s="118"/>
      <c r="Y311" s="118"/>
      <c r="Z311" s="118"/>
      <c r="AA311" s="118"/>
      <c r="AB311" s="118"/>
      <c r="AC311" s="118"/>
      <c r="AD311" s="111"/>
      <c r="AE311" s="73"/>
      <c r="AF311" s="73"/>
    </row>
    <row r="312" ht="22.5" customHeight="1">
      <c r="A312" s="73"/>
      <c r="B312" s="73"/>
      <c r="C312" s="73"/>
      <c r="D312" s="73"/>
      <c r="E312" s="330"/>
      <c r="F312" s="118"/>
      <c r="G312" s="118"/>
      <c r="H312" s="118"/>
      <c r="I312" s="118"/>
      <c r="J312" s="119"/>
      <c r="K312" s="120"/>
      <c r="L312" s="120"/>
      <c r="M312" s="120"/>
      <c r="N312" s="120"/>
      <c r="O312" s="118"/>
      <c r="P312" s="120"/>
      <c r="Q312" s="121"/>
      <c r="R312" s="109" t="b">
        <v>0</v>
      </c>
      <c r="S312" s="143" t="str">
        <f t="shared" si="1"/>
        <v>Suspenso</v>
      </c>
      <c r="T312" s="118"/>
      <c r="U312" s="118"/>
      <c r="V312" s="118"/>
      <c r="W312" s="118"/>
      <c r="X312" s="118"/>
      <c r="Y312" s="118"/>
      <c r="Z312" s="118"/>
      <c r="AA312" s="118"/>
      <c r="AB312" s="118"/>
      <c r="AC312" s="118"/>
      <c r="AD312" s="111"/>
      <c r="AE312" s="73"/>
      <c r="AF312" s="73"/>
    </row>
    <row r="313" ht="22.5" customHeight="1">
      <c r="A313" s="73"/>
      <c r="B313" s="73"/>
      <c r="C313" s="73"/>
      <c r="D313" s="73"/>
      <c r="E313" s="330"/>
      <c r="F313" s="118"/>
      <c r="G313" s="118"/>
      <c r="H313" s="118"/>
      <c r="I313" s="118"/>
      <c r="J313" s="119"/>
      <c r="K313" s="120"/>
      <c r="L313" s="120"/>
      <c r="M313" s="120"/>
      <c r="N313" s="120"/>
      <c r="O313" s="118"/>
      <c r="P313" s="120"/>
      <c r="Q313" s="121"/>
      <c r="R313" s="109" t="b">
        <v>0</v>
      </c>
      <c r="S313" s="143" t="str">
        <f t="shared" si="1"/>
        <v>Suspenso</v>
      </c>
      <c r="T313" s="118"/>
      <c r="U313" s="118"/>
      <c r="V313" s="118"/>
      <c r="W313" s="118"/>
      <c r="X313" s="118"/>
      <c r="Y313" s="118"/>
      <c r="Z313" s="118"/>
      <c r="AA313" s="118"/>
      <c r="AB313" s="118"/>
      <c r="AC313" s="118"/>
      <c r="AD313" s="111"/>
      <c r="AE313" s="73"/>
      <c r="AF313" s="73"/>
    </row>
    <row r="314" ht="22.5" customHeight="1">
      <c r="A314" s="73"/>
      <c r="B314" s="73"/>
      <c r="C314" s="73"/>
      <c r="D314" s="73"/>
      <c r="E314" s="330"/>
      <c r="F314" s="118"/>
      <c r="G314" s="118"/>
      <c r="H314" s="118"/>
      <c r="I314" s="118"/>
      <c r="J314" s="119"/>
      <c r="K314" s="120"/>
      <c r="L314" s="120"/>
      <c r="M314" s="120"/>
      <c r="N314" s="120"/>
      <c r="O314" s="118"/>
      <c r="P314" s="120"/>
      <c r="Q314" s="121"/>
      <c r="R314" s="109" t="b">
        <v>0</v>
      </c>
      <c r="S314" s="143" t="str">
        <f t="shared" si="1"/>
        <v>Suspenso</v>
      </c>
      <c r="T314" s="118"/>
      <c r="U314" s="118"/>
      <c r="V314" s="118"/>
      <c r="W314" s="118"/>
      <c r="X314" s="118"/>
      <c r="Y314" s="118"/>
      <c r="Z314" s="118"/>
      <c r="AA314" s="118"/>
      <c r="AB314" s="118"/>
      <c r="AC314" s="118"/>
      <c r="AD314" s="111"/>
      <c r="AE314" s="73"/>
      <c r="AF314" s="73"/>
    </row>
    <row r="315" ht="22.5" customHeight="1">
      <c r="A315" s="73"/>
      <c r="B315" s="73"/>
      <c r="C315" s="73"/>
      <c r="D315" s="73"/>
      <c r="E315" s="330"/>
      <c r="F315" s="118"/>
      <c r="G315" s="118"/>
      <c r="H315" s="118"/>
      <c r="I315" s="118"/>
      <c r="J315" s="119"/>
      <c r="K315" s="120"/>
      <c r="L315" s="120"/>
      <c r="M315" s="120"/>
      <c r="N315" s="120"/>
      <c r="O315" s="118"/>
      <c r="P315" s="120"/>
      <c r="Q315" s="121"/>
      <c r="R315" s="109" t="b">
        <v>0</v>
      </c>
      <c r="S315" s="143" t="str">
        <f t="shared" si="1"/>
        <v>Suspenso</v>
      </c>
      <c r="T315" s="118"/>
      <c r="U315" s="118"/>
      <c r="V315" s="118"/>
      <c r="W315" s="118"/>
      <c r="X315" s="118"/>
      <c r="Y315" s="118"/>
      <c r="Z315" s="118"/>
      <c r="AA315" s="118"/>
      <c r="AB315" s="118"/>
      <c r="AC315" s="118"/>
      <c r="AD315" s="111"/>
      <c r="AE315" s="73"/>
      <c r="AF315" s="73"/>
    </row>
    <row r="316" ht="22.5" customHeight="1">
      <c r="A316" s="73"/>
      <c r="B316" s="73"/>
      <c r="C316" s="73"/>
      <c r="D316" s="73"/>
      <c r="E316" s="330"/>
      <c r="F316" s="118"/>
      <c r="G316" s="118"/>
      <c r="H316" s="118"/>
      <c r="I316" s="118"/>
      <c r="J316" s="119"/>
      <c r="K316" s="120"/>
      <c r="L316" s="120"/>
      <c r="M316" s="120"/>
      <c r="N316" s="120"/>
      <c r="O316" s="118"/>
      <c r="P316" s="120"/>
      <c r="Q316" s="121"/>
      <c r="R316" s="109" t="b">
        <v>0</v>
      </c>
      <c r="S316" s="143" t="str">
        <f t="shared" si="1"/>
        <v>Suspenso</v>
      </c>
      <c r="T316" s="118"/>
      <c r="U316" s="118"/>
      <c r="V316" s="118"/>
      <c r="W316" s="118"/>
      <c r="X316" s="118"/>
      <c r="Y316" s="118"/>
      <c r="Z316" s="118"/>
      <c r="AA316" s="118"/>
      <c r="AB316" s="118"/>
      <c r="AC316" s="118"/>
      <c r="AD316" s="111"/>
      <c r="AE316" s="73"/>
      <c r="AF316" s="73"/>
    </row>
    <row r="317" ht="22.5" customHeight="1">
      <c r="A317" s="73"/>
      <c r="B317" s="73"/>
      <c r="C317" s="73"/>
      <c r="D317" s="73"/>
      <c r="E317" s="330"/>
      <c r="F317" s="118"/>
      <c r="G317" s="118"/>
      <c r="H317" s="118"/>
      <c r="I317" s="118"/>
      <c r="J317" s="119"/>
      <c r="K317" s="120"/>
      <c r="L317" s="120"/>
      <c r="M317" s="120"/>
      <c r="N317" s="120"/>
      <c r="O317" s="118"/>
      <c r="P317" s="120"/>
      <c r="Q317" s="121"/>
      <c r="R317" s="109" t="b">
        <v>0</v>
      </c>
      <c r="S317" s="143" t="str">
        <f t="shared" si="1"/>
        <v>Suspenso</v>
      </c>
      <c r="T317" s="118"/>
      <c r="U317" s="118"/>
      <c r="V317" s="118"/>
      <c r="W317" s="118"/>
      <c r="X317" s="118"/>
      <c r="Y317" s="118"/>
      <c r="Z317" s="118"/>
      <c r="AA317" s="118"/>
      <c r="AB317" s="118"/>
      <c r="AC317" s="118"/>
      <c r="AD317" s="111"/>
      <c r="AE317" s="73"/>
      <c r="AF317" s="73"/>
    </row>
    <row r="318" ht="22.5" customHeight="1">
      <c r="A318" s="73"/>
      <c r="B318" s="73"/>
      <c r="C318" s="73"/>
      <c r="D318" s="73"/>
      <c r="E318" s="330"/>
      <c r="F318" s="118"/>
      <c r="G318" s="118"/>
      <c r="H318" s="118"/>
      <c r="I318" s="118"/>
      <c r="J318" s="119"/>
      <c r="K318" s="120"/>
      <c r="L318" s="120"/>
      <c r="M318" s="120"/>
      <c r="N318" s="120"/>
      <c r="O318" s="118"/>
      <c r="P318" s="120"/>
      <c r="Q318" s="121"/>
      <c r="R318" s="109" t="b">
        <v>0</v>
      </c>
      <c r="S318" s="143" t="str">
        <f t="shared" si="1"/>
        <v>Suspenso</v>
      </c>
      <c r="T318" s="118"/>
      <c r="U318" s="118"/>
      <c r="V318" s="118"/>
      <c r="W318" s="118"/>
      <c r="X318" s="118"/>
      <c r="Y318" s="118"/>
      <c r="Z318" s="118"/>
      <c r="AA318" s="118"/>
      <c r="AB318" s="118"/>
      <c r="AC318" s="118"/>
      <c r="AD318" s="111"/>
      <c r="AE318" s="73"/>
      <c r="AF318" s="73"/>
    </row>
    <row r="319" ht="22.5" customHeight="1">
      <c r="A319" s="73"/>
      <c r="B319" s="73"/>
      <c r="C319" s="73"/>
      <c r="D319" s="73"/>
      <c r="E319" s="330"/>
      <c r="F319" s="118"/>
      <c r="G319" s="118"/>
      <c r="H319" s="118"/>
      <c r="I319" s="118"/>
      <c r="J319" s="119"/>
      <c r="K319" s="120"/>
      <c r="L319" s="120"/>
      <c r="M319" s="120"/>
      <c r="N319" s="120"/>
      <c r="O319" s="118"/>
      <c r="P319" s="120"/>
      <c r="Q319" s="121"/>
      <c r="R319" s="109" t="b">
        <v>0</v>
      </c>
      <c r="S319" s="143" t="str">
        <f t="shared" si="1"/>
        <v>Suspenso</v>
      </c>
      <c r="T319" s="118"/>
      <c r="U319" s="118"/>
      <c r="V319" s="118"/>
      <c r="W319" s="118"/>
      <c r="X319" s="118"/>
      <c r="Y319" s="118"/>
      <c r="Z319" s="118"/>
      <c r="AA319" s="118"/>
      <c r="AB319" s="118"/>
      <c r="AC319" s="118"/>
      <c r="AD319" s="111"/>
      <c r="AE319" s="73"/>
      <c r="AF319" s="73"/>
    </row>
    <row r="320" ht="22.5" customHeight="1">
      <c r="A320" s="73"/>
      <c r="B320" s="73"/>
      <c r="C320" s="73"/>
      <c r="D320" s="73"/>
      <c r="E320" s="330"/>
      <c r="F320" s="118"/>
      <c r="G320" s="118"/>
      <c r="H320" s="118"/>
      <c r="I320" s="118"/>
      <c r="J320" s="119"/>
      <c r="K320" s="120"/>
      <c r="L320" s="120"/>
      <c r="M320" s="120"/>
      <c r="N320" s="120"/>
      <c r="O320" s="118"/>
      <c r="P320" s="120"/>
      <c r="Q320" s="121"/>
      <c r="R320" s="109" t="b">
        <v>0</v>
      </c>
      <c r="S320" s="143" t="str">
        <f t="shared" si="1"/>
        <v>Suspenso</v>
      </c>
      <c r="T320" s="118"/>
      <c r="U320" s="118"/>
      <c r="V320" s="118"/>
      <c r="W320" s="118"/>
      <c r="X320" s="118"/>
      <c r="Y320" s="118"/>
      <c r="Z320" s="118"/>
      <c r="AA320" s="118"/>
      <c r="AB320" s="118"/>
      <c r="AC320" s="118"/>
      <c r="AD320" s="111"/>
      <c r="AE320" s="73"/>
      <c r="AF320" s="73"/>
    </row>
    <row r="321" ht="22.5" customHeight="1">
      <c r="A321" s="73"/>
      <c r="B321" s="73"/>
      <c r="C321" s="73"/>
      <c r="D321" s="73"/>
      <c r="E321" s="330"/>
      <c r="F321" s="118"/>
      <c r="G321" s="118"/>
      <c r="H321" s="118"/>
      <c r="I321" s="118"/>
      <c r="J321" s="119"/>
      <c r="K321" s="120"/>
      <c r="L321" s="120"/>
      <c r="M321" s="120"/>
      <c r="N321" s="120"/>
      <c r="O321" s="118"/>
      <c r="P321" s="120"/>
      <c r="Q321" s="121"/>
      <c r="R321" s="109" t="b">
        <v>0</v>
      </c>
      <c r="S321" s="143" t="str">
        <f t="shared" si="1"/>
        <v>Suspenso</v>
      </c>
      <c r="T321" s="118"/>
      <c r="U321" s="118"/>
      <c r="V321" s="118"/>
      <c r="W321" s="118"/>
      <c r="X321" s="118"/>
      <c r="Y321" s="118"/>
      <c r="Z321" s="118"/>
      <c r="AA321" s="118"/>
      <c r="AB321" s="118"/>
      <c r="AC321" s="118"/>
      <c r="AD321" s="111"/>
      <c r="AE321" s="73"/>
      <c r="AF321" s="73"/>
    </row>
    <row r="322" ht="22.5" customHeight="1">
      <c r="A322" s="73"/>
      <c r="B322" s="73"/>
      <c r="C322" s="73"/>
      <c r="D322" s="73"/>
      <c r="E322" s="330"/>
      <c r="F322" s="118"/>
      <c r="G322" s="118"/>
      <c r="H322" s="118"/>
      <c r="I322" s="118"/>
      <c r="J322" s="119"/>
      <c r="K322" s="120"/>
      <c r="L322" s="120"/>
      <c r="M322" s="120"/>
      <c r="N322" s="120"/>
      <c r="O322" s="118"/>
      <c r="P322" s="120"/>
      <c r="Q322" s="121"/>
      <c r="R322" s="109" t="b">
        <v>0</v>
      </c>
      <c r="S322" s="143" t="str">
        <f t="shared" si="1"/>
        <v>Suspenso</v>
      </c>
      <c r="T322" s="118"/>
      <c r="U322" s="118"/>
      <c r="V322" s="118"/>
      <c r="W322" s="118"/>
      <c r="X322" s="118"/>
      <c r="Y322" s="118"/>
      <c r="Z322" s="118"/>
      <c r="AA322" s="118"/>
      <c r="AB322" s="118"/>
      <c r="AC322" s="118"/>
      <c r="AD322" s="111"/>
      <c r="AE322" s="73"/>
      <c r="AF322" s="73"/>
    </row>
    <row r="323" ht="22.5" customHeight="1">
      <c r="A323" s="73"/>
      <c r="B323" s="73"/>
      <c r="C323" s="73"/>
      <c r="D323" s="73"/>
      <c r="E323" s="330"/>
      <c r="F323" s="118"/>
      <c r="G323" s="118"/>
      <c r="H323" s="118"/>
      <c r="I323" s="118"/>
      <c r="J323" s="119"/>
      <c r="K323" s="120"/>
      <c r="L323" s="120"/>
      <c r="M323" s="120"/>
      <c r="N323" s="120"/>
      <c r="O323" s="118"/>
      <c r="P323" s="120"/>
      <c r="Q323" s="121"/>
      <c r="R323" s="109" t="b">
        <v>0</v>
      </c>
      <c r="S323" s="143" t="str">
        <f t="shared" si="1"/>
        <v>Suspenso</v>
      </c>
      <c r="T323" s="118"/>
      <c r="U323" s="118"/>
      <c r="V323" s="118"/>
      <c r="W323" s="118"/>
      <c r="X323" s="118"/>
      <c r="Y323" s="118"/>
      <c r="Z323" s="118"/>
      <c r="AA323" s="118"/>
      <c r="AB323" s="118"/>
      <c r="AC323" s="118"/>
      <c r="AD323" s="111"/>
      <c r="AE323" s="73"/>
      <c r="AF323" s="73"/>
    </row>
    <row r="324" ht="22.5" customHeight="1">
      <c r="A324" s="73"/>
      <c r="B324" s="73"/>
      <c r="C324" s="73"/>
      <c r="D324" s="73"/>
      <c r="E324" s="330"/>
      <c r="F324" s="118"/>
      <c r="G324" s="118"/>
      <c r="H324" s="118"/>
      <c r="I324" s="118"/>
      <c r="J324" s="119"/>
      <c r="K324" s="120"/>
      <c r="L324" s="120"/>
      <c r="M324" s="120"/>
      <c r="N324" s="120"/>
      <c r="O324" s="118"/>
      <c r="P324" s="120"/>
      <c r="Q324" s="121"/>
      <c r="R324" s="109" t="b">
        <v>0</v>
      </c>
      <c r="S324" s="143" t="str">
        <f t="shared" si="1"/>
        <v>Suspenso</v>
      </c>
      <c r="T324" s="118"/>
      <c r="U324" s="118"/>
      <c r="V324" s="118"/>
      <c r="W324" s="118"/>
      <c r="X324" s="118"/>
      <c r="Y324" s="118"/>
      <c r="Z324" s="118"/>
      <c r="AA324" s="118"/>
      <c r="AB324" s="118"/>
      <c r="AC324" s="118"/>
      <c r="AD324" s="111"/>
      <c r="AE324" s="73"/>
      <c r="AF324" s="73"/>
    </row>
    <row r="325" ht="22.5" customHeight="1">
      <c r="A325" s="73"/>
      <c r="B325" s="73"/>
      <c r="C325" s="73"/>
      <c r="D325" s="73"/>
      <c r="E325" s="330"/>
      <c r="F325" s="118"/>
      <c r="G325" s="118"/>
      <c r="H325" s="118"/>
      <c r="I325" s="118"/>
      <c r="J325" s="119"/>
      <c r="K325" s="120"/>
      <c r="L325" s="120"/>
      <c r="M325" s="120"/>
      <c r="N325" s="120"/>
      <c r="O325" s="118"/>
      <c r="P325" s="120"/>
      <c r="Q325" s="121"/>
      <c r="R325" s="109" t="b">
        <v>0</v>
      </c>
      <c r="S325" s="143" t="str">
        <f t="shared" si="1"/>
        <v>Suspenso</v>
      </c>
      <c r="T325" s="118"/>
      <c r="U325" s="118"/>
      <c r="V325" s="118"/>
      <c r="W325" s="118"/>
      <c r="X325" s="118"/>
      <c r="Y325" s="118"/>
      <c r="Z325" s="118"/>
      <c r="AA325" s="118"/>
      <c r="AB325" s="118"/>
      <c r="AC325" s="118"/>
      <c r="AD325" s="111"/>
      <c r="AE325" s="73"/>
      <c r="AF325" s="73"/>
    </row>
    <row r="326" ht="22.5" customHeight="1">
      <c r="A326" s="73"/>
      <c r="B326" s="73"/>
      <c r="C326" s="73"/>
      <c r="D326" s="73"/>
      <c r="E326" s="330"/>
      <c r="F326" s="118"/>
      <c r="G326" s="118"/>
      <c r="H326" s="118"/>
      <c r="I326" s="118"/>
      <c r="J326" s="119"/>
      <c r="K326" s="120"/>
      <c r="L326" s="120"/>
      <c r="M326" s="120"/>
      <c r="N326" s="120"/>
      <c r="O326" s="118"/>
      <c r="P326" s="120"/>
      <c r="Q326" s="121"/>
      <c r="R326" s="109" t="b">
        <v>0</v>
      </c>
      <c r="S326" s="143" t="str">
        <f t="shared" si="1"/>
        <v>Suspenso</v>
      </c>
      <c r="T326" s="118"/>
      <c r="U326" s="118"/>
      <c r="V326" s="118"/>
      <c r="W326" s="118"/>
      <c r="X326" s="118"/>
      <c r="Y326" s="118"/>
      <c r="Z326" s="118"/>
      <c r="AA326" s="118"/>
      <c r="AB326" s="118"/>
      <c r="AC326" s="118"/>
      <c r="AD326" s="111"/>
      <c r="AE326" s="73"/>
      <c r="AF326" s="73"/>
    </row>
    <row r="327" ht="22.5" customHeight="1">
      <c r="A327" s="73"/>
      <c r="B327" s="73"/>
      <c r="C327" s="73"/>
      <c r="D327" s="73"/>
      <c r="E327" s="330"/>
      <c r="F327" s="118"/>
      <c r="G327" s="118"/>
      <c r="H327" s="118"/>
      <c r="I327" s="118"/>
      <c r="J327" s="119"/>
      <c r="K327" s="120"/>
      <c r="L327" s="120"/>
      <c r="M327" s="120"/>
      <c r="N327" s="120"/>
      <c r="O327" s="118"/>
      <c r="P327" s="120"/>
      <c r="Q327" s="121"/>
      <c r="R327" s="109" t="b">
        <v>0</v>
      </c>
      <c r="S327" s="143" t="str">
        <f t="shared" si="1"/>
        <v>Suspenso</v>
      </c>
      <c r="T327" s="118"/>
      <c r="U327" s="118"/>
      <c r="V327" s="118"/>
      <c r="W327" s="118"/>
      <c r="X327" s="118"/>
      <c r="Y327" s="118"/>
      <c r="Z327" s="118"/>
      <c r="AA327" s="118"/>
      <c r="AB327" s="118"/>
      <c r="AC327" s="118"/>
      <c r="AD327" s="111"/>
      <c r="AE327" s="73"/>
      <c r="AF327" s="73"/>
    </row>
    <row r="328" ht="22.5" customHeight="1">
      <c r="A328" s="73"/>
      <c r="B328" s="73"/>
      <c r="C328" s="73"/>
      <c r="D328" s="73"/>
      <c r="E328" s="330"/>
      <c r="F328" s="118"/>
      <c r="G328" s="118"/>
      <c r="H328" s="118"/>
      <c r="I328" s="118"/>
      <c r="J328" s="119"/>
      <c r="K328" s="120"/>
      <c r="L328" s="120"/>
      <c r="M328" s="120"/>
      <c r="N328" s="120"/>
      <c r="O328" s="118"/>
      <c r="P328" s="120"/>
      <c r="Q328" s="121"/>
      <c r="R328" s="109" t="b">
        <v>0</v>
      </c>
      <c r="S328" s="143" t="str">
        <f t="shared" si="1"/>
        <v>Suspenso</v>
      </c>
      <c r="T328" s="118"/>
      <c r="U328" s="118"/>
      <c r="V328" s="118"/>
      <c r="W328" s="118"/>
      <c r="X328" s="118"/>
      <c r="Y328" s="118"/>
      <c r="Z328" s="118"/>
      <c r="AA328" s="118"/>
      <c r="AB328" s="118"/>
      <c r="AC328" s="118"/>
      <c r="AD328" s="111"/>
      <c r="AE328" s="73"/>
      <c r="AF328" s="73"/>
    </row>
    <row r="329" ht="22.5" customHeight="1">
      <c r="A329" s="73"/>
      <c r="B329" s="73"/>
      <c r="C329" s="73"/>
      <c r="D329" s="73"/>
      <c r="E329" s="330"/>
      <c r="F329" s="118"/>
      <c r="G329" s="118"/>
      <c r="H329" s="118"/>
      <c r="I329" s="118"/>
      <c r="J329" s="119"/>
      <c r="K329" s="120"/>
      <c r="L329" s="120"/>
      <c r="M329" s="120"/>
      <c r="N329" s="120"/>
      <c r="O329" s="118"/>
      <c r="P329" s="120"/>
      <c r="Q329" s="121"/>
      <c r="R329" s="109" t="b">
        <v>0</v>
      </c>
      <c r="S329" s="143" t="str">
        <f t="shared" si="1"/>
        <v>Suspenso</v>
      </c>
      <c r="T329" s="118"/>
      <c r="U329" s="118"/>
      <c r="V329" s="118"/>
      <c r="W329" s="118"/>
      <c r="X329" s="118"/>
      <c r="Y329" s="118"/>
      <c r="Z329" s="118"/>
      <c r="AA329" s="118"/>
      <c r="AB329" s="118"/>
      <c r="AC329" s="118"/>
      <c r="AD329" s="111"/>
      <c r="AE329" s="73"/>
      <c r="AF329" s="73"/>
    </row>
    <row r="330" ht="22.5" customHeight="1">
      <c r="A330" s="73"/>
      <c r="B330" s="73"/>
      <c r="C330" s="73"/>
      <c r="D330" s="73"/>
      <c r="E330" s="330"/>
      <c r="F330" s="118"/>
      <c r="G330" s="118"/>
      <c r="H330" s="118"/>
      <c r="I330" s="118"/>
      <c r="J330" s="119"/>
      <c r="K330" s="120"/>
      <c r="L330" s="120"/>
      <c r="M330" s="120"/>
      <c r="N330" s="120"/>
      <c r="O330" s="118"/>
      <c r="P330" s="120"/>
      <c r="Q330" s="121"/>
      <c r="R330" s="109" t="b">
        <v>0</v>
      </c>
      <c r="S330" s="143" t="str">
        <f t="shared" si="1"/>
        <v>Suspenso</v>
      </c>
      <c r="T330" s="118"/>
      <c r="U330" s="118"/>
      <c r="V330" s="118"/>
      <c r="W330" s="118"/>
      <c r="X330" s="118"/>
      <c r="Y330" s="118"/>
      <c r="Z330" s="118"/>
      <c r="AA330" s="118"/>
      <c r="AB330" s="118"/>
      <c r="AC330" s="118"/>
      <c r="AD330" s="111"/>
      <c r="AE330" s="73"/>
      <c r="AF330" s="73"/>
    </row>
    <row r="331" ht="22.5" customHeight="1">
      <c r="A331" s="73"/>
      <c r="B331" s="73"/>
      <c r="C331" s="73"/>
      <c r="D331" s="73"/>
      <c r="E331" s="330"/>
      <c r="F331" s="118"/>
      <c r="G331" s="118"/>
      <c r="H331" s="118"/>
      <c r="I331" s="118"/>
      <c r="J331" s="119"/>
      <c r="K331" s="120"/>
      <c r="L331" s="120"/>
      <c r="M331" s="120"/>
      <c r="N331" s="120"/>
      <c r="O331" s="118"/>
      <c r="P331" s="120"/>
      <c r="Q331" s="121"/>
      <c r="R331" s="109" t="b">
        <v>0</v>
      </c>
      <c r="S331" s="143" t="str">
        <f t="shared" si="1"/>
        <v>Suspenso</v>
      </c>
      <c r="T331" s="118"/>
      <c r="U331" s="118"/>
      <c r="V331" s="118"/>
      <c r="W331" s="118"/>
      <c r="X331" s="118"/>
      <c r="Y331" s="118"/>
      <c r="Z331" s="118"/>
      <c r="AA331" s="118"/>
      <c r="AB331" s="118"/>
      <c r="AC331" s="118"/>
      <c r="AD331" s="111"/>
      <c r="AE331" s="73"/>
      <c r="AF331" s="73"/>
    </row>
    <row r="332" ht="22.5" customHeight="1">
      <c r="A332" s="73"/>
      <c r="B332" s="73"/>
      <c r="C332" s="73"/>
      <c r="D332" s="73"/>
      <c r="E332" s="330"/>
      <c r="F332" s="118"/>
      <c r="G332" s="118"/>
      <c r="H332" s="118"/>
      <c r="I332" s="118"/>
      <c r="J332" s="119"/>
      <c r="K332" s="120"/>
      <c r="L332" s="120"/>
      <c r="M332" s="120"/>
      <c r="N332" s="120"/>
      <c r="O332" s="118"/>
      <c r="P332" s="120"/>
      <c r="Q332" s="121"/>
      <c r="R332" s="109" t="b">
        <v>0</v>
      </c>
      <c r="S332" s="143" t="str">
        <f t="shared" si="1"/>
        <v>Suspenso</v>
      </c>
      <c r="T332" s="118"/>
      <c r="U332" s="118"/>
      <c r="V332" s="118"/>
      <c r="W332" s="118"/>
      <c r="X332" s="118"/>
      <c r="Y332" s="118"/>
      <c r="Z332" s="118"/>
      <c r="AA332" s="118"/>
      <c r="AB332" s="118"/>
      <c r="AC332" s="118"/>
      <c r="AD332" s="111"/>
      <c r="AE332" s="73"/>
      <c r="AF332" s="73"/>
    </row>
    <row r="333" ht="22.5" customHeight="1">
      <c r="A333" s="73"/>
      <c r="B333" s="73"/>
      <c r="C333" s="73"/>
      <c r="D333" s="73"/>
      <c r="E333" s="330"/>
      <c r="F333" s="118"/>
      <c r="G333" s="118"/>
      <c r="H333" s="118"/>
      <c r="I333" s="118"/>
      <c r="J333" s="119"/>
      <c r="K333" s="120"/>
      <c r="L333" s="120"/>
      <c r="M333" s="120"/>
      <c r="N333" s="120"/>
      <c r="O333" s="118"/>
      <c r="P333" s="120"/>
      <c r="Q333" s="121"/>
      <c r="R333" s="109" t="b">
        <v>0</v>
      </c>
      <c r="S333" s="143" t="str">
        <f t="shared" si="1"/>
        <v>Suspenso</v>
      </c>
      <c r="T333" s="118"/>
      <c r="U333" s="118"/>
      <c r="V333" s="118"/>
      <c r="W333" s="118"/>
      <c r="X333" s="118"/>
      <c r="Y333" s="118"/>
      <c r="Z333" s="118"/>
      <c r="AA333" s="118"/>
      <c r="AB333" s="118"/>
      <c r="AC333" s="118"/>
      <c r="AD333" s="111"/>
      <c r="AE333" s="73"/>
      <c r="AF333" s="73"/>
    </row>
    <row r="334" ht="22.5" customHeight="1">
      <c r="A334" s="73"/>
      <c r="B334" s="73"/>
      <c r="C334" s="73"/>
      <c r="D334" s="73"/>
      <c r="E334" s="330"/>
      <c r="F334" s="118"/>
      <c r="G334" s="118"/>
      <c r="H334" s="118"/>
      <c r="I334" s="118"/>
      <c r="J334" s="119"/>
      <c r="K334" s="120"/>
      <c r="L334" s="120"/>
      <c r="M334" s="120"/>
      <c r="N334" s="120"/>
      <c r="O334" s="118"/>
      <c r="P334" s="120"/>
      <c r="Q334" s="121"/>
      <c r="R334" s="109" t="b">
        <v>0</v>
      </c>
      <c r="S334" s="143" t="str">
        <f t="shared" si="1"/>
        <v>Suspenso</v>
      </c>
      <c r="T334" s="118"/>
      <c r="U334" s="118"/>
      <c r="V334" s="118"/>
      <c r="W334" s="118"/>
      <c r="X334" s="118"/>
      <c r="Y334" s="118"/>
      <c r="Z334" s="118"/>
      <c r="AA334" s="118"/>
      <c r="AB334" s="118"/>
      <c r="AC334" s="118"/>
      <c r="AD334" s="111"/>
      <c r="AE334" s="73"/>
      <c r="AF334" s="73"/>
    </row>
    <row r="335" ht="22.5" customHeight="1">
      <c r="A335" s="73"/>
      <c r="B335" s="73"/>
      <c r="C335" s="73"/>
      <c r="D335" s="73"/>
      <c r="E335" s="330"/>
      <c r="F335" s="118"/>
      <c r="G335" s="118"/>
      <c r="H335" s="118"/>
      <c r="I335" s="118"/>
      <c r="J335" s="119"/>
      <c r="K335" s="120"/>
      <c r="L335" s="120"/>
      <c r="M335" s="120"/>
      <c r="N335" s="120"/>
      <c r="O335" s="118"/>
      <c r="P335" s="120"/>
      <c r="Q335" s="121"/>
      <c r="R335" s="109" t="b">
        <v>0</v>
      </c>
      <c r="S335" s="143" t="str">
        <f t="shared" si="1"/>
        <v>Suspenso</v>
      </c>
      <c r="T335" s="118"/>
      <c r="U335" s="118"/>
      <c r="V335" s="118"/>
      <c r="W335" s="118"/>
      <c r="X335" s="118"/>
      <c r="Y335" s="118"/>
      <c r="Z335" s="118"/>
      <c r="AA335" s="118"/>
      <c r="AB335" s="118"/>
      <c r="AC335" s="118"/>
      <c r="AD335" s="111"/>
      <c r="AE335" s="73"/>
      <c r="AF335" s="73"/>
    </row>
    <row r="336" ht="22.5" customHeight="1">
      <c r="A336" s="73"/>
      <c r="B336" s="73"/>
      <c r="C336" s="73"/>
      <c r="D336" s="73"/>
      <c r="E336" s="330"/>
      <c r="F336" s="118"/>
      <c r="G336" s="118"/>
      <c r="H336" s="118"/>
      <c r="I336" s="118"/>
      <c r="J336" s="119"/>
      <c r="K336" s="120"/>
      <c r="L336" s="120"/>
      <c r="M336" s="120"/>
      <c r="N336" s="120"/>
      <c r="O336" s="118"/>
      <c r="P336" s="120"/>
      <c r="Q336" s="121"/>
      <c r="R336" s="109" t="b">
        <v>0</v>
      </c>
      <c r="S336" s="143" t="str">
        <f t="shared" si="1"/>
        <v>Suspenso</v>
      </c>
      <c r="T336" s="118"/>
      <c r="U336" s="118"/>
      <c r="V336" s="118"/>
      <c r="W336" s="118"/>
      <c r="X336" s="118"/>
      <c r="Y336" s="118"/>
      <c r="Z336" s="118"/>
      <c r="AA336" s="118"/>
      <c r="AB336" s="118"/>
      <c r="AC336" s="118"/>
      <c r="AD336" s="111"/>
      <c r="AE336" s="73"/>
      <c r="AF336" s="73"/>
    </row>
    <row r="337" ht="22.5" customHeight="1">
      <c r="A337" s="73"/>
      <c r="B337" s="73"/>
      <c r="C337" s="73"/>
      <c r="D337" s="73"/>
      <c r="E337" s="330"/>
      <c r="F337" s="118"/>
      <c r="G337" s="118"/>
      <c r="H337" s="118"/>
      <c r="I337" s="118"/>
      <c r="J337" s="119"/>
      <c r="K337" s="120"/>
      <c r="L337" s="120"/>
      <c r="M337" s="120"/>
      <c r="N337" s="120"/>
      <c r="O337" s="118"/>
      <c r="P337" s="120"/>
      <c r="Q337" s="121"/>
      <c r="R337" s="109" t="b">
        <v>0</v>
      </c>
      <c r="S337" s="143" t="str">
        <f t="shared" si="1"/>
        <v>Suspenso</v>
      </c>
      <c r="T337" s="118"/>
      <c r="U337" s="118"/>
      <c r="V337" s="118"/>
      <c r="W337" s="118"/>
      <c r="X337" s="118"/>
      <c r="Y337" s="118"/>
      <c r="Z337" s="118"/>
      <c r="AA337" s="118"/>
      <c r="AB337" s="118"/>
      <c r="AC337" s="118"/>
      <c r="AD337" s="111"/>
      <c r="AE337" s="73"/>
      <c r="AF337" s="73"/>
    </row>
    <row r="338" ht="22.5" customHeight="1">
      <c r="A338" s="73"/>
      <c r="B338" s="73"/>
      <c r="C338" s="73"/>
      <c r="D338" s="73"/>
      <c r="E338" s="330"/>
      <c r="F338" s="118"/>
      <c r="G338" s="118"/>
      <c r="H338" s="118"/>
      <c r="I338" s="118"/>
      <c r="J338" s="119"/>
      <c r="K338" s="120"/>
      <c r="L338" s="120"/>
      <c r="M338" s="120"/>
      <c r="N338" s="120"/>
      <c r="O338" s="118"/>
      <c r="P338" s="120"/>
      <c r="Q338" s="121"/>
      <c r="R338" s="109" t="b">
        <v>0</v>
      </c>
      <c r="S338" s="143" t="str">
        <f t="shared" si="1"/>
        <v>Suspenso</v>
      </c>
      <c r="T338" s="118"/>
      <c r="U338" s="118"/>
      <c r="V338" s="118"/>
      <c r="W338" s="118"/>
      <c r="X338" s="118"/>
      <c r="Y338" s="118"/>
      <c r="Z338" s="118"/>
      <c r="AA338" s="118"/>
      <c r="AB338" s="118"/>
      <c r="AC338" s="118"/>
      <c r="AD338" s="111"/>
      <c r="AE338" s="73"/>
      <c r="AF338" s="73"/>
    </row>
    <row r="339" ht="22.5" customHeight="1">
      <c r="A339" s="73"/>
      <c r="B339" s="73"/>
      <c r="C339" s="73"/>
      <c r="D339" s="73"/>
      <c r="E339" s="330"/>
      <c r="F339" s="118"/>
      <c r="G339" s="118"/>
      <c r="H339" s="118"/>
      <c r="I339" s="118"/>
      <c r="J339" s="119"/>
      <c r="K339" s="120"/>
      <c r="L339" s="120"/>
      <c r="M339" s="120"/>
      <c r="N339" s="120"/>
      <c r="O339" s="118"/>
      <c r="P339" s="120"/>
      <c r="Q339" s="121"/>
      <c r="R339" s="109" t="b">
        <v>0</v>
      </c>
      <c r="S339" s="143" t="str">
        <f t="shared" si="1"/>
        <v>Suspenso</v>
      </c>
      <c r="T339" s="118"/>
      <c r="U339" s="118"/>
      <c r="V339" s="118"/>
      <c r="W339" s="118"/>
      <c r="X339" s="118"/>
      <c r="Y339" s="118"/>
      <c r="Z339" s="118"/>
      <c r="AA339" s="118"/>
      <c r="AB339" s="118"/>
      <c r="AC339" s="118"/>
      <c r="AD339" s="111"/>
      <c r="AE339" s="73"/>
      <c r="AF339" s="73"/>
    </row>
    <row r="340" ht="22.5" customHeight="1">
      <c r="A340" s="73"/>
      <c r="B340" s="73"/>
      <c r="C340" s="73"/>
      <c r="D340" s="73"/>
      <c r="E340" s="330"/>
      <c r="F340" s="118"/>
      <c r="G340" s="118"/>
      <c r="H340" s="118"/>
      <c r="I340" s="118"/>
      <c r="J340" s="119"/>
      <c r="K340" s="120"/>
      <c r="L340" s="120"/>
      <c r="M340" s="120"/>
      <c r="N340" s="120"/>
      <c r="O340" s="118"/>
      <c r="P340" s="120"/>
      <c r="Q340" s="121"/>
      <c r="R340" s="109" t="b">
        <v>0</v>
      </c>
      <c r="S340" s="143" t="str">
        <f t="shared" si="1"/>
        <v>Suspenso</v>
      </c>
      <c r="T340" s="118"/>
      <c r="U340" s="118"/>
      <c r="V340" s="118"/>
      <c r="W340" s="118"/>
      <c r="X340" s="118"/>
      <c r="Y340" s="118"/>
      <c r="Z340" s="118"/>
      <c r="AA340" s="118"/>
      <c r="AB340" s="118"/>
      <c r="AC340" s="118"/>
      <c r="AD340" s="111"/>
      <c r="AE340" s="73"/>
      <c r="AF340" s="73"/>
    </row>
    <row r="341" ht="22.5" customHeight="1">
      <c r="A341" s="73"/>
      <c r="B341" s="73"/>
      <c r="C341" s="73"/>
      <c r="D341" s="73"/>
      <c r="E341" s="330"/>
      <c r="F341" s="118"/>
      <c r="G341" s="118"/>
      <c r="H341" s="118"/>
      <c r="I341" s="118"/>
      <c r="J341" s="119"/>
      <c r="K341" s="120"/>
      <c r="L341" s="120"/>
      <c r="M341" s="120"/>
      <c r="N341" s="120"/>
      <c r="O341" s="118"/>
      <c r="P341" s="120"/>
      <c r="Q341" s="121"/>
      <c r="R341" s="109" t="b">
        <v>0</v>
      </c>
      <c r="S341" s="143" t="str">
        <f t="shared" si="1"/>
        <v>Suspenso</v>
      </c>
      <c r="T341" s="118"/>
      <c r="U341" s="118"/>
      <c r="V341" s="118"/>
      <c r="W341" s="118"/>
      <c r="X341" s="118"/>
      <c r="Y341" s="118"/>
      <c r="Z341" s="118"/>
      <c r="AA341" s="118"/>
      <c r="AB341" s="118"/>
      <c r="AC341" s="118"/>
      <c r="AD341" s="111"/>
      <c r="AE341" s="73"/>
      <c r="AF341" s="73"/>
    </row>
    <row r="342" ht="22.5" customHeight="1">
      <c r="A342" s="73"/>
      <c r="B342" s="73"/>
      <c r="C342" s="73"/>
      <c r="D342" s="73"/>
      <c r="E342" s="330"/>
      <c r="F342" s="118"/>
      <c r="G342" s="118"/>
      <c r="H342" s="118"/>
      <c r="I342" s="118"/>
      <c r="J342" s="119"/>
      <c r="K342" s="120"/>
      <c r="L342" s="120"/>
      <c r="M342" s="120"/>
      <c r="N342" s="120"/>
      <c r="O342" s="118"/>
      <c r="P342" s="120"/>
      <c r="Q342" s="121"/>
      <c r="R342" s="109" t="b">
        <v>0</v>
      </c>
      <c r="S342" s="143" t="str">
        <f t="shared" si="1"/>
        <v>Suspenso</v>
      </c>
      <c r="T342" s="118"/>
      <c r="U342" s="118"/>
      <c r="V342" s="118"/>
      <c r="W342" s="118"/>
      <c r="X342" s="118"/>
      <c r="Y342" s="118"/>
      <c r="Z342" s="118"/>
      <c r="AA342" s="118"/>
      <c r="AB342" s="118"/>
      <c r="AC342" s="118"/>
      <c r="AD342" s="111"/>
      <c r="AE342" s="73"/>
      <c r="AF342" s="73"/>
    </row>
    <row r="343" ht="22.5" customHeight="1">
      <c r="A343" s="73"/>
      <c r="B343" s="73"/>
      <c r="C343" s="73"/>
      <c r="D343" s="73"/>
      <c r="E343" s="330"/>
      <c r="F343" s="118"/>
      <c r="G343" s="118"/>
      <c r="H343" s="118"/>
      <c r="I343" s="118"/>
      <c r="J343" s="119"/>
      <c r="K343" s="120"/>
      <c r="L343" s="120"/>
      <c r="M343" s="120"/>
      <c r="N343" s="120"/>
      <c r="O343" s="118"/>
      <c r="P343" s="120"/>
      <c r="Q343" s="121"/>
      <c r="R343" s="109" t="b">
        <v>0</v>
      </c>
      <c r="S343" s="143" t="str">
        <f t="shared" si="1"/>
        <v>Suspenso</v>
      </c>
      <c r="T343" s="118"/>
      <c r="U343" s="118"/>
      <c r="V343" s="118"/>
      <c r="W343" s="118"/>
      <c r="X343" s="118"/>
      <c r="Y343" s="118"/>
      <c r="Z343" s="118"/>
      <c r="AA343" s="118"/>
      <c r="AB343" s="118"/>
      <c r="AC343" s="118"/>
      <c r="AD343" s="111"/>
      <c r="AE343" s="73"/>
      <c r="AF343" s="73"/>
    </row>
    <row r="344" ht="22.5" customHeight="1">
      <c r="A344" s="73"/>
      <c r="B344" s="73"/>
      <c r="C344" s="73"/>
      <c r="D344" s="73"/>
      <c r="E344" s="330"/>
      <c r="F344" s="118"/>
      <c r="G344" s="118"/>
      <c r="H344" s="118"/>
      <c r="I344" s="118"/>
      <c r="J344" s="119"/>
      <c r="K344" s="120"/>
      <c r="L344" s="120"/>
      <c r="M344" s="120"/>
      <c r="N344" s="120"/>
      <c r="O344" s="118"/>
      <c r="P344" s="120"/>
      <c r="Q344" s="121"/>
      <c r="R344" s="109" t="b">
        <v>0</v>
      </c>
      <c r="S344" s="143" t="str">
        <f t="shared" si="1"/>
        <v>Suspenso</v>
      </c>
      <c r="T344" s="118"/>
      <c r="U344" s="118"/>
      <c r="V344" s="118"/>
      <c r="W344" s="118"/>
      <c r="X344" s="118"/>
      <c r="Y344" s="118"/>
      <c r="Z344" s="118"/>
      <c r="AA344" s="118"/>
      <c r="AB344" s="118"/>
      <c r="AC344" s="118"/>
      <c r="AD344" s="111"/>
      <c r="AE344" s="73"/>
      <c r="AF344" s="73"/>
    </row>
    <row r="345" ht="22.5" customHeight="1">
      <c r="A345" s="73"/>
      <c r="B345" s="73"/>
      <c r="C345" s="73"/>
      <c r="D345" s="73"/>
      <c r="E345" s="330"/>
      <c r="F345" s="118"/>
      <c r="G345" s="118"/>
      <c r="H345" s="118"/>
      <c r="I345" s="118"/>
      <c r="J345" s="119"/>
      <c r="K345" s="120"/>
      <c r="L345" s="120"/>
      <c r="M345" s="120"/>
      <c r="N345" s="120"/>
      <c r="O345" s="118"/>
      <c r="P345" s="120"/>
      <c r="Q345" s="121"/>
      <c r="R345" s="109" t="b">
        <v>0</v>
      </c>
      <c r="S345" s="143" t="str">
        <f t="shared" si="1"/>
        <v>Suspenso</v>
      </c>
      <c r="T345" s="118"/>
      <c r="U345" s="118"/>
      <c r="V345" s="118"/>
      <c r="W345" s="118"/>
      <c r="X345" s="118"/>
      <c r="Y345" s="118"/>
      <c r="Z345" s="118"/>
      <c r="AA345" s="118"/>
      <c r="AB345" s="118"/>
      <c r="AC345" s="118"/>
      <c r="AD345" s="111"/>
      <c r="AE345" s="73"/>
      <c r="AF345" s="73"/>
    </row>
    <row r="346" ht="22.5" customHeight="1">
      <c r="A346" s="73"/>
      <c r="B346" s="73"/>
      <c r="C346" s="73"/>
      <c r="D346" s="73"/>
      <c r="E346" s="330"/>
      <c r="F346" s="118"/>
      <c r="G346" s="118"/>
      <c r="H346" s="118"/>
      <c r="I346" s="118"/>
      <c r="J346" s="119"/>
      <c r="K346" s="120"/>
      <c r="L346" s="120"/>
      <c r="M346" s="120"/>
      <c r="N346" s="120"/>
      <c r="O346" s="118"/>
      <c r="P346" s="120"/>
      <c r="Q346" s="121"/>
      <c r="R346" s="109" t="b">
        <v>0</v>
      </c>
      <c r="S346" s="143" t="str">
        <f t="shared" si="1"/>
        <v>Suspenso</v>
      </c>
      <c r="T346" s="118"/>
      <c r="U346" s="118"/>
      <c r="V346" s="118"/>
      <c r="W346" s="118"/>
      <c r="X346" s="118"/>
      <c r="Y346" s="118"/>
      <c r="Z346" s="118"/>
      <c r="AA346" s="118"/>
      <c r="AB346" s="118"/>
      <c r="AC346" s="118"/>
      <c r="AD346" s="111"/>
      <c r="AE346" s="73"/>
      <c r="AF346" s="73"/>
    </row>
    <row r="347" ht="22.5" customHeight="1">
      <c r="A347" s="73"/>
      <c r="B347" s="73"/>
      <c r="C347" s="73"/>
      <c r="D347" s="73"/>
      <c r="E347" s="330"/>
      <c r="F347" s="118"/>
      <c r="G347" s="118"/>
      <c r="H347" s="118"/>
      <c r="I347" s="118"/>
      <c r="J347" s="119"/>
      <c r="K347" s="120"/>
      <c r="L347" s="120"/>
      <c r="M347" s="120"/>
      <c r="N347" s="120"/>
      <c r="O347" s="118"/>
      <c r="P347" s="120"/>
      <c r="Q347" s="121"/>
      <c r="R347" s="109" t="b">
        <v>0</v>
      </c>
      <c r="S347" s="143" t="str">
        <f t="shared" si="1"/>
        <v>Suspenso</v>
      </c>
      <c r="T347" s="118"/>
      <c r="U347" s="118"/>
      <c r="V347" s="118"/>
      <c r="W347" s="118"/>
      <c r="X347" s="118"/>
      <c r="Y347" s="118"/>
      <c r="Z347" s="118"/>
      <c r="AA347" s="118"/>
      <c r="AB347" s="118"/>
      <c r="AC347" s="118"/>
      <c r="AD347" s="111"/>
      <c r="AE347" s="73"/>
      <c r="AF347" s="73"/>
    </row>
    <row r="348" ht="22.5" customHeight="1">
      <c r="A348" s="73"/>
      <c r="B348" s="73"/>
      <c r="C348" s="73"/>
      <c r="D348" s="73"/>
      <c r="E348" s="330"/>
      <c r="F348" s="118"/>
      <c r="G348" s="118"/>
      <c r="H348" s="118"/>
      <c r="I348" s="118"/>
      <c r="J348" s="119"/>
      <c r="K348" s="120"/>
      <c r="L348" s="120"/>
      <c r="M348" s="120"/>
      <c r="N348" s="120"/>
      <c r="O348" s="118"/>
      <c r="P348" s="120"/>
      <c r="Q348" s="121"/>
      <c r="R348" s="109" t="b">
        <v>0</v>
      </c>
      <c r="S348" s="143" t="str">
        <f t="shared" si="1"/>
        <v>Suspenso</v>
      </c>
      <c r="T348" s="118"/>
      <c r="U348" s="118"/>
      <c r="V348" s="118"/>
      <c r="W348" s="118"/>
      <c r="X348" s="118"/>
      <c r="Y348" s="118"/>
      <c r="Z348" s="118"/>
      <c r="AA348" s="118"/>
      <c r="AB348" s="118"/>
      <c r="AC348" s="118"/>
      <c r="AD348" s="111"/>
      <c r="AE348" s="73"/>
      <c r="AF348" s="73"/>
    </row>
    <row r="349" ht="22.5" customHeight="1">
      <c r="A349" s="73"/>
      <c r="B349" s="73"/>
      <c r="C349" s="73"/>
      <c r="D349" s="73"/>
      <c r="E349" s="330"/>
      <c r="F349" s="118"/>
      <c r="G349" s="118"/>
      <c r="H349" s="118"/>
      <c r="I349" s="118"/>
      <c r="J349" s="119"/>
      <c r="K349" s="120"/>
      <c r="L349" s="120"/>
      <c r="M349" s="120"/>
      <c r="N349" s="120"/>
      <c r="O349" s="118"/>
      <c r="P349" s="120"/>
      <c r="Q349" s="121"/>
      <c r="R349" s="109" t="b">
        <v>0</v>
      </c>
      <c r="S349" s="143" t="str">
        <f t="shared" si="1"/>
        <v>Suspenso</v>
      </c>
      <c r="T349" s="118"/>
      <c r="U349" s="118"/>
      <c r="V349" s="118"/>
      <c r="W349" s="118"/>
      <c r="X349" s="118"/>
      <c r="Y349" s="118"/>
      <c r="Z349" s="118"/>
      <c r="AA349" s="118"/>
      <c r="AB349" s="118"/>
      <c r="AC349" s="118"/>
      <c r="AD349" s="111"/>
      <c r="AE349" s="73"/>
      <c r="AF349" s="73"/>
    </row>
    <row r="350" ht="22.5" customHeight="1">
      <c r="A350" s="73"/>
      <c r="B350" s="73"/>
      <c r="C350" s="73"/>
      <c r="D350" s="73"/>
      <c r="E350" s="330"/>
      <c r="F350" s="118"/>
      <c r="G350" s="118"/>
      <c r="H350" s="118"/>
      <c r="I350" s="118"/>
      <c r="J350" s="119"/>
      <c r="K350" s="120"/>
      <c r="L350" s="120"/>
      <c r="M350" s="120"/>
      <c r="N350" s="120"/>
      <c r="O350" s="118"/>
      <c r="P350" s="120"/>
      <c r="Q350" s="121"/>
      <c r="R350" s="109" t="b">
        <v>0</v>
      </c>
      <c r="S350" s="143" t="str">
        <f t="shared" si="1"/>
        <v>Suspenso</v>
      </c>
      <c r="T350" s="118"/>
      <c r="U350" s="118"/>
      <c r="V350" s="118"/>
      <c r="W350" s="118"/>
      <c r="X350" s="118"/>
      <c r="Y350" s="118"/>
      <c r="Z350" s="118"/>
      <c r="AA350" s="118"/>
      <c r="AB350" s="118"/>
      <c r="AC350" s="118"/>
      <c r="AD350" s="111"/>
      <c r="AE350" s="73"/>
      <c r="AF350" s="73"/>
    </row>
    <row r="351" ht="22.5" customHeight="1">
      <c r="A351" s="73"/>
      <c r="B351" s="73"/>
      <c r="C351" s="73"/>
      <c r="D351" s="73"/>
      <c r="E351" s="330"/>
      <c r="F351" s="118"/>
      <c r="G351" s="118"/>
      <c r="H351" s="118"/>
      <c r="I351" s="118"/>
      <c r="J351" s="119"/>
      <c r="K351" s="120"/>
      <c r="L351" s="120"/>
      <c r="M351" s="120"/>
      <c r="N351" s="120"/>
      <c r="O351" s="118"/>
      <c r="P351" s="120"/>
      <c r="Q351" s="121"/>
      <c r="R351" s="109" t="b">
        <v>0</v>
      </c>
      <c r="S351" s="143" t="str">
        <f t="shared" si="1"/>
        <v>Suspenso</v>
      </c>
      <c r="T351" s="118"/>
      <c r="U351" s="118"/>
      <c r="V351" s="118"/>
      <c r="W351" s="118"/>
      <c r="X351" s="118"/>
      <c r="Y351" s="118"/>
      <c r="Z351" s="118"/>
      <c r="AA351" s="118"/>
      <c r="AB351" s="118"/>
      <c r="AC351" s="118"/>
      <c r="AD351" s="111"/>
      <c r="AE351" s="73"/>
      <c r="AF351" s="73"/>
    </row>
    <row r="352" ht="22.5" customHeight="1">
      <c r="A352" s="73"/>
      <c r="B352" s="73"/>
      <c r="C352" s="73"/>
      <c r="D352" s="73"/>
      <c r="E352" s="330"/>
      <c r="F352" s="118"/>
      <c r="G352" s="118"/>
      <c r="H352" s="118"/>
      <c r="I352" s="118"/>
      <c r="J352" s="119"/>
      <c r="K352" s="120"/>
      <c r="L352" s="120"/>
      <c r="M352" s="120"/>
      <c r="N352" s="120"/>
      <c r="O352" s="118"/>
      <c r="P352" s="120"/>
      <c r="Q352" s="121"/>
      <c r="R352" s="109" t="b">
        <v>0</v>
      </c>
      <c r="S352" s="143" t="str">
        <f t="shared" si="1"/>
        <v>Suspenso</v>
      </c>
      <c r="T352" s="118"/>
      <c r="U352" s="118"/>
      <c r="V352" s="118"/>
      <c r="W352" s="118"/>
      <c r="X352" s="118"/>
      <c r="Y352" s="118"/>
      <c r="Z352" s="118"/>
      <c r="AA352" s="118"/>
      <c r="AB352" s="118"/>
      <c r="AC352" s="118"/>
      <c r="AD352" s="111"/>
      <c r="AE352" s="73"/>
      <c r="AF352" s="73"/>
    </row>
    <row r="353" ht="22.5" customHeight="1">
      <c r="A353" s="73"/>
      <c r="B353" s="73"/>
      <c r="C353" s="73"/>
      <c r="D353" s="73"/>
      <c r="E353" s="330"/>
      <c r="F353" s="118"/>
      <c r="G353" s="118"/>
      <c r="H353" s="118"/>
      <c r="I353" s="118"/>
      <c r="J353" s="119"/>
      <c r="K353" s="120"/>
      <c r="L353" s="120"/>
      <c r="M353" s="120"/>
      <c r="N353" s="120"/>
      <c r="O353" s="118"/>
      <c r="P353" s="120"/>
      <c r="Q353" s="121"/>
      <c r="R353" s="109" t="b">
        <v>0</v>
      </c>
      <c r="S353" s="143" t="str">
        <f t="shared" si="1"/>
        <v>Suspenso</v>
      </c>
      <c r="T353" s="118"/>
      <c r="U353" s="118"/>
      <c r="V353" s="118"/>
      <c r="W353" s="118"/>
      <c r="X353" s="118"/>
      <c r="Y353" s="118"/>
      <c r="Z353" s="118"/>
      <c r="AA353" s="118"/>
      <c r="AB353" s="118"/>
      <c r="AC353" s="118"/>
      <c r="AD353" s="111"/>
      <c r="AE353" s="73"/>
      <c r="AF353" s="73"/>
    </row>
    <row r="354" ht="22.5" customHeight="1">
      <c r="A354" s="73"/>
      <c r="B354" s="73"/>
      <c r="C354" s="73"/>
      <c r="D354" s="73"/>
      <c r="E354" s="330"/>
      <c r="F354" s="118"/>
      <c r="G354" s="118"/>
      <c r="H354" s="118"/>
      <c r="I354" s="118"/>
      <c r="J354" s="119"/>
      <c r="K354" s="120"/>
      <c r="L354" s="120"/>
      <c r="M354" s="120"/>
      <c r="N354" s="120"/>
      <c r="O354" s="118"/>
      <c r="P354" s="120"/>
      <c r="Q354" s="121"/>
      <c r="R354" s="109" t="b">
        <v>0</v>
      </c>
      <c r="S354" s="143" t="str">
        <f t="shared" si="1"/>
        <v>Suspenso</v>
      </c>
      <c r="T354" s="118"/>
      <c r="U354" s="118"/>
      <c r="V354" s="118"/>
      <c r="W354" s="118"/>
      <c r="X354" s="118"/>
      <c r="Y354" s="118"/>
      <c r="Z354" s="118"/>
      <c r="AA354" s="118"/>
      <c r="AB354" s="118"/>
      <c r="AC354" s="118"/>
      <c r="AD354" s="111"/>
      <c r="AE354" s="73"/>
      <c r="AF354" s="73"/>
    </row>
    <row r="355" ht="22.5" customHeight="1">
      <c r="A355" s="73"/>
      <c r="B355" s="73"/>
      <c r="C355" s="73"/>
      <c r="D355" s="73"/>
      <c r="E355" s="330"/>
      <c r="F355" s="118"/>
      <c r="G355" s="118"/>
      <c r="H355" s="118"/>
      <c r="I355" s="118"/>
      <c r="J355" s="119"/>
      <c r="K355" s="120"/>
      <c r="L355" s="120"/>
      <c r="M355" s="120"/>
      <c r="N355" s="120"/>
      <c r="O355" s="118"/>
      <c r="P355" s="120"/>
      <c r="Q355" s="121"/>
      <c r="R355" s="109" t="b">
        <v>0</v>
      </c>
      <c r="S355" s="143" t="str">
        <f t="shared" si="1"/>
        <v>Suspenso</v>
      </c>
      <c r="T355" s="118"/>
      <c r="U355" s="118"/>
      <c r="V355" s="118"/>
      <c r="W355" s="118"/>
      <c r="X355" s="118"/>
      <c r="Y355" s="118"/>
      <c r="Z355" s="118"/>
      <c r="AA355" s="118"/>
      <c r="AB355" s="118"/>
      <c r="AC355" s="118"/>
      <c r="AD355" s="111"/>
      <c r="AE355" s="73"/>
      <c r="AF355" s="73"/>
    </row>
    <row r="356" ht="22.5" customHeight="1">
      <c r="A356" s="73"/>
      <c r="B356" s="73"/>
      <c r="C356" s="73"/>
      <c r="D356" s="73"/>
      <c r="E356" s="330"/>
      <c r="F356" s="118"/>
      <c r="G356" s="118"/>
      <c r="H356" s="118"/>
      <c r="I356" s="118"/>
      <c r="J356" s="119"/>
      <c r="K356" s="120"/>
      <c r="L356" s="120"/>
      <c r="M356" s="120"/>
      <c r="N356" s="120"/>
      <c r="O356" s="118"/>
      <c r="P356" s="120"/>
      <c r="Q356" s="121"/>
      <c r="R356" s="109" t="b">
        <v>0</v>
      </c>
      <c r="S356" s="143" t="str">
        <f t="shared" si="1"/>
        <v>Suspenso</v>
      </c>
      <c r="T356" s="118"/>
      <c r="U356" s="118"/>
      <c r="V356" s="118"/>
      <c r="W356" s="118"/>
      <c r="X356" s="118"/>
      <c r="Y356" s="118"/>
      <c r="Z356" s="118"/>
      <c r="AA356" s="118"/>
      <c r="AB356" s="118"/>
      <c r="AC356" s="118"/>
      <c r="AD356" s="111"/>
      <c r="AE356" s="73"/>
      <c r="AF356" s="73"/>
    </row>
    <row r="357" ht="22.5" customHeight="1">
      <c r="A357" s="73"/>
      <c r="B357" s="73"/>
      <c r="C357" s="73"/>
      <c r="D357" s="73"/>
      <c r="E357" s="330"/>
      <c r="F357" s="118"/>
      <c r="G357" s="118"/>
      <c r="H357" s="118"/>
      <c r="I357" s="118"/>
      <c r="J357" s="119"/>
      <c r="K357" s="120"/>
      <c r="L357" s="120"/>
      <c r="M357" s="120"/>
      <c r="N357" s="120"/>
      <c r="O357" s="118"/>
      <c r="P357" s="120"/>
      <c r="Q357" s="121"/>
      <c r="R357" s="109" t="b">
        <v>0</v>
      </c>
      <c r="S357" s="143" t="str">
        <f t="shared" si="1"/>
        <v>Suspenso</v>
      </c>
      <c r="T357" s="118"/>
      <c r="U357" s="118"/>
      <c r="V357" s="118"/>
      <c r="W357" s="118"/>
      <c r="X357" s="118"/>
      <c r="Y357" s="118"/>
      <c r="Z357" s="118"/>
      <c r="AA357" s="118"/>
      <c r="AB357" s="118"/>
      <c r="AC357" s="118"/>
      <c r="AD357" s="111"/>
      <c r="AE357" s="73"/>
      <c r="AF357" s="73"/>
    </row>
    <row r="358" ht="22.5" customHeight="1">
      <c r="A358" s="73"/>
      <c r="B358" s="73"/>
      <c r="C358" s="73"/>
      <c r="D358" s="73"/>
      <c r="E358" s="330"/>
      <c r="F358" s="118"/>
      <c r="G358" s="118"/>
      <c r="H358" s="118"/>
      <c r="I358" s="118"/>
      <c r="J358" s="119"/>
      <c r="K358" s="120"/>
      <c r="L358" s="120"/>
      <c r="M358" s="120"/>
      <c r="N358" s="120"/>
      <c r="O358" s="118"/>
      <c r="P358" s="120"/>
      <c r="Q358" s="121"/>
      <c r="R358" s="109" t="b">
        <v>0</v>
      </c>
      <c r="S358" s="143" t="str">
        <f t="shared" si="1"/>
        <v>Suspenso</v>
      </c>
      <c r="T358" s="118"/>
      <c r="U358" s="118"/>
      <c r="V358" s="118"/>
      <c r="W358" s="118"/>
      <c r="X358" s="118"/>
      <c r="Y358" s="118"/>
      <c r="Z358" s="118"/>
      <c r="AA358" s="118"/>
      <c r="AB358" s="118"/>
      <c r="AC358" s="118"/>
      <c r="AD358" s="111"/>
      <c r="AE358" s="73"/>
      <c r="AF358" s="73"/>
    </row>
    <row r="359" ht="22.5" customHeight="1">
      <c r="A359" s="73"/>
      <c r="B359" s="73"/>
      <c r="C359" s="73"/>
      <c r="D359" s="73"/>
      <c r="E359" s="330"/>
      <c r="F359" s="118"/>
      <c r="G359" s="118"/>
      <c r="H359" s="118"/>
      <c r="I359" s="118"/>
      <c r="J359" s="119"/>
      <c r="K359" s="120"/>
      <c r="L359" s="120"/>
      <c r="M359" s="120"/>
      <c r="N359" s="120"/>
      <c r="O359" s="118"/>
      <c r="P359" s="120"/>
      <c r="Q359" s="121"/>
      <c r="R359" s="109" t="b">
        <v>0</v>
      </c>
      <c r="S359" s="143" t="str">
        <f t="shared" si="1"/>
        <v>Suspenso</v>
      </c>
      <c r="T359" s="118"/>
      <c r="U359" s="118"/>
      <c r="V359" s="118"/>
      <c r="W359" s="118"/>
      <c r="X359" s="118"/>
      <c r="Y359" s="118"/>
      <c r="Z359" s="118"/>
      <c r="AA359" s="118"/>
      <c r="AB359" s="118"/>
      <c r="AC359" s="118"/>
      <c r="AD359" s="111"/>
      <c r="AE359" s="73"/>
      <c r="AF359" s="73"/>
    </row>
    <row r="360" ht="22.5" customHeight="1">
      <c r="A360" s="73"/>
      <c r="B360" s="73"/>
      <c r="C360" s="73"/>
      <c r="D360" s="73"/>
      <c r="E360" s="330"/>
      <c r="F360" s="118"/>
      <c r="G360" s="118"/>
      <c r="H360" s="118"/>
      <c r="I360" s="118"/>
      <c r="J360" s="119"/>
      <c r="K360" s="120"/>
      <c r="L360" s="120"/>
      <c r="M360" s="120"/>
      <c r="N360" s="120"/>
      <c r="O360" s="118"/>
      <c r="P360" s="120"/>
      <c r="Q360" s="121"/>
      <c r="R360" s="109" t="b">
        <v>0</v>
      </c>
      <c r="S360" s="143" t="str">
        <f t="shared" si="1"/>
        <v>Suspenso</v>
      </c>
      <c r="T360" s="118"/>
      <c r="U360" s="118"/>
      <c r="V360" s="118"/>
      <c r="W360" s="118"/>
      <c r="X360" s="118"/>
      <c r="Y360" s="118"/>
      <c r="Z360" s="118"/>
      <c r="AA360" s="118"/>
      <c r="AB360" s="118"/>
      <c r="AC360" s="118"/>
      <c r="AD360" s="111"/>
      <c r="AE360" s="73"/>
      <c r="AF360" s="73"/>
    </row>
    <row r="361" ht="22.5" customHeight="1">
      <c r="A361" s="73"/>
      <c r="B361" s="73"/>
      <c r="C361" s="73"/>
      <c r="D361" s="73"/>
      <c r="E361" s="330"/>
      <c r="F361" s="118"/>
      <c r="G361" s="118"/>
      <c r="H361" s="118"/>
      <c r="I361" s="118"/>
      <c r="J361" s="119"/>
      <c r="K361" s="120"/>
      <c r="L361" s="120"/>
      <c r="M361" s="120"/>
      <c r="N361" s="120"/>
      <c r="O361" s="118"/>
      <c r="P361" s="120"/>
      <c r="Q361" s="121"/>
      <c r="R361" s="109" t="b">
        <v>0</v>
      </c>
      <c r="S361" s="143" t="str">
        <f t="shared" si="1"/>
        <v>Suspenso</v>
      </c>
      <c r="T361" s="118"/>
      <c r="U361" s="118"/>
      <c r="V361" s="118"/>
      <c r="W361" s="118"/>
      <c r="X361" s="118"/>
      <c r="Y361" s="118"/>
      <c r="Z361" s="118"/>
      <c r="AA361" s="118"/>
      <c r="AB361" s="118"/>
      <c r="AC361" s="118"/>
      <c r="AD361" s="111"/>
      <c r="AE361" s="73"/>
      <c r="AF361" s="73"/>
    </row>
    <row r="362" ht="22.5" customHeight="1">
      <c r="A362" s="73"/>
      <c r="B362" s="73"/>
      <c r="C362" s="73"/>
      <c r="D362" s="73"/>
      <c r="E362" s="330"/>
      <c r="F362" s="118"/>
      <c r="G362" s="118"/>
      <c r="H362" s="118"/>
      <c r="I362" s="118"/>
      <c r="J362" s="119"/>
      <c r="K362" s="120"/>
      <c r="L362" s="120"/>
      <c r="M362" s="120"/>
      <c r="N362" s="120"/>
      <c r="O362" s="118"/>
      <c r="P362" s="120"/>
      <c r="Q362" s="121"/>
      <c r="R362" s="109" t="b">
        <v>0</v>
      </c>
      <c r="S362" s="143" t="str">
        <f t="shared" si="1"/>
        <v>Suspenso</v>
      </c>
      <c r="T362" s="118"/>
      <c r="U362" s="118"/>
      <c r="V362" s="118"/>
      <c r="W362" s="118"/>
      <c r="X362" s="118"/>
      <c r="Y362" s="118"/>
      <c r="Z362" s="118"/>
      <c r="AA362" s="118"/>
      <c r="AB362" s="118"/>
      <c r="AC362" s="118"/>
      <c r="AD362" s="111"/>
      <c r="AE362" s="73"/>
      <c r="AF362" s="73"/>
    </row>
    <row r="363" ht="22.5" customHeight="1">
      <c r="A363" s="73"/>
      <c r="B363" s="73"/>
      <c r="C363" s="73"/>
      <c r="D363" s="73"/>
      <c r="E363" s="330"/>
      <c r="F363" s="118"/>
      <c r="G363" s="118"/>
      <c r="H363" s="118"/>
      <c r="I363" s="118"/>
      <c r="J363" s="119"/>
      <c r="K363" s="120"/>
      <c r="L363" s="120"/>
      <c r="M363" s="120"/>
      <c r="N363" s="120"/>
      <c r="O363" s="118"/>
      <c r="P363" s="120"/>
      <c r="Q363" s="121"/>
      <c r="R363" s="109" t="b">
        <v>0</v>
      </c>
      <c r="S363" s="143" t="str">
        <f t="shared" si="1"/>
        <v>Suspenso</v>
      </c>
      <c r="T363" s="118"/>
      <c r="U363" s="118"/>
      <c r="V363" s="118"/>
      <c r="W363" s="118"/>
      <c r="X363" s="118"/>
      <c r="Y363" s="118"/>
      <c r="Z363" s="118"/>
      <c r="AA363" s="118"/>
      <c r="AB363" s="118"/>
      <c r="AC363" s="118"/>
      <c r="AD363" s="111"/>
      <c r="AE363" s="73"/>
      <c r="AF363" s="73"/>
    </row>
    <row r="364" ht="22.5" customHeight="1">
      <c r="A364" s="73"/>
      <c r="B364" s="73"/>
      <c r="C364" s="73"/>
      <c r="D364" s="73"/>
      <c r="E364" s="330"/>
      <c r="F364" s="118"/>
      <c r="G364" s="118"/>
      <c r="H364" s="118"/>
      <c r="I364" s="118"/>
      <c r="J364" s="119"/>
      <c r="K364" s="120"/>
      <c r="L364" s="120"/>
      <c r="M364" s="120"/>
      <c r="N364" s="120"/>
      <c r="O364" s="118"/>
      <c r="P364" s="120"/>
      <c r="Q364" s="121"/>
      <c r="R364" s="109" t="b">
        <v>0</v>
      </c>
      <c r="S364" s="143" t="str">
        <f t="shared" si="1"/>
        <v>Suspenso</v>
      </c>
      <c r="T364" s="118"/>
      <c r="U364" s="118"/>
      <c r="V364" s="118"/>
      <c r="W364" s="118"/>
      <c r="X364" s="118"/>
      <c r="Y364" s="118"/>
      <c r="Z364" s="118"/>
      <c r="AA364" s="118"/>
      <c r="AB364" s="118"/>
      <c r="AC364" s="118"/>
      <c r="AD364" s="111"/>
      <c r="AE364" s="73"/>
      <c r="AF364" s="73"/>
    </row>
    <row r="365" ht="22.5" customHeight="1">
      <c r="A365" s="73"/>
      <c r="B365" s="73"/>
      <c r="C365" s="73"/>
      <c r="D365" s="73"/>
      <c r="E365" s="330"/>
      <c r="F365" s="118"/>
      <c r="G365" s="118"/>
      <c r="H365" s="118"/>
      <c r="I365" s="118"/>
      <c r="J365" s="119"/>
      <c r="K365" s="120"/>
      <c r="L365" s="120"/>
      <c r="M365" s="120"/>
      <c r="N365" s="120"/>
      <c r="O365" s="118"/>
      <c r="P365" s="120"/>
      <c r="Q365" s="121"/>
      <c r="R365" s="109" t="b">
        <v>0</v>
      </c>
      <c r="S365" s="143" t="str">
        <f t="shared" si="1"/>
        <v>Suspenso</v>
      </c>
      <c r="T365" s="118"/>
      <c r="U365" s="118"/>
      <c r="V365" s="118"/>
      <c r="W365" s="118"/>
      <c r="X365" s="118"/>
      <c r="Y365" s="118"/>
      <c r="Z365" s="118"/>
      <c r="AA365" s="118"/>
      <c r="AB365" s="118"/>
      <c r="AC365" s="118"/>
      <c r="AD365" s="111"/>
      <c r="AE365" s="73"/>
      <c r="AF365" s="73"/>
    </row>
    <row r="366" ht="22.5" customHeight="1">
      <c r="A366" s="73"/>
      <c r="B366" s="73"/>
      <c r="C366" s="73"/>
      <c r="D366" s="73"/>
      <c r="E366" s="330"/>
      <c r="F366" s="118"/>
      <c r="G366" s="118"/>
      <c r="H366" s="118"/>
      <c r="I366" s="118"/>
      <c r="J366" s="119"/>
      <c r="K366" s="120"/>
      <c r="L366" s="120"/>
      <c r="M366" s="120"/>
      <c r="N366" s="120"/>
      <c r="O366" s="118"/>
      <c r="P366" s="120"/>
      <c r="Q366" s="121"/>
      <c r="R366" s="109" t="b">
        <v>0</v>
      </c>
      <c r="S366" s="143" t="str">
        <f t="shared" si="1"/>
        <v>Suspenso</v>
      </c>
      <c r="T366" s="118"/>
      <c r="U366" s="118"/>
      <c r="V366" s="118"/>
      <c r="W366" s="118"/>
      <c r="X366" s="118"/>
      <c r="Y366" s="118"/>
      <c r="Z366" s="118"/>
      <c r="AA366" s="118"/>
      <c r="AB366" s="118"/>
      <c r="AC366" s="118"/>
      <c r="AD366" s="111"/>
      <c r="AE366" s="73"/>
      <c r="AF366" s="73"/>
    </row>
    <row r="367" ht="22.5" customHeight="1">
      <c r="A367" s="73"/>
      <c r="B367" s="73"/>
      <c r="C367" s="73"/>
      <c r="D367" s="73"/>
      <c r="E367" s="330"/>
      <c r="F367" s="118"/>
      <c r="G367" s="118"/>
      <c r="H367" s="118"/>
      <c r="I367" s="118"/>
      <c r="J367" s="119"/>
      <c r="K367" s="120"/>
      <c r="L367" s="120"/>
      <c r="M367" s="120"/>
      <c r="N367" s="120"/>
      <c r="O367" s="118"/>
      <c r="P367" s="120"/>
      <c r="Q367" s="121"/>
      <c r="R367" s="109" t="b">
        <v>0</v>
      </c>
      <c r="S367" s="143" t="str">
        <f t="shared" si="1"/>
        <v>Suspenso</v>
      </c>
      <c r="T367" s="118"/>
      <c r="U367" s="118"/>
      <c r="V367" s="118"/>
      <c r="W367" s="118"/>
      <c r="X367" s="118"/>
      <c r="Y367" s="118"/>
      <c r="Z367" s="118"/>
      <c r="AA367" s="118"/>
      <c r="AB367" s="118"/>
      <c r="AC367" s="118"/>
      <c r="AD367" s="111"/>
      <c r="AE367" s="73"/>
      <c r="AF367" s="73"/>
    </row>
    <row r="368" ht="22.5" customHeight="1">
      <c r="A368" s="73"/>
      <c r="B368" s="73"/>
      <c r="C368" s="73"/>
      <c r="D368" s="73"/>
      <c r="E368" s="330"/>
      <c r="F368" s="118"/>
      <c r="G368" s="118"/>
      <c r="H368" s="118"/>
      <c r="I368" s="118"/>
      <c r="J368" s="119"/>
      <c r="K368" s="120"/>
      <c r="L368" s="120"/>
      <c r="M368" s="120"/>
      <c r="N368" s="120"/>
      <c r="O368" s="118"/>
      <c r="P368" s="120"/>
      <c r="Q368" s="121"/>
      <c r="R368" s="109" t="b">
        <v>0</v>
      </c>
      <c r="S368" s="143" t="str">
        <f t="shared" si="1"/>
        <v>Suspenso</v>
      </c>
      <c r="T368" s="118"/>
      <c r="U368" s="118"/>
      <c r="V368" s="118"/>
      <c r="W368" s="118"/>
      <c r="X368" s="118"/>
      <c r="Y368" s="118"/>
      <c r="Z368" s="118"/>
      <c r="AA368" s="118"/>
      <c r="AB368" s="118"/>
      <c r="AC368" s="118"/>
      <c r="AD368" s="111"/>
      <c r="AE368" s="73"/>
      <c r="AF368" s="73"/>
    </row>
    <row r="369" ht="22.5" customHeight="1">
      <c r="A369" s="73"/>
      <c r="B369" s="73"/>
      <c r="C369" s="73"/>
      <c r="D369" s="73"/>
      <c r="E369" s="330"/>
      <c r="F369" s="118"/>
      <c r="G369" s="118"/>
      <c r="H369" s="118"/>
      <c r="I369" s="118"/>
      <c r="J369" s="119"/>
      <c r="K369" s="120"/>
      <c r="L369" s="120"/>
      <c r="M369" s="120"/>
      <c r="N369" s="120"/>
      <c r="O369" s="118"/>
      <c r="P369" s="120"/>
      <c r="Q369" s="121"/>
      <c r="R369" s="109" t="b">
        <v>0</v>
      </c>
      <c r="S369" s="143" t="str">
        <f t="shared" si="1"/>
        <v>Suspenso</v>
      </c>
      <c r="T369" s="118"/>
      <c r="U369" s="118"/>
      <c r="V369" s="118"/>
      <c r="W369" s="118"/>
      <c r="X369" s="118"/>
      <c r="Y369" s="118"/>
      <c r="Z369" s="118"/>
      <c r="AA369" s="118"/>
      <c r="AB369" s="118"/>
      <c r="AC369" s="118"/>
      <c r="AD369" s="111"/>
      <c r="AE369" s="73"/>
      <c r="AF369" s="73"/>
    </row>
    <row r="370" ht="22.5" customHeight="1">
      <c r="A370" s="73"/>
      <c r="B370" s="73"/>
      <c r="C370" s="73"/>
      <c r="D370" s="73"/>
      <c r="E370" s="330"/>
      <c r="F370" s="118"/>
      <c r="G370" s="118"/>
      <c r="H370" s="118"/>
      <c r="I370" s="118"/>
      <c r="J370" s="119"/>
      <c r="K370" s="120"/>
      <c r="L370" s="120"/>
      <c r="M370" s="120"/>
      <c r="N370" s="120"/>
      <c r="O370" s="118"/>
      <c r="P370" s="120"/>
      <c r="Q370" s="121"/>
      <c r="R370" s="109" t="b">
        <v>0</v>
      </c>
      <c r="S370" s="143" t="str">
        <f t="shared" si="1"/>
        <v>Suspenso</v>
      </c>
      <c r="T370" s="118"/>
      <c r="U370" s="118"/>
      <c r="V370" s="118"/>
      <c r="W370" s="118"/>
      <c r="X370" s="118"/>
      <c r="Y370" s="118"/>
      <c r="Z370" s="118"/>
      <c r="AA370" s="118"/>
      <c r="AB370" s="118"/>
      <c r="AC370" s="118"/>
      <c r="AD370" s="111"/>
      <c r="AE370" s="73"/>
      <c r="AF370" s="73"/>
    </row>
    <row r="371" ht="22.5" customHeight="1">
      <c r="A371" s="73"/>
      <c r="B371" s="73"/>
      <c r="C371" s="73"/>
      <c r="D371" s="73"/>
      <c r="E371" s="330"/>
      <c r="F371" s="118"/>
      <c r="G371" s="118"/>
      <c r="H371" s="118"/>
      <c r="I371" s="118"/>
      <c r="J371" s="119"/>
      <c r="K371" s="120"/>
      <c r="L371" s="120"/>
      <c r="M371" s="120"/>
      <c r="N371" s="120"/>
      <c r="O371" s="118"/>
      <c r="P371" s="120"/>
      <c r="Q371" s="121"/>
      <c r="R371" s="109" t="b">
        <v>0</v>
      </c>
      <c r="S371" s="143" t="str">
        <f t="shared" si="1"/>
        <v>Suspenso</v>
      </c>
      <c r="T371" s="118"/>
      <c r="U371" s="118"/>
      <c r="V371" s="118"/>
      <c r="W371" s="118"/>
      <c r="X371" s="118"/>
      <c r="Y371" s="118"/>
      <c r="Z371" s="118"/>
      <c r="AA371" s="118"/>
      <c r="AB371" s="118"/>
      <c r="AC371" s="118"/>
      <c r="AD371" s="111"/>
      <c r="AE371" s="73"/>
      <c r="AF371" s="73"/>
    </row>
    <row r="372" ht="22.5" customHeight="1">
      <c r="A372" s="73"/>
      <c r="B372" s="73"/>
      <c r="C372" s="73"/>
      <c r="D372" s="73"/>
      <c r="E372" s="330"/>
      <c r="F372" s="118"/>
      <c r="G372" s="118"/>
      <c r="H372" s="118"/>
      <c r="I372" s="118"/>
      <c r="J372" s="119"/>
      <c r="K372" s="120"/>
      <c r="L372" s="120"/>
      <c r="M372" s="120"/>
      <c r="N372" s="120"/>
      <c r="O372" s="118"/>
      <c r="P372" s="120"/>
      <c r="Q372" s="121"/>
      <c r="R372" s="109" t="b">
        <v>0</v>
      </c>
      <c r="S372" s="143" t="str">
        <f t="shared" si="1"/>
        <v>Suspenso</v>
      </c>
      <c r="T372" s="118"/>
      <c r="U372" s="118"/>
      <c r="V372" s="118"/>
      <c r="W372" s="118"/>
      <c r="X372" s="118"/>
      <c r="Y372" s="118"/>
      <c r="Z372" s="118"/>
      <c r="AA372" s="118"/>
      <c r="AB372" s="118"/>
      <c r="AC372" s="118"/>
      <c r="AD372" s="111"/>
      <c r="AE372" s="73"/>
      <c r="AF372" s="73"/>
    </row>
    <row r="373" ht="22.5" customHeight="1">
      <c r="A373" s="73"/>
      <c r="B373" s="73"/>
      <c r="C373" s="73"/>
      <c r="D373" s="73"/>
      <c r="E373" s="330"/>
      <c r="F373" s="118"/>
      <c r="G373" s="118"/>
      <c r="H373" s="118"/>
      <c r="I373" s="118"/>
      <c r="J373" s="119"/>
      <c r="K373" s="120"/>
      <c r="L373" s="120"/>
      <c r="M373" s="120"/>
      <c r="N373" s="120"/>
      <c r="O373" s="118"/>
      <c r="P373" s="120"/>
      <c r="Q373" s="121"/>
      <c r="R373" s="109" t="b">
        <v>0</v>
      </c>
      <c r="S373" s="143" t="str">
        <f t="shared" si="1"/>
        <v>Suspenso</v>
      </c>
      <c r="T373" s="118"/>
      <c r="U373" s="118"/>
      <c r="V373" s="118"/>
      <c r="W373" s="118"/>
      <c r="X373" s="118"/>
      <c r="Y373" s="118"/>
      <c r="Z373" s="118"/>
      <c r="AA373" s="118"/>
      <c r="AB373" s="118"/>
      <c r="AC373" s="118"/>
      <c r="AD373" s="111"/>
      <c r="AE373" s="73"/>
      <c r="AF373" s="73"/>
    </row>
    <row r="374" ht="22.5" customHeight="1">
      <c r="A374" s="73"/>
      <c r="B374" s="73"/>
      <c r="C374" s="73"/>
      <c r="D374" s="73"/>
      <c r="E374" s="330"/>
      <c r="F374" s="118"/>
      <c r="G374" s="118"/>
      <c r="H374" s="118"/>
      <c r="I374" s="118"/>
      <c r="J374" s="119"/>
      <c r="K374" s="120"/>
      <c r="L374" s="120"/>
      <c r="M374" s="120"/>
      <c r="N374" s="120"/>
      <c r="O374" s="118"/>
      <c r="P374" s="120"/>
      <c r="Q374" s="121"/>
      <c r="R374" s="109" t="b">
        <v>0</v>
      </c>
      <c r="S374" s="143" t="str">
        <f t="shared" si="1"/>
        <v>Suspenso</v>
      </c>
      <c r="T374" s="118"/>
      <c r="U374" s="118"/>
      <c r="V374" s="118"/>
      <c r="W374" s="118"/>
      <c r="X374" s="118"/>
      <c r="Y374" s="118"/>
      <c r="Z374" s="118"/>
      <c r="AA374" s="118"/>
      <c r="AB374" s="118"/>
      <c r="AC374" s="118"/>
      <c r="AD374" s="111"/>
      <c r="AE374" s="73"/>
      <c r="AF374" s="73"/>
    </row>
    <row r="375" ht="22.5" customHeight="1">
      <c r="A375" s="73"/>
      <c r="B375" s="73"/>
      <c r="C375" s="73"/>
      <c r="D375" s="73"/>
      <c r="E375" s="330"/>
      <c r="F375" s="118"/>
      <c r="G375" s="118"/>
      <c r="H375" s="118"/>
      <c r="I375" s="118"/>
      <c r="J375" s="119"/>
      <c r="K375" s="120"/>
      <c r="L375" s="120"/>
      <c r="M375" s="120"/>
      <c r="N375" s="120"/>
      <c r="O375" s="118"/>
      <c r="P375" s="120"/>
      <c r="Q375" s="121"/>
      <c r="R375" s="109" t="b">
        <v>0</v>
      </c>
      <c r="S375" s="143" t="str">
        <f t="shared" si="1"/>
        <v>Suspenso</v>
      </c>
      <c r="T375" s="118"/>
      <c r="U375" s="118"/>
      <c r="V375" s="118"/>
      <c r="W375" s="118"/>
      <c r="X375" s="118"/>
      <c r="Y375" s="118"/>
      <c r="Z375" s="118"/>
      <c r="AA375" s="118"/>
      <c r="AB375" s="118"/>
      <c r="AC375" s="118"/>
      <c r="AD375" s="111"/>
      <c r="AE375" s="73"/>
      <c r="AF375" s="73"/>
    </row>
    <row r="376" ht="22.5" customHeight="1">
      <c r="A376" s="73"/>
      <c r="B376" s="73"/>
      <c r="C376" s="73"/>
      <c r="D376" s="73"/>
      <c r="E376" s="330"/>
      <c r="F376" s="118"/>
      <c r="G376" s="118"/>
      <c r="H376" s="118"/>
      <c r="I376" s="118"/>
      <c r="J376" s="119"/>
      <c r="K376" s="120"/>
      <c r="L376" s="120"/>
      <c r="M376" s="120"/>
      <c r="N376" s="120"/>
      <c r="O376" s="118"/>
      <c r="P376" s="120"/>
      <c r="Q376" s="121"/>
      <c r="R376" s="109" t="b">
        <v>0</v>
      </c>
      <c r="S376" s="143" t="str">
        <f t="shared" si="1"/>
        <v>Suspenso</v>
      </c>
      <c r="T376" s="118"/>
      <c r="U376" s="118"/>
      <c r="V376" s="118"/>
      <c r="W376" s="118"/>
      <c r="X376" s="118"/>
      <c r="Y376" s="118"/>
      <c r="Z376" s="118"/>
      <c r="AA376" s="118"/>
      <c r="AB376" s="118"/>
      <c r="AC376" s="118"/>
      <c r="AD376" s="111"/>
      <c r="AE376" s="73"/>
      <c r="AF376" s="73"/>
    </row>
    <row r="377" ht="22.5" customHeight="1">
      <c r="A377" s="73"/>
      <c r="B377" s="73"/>
      <c r="C377" s="73"/>
      <c r="D377" s="73"/>
      <c r="E377" s="330"/>
      <c r="F377" s="118"/>
      <c r="G377" s="118"/>
      <c r="H377" s="118"/>
      <c r="I377" s="118"/>
      <c r="J377" s="119"/>
      <c r="K377" s="120"/>
      <c r="L377" s="120"/>
      <c r="M377" s="120"/>
      <c r="N377" s="120"/>
      <c r="O377" s="118"/>
      <c r="P377" s="120"/>
      <c r="Q377" s="121"/>
      <c r="R377" s="109" t="b">
        <v>0</v>
      </c>
      <c r="S377" s="143" t="str">
        <f t="shared" si="1"/>
        <v>Suspenso</v>
      </c>
      <c r="T377" s="118"/>
      <c r="U377" s="118"/>
      <c r="V377" s="118"/>
      <c r="W377" s="118"/>
      <c r="X377" s="118"/>
      <c r="Y377" s="118"/>
      <c r="Z377" s="118"/>
      <c r="AA377" s="118"/>
      <c r="AB377" s="118"/>
      <c r="AC377" s="118"/>
      <c r="AD377" s="111"/>
      <c r="AE377" s="73"/>
      <c r="AF377" s="73"/>
    </row>
    <row r="378" ht="22.5" customHeight="1">
      <c r="A378" s="73"/>
      <c r="B378" s="73"/>
      <c r="C378" s="73"/>
      <c r="D378" s="73"/>
      <c r="E378" s="330"/>
      <c r="F378" s="118"/>
      <c r="G378" s="118"/>
      <c r="H378" s="118"/>
      <c r="I378" s="118"/>
      <c r="J378" s="119"/>
      <c r="K378" s="120"/>
      <c r="L378" s="120"/>
      <c r="M378" s="120"/>
      <c r="N378" s="120"/>
      <c r="O378" s="118"/>
      <c r="P378" s="120"/>
      <c r="Q378" s="121"/>
      <c r="R378" s="109" t="b">
        <v>0</v>
      </c>
      <c r="S378" s="143" t="str">
        <f t="shared" si="1"/>
        <v>Suspenso</v>
      </c>
      <c r="T378" s="118"/>
      <c r="U378" s="118"/>
      <c r="V378" s="118"/>
      <c r="W378" s="118"/>
      <c r="X378" s="118"/>
      <c r="Y378" s="118"/>
      <c r="Z378" s="118"/>
      <c r="AA378" s="118"/>
      <c r="AB378" s="118"/>
      <c r="AC378" s="118"/>
      <c r="AD378" s="111"/>
      <c r="AE378" s="73"/>
      <c r="AF378" s="73"/>
    </row>
    <row r="379" ht="22.5" customHeight="1">
      <c r="A379" s="73"/>
      <c r="B379" s="73"/>
      <c r="C379" s="73"/>
      <c r="D379" s="73"/>
      <c r="E379" s="330"/>
      <c r="F379" s="118"/>
      <c r="G379" s="118"/>
      <c r="H379" s="118"/>
      <c r="I379" s="118"/>
      <c r="J379" s="119"/>
      <c r="K379" s="120"/>
      <c r="L379" s="120"/>
      <c r="M379" s="120"/>
      <c r="N379" s="120"/>
      <c r="O379" s="118"/>
      <c r="P379" s="120"/>
      <c r="Q379" s="121"/>
      <c r="R379" s="109" t="b">
        <v>0</v>
      </c>
      <c r="S379" s="143" t="str">
        <f t="shared" si="1"/>
        <v>Suspenso</v>
      </c>
      <c r="T379" s="118"/>
      <c r="U379" s="118"/>
      <c r="V379" s="118"/>
      <c r="W379" s="118"/>
      <c r="X379" s="118"/>
      <c r="Y379" s="118"/>
      <c r="Z379" s="118"/>
      <c r="AA379" s="118"/>
      <c r="AB379" s="118"/>
      <c r="AC379" s="118"/>
      <c r="AD379" s="111"/>
      <c r="AE379" s="73"/>
      <c r="AF379" s="73"/>
    </row>
    <row r="380" ht="22.5" customHeight="1">
      <c r="A380" s="73"/>
      <c r="B380" s="73"/>
      <c r="C380" s="73"/>
      <c r="D380" s="73"/>
      <c r="E380" s="330"/>
      <c r="F380" s="118"/>
      <c r="G380" s="118"/>
      <c r="H380" s="118"/>
      <c r="I380" s="118"/>
      <c r="J380" s="119"/>
      <c r="K380" s="120"/>
      <c r="L380" s="120"/>
      <c r="M380" s="120"/>
      <c r="N380" s="120"/>
      <c r="O380" s="118"/>
      <c r="P380" s="120"/>
      <c r="Q380" s="121"/>
      <c r="R380" s="109" t="b">
        <v>0</v>
      </c>
      <c r="S380" s="143" t="str">
        <f t="shared" si="1"/>
        <v>Suspenso</v>
      </c>
      <c r="T380" s="118"/>
      <c r="U380" s="118"/>
      <c r="V380" s="118"/>
      <c r="W380" s="118"/>
      <c r="X380" s="118"/>
      <c r="Y380" s="118"/>
      <c r="Z380" s="118"/>
      <c r="AA380" s="118"/>
      <c r="AB380" s="118"/>
      <c r="AC380" s="118"/>
      <c r="AD380" s="111"/>
      <c r="AE380" s="73"/>
      <c r="AF380" s="73"/>
    </row>
    <row r="381" ht="22.5" customHeight="1">
      <c r="A381" s="73"/>
      <c r="B381" s="73"/>
      <c r="C381" s="73"/>
      <c r="D381" s="73"/>
      <c r="E381" s="330"/>
      <c r="F381" s="118"/>
      <c r="G381" s="118"/>
      <c r="H381" s="118"/>
      <c r="I381" s="118"/>
      <c r="J381" s="119"/>
      <c r="K381" s="120"/>
      <c r="L381" s="120"/>
      <c r="M381" s="120"/>
      <c r="N381" s="120"/>
      <c r="O381" s="118"/>
      <c r="P381" s="120"/>
      <c r="Q381" s="121"/>
      <c r="R381" s="109" t="b">
        <v>0</v>
      </c>
      <c r="S381" s="143" t="str">
        <f t="shared" si="1"/>
        <v>Suspenso</v>
      </c>
      <c r="T381" s="118"/>
      <c r="U381" s="118"/>
      <c r="V381" s="118"/>
      <c r="W381" s="118"/>
      <c r="X381" s="118"/>
      <c r="Y381" s="118"/>
      <c r="Z381" s="118"/>
      <c r="AA381" s="118"/>
      <c r="AB381" s="118"/>
      <c r="AC381" s="118"/>
      <c r="AD381" s="111"/>
      <c r="AE381" s="73"/>
      <c r="AF381" s="73"/>
    </row>
    <row r="382" ht="22.5" customHeight="1">
      <c r="A382" s="73"/>
      <c r="B382" s="73"/>
      <c r="C382" s="73"/>
      <c r="D382" s="73"/>
      <c r="E382" s="330"/>
      <c r="F382" s="118"/>
      <c r="G382" s="118"/>
      <c r="H382" s="118"/>
      <c r="I382" s="118"/>
      <c r="J382" s="119"/>
      <c r="K382" s="120"/>
      <c r="L382" s="120"/>
      <c r="M382" s="120"/>
      <c r="N382" s="120"/>
      <c r="O382" s="118"/>
      <c r="P382" s="120"/>
      <c r="Q382" s="121"/>
      <c r="R382" s="109" t="b">
        <v>0</v>
      </c>
      <c r="S382" s="143" t="str">
        <f t="shared" si="1"/>
        <v>Suspenso</v>
      </c>
      <c r="T382" s="118"/>
      <c r="U382" s="118"/>
      <c r="V382" s="118"/>
      <c r="W382" s="118"/>
      <c r="X382" s="118"/>
      <c r="Y382" s="118"/>
      <c r="Z382" s="118"/>
      <c r="AA382" s="118"/>
      <c r="AB382" s="118"/>
      <c r="AC382" s="118"/>
      <c r="AD382" s="111"/>
      <c r="AE382" s="73"/>
      <c r="AF382" s="73"/>
    </row>
    <row r="383" ht="22.5" customHeight="1">
      <c r="A383" s="73"/>
      <c r="B383" s="73"/>
      <c r="C383" s="73"/>
      <c r="D383" s="73"/>
      <c r="E383" s="330"/>
      <c r="F383" s="118"/>
      <c r="G383" s="118"/>
      <c r="H383" s="118"/>
      <c r="I383" s="118"/>
      <c r="J383" s="119"/>
      <c r="K383" s="120"/>
      <c r="L383" s="120"/>
      <c r="M383" s="120"/>
      <c r="N383" s="120"/>
      <c r="O383" s="118"/>
      <c r="P383" s="120"/>
      <c r="Q383" s="121"/>
      <c r="R383" s="109" t="b">
        <v>0</v>
      </c>
      <c r="S383" s="143" t="str">
        <f t="shared" si="1"/>
        <v>Suspenso</v>
      </c>
      <c r="T383" s="118"/>
      <c r="U383" s="118"/>
      <c r="V383" s="118"/>
      <c r="W383" s="118"/>
      <c r="X383" s="118"/>
      <c r="Y383" s="118"/>
      <c r="Z383" s="118"/>
      <c r="AA383" s="118"/>
      <c r="AB383" s="118"/>
      <c r="AC383" s="118"/>
      <c r="AD383" s="111"/>
      <c r="AE383" s="73"/>
      <c r="AF383" s="73"/>
    </row>
    <row r="384" ht="22.5" customHeight="1">
      <c r="A384" s="73"/>
      <c r="B384" s="73"/>
      <c r="C384" s="73"/>
      <c r="D384" s="73"/>
      <c r="E384" s="330"/>
      <c r="F384" s="118"/>
      <c r="G384" s="118"/>
      <c r="H384" s="118"/>
      <c r="I384" s="118"/>
      <c r="J384" s="119"/>
      <c r="K384" s="120"/>
      <c r="L384" s="120"/>
      <c r="M384" s="120"/>
      <c r="N384" s="120"/>
      <c r="O384" s="118"/>
      <c r="P384" s="120"/>
      <c r="Q384" s="121"/>
      <c r="R384" s="109" t="b">
        <v>0</v>
      </c>
      <c r="S384" s="143" t="str">
        <f t="shared" si="1"/>
        <v>Suspenso</v>
      </c>
      <c r="T384" s="118"/>
      <c r="U384" s="118"/>
      <c r="V384" s="118"/>
      <c r="W384" s="118"/>
      <c r="X384" s="118"/>
      <c r="Y384" s="118"/>
      <c r="Z384" s="118"/>
      <c r="AA384" s="118"/>
      <c r="AB384" s="118"/>
      <c r="AC384" s="118"/>
      <c r="AD384" s="111"/>
      <c r="AE384" s="73"/>
      <c r="AF384" s="73"/>
    </row>
    <row r="385" ht="22.5" customHeight="1">
      <c r="A385" s="73"/>
      <c r="B385" s="73"/>
      <c r="C385" s="73"/>
      <c r="D385" s="73"/>
      <c r="E385" s="330"/>
      <c r="F385" s="118"/>
      <c r="G385" s="118"/>
      <c r="H385" s="118"/>
      <c r="I385" s="118"/>
      <c r="J385" s="119"/>
      <c r="K385" s="120"/>
      <c r="L385" s="120"/>
      <c r="M385" s="120"/>
      <c r="N385" s="120"/>
      <c r="O385" s="118"/>
      <c r="P385" s="120"/>
      <c r="Q385" s="121"/>
      <c r="R385" s="109" t="b">
        <v>0</v>
      </c>
      <c r="S385" s="143" t="str">
        <f t="shared" si="1"/>
        <v>Suspenso</v>
      </c>
      <c r="T385" s="118"/>
      <c r="U385" s="118"/>
      <c r="V385" s="118"/>
      <c r="W385" s="118"/>
      <c r="X385" s="118"/>
      <c r="Y385" s="118"/>
      <c r="Z385" s="118"/>
      <c r="AA385" s="118"/>
      <c r="AB385" s="118"/>
      <c r="AC385" s="118"/>
      <c r="AD385" s="111"/>
      <c r="AE385" s="73"/>
      <c r="AF385" s="73"/>
    </row>
    <row r="386" ht="22.5" customHeight="1">
      <c r="A386" s="73"/>
      <c r="B386" s="73"/>
      <c r="C386" s="73"/>
      <c r="D386" s="73"/>
      <c r="E386" s="330"/>
      <c r="F386" s="118"/>
      <c r="G386" s="118"/>
      <c r="H386" s="118"/>
      <c r="I386" s="118"/>
      <c r="J386" s="119"/>
      <c r="K386" s="120"/>
      <c r="L386" s="120"/>
      <c r="M386" s="120"/>
      <c r="N386" s="120"/>
      <c r="O386" s="118"/>
      <c r="P386" s="120"/>
      <c r="Q386" s="121"/>
      <c r="R386" s="109" t="b">
        <v>0</v>
      </c>
      <c r="S386" s="143" t="str">
        <f t="shared" si="1"/>
        <v>Suspenso</v>
      </c>
      <c r="T386" s="118"/>
      <c r="U386" s="118"/>
      <c r="V386" s="118"/>
      <c r="W386" s="118"/>
      <c r="X386" s="118"/>
      <c r="Y386" s="118"/>
      <c r="Z386" s="118"/>
      <c r="AA386" s="118"/>
      <c r="AB386" s="118"/>
      <c r="AC386" s="118"/>
      <c r="AD386" s="111"/>
      <c r="AE386" s="73"/>
      <c r="AF386" s="73"/>
    </row>
    <row r="387" ht="22.5" customHeight="1">
      <c r="A387" s="73"/>
      <c r="B387" s="73"/>
      <c r="C387" s="73"/>
      <c r="D387" s="73"/>
      <c r="E387" s="330"/>
      <c r="F387" s="118"/>
      <c r="G387" s="118"/>
      <c r="H387" s="118"/>
      <c r="I387" s="118"/>
      <c r="J387" s="119"/>
      <c r="K387" s="120"/>
      <c r="L387" s="120"/>
      <c r="M387" s="120"/>
      <c r="N387" s="120"/>
      <c r="O387" s="118"/>
      <c r="P387" s="120"/>
      <c r="Q387" s="121"/>
      <c r="R387" s="109" t="b">
        <v>0</v>
      </c>
      <c r="S387" s="143" t="str">
        <f t="shared" si="1"/>
        <v>Suspenso</v>
      </c>
      <c r="T387" s="118"/>
      <c r="U387" s="118"/>
      <c r="V387" s="118"/>
      <c r="W387" s="118"/>
      <c r="X387" s="118"/>
      <c r="Y387" s="118"/>
      <c r="Z387" s="118"/>
      <c r="AA387" s="118"/>
      <c r="AB387" s="118"/>
      <c r="AC387" s="118"/>
      <c r="AD387" s="111"/>
      <c r="AE387" s="73"/>
      <c r="AF387" s="73"/>
    </row>
    <row r="388" ht="22.5" customHeight="1">
      <c r="A388" s="73"/>
      <c r="B388" s="73"/>
      <c r="C388" s="73"/>
      <c r="D388" s="73"/>
      <c r="E388" s="330"/>
      <c r="F388" s="118"/>
      <c r="G388" s="118"/>
      <c r="H388" s="118"/>
      <c r="I388" s="118"/>
      <c r="J388" s="119"/>
      <c r="K388" s="120"/>
      <c r="L388" s="120"/>
      <c r="M388" s="120"/>
      <c r="N388" s="120"/>
      <c r="O388" s="118"/>
      <c r="P388" s="120"/>
      <c r="Q388" s="121"/>
      <c r="R388" s="109" t="b">
        <v>0</v>
      </c>
      <c r="S388" s="143" t="str">
        <f t="shared" si="1"/>
        <v>Suspenso</v>
      </c>
      <c r="T388" s="118"/>
      <c r="U388" s="118"/>
      <c r="V388" s="118"/>
      <c r="W388" s="118"/>
      <c r="X388" s="118"/>
      <c r="Y388" s="118"/>
      <c r="Z388" s="118"/>
      <c r="AA388" s="118"/>
      <c r="AB388" s="118"/>
      <c r="AC388" s="118"/>
      <c r="AD388" s="111"/>
      <c r="AE388" s="73"/>
      <c r="AF388" s="73"/>
    </row>
    <row r="389" ht="22.5" customHeight="1">
      <c r="A389" s="73"/>
      <c r="B389" s="73"/>
      <c r="C389" s="73"/>
      <c r="D389" s="73"/>
      <c r="E389" s="330"/>
      <c r="F389" s="118"/>
      <c r="G389" s="118"/>
      <c r="H389" s="118"/>
      <c r="I389" s="118"/>
      <c r="J389" s="119"/>
      <c r="K389" s="120"/>
      <c r="L389" s="120"/>
      <c r="M389" s="120"/>
      <c r="N389" s="120"/>
      <c r="O389" s="118"/>
      <c r="P389" s="120"/>
      <c r="Q389" s="121"/>
      <c r="R389" s="109" t="b">
        <v>0</v>
      </c>
      <c r="S389" s="143" t="str">
        <f t="shared" si="1"/>
        <v>Suspenso</v>
      </c>
      <c r="T389" s="118"/>
      <c r="U389" s="118"/>
      <c r="V389" s="118"/>
      <c r="W389" s="118"/>
      <c r="X389" s="118"/>
      <c r="Y389" s="118"/>
      <c r="Z389" s="118"/>
      <c r="AA389" s="118"/>
      <c r="AB389" s="118"/>
      <c r="AC389" s="118"/>
      <c r="AD389" s="111"/>
      <c r="AE389" s="73"/>
      <c r="AF389" s="73"/>
    </row>
    <row r="390" ht="22.5" customHeight="1">
      <c r="A390" s="73"/>
      <c r="B390" s="73"/>
      <c r="C390" s="73"/>
      <c r="D390" s="73"/>
      <c r="E390" s="330"/>
      <c r="F390" s="118"/>
      <c r="G390" s="118"/>
      <c r="H390" s="118"/>
      <c r="I390" s="118"/>
      <c r="J390" s="119"/>
      <c r="K390" s="120"/>
      <c r="L390" s="120"/>
      <c r="M390" s="120"/>
      <c r="N390" s="120"/>
      <c r="O390" s="118"/>
      <c r="P390" s="120"/>
      <c r="Q390" s="121"/>
      <c r="R390" s="109" t="b">
        <v>0</v>
      </c>
      <c r="S390" s="143" t="str">
        <f t="shared" si="1"/>
        <v>Suspenso</v>
      </c>
      <c r="T390" s="118"/>
      <c r="U390" s="118"/>
      <c r="V390" s="118"/>
      <c r="W390" s="118"/>
      <c r="X390" s="118"/>
      <c r="Y390" s="118"/>
      <c r="Z390" s="118"/>
      <c r="AA390" s="118"/>
      <c r="AB390" s="118"/>
      <c r="AC390" s="118"/>
      <c r="AD390" s="111"/>
      <c r="AE390" s="73"/>
      <c r="AF390" s="73"/>
    </row>
    <row r="391" ht="22.5" customHeight="1">
      <c r="A391" s="73"/>
      <c r="B391" s="73"/>
      <c r="C391" s="73"/>
      <c r="D391" s="73"/>
      <c r="E391" s="330"/>
      <c r="F391" s="118"/>
      <c r="G391" s="118"/>
      <c r="H391" s="118"/>
      <c r="I391" s="118"/>
      <c r="J391" s="119"/>
      <c r="K391" s="120"/>
      <c r="L391" s="120"/>
      <c r="M391" s="120"/>
      <c r="N391" s="120"/>
      <c r="O391" s="118"/>
      <c r="P391" s="120"/>
      <c r="Q391" s="121"/>
      <c r="R391" s="109" t="b">
        <v>0</v>
      </c>
      <c r="S391" s="143" t="str">
        <f t="shared" si="1"/>
        <v>Suspenso</v>
      </c>
      <c r="T391" s="118"/>
      <c r="U391" s="118"/>
      <c r="V391" s="118"/>
      <c r="W391" s="118"/>
      <c r="X391" s="118"/>
      <c r="Y391" s="118"/>
      <c r="Z391" s="118"/>
      <c r="AA391" s="118"/>
      <c r="AB391" s="118"/>
      <c r="AC391" s="118"/>
      <c r="AD391" s="111"/>
      <c r="AE391" s="73"/>
      <c r="AF391" s="73"/>
    </row>
    <row r="392" ht="22.5" customHeight="1">
      <c r="A392" s="73"/>
      <c r="B392" s="73"/>
      <c r="C392" s="73"/>
      <c r="D392" s="73"/>
      <c r="E392" s="330"/>
      <c r="F392" s="118"/>
      <c r="G392" s="118"/>
      <c r="H392" s="118"/>
      <c r="I392" s="118"/>
      <c r="J392" s="119"/>
      <c r="K392" s="120"/>
      <c r="L392" s="120"/>
      <c r="M392" s="120"/>
      <c r="N392" s="120"/>
      <c r="O392" s="118"/>
      <c r="P392" s="120"/>
      <c r="Q392" s="121"/>
      <c r="R392" s="109" t="b">
        <v>0</v>
      </c>
      <c r="S392" s="143" t="str">
        <f t="shared" si="1"/>
        <v>Suspenso</v>
      </c>
      <c r="T392" s="118"/>
      <c r="U392" s="118"/>
      <c r="V392" s="118"/>
      <c r="W392" s="118"/>
      <c r="X392" s="118"/>
      <c r="Y392" s="118"/>
      <c r="Z392" s="118"/>
      <c r="AA392" s="118"/>
      <c r="AB392" s="118"/>
      <c r="AC392" s="118"/>
      <c r="AD392" s="111"/>
      <c r="AE392" s="73"/>
      <c r="AF392" s="73"/>
    </row>
    <row r="393" ht="22.5" customHeight="1">
      <c r="A393" s="73"/>
      <c r="B393" s="73"/>
      <c r="C393" s="73"/>
      <c r="D393" s="73"/>
      <c r="E393" s="330"/>
      <c r="F393" s="118"/>
      <c r="G393" s="118"/>
      <c r="H393" s="118"/>
      <c r="I393" s="118"/>
      <c r="J393" s="119"/>
      <c r="K393" s="120"/>
      <c r="L393" s="120"/>
      <c r="M393" s="120"/>
      <c r="N393" s="120"/>
      <c r="O393" s="118"/>
      <c r="P393" s="120"/>
      <c r="Q393" s="121"/>
      <c r="R393" s="109" t="b">
        <v>0</v>
      </c>
      <c r="S393" s="143" t="str">
        <f t="shared" si="1"/>
        <v>Suspenso</v>
      </c>
      <c r="T393" s="118"/>
      <c r="U393" s="118"/>
      <c r="V393" s="118"/>
      <c r="W393" s="118"/>
      <c r="X393" s="118"/>
      <c r="Y393" s="118"/>
      <c r="Z393" s="118"/>
      <c r="AA393" s="118"/>
      <c r="AB393" s="118"/>
      <c r="AC393" s="118"/>
      <c r="AD393" s="111"/>
      <c r="AE393" s="73"/>
      <c r="AF393" s="73"/>
    </row>
    <row r="394" ht="22.5" customHeight="1">
      <c r="A394" s="73"/>
      <c r="B394" s="73"/>
      <c r="C394" s="73"/>
      <c r="D394" s="73"/>
      <c r="E394" s="330"/>
      <c r="F394" s="118"/>
      <c r="G394" s="118"/>
      <c r="H394" s="118"/>
      <c r="I394" s="118"/>
      <c r="J394" s="119"/>
      <c r="K394" s="120"/>
      <c r="L394" s="120"/>
      <c r="M394" s="120"/>
      <c r="N394" s="120"/>
      <c r="O394" s="118"/>
      <c r="P394" s="120"/>
      <c r="Q394" s="121"/>
      <c r="R394" s="109" t="b">
        <v>0</v>
      </c>
      <c r="S394" s="143" t="str">
        <f t="shared" si="1"/>
        <v>Suspenso</v>
      </c>
      <c r="T394" s="118"/>
      <c r="U394" s="118"/>
      <c r="V394" s="118"/>
      <c r="W394" s="118"/>
      <c r="X394" s="118"/>
      <c r="Y394" s="118"/>
      <c r="Z394" s="118"/>
      <c r="AA394" s="118"/>
      <c r="AB394" s="118"/>
      <c r="AC394" s="118"/>
      <c r="AD394" s="111"/>
      <c r="AE394" s="73"/>
      <c r="AF394" s="73"/>
    </row>
    <row r="395" ht="22.5" customHeight="1">
      <c r="A395" s="73"/>
      <c r="B395" s="73"/>
      <c r="C395" s="73"/>
      <c r="D395" s="73"/>
      <c r="E395" s="330"/>
      <c r="F395" s="118"/>
      <c r="G395" s="118"/>
      <c r="H395" s="118"/>
      <c r="I395" s="118"/>
      <c r="J395" s="119"/>
      <c r="K395" s="120"/>
      <c r="L395" s="120"/>
      <c r="M395" s="120"/>
      <c r="N395" s="120"/>
      <c r="O395" s="118"/>
      <c r="P395" s="120"/>
      <c r="Q395" s="121"/>
      <c r="R395" s="109" t="b">
        <v>0</v>
      </c>
      <c r="S395" s="143" t="str">
        <f t="shared" si="1"/>
        <v>Suspenso</v>
      </c>
      <c r="T395" s="118"/>
      <c r="U395" s="118"/>
      <c r="V395" s="118"/>
      <c r="W395" s="118"/>
      <c r="X395" s="118"/>
      <c r="Y395" s="118"/>
      <c r="Z395" s="118"/>
      <c r="AA395" s="118"/>
      <c r="AB395" s="118"/>
      <c r="AC395" s="118"/>
      <c r="AD395" s="111"/>
      <c r="AE395" s="73"/>
      <c r="AF395" s="73"/>
    </row>
    <row r="396" ht="22.5" customHeight="1">
      <c r="A396" s="73"/>
      <c r="B396" s="73"/>
      <c r="C396" s="73"/>
      <c r="D396" s="73"/>
      <c r="E396" s="330"/>
      <c r="F396" s="118"/>
      <c r="G396" s="118"/>
      <c r="H396" s="118"/>
      <c r="I396" s="118"/>
      <c r="J396" s="119"/>
      <c r="K396" s="120"/>
      <c r="L396" s="120"/>
      <c r="M396" s="120"/>
      <c r="N396" s="120"/>
      <c r="O396" s="118"/>
      <c r="P396" s="120"/>
      <c r="Q396" s="121"/>
      <c r="R396" s="109" t="b">
        <v>0</v>
      </c>
      <c r="S396" s="143" t="str">
        <f t="shared" si="1"/>
        <v>Suspenso</v>
      </c>
      <c r="T396" s="118"/>
      <c r="U396" s="118"/>
      <c r="V396" s="118"/>
      <c r="W396" s="118"/>
      <c r="X396" s="118"/>
      <c r="Y396" s="118"/>
      <c r="Z396" s="118"/>
      <c r="AA396" s="118"/>
      <c r="AB396" s="118"/>
      <c r="AC396" s="118"/>
      <c r="AD396" s="111"/>
      <c r="AE396" s="73"/>
      <c r="AF396" s="73"/>
    </row>
    <row r="397" ht="22.5" customHeight="1">
      <c r="A397" s="73"/>
      <c r="B397" s="73"/>
      <c r="C397" s="73"/>
      <c r="D397" s="73"/>
      <c r="E397" s="330"/>
      <c r="F397" s="118"/>
      <c r="G397" s="118"/>
      <c r="H397" s="118"/>
      <c r="I397" s="118"/>
      <c r="J397" s="119"/>
      <c r="K397" s="120"/>
      <c r="L397" s="120"/>
      <c r="M397" s="120"/>
      <c r="N397" s="120"/>
      <c r="O397" s="118"/>
      <c r="P397" s="120"/>
      <c r="Q397" s="121"/>
      <c r="R397" s="109" t="b">
        <v>0</v>
      </c>
      <c r="S397" s="143" t="str">
        <f t="shared" si="1"/>
        <v>Suspenso</v>
      </c>
      <c r="T397" s="118"/>
      <c r="U397" s="118"/>
      <c r="V397" s="118"/>
      <c r="W397" s="118"/>
      <c r="X397" s="118"/>
      <c r="Y397" s="118"/>
      <c r="Z397" s="118"/>
      <c r="AA397" s="118"/>
      <c r="AB397" s="118"/>
      <c r="AC397" s="118"/>
      <c r="AD397" s="111"/>
      <c r="AE397" s="73"/>
      <c r="AF397" s="73"/>
    </row>
    <row r="398" ht="22.5" customHeight="1">
      <c r="A398" s="73"/>
      <c r="B398" s="73"/>
      <c r="C398" s="73"/>
      <c r="D398" s="73"/>
      <c r="E398" s="330"/>
      <c r="F398" s="118"/>
      <c r="G398" s="118"/>
      <c r="H398" s="118"/>
      <c r="I398" s="118"/>
      <c r="J398" s="119"/>
      <c r="K398" s="120"/>
      <c r="L398" s="120"/>
      <c r="M398" s="120"/>
      <c r="N398" s="120"/>
      <c r="O398" s="118"/>
      <c r="P398" s="120"/>
      <c r="Q398" s="121"/>
      <c r="R398" s="109" t="b">
        <v>0</v>
      </c>
      <c r="S398" s="143" t="str">
        <f t="shared" si="1"/>
        <v>Suspenso</v>
      </c>
      <c r="T398" s="118"/>
      <c r="U398" s="118"/>
      <c r="V398" s="118"/>
      <c r="W398" s="118"/>
      <c r="X398" s="118"/>
      <c r="Y398" s="118"/>
      <c r="Z398" s="118"/>
      <c r="AA398" s="118"/>
      <c r="AB398" s="118"/>
      <c r="AC398" s="118"/>
      <c r="AD398" s="111"/>
      <c r="AE398" s="73"/>
      <c r="AF398" s="73"/>
    </row>
    <row r="399" ht="22.5" customHeight="1">
      <c r="A399" s="73"/>
      <c r="B399" s="73"/>
      <c r="C399" s="73"/>
      <c r="D399" s="73"/>
      <c r="E399" s="330"/>
      <c r="F399" s="118"/>
      <c r="G399" s="118"/>
      <c r="H399" s="118"/>
      <c r="I399" s="118"/>
      <c r="J399" s="119"/>
      <c r="K399" s="120"/>
      <c r="L399" s="120"/>
      <c r="M399" s="120"/>
      <c r="N399" s="120"/>
      <c r="O399" s="118"/>
      <c r="P399" s="120"/>
      <c r="Q399" s="121"/>
      <c r="R399" s="109" t="b">
        <v>0</v>
      </c>
      <c r="S399" s="143" t="str">
        <f t="shared" si="1"/>
        <v>Suspenso</v>
      </c>
      <c r="T399" s="118"/>
      <c r="U399" s="118"/>
      <c r="V399" s="118"/>
      <c r="W399" s="118"/>
      <c r="X399" s="118"/>
      <c r="Y399" s="118"/>
      <c r="Z399" s="118"/>
      <c r="AA399" s="118"/>
      <c r="AB399" s="118"/>
      <c r="AC399" s="118"/>
      <c r="AD399" s="111"/>
      <c r="AE399" s="73"/>
      <c r="AF399" s="73"/>
    </row>
    <row r="400" ht="22.5" customHeight="1">
      <c r="A400" s="73"/>
      <c r="B400" s="73"/>
      <c r="C400" s="73"/>
      <c r="D400" s="73"/>
      <c r="E400" s="330"/>
      <c r="F400" s="118"/>
      <c r="G400" s="118"/>
      <c r="H400" s="118"/>
      <c r="I400" s="118"/>
      <c r="J400" s="119"/>
      <c r="K400" s="120"/>
      <c r="L400" s="120"/>
      <c r="M400" s="120"/>
      <c r="N400" s="120"/>
      <c r="O400" s="118"/>
      <c r="P400" s="120"/>
      <c r="Q400" s="121"/>
      <c r="R400" s="109" t="b">
        <v>0</v>
      </c>
      <c r="S400" s="143" t="str">
        <f t="shared" si="1"/>
        <v>Suspenso</v>
      </c>
      <c r="T400" s="118"/>
      <c r="U400" s="118"/>
      <c r="V400" s="118"/>
      <c r="W400" s="118"/>
      <c r="X400" s="118"/>
      <c r="Y400" s="118"/>
      <c r="Z400" s="118"/>
      <c r="AA400" s="118"/>
      <c r="AB400" s="118"/>
      <c r="AC400" s="118"/>
      <c r="AD400" s="111"/>
      <c r="AE400" s="73"/>
      <c r="AF400" s="73"/>
    </row>
    <row r="401" ht="22.5" customHeight="1">
      <c r="A401" s="73"/>
      <c r="B401" s="73"/>
      <c r="C401" s="73"/>
      <c r="D401" s="73"/>
      <c r="E401" s="330"/>
      <c r="F401" s="118"/>
      <c r="G401" s="118"/>
      <c r="H401" s="118"/>
      <c r="I401" s="118"/>
      <c r="J401" s="119"/>
      <c r="K401" s="120"/>
      <c r="L401" s="120"/>
      <c r="M401" s="120"/>
      <c r="N401" s="120"/>
      <c r="O401" s="118"/>
      <c r="P401" s="120"/>
      <c r="Q401" s="121"/>
      <c r="R401" s="109" t="b">
        <v>0</v>
      </c>
      <c r="S401" s="143" t="str">
        <f t="shared" si="1"/>
        <v>Suspenso</v>
      </c>
      <c r="T401" s="118"/>
      <c r="U401" s="118"/>
      <c r="V401" s="118"/>
      <c r="W401" s="118"/>
      <c r="X401" s="118"/>
      <c r="Y401" s="118"/>
      <c r="Z401" s="118"/>
      <c r="AA401" s="118"/>
      <c r="AB401" s="118"/>
      <c r="AC401" s="118"/>
      <c r="AD401" s="111"/>
      <c r="AE401" s="73"/>
      <c r="AF401" s="73"/>
    </row>
    <row r="402" ht="22.5" customHeight="1">
      <c r="A402" s="73"/>
      <c r="B402" s="73"/>
      <c r="C402" s="73"/>
      <c r="D402" s="73"/>
      <c r="E402" s="330"/>
      <c r="F402" s="118"/>
      <c r="G402" s="118"/>
      <c r="H402" s="118"/>
      <c r="I402" s="118"/>
      <c r="J402" s="119"/>
      <c r="K402" s="120"/>
      <c r="L402" s="120"/>
      <c r="M402" s="120"/>
      <c r="N402" s="120"/>
      <c r="O402" s="118"/>
      <c r="P402" s="120"/>
      <c r="Q402" s="121"/>
      <c r="R402" s="109" t="b">
        <v>0</v>
      </c>
      <c r="S402" s="143" t="str">
        <f t="shared" si="1"/>
        <v>Suspenso</v>
      </c>
      <c r="T402" s="118"/>
      <c r="U402" s="118"/>
      <c r="V402" s="118"/>
      <c r="W402" s="118"/>
      <c r="X402" s="118"/>
      <c r="Y402" s="118"/>
      <c r="Z402" s="118"/>
      <c r="AA402" s="118"/>
      <c r="AB402" s="118"/>
      <c r="AC402" s="118"/>
      <c r="AD402" s="111"/>
      <c r="AE402" s="73"/>
      <c r="AF402" s="73"/>
    </row>
    <row r="403" ht="22.5" customHeight="1">
      <c r="A403" s="73"/>
      <c r="B403" s="73"/>
      <c r="C403" s="73"/>
      <c r="D403" s="73"/>
      <c r="E403" s="330"/>
      <c r="F403" s="118"/>
      <c r="G403" s="118"/>
      <c r="H403" s="118"/>
      <c r="I403" s="118"/>
      <c r="J403" s="119"/>
      <c r="K403" s="120"/>
      <c r="L403" s="120"/>
      <c r="M403" s="120"/>
      <c r="N403" s="120"/>
      <c r="O403" s="118"/>
      <c r="P403" s="120"/>
      <c r="Q403" s="121"/>
      <c r="R403" s="109" t="b">
        <v>0</v>
      </c>
      <c r="S403" s="143" t="str">
        <f t="shared" si="1"/>
        <v>Suspenso</v>
      </c>
      <c r="T403" s="118"/>
      <c r="U403" s="118"/>
      <c r="V403" s="118"/>
      <c r="W403" s="118"/>
      <c r="X403" s="118"/>
      <c r="Y403" s="118"/>
      <c r="Z403" s="118"/>
      <c r="AA403" s="118"/>
      <c r="AB403" s="118"/>
      <c r="AC403" s="118"/>
      <c r="AD403" s="111"/>
      <c r="AE403" s="73"/>
      <c r="AF403" s="73"/>
    </row>
    <row r="404" ht="22.5" customHeight="1">
      <c r="A404" s="73"/>
      <c r="B404" s="73"/>
      <c r="C404" s="73"/>
      <c r="D404" s="73"/>
      <c r="E404" s="330"/>
      <c r="F404" s="118"/>
      <c r="G404" s="118"/>
      <c r="H404" s="118"/>
      <c r="I404" s="118"/>
      <c r="J404" s="119"/>
      <c r="K404" s="120"/>
      <c r="L404" s="120"/>
      <c r="M404" s="120"/>
      <c r="N404" s="120"/>
      <c r="O404" s="118"/>
      <c r="P404" s="120"/>
      <c r="Q404" s="121"/>
      <c r="R404" s="109" t="b">
        <v>0</v>
      </c>
      <c r="S404" s="143" t="str">
        <f t="shared" si="1"/>
        <v>Suspenso</v>
      </c>
      <c r="T404" s="118"/>
      <c r="U404" s="118"/>
      <c r="V404" s="118"/>
      <c r="W404" s="118"/>
      <c r="X404" s="118"/>
      <c r="Y404" s="118"/>
      <c r="Z404" s="118"/>
      <c r="AA404" s="118"/>
      <c r="AB404" s="118"/>
      <c r="AC404" s="118"/>
      <c r="AD404" s="111"/>
      <c r="AE404" s="73"/>
      <c r="AF404" s="73"/>
    </row>
    <row r="405" ht="22.5" customHeight="1">
      <c r="A405" s="73"/>
      <c r="B405" s="73"/>
      <c r="C405" s="73"/>
      <c r="D405" s="73"/>
      <c r="E405" s="330"/>
      <c r="F405" s="118"/>
      <c r="G405" s="118"/>
      <c r="H405" s="118"/>
      <c r="I405" s="118"/>
      <c r="J405" s="119"/>
      <c r="K405" s="120"/>
      <c r="L405" s="120"/>
      <c r="M405" s="120"/>
      <c r="N405" s="120"/>
      <c r="O405" s="118"/>
      <c r="P405" s="120"/>
      <c r="Q405" s="121"/>
      <c r="R405" s="109" t="b">
        <v>0</v>
      </c>
      <c r="S405" s="143" t="str">
        <f t="shared" si="1"/>
        <v>Suspenso</v>
      </c>
      <c r="T405" s="118"/>
      <c r="U405" s="118"/>
      <c r="V405" s="118"/>
      <c r="W405" s="118"/>
      <c r="X405" s="118"/>
      <c r="Y405" s="118"/>
      <c r="Z405" s="118"/>
      <c r="AA405" s="118"/>
      <c r="AB405" s="118"/>
      <c r="AC405" s="118"/>
      <c r="AD405" s="111"/>
      <c r="AE405" s="73"/>
      <c r="AF405" s="73"/>
    </row>
    <row r="406" ht="22.5" customHeight="1">
      <c r="A406" s="73"/>
      <c r="B406" s="73"/>
      <c r="C406" s="73"/>
      <c r="D406" s="73"/>
      <c r="E406" s="330"/>
      <c r="F406" s="118"/>
      <c r="G406" s="118"/>
      <c r="H406" s="118"/>
      <c r="I406" s="118"/>
      <c r="J406" s="119"/>
      <c r="K406" s="120"/>
      <c r="L406" s="120"/>
      <c r="M406" s="120"/>
      <c r="N406" s="120"/>
      <c r="O406" s="118"/>
      <c r="P406" s="120"/>
      <c r="Q406" s="121"/>
      <c r="R406" s="109" t="b">
        <v>0</v>
      </c>
      <c r="S406" s="143" t="str">
        <f t="shared" si="1"/>
        <v>Suspenso</v>
      </c>
      <c r="T406" s="118"/>
      <c r="U406" s="118"/>
      <c r="V406" s="118"/>
      <c r="W406" s="118"/>
      <c r="X406" s="118"/>
      <c r="Y406" s="118"/>
      <c r="Z406" s="118"/>
      <c r="AA406" s="118"/>
      <c r="AB406" s="118"/>
      <c r="AC406" s="118"/>
      <c r="AD406" s="111"/>
      <c r="AE406" s="73"/>
      <c r="AF406" s="73"/>
    </row>
    <row r="407" ht="22.5" customHeight="1">
      <c r="A407" s="73"/>
      <c r="B407" s="73"/>
      <c r="C407" s="73"/>
      <c r="D407" s="73"/>
      <c r="E407" s="330"/>
      <c r="F407" s="118"/>
      <c r="G407" s="118"/>
      <c r="H407" s="118"/>
      <c r="I407" s="118"/>
      <c r="J407" s="119"/>
      <c r="K407" s="120"/>
      <c r="L407" s="120"/>
      <c r="M407" s="120"/>
      <c r="N407" s="120"/>
      <c r="O407" s="118"/>
      <c r="P407" s="120"/>
      <c r="Q407" s="121"/>
      <c r="R407" s="109" t="b">
        <v>0</v>
      </c>
      <c r="S407" s="143" t="str">
        <f t="shared" si="1"/>
        <v>Suspenso</v>
      </c>
      <c r="T407" s="118"/>
      <c r="U407" s="118"/>
      <c r="V407" s="118"/>
      <c r="W407" s="118"/>
      <c r="X407" s="118"/>
      <c r="Y407" s="118"/>
      <c r="Z407" s="118"/>
      <c r="AA407" s="118"/>
      <c r="AB407" s="118"/>
      <c r="AC407" s="118"/>
      <c r="AD407" s="111"/>
      <c r="AE407" s="73"/>
      <c r="AF407" s="73"/>
    </row>
    <row r="408" ht="22.5" customHeight="1">
      <c r="A408" s="73"/>
      <c r="B408" s="73"/>
      <c r="C408" s="73"/>
      <c r="D408" s="73"/>
      <c r="E408" s="330"/>
      <c r="F408" s="118"/>
      <c r="G408" s="118"/>
      <c r="H408" s="118"/>
      <c r="I408" s="118"/>
      <c r="J408" s="119"/>
      <c r="K408" s="120"/>
      <c r="L408" s="120"/>
      <c r="M408" s="120"/>
      <c r="N408" s="120"/>
      <c r="O408" s="118"/>
      <c r="P408" s="120"/>
      <c r="Q408" s="121"/>
      <c r="R408" s="109" t="b">
        <v>0</v>
      </c>
      <c r="S408" s="143" t="str">
        <f t="shared" si="1"/>
        <v>Suspenso</v>
      </c>
      <c r="T408" s="118"/>
      <c r="U408" s="118"/>
      <c r="V408" s="118"/>
      <c r="W408" s="118"/>
      <c r="X408" s="118"/>
      <c r="Y408" s="118"/>
      <c r="Z408" s="118"/>
      <c r="AA408" s="118"/>
      <c r="AB408" s="118"/>
      <c r="AC408" s="118"/>
      <c r="AD408" s="111"/>
      <c r="AE408" s="73"/>
      <c r="AF408" s="73"/>
    </row>
    <row r="409" ht="22.5" customHeight="1">
      <c r="A409" s="73"/>
      <c r="B409" s="73"/>
      <c r="C409" s="73"/>
      <c r="D409" s="73"/>
      <c r="E409" s="330"/>
      <c r="F409" s="118"/>
      <c r="G409" s="118"/>
      <c r="H409" s="118"/>
      <c r="I409" s="118"/>
      <c r="J409" s="119"/>
      <c r="K409" s="120"/>
      <c r="L409" s="120"/>
      <c r="M409" s="120"/>
      <c r="N409" s="120"/>
      <c r="O409" s="118"/>
      <c r="P409" s="120"/>
      <c r="Q409" s="121"/>
      <c r="R409" s="109" t="b">
        <v>0</v>
      </c>
      <c r="S409" s="143" t="str">
        <f t="shared" si="1"/>
        <v>Suspenso</v>
      </c>
      <c r="T409" s="118"/>
      <c r="U409" s="118"/>
      <c r="V409" s="118"/>
      <c r="W409" s="118"/>
      <c r="X409" s="118"/>
      <c r="Y409" s="118"/>
      <c r="Z409" s="118"/>
      <c r="AA409" s="118"/>
      <c r="AB409" s="118"/>
      <c r="AC409" s="118"/>
      <c r="AD409" s="111"/>
      <c r="AE409" s="73"/>
      <c r="AF409" s="73"/>
    </row>
    <row r="410" ht="22.5" customHeight="1">
      <c r="A410" s="73"/>
      <c r="B410" s="73"/>
      <c r="C410" s="73"/>
      <c r="D410" s="73"/>
      <c r="E410" s="330"/>
      <c r="F410" s="118"/>
      <c r="G410" s="118"/>
      <c r="H410" s="118"/>
      <c r="I410" s="118"/>
      <c r="J410" s="119"/>
      <c r="K410" s="120"/>
      <c r="L410" s="120"/>
      <c r="M410" s="120"/>
      <c r="N410" s="120"/>
      <c r="O410" s="118"/>
      <c r="P410" s="120"/>
      <c r="Q410" s="121"/>
      <c r="R410" s="109" t="b">
        <v>0</v>
      </c>
      <c r="S410" s="143" t="str">
        <f t="shared" si="1"/>
        <v>Suspenso</v>
      </c>
      <c r="T410" s="118"/>
      <c r="U410" s="118"/>
      <c r="V410" s="118"/>
      <c r="W410" s="118"/>
      <c r="X410" s="118"/>
      <c r="Y410" s="118"/>
      <c r="Z410" s="118"/>
      <c r="AA410" s="118"/>
      <c r="AB410" s="118"/>
      <c r="AC410" s="118"/>
      <c r="AD410" s="111"/>
      <c r="AE410" s="73"/>
      <c r="AF410" s="73"/>
    </row>
    <row r="411" ht="22.5" customHeight="1">
      <c r="A411" s="73"/>
      <c r="B411" s="73"/>
      <c r="C411" s="73"/>
      <c r="D411" s="73"/>
      <c r="E411" s="330"/>
      <c r="F411" s="118"/>
      <c r="G411" s="118"/>
      <c r="H411" s="118"/>
      <c r="I411" s="118"/>
      <c r="J411" s="119"/>
      <c r="K411" s="120"/>
      <c r="L411" s="120"/>
      <c r="M411" s="120"/>
      <c r="N411" s="120"/>
      <c r="O411" s="118"/>
      <c r="P411" s="120"/>
      <c r="Q411" s="121"/>
      <c r="R411" s="109" t="b">
        <v>0</v>
      </c>
      <c r="S411" s="143" t="str">
        <f t="shared" si="1"/>
        <v>Suspenso</v>
      </c>
      <c r="T411" s="118"/>
      <c r="U411" s="118"/>
      <c r="V411" s="118"/>
      <c r="W411" s="118"/>
      <c r="X411" s="118"/>
      <c r="Y411" s="118"/>
      <c r="Z411" s="118"/>
      <c r="AA411" s="118"/>
      <c r="AB411" s="118"/>
      <c r="AC411" s="118"/>
      <c r="AD411" s="111"/>
      <c r="AE411" s="73"/>
      <c r="AF411" s="73"/>
    </row>
    <row r="412" ht="22.5" customHeight="1">
      <c r="A412" s="73"/>
      <c r="B412" s="73"/>
      <c r="C412" s="73"/>
      <c r="D412" s="73"/>
      <c r="E412" s="330"/>
      <c r="F412" s="118"/>
      <c r="G412" s="118"/>
      <c r="H412" s="118"/>
      <c r="I412" s="118"/>
      <c r="J412" s="119"/>
      <c r="K412" s="120"/>
      <c r="L412" s="120"/>
      <c r="M412" s="120"/>
      <c r="N412" s="120"/>
      <c r="O412" s="118"/>
      <c r="P412" s="120"/>
      <c r="Q412" s="121"/>
      <c r="R412" s="109" t="b">
        <v>0</v>
      </c>
      <c r="S412" s="143" t="str">
        <f t="shared" si="1"/>
        <v>Suspenso</v>
      </c>
      <c r="T412" s="118"/>
      <c r="U412" s="118"/>
      <c r="V412" s="118"/>
      <c r="W412" s="118"/>
      <c r="X412" s="118"/>
      <c r="Y412" s="118"/>
      <c r="Z412" s="118"/>
      <c r="AA412" s="118"/>
      <c r="AB412" s="118"/>
      <c r="AC412" s="118"/>
      <c r="AD412" s="111"/>
      <c r="AE412" s="73"/>
      <c r="AF412" s="73"/>
    </row>
    <row r="413" ht="22.5" customHeight="1">
      <c r="A413" s="73"/>
      <c r="B413" s="73"/>
      <c r="C413" s="73"/>
      <c r="D413" s="73"/>
      <c r="E413" s="330"/>
      <c r="F413" s="118"/>
      <c r="G413" s="118"/>
      <c r="H413" s="118"/>
      <c r="I413" s="118"/>
      <c r="J413" s="119"/>
      <c r="K413" s="120"/>
      <c r="L413" s="120"/>
      <c r="M413" s="120"/>
      <c r="N413" s="120"/>
      <c r="O413" s="118"/>
      <c r="P413" s="120"/>
      <c r="Q413" s="121"/>
      <c r="R413" s="109" t="b">
        <v>0</v>
      </c>
      <c r="S413" s="143" t="str">
        <f t="shared" si="1"/>
        <v>Suspenso</v>
      </c>
      <c r="T413" s="118"/>
      <c r="U413" s="118"/>
      <c r="V413" s="118"/>
      <c r="W413" s="118"/>
      <c r="X413" s="118"/>
      <c r="Y413" s="118"/>
      <c r="Z413" s="118"/>
      <c r="AA413" s="118"/>
      <c r="AB413" s="118"/>
      <c r="AC413" s="118"/>
      <c r="AD413" s="111"/>
      <c r="AE413" s="73"/>
      <c r="AF413" s="73"/>
    </row>
    <row r="414" ht="22.5" customHeight="1">
      <c r="A414" s="73"/>
      <c r="B414" s="73"/>
      <c r="C414" s="73"/>
      <c r="D414" s="73"/>
      <c r="E414" s="330"/>
      <c r="F414" s="118"/>
      <c r="G414" s="118"/>
      <c r="H414" s="118"/>
      <c r="I414" s="118"/>
      <c r="J414" s="119"/>
      <c r="K414" s="120"/>
      <c r="L414" s="120"/>
      <c r="M414" s="120"/>
      <c r="N414" s="120"/>
      <c r="O414" s="118"/>
      <c r="P414" s="120"/>
      <c r="Q414" s="121"/>
      <c r="R414" s="109" t="b">
        <v>0</v>
      </c>
      <c r="S414" s="143" t="str">
        <f t="shared" si="1"/>
        <v>Suspenso</v>
      </c>
      <c r="T414" s="118"/>
      <c r="U414" s="118"/>
      <c r="V414" s="118"/>
      <c r="W414" s="118"/>
      <c r="X414" s="118"/>
      <c r="Y414" s="118"/>
      <c r="Z414" s="118"/>
      <c r="AA414" s="118"/>
      <c r="AB414" s="118"/>
      <c r="AC414" s="118"/>
      <c r="AD414" s="111"/>
      <c r="AE414" s="73"/>
      <c r="AF414" s="73"/>
    </row>
    <row r="415" ht="22.5" customHeight="1">
      <c r="A415" s="73"/>
      <c r="B415" s="73"/>
      <c r="C415" s="73"/>
      <c r="D415" s="73"/>
      <c r="E415" s="330"/>
      <c r="F415" s="118"/>
      <c r="G415" s="118"/>
      <c r="H415" s="118"/>
      <c r="I415" s="118"/>
      <c r="J415" s="119"/>
      <c r="K415" s="120"/>
      <c r="L415" s="120"/>
      <c r="M415" s="120"/>
      <c r="N415" s="120"/>
      <c r="O415" s="118"/>
      <c r="P415" s="120"/>
      <c r="Q415" s="121"/>
      <c r="R415" s="109" t="b">
        <v>0</v>
      </c>
      <c r="S415" s="143" t="str">
        <f t="shared" si="1"/>
        <v>Suspenso</v>
      </c>
      <c r="T415" s="118"/>
      <c r="U415" s="118"/>
      <c r="V415" s="118"/>
      <c r="W415" s="118"/>
      <c r="X415" s="118"/>
      <c r="Y415" s="118"/>
      <c r="Z415" s="118"/>
      <c r="AA415" s="118"/>
      <c r="AB415" s="118"/>
      <c r="AC415" s="118"/>
      <c r="AD415" s="111"/>
      <c r="AE415" s="73"/>
      <c r="AF415" s="73"/>
    </row>
    <row r="416" ht="22.5" customHeight="1">
      <c r="A416" s="73"/>
      <c r="B416" s="73"/>
      <c r="C416" s="73"/>
      <c r="D416" s="73"/>
      <c r="E416" s="330"/>
      <c r="F416" s="118"/>
      <c r="G416" s="118"/>
      <c r="H416" s="118"/>
      <c r="I416" s="118"/>
      <c r="J416" s="119"/>
      <c r="K416" s="120"/>
      <c r="L416" s="120"/>
      <c r="M416" s="120"/>
      <c r="N416" s="120"/>
      <c r="O416" s="118"/>
      <c r="P416" s="120"/>
      <c r="Q416" s="121"/>
      <c r="R416" s="109" t="b">
        <v>0</v>
      </c>
      <c r="S416" s="143" t="str">
        <f t="shared" si="1"/>
        <v>Suspenso</v>
      </c>
      <c r="T416" s="118"/>
      <c r="U416" s="118"/>
      <c r="V416" s="118"/>
      <c r="W416" s="118"/>
      <c r="X416" s="118"/>
      <c r="Y416" s="118"/>
      <c r="Z416" s="118"/>
      <c r="AA416" s="118"/>
      <c r="AB416" s="118"/>
      <c r="AC416" s="118"/>
      <c r="AD416" s="111"/>
      <c r="AE416" s="73"/>
      <c r="AF416" s="73"/>
    </row>
    <row r="417" ht="22.5" customHeight="1">
      <c r="A417" s="73"/>
      <c r="B417" s="73"/>
      <c r="C417" s="73"/>
      <c r="D417" s="73"/>
      <c r="E417" s="330"/>
      <c r="F417" s="118"/>
      <c r="G417" s="118"/>
      <c r="H417" s="118"/>
      <c r="I417" s="118"/>
      <c r="J417" s="119"/>
      <c r="K417" s="120"/>
      <c r="L417" s="120"/>
      <c r="M417" s="120"/>
      <c r="N417" s="120"/>
      <c r="O417" s="118"/>
      <c r="P417" s="120"/>
      <c r="Q417" s="121"/>
      <c r="R417" s="109" t="b">
        <v>0</v>
      </c>
      <c r="S417" s="143" t="str">
        <f t="shared" si="1"/>
        <v>Suspenso</v>
      </c>
      <c r="T417" s="118"/>
      <c r="U417" s="118"/>
      <c r="V417" s="118"/>
      <c r="W417" s="118"/>
      <c r="X417" s="118"/>
      <c r="Y417" s="118"/>
      <c r="Z417" s="118"/>
      <c r="AA417" s="118"/>
      <c r="AB417" s="118"/>
      <c r="AC417" s="118"/>
      <c r="AD417" s="111"/>
      <c r="AE417" s="73"/>
      <c r="AF417" s="73"/>
    </row>
    <row r="418" ht="22.5" customHeight="1">
      <c r="A418" s="73"/>
      <c r="B418" s="73"/>
      <c r="C418" s="73"/>
      <c r="D418" s="73"/>
      <c r="E418" s="330"/>
      <c r="F418" s="118"/>
      <c r="G418" s="118"/>
      <c r="H418" s="118"/>
      <c r="I418" s="118"/>
      <c r="J418" s="119"/>
      <c r="K418" s="120"/>
      <c r="L418" s="120"/>
      <c r="M418" s="120"/>
      <c r="N418" s="120"/>
      <c r="O418" s="118"/>
      <c r="P418" s="120"/>
      <c r="Q418" s="121"/>
      <c r="R418" s="109" t="b">
        <v>0</v>
      </c>
      <c r="S418" s="143" t="str">
        <f t="shared" si="1"/>
        <v>Suspenso</v>
      </c>
      <c r="T418" s="118"/>
      <c r="U418" s="118"/>
      <c r="V418" s="118"/>
      <c r="W418" s="118"/>
      <c r="X418" s="118"/>
      <c r="Y418" s="118"/>
      <c r="Z418" s="118"/>
      <c r="AA418" s="118"/>
      <c r="AB418" s="118"/>
      <c r="AC418" s="118"/>
      <c r="AD418" s="111"/>
      <c r="AE418" s="73"/>
      <c r="AF418" s="73"/>
    </row>
    <row r="419" ht="22.5" customHeight="1">
      <c r="A419" s="73"/>
      <c r="B419" s="73"/>
      <c r="C419" s="73"/>
      <c r="D419" s="73"/>
      <c r="E419" s="330"/>
      <c r="F419" s="118"/>
      <c r="G419" s="118"/>
      <c r="H419" s="118"/>
      <c r="I419" s="118"/>
      <c r="J419" s="119"/>
      <c r="K419" s="120"/>
      <c r="L419" s="120"/>
      <c r="M419" s="120"/>
      <c r="N419" s="120"/>
      <c r="O419" s="118"/>
      <c r="P419" s="120"/>
      <c r="Q419" s="121"/>
      <c r="R419" s="109" t="b">
        <v>0</v>
      </c>
      <c r="S419" s="143" t="str">
        <f t="shared" si="1"/>
        <v>Suspenso</v>
      </c>
      <c r="T419" s="118"/>
      <c r="U419" s="118"/>
      <c r="V419" s="118"/>
      <c r="W419" s="118"/>
      <c r="X419" s="118"/>
      <c r="Y419" s="118"/>
      <c r="Z419" s="118"/>
      <c r="AA419" s="118"/>
      <c r="AB419" s="118"/>
      <c r="AC419" s="118"/>
      <c r="AD419" s="111"/>
      <c r="AE419" s="73"/>
      <c r="AF419" s="73"/>
    </row>
    <row r="420" ht="22.5" customHeight="1">
      <c r="A420" s="73"/>
      <c r="B420" s="73"/>
      <c r="C420" s="73"/>
      <c r="D420" s="73"/>
      <c r="E420" s="330"/>
      <c r="F420" s="118"/>
      <c r="G420" s="118"/>
      <c r="H420" s="118"/>
      <c r="I420" s="118"/>
      <c r="J420" s="119"/>
      <c r="K420" s="120"/>
      <c r="L420" s="120"/>
      <c r="M420" s="120"/>
      <c r="N420" s="120"/>
      <c r="O420" s="118"/>
      <c r="P420" s="120"/>
      <c r="Q420" s="121"/>
      <c r="R420" s="109" t="b">
        <v>0</v>
      </c>
      <c r="S420" s="143" t="str">
        <f t="shared" si="1"/>
        <v>Suspenso</v>
      </c>
      <c r="T420" s="118"/>
      <c r="U420" s="118"/>
      <c r="V420" s="118"/>
      <c r="W420" s="118"/>
      <c r="X420" s="118"/>
      <c r="Y420" s="118"/>
      <c r="Z420" s="118"/>
      <c r="AA420" s="118"/>
      <c r="AB420" s="118"/>
      <c r="AC420" s="118"/>
      <c r="AD420" s="111"/>
      <c r="AE420" s="73"/>
      <c r="AF420" s="73"/>
    </row>
    <row r="421" ht="22.5" customHeight="1">
      <c r="A421" s="73"/>
      <c r="B421" s="73"/>
      <c r="C421" s="73"/>
      <c r="D421" s="73"/>
      <c r="E421" s="330"/>
      <c r="F421" s="118"/>
      <c r="G421" s="118"/>
      <c r="H421" s="118"/>
      <c r="I421" s="118"/>
      <c r="J421" s="119"/>
      <c r="K421" s="120"/>
      <c r="L421" s="120"/>
      <c r="M421" s="120"/>
      <c r="N421" s="120"/>
      <c r="O421" s="118"/>
      <c r="P421" s="120"/>
      <c r="Q421" s="121"/>
      <c r="R421" s="109" t="b">
        <v>0</v>
      </c>
      <c r="S421" s="143" t="str">
        <f t="shared" si="1"/>
        <v>Suspenso</v>
      </c>
      <c r="T421" s="118"/>
      <c r="U421" s="118"/>
      <c r="V421" s="118"/>
      <c r="W421" s="118"/>
      <c r="X421" s="118"/>
      <c r="Y421" s="118"/>
      <c r="Z421" s="118"/>
      <c r="AA421" s="118"/>
      <c r="AB421" s="118"/>
      <c r="AC421" s="118"/>
      <c r="AD421" s="111"/>
      <c r="AE421" s="73"/>
      <c r="AF421" s="73"/>
    </row>
    <row r="422" ht="22.5" customHeight="1">
      <c r="A422" s="73"/>
      <c r="B422" s="73"/>
      <c r="C422" s="73"/>
      <c r="D422" s="73"/>
      <c r="E422" s="330"/>
      <c r="F422" s="118"/>
      <c r="G422" s="118"/>
      <c r="H422" s="118"/>
      <c r="I422" s="118"/>
      <c r="J422" s="119"/>
      <c r="K422" s="120"/>
      <c r="L422" s="120"/>
      <c r="M422" s="120"/>
      <c r="N422" s="120"/>
      <c r="O422" s="118"/>
      <c r="P422" s="120"/>
      <c r="Q422" s="121"/>
      <c r="R422" s="109" t="b">
        <v>0</v>
      </c>
      <c r="S422" s="143" t="str">
        <f t="shared" si="1"/>
        <v>Suspenso</v>
      </c>
      <c r="T422" s="118"/>
      <c r="U422" s="118"/>
      <c r="V422" s="118"/>
      <c r="W422" s="118"/>
      <c r="X422" s="118"/>
      <c r="Y422" s="118"/>
      <c r="Z422" s="118"/>
      <c r="AA422" s="118"/>
      <c r="AB422" s="118"/>
      <c r="AC422" s="118"/>
      <c r="AD422" s="111"/>
      <c r="AE422" s="73"/>
      <c r="AF422" s="73"/>
    </row>
    <row r="423" ht="22.5" customHeight="1">
      <c r="A423" s="73"/>
      <c r="B423" s="73"/>
      <c r="C423" s="73"/>
      <c r="D423" s="73"/>
      <c r="E423" s="330"/>
      <c r="F423" s="118"/>
      <c r="G423" s="118"/>
      <c r="H423" s="118"/>
      <c r="I423" s="118"/>
      <c r="J423" s="119"/>
      <c r="K423" s="120"/>
      <c r="L423" s="120"/>
      <c r="M423" s="120"/>
      <c r="N423" s="120"/>
      <c r="O423" s="118"/>
      <c r="P423" s="120"/>
      <c r="Q423" s="121"/>
      <c r="R423" s="109" t="b">
        <v>0</v>
      </c>
      <c r="S423" s="143" t="str">
        <f t="shared" si="1"/>
        <v>Suspenso</v>
      </c>
      <c r="T423" s="118"/>
      <c r="U423" s="118"/>
      <c r="V423" s="118"/>
      <c r="W423" s="118"/>
      <c r="X423" s="118"/>
      <c r="Y423" s="118"/>
      <c r="Z423" s="118"/>
      <c r="AA423" s="118"/>
      <c r="AB423" s="118"/>
      <c r="AC423" s="118"/>
      <c r="AD423" s="111"/>
      <c r="AE423" s="73"/>
      <c r="AF423" s="73"/>
    </row>
    <row r="424" ht="22.5" customHeight="1">
      <c r="A424" s="73"/>
      <c r="B424" s="73"/>
      <c r="C424" s="73"/>
      <c r="D424" s="73"/>
      <c r="E424" s="330"/>
      <c r="F424" s="118"/>
      <c r="G424" s="118"/>
      <c r="H424" s="118"/>
      <c r="I424" s="118"/>
      <c r="J424" s="119"/>
      <c r="K424" s="120"/>
      <c r="L424" s="120"/>
      <c r="M424" s="120"/>
      <c r="N424" s="120"/>
      <c r="O424" s="118"/>
      <c r="P424" s="120"/>
      <c r="Q424" s="121"/>
      <c r="R424" s="109" t="b">
        <v>0</v>
      </c>
      <c r="S424" s="143" t="str">
        <f t="shared" si="1"/>
        <v>Suspenso</v>
      </c>
      <c r="T424" s="118"/>
      <c r="U424" s="118"/>
      <c r="V424" s="118"/>
      <c r="W424" s="118"/>
      <c r="X424" s="118"/>
      <c r="Y424" s="118"/>
      <c r="Z424" s="118"/>
      <c r="AA424" s="118"/>
      <c r="AB424" s="118"/>
      <c r="AC424" s="118"/>
      <c r="AD424" s="111"/>
      <c r="AE424" s="73"/>
      <c r="AF424" s="73"/>
    </row>
    <row r="425" ht="22.5" customHeight="1">
      <c r="A425" s="73"/>
      <c r="B425" s="73"/>
      <c r="C425" s="73"/>
      <c r="D425" s="73"/>
      <c r="E425" s="330"/>
      <c r="F425" s="118"/>
      <c r="G425" s="118"/>
      <c r="H425" s="118"/>
      <c r="I425" s="118"/>
      <c r="J425" s="119"/>
      <c r="K425" s="120"/>
      <c r="L425" s="120"/>
      <c r="M425" s="120"/>
      <c r="N425" s="120"/>
      <c r="O425" s="118"/>
      <c r="P425" s="120"/>
      <c r="Q425" s="121"/>
      <c r="R425" s="109" t="b">
        <v>0</v>
      </c>
      <c r="S425" s="143" t="str">
        <f t="shared" si="1"/>
        <v>Suspenso</v>
      </c>
      <c r="T425" s="118"/>
      <c r="U425" s="118"/>
      <c r="V425" s="118"/>
      <c r="W425" s="118"/>
      <c r="X425" s="118"/>
      <c r="Y425" s="118"/>
      <c r="Z425" s="118"/>
      <c r="AA425" s="118"/>
      <c r="AB425" s="118"/>
      <c r="AC425" s="118"/>
      <c r="AD425" s="111"/>
      <c r="AE425" s="73"/>
      <c r="AF425" s="73"/>
    </row>
    <row r="426" ht="22.5" customHeight="1">
      <c r="A426" s="73"/>
      <c r="B426" s="73"/>
      <c r="C426" s="73"/>
      <c r="D426" s="73"/>
      <c r="E426" s="330"/>
      <c r="F426" s="118"/>
      <c r="G426" s="118"/>
      <c r="H426" s="118"/>
      <c r="I426" s="118"/>
      <c r="J426" s="119"/>
      <c r="K426" s="120"/>
      <c r="L426" s="120"/>
      <c r="M426" s="120"/>
      <c r="N426" s="120"/>
      <c r="O426" s="118"/>
      <c r="P426" s="120"/>
      <c r="Q426" s="121"/>
      <c r="R426" s="109" t="b">
        <v>0</v>
      </c>
      <c r="S426" s="143" t="str">
        <f t="shared" si="1"/>
        <v>Suspenso</v>
      </c>
      <c r="T426" s="118"/>
      <c r="U426" s="118"/>
      <c r="V426" s="118"/>
      <c r="W426" s="118"/>
      <c r="X426" s="118"/>
      <c r="Y426" s="118"/>
      <c r="Z426" s="118"/>
      <c r="AA426" s="118"/>
      <c r="AB426" s="118"/>
      <c r="AC426" s="118"/>
      <c r="AD426" s="111"/>
      <c r="AE426" s="73"/>
      <c r="AF426" s="73"/>
    </row>
    <row r="427" ht="22.5" customHeight="1">
      <c r="A427" s="73"/>
      <c r="B427" s="73"/>
      <c r="C427" s="73"/>
      <c r="D427" s="73"/>
      <c r="E427" s="330"/>
      <c r="F427" s="118"/>
      <c r="G427" s="118"/>
      <c r="H427" s="118"/>
      <c r="I427" s="118"/>
      <c r="J427" s="119"/>
      <c r="K427" s="120"/>
      <c r="L427" s="120"/>
      <c r="M427" s="120"/>
      <c r="N427" s="120"/>
      <c r="O427" s="118"/>
      <c r="P427" s="120"/>
      <c r="Q427" s="121"/>
      <c r="R427" s="109" t="b">
        <v>0</v>
      </c>
      <c r="S427" s="143" t="str">
        <f t="shared" si="1"/>
        <v>Suspenso</v>
      </c>
      <c r="T427" s="118"/>
      <c r="U427" s="118"/>
      <c r="V427" s="118"/>
      <c r="W427" s="118"/>
      <c r="X427" s="118"/>
      <c r="Y427" s="118"/>
      <c r="Z427" s="118"/>
      <c r="AA427" s="118"/>
      <c r="AB427" s="118"/>
      <c r="AC427" s="118"/>
      <c r="AD427" s="111"/>
      <c r="AE427" s="73"/>
      <c r="AF427" s="73"/>
    </row>
    <row r="428" ht="22.5" customHeight="1">
      <c r="A428" s="73"/>
      <c r="B428" s="73"/>
      <c r="C428" s="73"/>
      <c r="D428" s="73"/>
      <c r="E428" s="330"/>
      <c r="F428" s="118"/>
      <c r="G428" s="118"/>
      <c r="H428" s="118"/>
      <c r="I428" s="118"/>
      <c r="J428" s="119"/>
      <c r="K428" s="120"/>
      <c r="L428" s="120"/>
      <c r="M428" s="120"/>
      <c r="N428" s="120"/>
      <c r="O428" s="118"/>
      <c r="P428" s="120"/>
      <c r="Q428" s="121"/>
      <c r="R428" s="109" t="b">
        <v>0</v>
      </c>
      <c r="S428" s="143" t="str">
        <f t="shared" si="1"/>
        <v>Suspenso</v>
      </c>
      <c r="T428" s="118"/>
      <c r="U428" s="118"/>
      <c r="V428" s="118"/>
      <c r="W428" s="118"/>
      <c r="X428" s="118"/>
      <c r="Y428" s="118"/>
      <c r="Z428" s="118"/>
      <c r="AA428" s="118"/>
      <c r="AB428" s="118"/>
      <c r="AC428" s="118"/>
      <c r="AD428" s="111"/>
      <c r="AE428" s="73"/>
      <c r="AF428" s="73"/>
    </row>
    <row r="429" ht="22.5" customHeight="1">
      <c r="A429" s="73"/>
      <c r="B429" s="73"/>
      <c r="C429" s="73"/>
      <c r="D429" s="73"/>
      <c r="E429" s="330"/>
      <c r="F429" s="118"/>
      <c r="G429" s="118"/>
      <c r="H429" s="118"/>
      <c r="I429" s="118"/>
      <c r="J429" s="119"/>
      <c r="K429" s="120"/>
      <c r="L429" s="120"/>
      <c r="M429" s="120"/>
      <c r="N429" s="120"/>
      <c r="O429" s="118"/>
      <c r="P429" s="120"/>
      <c r="Q429" s="121"/>
      <c r="R429" s="109" t="b">
        <v>0</v>
      </c>
      <c r="S429" s="143" t="str">
        <f t="shared" si="1"/>
        <v>Suspenso</v>
      </c>
      <c r="T429" s="118"/>
      <c r="U429" s="118"/>
      <c r="V429" s="118"/>
      <c r="W429" s="118"/>
      <c r="X429" s="118"/>
      <c r="Y429" s="118"/>
      <c r="Z429" s="118"/>
      <c r="AA429" s="118"/>
      <c r="AB429" s="118"/>
      <c r="AC429" s="118"/>
      <c r="AD429" s="111"/>
      <c r="AE429" s="73"/>
      <c r="AF429" s="73"/>
    </row>
    <row r="430" ht="22.5" customHeight="1">
      <c r="A430" s="73"/>
      <c r="B430" s="73"/>
      <c r="C430" s="73"/>
      <c r="D430" s="73"/>
      <c r="E430" s="330"/>
      <c r="F430" s="118"/>
      <c r="G430" s="118"/>
      <c r="H430" s="118"/>
      <c r="I430" s="118"/>
      <c r="J430" s="119"/>
      <c r="K430" s="120"/>
      <c r="L430" s="120"/>
      <c r="M430" s="120"/>
      <c r="N430" s="120"/>
      <c r="O430" s="118"/>
      <c r="P430" s="120"/>
      <c r="Q430" s="121"/>
      <c r="R430" s="109" t="b">
        <v>0</v>
      </c>
      <c r="S430" s="143" t="str">
        <f t="shared" si="1"/>
        <v>Suspenso</v>
      </c>
      <c r="T430" s="118"/>
      <c r="U430" s="118"/>
      <c r="V430" s="118"/>
      <c r="W430" s="118"/>
      <c r="X430" s="118"/>
      <c r="Y430" s="118"/>
      <c r="Z430" s="118"/>
      <c r="AA430" s="118"/>
      <c r="AB430" s="118"/>
      <c r="AC430" s="118"/>
      <c r="AD430" s="111"/>
      <c r="AE430" s="73"/>
      <c r="AF430" s="73"/>
    </row>
    <row r="431" ht="22.5" customHeight="1">
      <c r="A431" s="73"/>
      <c r="B431" s="73"/>
      <c r="C431" s="73"/>
      <c r="D431" s="73"/>
      <c r="E431" s="330"/>
      <c r="F431" s="118"/>
      <c r="G431" s="118"/>
      <c r="H431" s="118"/>
      <c r="I431" s="118"/>
      <c r="J431" s="119"/>
      <c r="K431" s="120"/>
      <c r="L431" s="120"/>
      <c r="M431" s="120"/>
      <c r="N431" s="120"/>
      <c r="O431" s="118"/>
      <c r="P431" s="120"/>
      <c r="Q431" s="121"/>
      <c r="R431" s="109" t="b">
        <v>0</v>
      </c>
      <c r="S431" s="143" t="str">
        <f t="shared" si="1"/>
        <v>Suspenso</v>
      </c>
      <c r="T431" s="118"/>
      <c r="U431" s="118"/>
      <c r="V431" s="118"/>
      <c r="W431" s="118"/>
      <c r="X431" s="118"/>
      <c r="Y431" s="118"/>
      <c r="Z431" s="118"/>
      <c r="AA431" s="118"/>
      <c r="AB431" s="118"/>
      <c r="AC431" s="118"/>
      <c r="AD431" s="111"/>
      <c r="AE431" s="73"/>
      <c r="AF431" s="73"/>
    </row>
    <row r="432" ht="22.5" customHeight="1">
      <c r="A432" s="73"/>
      <c r="B432" s="73"/>
      <c r="C432" s="73"/>
      <c r="D432" s="73"/>
      <c r="E432" s="330"/>
      <c r="F432" s="118"/>
      <c r="G432" s="118"/>
      <c r="H432" s="118"/>
      <c r="I432" s="118"/>
      <c r="J432" s="119"/>
      <c r="K432" s="120"/>
      <c r="L432" s="120"/>
      <c r="M432" s="120"/>
      <c r="N432" s="120"/>
      <c r="O432" s="118"/>
      <c r="P432" s="120"/>
      <c r="Q432" s="121"/>
      <c r="R432" s="109" t="b">
        <v>0</v>
      </c>
      <c r="S432" s="143" t="str">
        <f t="shared" si="1"/>
        <v>Suspenso</v>
      </c>
      <c r="T432" s="118"/>
      <c r="U432" s="118"/>
      <c r="V432" s="118"/>
      <c r="W432" s="118"/>
      <c r="X432" s="118"/>
      <c r="Y432" s="118"/>
      <c r="Z432" s="118"/>
      <c r="AA432" s="118"/>
      <c r="AB432" s="118"/>
      <c r="AC432" s="118"/>
      <c r="AD432" s="111"/>
      <c r="AE432" s="73"/>
      <c r="AF432" s="73"/>
    </row>
    <row r="433" ht="22.5" customHeight="1">
      <c r="A433" s="73"/>
      <c r="B433" s="73"/>
      <c r="C433" s="73"/>
      <c r="D433" s="73"/>
      <c r="E433" s="330"/>
      <c r="F433" s="118"/>
      <c r="G433" s="118"/>
      <c r="H433" s="118"/>
      <c r="I433" s="118"/>
      <c r="J433" s="119"/>
      <c r="K433" s="120"/>
      <c r="L433" s="120"/>
      <c r="M433" s="120"/>
      <c r="N433" s="120"/>
      <c r="O433" s="118"/>
      <c r="P433" s="120"/>
      <c r="Q433" s="121"/>
      <c r="R433" s="109" t="b">
        <v>0</v>
      </c>
      <c r="S433" s="143" t="str">
        <f t="shared" si="1"/>
        <v>Suspenso</v>
      </c>
      <c r="T433" s="118"/>
      <c r="U433" s="118"/>
      <c r="V433" s="118"/>
      <c r="W433" s="118"/>
      <c r="X433" s="118"/>
      <c r="Y433" s="118"/>
      <c r="Z433" s="118"/>
      <c r="AA433" s="118"/>
      <c r="AB433" s="118"/>
      <c r="AC433" s="118"/>
      <c r="AD433" s="111"/>
      <c r="AE433" s="73"/>
      <c r="AF433" s="73"/>
    </row>
    <row r="434" ht="22.5" customHeight="1">
      <c r="A434" s="73"/>
      <c r="B434" s="73"/>
      <c r="C434" s="73"/>
      <c r="D434" s="73"/>
      <c r="E434" s="330"/>
      <c r="F434" s="118"/>
      <c r="G434" s="118"/>
      <c r="H434" s="118"/>
      <c r="I434" s="118"/>
      <c r="J434" s="119"/>
      <c r="K434" s="120"/>
      <c r="L434" s="120"/>
      <c r="M434" s="120"/>
      <c r="N434" s="120"/>
      <c r="O434" s="118"/>
      <c r="P434" s="120"/>
      <c r="Q434" s="121"/>
      <c r="R434" s="109" t="b">
        <v>0</v>
      </c>
      <c r="S434" s="143" t="str">
        <f t="shared" si="1"/>
        <v>Suspenso</v>
      </c>
      <c r="T434" s="118"/>
      <c r="U434" s="118"/>
      <c r="V434" s="118"/>
      <c r="W434" s="118"/>
      <c r="X434" s="118"/>
      <c r="Y434" s="118"/>
      <c r="Z434" s="118"/>
      <c r="AA434" s="118"/>
      <c r="AB434" s="118"/>
      <c r="AC434" s="118"/>
      <c r="AD434" s="111"/>
      <c r="AE434" s="73"/>
      <c r="AF434" s="73"/>
    </row>
    <row r="435" ht="22.5" customHeight="1">
      <c r="A435" s="73"/>
      <c r="B435" s="73"/>
      <c r="C435" s="73"/>
      <c r="D435" s="73"/>
      <c r="E435" s="330"/>
      <c r="F435" s="118"/>
      <c r="G435" s="118"/>
      <c r="H435" s="118"/>
      <c r="I435" s="118"/>
      <c r="J435" s="119"/>
      <c r="K435" s="120"/>
      <c r="L435" s="120"/>
      <c r="M435" s="120"/>
      <c r="N435" s="120"/>
      <c r="O435" s="118"/>
      <c r="P435" s="120"/>
      <c r="Q435" s="121"/>
      <c r="R435" s="109" t="b">
        <v>0</v>
      </c>
      <c r="S435" s="143" t="str">
        <f t="shared" si="1"/>
        <v>Suspenso</v>
      </c>
      <c r="T435" s="118"/>
      <c r="U435" s="118"/>
      <c r="V435" s="118"/>
      <c r="W435" s="118"/>
      <c r="X435" s="118"/>
      <c r="Y435" s="118"/>
      <c r="Z435" s="118"/>
      <c r="AA435" s="118"/>
      <c r="AB435" s="118"/>
      <c r="AC435" s="118"/>
      <c r="AD435" s="111"/>
      <c r="AE435" s="73"/>
      <c r="AF435" s="73"/>
    </row>
    <row r="436" ht="22.5" customHeight="1">
      <c r="A436" s="73"/>
      <c r="B436" s="73"/>
      <c r="C436" s="73"/>
      <c r="D436" s="73"/>
      <c r="E436" s="330"/>
      <c r="F436" s="118"/>
      <c r="G436" s="118"/>
      <c r="H436" s="118"/>
      <c r="I436" s="118"/>
      <c r="J436" s="119"/>
      <c r="K436" s="120"/>
      <c r="L436" s="120"/>
      <c r="M436" s="120"/>
      <c r="N436" s="120"/>
      <c r="O436" s="118"/>
      <c r="P436" s="120"/>
      <c r="Q436" s="121"/>
      <c r="R436" s="109" t="b">
        <v>0</v>
      </c>
      <c r="S436" s="143" t="str">
        <f t="shared" si="1"/>
        <v>Suspenso</v>
      </c>
      <c r="T436" s="118"/>
      <c r="U436" s="118"/>
      <c r="V436" s="118"/>
      <c r="W436" s="118"/>
      <c r="X436" s="118"/>
      <c r="Y436" s="118"/>
      <c r="Z436" s="118"/>
      <c r="AA436" s="118"/>
      <c r="AB436" s="118"/>
      <c r="AC436" s="118"/>
      <c r="AD436" s="111"/>
      <c r="AE436" s="73"/>
      <c r="AF436" s="73"/>
    </row>
    <row r="437" ht="22.5" customHeight="1">
      <c r="A437" s="73"/>
      <c r="B437" s="73"/>
      <c r="C437" s="73"/>
      <c r="D437" s="73"/>
      <c r="E437" s="330"/>
      <c r="F437" s="118"/>
      <c r="G437" s="118"/>
      <c r="H437" s="118"/>
      <c r="I437" s="118"/>
      <c r="J437" s="119"/>
      <c r="K437" s="120"/>
      <c r="L437" s="120"/>
      <c r="M437" s="120"/>
      <c r="N437" s="120"/>
      <c r="O437" s="118"/>
      <c r="P437" s="120"/>
      <c r="Q437" s="121"/>
      <c r="R437" s="109" t="b">
        <v>0</v>
      </c>
      <c r="S437" s="143" t="str">
        <f t="shared" si="1"/>
        <v>Suspenso</v>
      </c>
      <c r="T437" s="118"/>
      <c r="U437" s="118"/>
      <c r="V437" s="118"/>
      <c r="W437" s="118"/>
      <c r="X437" s="118"/>
      <c r="Y437" s="118"/>
      <c r="Z437" s="118"/>
      <c r="AA437" s="118"/>
      <c r="AB437" s="118"/>
      <c r="AC437" s="118"/>
      <c r="AD437" s="111"/>
      <c r="AE437" s="73"/>
      <c r="AF437" s="73"/>
    </row>
    <row r="438" ht="22.5" customHeight="1">
      <c r="A438" s="73"/>
      <c r="B438" s="73"/>
      <c r="C438" s="73"/>
      <c r="D438" s="73"/>
      <c r="E438" s="330"/>
      <c r="F438" s="118"/>
      <c r="G438" s="118"/>
      <c r="H438" s="118"/>
      <c r="I438" s="118"/>
      <c r="J438" s="119"/>
      <c r="K438" s="120"/>
      <c r="L438" s="120"/>
      <c r="M438" s="120"/>
      <c r="N438" s="120"/>
      <c r="O438" s="118"/>
      <c r="P438" s="120"/>
      <c r="Q438" s="121"/>
      <c r="R438" s="109" t="b">
        <v>0</v>
      </c>
      <c r="S438" s="143" t="str">
        <f t="shared" si="1"/>
        <v>Suspenso</v>
      </c>
      <c r="T438" s="118"/>
      <c r="U438" s="118"/>
      <c r="V438" s="118"/>
      <c r="W438" s="118"/>
      <c r="X438" s="118"/>
      <c r="Y438" s="118"/>
      <c r="Z438" s="118"/>
      <c r="AA438" s="118"/>
      <c r="AB438" s="118"/>
      <c r="AC438" s="118"/>
      <c r="AD438" s="111"/>
      <c r="AE438" s="73"/>
      <c r="AF438" s="73"/>
    </row>
    <row r="439" ht="22.5" customHeight="1">
      <c r="A439" s="73"/>
      <c r="B439" s="73"/>
      <c r="C439" s="73"/>
      <c r="D439" s="73"/>
      <c r="E439" s="330"/>
      <c r="F439" s="118"/>
      <c r="G439" s="118"/>
      <c r="H439" s="118"/>
      <c r="I439" s="118"/>
      <c r="J439" s="119"/>
      <c r="K439" s="120"/>
      <c r="L439" s="120"/>
      <c r="M439" s="120"/>
      <c r="N439" s="120"/>
      <c r="O439" s="118"/>
      <c r="P439" s="120"/>
      <c r="Q439" s="121"/>
      <c r="R439" s="109" t="b">
        <v>0</v>
      </c>
      <c r="S439" s="143" t="str">
        <f t="shared" si="1"/>
        <v>Suspenso</v>
      </c>
      <c r="T439" s="118"/>
      <c r="U439" s="118"/>
      <c r="V439" s="118"/>
      <c r="W439" s="118"/>
      <c r="X439" s="118"/>
      <c r="Y439" s="118"/>
      <c r="Z439" s="118"/>
      <c r="AA439" s="118"/>
      <c r="AB439" s="118"/>
      <c r="AC439" s="118"/>
      <c r="AD439" s="111"/>
      <c r="AE439" s="73"/>
      <c r="AF439" s="73"/>
    </row>
    <row r="440" ht="22.5" customHeight="1">
      <c r="A440" s="73"/>
      <c r="B440" s="73"/>
      <c r="C440" s="73"/>
      <c r="D440" s="73"/>
      <c r="E440" s="330"/>
      <c r="F440" s="118"/>
      <c r="G440" s="118"/>
      <c r="H440" s="118"/>
      <c r="I440" s="118"/>
      <c r="J440" s="119"/>
      <c r="K440" s="120"/>
      <c r="L440" s="120"/>
      <c r="M440" s="120"/>
      <c r="N440" s="120"/>
      <c r="O440" s="118"/>
      <c r="P440" s="120"/>
      <c r="Q440" s="121"/>
      <c r="R440" s="109" t="b">
        <v>0</v>
      </c>
      <c r="S440" s="143" t="str">
        <f t="shared" si="1"/>
        <v>Suspenso</v>
      </c>
      <c r="T440" s="118"/>
      <c r="U440" s="118"/>
      <c r="V440" s="118"/>
      <c r="W440" s="118"/>
      <c r="X440" s="118"/>
      <c r="Y440" s="118"/>
      <c r="Z440" s="118"/>
      <c r="AA440" s="118"/>
      <c r="AB440" s="118"/>
      <c r="AC440" s="118"/>
      <c r="AD440" s="111"/>
      <c r="AE440" s="73"/>
      <c r="AF440" s="73"/>
    </row>
    <row r="441" ht="22.5" customHeight="1">
      <c r="A441" s="73"/>
      <c r="B441" s="73"/>
      <c r="C441" s="73"/>
      <c r="D441" s="73"/>
      <c r="E441" s="330"/>
      <c r="F441" s="118"/>
      <c r="G441" s="118"/>
      <c r="H441" s="118"/>
      <c r="I441" s="118"/>
      <c r="J441" s="119"/>
      <c r="K441" s="120"/>
      <c r="L441" s="120"/>
      <c r="M441" s="120"/>
      <c r="N441" s="120"/>
      <c r="O441" s="118"/>
      <c r="P441" s="120"/>
      <c r="Q441" s="121"/>
      <c r="R441" s="109" t="b">
        <v>0</v>
      </c>
      <c r="S441" s="143" t="str">
        <f t="shared" si="1"/>
        <v>Suspenso</v>
      </c>
      <c r="T441" s="118"/>
      <c r="U441" s="118"/>
      <c r="V441" s="118"/>
      <c r="W441" s="118"/>
      <c r="X441" s="118"/>
      <c r="Y441" s="118"/>
      <c r="Z441" s="118"/>
      <c r="AA441" s="118"/>
      <c r="AB441" s="118"/>
      <c r="AC441" s="118"/>
      <c r="AD441" s="111"/>
      <c r="AE441" s="73"/>
      <c r="AF441" s="73"/>
    </row>
    <row r="442" ht="22.5" customHeight="1">
      <c r="A442" s="73"/>
      <c r="B442" s="73"/>
      <c r="C442" s="73"/>
      <c r="D442" s="73"/>
      <c r="E442" s="330"/>
      <c r="F442" s="118"/>
      <c r="G442" s="118"/>
      <c r="H442" s="118"/>
      <c r="I442" s="118"/>
      <c r="J442" s="119"/>
      <c r="K442" s="120"/>
      <c r="L442" s="120"/>
      <c r="M442" s="120"/>
      <c r="N442" s="120"/>
      <c r="O442" s="118"/>
      <c r="P442" s="120"/>
      <c r="Q442" s="121"/>
      <c r="R442" s="109" t="b">
        <v>0</v>
      </c>
      <c r="S442" s="143" t="str">
        <f t="shared" si="1"/>
        <v>Suspenso</v>
      </c>
      <c r="T442" s="118"/>
      <c r="U442" s="118"/>
      <c r="V442" s="118"/>
      <c r="W442" s="118"/>
      <c r="X442" s="118"/>
      <c r="Y442" s="118"/>
      <c r="Z442" s="118"/>
      <c r="AA442" s="118"/>
      <c r="AB442" s="118"/>
      <c r="AC442" s="118"/>
      <c r="AD442" s="111"/>
      <c r="AE442" s="73"/>
      <c r="AF442" s="73"/>
    </row>
    <row r="443" ht="22.5" customHeight="1">
      <c r="A443" s="73"/>
      <c r="B443" s="73"/>
      <c r="C443" s="73"/>
      <c r="D443" s="73"/>
      <c r="E443" s="330"/>
      <c r="F443" s="118"/>
      <c r="G443" s="118"/>
      <c r="H443" s="118"/>
      <c r="I443" s="118"/>
      <c r="J443" s="119"/>
      <c r="K443" s="120"/>
      <c r="L443" s="120"/>
      <c r="M443" s="120"/>
      <c r="N443" s="120"/>
      <c r="O443" s="118"/>
      <c r="P443" s="120"/>
      <c r="Q443" s="121"/>
      <c r="R443" s="109" t="b">
        <v>0</v>
      </c>
      <c r="S443" s="143" t="str">
        <f t="shared" si="1"/>
        <v>Suspenso</v>
      </c>
      <c r="T443" s="118"/>
      <c r="U443" s="118"/>
      <c r="V443" s="118"/>
      <c r="W443" s="118"/>
      <c r="X443" s="118"/>
      <c r="Y443" s="118"/>
      <c r="Z443" s="118"/>
      <c r="AA443" s="118"/>
      <c r="AB443" s="118"/>
      <c r="AC443" s="118"/>
      <c r="AD443" s="111"/>
      <c r="AE443" s="73"/>
      <c r="AF443" s="73"/>
    </row>
    <row r="444" ht="22.5" customHeight="1">
      <c r="A444" s="73"/>
      <c r="B444" s="73"/>
      <c r="C444" s="73"/>
      <c r="D444" s="73"/>
      <c r="E444" s="330"/>
      <c r="F444" s="118"/>
      <c r="G444" s="118"/>
      <c r="H444" s="118"/>
      <c r="I444" s="118"/>
      <c r="J444" s="119"/>
      <c r="K444" s="120"/>
      <c r="L444" s="120"/>
      <c r="M444" s="120"/>
      <c r="N444" s="120"/>
      <c r="O444" s="118"/>
      <c r="P444" s="120"/>
      <c r="Q444" s="121"/>
      <c r="R444" s="109" t="b">
        <v>0</v>
      </c>
      <c r="S444" s="143" t="str">
        <f t="shared" si="1"/>
        <v>Suspenso</v>
      </c>
      <c r="T444" s="118"/>
      <c r="U444" s="118"/>
      <c r="V444" s="118"/>
      <c r="W444" s="118"/>
      <c r="X444" s="118"/>
      <c r="Y444" s="118"/>
      <c r="Z444" s="118"/>
      <c r="AA444" s="118"/>
      <c r="AB444" s="118"/>
      <c r="AC444" s="118"/>
      <c r="AD444" s="111"/>
      <c r="AE444" s="73"/>
      <c r="AF444" s="73"/>
    </row>
    <row r="445" ht="22.5" customHeight="1">
      <c r="A445" s="73"/>
      <c r="B445" s="73"/>
      <c r="C445" s="73"/>
      <c r="D445" s="73"/>
      <c r="E445" s="330"/>
      <c r="F445" s="118"/>
      <c r="G445" s="118"/>
      <c r="H445" s="118"/>
      <c r="I445" s="118"/>
      <c r="J445" s="119"/>
      <c r="K445" s="120"/>
      <c r="L445" s="120"/>
      <c r="M445" s="120"/>
      <c r="N445" s="120"/>
      <c r="O445" s="118"/>
      <c r="P445" s="120"/>
      <c r="Q445" s="121"/>
      <c r="R445" s="109" t="b">
        <v>0</v>
      </c>
      <c r="S445" s="143" t="str">
        <f t="shared" si="1"/>
        <v>Suspenso</v>
      </c>
      <c r="T445" s="118"/>
      <c r="U445" s="118"/>
      <c r="V445" s="118"/>
      <c r="W445" s="118"/>
      <c r="X445" s="118"/>
      <c r="Y445" s="118"/>
      <c r="Z445" s="118"/>
      <c r="AA445" s="118"/>
      <c r="AB445" s="118"/>
      <c r="AC445" s="118"/>
      <c r="AD445" s="111"/>
      <c r="AE445" s="73"/>
      <c r="AF445" s="73"/>
    </row>
    <row r="446" ht="22.5" customHeight="1">
      <c r="A446" s="73"/>
      <c r="B446" s="73"/>
      <c r="C446" s="73"/>
      <c r="D446" s="73"/>
      <c r="E446" s="330"/>
      <c r="F446" s="118"/>
      <c r="G446" s="118"/>
      <c r="H446" s="118"/>
      <c r="I446" s="118"/>
      <c r="J446" s="119"/>
      <c r="K446" s="120"/>
      <c r="L446" s="120"/>
      <c r="M446" s="120"/>
      <c r="N446" s="120"/>
      <c r="O446" s="118"/>
      <c r="P446" s="120"/>
      <c r="Q446" s="121"/>
      <c r="R446" s="109" t="b">
        <v>0</v>
      </c>
      <c r="S446" s="143" t="str">
        <f t="shared" si="1"/>
        <v>Suspenso</v>
      </c>
      <c r="T446" s="118"/>
      <c r="U446" s="118"/>
      <c r="V446" s="118"/>
      <c r="W446" s="118"/>
      <c r="X446" s="118"/>
      <c r="Y446" s="118"/>
      <c r="Z446" s="118"/>
      <c r="AA446" s="118"/>
      <c r="AB446" s="118"/>
      <c r="AC446" s="118"/>
      <c r="AD446" s="111"/>
      <c r="AE446" s="73"/>
      <c r="AF446" s="73"/>
    </row>
    <row r="447" ht="22.5" customHeight="1">
      <c r="A447" s="73"/>
      <c r="B447" s="73"/>
      <c r="C447" s="73"/>
      <c r="D447" s="73"/>
      <c r="E447" s="330"/>
      <c r="F447" s="118"/>
      <c r="G447" s="118"/>
      <c r="H447" s="118"/>
      <c r="I447" s="118"/>
      <c r="J447" s="119"/>
      <c r="K447" s="120"/>
      <c r="L447" s="120"/>
      <c r="M447" s="120"/>
      <c r="N447" s="120"/>
      <c r="O447" s="118"/>
      <c r="P447" s="120"/>
      <c r="Q447" s="121"/>
      <c r="R447" s="109" t="b">
        <v>0</v>
      </c>
      <c r="S447" s="143" t="str">
        <f t="shared" si="1"/>
        <v>Suspenso</v>
      </c>
      <c r="T447" s="118"/>
      <c r="U447" s="118"/>
      <c r="V447" s="118"/>
      <c r="W447" s="118"/>
      <c r="X447" s="118"/>
      <c r="Y447" s="118"/>
      <c r="Z447" s="118"/>
      <c r="AA447" s="118"/>
      <c r="AB447" s="118"/>
      <c r="AC447" s="118"/>
      <c r="AD447" s="111"/>
      <c r="AE447" s="73"/>
      <c r="AF447" s="73"/>
    </row>
    <row r="448" ht="22.5" customHeight="1">
      <c r="A448" s="73"/>
      <c r="B448" s="73"/>
      <c r="C448" s="73"/>
      <c r="D448" s="73"/>
      <c r="E448" s="330"/>
      <c r="F448" s="118"/>
      <c r="G448" s="118"/>
      <c r="H448" s="118"/>
      <c r="I448" s="118"/>
      <c r="J448" s="119"/>
      <c r="K448" s="120"/>
      <c r="L448" s="120"/>
      <c r="M448" s="120"/>
      <c r="N448" s="120"/>
      <c r="O448" s="118"/>
      <c r="P448" s="120"/>
      <c r="Q448" s="121"/>
      <c r="R448" s="109" t="b">
        <v>0</v>
      </c>
      <c r="S448" s="143" t="str">
        <f t="shared" si="1"/>
        <v>Suspenso</v>
      </c>
      <c r="T448" s="118"/>
      <c r="U448" s="118"/>
      <c r="V448" s="118"/>
      <c r="W448" s="118"/>
      <c r="X448" s="118"/>
      <c r="Y448" s="118"/>
      <c r="Z448" s="118"/>
      <c r="AA448" s="118"/>
      <c r="AB448" s="118"/>
      <c r="AC448" s="118"/>
      <c r="AD448" s="111"/>
      <c r="AE448" s="73"/>
      <c r="AF448" s="73"/>
    </row>
    <row r="449" ht="22.5" customHeight="1">
      <c r="A449" s="73"/>
      <c r="B449" s="73"/>
      <c r="C449" s="73"/>
      <c r="D449" s="73"/>
      <c r="E449" s="330"/>
      <c r="F449" s="118"/>
      <c r="G449" s="118"/>
      <c r="H449" s="118"/>
      <c r="I449" s="118"/>
      <c r="J449" s="119"/>
      <c r="K449" s="120"/>
      <c r="L449" s="120"/>
      <c r="M449" s="120"/>
      <c r="N449" s="120"/>
      <c r="O449" s="118"/>
      <c r="P449" s="120"/>
      <c r="Q449" s="121"/>
      <c r="R449" s="109" t="b">
        <v>0</v>
      </c>
      <c r="S449" s="143" t="str">
        <f t="shared" si="1"/>
        <v>Suspenso</v>
      </c>
      <c r="T449" s="118"/>
      <c r="U449" s="118"/>
      <c r="V449" s="118"/>
      <c r="W449" s="118"/>
      <c r="X449" s="118"/>
      <c r="Y449" s="118"/>
      <c r="Z449" s="118"/>
      <c r="AA449" s="118"/>
      <c r="AB449" s="118"/>
      <c r="AC449" s="118"/>
      <c r="AD449" s="111"/>
      <c r="AE449" s="73"/>
      <c r="AF449" s="73"/>
    </row>
    <row r="450" ht="22.5" customHeight="1">
      <c r="A450" s="73"/>
      <c r="B450" s="73"/>
      <c r="C450" s="73"/>
      <c r="D450" s="73"/>
      <c r="E450" s="330"/>
      <c r="F450" s="118"/>
      <c r="G450" s="118"/>
      <c r="H450" s="118"/>
      <c r="I450" s="118"/>
      <c r="J450" s="119"/>
      <c r="K450" s="120"/>
      <c r="L450" s="120"/>
      <c r="M450" s="120"/>
      <c r="N450" s="120"/>
      <c r="O450" s="118"/>
      <c r="P450" s="120"/>
      <c r="Q450" s="121"/>
      <c r="R450" s="109" t="b">
        <v>0</v>
      </c>
      <c r="S450" s="143" t="str">
        <f t="shared" si="1"/>
        <v>Suspenso</v>
      </c>
      <c r="T450" s="118"/>
      <c r="U450" s="118"/>
      <c r="V450" s="118"/>
      <c r="W450" s="118"/>
      <c r="X450" s="118"/>
      <c r="Y450" s="118"/>
      <c r="Z450" s="118"/>
      <c r="AA450" s="118"/>
      <c r="AB450" s="118"/>
      <c r="AC450" s="118"/>
      <c r="AD450" s="111"/>
      <c r="AE450" s="73"/>
      <c r="AF450" s="73"/>
    </row>
    <row r="451" ht="22.5" customHeight="1">
      <c r="A451" s="73"/>
      <c r="B451" s="73"/>
      <c r="C451" s="73"/>
      <c r="D451" s="73"/>
      <c r="E451" s="330"/>
      <c r="F451" s="118"/>
      <c r="G451" s="118"/>
      <c r="H451" s="118"/>
      <c r="I451" s="118"/>
      <c r="J451" s="119"/>
      <c r="K451" s="120"/>
      <c r="L451" s="120"/>
      <c r="M451" s="120"/>
      <c r="N451" s="120"/>
      <c r="O451" s="118"/>
      <c r="P451" s="120"/>
      <c r="Q451" s="121"/>
      <c r="R451" s="109" t="b">
        <v>0</v>
      </c>
      <c r="S451" s="143" t="str">
        <f t="shared" si="1"/>
        <v>Suspenso</v>
      </c>
      <c r="T451" s="118"/>
      <c r="U451" s="118"/>
      <c r="V451" s="118"/>
      <c r="W451" s="118"/>
      <c r="X451" s="118"/>
      <c r="Y451" s="118"/>
      <c r="Z451" s="118"/>
      <c r="AA451" s="118"/>
      <c r="AB451" s="118"/>
      <c r="AC451" s="118"/>
      <c r="AD451" s="111"/>
      <c r="AE451" s="73"/>
      <c r="AF451" s="73"/>
    </row>
    <row r="452" ht="22.5" customHeight="1">
      <c r="A452" s="73"/>
      <c r="B452" s="73"/>
      <c r="C452" s="73"/>
      <c r="D452" s="73"/>
      <c r="E452" s="330"/>
      <c r="F452" s="118"/>
      <c r="G452" s="118"/>
      <c r="H452" s="118"/>
      <c r="I452" s="118"/>
      <c r="J452" s="119"/>
      <c r="K452" s="120"/>
      <c r="L452" s="120"/>
      <c r="M452" s="120"/>
      <c r="N452" s="120"/>
      <c r="O452" s="118"/>
      <c r="P452" s="120"/>
      <c r="Q452" s="121"/>
      <c r="R452" s="109" t="b">
        <v>0</v>
      </c>
      <c r="S452" s="143" t="str">
        <f t="shared" si="1"/>
        <v>Suspenso</v>
      </c>
      <c r="T452" s="118"/>
      <c r="U452" s="118"/>
      <c r="V452" s="118"/>
      <c r="W452" s="118"/>
      <c r="X452" s="118"/>
      <c r="Y452" s="118"/>
      <c r="Z452" s="118"/>
      <c r="AA452" s="118"/>
      <c r="AB452" s="118"/>
      <c r="AC452" s="118"/>
      <c r="AD452" s="111"/>
      <c r="AE452" s="73"/>
      <c r="AF452" s="73"/>
    </row>
    <row r="453" ht="22.5" customHeight="1">
      <c r="A453" s="73"/>
      <c r="B453" s="73"/>
      <c r="C453" s="73"/>
      <c r="D453" s="73"/>
      <c r="E453" s="330"/>
      <c r="F453" s="118"/>
      <c r="G453" s="118"/>
      <c r="H453" s="118"/>
      <c r="I453" s="118"/>
      <c r="J453" s="119"/>
      <c r="K453" s="120"/>
      <c r="L453" s="120"/>
      <c r="M453" s="120"/>
      <c r="N453" s="120"/>
      <c r="O453" s="118"/>
      <c r="P453" s="120"/>
      <c r="Q453" s="121"/>
      <c r="R453" s="109" t="b">
        <v>0</v>
      </c>
      <c r="S453" s="143" t="str">
        <f t="shared" si="1"/>
        <v>Suspenso</v>
      </c>
      <c r="T453" s="118"/>
      <c r="U453" s="118"/>
      <c r="V453" s="118"/>
      <c r="W453" s="118"/>
      <c r="X453" s="118"/>
      <c r="Y453" s="118"/>
      <c r="Z453" s="118"/>
      <c r="AA453" s="118"/>
      <c r="AB453" s="118"/>
      <c r="AC453" s="118"/>
      <c r="AD453" s="111"/>
      <c r="AE453" s="73"/>
      <c r="AF453" s="73"/>
    </row>
    <row r="454" ht="22.5" customHeight="1">
      <c r="A454" s="73"/>
      <c r="B454" s="73"/>
      <c r="C454" s="73"/>
      <c r="D454" s="73"/>
      <c r="E454" s="330"/>
      <c r="F454" s="118"/>
      <c r="G454" s="118"/>
      <c r="H454" s="118"/>
      <c r="I454" s="118"/>
      <c r="J454" s="119"/>
      <c r="K454" s="120"/>
      <c r="L454" s="120"/>
      <c r="M454" s="120"/>
      <c r="N454" s="120"/>
      <c r="O454" s="118"/>
      <c r="P454" s="120"/>
      <c r="Q454" s="121"/>
      <c r="R454" s="109" t="b">
        <v>0</v>
      </c>
      <c r="S454" s="143" t="str">
        <f t="shared" si="1"/>
        <v>Suspenso</v>
      </c>
      <c r="T454" s="118"/>
      <c r="U454" s="118"/>
      <c r="V454" s="118"/>
      <c r="W454" s="118"/>
      <c r="X454" s="118"/>
      <c r="Y454" s="118"/>
      <c r="Z454" s="118"/>
      <c r="AA454" s="118"/>
      <c r="AB454" s="118"/>
      <c r="AC454" s="118"/>
      <c r="AD454" s="111"/>
      <c r="AE454" s="73"/>
      <c r="AF454" s="73"/>
    </row>
    <row r="455" ht="22.5" customHeight="1">
      <c r="A455" s="73"/>
      <c r="B455" s="73"/>
      <c r="C455" s="73"/>
      <c r="D455" s="73"/>
      <c r="E455" s="330"/>
      <c r="F455" s="118"/>
      <c r="G455" s="118"/>
      <c r="H455" s="118"/>
      <c r="I455" s="118"/>
      <c r="J455" s="119"/>
      <c r="K455" s="120"/>
      <c r="L455" s="120"/>
      <c r="M455" s="120"/>
      <c r="N455" s="120"/>
      <c r="O455" s="118"/>
      <c r="P455" s="120"/>
      <c r="Q455" s="121"/>
      <c r="R455" s="109" t="b">
        <v>0</v>
      </c>
      <c r="S455" s="143" t="str">
        <f t="shared" si="1"/>
        <v>Suspenso</v>
      </c>
      <c r="T455" s="118"/>
      <c r="U455" s="118"/>
      <c r="V455" s="118"/>
      <c r="W455" s="118"/>
      <c r="X455" s="118"/>
      <c r="Y455" s="118"/>
      <c r="Z455" s="118"/>
      <c r="AA455" s="118"/>
      <c r="AB455" s="118"/>
      <c r="AC455" s="118"/>
      <c r="AD455" s="111"/>
      <c r="AE455" s="73"/>
      <c r="AF455" s="73"/>
    </row>
    <row r="456" ht="22.5" customHeight="1">
      <c r="A456" s="73"/>
      <c r="B456" s="73"/>
      <c r="C456" s="73"/>
      <c r="D456" s="73"/>
      <c r="E456" s="330"/>
      <c r="F456" s="118"/>
      <c r="G456" s="118"/>
      <c r="H456" s="118"/>
      <c r="I456" s="118"/>
      <c r="J456" s="119"/>
      <c r="K456" s="120"/>
      <c r="L456" s="120"/>
      <c r="M456" s="120"/>
      <c r="N456" s="120"/>
      <c r="O456" s="118"/>
      <c r="P456" s="120"/>
      <c r="Q456" s="121"/>
      <c r="R456" s="109" t="b">
        <v>0</v>
      </c>
      <c r="S456" s="143" t="str">
        <f t="shared" si="1"/>
        <v>Suspenso</v>
      </c>
      <c r="T456" s="118"/>
      <c r="U456" s="118"/>
      <c r="V456" s="118"/>
      <c r="W456" s="118"/>
      <c r="X456" s="118"/>
      <c r="Y456" s="118"/>
      <c r="Z456" s="118"/>
      <c r="AA456" s="118"/>
      <c r="AB456" s="118"/>
      <c r="AC456" s="118"/>
      <c r="AD456" s="111"/>
      <c r="AE456" s="73"/>
      <c r="AF456" s="73"/>
    </row>
    <row r="457" ht="22.5" customHeight="1">
      <c r="A457" s="73"/>
      <c r="B457" s="73"/>
      <c r="C457" s="73"/>
      <c r="D457" s="73"/>
      <c r="E457" s="330"/>
      <c r="F457" s="118"/>
      <c r="G457" s="118"/>
      <c r="H457" s="118"/>
      <c r="I457" s="118"/>
      <c r="J457" s="119"/>
      <c r="K457" s="120"/>
      <c r="L457" s="120"/>
      <c r="M457" s="120"/>
      <c r="N457" s="120"/>
      <c r="O457" s="118"/>
      <c r="P457" s="120"/>
      <c r="Q457" s="121"/>
      <c r="R457" s="109" t="b">
        <v>0</v>
      </c>
      <c r="S457" s="143" t="str">
        <f t="shared" si="1"/>
        <v>Suspenso</v>
      </c>
      <c r="T457" s="118"/>
      <c r="U457" s="118"/>
      <c r="V457" s="118"/>
      <c r="W457" s="118"/>
      <c r="X457" s="118"/>
      <c r="Y457" s="118"/>
      <c r="Z457" s="118"/>
      <c r="AA457" s="118"/>
      <c r="AB457" s="118"/>
      <c r="AC457" s="118"/>
      <c r="AD457" s="111"/>
      <c r="AE457" s="73"/>
      <c r="AF457" s="73"/>
    </row>
    <row r="458" ht="22.5" customHeight="1">
      <c r="A458" s="73"/>
      <c r="B458" s="73"/>
      <c r="C458" s="73"/>
      <c r="D458" s="73"/>
      <c r="E458" s="330"/>
      <c r="F458" s="118"/>
      <c r="G458" s="118"/>
      <c r="H458" s="118"/>
      <c r="I458" s="118"/>
      <c r="J458" s="119"/>
      <c r="K458" s="120"/>
      <c r="L458" s="120"/>
      <c r="M458" s="120"/>
      <c r="N458" s="120"/>
      <c r="O458" s="118"/>
      <c r="P458" s="120"/>
      <c r="Q458" s="121"/>
      <c r="R458" s="109" t="b">
        <v>0</v>
      </c>
      <c r="S458" s="143" t="str">
        <f t="shared" si="1"/>
        <v>Suspenso</v>
      </c>
      <c r="T458" s="118"/>
      <c r="U458" s="118"/>
      <c r="V458" s="118"/>
      <c r="W458" s="118"/>
      <c r="X458" s="118"/>
      <c r="Y458" s="118"/>
      <c r="Z458" s="118"/>
      <c r="AA458" s="118"/>
      <c r="AB458" s="118"/>
      <c r="AC458" s="118"/>
      <c r="AD458" s="111"/>
      <c r="AE458" s="73"/>
      <c r="AF458" s="73"/>
    </row>
    <row r="459" ht="22.5" customHeight="1">
      <c r="A459" s="73"/>
      <c r="B459" s="73"/>
      <c r="C459" s="73"/>
      <c r="D459" s="73"/>
      <c r="E459" s="330"/>
      <c r="F459" s="118"/>
      <c r="G459" s="118"/>
      <c r="H459" s="118"/>
      <c r="I459" s="118"/>
      <c r="J459" s="119"/>
      <c r="K459" s="120"/>
      <c r="L459" s="120"/>
      <c r="M459" s="120"/>
      <c r="N459" s="120"/>
      <c r="O459" s="118"/>
      <c r="P459" s="120"/>
      <c r="Q459" s="121"/>
      <c r="R459" s="109" t="b">
        <v>0</v>
      </c>
      <c r="S459" s="143" t="str">
        <f t="shared" si="1"/>
        <v>Suspenso</v>
      </c>
      <c r="T459" s="118"/>
      <c r="U459" s="118"/>
      <c r="V459" s="118"/>
      <c r="W459" s="118"/>
      <c r="X459" s="118"/>
      <c r="Y459" s="118"/>
      <c r="Z459" s="118"/>
      <c r="AA459" s="118"/>
      <c r="AB459" s="118"/>
      <c r="AC459" s="118"/>
      <c r="AD459" s="111"/>
      <c r="AE459" s="73"/>
      <c r="AF459" s="73"/>
    </row>
    <row r="460" ht="22.5" customHeight="1">
      <c r="A460" s="73"/>
      <c r="B460" s="73"/>
      <c r="C460" s="73"/>
      <c r="D460" s="73"/>
      <c r="E460" s="330"/>
      <c r="F460" s="118"/>
      <c r="G460" s="118"/>
      <c r="H460" s="118"/>
      <c r="I460" s="118"/>
      <c r="J460" s="119"/>
      <c r="K460" s="120"/>
      <c r="L460" s="120"/>
      <c r="M460" s="120"/>
      <c r="N460" s="120"/>
      <c r="O460" s="118"/>
      <c r="P460" s="120"/>
      <c r="Q460" s="121"/>
      <c r="R460" s="109" t="b">
        <v>0</v>
      </c>
      <c r="S460" s="143" t="str">
        <f t="shared" si="1"/>
        <v>Suspenso</v>
      </c>
      <c r="T460" s="118"/>
      <c r="U460" s="118"/>
      <c r="V460" s="118"/>
      <c r="W460" s="118"/>
      <c r="X460" s="118"/>
      <c r="Y460" s="118"/>
      <c r="Z460" s="118"/>
      <c r="AA460" s="118"/>
      <c r="AB460" s="118"/>
      <c r="AC460" s="118"/>
      <c r="AD460" s="111"/>
      <c r="AE460" s="73"/>
      <c r="AF460" s="73"/>
    </row>
    <row r="461" ht="22.5" customHeight="1">
      <c r="A461" s="73"/>
      <c r="B461" s="73"/>
      <c r="C461" s="73"/>
      <c r="D461" s="73"/>
      <c r="E461" s="330"/>
      <c r="F461" s="118"/>
      <c r="G461" s="118"/>
      <c r="H461" s="118"/>
      <c r="I461" s="118"/>
      <c r="J461" s="119"/>
      <c r="K461" s="120"/>
      <c r="L461" s="120"/>
      <c r="M461" s="120"/>
      <c r="N461" s="120"/>
      <c r="O461" s="118"/>
      <c r="P461" s="120"/>
      <c r="Q461" s="121"/>
      <c r="R461" s="109" t="b">
        <v>0</v>
      </c>
      <c r="S461" s="143" t="str">
        <f t="shared" si="1"/>
        <v>Suspenso</v>
      </c>
      <c r="T461" s="118"/>
      <c r="U461" s="118"/>
      <c r="V461" s="118"/>
      <c r="W461" s="118"/>
      <c r="X461" s="118"/>
      <c r="Y461" s="118"/>
      <c r="Z461" s="118"/>
      <c r="AA461" s="118"/>
      <c r="AB461" s="118"/>
      <c r="AC461" s="118"/>
      <c r="AD461" s="111"/>
      <c r="AE461" s="73"/>
      <c r="AF461" s="73"/>
    </row>
    <row r="462" ht="22.5" customHeight="1">
      <c r="A462" s="73"/>
      <c r="B462" s="73"/>
      <c r="C462" s="73"/>
      <c r="D462" s="73"/>
      <c r="E462" s="330"/>
      <c r="F462" s="118"/>
      <c r="G462" s="118"/>
      <c r="H462" s="118"/>
      <c r="I462" s="118"/>
      <c r="J462" s="119"/>
      <c r="K462" s="120"/>
      <c r="L462" s="120"/>
      <c r="M462" s="120"/>
      <c r="N462" s="120"/>
      <c r="O462" s="118"/>
      <c r="P462" s="120"/>
      <c r="Q462" s="121"/>
      <c r="R462" s="109" t="b">
        <v>0</v>
      </c>
      <c r="S462" s="143" t="str">
        <f t="shared" si="1"/>
        <v>Suspenso</v>
      </c>
      <c r="T462" s="118"/>
      <c r="U462" s="118"/>
      <c r="V462" s="118"/>
      <c r="W462" s="118"/>
      <c r="X462" s="118"/>
      <c r="Y462" s="118"/>
      <c r="Z462" s="118"/>
      <c r="AA462" s="118"/>
      <c r="AB462" s="118"/>
      <c r="AC462" s="118"/>
      <c r="AD462" s="111"/>
      <c r="AE462" s="73"/>
      <c r="AF462" s="73"/>
    </row>
    <row r="463" ht="22.5" customHeight="1">
      <c r="A463" s="73"/>
      <c r="B463" s="73"/>
      <c r="C463" s="73"/>
      <c r="D463" s="73"/>
      <c r="E463" s="330"/>
      <c r="F463" s="118"/>
      <c r="G463" s="118"/>
      <c r="H463" s="118"/>
      <c r="I463" s="118"/>
      <c r="J463" s="119"/>
      <c r="K463" s="120"/>
      <c r="L463" s="120"/>
      <c r="M463" s="120"/>
      <c r="N463" s="120"/>
      <c r="O463" s="118"/>
      <c r="P463" s="120"/>
      <c r="Q463" s="121"/>
      <c r="R463" s="109" t="b">
        <v>0</v>
      </c>
      <c r="S463" s="143" t="str">
        <f t="shared" si="1"/>
        <v>Suspenso</v>
      </c>
      <c r="T463" s="118"/>
      <c r="U463" s="118"/>
      <c r="V463" s="118"/>
      <c r="W463" s="118"/>
      <c r="X463" s="118"/>
      <c r="Y463" s="118"/>
      <c r="Z463" s="118"/>
      <c r="AA463" s="118"/>
      <c r="AB463" s="118"/>
      <c r="AC463" s="118"/>
      <c r="AD463" s="111"/>
      <c r="AE463" s="73"/>
      <c r="AF463" s="73"/>
    </row>
    <row r="464" ht="22.5" customHeight="1">
      <c r="A464" s="73"/>
      <c r="B464" s="73"/>
      <c r="C464" s="73"/>
      <c r="D464" s="73"/>
      <c r="E464" s="330"/>
      <c r="F464" s="118"/>
      <c r="G464" s="118"/>
      <c r="H464" s="118"/>
      <c r="I464" s="118"/>
      <c r="J464" s="119"/>
      <c r="K464" s="120"/>
      <c r="L464" s="120"/>
      <c r="M464" s="120"/>
      <c r="N464" s="120"/>
      <c r="O464" s="118"/>
      <c r="P464" s="120"/>
      <c r="Q464" s="121"/>
      <c r="R464" s="109" t="b">
        <v>0</v>
      </c>
      <c r="S464" s="143" t="str">
        <f t="shared" si="1"/>
        <v>Suspenso</v>
      </c>
      <c r="T464" s="118"/>
      <c r="U464" s="118"/>
      <c r="V464" s="118"/>
      <c r="W464" s="118"/>
      <c r="X464" s="118"/>
      <c r="Y464" s="118"/>
      <c r="Z464" s="118"/>
      <c r="AA464" s="118"/>
      <c r="AB464" s="118"/>
      <c r="AC464" s="118"/>
      <c r="AD464" s="111"/>
      <c r="AE464" s="73"/>
      <c r="AF464" s="73"/>
    </row>
    <row r="465" ht="22.5" customHeight="1">
      <c r="A465" s="73"/>
      <c r="B465" s="73"/>
      <c r="C465" s="73"/>
      <c r="D465" s="73"/>
      <c r="E465" s="330"/>
      <c r="F465" s="118"/>
      <c r="G465" s="118"/>
      <c r="H465" s="118"/>
      <c r="I465" s="118"/>
      <c r="J465" s="119"/>
      <c r="K465" s="120"/>
      <c r="L465" s="120"/>
      <c r="M465" s="120"/>
      <c r="N465" s="120"/>
      <c r="O465" s="118"/>
      <c r="P465" s="120"/>
      <c r="Q465" s="121"/>
      <c r="R465" s="109" t="b">
        <v>0</v>
      </c>
      <c r="S465" s="143" t="str">
        <f t="shared" si="1"/>
        <v>Suspenso</v>
      </c>
      <c r="T465" s="118"/>
      <c r="U465" s="118"/>
      <c r="V465" s="118"/>
      <c r="W465" s="118"/>
      <c r="X465" s="118"/>
      <c r="Y465" s="118"/>
      <c r="Z465" s="118"/>
      <c r="AA465" s="118"/>
      <c r="AB465" s="118"/>
      <c r="AC465" s="118"/>
      <c r="AD465" s="111"/>
      <c r="AE465" s="73"/>
      <c r="AF465" s="73"/>
    </row>
    <row r="466" ht="22.5" customHeight="1">
      <c r="A466" s="73"/>
      <c r="B466" s="73"/>
      <c r="C466" s="73"/>
      <c r="D466" s="73"/>
      <c r="E466" s="330"/>
      <c r="F466" s="118"/>
      <c r="G466" s="118"/>
      <c r="H466" s="118"/>
      <c r="I466" s="118"/>
      <c r="J466" s="119"/>
      <c r="K466" s="120"/>
      <c r="L466" s="120"/>
      <c r="M466" s="120"/>
      <c r="N466" s="120"/>
      <c r="O466" s="118"/>
      <c r="P466" s="120"/>
      <c r="Q466" s="121"/>
      <c r="R466" s="109" t="b">
        <v>0</v>
      </c>
      <c r="S466" s="143" t="str">
        <f t="shared" si="1"/>
        <v>Suspenso</v>
      </c>
      <c r="T466" s="118"/>
      <c r="U466" s="118"/>
      <c r="V466" s="118"/>
      <c r="W466" s="118"/>
      <c r="X466" s="118"/>
      <c r="Y466" s="118"/>
      <c r="Z466" s="118"/>
      <c r="AA466" s="118"/>
      <c r="AB466" s="118"/>
      <c r="AC466" s="118"/>
      <c r="AD466" s="111"/>
      <c r="AE466" s="73"/>
      <c r="AF466" s="73"/>
    </row>
    <row r="467" ht="22.5" customHeight="1">
      <c r="A467" s="73"/>
      <c r="B467" s="73"/>
      <c r="C467" s="73"/>
      <c r="D467" s="73"/>
      <c r="E467" s="330"/>
      <c r="F467" s="118"/>
      <c r="G467" s="118"/>
      <c r="H467" s="118"/>
      <c r="I467" s="118"/>
      <c r="J467" s="119"/>
      <c r="K467" s="120"/>
      <c r="L467" s="120"/>
      <c r="M467" s="120"/>
      <c r="N467" s="120"/>
      <c r="O467" s="118"/>
      <c r="P467" s="120"/>
      <c r="Q467" s="121"/>
      <c r="R467" s="109" t="b">
        <v>0</v>
      </c>
      <c r="S467" s="143" t="str">
        <f t="shared" si="1"/>
        <v>Suspenso</v>
      </c>
      <c r="T467" s="118"/>
      <c r="U467" s="118"/>
      <c r="V467" s="118"/>
      <c r="W467" s="118"/>
      <c r="X467" s="118"/>
      <c r="Y467" s="118"/>
      <c r="Z467" s="118"/>
      <c r="AA467" s="118"/>
      <c r="AB467" s="118"/>
      <c r="AC467" s="118"/>
      <c r="AD467" s="111"/>
      <c r="AE467" s="73"/>
      <c r="AF467" s="73"/>
    </row>
    <row r="468" ht="22.5" customHeight="1">
      <c r="A468" s="73"/>
      <c r="B468" s="73"/>
      <c r="C468" s="73"/>
      <c r="D468" s="73"/>
      <c r="E468" s="330"/>
      <c r="F468" s="118"/>
      <c r="G468" s="118"/>
      <c r="H468" s="118"/>
      <c r="I468" s="118"/>
      <c r="J468" s="119"/>
      <c r="K468" s="120"/>
      <c r="L468" s="120"/>
      <c r="M468" s="120"/>
      <c r="N468" s="120"/>
      <c r="O468" s="118"/>
      <c r="P468" s="120"/>
      <c r="Q468" s="121"/>
      <c r="R468" s="109" t="b">
        <v>0</v>
      </c>
      <c r="S468" s="143" t="str">
        <f t="shared" si="1"/>
        <v>Suspenso</v>
      </c>
      <c r="T468" s="118"/>
      <c r="U468" s="118"/>
      <c r="V468" s="118"/>
      <c r="W468" s="118"/>
      <c r="X468" s="118"/>
      <c r="Y468" s="118"/>
      <c r="Z468" s="118"/>
      <c r="AA468" s="118"/>
      <c r="AB468" s="118"/>
      <c r="AC468" s="118"/>
      <c r="AD468" s="111"/>
      <c r="AE468" s="73"/>
      <c r="AF468" s="73"/>
    </row>
    <row r="469" ht="22.5" customHeight="1">
      <c r="A469" s="73"/>
      <c r="B469" s="73"/>
      <c r="C469" s="73"/>
      <c r="D469" s="73"/>
      <c r="E469" s="330"/>
      <c r="F469" s="118"/>
      <c r="G469" s="118"/>
      <c r="H469" s="118"/>
      <c r="I469" s="118"/>
      <c r="J469" s="119"/>
      <c r="K469" s="120"/>
      <c r="L469" s="120"/>
      <c r="M469" s="120"/>
      <c r="N469" s="120"/>
      <c r="O469" s="118"/>
      <c r="P469" s="120"/>
      <c r="Q469" s="121"/>
      <c r="R469" s="109" t="b">
        <v>0</v>
      </c>
      <c r="S469" s="143" t="str">
        <f t="shared" si="1"/>
        <v>Suspenso</v>
      </c>
      <c r="T469" s="118"/>
      <c r="U469" s="118"/>
      <c r="V469" s="118"/>
      <c r="W469" s="118"/>
      <c r="X469" s="118"/>
      <c r="Y469" s="118"/>
      <c r="Z469" s="118"/>
      <c r="AA469" s="118"/>
      <c r="AB469" s="118"/>
      <c r="AC469" s="118"/>
      <c r="AD469" s="111"/>
      <c r="AE469" s="73"/>
      <c r="AF469" s="73"/>
    </row>
    <row r="470" ht="22.5" customHeight="1">
      <c r="A470" s="73"/>
      <c r="B470" s="73"/>
      <c r="C470" s="73"/>
      <c r="D470" s="73"/>
      <c r="E470" s="330"/>
      <c r="F470" s="118"/>
      <c r="G470" s="118"/>
      <c r="H470" s="118"/>
      <c r="I470" s="118"/>
      <c r="J470" s="119"/>
      <c r="K470" s="120"/>
      <c r="L470" s="120"/>
      <c r="M470" s="120"/>
      <c r="N470" s="120"/>
      <c r="O470" s="118"/>
      <c r="P470" s="120"/>
      <c r="Q470" s="121"/>
      <c r="R470" s="109" t="b">
        <v>0</v>
      </c>
      <c r="S470" s="143" t="str">
        <f t="shared" si="1"/>
        <v>Suspenso</v>
      </c>
      <c r="T470" s="118"/>
      <c r="U470" s="118"/>
      <c r="V470" s="118"/>
      <c r="W470" s="118"/>
      <c r="X470" s="118"/>
      <c r="Y470" s="118"/>
      <c r="Z470" s="118"/>
      <c r="AA470" s="118"/>
      <c r="AB470" s="118"/>
      <c r="AC470" s="118"/>
      <c r="AD470" s="111"/>
      <c r="AE470" s="73"/>
      <c r="AF470" s="73"/>
    </row>
    <row r="471" ht="22.5" customHeight="1">
      <c r="A471" s="73"/>
      <c r="B471" s="73"/>
      <c r="C471" s="73"/>
      <c r="D471" s="73"/>
      <c r="E471" s="330"/>
      <c r="F471" s="118"/>
      <c r="G471" s="118"/>
      <c r="H471" s="118"/>
      <c r="I471" s="118"/>
      <c r="J471" s="119"/>
      <c r="K471" s="120"/>
      <c r="L471" s="120"/>
      <c r="M471" s="120"/>
      <c r="N471" s="120"/>
      <c r="O471" s="118"/>
      <c r="P471" s="120"/>
      <c r="Q471" s="121"/>
      <c r="R471" s="109" t="b">
        <v>0</v>
      </c>
      <c r="S471" s="143" t="str">
        <f t="shared" si="1"/>
        <v>Suspenso</v>
      </c>
      <c r="T471" s="118"/>
      <c r="U471" s="118"/>
      <c r="V471" s="118"/>
      <c r="W471" s="118"/>
      <c r="X471" s="118"/>
      <c r="Y471" s="118"/>
      <c r="Z471" s="118"/>
      <c r="AA471" s="118"/>
      <c r="AB471" s="118"/>
      <c r="AC471" s="118"/>
      <c r="AD471" s="111"/>
      <c r="AE471" s="73"/>
      <c r="AF471" s="73"/>
    </row>
    <row r="472" ht="22.5" customHeight="1">
      <c r="A472" s="73"/>
      <c r="B472" s="73"/>
      <c r="C472" s="73"/>
      <c r="D472" s="73"/>
      <c r="E472" s="330"/>
      <c r="F472" s="118"/>
      <c r="G472" s="118"/>
      <c r="H472" s="118"/>
      <c r="I472" s="118"/>
      <c r="J472" s="119"/>
      <c r="K472" s="120"/>
      <c r="L472" s="120"/>
      <c r="M472" s="120"/>
      <c r="N472" s="120"/>
      <c r="O472" s="118"/>
      <c r="P472" s="120"/>
      <c r="Q472" s="121"/>
      <c r="R472" s="109" t="b">
        <v>0</v>
      </c>
      <c r="S472" s="143" t="str">
        <f t="shared" si="1"/>
        <v>Suspenso</v>
      </c>
      <c r="T472" s="118"/>
      <c r="U472" s="118"/>
      <c r="V472" s="118"/>
      <c r="W472" s="118"/>
      <c r="X472" s="118"/>
      <c r="Y472" s="118"/>
      <c r="Z472" s="118"/>
      <c r="AA472" s="118"/>
      <c r="AB472" s="118"/>
      <c r="AC472" s="118"/>
      <c r="AD472" s="111"/>
      <c r="AE472" s="73"/>
      <c r="AF472" s="73"/>
    </row>
    <row r="473" ht="22.5" customHeight="1">
      <c r="A473" s="73"/>
      <c r="B473" s="73"/>
      <c r="C473" s="73"/>
      <c r="D473" s="73"/>
      <c r="E473" s="330"/>
      <c r="F473" s="118"/>
      <c r="G473" s="118"/>
      <c r="H473" s="118"/>
      <c r="I473" s="118"/>
      <c r="J473" s="119"/>
      <c r="K473" s="120"/>
      <c r="L473" s="120"/>
      <c r="M473" s="120"/>
      <c r="N473" s="120"/>
      <c r="O473" s="118"/>
      <c r="P473" s="120"/>
      <c r="Q473" s="121"/>
      <c r="R473" s="109" t="b">
        <v>0</v>
      </c>
      <c r="S473" s="143" t="str">
        <f t="shared" si="1"/>
        <v>Suspenso</v>
      </c>
      <c r="T473" s="118"/>
      <c r="U473" s="118"/>
      <c r="V473" s="118"/>
      <c r="W473" s="118"/>
      <c r="X473" s="118"/>
      <c r="Y473" s="118"/>
      <c r="Z473" s="118"/>
      <c r="AA473" s="118"/>
      <c r="AB473" s="118"/>
      <c r="AC473" s="118"/>
      <c r="AD473" s="111"/>
      <c r="AE473" s="73"/>
      <c r="AF473" s="73"/>
    </row>
    <row r="474" ht="22.5" customHeight="1">
      <c r="A474" s="73"/>
      <c r="B474" s="73"/>
      <c r="C474" s="73"/>
      <c r="D474" s="73"/>
      <c r="E474" s="330"/>
      <c r="F474" s="118"/>
      <c r="G474" s="118"/>
      <c r="H474" s="118"/>
      <c r="I474" s="118"/>
      <c r="J474" s="119"/>
      <c r="K474" s="120"/>
      <c r="L474" s="120"/>
      <c r="M474" s="120"/>
      <c r="N474" s="120"/>
      <c r="O474" s="118"/>
      <c r="P474" s="120"/>
      <c r="Q474" s="121"/>
      <c r="R474" s="109" t="b">
        <v>0</v>
      </c>
      <c r="S474" s="143" t="str">
        <f t="shared" si="1"/>
        <v>Suspenso</v>
      </c>
      <c r="T474" s="118"/>
      <c r="U474" s="118"/>
      <c r="V474" s="118"/>
      <c r="W474" s="118"/>
      <c r="X474" s="118"/>
      <c r="Y474" s="118"/>
      <c r="Z474" s="118"/>
      <c r="AA474" s="118"/>
      <c r="AB474" s="118"/>
      <c r="AC474" s="118"/>
      <c r="AD474" s="111"/>
      <c r="AE474" s="73"/>
      <c r="AF474" s="73"/>
    </row>
    <row r="475" ht="22.5" customHeight="1">
      <c r="A475" s="73"/>
      <c r="B475" s="73"/>
      <c r="C475" s="73"/>
      <c r="D475" s="73"/>
      <c r="E475" s="330"/>
      <c r="F475" s="118"/>
      <c r="G475" s="118"/>
      <c r="H475" s="118"/>
      <c r="I475" s="118"/>
      <c r="J475" s="119"/>
      <c r="K475" s="120"/>
      <c r="L475" s="120"/>
      <c r="M475" s="120"/>
      <c r="N475" s="120"/>
      <c r="O475" s="118"/>
      <c r="P475" s="120"/>
      <c r="Q475" s="121"/>
      <c r="R475" s="109" t="b">
        <v>0</v>
      </c>
      <c r="S475" s="143" t="str">
        <f t="shared" si="1"/>
        <v>Suspenso</v>
      </c>
      <c r="T475" s="118"/>
      <c r="U475" s="118"/>
      <c r="V475" s="118"/>
      <c r="W475" s="118"/>
      <c r="X475" s="118"/>
      <c r="Y475" s="118"/>
      <c r="Z475" s="118"/>
      <c r="AA475" s="118"/>
      <c r="AB475" s="118"/>
      <c r="AC475" s="118"/>
      <c r="AD475" s="111"/>
      <c r="AE475" s="73"/>
      <c r="AF475" s="73"/>
    </row>
    <row r="476" ht="22.5" customHeight="1">
      <c r="A476" s="73"/>
      <c r="B476" s="73"/>
      <c r="C476" s="73"/>
      <c r="D476" s="73"/>
      <c r="E476" s="330"/>
      <c r="F476" s="118"/>
      <c r="G476" s="118"/>
      <c r="H476" s="118"/>
      <c r="I476" s="118"/>
      <c r="J476" s="119"/>
      <c r="K476" s="120"/>
      <c r="L476" s="120"/>
      <c r="M476" s="120"/>
      <c r="N476" s="120"/>
      <c r="O476" s="118"/>
      <c r="P476" s="120"/>
      <c r="Q476" s="121"/>
      <c r="R476" s="109" t="b">
        <v>0</v>
      </c>
      <c r="S476" s="143" t="str">
        <f t="shared" si="1"/>
        <v>Suspenso</v>
      </c>
      <c r="T476" s="118"/>
      <c r="U476" s="118"/>
      <c r="V476" s="118"/>
      <c r="W476" s="118"/>
      <c r="X476" s="118"/>
      <c r="Y476" s="118"/>
      <c r="Z476" s="118"/>
      <c r="AA476" s="118"/>
      <c r="AB476" s="118"/>
      <c r="AC476" s="118"/>
      <c r="AD476" s="111"/>
      <c r="AE476" s="73"/>
      <c r="AF476" s="73"/>
    </row>
    <row r="477" ht="22.5" customHeight="1">
      <c r="A477" s="73"/>
      <c r="B477" s="73"/>
      <c r="C477" s="73"/>
      <c r="D477" s="73"/>
      <c r="E477" s="330"/>
      <c r="F477" s="118"/>
      <c r="G477" s="118"/>
      <c r="H477" s="118"/>
      <c r="I477" s="118"/>
      <c r="J477" s="119"/>
      <c r="K477" s="120"/>
      <c r="L477" s="120"/>
      <c r="M477" s="120"/>
      <c r="N477" s="120"/>
      <c r="O477" s="118"/>
      <c r="P477" s="120"/>
      <c r="Q477" s="121"/>
      <c r="R477" s="109" t="b">
        <v>0</v>
      </c>
      <c r="S477" s="143" t="str">
        <f t="shared" si="1"/>
        <v>Suspenso</v>
      </c>
      <c r="T477" s="118"/>
      <c r="U477" s="118"/>
      <c r="V477" s="118"/>
      <c r="W477" s="118"/>
      <c r="X477" s="118"/>
      <c r="Y477" s="118"/>
      <c r="Z477" s="118"/>
      <c r="AA477" s="118"/>
      <c r="AB477" s="118"/>
      <c r="AC477" s="118"/>
      <c r="AD477" s="111"/>
      <c r="AE477" s="73"/>
      <c r="AF477" s="73"/>
    </row>
    <row r="478" ht="22.5" customHeight="1">
      <c r="A478" s="73"/>
      <c r="B478" s="73"/>
      <c r="C478" s="73"/>
      <c r="D478" s="73"/>
      <c r="E478" s="330"/>
      <c r="F478" s="118"/>
      <c r="G478" s="118"/>
      <c r="H478" s="118"/>
      <c r="I478" s="118"/>
      <c r="J478" s="119"/>
      <c r="K478" s="120"/>
      <c r="L478" s="120"/>
      <c r="M478" s="120"/>
      <c r="N478" s="120"/>
      <c r="O478" s="118"/>
      <c r="P478" s="120"/>
      <c r="Q478" s="121"/>
      <c r="R478" s="109" t="b">
        <v>0</v>
      </c>
      <c r="S478" s="143" t="str">
        <f t="shared" si="1"/>
        <v>Suspenso</v>
      </c>
      <c r="T478" s="118"/>
      <c r="U478" s="118"/>
      <c r="V478" s="118"/>
      <c r="W478" s="118"/>
      <c r="X478" s="118"/>
      <c r="Y478" s="118"/>
      <c r="Z478" s="118"/>
      <c r="AA478" s="118"/>
      <c r="AB478" s="118"/>
      <c r="AC478" s="118"/>
      <c r="AD478" s="111"/>
      <c r="AE478" s="73"/>
      <c r="AF478" s="73"/>
    </row>
    <row r="479" ht="22.5" customHeight="1">
      <c r="A479" s="73"/>
      <c r="B479" s="73"/>
      <c r="C479" s="73"/>
      <c r="D479" s="73"/>
      <c r="E479" s="330"/>
      <c r="F479" s="118"/>
      <c r="G479" s="118"/>
      <c r="H479" s="118"/>
      <c r="I479" s="118"/>
      <c r="J479" s="119"/>
      <c r="K479" s="120"/>
      <c r="L479" s="120"/>
      <c r="M479" s="120"/>
      <c r="N479" s="120"/>
      <c r="O479" s="118"/>
      <c r="P479" s="120"/>
      <c r="Q479" s="121"/>
      <c r="R479" s="109" t="b">
        <v>0</v>
      </c>
      <c r="S479" s="143" t="str">
        <f t="shared" si="1"/>
        <v>Suspenso</v>
      </c>
      <c r="T479" s="118"/>
      <c r="U479" s="118"/>
      <c r="V479" s="118"/>
      <c r="W479" s="118"/>
      <c r="X479" s="118"/>
      <c r="Y479" s="118"/>
      <c r="Z479" s="118"/>
      <c r="AA479" s="118"/>
      <c r="AB479" s="118"/>
      <c r="AC479" s="118"/>
      <c r="AD479" s="111"/>
      <c r="AE479" s="73"/>
      <c r="AF479" s="73"/>
    </row>
    <row r="480" ht="22.5" customHeight="1">
      <c r="A480" s="73"/>
      <c r="B480" s="73"/>
      <c r="C480" s="73"/>
      <c r="D480" s="73"/>
      <c r="E480" s="330"/>
      <c r="F480" s="118"/>
      <c r="G480" s="118"/>
      <c r="H480" s="118"/>
      <c r="I480" s="118"/>
      <c r="J480" s="119"/>
      <c r="K480" s="120"/>
      <c r="L480" s="120"/>
      <c r="M480" s="120"/>
      <c r="N480" s="120"/>
      <c r="O480" s="118"/>
      <c r="P480" s="120"/>
      <c r="Q480" s="121"/>
      <c r="R480" s="109" t="b">
        <v>0</v>
      </c>
      <c r="S480" s="143" t="str">
        <f t="shared" si="1"/>
        <v>Suspenso</v>
      </c>
      <c r="T480" s="118"/>
      <c r="U480" s="118"/>
      <c r="V480" s="118"/>
      <c r="W480" s="118"/>
      <c r="X480" s="118"/>
      <c r="Y480" s="118"/>
      <c r="Z480" s="118"/>
      <c r="AA480" s="118"/>
      <c r="AB480" s="118"/>
      <c r="AC480" s="118"/>
      <c r="AD480" s="111"/>
      <c r="AE480" s="73"/>
      <c r="AF480" s="73"/>
    </row>
    <row r="481" ht="22.5" customHeight="1">
      <c r="A481" s="73"/>
      <c r="B481" s="73"/>
      <c r="C481" s="73"/>
      <c r="D481" s="73"/>
      <c r="E481" s="330"/>
      <c r="F481" s="118"/>
      <c r="G481" s="118"/>
      <c r="H481" s="118"/>
      <c r="I481" s="118"/>
      <c r="J481" s="119"/>
      <c r="K481" s="120"/>
      <c r="L481" s="120"/>
      <c r="M481" s="120"/>
      <c r="N481" s="120"/>
      <c r="O481" s="118"/>
      <c r="P481" s="120"/>
      <c r="Q481" s="121"/>
      <c r="R481" s="109" t="b">
        <v>0</v>
      </c>
      <c r="S481" s="143" t="str">
        <f t="shared" si="1"/>
        <v>Suspenso</v>
      </c>
      <c r="T481" s="118"/>
      <c r="U481" s="118"/>
      <c r="V481" s="118"/>
      <c r="W481" s="118"/>
      <c r="X481" s="118"/>
      <c r="Y481" s="118"/>
      <c r="Z481" s="118"/>
      <c r="AA481" s="118"/>
      <c r="AB481" s="118"/>
      <c r="AC481" s="118"/>
      <c r="AD481" s="111"/>
      <c r="AE481" s="73"/>
      <c r="AF481" s="73"/>
    </row>
    <row r="482" ht="22.5" customHeight="1">
      <c r="A482" s="73"/>
      <c r="B482" s="73"/>
      <c r="C482" s="73"/>
      <c r="D482" s="73"/>
      <c r="E482" s="330"/>
      <c r="F482" s="118"/>
      <c r="G482" s="118"/>
      <c r="H482" s="118"/>
      <c r="I482" s="118"/>
      <c r="J482" s="119"/>
      <c r="K482" s="120"/>
      <c r="L482" s="120"/>
      <c r="M482" s="120"/>
      <c r="N482" s="120"/>
      <c r="O482" s="118"/>
      <c r="P482" s="120"/>
      <c r="Q482" s="121"/>
      <c r="R482" s="109" t="b">
        <v>0</v>
      </c>
      <c r="S482" s="143" t="str">
        <f t="shared" si="1"/>
        <v>Suspenso</v>
      </c>
      <c r="T482" s="118"/>
      <c r="U482" s="118"/>
      <c r="V482" s="118"/>
      <c r="W482" s="118"/>
      <c r="X482" s="118"/>
      <c r="Y482" s="118"/>
      <c r="Z482" s="118"/>
      <c r="AA482" s="118"/>
      <c r="AB482" s="118"/>
      <c r="AC482" s="118"/>
      <c r="AD482" s="111"/>
      <c r="AE482" s="73"/>
      <c r="AF482" s="73"/>
    </row>
    <row r="483" ht="22.5" customHeight="1">
      <c r="A483" s="73"/>
      <c r="B483" s="73"/>
      <c r="C483" s="73"/>
      <c r="D483" s="73"/>
      <c r="E483" s="330"/>
      <c r="F483" s="118"/>
      <c r="G483" s="118"/>
      <c r="H483" s="118"/>
      <c r="I483" s="118"/>
      <c r="J483" s="119"/>
      <c r="K483" s="120"/>
      <c r="L483" s="120"/>
      <c r="M483" s="120"/>
      <c r="N483" s="120"/>
      <c r="O483" s="118"/>
      <c r="P483" s="120"/>
      <c r="Q483" s="121"/>
      <c r="R483" s="109" t="b">
        <v>0</v>
      </c>
      <c r="S483" s="143" t="str">
        <f t="shared" si="1"/>
        <v>Suspenso</v>
      </c>
      <c r="T483" s="118"/>
      <c r="U483" s="118"/>
      <c r="V483" s="118"/>
      <c r="W483" s="118"/>
      <c r="X483" s="118"/>
      <c r="Y483" s="118"/>
      <c r="Z483" s="118"/>
      <c r="AA483" s="118"/>
      <c r="AB483" s="118"/>
      <c r="AC483" s="118"/>
      <c r="AD483" s="111"/>
      <c r="AE483" s="73"/>
      <c r="AF483" s="73"/>
    </row>
    <row r="484" ht="22.5" customHeight="1">
      <c r="A484" s="73"/>
      <c r="B484" s="73"/>
      <c r="C484" s="73"/>
      <c r="D484" s="73"/>
      <c r="E484" s="330"/>
      <c r="F484" s="118"/>
      <c r="G484" s="118"/>
      <c r="H484" s="118"/>
      <c r="I484" s="118"/>
      <c r="J484" s="119"/>
      <c r="K484" s="120"/>
      <c r="L484" s="120"/>
      <c r="M484" s="120"/>
      <c r="N484" s="120"/>
      <c r="O484" s="118"/>
      <c r="P484" s="120"/>
      <c r="Q484" s="121"/>
      <c r="R484" s="109" t="b">
        <v>0</v>
      </c>
      <c r="S484" s="143" t="str">
        <f t="shared" si="1"/>
        <v>Suspenso</v>
      </c>
      <c r="T484" s="118"/>
      <c r="U484" s="118"/>
      <c r="V484" s="118"/>
      <c r="W484" s="118"/>
      <c r="X484" s="118"/>
      <c r="Y484" s="118"/>
      <c r="Z484" s="118"/>
      <c r="AA484" s="118"/>
      <c r="AB484" s="118"/>
      <c r="AC484" s="118"/>
      <c r="AD484" s="111"/>
      <c r="AE484" s="73"/>
      <c r="AF484" s="73"/>
    </row>
    <row r="485" ht="22.5" customHeight="1">
      <c r="A485" s="73"/>
      <c r="B485" s="73"/>
      <c r="C485" s="73"/>
      <c r="D485" s="73"/>
      <c r="E485" s="330"/>
      <c r="F485" s="118"/>
      <c r="G485" s="118"/>
      <c r="H485" s="118"/>
      <c r="I485" s="118"/>
      <c r="J485" s="119"/>
      <c r="K485" s="120"/>
      <c r="L485" s="120"/>
      <c r="M485" s="120"/>
      <c r="N485" s="120"/>
      <c r="O485" s="118"/>
      <c r="P485" s="120"/>
      <c r="Q485" s="121"/>
      <c r="R485" s="109" t="b">
        <v>0</v>
      </c>
      <c r="S485" s="143" t="str">
        <f t="shared" si="1"/>
        <v>Suspenso</v>
      </c>
      <c r="T485" s="118"/>
      <c r="U485" s="118"/>
      <c r="V485" s="118"/>
      <c r="W485" s="118"/>
      <c r="X485" s="118"/>
      <c r="Y485" s="118"/>
      <c r="Z485" s="118"/>
      <c r="AA485" s="118"/>
      <c r="AB485" s="118"/>
      <c r="AC485" s="118"/>
      <c r="AD485" s="111"/>
      <c r="AE485" s="73"/>
      <c r="AF485" s="73"/>
    </row>
    <row r="486" ht="22.5" customHeight="1">
      <c r="A486" s="73"/>
      <c r="B486" s="73"/>
      <c r="C486" s="73"/>
      <c r="D486" s="73"/>
      <c r="E486" s="330"/>
      <c r="F486" s="118"/>
      <c r="G486" s="118"/>
      <c r="H486" s="118"/>
      <c r="I486" s="118"/>
      <c r="J486" s="119"/>
      <c r="K486" s="120"/>
      <c r="L486" s="120"/>
      <c r="M486" s="120"/>
      <c r="N486" s="120"/>
      <c r="O486" s="118"/>
      <c r="P486" s="120"/>
      <c r="Q486" s="121"/>
      <c r="R486" s="109" t="b">
        <v>0</v>
      </c>
      <c r="S486" s="143" t="str">
        <f t="shared" si="1"/>
        <v>Suspenso</v>
      </c>
      <c r="T486" s="118"/>
      <c r="U486" s="118"/>
      <c r="V486" s="118"/>
      <c r="W486" s="118"/>
      <c r="X486" s="118"/>
      <c r="Y486" s="118"/>
      <c r="Z486" s="118"/>
      <c r="AA486" s="118"/>
      <c r="AB486" s="118"/>
      <c r="AC486" s="118"/>
      <c r="AD486" s="111"/>
      <c r="AE486" s="73"/>
      <c r="AF486" s="73"/>
    </row>
    <row r="487" ht="22.5" customHeight="1">
      <c r="A487" s="73"/>
      <c r="B487" s="73"/>
      <c r="C487" s="73"/>
      <c r="D487" s="73"/>
      <c r="E487" s="330"/>
      <c r="F487" s="118"/>
      <c r="G487" s="118"/>
      <c r="H487" s="118"/>
      <c r="I487" s="118"/>
      <c r="J487" s="119"/>
      <c r="K487" s="120"/>
      <c r="L487" s="120"/>
      <c r="M487" s="120"/>
      <c r="N487" s="120"/>
      <c r="O487" s="118"/>
      <c r="P487" s="120"/>
      <c r="Q487" s="121"/>
      <c r="R487" s="109" t="b">
        <v>0</v>
      </c>
      <c r="S487" s="143" t="str">
        <f t="shared" si="1"/>
        <v>Suspenso</v>
      </c>
      <c r="T487" s="118"/>
      <c r="U487" s="118"/>
      <c r="V487" s="118"/>
      <c r="W487" s="118"/>
      <c r="X487" s="118"/>
      <c r="Y487" s="118"/>
      <c r="Z487" s="118"/>
      <c r="AA487" s="118"/>
      <c r="AB487" s="118"/>
      <c r="AC487" s="118"/>
      <c r="AD487" s="111"/>
      <c r="AE487" s="73"/>
      <c r="AF487" s="73"/>
    </row>
    <row r="488" ht="22.5" customHeight="1">
      <c r="A488" s="73"/>
      <c r="B488" s="73"/>
      <c r="C488" s="73"/>
      <c r="D488" s="73"/>
      <c r="E488" s="330"/>
      <c r="F488" s="118"/>
      <c r="G488" s="118"/>
      <c r="H488" s="118"/>
      <c r="I488" s="118"/>
      <c r="J488" s="119"/>
      <c r="K488" s="120"/>
      <c r="L488" s="120"/>
      <c r="M488" s="120"/>
      <c r="N488" s="120"/>
      <c r="O488" s="118"/>
      <c r="P488" s="120"/>
      <c r="Q488" s="121"/>
      <c r="R488" s="109" t="b">
        <v>0</v>
      </c>
      <c r="S488" s="143" t="str">
        <f t="shared" si="1"/>
        <v>Suspenso</v>
      </c>
      <c r="T488" s="118"/>
      <c r="U488" s="118"/>
      <c r="V488" s="118"/>
      <c r="W488" s="118"/>
      <c r="X488" s="118"/>
      <c r="Y488" s="118"/>
      <c r="Z488" s="118"/>
      <c r="AA488" s="118"/>
      <c r="AB488" s="118"/>
      <c r="AC488" s="118"/>
      <c r="AD488" s="111"/>
      <c r="AE488" s="73"/>
      <c r="AF488" s="73"/>
    </row>
    <row r="489" ht="22.5" customHeight="1">
      <c r="A489" s="73"/>
      <c r="B489" s="73"/>
      <c r="C489" s="73"/>
      <c r="D489" s="73"/>
      <c r="E489" s="330"/>
      <c r="F489" s="118"/>
      <c r="G489" s="118"/>
      <c r="H489" s="118"/>
      <c r="I489" s="118"/>
      <c r="J489" s="119"/>
      <c r="K489" s="120"/>
      <c r="L489" s="120"/>
      <c r="M489" s="120"/>
      <c r="N489" s="120"/>
      <c r="O489" s="118"/>
      <c r="P489" s="120"/>
      <c r="Q489" s="121"/>
      <c r="R489" s="109" t="b">
        <v>0</v>
      </c>
      <c r="S489" s="143" t="str">
        <f t="shared" si="1"/>
        <v>Suspenso</v>
      </c>
      <c r="T489" s="118"/>
      <c r="U489" s="118"/>
      <c r="V489" s="118"/>
      <c r="W489" s="118"/>
      <c r="X489" s="118"/>
      <c r="Y489" s="118"/>
      <c r="Z489" s="118"/>
      <c r="AA489" s="118"/>
      <c r="AB489" s="118"/>
      <c r="AC489" s="118"/>
      <c r="AD489" s="111"/>
      <c r="AE489" s="73"/>
      <c r="AF489" s="73"/>
    </row>
    <row r="490" ht="22.5" customHeight="1">
      <c r="A490" s="73"/>
      <c r="B490" s="73"/>
      <c r="C490" s="73"/>
      <c r="D490" s="73"/>
      <c r="E490" s="330"/>
      <c r="F490" s="118"/>
      <c r="G490" s="118"/>
      <c r="H490" s="118"/>
      <c r="I490" s="118"/>
      <c r="J490" s="119"/>
      <c r="K490" s="120"/>
      <c r="L490" s="120"/>
      <c r="M490" s="120"/>
      <c r="N490" s="120"/>
      <c r="O490" s="118"/>
      <c r="P490" s="120"/>
      <c r="Q490" s="121"/>
      <c r="R490" s="109" t="b">
        <v>0</v>
      </c>
      <c r="S490" s="143" t="str">
        <f t="shared" si="1"/>
        <v>Suspenso</v>
      </c>
      <c r="T490" s="118"/>
      <c r="U490" s="118"/>
      <c r="V490" s="118"/>
      <c r="W490" s="118"/>
      <c r="X490" s="118"/>
      <c r="Y490" s="118"/>
      <c r="Z490" s="118"/>
      <c r="AA490" s="118"/>
      <c r="AB490" s="118"/>
      <c r="AC490" s="118"/>
      <c r="AD490" s="111"/>
      <c r="AE490" s="73"/>
      <c r="AF490" s="73"/>
    </row>
    <row r="491" ht="22.5" customHeight="1">
      <c r="A491" s="73"/>
      <c r="B491" s="73"/>
      <c r="C491" s="73"/>
      <c r="D491" s="73"/>
      <c r="E491" s="330"/>
      <c r="F491" s="118"/>
      <c r="G491" s="118"/>
      <c r="H491" s="118"/>
      <c r="I491" s="118"/>
      <c r="J491" s="119"/>
      <c r="K491" s="120"/>
      <c r="L491" s="120"/>
      <c r="M491" s="120"/>
      <c r="N491" s="120"/>
      <c r="O491" s="118"/>
      <c r="P491" s="120"/>
      <c r="Q491" s="121"/>
      <c r="R491" s="109" t="b">
        <v>0</v>
      </c>
      <c r="S491" s="143" t="str">
        <f t="shared" si="1"/>
        <v>Suspenso</v>
      </c>
      <c r="T491" s="118"/>
      <c r="U491" s="118"/>
      <c r="V491" s="118"/>
      <c r="W491" s="118"/>
      <c r="X491" s="118"/>
      <c r="Y491" s="118"/>
      <c r="Z491" s="118"/>
      <c r="AA491" s="118"/>
      <c r="AB491" s="118"/>
      <c r="AC491" s="118"/>
      <c r="AD491" s="111"/>
      <c r="AE491" s="73"/>
      <c r="AF491" s="73"/>
    </row>
    <row r="492" ht="22.5" customHeight="1">
      <c r="A492" s="73"/>
      <c r="B492" s="73"/>
      <c r="C492" s="73"/>
      <c r="D492" s="73"/>
      <c r="E492" s="330"/>
      <c r="F492" s="118"/>
      <c r="G492" s="118"/>
      <c r="H492" s="118"/>
      <c r="I492" s="118"/>
      <c r="J492" s="119"/>
      <c r="K492" s="120"/>
      <c r="L492" s="120"/>
      <c r="M492" s="120"/>
      <c r="N492" s="120"/>
      <c r="O492" s="118"/>
      <c r="P492" s="120"/>
      <c r="Q492" s="121"/>
      <c r="R492" s="109" t="b">
        <v>0</v>
      </c>
      <c r="S492" s="143" t="str">
        <f t="shared" si="1"/>
        <v>Suspenso</v>
      </c>
      <c r="T492" s="118"/>
      <c r="U492" s="118"/>
      <c r="V492" s="118"/>
      <c r="W492" s="118"/>
      <c r="X492" s="118"/>
      <c r="Y492" s="118"/>
      <c r="Z492" s="118"/>
      <c r="AA492" s="118"/>
      <c r="AB492" s="118"/>
      <c r="AC492" s="118"/>
      <c r="AD492" s="111"/>
      <c r="AE492" s="73"/>
      <c r="AF492" s="73"/>
    </row>
    <row r="493" ht="22.5" customHeight="1">
      <c r="A493" s="73"/>
      <c r="B493" s="73"/>
      <c r="C493" s="73"/>
      <c r="D493" s="73"/>
      <c r="E493" s="330"/>
      <c r="F493" s="118"/>
      <c r="G493" s="118"/>
      <c r="H493" s="118"/>
      <c r="I493" s="118"/>
      <c r="J493" s="119"/>
      <c r="K493" s="120"/>
      <c r="L493" s="120"/>
      <c r="M493" s="120"/>
      <c r="N493" s="120"/>
      <c r="O493" s="118"/>
      <c r="P493" s="120"/>
      <c r="Q493" s="121"/>
      <c r="R493" s="109" t="b">
        <v>0</v>
      </c>
      <c r="S493" s="143" t="str">
        <f t="shared" si="1"/>
        <v>Suspenso</v>
      </c>
      <c r="T493" s="118"/>
      <c r="U493" s="118"/>
      <c r="V493" s="118"/>
      <c r="W493" s="118"/>
      <c r="X493" s="118"/>
      <c r="Y493" s="118"/>
      <c r="Z493" s="118"/>
      <c r="AA493" s="118"/>
      <c r="AB493" s="118"/>
      <c r="AC493" s="118"/>
      <c r="AD493" s="111"/>
      <c r="AE493" s="73"/>
      <c r="AF493" s="73"/>
    </row>
    <row r="494" ht="22.5" customHeight="1">
      <c r="A494" s="73"/>
      <c r="B494" s="73"/>
      <c r="C494" s="73"/>
      <c r="D494" s="73"/>
      <c r="E494" s="330"/>
      <c r="F494" s="118"/>
      <c r="G494" s="118"/>
      <c r="H494" s="118"/>
      <c r="I494" s="118"/>
      <c r="J494" s="119"/>
      <c r="K494" s="120"/>
      <c r="L494" s="120"/>
      <c r="M494" s="120"/>
      <c r="N494" s="120"/>
      <c r="O494" s="118"/>
      <c r="P494" s="120"/>
      <c r="Q494" s="121"/>
      <c r="R494" s="109" t="b">
        <v>0</v>
      </c>
      <c r="S494" s="143" t="str">
        <f t="shared" si="1"/>
        <v>Suspenso</v>
      </c>
      <c r="T494" s="118"/>
      <c r="U494" s="118"/>
      <c r="V494" s="118"/>
      <c r="W494" s="118"/>
      <c r="X494" s="118"/>
      <c r="Y494" s="118"/>
      <c r="Z494" s="118"/>
      <c r="AA494" s="118"/>
      <c r="AB494" s="118"/>
      <c r="AC494" s="118"/>
      <c r="AD494" s="111"/>
      <c r="AE494" s="73"/>
      <c r="AF494" s="73"/>
    </row>
    <row r="495" ht="22.5" customHeight="1">
      <c r="A495" s="73"/>
      <c r="B495" s="73"/>
      <c r="C495" s="73"/>
      <c r="D495" s="73"/>
      <c r="E495" s="330"/>
      <c r="F495" s="118"/>
      <c r="G495" s="118"/>
      <c r="H495" s="118"/>
      <c r="I495" s="118"/>
      <c r="J495" s="119"/>
      <c r="K495" s="120"/>
      <c r="L495" s="120"/>
      <c r="M495" s="120"/>
      <c r="N495" s="120"/>
      <c r="O495" s="118"/>
      <c r="P495" s="120"/>
      <c r="Q495" s="121"/>
      <c r="R495" s="109" t="b">
        <v>0</v>
      </c>
      <c r="S495" s="143" t="str">
        <f t="shared" si="1"/>
        <v>Suspenso</v>
      </c>
      <c r="T495" s="118"/>
      <c r="U495" s="118"/>
      <c r="V495" s="118"/>
      <c r="W495" s="118"/>
      <c r="X495" s="118"/>
      <c r="Y495" s="118"/>
      <c r="Z495" s="118"/>
      <c r="AA495" s="118"/>
      <c r="AB495" s="118"/>
      <c r="AC495" s="118"/>
      <c r="AD495" s="111"/>
      <c r="AE495" s="73"/>
      <c r="AF495" s="73"/>
    </row>
    <row r="496" ht="22.5" customHeight="1">
      <c r="A496" s="73"/>
      <c r="B496" s="73"/>
      <c r="C496" s="73"/>
      <c r="D496" s="73"/>
      <c r="E496" s="330"/>
      <c r="F496" s="118"/>
      <c r="G496" s="118"/>
      <c r="H496" s="118"/>
      <c r="I496" s="118"/>
      <c r="J496" s="119"/>
      <c r="K496" s="120"/>
      <c r="L496" s="120"/>
      <c r="M496" s="120"/>
      <c r="N496" s="120"/>
      <c r="O496" s="118"/>
      <c r="P496" s="120"/>
      <c r="Q496" s="121"/>
      <c r="R496" s="109" t="b">
        <v>0</v>
      </c>
      <c r="S496" s="143" t="str">
        <f t="shared" si="1"/>
        <v>Suspenso</v>
      </c>
      <c r="T496" s="118"/>
      <c r="U496" s="118"/>
      <c r="V496" s="118"/>
      <c r="W496" s="118"/>
      <c r="X496" s="118"/>
      <c r="Y496" s="118"/>
      <c r="Z496" s="118"/>
      <c r="AA496" s="118"/>
      <c r="AB496" s="118"/>
      <c r="AC496" s="118"/>
      <c r="AD496" s="111"/>
      <c r="AE496" s="73"/>
      <c r="AF496" s="73"/>
    </row>
    <row r="497" ht="22.5" customHeight="1">
      <c r="A497" s="73"/>
      <c r="B497" s="73"/>
      <c r="C497" s="73"/>
      <c r="D497" s="73"/>
      <c r="E497" s="330"/>
      <c r="F497" s="118"/>
      <c r="G497" s="118"/>
      <c r="H497" s="118"/>
      <c r="I497" s="118"/>
      <c r="J497" s="119"/>
      <c r="K497" s="120"/>
      <c r="L497" s="120"/>
      <c r="M497" s="120"/>
      <c r="N497" s="120"/>
      <c r="O497" s="118"/>
      <c r="P497" s="120"/>
      <c r="Q497" s="121"/>
      <c r="R497" s="109" t="b">
        <v>0</v>
      </c>
      <c r="S497" s="143" t="str">
        <f t="shared" si="1"/>
        <v>Suspenso</v>
      </c>
      <c r="T497" s="118"/>
      <c r="U497" s="118"/>
      <c r="V497" s="118"/>
      <c r="W497" s="118"/>
      <c r="X497" s="118"/>
      <c r="Y497" s="118"/>
      <c r="Z497" s="118"/>
      <c r="AA497" s="118"/>
      <c r="AB497" s="118"/>
      <c r="AC497" s="118"/>
      <c r="AD497" s="111"/>
      <c r="AE497" s="73"/>
      <c r="AF497" s="73"/>
    </row>
    <row r="498" ht="22.5" customHeight="1">
      <c r="A498" s="73"/>
      <c r="B498" s="73"/>
      <c r="C498" s="73"/>
      <c r="D498" s="73"/>
      <c r="E498" s="330"/>
      <c r="F498" s="118"/>
      <c r="G498" s="118"/>
      <c r="H498" s="118"/>
      <c r="I498" s="118"/>
      <c r="J498" s="119"/>
      <c r="K498" s="120"/>
      <c r="L498" s="120"/>
      <c r="M498" s="120"/>
      <c r="N498" s="120"/>
      <c r="O498" s="118"/>
      <c r="P498" s="120"/>
      <c r="Q498" s="121"/>
      <c r="R498" s="109" t="b">
        <v>0</v>
      </c>
      <c r="S498" s="143" t="str">
        <f t="shared" si="1"/>
        <v>Suspenso</v>
      </c>
      <c r="T498" s="118"/>
      <c r="U498" s="118"/>
      <c r="V498" s="118"/>
      <c r="W498" s="118"/>
      <c r="X498" s="118"/>
      <c r="Y498" s="118"/>
      <c r="Z498" s="118"/>
      <c r="AA498" s="118"/>
      <c r="AB498" s="118"/>
      <c r="AC498" s="118"/>
      <c r="AD498" s="111"/>
      <c r="AE498" s="73"/>
      <c r="AF498" s="73"/>
    </row>
    <row r="499" ht="22.5" customHeight="1">
      <c r="A499" s="73"/>
      <c r="B499" s="73"/>
      <c r="C499" s="73"/>
      <c r="D499" s="73"/>
      <c r="E499" s="330"/>
      <c r="F499" s="118"/>
      <c r="G499" s="118"/>
      <c r="H499" s="118"/>
      <c r="I499" s="118"/>
      <c r="J499" s="119"/>
      <c r="K499" s="120"/>
      <c r="L499" s="120"/>
      <c r="M499" s="120"/>
      <c r="N499" s="120"/>
      <c r="O499" s="118"/>
      <c r="P499" s="120"/>
      <c r="Q499" s="121"/>
      <c r="R499" s="109" t="b">
        <v>0</v>
      </c>
      <c r="S499" s="143" t="str">
        <f t="shared" si="1"/>
        <v>Suspenso</v>
      </c>
      <c r="T499" s="118"/>
      <c r="U499" s="118"/>
      <c r="V499" s="118"/>
      <c r="W499" s="118"/>
      <c r="X499" s="118"/>
      <c r="Y499" s="118"/>
      <c r="Z499" s="118"/>
      <c r="AA499" s="118"/>
      <c r="AB499" s="118"/>
      <c r="AC499" s="118"/>
      <c r="AD499" s="111"/>
      <c r="AE499" s="73"/>
      <c r="AF499" s="73"/>
    </row>
    <row r="500" ht="22.5" customHeight="1">
      <c r="A500" s="73"/>
      <c r="B500" s="73"/>
      <c r="C500" s="73"/>
      <c r="D500" s="73"/>
      <c r="E500" s="330"/>
      <c r="F500" s="118"/>
      <c r="G500" s="118"/>
      <c r="H500" s="118"/>
      <c r="I500" s="118"/>
      <c r="J500" s="119"/>
      <c r="K500" s="120"/>
      <c r="L500" s="120"/>
      <c r="M500" s="120"/>
      <c r="N500" s="120"/>
      <c r="O500" s="118"/>
      <c r="P500" s="120"/>
      <c r="Q500" s="121"/>
      <c r="R500" s="109" t="b">
        <v>0</v>
      </c>
      <c r="S500" s="143" t="str">
        <f t="shared" si="1"/>
        <v>Suspenso</v>
      </c>
      <c r="T500" s="118"/>
      <c r="U500" s="118"/>
      <c r="V500" s="118"/>
      <c r="W500" s="118"/>
      <c r="X500" s="118"/>
      <c r="Y500" s="118"/>
      <c r="Z500" s="118"/>
      <c r="AA500" s="118"/>
      <c r="AB500" s="118"/>
      <c r="AC500" s="118"/>
      <c r="AD500" s="111"/>
      <c r="AE500" s="73"/>
      <c r="AF500" s="73"/>
    </row>
    <row r="501" ht="22.5" customHeight="1">
      <c r="A501" s="73"/>
      <c r="B501" s="73"/>
      <c r="C501" s="73"/>
      <c r="D501" s="73"/>
      <c r="E501" s="330"/>
      <c r="F501" s="118"/>
      <c r="G501" s="118"/>
      <c r="H501" s="118"/>
      <c r="I501" s="118"/>
      <c r="J501" s="119"/>
      <c r="K501" s="120"/>
      <c r="L501" s="120"/>
      <c r="M501" s="120"/>
      <c r="N501" s="120"/>
      <c r="O501" s="118"/>
      <c r="P501" s="120"/>
      <c r="Q501" s="121"/>
      <c r="R501" s="109" t="b">
        <v>0</v>
      </c>
      <c r="S501" s="143" t="str">
        <f t="shared" si="1"/>
        <v>Suspenso</v>
      </c>
      <c r="T501" s="118"/>
      <c r="U501" s="118"/>
      <c r="V501" s="118"/>
      <c r="W501" s="118"/>
      <c r="X501" s="118"/>
      <c r="Y501" s="118"/>
      <c r="Z501" s="118"/>
      <c r="AA501" s="118"/>
      <c r="AB501" s="118"/>
      <c r="AC501" s="118"/>
      <c r="AD501" s="111"/>
      <c r="AE501" s="73"/>
      <c r="AF501" s="73"/>
    </row>
    <row r="502" ht="22.5" customHeight="1">
      <c r="A502" s="73"/>
      <c r="B502" s="73"/>
      <c r="C502" s="73"/>
      <c r="D502" s="73"/>
      <c r="E502" s="330"/>
      <c r="F502" s="118"/>
      <c r="G502" s="118"/>
      <c r="H502" s="118"/>
      <c r="I502" s="118"/>
      <c r="J502" s="119"/>
      <c r="K502" s="120"/>
      <c r="L502" s="120"/>
      <c r="M502" s="120"/>
      <c r="N502" s="120"/>
      <c r="O502" s="118"/>
      <c r="P502" s="120"/>
      <c r="Q502" s="121"/>
      <c r="R502" s="109" t="b">
        <v>0</v>
      </c>
      <c r="S502" s="143" t="str">
        <f t="shared" si="1"/>
        <v>Suspenso</v>
      </c>
      <c r="T502" s="118"/>
      <c r="U502" s="118"/>
      <c r="V502" s="118"/>
      <c r="W502" s="118"/>
      <c r="X502" s="118"/>
      <c r="Y502" s="118"/>
      <c r="Z502" s="118"/>
      <c r="AA502" s="118"/>
      <c r="AB502" s="118"/>
      <c r="AC502" s="118"/>
      <c r="AD502" s="111"/>
      <c r="AE502" s="73"/>
      <c r="AF502" s="73"/>
    </row>
    <row r="503" ht="22.5" customHeight="1">
      <c r="A503" s="73"/>
      <c r="B503" s="73"/>
      <c r="C503" s="73"/>
      <c r="D503" s="73"/>
      <c r="E503" s="330"/>
      <c r="F503" s="118"/>
      <c r="G503" s="118"/>
      <c r="H503" s="118"/>
      <c r="I503" s="118"/>
      <c r="J503" s="119"/>
      <c r="K503" s="120"/>
      <c r="L503" s="120"/>
      <c r="M503" s="120"/>
      <c r="N503" s="120"/>
      <c r="O503" s="118"/>
      <c r="P503" s="120"/>
      <c r="Q503" s="121"/>
      <c r="R503" s="109" t="b">
        <v>0</v>
      </c>
      <c r="S503" s="143" t="str">
        <f t="shared" si="1"/>
        <v>Suspenso</v>
      </c>
      <c r="T503" s="118"/>
      <c r="U503" s="118"/>
      <c r="V503" s="118"/>
      <c r="W503" s="118"/>
      <c r="X503" s="118"/>
      <c r="Y503" s="118"/>
      <c r="Z503" s="118"/>
      <c r="AA503" s="118"/>
      <c r="AB503" s="118"/>
      <c r="AC503" s="118"/>
      <c r="AD503" s="111"/>
      <c r="AE503" s="73"/>
      <c r="AF503" s="73"/>
    </row>
    <row r="504" ht="22.5" customHeight="1">
      <c r="A504" s="73"/>
      <c r="B504" s="73"/>
      <c r="C504" s="73"/>
      <c r="D504" s="73"/>
      <c r="E504" s="330"/>
      <c r="F504" s="118"/>
      <c r="G504" s="118"/>
      <c r="H504" s="118"/>
      <c r="I504" s="118"/>
      <c r="J504" s="119"/>
      <c r="K504" s="120"/>
      <c r="L504" s="120"/>
      <c r="M504" s="120"/>
      <c r="N504" s="120"/>
      <c r="O504" s="118"/>
      <c r="P504" s="120"/>
      <c r="Q504" s="121"/>
      <c r="R504" s="109" t="b">
        <v>0</v>
      </c>
      <c r="S504" s="143" t="str">
        <f t="shared" si="1"/>
        <v>Suspenso</v>
      </c>
      <c r="T504" s="118"/>
      <c r="U504" s="118"/>
      <c r="V504" s="118"/>
      <c r="W504" s="118"/>
      <c r="X504" s="118"/>
      <c r="Y504" s="118"/>
      <c r="Z504" s="118"/>
      <c r="AA504" s="118"/>
      <c r="AB504" s="118"/>
      <c r="AC504" s="118"/>
      <c r="AD504" s="111"/>
      <c r="AE504" s="73"/>
      <c r="AF504" s="73"/>
    </row>
    <row r="505" ht="22.5" customHeight="1">
      <c r="A505" s="73"/>
      <c r="B505" s="73"/>
      <c r="C505" s="73"/>
      <c r="D505" s="73"/>
      <c r="E505" s="330"/>
      <c r="F505" s="118"/>
      <c r="G505" s="118"/>
      <c r="H505" s="118"/>
      <c r="I505" s="118"/>
      <c r="J505" s="119"/>
      <c r="K505" s="120"/>
      <c r="L505" s="120"/>
      <c r="M505" s="120"/>
      <c r="N505" s="120"/>
      <c r="O505" s="118"/>
      <c r="P505" s="120"/>
      <c r="Q505" s="121"/>
      <c r="R505" s="109" t="b">
        <v>0</v>
      </c>
      <c r="S505" s="143" t="str">
        <f t="shared" si="1"/>
        <v>Suspenso</v>
      </c>
      <c r="T505" s="118"/>
      <c r="U505" s="118"/>
      <c r="V505" s="118"/>
      <c r="W505" s="118"/>
      <c r="X505" s="118"/>
      <c r="Y505" s="118"/>
      <c r="Z505" s="118"/>
      <c r="AA505" s="118"/>
      <c r="AB505" s="118"/>
      <c r="AC505" s="118"/>
      <c r="AD505" s="111"/>
      <c r="AE505" s="73"/>
      <c r="AF505" s="73"/>
    </row>
    <row r="506" ht="22.5" customHeight="1">
      <c r="A506" s="73"/>
      <c r="B506" s="73"/>
      <c r="C506" s="73"/>
      <c r="D506" s="73"/>
      <c r="E506" s="330"/>
      <c r="F506" s="118"/>
      <c r="G506" s="118"/>
      <c r="H506" s="118"/>
      <c r="I506" s="118"/>
      <c r="J506" s="119"/>
      <c r="K506" s="120"/>
      <c r="L506" s="120"/>
      <c r="M506" s="120"/>
      <c r="N506" s="120"/>
      <c r="O506" s="118"/>
      <c r="P506" s="120"/>
      <c r="Q506" s="121"/>
      <c r="R506" s="109" t="b">
        <v>0</v>
      </c>
      <c r="S506" s="143" t="str">
        <f t="shared" si="1"/>
        <v>Suspenso</v>
      </c>
      <c r="T506" s="118"/>
      <c r="U506" s="118"/>
      <c r="V506" s="118"/>
      <c r="W506" s="118"/>
      <c r="X506" s="118"/>
      <c r="Y506" s="118"/>
      <c r="Z506" s="118"/>
      <c r="AA506" s="118"/>
      <c r="AB506" s="118"/>
      <c r="AC506" s="118"/>
      <c r="AD506" s="111"/>
      <c r="AE506" s="73"/>
      <c r="AF506" s="73"/>
    </row>
    <row r="507" ht="22.5" customHeight="1">
      <c r="A507" s="73"/>
      <c r="B507" s="73"/>
      <c r="C507" s="73"/>
      <c r="D507" s="73"/>
      <c r="E507" s="330"/>
      <c r="F507" s="118"/>
      <c r="G507" s="118"/>
      <c r="H507" s="118"/>
      <c r="I507" s="118"/>
      <c r="J507" s="119"/>
      <c r="K507" s="120"/>
      <c r="L507" s="120"/>
      <c r="M507" s="120"/>
      <c r="N507" s="120"/>
      <c r="O507" s="118"/>
      <c r="P507" s="120"/>
      <c r="Q507" s="121"/>
      <c r="R507" s="109" t="b">
        <v>0</v>
      </c>
      <c r="S507" s="143" t="str">
        <f t="shared" si="1"/>
        <v>Suspenso</v>
      </c>
      <c r="T507" s="118"/>
      <c r="U507" s="118"/>
      <c r="V507" s="118"/>
      <c r="W507" s="118"/>
      <c r="X507" s="118"/>
      <c r="Y507" s="118"/>
      <c r="Z507" s="118"/>
      <c r="AA507" s="118"/>
      <c r="AB507" s="118"/>
      <c r="AC507" s="118"/>
      <c r="AD507" s="111"/>
      <c r="AE507" s="73"/>
      <c r="AF507" s="73"/>
    </row>
    <row r="508" ht="22.5" customHeight="1">
      <c r="A508" s="73"/>
      <c r="B508" s="73"/>
      <c r="C508" s="73"/>
      <c r="D508" s="73"/>
      <c r="E508" s="330"/>
      <c r="F508" s="118"/>
      <c r="G508" s="118"/>
      <c r="H508" s="118"/>
      <c r="I508" s="118"/>
      <c r="J508" s="119"/>
      <c r="K508" s="120"/>
      <c r="L508" s="120"/>
      <c r="M508" s="120"/>
      <c r="N508" s="120"/>
      <c r="O508" s="118"/>
      <c r="P508" s="120"/>
      <c r="Q508" s="121"/>
      <c r="R508" s="109" t="b">
        <v>0</v>
      </c>
      <c r="S508" s="143" t="str">
        <f t="shared" si="1"/>
        <v>Suspenso</v>
      </c>
      <c r="T508" s="118"/>
      <c r="U508" s="118"/>
      <c r="V508" s="118"/>
      <c r="W508" s="118"/>
      <c r="X508" s="118"/>
      <c r="Y508" s="118"/>
      <c r="Z508" s="118"/>
      <c r="AA508" s="118"/>
      <c r="AB508" s="118"/>
      <c r="AC508" s="118"/>
      <c r="AD508" s="111"/>
      <c r="AE508" s="73"/>
      <c r="AF508" s="73"/>
    </row>
    <row r="509" ht="22.5" customHeight="1">
      <c r="A509" s="73"/>
      <c r="B509" s="73"/>
      <c r="C509" s="73"/>
      <c r="D509" s="73"/>
      <c r="E509" s="330"/>
      <c r="F509" s="118"/>
      <c r="G509" s="118"/>
      <c r="H509" s="118"/>
      <c r="I509" s="118"/>
      <c r="J509" s="119"/>
      <c r="K509" s="120"/>
      <c r="L509" s="120"/>
      <c r="M509" s="120"/>
      <c r="N509" s="120"/>
      <c r="O509" s="118"/>
      <c r="P509" s="120"/>
      <c r="Q509" s="121"/>
      <c r="R509" s="109" t="b">
        <v>0</v>
      </c>
      <c r="S509" s="143" t="str">
        <f t="shared" si="1"/>
        <v>Suspenso</v>
      </c>
      <c r="T509" s="118"/>
      <c r="U509" s="118"/>
      <c r="V509" s="118"/>
      <c r="W509" s="118"/>
      <c r="X509" s="118"/>
      <c r="Y509" s="118"/>
      <c r="Z509" s="118"/>
      <c r="AA509" s="118"/>
      <c r="AB509" s="118"/>
      <c r="AC509" s="118"/>
      <c r="AD509" s="111"/>
      <c r="AE509" s="73"/>
      <c r="AF509" s="73"/>
    </row>
    <row r="510" ht="22.5" customHeight="1">
      <c r="A510" s="73"/>
      <c r="B510" s="73"/>
      <c r="C510" s="73"/>
      <c r="D510" s="73"/>
      <c r="E510" s="330"/>
      <c r="F510" s="118"/>
      <c r="G510" s="118"/>
      <c r="H510" s="118"/>
      <c r="I510" s="118"/>
      <c r="J510" s="119"/>
      <c r="K510" s="120"/>
      <c r="L510" s="120"/>
      <c r="M510" s="120"/>
      <c r="N510" s="120"/>
      <c r="O510" s="118"/>
      <c r="P510" s="120"/>
      <c r="Q510" s="121"/>
      <c r="R510" s="109" t="b">
        <v>0</v>
      </c>
      <c r="S510" s="143" t="str">
        <f t="shared" si="1"/>
        <v>Suspenso</v>
      </c>
      <c r="T510" s="118"/>
      <c r="U510" s="118"/>
      <c r="V510" s="118"/>
      <c r="W510" s="118"/>
      <c r="X510" s="118"/>
      <c r="Y510" s="118"/>
      <c r="Z510" s="118"/>
      <c r="AA510" s="118"/>
      <c r="AB510" s="118"/>
      <c r="AC510" s="118"/>
      <c r="AD510" s="111"/>
      <c r="AE510" s="73"/>
      <c r="AF510" s="73"/>
    </row>
    <row r="511" ht="22.5" customHeight="1">
      <c r="A511" s="73"/>
      <c r="B511" s="73"/>
      <c r="C511" s="73"/>
      <c r="D511" s="73"/>
      <c r="E511" s="330"/>
      <c r="F511" s="118"/>
      <c r="G511" s="118"/>
      <c r="H511" s="118"/>
      <c r="I511" s="118"/>
      <c r="J511" s="119"/>
      <c r="K511" s="120"/>
      <c r="L511" s="120"/>
      <c r="M511" s="120"/>
      <c r="N511" s="120"/>
      <c r="O511" s="118"/>
      <c r="P511" s="120"/>
      <c r="Q511" s="121"/>
      <c r="R511" s="109" t="b">
        <v>0</v>
      </c>
      <c r="S511" s="143" t="str">
        <f t="shared" si="1"/>
        <v>Suspenso</v>
      </c>
      <c r="T511" s="118"/>
      <c r="U511" s="118"/>
      <c r="V511" s="118"/>
      <c r="W511" s="118"/>
      <c r="X511" s="118"/>
      <c r="Y511" s="118"/>
      <c r="Z511" s="118"/>
      <c r="AA511" s="118"/>
      <c r="AB511" s="118"/>
      <c r="AC511" s="118"/>
      <c r="AD511" s="111"/>
      <c r="AE511" s="73"/>
      <c r="AF511" s="73"/>
    </row>
    <row r="512" ht="22.5" customHeight="1">
      <c r="A512" s="73"/>
      <c r="B512" s="73"/>
      <c r="C512" s="73"/>
      <c r="D512" s="73"/>
      <c r="E512" s="330"/>
      <c r="F512" s="118"/>
      <c r="G512" s="118"/>
      <c r="H512" s="118"/>
      <c r="I512" s="118"/>
      <c r="J512" s="119"/>
      <c r="K512" s="120"/>
      <c r="L512" s="120"/>
      <c r="M512" s="120"/>
      <c r="N512" s="120"/>
      <c r="O512" s="118"/>
      <c r="P512" s="120"/>
      <c r="Q512" s="121"/>
      <c r="R512" s="109" t="b">
        <v>0</v>
      </c>
      <c r="S512" s="143" t="str">
        <f t="shared" si="1"/>
        <v>Suspenso</v>
      </c>
      <c r="T512" s="118"/>
      <c r="U512" s="118"/>
      <c r="V512" s="118"/>
      <c r="W512" s="118"/>
      <c r="X512" s="118"/>
      <c r="Y512" s="118"/>
      <c r="Z512" s="118"/>
      <c r="AA512" s="118"/>
      <c r="AB512" s="118"/>
      <c r="AC512" s="118"/>
      <c r="AD512" s="111"/>
      <c r="AE512" s="73"/>
      <c r="AF512" s="73"/>
    </row>
    <row r="513" ht="22.5" customHeight="1">
      <c r="A513" s="73"/>
      <c r="B513" s="73"/>
      <c r="C513" s="73"/>
      <c r="D513" s="73"/>
      <c r="E513" s="330"/>
      <c r="F513" s="118"/>
      <c r="G513" s="118"/>
      <c r="H513" s="118"/>
      <c r="I513" s="118"/>
      <c r="J513" s="119"/>
      <c r="K513" s="120"/>
      <c r="L513" s="120"/>
      <c r="M513" s="120"/>
      <c r="N513" s="120"/>
      <c r="O513" s="118"/>
      <c r="P513" s="120"/>
      <c r="Q513" s="121"/>
      <c r="R513" s="109" t="b">
        <v>0</v>
      </c>
      <c r="S513" s="143" t="str">
        <f t="shared" si="1"/>
        <v>Suspenso</v>
      </c>
      <c r="T513" s="118"/>
      <c r="U513" s="118"/>
      <c r="V513" s="118"/>
      <c r="W513" s="118"/>
      <c r="X513" s="118"/>
      <c r="Y513" s="118"/>
      <c r="Z513" s="118"/>
      <c r="AA513" s="118"/>
      <c r="AB513" s="118"/>
      <c r="AC513" s="118"/>
      <c r="AD513" s="111"/>
      <c r="AE513" s="73"/>
      <c r="AF513" s="73"/>
    </row>
    <row r="514" ht="22.5" customHeight="1">
      <c r="A514" s="73"/>
      <c r="B514" s="73"/>
      <c r="C514" s="73"/>
      <c r="D514" s="73"/>
      <c r="E514" s="330"/>
      <c r="F514" s="118"/>
      <c r="G514" s="118"/>
      <c r="H514" s="118"/>
      <c r="I514" s="118"/>
      <c r="J514" s="119"/>
      <c r="K514" s="120"/>
      <c r="L514" s="120"/>
      <c r="M514" s="120"/>
      <c r="N514" s="120"/>
      <c r="O514" s="118"/>
      <c r="P514" s="120"/>
      <c r="Q514" s="121"/>
      <c r="R514" s="109" t="b">
        <v>0</v>
      </c>
      <c r="S514" s="143" t="str">
        <f t="shared" si="1"/>
        <v>Suspenso</v>
      </c>
      <c r="T514" s="118"/>
      <c r="U514" s="118"/>
      <c r="V514" s="118"/>
      <c r="W514" s="118"/>
      <c r="X514" s="118"/>
      <c r="Y514" s="118"/>
      <c r="Z514" s="118"/>
      <c r="AA514" s="118"/>
      <c r="AB514" s="118"/>
      <c r="AC514" s="118"/>
      <c r="AD514" s="111"/>
      <c r="AE514" s="73"/>
      <c r="AF514" s="73"/>
    </row>
    <row r="515" ht="22.5" customHeight="1">
      <c r="A515" s="73"/>
      <c r="B515" s="73"/>
      <c r="C515" s="73"/>
      <c r="D515" s="73"/>
      <c r="E515" s="330"/>
      <c r="F515" s="118"/>
      <c r="G515" s="118"/>
      <c r="H515" s="118"/>
      <c r="I515" s="118"/>
      <c r="J515" s="119"/>
      <c r="K515" s="120"/>
      <c r="L515" s="120"/>
      <c r="M515" s="120"/>
      <c r="N515" s="120"/>
      <c r="O515" s="118"/>
      <c r="P515" s="120"/>
      <c r="Q515" s="121"/>
      <c r="R515" s="109" t="b">
        <v>0</v>
      </c>
      <c r="S515" s="143" t="str">
        <f t="shared" si="1"/>
        <v>Suspenso</v>
      </c>
      <c r="T515" s="118"/>
      <c r="U515" s="118"/>
      <c r="V515" s="118"/>
      <c r="W515" s="118"/>
      <c r="X515" s="118"/>
      <c r="Y515" s="118"/>
      <c r="Z515" s="118"/>
      <c r="AA515" s="118"/>
      <c r="AB515" s="118"/>
      <c r="AC515" s="118"/>
      <c r="AD515" s="111"/>
      <c r="AE515" s="73"/>
      <c r="AF515" s="73"/>
    </row>
    <row r="516" ht="22.5" customHeight="1">
      <c r="A516" s="73"/>
      <c r="B516" s="73"/>
      <c r="C516" s="73"/>
      <c r="D516" s="73"/>
      <c r="E516" s="330"/>
      <c r="F516" s="118"/>
      <c r="G516" s="118"/>
      <c r="H516" s="118"/>
      <c r="I516" s="118"/>
      <c r="J516" s="119"/>
      <c r="K516" s="120"/>
      <c r="L516" s="120"/>
      <c r="M516" s="120"/>
      <c r="N516" s="120"/>
      <c r="O516" s="118"/>
      <c r="P516" s="120"/>
      <c r="Q516" s="121"/>
      <c r="R516" s="109" t="b">
        <v>0</v>
      </c>
      <c r="S516" s="143" t="str">
        <f t="shared" si="1"/>
        <v>Suspenso</v>
      </c>
      <c r="T516" s="118"/>
      <c r="U516" s="118"/>
      <c r="V516" s="118"/>
      <c r="W516" s="118"/>
      <c r="X516" s="118"/>
      <c r="Y516" s="118"/>
      <c r="Z516" s="118"/>
      <c r="AA516" s="118"/>
      <c r="AB516" s="118"/>
      <c r="AC516" s="118"/>
      <c r="AD516" s="111"/>
      <c r="AE516" s="73"/>
      <c r="AF516" s="73"/>
    </row>
    <row r="517" ht="22.5" customHeight="1">
      <c r="A517" s="73"/>
      <c r="B517" s="73"/>
      <c r="C517" s="73"/>
      <c r="D517" s="73"/>
      <c r="E517" s="330"/>
      <c r="F517" s="118"/>
      <c r="G517" s="118"/>
      <c r="H517" s="118"/>
      <c r="I517" s="118"/>
      <c r="J517" s="119"/>
      <c r="K517" s="120"/>
      <c r="L517" s="120"/>
      <c r="M517" s="120"/>
      <c r="N517" s="120"/>
      <c r="O517" s="118"/>
      <c r="P517" s="120"/>
      <c r="Q517" s="121"/>
      <c r="R517" s="109" t="b">
        <v>0</v>
      </c>
      <c r="S517" s="143" t="str">
        <f t="shared" si="1"/>
        <v>Suspenso</v>
      </c>
      <c r="T517" s="118"/>
      <c r="U517" s="118"/>
      <c r="V517" s="118"/>
      <c r="W517" s="118"/>
      <c r="X517" s="118"/>
      <c r="Y517" s="118"/>
      <c r="Z517" s="118"/>
      <c r="AA517" s="118"/>
      <c r="AB517" s="118"/>
      <c r="AC517" s="118"/>
      <c r="AD517" s="111"/>
      <c r="AE517" s="73"/>
      <c r="AF517" s="73"/>
    </row>
    <row r="518" ht="22.5" customHeight="1">
      <c r="A518" s="73"/>
      <c r="B518" s="73"/>
      <c r="C518" s="73"/>
      <c r="D518" s="73"/>
      <c r="E518" s="330"/>
      <c r="F518" s="118"/>
      <c r="G518" s="118"/>
      <c r="H518" s="118"/>
      <c r="I518" s="118"/>
      <c r="J518" s="119"/>
      <c r="K518" s="120"/>
      <c r="L518" s="120"/>
      <c r="M518" s="120"/>
      <c r="N518" s="120"/>
      <c r="O518" s="118"/>
      <c r="P518" s="120"/>
      <c r="Q518" s="121"/>
      <c r="R518" s="109" t="b">
        <v>0</v>
      </c>
      <c r="S518" s="143" t="str">
        <f t="shared" si="1"/>
        <v>Suspenso</v>
      </c>
      <c r="T518" s="118"/>
      <c r="U518" s="118"/>
      <c r="V518" s="118"/>
      <c r="W518" s="118"/>
      <c r="X518" s="118"/>
      <c r="Y518" s="118"/>
      <c r="Z518" s="118"/>
      <c r="AA518" s="118"/>
      <c r="AB518" s="118"/>
      <c r="AC518" s="118"/>
      <c r="AD518" s="111"/>
      <c r="AE518" s="73"/>
      <c r="AF518" s="73"/>
    </row>
    <row r="519" ht="22.5" customHeight="1">
      <c r="A519" s="73"/>
      <c r="B519" s="73"/>
      <c r="C519" s="73"/>
      <c r="D519" s="73"/>
      <c r="E519" s="330"/>
      <c r="F519" s="118"/>
      <c r="G519" s="118"/>
      <c r="H519" s="118"/>
      <c r="I519" s="118"/>
      <c r="J519" s="119"/>
      <c r="K519" s="120"/>
      <c r="L519" s="120"/>
      <c r="M519" s="120"/>
      <c r="N519" s="120"/>
      <c r="O519" s="118"/>
      <c r="P519" s="120"/>
      <c r="Q519" s="121"/>
      <c r="R519" s="109" t="b">
        <v>0</v>
      </c>
      <c r="S519" s="143" t="str">
        <f t="shared" si="1"/>
        <v>Suspenso</v>
      </c>
      <c r="T519" s="118"/>
      <c r="U519" s="118"/>
      <c r="V519" s="118"/>
      <c r="W519" s="118"/>
      <c r="X519" s="118"/>
      <c r="Y519" s="118"/>
      <c r="Z519" s="118"/>
      <c r="AA519" s="118"/>
      <c r="AB519" s="118"/>
      <c r="AC519" s="118"/>
      <c r="AD519" s="111"/>
      <c r="AE519" s="73"/>
      <c r="AF519" s="73"/>
    </row>
    <row r="520" ht="22.5" customHeight="1">
      <c r="A520" s="73"/>
      <c r="B520" s="73"/>
      <c r="C520" s="73"/>
      <c r="D520" s="73"/>
      <c r="E520" s="330"/>
      <c r="F520" s="118"/>
      <c r="G520" s="118"/>
      <c r="H520" s="118"/>
      <c r="I520" s="118"/>
      <c r="J520" s="119"/>
      <c r="K520" s="120"/>
      <c r="L520" s="120"/>
      <c r="M520" s="120"/>
      <c r="N520" s="120"/>
      <c r="O520" s="118"/>
      <c r="P520" s="120"/>
      <c r="Q520" s="121"/>
      <c r="R520" s="109" t="b">
        <v>0</v>
      </c>
      <c r="S520" s="143" t="str">
        <f t="shared" si="1"/>
        <v>Suspenso</v>
      </c>
      <c r="T520" s="118"/>
      <c r="U520" s="118"/>
      <c r="V520" s="118"/>
      <c r="W520" s="118"/>
      <c r="X520" s="118"/>
      <c r="Y520" s="118"/>
      <c r="Z520" s="118"/>
      <c r="AA520" s="118"/>
      <c r="AB520" s="118"/>
      <c r="AC520" s="118"/>
      <c r="AD520" s="111"/>
      <c r="AE520" s="73"/>
      <c r="AF520" s="73"/>
    </row>
    <row r="521" ht="22.5" customHeight="1">
      <c r="A521" s="73"/>
      <c r="B521" s="73"/>
      <c r="C521" s="73"/>
      <c r="D521" s="73"/>
      <c r="E521" s="330"/>
      <c r="F521" s="118"/>
      <c r="G521" s="118"/>
      <c r="H521" s="118"/>
      <c r="I521" s="118"/>
      <c r="J521" s="119"/>
      <c r="K521" s="120"/>
      <c r="L521" s="120"/>
      <c r="M521" s="120"/>
      <c r="N521" s="120"/>
      <c r="O521" s="118"/>
      <c r="P521" s="120"/>
      <c r="Q521" s="121"/>
      <c r="R521" s="109" t="b">
        <v>0</v>
      </c>
      <c r="S521" s="143" t="str">
        <f t="shared" si="1"/>
        <v>Suspenso</v>
      </c>
      <c r="T521" s="118"/>
      <c r="U521" s="118"/>
      <c r="V521" s="118"/>
      <c r="W521" s="118"/>
      <c r="X521" s="118"/>
      <c r="Y521" s="118"/>
      <c r="Z521" s="118"/>
      <c r="AA521" s="118"/>
      <c r="AB521" s="118"/>
      <c r="AC521" s="118"/>
      <c r="AD521" s="111"/>
      <c r="AE521" s="73"/>
      <c r="AF521" s="73"/>
    </row>
    <row r="522" ht="22.5" customHeight="1">
      <c r="A522" s="73"/>
      <c r="B522" s="73"/>
      <c r="C522" s="73"/>
      <c r="D522" s="73"/>
      <c r="E522" s="330"/>
      <c r="F522" s="118"/>
      <c r="G522" s="118"/>
      <c r="H522" s="118"/>
      <c r="I522" s="118"/>
      <c r="J522" s="119"/>
      <c r="K522" s="120"/>
      <c r="L522" s="120"/>
      <c r="M522" s="120"/>
      <c r="N522" s="120"/>
      <c r="O522" s="118"/>
      <c r="P522" s="120"/>
      <c r="Q522" s="121"/>
      <c r="R522" s="109" t="b">
        <v>0</v>
      </c>
      <c r="S522" s="143" t="str">
        <f t="shared" si="1"/>
        <v>Suspenso</v>
      </c>
      <c r="T522" s="118"/>
      <c r="U522" s="118"/>
      <c r="V522" s="118"/>
      <c r="W522" s="118"/>
      <c r="X522" s="118"/>
      <c r="Y522" s="118"/>
      <c r="Z522" s="118"/>
      <c r="AA522" s="118"/>
      <c r="AB522" s="118"/>
      <c r="AC522" s="118"/>
      <c r="AD522" s="111"/>
      <c r="AE522" s="73"/>
      <c r="AF522" s="73"/>
    </row>
    <row r="523" ht="22.5" customHeight="1">
      <c r="A523" s="73"/>
      <c r="B523" s="73"/>
      <c r="C523" s="73"/>
      <c r="D523" s="73"/>
      <c r="E523" s="330"/>
      <c r="F523" s="118"/>
      <c r="G523" s="118"/>
      <c r="H523" s="118"/>
      <c r="I523" s="118"/>
      <c r="J523" s="119"/>
      <c r="K523" s="120"/>
      <c r="L523" s="120"/>
      <c r="M523" s="120"/>
      <c r="N523" s="120"/>
      <c r="O523" s="118"/>
      <c r="P523" s="120"/>
      <c r="Q523" s="121"/>
      <c r="R523" s="109" t="b">
        <v>0</v>
      </c>
      <c r="S523" s="143" t="str">
        <f t="shared" si="1"/>
        <v>Suspenso</v>
      </c>
      <c r="T523" s="118"/>
      <c r="U523" s="118"/>
      <c r="V523" s="118"/>
      <c r="W523" s="118"/>
      <c r="X523" s="118"/>
      <c r="Y523" s="118"/>
      <c r="Z523" s="118"/>
      <c r="AA523" s="118"/>
      <c r="AB523" s="118"/>
      <c r="AC523" s="118"/>
      <c r="AD523" s="111"/>
      <c r="AE523" s="73"/>
      <c r="AF523" s="73"/>
    </row>
    <row r="524" ht="22.5" customHeight="1">
      <c r="A524" s="73"/>
      <c r="B524" s="73"/>
      <c r="C524" s="73"/>
      <c r="D524" s="73"/>
      <c r="E524" s="330"/>
      <c r="F524" s="118"/>
      <c r="G524" s="118"/>
      <c r="H524" s="118"/>
      <c r="I524" s="118"/>
      <c r="J524" s="119"/>
      <c r="K524" s="120"/>
      <c r="L524" s="120"/>
      <c r="M524" s="120"/>
      <c r="N524" s="120"/>
      <c r="O524" s="118"/>
      <c r="P524" s="120"/>
      <c r="Q524" s="121"/>
      <c r="R524" s="109" t="b">
        <v>0</v>
      </c>
      <c r="S524" s="143" t="str">
        <f t="shared" si="1"/>
        <v>Suspenso</v>
      </c>
      <c r="T524" s="118"/>
      <c r="U524" s="118"/>
      <c r="V524" s="118"/>
      <c r="W524" s="118"/>
      <c r="X524" s="118"/>
      <c r="Y524" s="118"/>
      <c r="Z524" s="118"/>
      <c r="AA524" s="118"/>
      <c r="AB524" s="118"/>
      <c r="AC524" s="118"/>
      <c r="AD524" s="111"/>
      <c r="AE524" s="73"/>
      <c r="AF524" s="73"/>
    </row>
    <row r="525" ht="22.5" customHeight="1">
      <c r="A525" s="73"/>
      <c r="B525" s="73"/>
      <c r="C525" s="73"/>
      <c r="D525" s="73"/>
      <c r="E525" s="330"/>
      <c r="F525" s="118"/>
      <c r="G525" s="118"/>
      <c r="H525" s="118"/>
      <c r="I525" s="118"/>
      <c r="J525" s="119"/>
      <c r="K525" s="120"/>
      <c r="L525" s="120"/>
      <c r="M525" s="120"/>
      <c r="N525" s="120"/>
      <c r="O525" s="118"/>
      <c r="P525" s="120"/>
      <c r="Q525" s="121"/>
      <c r="R525" s="109" t="b">
        <v>0</v>
      </c>
      <c r="S525" s="143" t="str">
        <f t="shared" si="1"/>
        <v>Suspenso</v>
      </c>
      <c r="T525" s="118"/>
      <c r="U525" s="118"/>
      <c r="V525" s="118"/>
      <c r="W525" s="118"/>
      <c r="X525" s="118"/>
      <c r="Y525" s="118"/>
      <c r="Z525" s="118"/>
      <c r="AA525" s="118"/>
      <c r="AB525" s="118"/>
      <c r="AC525" s="118"/>
      <c r="AD525" s="111"/>
      <c r="AE525" s="73"/>
      <c r="AF525" s="73"/>
    </row>
    <row r="526" ht="22.5" customHeight="1">
      <c r="A526" s="73"/>
      <c r="B526" s="73"/>
      <c r="C526" s="73"/>
      <c r="D526" s="73"/>
      <c r="E526" s="330"/>
      <c r="F526" s="118"/>
      <c r="G526" s="118"/>
      <c r="H526" s="118"/>
      <c r="I526" s="118"/>
      <c r="J526" s="119"/>
      <c r="K526" s="120"/>
      <c r="L526" s="120"/>
      <c r="M526" s="120"/>
      <c r="N526" s="120"/>
      <c r="O526" s="118"/>
      <c r="P526" s="120"/>
      <c r="Q526" s="121"/>
      <c r="R526" s="109" t="b">
        <v>0</v>
      </c>
      <c r="S526" s="143" t="str">
        <f t="shared" si="1"/>
        <v>Suspenso</v>
      </c>
      <c r="T526" s="118"/>
      <c r="U526" s="118"/>
      <c r="V526" s="118"/>
      <c r="W526" s="118"/>
      <c r="X526" s="118"/>
      <c r="Y526" s="118"/>
      <c r="Z526" s="118"/>
      <c r="AA526" s="118"/>
      <c r="AB526" s="118"/>
      <c r="AC526" s="118"/>
      <c r="AD526" s="111"/>
      <c r="AE526" s="73"/>
      <c r="AF526" s="73"/>
    </row>
    <row r="527" ht="22.5" customHeight="1">
      <c r="A527" s="73"/>
      <c r="B527" s="73"/>
      <c r="C527" s="73"/>
      <c r="D527" s="73"/>
      <c r="E527" s="330"/>
      <c r="F527" s="118"/>
      <c r="G527" s="118"/>
      <c r="H527" s="118"/>
      <c r="I527" s="118"/>
      <c r="J527" s="119"/>
      <c r="K527" s="120"/>
      <c r="L527" s="120"/>
      <c r="M527" s="120"/>
      <c r="N527" s="120"/>
      <c r="O527" s="118"/>
      <c r="P527" s="120"/>
      <c r="Q527" s="121"/>
      <c r="R527" s="109" t="b">
        <v>0</v>
      </c>
      <c r="S527" s="143" t="str">
        <f t="shared" si="1"/>
        <v>Suspenso</v>
      </c>
      <c r="T527" s="118"/>
      <c r="U527" s="118"/>
      <c r="V527" s="118"/>
      <c r="W527" s="118"/>
      <c r="X527" s="118"/>
      <c r="Y527" s="118"/>
      <c r="Z527" s="118"/>
      <c r="AA527" s="118"/>
      <c r="AB527" s="118"/>
      <c r="AC527" s="118"/>
      <c r="AD527" s="111"/>
      <c r="AE527" s="73"/>
      <c r="AF527" s="73"/>
    </row>
    <row r="528" ht="22.5" customHeight="1">
      <c r="A528" s="73"/>
      <c r="B528" s="73"/>
      <c r="C528" s="73"/>
      <c r="D528" s="73"/>
      <c r="E528" s="330"/>
      <c r="F528" s="118"/>
      <c r="G528" s="118"/>
      <c r="H528" s="118"/>
      <c r="I528" s="118"/>
      <c r="J528" s="119"/>
      <c r="K528" s="120"/>
      <c r="L528" s="120"/>
      <c r="M528" s="120"/>
      <c r="N528" s="120"/>
      <c r="O528" s="118"/>
      <c r="P528" s="120"/>
      <c r="Q528" s="121"/>
      <c r="R528" s="109" t="b">
        <v>0</v>
      </c>
      <c r="S528" s="143" t="str">
        <f t="shared" si="1"/>
        <v>Suspenso</v>
      </c>
      <c r="T528" s="118"/>
      <c r="U528" s="118"/>
      <c r="V528" s="118"/>
      <c r="W528" s="118"/>
      <c r="X528" s="118"/>
      <c r="Y528" s="118"/>
      <c r="Z528" s="118"/>
      <c r="AA528" s="118"/>
      <c r="AB528" s="118"/>
      <c r="AC528" s="118"/>
      <c r="AD528" s="111"/>
      <c r="AE528" s="73"/>
      <c r="AF528" s="73"/>
    </row>
    <row r="529" ht="22.5" customHeight="1">
      <c r="A529" s="73"/>
      <c r="B529" s="73"/>
      <c r="C529" s="73"/>
      <c r="D529" s="73"/>
      <c r="E529" s="330"/>
      <c r="F529" s="118"/>
      <c r="G529" s="118"/>
      <c r="H529" s="118"/>
      <c r="I529" s="118"/>
      <c r="J529" s="119"/>
      <c r="K529" s="120"/>
      <c r="L529" s="120"/>
      <c r="M529" s="120"/>
      <c r="N529" s="120"/>
      <c r="O529" s="118"/>
      <c r="P529" s="120"/>
      <c r="Q529" s="121"/>
      <c r="R529" s="109" t="b">
        <v>0</v>
      </c>
      <c r="S529" s="143" t="str">
        <f t="shared" si="1"/>
        <v>Suspenso</v>
      </c>
      <c r="T529" s="118"/>
      <c r="U529" s="118"/>
      <c r="V529" s="118"/>
      <c r="W529" s="118"/>
      <c r="X529" s="118"/>
      <c r="Y529" s="118"/>
      <c r="Z529" s="118"/>
      <c r="AA529" s="118"/>
      <c r="AB529" s="118"/>
      <c r="AC529" s="118"/>
      <c r="AD529" s="111"/>
      <c r="AE529" s="73"/>
      <c r="AF529" s="73"/>
    </row>
    <row r="530" ht="22.5" customHeight="1">
      <c r="A530" s="73"/>
      <c r="B530" s="73"/>
      <c r="C530" s="73"/>
      <c r="D530" s="73"/>
      <c r="E530" s="330"/>
      <c r="F530" s="118"/>
      <c r="G530" s="118"/>
      <c r="H530" s="118"/>
      <c r="I530" s="118"/>
      <c r="J530" s="119"/>
      <c r="K530" s="120"/>
      <c r="L530" s="120"/>
      <c r="M530" s="120"/>
      <c r="N530" s="120"/>
      <c r="O530" s="118"/>
      <c r="P530" s="120"/>
      <c r="Q530" s="121"/>
      <c r="R530" s="109" t="b">
        <v>0</v>
      </c>
      <c r="S530" s="143" t="str">
        <f t="shared" si="1"/>
        <v>Suspenso</v>
      </c>
      <c r="T530" s="118"/>
      <c r="U530" s="118"/>
      <c r="V530" s="118"/>
      <c r="W530" s="118"/>
      <c r="X530" s="118"/>
      <c r="Y530" s="118"/>
      <c r="Z530" s="118"/>
      <c r="AA530" s="118"/>
      <c r="AB530" s="118"/>
      <c r="AC530" s="118"/>
      <c r="AD530" s="111"/>
      <c r="AE530" s="73"/>
      <c r="AF530" s="73"/>
    </row>
    <row r="531" ht="22.5" customHeight="1">
      <c r="A531" s="73"/>
      <c r="B531" s="73"/>
      <c r="C531" s="73"/>
      <c r="D531" s="73"/>
      <c r="E531" s="330"/>
      <c r="F531" s="118"/>
      <c r="G531" s="118"/>
      <c r="H531" s="118"/>
      <c r="I531" s="118"/>
      <c r="J531" s="119"/>
      <c r="K531" s="120"/>
      <c r="L531" s="120"/>
      <c r="M531" s="120"/>
      <c r="N531" s="120"/>
      <c r="O531" s="118"/>
      <c r="P531" s="120"/>
      <c r="Q531" s="121"/>
      <c r="R531" s="109" t="b">
        <v>0</v>
      </c>
      <c r="S531" s="143" t="str">
        <f t="shared" si="1"/>
        <v>Suspenso</v>
      </c>
      <c r="T531" s="118"/>
      <c r="U531" s="118"/>
      <c r="V531" s="118"/>
      <c r="W531" s="118"/>
      <c r="X531" s="118"/>
      <c r="Y531" s="118"/>
      <c r="Z531" s="118"/>
      <c r="AA531" s="118"/>
      <c r="AB531" s="118"/>
      <c r="AC531" s="118"/>
      <c r="AD531" s="111"/>
      <c r="AE531" s="73"/>
      <c r="AF531" s="73"/>
    </row>
    <row r="532" ht="22.5" customHeight="1">
      <c r="A532" s="73"/>
      <c r="B532" s="73"/>
      <c r="C532" s="73"/>
      <c r="D532" s="73"/>
      <c r="E532" s="330"/>
      <c r="F532" s="118"/>
      <c r="G532" s="118"/>
      <c r="H532" s="118"/>
      <c r="I532" s="118"/>
      <c r="J532" s="119"/>
      <c r="K532" s="120"/>
      <c r="L532" s="120"/>
      <c r="M532" s="120"/>
      <c r="N532" s="120"/>
      <c r="O532" s="118"/>
      <c r="P532" s="120"/>
      <c r="Q532" s="121"/>
      <c r="R532" s="109" t="b">
        <v>0</v>
      </c>
      <c r="S532" s="143" t="str">
        <f t="shared" si="1"/>
        <v>Suspenso</v>
      </c>
      <c r="T532" s="118"/>
      <c r="U532" s="118"/>
      <c r="V532" s="118"/>
      <c r="W532" s="118"/>
      <c r="X532" s="118"/>
      <c r="Y532" s="118"/>
      <c r="Z532" s="118"/>
      <c r="AA532" s="118"/>
      <c r="AB532" s="118"/>
      <c r="AC532" s="118"/>
      <c r="AD532" s="111"/>
      <c r="AE532" s="73"/>
      <c r="AF532" s="73"/>
    </row>
    <row r="533" ht="22.5" customHeight="1">
      <c r="A533" s="73"/>
      <c r="B533" s="73"/>
      <c r="C533" s="73"/>
      <c r="D533" s="73"/>
      <c r="E533" s="330"/>
      <c r="F533" s="118"/>
      <c r="G533" s="118"/>
      <c r="H533" s="118"/>
      <c r="I533" s="118"/>
      <c r="J533" s="119"/>
      <c r="K533" s="120"/>
      <c r="L533" s="120"/>
      <c r="M533" s="120"/>
      <c r="N533" s="120"/>
      <c r="O533" s="118"/>
      <c r="P533" s="120"/>
      <c r="Q533" s="121"/>
      <c r="R533" s="109" t="b">
        <v>0</v>
      </c>
      <c r="S533" s="143" t="str">
        <f t="shared" si="1"/>
        <v>Suspenso</v>
      </c>
      <c r="T533" s="118"/>
      <c r="U533" s="118"/>
      <c r="V533" s="118"/>
      <c r="W533" s="118"/>
      <c r="X533" s="118"/>
      <c r="Y533" s="118"/>
      <c r="Z533" s="118"/>
      <c r="AA533" s="118"/>
      <c r="AB533" s="118"/>
      <c r="AC533" s="118"/>
      <c r="AD533" s="111"/>
      <c r="AE533" s="73"/>
      <c r="AF533" s="73"/>
    </row>
    <row r="534" ht="22.5" customHeight="1">
      <c r="A534" s="73"/>
      <c r="B534" s="73"/>
      <c r="C534" s="73"/>
      <c r="D534" s="73"/>
      <c r="E534" s="330"/>
      <c r="F534" s="118"/>
      <c r="G534" s="118"/>
      <c r="H534" s="118"/>
      <c r="I534" s="118"/>
      <c r="J534" s="119"/>
      <c r="K534" s="120"/>
      <c r="L534" s="120"/>
      <c r="M534" s="120"/>
      <c r="N534" s="120"/>
      <c r="O534" s="118"/>
      <c r="P534" s="120"/>
      <c r="Q534" s="121"/>
      <c r="R534" s="109" t="b">
        <v>0</v>
      </c>
      <c r="S534" s="143" t="str">
        <f t="shared" si="1"/>
        <v>Suspenso</v>
      </c>
      <c r="T534" s="118"/>
      <c r="U534" s="118"/>
      <c r="V534" s="118"/>
      <c r="W534" s="118"/>
      <c r="X534" s="118"/>
      <c r="Y534" s="118"/>
      <c r="Z534" s="118"/>
      <c r="AA534" s="118"/>
      <c r="AB534" s="118"/>
      <c r="AC534" s="118"/>
      <c r="AD534" s="111"/>
      <c r="AE534" s="73"/>
      <c r="AF534" s="73"/>
    </row>
    <row r="535" ht="22.5" customHeight="1">
      <c r="A535" s="73"/>
      <c r="B535" s="73"/>
      <c r="C535" s="73"/>
      <c r="D535" s="73"/>
      <c r="E535" s="330"/>
      <c r="F535" s="118"/>
      <c r="G535" s="118"/>
      <c r="H535" s="118"/>
      <c r="I535" s="118"/>
      <c r="J535" s="119"/>
      <c r="K535" s="120"/>
      <c r="L535" s="120"/>
      <c r="M535" s="120"/>
      <c r="N535" s="120"/>
      <c r="O535" s="118"/>
      <c r="P535" s="120"/>
      <c r="Q535" s="121"/>
      <c r="R535" s="109" t="b">
        <v>0</v>
      </c>
      <c r="S535" s="143" t="str">
        <f t="shared" si="1"/>
        <v>Suspenso</v>
      </c>
      <c r="T535" s="118"/>
      <c r="U535" s="118"/>
      <c r="V535" s="118"/>
      <c r="W535" s="118"/>
      <c r="X535" s="118"/>
      <c r="Y535" s="118"/>
      <c r="Z535" s="118"/>
      <c r="AA535" s="118"/>
      <c r="AB535" s="118"/>
      <c r="AC535" s="118"/>
      <c r="AD535" s="111"/>
      <c r="AE535" s="73"/>
      <c r="AF535" s="73"/>
    </row>
    <row r="536" ht="22.5" customHeight="1">
      <c r="A536" s="73"/>
      <c r="B536" s="73"/>
      <c r="C536" s="73"/>
      <c r="D536" s="73"/>
      <c r="E536" s="330"/>
      <c r="F536" s="118"/>
      <c r="G536" s="118"/>
      <c r="H536" s="118"/>
      <c r="I536" s="118"/>
      <c r="J536" s="119"/>
      <c r="K536" s="120"/>
      <c r="L536" s="120"/>
      <c r="M536" s="120"/>
      <c r="N536" s="120"/>
      <c r="O536" s="118"/>
      <c r="P536" s="120"/>
      <c r="Q536" s="121"/>
      <c r="R536" s="109" t="b">
        <v>0</v>
      </c>
      <c r="S536" s="143" t="str">
        <f t="shared" si="1"/>
        <v>Suspenso</v>
      </c>
      <c r="T536" s="118"/>
      <c r="U536" s="118"/>
      <c r="V536" s="118"/>
      <c r="W536" s="118"/>
      <c r="X536" s="118"/>
      <c r="Y536" s="118"/>
      <c r="Z536" s="118"/>
      <c r="AA536" s="118"/>
      <c r="AB536" s="118"/>
      <c r="AC536" s="118"/>
      <c r="AD536" s="111"/>
      <c r="AE536" s="73"/>
      <c r="AF536" s="73"/>
    </row>
    <row r="537" ht="22.5" customHeight="1">
      <c r="A537" s="73"/>
      <c r="B537" s="73"/>
      <c r="C537" s="73"/>
      <c r="D537" s="73"/>
      <c r="E537" s="330"/>
      <c r="F537" s="118"/>
      <c r="G537" s="118"/>
      <c r="H537" s="118"/>
      <c r="I537" s="118"/>
      <c r="J537" s="119"/>
      <c r="K537" s="120"/>
      <c r="L537" s="120"/>
      <c r="M537" s="120"/>
      <c r="N537" s="120"/>
      <c r="O537" s="118"/>
      <c r="P537" s="120"/>
      <c r="Q537" s="121"/>
      <c r="R537" s="109" t="b">
        <v>0</v>
      </c>
      <c r="S537" s="143" t="str">
        <f t="shared" si="1"/>
        <v>Suspenso</v>
      </c>
      <c r="T537" s="118"/>
      <c r="U537" s="118"/>
      <c r="V537" s="118"/>
      <c r="W537" s="118"/>
      <c r="X537" s="118"/>
      <c r="Y537" s="118"/>
      <c r="Z537" s="118"/>
      <c r="AA537" s="118"/>
      <c r="AB537" s="118"/>
      <c r="AC537" s="118"/>
      <c r="AD537" s="111"/>
      <c r="AE537" s="73"/>
      <c r="AF537" s="73"/>
    </row>
    <row r="538" ht="22.5" customHeight="1">
      <c r="A538" s="73"/>
      <c r="B538" s="73"/>
      <c r="C538" s="73"/>
      <c r="D538" s="73"/>
      <c r="E538" s="330"/>
      <c r="F538" s="118"/>
      <c r="G538" s="118"/>
      <c r="H538" s="118"/>
      <c r="I538" s="118"/>
      <c r="J538" s="119"/>
      <c r="K538" s="120"/>
      <c r="L538" s="120"/>
      <c r="M538" s="120"/>
      <c r="N538" s="120"/>
      <c r="O538" s="118"/>
      <c r="P538" s="120"/>
      <c r="Q538" s="121"/>
      <c r="R538" s="109" t="b">
        <v>0</v>
      </c>
      <c r="S538" s="143" t="str">
        <f t="shared" si="1"/>
        <v>Suspenso</v>
      </c>
      <c r="T538" s="118"/>
      <c r="U538" s="118"/>
      <c r="V538" s="118"/>
      <c r="W538" s="118"/>
      <c r="X538" s="118"/>
      <c r="Y538" s="118"/>
      <c r="Z538" s="118"/>
      <c r="AA538" s="118"/>
      <c r="AB538" s="118"/>
      <c r="AC538" s="118"/>
      <c r="AD538" s="111"/>
      <c r="AE538" s="73"/>
      <c r="AF538" s="73"/>
    </row>
    <row r="539" ht="22.5" customHeight="1">
      <c r="A539" s="73"/>
      <c r="B539" s="73"/>
      <c r="C539" s="73"/>
      <c r="D539" s="73"/>
      <c r="E539" s="330"/>
      <c r="F539" s="118"/>
      <c r="G539" s="118"/>
      <c r="H539" s="118"/>
      <c r="I539" s="118"/>
      <c r="J539" s="119"/>
      <c r="K539" s="120"/>
      <c r="L539" s="120"/>
      <c r="M539" s="120"/>
      <c r="N539" s="120"/>
      <c r="O539" s="118"/>
      <c r="P539" s="120"/>
      <c r="Q539" s="121"/>
      <c r="R539" s="109" t="b">
        <v>0</v>
      </c>
      <c r="S539" s="143" t="str">
        <f t="shared" si="1"/>
        <v>Suspenso</v>
      </c>
      <c r="T539" s="118"/>
      <c r="U539" s="118"/>
      <c r="V539" s="118"/>
      <c r="W539" s="118"/>
      <c r="X539" s="118"/>
      <c r="Y539" s="118"/>
      <c r="Z539" s="118"/>
      <c r="AA539" s="118"/>
      <c r="AB539" s="118"/>
      <c r="AC539" s="118"/>
      <c r="AD539" s="111"/>
      <c r="AE539" s="73"/>
      <c r="AF539" s="73"/>
    </row>
    <row r="540" ht="22.5" customHeight="1">
      <c r="A540" s="73"/>
      <c r="B540" s="73"/>
      <c r="C540" s="73"/>
      <c r="D540" s="73"/>
      <c r="E540" s="330"/>
      <c r="F540" s="118"/>
      <c r="G540" s="118"/>
      <c r="H540" s="118"/>
      <c r="I540" s="118"/>
      <c r="J540" s="119"/>
      <c r="K540" s="120"/>
      <c r="L540" s="120"/>
      <c r="M540" s="120"/>
      <c r="N540" s="120"/>
      <c r="O540" s="118"/>
      <c r="P540" s="120"/>
      <c r="Q540" s="121"/>
      <c r="R540" s="109" t="b">
        <v>0</v>
      </c>
      <c r="S540" s="143" t="str">
        <f t="shared" si="1"/>
        <v>Suspenso</v>
      </c>
      <c r="T540" s="118"/>
      <c r="U540" s="118"/>
      <c r="V540" s="118"/>
      <c r="W540" s="118"/>
      <c r="X540" s="118"/>
      <c r="Y540" s="118"/>
      <c r="Z540" s="118"/>
      <c r="AA540" s="118"/>
      <c r="AB540" s="118"/>
      <c r="AC540" s="118"/>
      <c r="AD540" s="111"/>
      <c r="AE540" s="73"/>
      <c r="AF540" s="73"/>
    </row>
    <row r="541" ht="22.5" customHeight="1">
      <c r="A541" s="73"/>
      <c r="B541" s="73"/>
      <c r="C541" s="73"/>
      <c r="D541" s="73"/>
      <c r="E541" s="330"/>
      <c r="F541" s="118"/>
      <c r="G541" s="118"/>
      <c r="H541" s="118"/>
      <c r="I541" s="118"/>
      <c r="J541" s="119"/>
      <c r="K541" s="120"/>
      <c r="L541" s="120"/>
      <c r="M541" s="120"/>
      <c r="N541" s="120"/>
      <c r="O541" s="118"/>
      <c r="P541" s="120"/>
      <c r="Q541" s="121"/>
      <c r="R541" s="109" t="b">
        <v>0</v>
      </c>
      <c r="S541" s="143" t="str">
        <f t="shared" si="1"/>
        <v>Suspenso</v>
      </c>
      <c r="T541" s="118"/>
      <c r="U541" s="118"/>
      <c r="V541" s="118"/>
      <c r="W541" s="118"/>
      <c r="X541" s="118"/>
      <c r="Y541" s="118"/>
      <c r="Z541" s="118"/>
      <c r="AA541" s="118"/>
      <c r="AB541" s="118"/>
      <c r="AC541" s="118"/>
      <c r="AD541" s="111"/>
      <c r="AE541" s="73"/>
      <c r="AF541" s="73"/>
    </row>
    <row r="542" ht="22.5" customHeight="1">
      <c r="A542" s="73"/>
      <c r="B542" s="73"/>
      <c r="C542" s="73"/>
      <c r="D542" s="73"/>
      <c r="E542" s="330"/>
      <c r="F542" s="118"/>
      <c r="G542" s="118"/>
      <c r="H542" s="118"/>
      <c r="I542" s="118"/>
      <c r="J542" s="119"/>
      <c r="K542" s="120"/>
      <c r="L542" s="120"/>
      <c r="M542" s="120"/>
      <c r="N542" s="120"/>
      <c r="O542" s="118"/>
      <c r="P542" s="120"/>
      <c r="Q542" s="121"/>
      <c r="R542" s="109" t="b">
        <v>0</v>
      </c>
      <c r="S542" s="143" t="str">
        <f t="shared" si="1"/>
        <v>Suspenso</v>
      </c>
      <c r="T542" s="118"/>
      <c r="U542" s="118"/>
      <c r="V542" s="118"/>
      <c r="W542" s="118"/>
      <c r="X542" s="118"/>
      <c r="Y542" s="118"/>
      <c r="Z542" s="118"/>
      <c r="AA542" s="118"/>
      <c r="AB542" s="118"/>
      <c r="AC542" s="118"/>
      <c r="AD542" s="111"/>
      <c r="AE542" s="73"/>
      <c r="AF542" s="73"/>
    </row>
    <row r="543" ht="22.5" customHeight="1">
      <c r="A543" s="73"/>
      <c r="B543" s="73"/>
      <c r="C543" s="73"/>
      <c r="D543" s="73"/>
      <c r="E543" s="330"/>
      <c r="F543" s="118"/>
      <c r="G543" s="118"/>
      <c r="H543" s="118"/>
      <c r="I543" s="118"/>
      <c r="J543" s="119"/>
      <c r="K543" s="120"/>
      <c r="L543" s="120"/>
      <c r="M543" s="120"/>
      <c r="N543" s="120"/>
      <c r="O543" s="118"/>
      <c r="P543" s="120"/>
      <c r="Q543" s="121"/>
      <c r="R543" s="109" t="b">
        <v>0</v>
      </c>
      <c r="S543" s="143" t="str">
        <f t="shared" si="1"/>
        <v>Suspenso</v>
      </c>
      <c r="T543" s="118"/>
      <c r="U543" s="118"/>
      <c r="V543" s="118"/>
      <c r="W543" s="118"/>
      <c r="X543" s="118"/>
      <c r="Y543" s="118"/>
      <c r="Z543" s="118"/>
      <c r="AA543" s="118"/>
      <c r="AB543" s="118"/>
      <c r="AC543" s="118"/>
      <c r="AD543" s="111"/>
      <c r="AE543" s="73"/>
      <c r="AF543" s="73"/>
    </row>
    <row r="544" ht="22.5" customHeight="1">
      <c r="A544" s="73"/>
      <c r="B544" s="73"/>
      <c r="C544" s="73"/>
      <c r="D544" s="73"/>
      <c r="E544" s="330"/>
      <c r="F544" s="118"/>
      <c r="G544" s="118"/>
      <c r="H544" s="118"/>
      <c r="I544" s="118"/>
      <c r="J544" s="119"/>
      <c r="K544" s="120"/>
      <c r="L544" s="120"/>
      <c r="M544" s="120"/>
      <c r="N544" s="120"/>
      <c r="O544" s="118"/>
      <c r="P544" s="120"/>
      <c r="Q544" s="121"/>
      <c r="R544" s="109" t="b">
        <v>0</v>
      </c>
      <c r="S544" s="143" t="str">
        <f t="shared" si="1"/>
        <v>Suspenso</v>
      </c>
      <c r="T544" s="118"/>
      <c r="U544" s="118"/>
      <c r="V544" s="118"/>
      <c r="W544" s="118"/>
      <c r="X544" s="118"/>
      <c r="Y544" s="118"/>
      <c r="Z544" s="118"/>
      <c r="AA544" s="118"/>
      <c r="AB544" s="118"/>
      <c r="AC544" s="118"/>
      <c r="AD544" s="111"/>
      <c r="AE544" s="73"/>
      <c r="AF544" s="73"/>
    </row>
    <row r="545" ht="22.5" customHeight="1">
      <c r="A545" s="73"/>
      <c r="B545" s="73"/>
      <c r="C545" s="73"/>
      <c r="D545" s="73"/>
      <c r="E545" s="330"/>
      <c r="F545" s="118"/>
      <c r="G545" s="118"/>
      <c r="H545" s="118"/>
      <c r="I545" s="118"/>
      <c r="J545" s="119"/>
      <c r="K545" s="120"/>
      <c r="L545" s="120"/>
      <c r="M545" s="120"/>
      <c r="N545" s="120"/>
      <c r="O545" s="118"/>
      <c r="P545" s="120"/>
      <c r="Q545" s="121"/>
      <c r="R545" s="109" t="b">
        <v>0</v>
      </c>
      <c r="S545" s="143" t="str">
        <f t="shared" si="1"/>
        <v>Suspenso</v>
      </c>
      <c r="T545" s="118"/>
      <c r="U545" s="118"/>
      <c r="V545" s="118"/>
      <c r="W545" s="118"/>
      <c r="X545" s="118"/>
      <c r="Y545" s="118"/>
      <c r="Z545" s="118"/>
      <c r="AA545" s="118"/>
      <c r="AB545" s="118"/>
      <c r="AC545" s="118"/>
      <c r="AD545" s="111"/>
      <c r="AE545" s="73"/>
      <c r="AF545" s="73"/>
    </row>
    <row r="546" ht="22.5" customHeight="1">
      <c r="A546" s="73"/>
      <c r="B546" s="73"/>
      <c r="C546" s="73"/>
      <c r="D546" s="73"/>
      <c r="E546" s="330"/>
      <c r="F546" s="118"/>
      <c r="G546" s="118"/>
      <c r="H546" s="118"/>
      <c r="I546" s="118"/>
      <c r="J546" s="119"/>
      <c r="K546" s="120"/>
      <c r="L546" s="120"/>
      <c r="M546" s="120"/>
      <c r="N546" s="120"/>
      <c r="O546" s="118"/>
      <c r="P546" s="120"/>
      <c r="Q546" s="121"/>
      <c r="R546" s="109" t="b">
        <v>0</v>
      </c>
      <c r="S546" s="143" t="str">
        <f t="shared" si="1"/>
        <v>Suspenso</v>
      </c>
      <c r="T546" s="118"/>
      <c r="U546" s="118"/>
      <c r="V546" s="118"/>
      <c r="W546" s="118"/>
      <c r="X546" s="118"/>
      <c r="Y546" s="118"/>
      <c r="Z546" s="118"/>
      <c r="AA546" s="118"/>
      <c r="AB546" s="118"/>
      <c r="AC546" s="118"/>
      <c r="AD546" s="111"/>
      <c r="AE546" s="73"/>
      <c r="AF546" s="73"/>
    </row>
    <row r="547" ht="22.5" customHeight="1">
      <c r="A547" s="73"/>
      <c r="B547" s="73"/>
      <c r="C547" s="73"/>
      <c r="D547" s="73"/>
      <c r="E547" s="330"/>
      <c r="F547" s="118"/>
      <c r="G547" s="118"/>
      <c r="H547" s="118"/>
      <c r="I547" s="118"/>
      <c r="J547" s="119"/>
      <c r="K547" s="120"/>
      <c r="L547" s="120"/>
      <c r="M547" s="120"/>
      <c r="N547" s="120"/>
      <c r="O547" s="118"/>
      <c r="P547" s="120"/>
      <c r="Q547" s="121"/>
      <c r="R547" s="109" t="b">
        <v>0</v>
      </c>
      <c r="S547" s="143" t="str">
        <f t="shared" si="1"/>
        <v>Suspenso</v>
      </c>
      <c r="T547" s="118"/>
      <c r="U547" s="118"/>
      <c r="V547" s="118"/>
      <c r="W547" s="118"/>
      <c r="X547" s="118"/>
      <c r="Y547" s="118"/>
      <c r="Z547" s="118"/>
      <c r="AA547" s="118"/>
      <c r="AB547" s="118"/>
      <c r="AC547" s="118"/>
      <c r="AD547" s="111"/>
      <c r="AE547" s="73"/>
      <c r="AF547" s="73"/>
    </row>
    <row r="548" ht="22.5" customHeight="1">
      <c r="A548" s="73"/>
      <c r="B548" s="73"/>
      <c r="C548" s="73"/>
      <c r="D548" s="73"/>
      <c r="E548" s="330"/>
      <c r="F548" s="118"/>
      <c r="G548" s="118"/>
      <c r="H548" s="118"/>
      <c r="I548" s="118"/>
      <c r="J548" s="119"/>
      <c r="K548" s="120"/>
      <c r="L548" s="120"/>
      <c r="M548" s="120"/>
      <c r="N548" s="120"/>
      <c r="O548" s="118"/>
      <c r="P548" s="120"/>
      <c r="Q548" s="121"/>
      <c r="R548" s="109" t="b">
        <v>0</v>
      </c>
      <c r="S548" s="143" t="str">
        <f t="shared" si="1"/>
        <v>Suspenso</v>
      </c>
      <c r="T548" s="118"/>
      <c r="U548" s="118"/>
      <c r="V548" s="118"/>
      <c r="W548" s="118"/>
      <c r="X548" s="118"/>
      <c r="Y548" s="118"/>
      <c r="Z548" s="118"/>
      <c r="AA548" s="118"/>
      <c r="AB548" s="118"/>
      <c r="AC548" s="118"/>
      <c r="AD548" s="111"/>
      <c r="AE548" s="73"/>
      <c r="AF548" s="73"/>
    </row>
    <row r="549" ht="22.5" customHeight="1">
      <c r="A549" s="73"/>
      <c r="B549" s="73"/>
      <c r="C549" s="73"/>
      <c r="D549" s="73"/>
      <c r="E549" s="330"/>
      <c r="F549" s="118"/>
      <c r="G549" s="118"/>
      <c r="H549" s="118"/>
      <c r="I549" s="118"/>
      <c r="J549" s="119"/>
      <c r="K549" s="120"/>
      <c r="L549" s="120"/>
      <c r="M549" s="120"/>
      <c r="N549" s="120"/>
      <c r="O549" s="118"/>
      <c r="P549" s="120"/>
      <c r="Q549" s="121"/>
      <c r="R549" s="109" t="b">
        <v>0</v>
      </c>
      <c r="S549" s="143" t="str">
        <f t="shared" si="1"/>
        <v>Suspenso</v>
      </c>
      <c r="T549" s="118"/>
      <c r="U549" s="118"/>
      <c r="V549" s="118"/>
      <c r="W549" s="118"/>
      <c r="X549" s="118"/>
      <c r="Y549" s="118"/>
      <c r="Z549" s="118"/>
      <c r="AA549" s="118"/>
      <c r="AB549" s="118"/>
      <c r="AC549" s="118"/>
      <c r="AD549" s="111"/>
      <c r="AE549" s="73"/>
      <c r="AF549" s="73"/>
    </row>
    <row r="550" ht="22.5" customHeight="1">
      <c r="A550" s="73"/>
      <c r="B550" s="73"/>
      <c r="C550" s="73"/>
      <c r="D550" s="73"/>
      <c r="E550" s="330"/>
      <c r="F550" s="118"/>
      <c r="G550" s="118"/>
      <c r="H550" s="118"/>
      <c r="I550" s="118"/>
      <c r="J550" s="119"/>
      <c r="K550" s="120"/>
      <c r="L550" s="120"/>
      <c r="M550" s="120"/>
      <c r="N550" s="120"/>
      <c r="O550" s="118"/>
      <c r="P550" s="120"/>
      <c r="Q550" s="121"/>
      <c r="R550" s="109" t="b">
        <v>0</v>
      </c>
      <c r="S550" s="143" t="str">
        <f t="shared" si="1"/>
        <v>Suspenso</v>
      </c>
      <c r="T550" s="118"/>
      <c r="U550" s="118"/>
      <c r="V550" s="118"/>
      <c r="W550" s="118"/>
      <c r="X550" s="118"/>
      <c r="Y550" s="118"/>
      <c r="Z550" s="118"/>
      <c r="AA550" s="118"/>
      <c r="AB550" s="118"/>
      <c r="AC550" s="118"/>
      <c r="AD550" s="111"/>
      <c r="AE550" s="73"/>
      <c r="AF550" s="73"/>
    </row>
    <row r="551" ht="22.5" customHeight="1">
      <c r="A551" s="73"/>
      <c r="B551" s="73"/>
      <c r="C551" s="73"/>
      <c r="D551" s="73"/>
      <c r="E551" s="330"/>
      <c r="F551" s="118"/>
      <c r="G551" s="118"/>
      <c r="H551" s="118"/>
      <c r="I551" s="118"/>
      <c r="J551" s="119"/>
      <c r="K551" s="120"/>
      <c r="L551" s="120"/>
      <c r="M551" s="120"/>
      <c r="N551" s="120"/>
      <c r="O551" s="118"/>
      <c r="P551" s="120"/>
      <c r="Q551" s="121"/>
      <c r="R551" s="109" t="b">
        <v>0</v>
      </c>
      <c r="S551" s="143" t="str">
        <f t="shared" si="1"/>
        <v>Suspenso</v>
      </c>
      <c r="T551" s="118"/>
      <c r="U551" s="118"/>
      <c r="V551" s="118"/>
      <c r="W551" s="118"/>
      <c r="X551" s="118"/>
      <c r="Y551" s="118"/>
      <c r="Z551" s="118"/>
      <c r="AA551" s="118"/>
      <c r="AB551" s="118"/>
      <c r="AC551" s="118"/>
      <c r="AD551" s="111"/>
      <c r="AE551" s="73"/>
      <c r="AF551" s="73"/>
    </row>
    <row r="552" ht="22.5" customHeight="1">
      <c r="A552" s="73"/>
      <c r="B552" s="73"/>
      <c r="C552" s="73"/>
      <c r="D552" s="73"/>
      <c r="E552" s="330"/>
      <c r="F552" s="118"/>
      <c r="G552" s="118"/>
      <c r="H552" s="118"/>
      <c r="I552" s="118"/>
      <c r="J552" s="119"/>
      <c r="K552" s="120"/>
      <c r="L552" s="120"/>
      <c r="M552" s="120"/>
      <c r="N552" s="120"/>
      <c r="O552" s="118"/>
      <c r="P552" s="120"/>
      <c r="Q552" s="121"/>
      <c r="R552" s="109" t="b">
        <v>0</v>
      </c>
      <c r="S552" s="143" t="str">
        <f t="shared" si="1"/>
        <v>Suspenso</v>
      </c>
      <c r="T552" s="118"/>
      <c r="U552" s="118"/>
      <c r="V552" s="118"/>
      <c r="W552" s="118"/>
      <c r="X552" s="118"/>
      <c r="Y552" s="118"/>
      <c r="Z552" s="118"/>
      <c r="AA552" s="118"/>
      <c r="AB552" s="118"/>
      <c r="AC552" s="118"/>
      <c r="AD552" s="111"/>
      <c r="AE552" s="73"/>
      <c r="AF552" s="73"/>
    </row>
    <row r="553" ht="22.5" customHeight="1">
      <c r="A553" s="73"/>
      <c r="B553" s="73"/>
      <c r="C553" s="73"/>
      <c r="D553" s="73"/>
      <c r="E553" s="330"/>
      <c r="F553" s="118"/>
      <c r="G553" s="118"/>
      <c r="H553" s="118"/>
      <c r="I553" s="118"/>
      <c r="J553" s="119"/>
      <c r="K553" s="120"/>
      <c r="L553" s="120"/>
      <c r="M553" s="120"/>
      <c r="N553" s="120"/>
      <c r="O553" s="118"/>
      <c r="P553" s="120"/>
      <c r="Q553" s="121"/>
      <c r="R553" s="109" t="b">
        <v>0</v>
      </c>
      <c r="S553" s="143" t="str">
        <f t="shared" si="1"/>
        <v>Suspenso</v>
      </c>
      <c r="T553" s="118"/>
      <c r="U553" s="118"/>
      <c r="V553" s="118"/>
      <c r="W553" s="118"/>
      <c r="X553" s="118"/>
      <c r="Y553" s="118"/>
      <c r="Z553" s="118"/>
      <c r="AA553" s="118"/>
      <c r="AB553" s="118"/>
      <c r="AC553" s="118"/>
      <c r="AD553" s="111"/>
      <c r="AE553" s="73"/>
      <c r="AF553" s="73"/>
    </row>
    <row r="554" ht="22.5" customHeight="1">
      <c r="A554" s="73"/>
      <c r="B554" s="73"/>
      <c r="C554" s="73"/>
      <c r="D554" s="73"/>
      <c r="E554" s="330"/>
      <c r="F554" s="118"/>
      <c r="G554" s="118"/>
      <c r="H554" s="118"/>
      <c r="I554" s="118"/>
      <c r="J554" s="119"/>
      <c r="K554" s="120"/>
      <c r="L554" s="120"/>
      <c r="M554" s="120"/>
      <c r="N554" s="120"/>
      <c r="O554" s="118"/>
      <c r="P554" s="120"/>
      <c r="Q554" s="121"/>
      <c r="R554" s="109" t="b">
        <v>0</v>
      </c>
      <c r="S554" s="143" t="str">
        <f t="shared" si="1"/>
        <v>Suspenso</v>
      </c>
      <c r="T554" s="118"/>
      <c r="U554" s="118"/>
      <c r="V554" s="118"/>
      <c r="W554" s="118"/>
      <c r="X554" s="118"/>
      <c r="Y554" s="118"/>
      <c r="Z554" s="118"/>
      <c r="AA554" s="118"/>
      <c r="AB554" s="118"/>
      <c r="AC554" s="118"/>
      <c r="AD554" s="111"/>
      <c r="AE554" s="73"/>
      <c r="AF554" s="73"/>
    </row>
    <row r="555" ht="22.5" customHeight="1">
      <c r="A555" s="73"/>
      <c r="B555" s="73"/>
      <c r="C555" s="73"/>
      <c r="D555" s="73"/>
      <c r="E555" s="330"/>
      <c r="F555" s="118"/>
      <c r="G555" s="118"/>
      <c r="H555" s="118"/>
      <c r="I555" s="118"/>
      <c r="J555" s="119"/>
      <c r="K555" s="120"/>
      <c r="L555" s="120"/>
      <c r="M555" s="120"/>
      <c r="N555" s="120"/>
      <c r="O555" s="118"/>
      <c r="P555" s="120"/>
      <c r="Q555" s="121"/>
      <c r="R555" s="109" t="b">
        <v>0</v>
      </c>
      <c r="S555" s="143" t="str">
        <f t="shared" si="1"/>
        <v>Suspenso</v>
      </c>
      <c r="T555" s="118"/>
      <c r="U555" s="118"/>
      <c r="V555" s="118"/>
      <c r="W555" s="118"/>
      <c r="X555" s="118"/>
      <c r="Y555" s="118"/>
      <c r="Z555" s="118"/>
      <c r="AA555" s="118"/>
      <c r="AB555" s="118"/>
      <c r="AC555" s="118"/>
      <c r="AD555" s="111"/>
      <c r="AE555" s="73"/>
      <c r="AF555" s="73"/>
    </row>
    <row r="556" ht="22.5" customHeight="1">
      <c r="A556" s="73"/>
      <c r="B556" s="73"/>
      <c r="C556" s="73"/>
      <c r="D556" s="73"/>
      <c r="E556" s="330"/>
      <c r="F556" s="118"/>
      <c r="G556" s="118"/>
      <c r="H556" s="118"/>
      <c r="I556" s="118"/>
      <c r="J556" s="119"/>
      <c r="K556" s="120"/>
      <c r="L556" s="120"/>
      <c r="M556" s="120"/>
      <c r="N556" s="120"/>
      <c r="O556" s="118"/>
      <c r="P556" s="120"/>
      <c r="Q556" s="121"/>
      <c r="R556" s="109" t="b">
        <v>0</v>
      </c>
      <c r="S556" s="143" t="str">
        <f t="shared" si="1"/>
        <v>Suspenso</v>
      </c>
      <c r="T556" s="118"/>
      <c r="U556" s="118"/>
      <c r="V556" s="118"/>
      <c r="W556" s="118"/>
      <c r="X556" s="118"/>
      <c r="Y556" s="118"/>
      <c r="Z556" s="118"/>
      <c r="AA556" s="118"/>
      <c r="AB556" s="118"/>
      <c r="AC556" s="118"/>
      <c r="AD556" s="111"/>
      <c r="AE556" s="73"/>
      <c r="AF556" s="73"/>
    </row>
    <row r="557" ht="22.5" customHeight="1">
      <c r="A557" s="73"/>
      <c r="B557" s="73"/>
      <c r="C557" s="73"/>
      <c r="D557" s="73"/>
      <c r="E557" s="330"/>
      <c r="F557" s="118"/>
      <c r="G557" s="118"/>
      <c r="H557" s="118"/>
      <c r="I557" s="118"/>
      <c r="J557" s="119"/>
      <c r="K557" s="120"/>
      <c r="L557" s="120"/>
      <c r="M557" s="120"/>
      <c r="N557" s="120"/>
      <c r="O557" s="118"/>
      <c r="P557" s="120"/>
      <c r="Q557" s="121"/>
      <c r="R557" s="109" t="b">
        <v>0</v>
      </c>
      <c r="S557" s="143" t="str">
        <f t="shared" si="1"/>
        <v>Suspenso</v>
      </c>
      <c r="T557" s="118"/>
      <c r="U557" s="118"/>
      <c r="V557" s="118"/>
      <c r="W557" s="118"/>
      <c r="X557" s="118"/>
      <c r="Y557" s="118"/>
      <c r="Z557" s="118"/>
      <c r="AA557" s="118"/>
      <c r="AB557" s="118"/>
      <c r="AC557" s="118"/>
      <c r="AD557" s="111"/>
      <c r="AE557" s="73"/>
      <c r="AF557" s="73"/>
    </row>
    <row r="558" ht="22.5" customHeight="1">
      <c r="A558" s="73"/>
      <c r="B558" s="73"/>
      <c r="C558" s="73"/>
      <c r="D558" s="73"/>
      <c r="E558" s="330"/>
      <c r="F558" s="118"/>
      <c r="G558" s="118"/>
      <c r="H558" s="118"/>
      <c r="I558" s="118"/>
      <c r="J558" s="119"/>
      <c r="K558" s="120"/>
      <c r="L558" s="120"/>
      <c r="M558" s="120"/>
      <c r="N558" s="120"/>
      <c r="O558" s="118"/>
      <c r="P558" s="120"/>
      <c r="Q558" s="121"/>
      <c r="R558" s="109" t="b">
        <v>0</v>
      </c>
      <c r="S558" s="143" t="str">
        <f t="shared" si="1"/>
        <v>Suspenso</v>
      </c>
      <c r="T558" s="118"/>
      <c r="U558" s="118"/>
      <c r="V558" s="118"/>
      <c r="W558" s="118"/>
      <c r="X558" s="118"/>
      <c r="Y558" s="118"/>
      <c r="Z558" s="118"/>
      <c r="AA558" s="118"/>
      <c r="AB558" s="118"/>
      <c r="AC558" s="118"/>
      <c r="AD558" s="111"/>
      <c r="AE558" s="73"/>
      <c r="AF558" s="73"/>
    </row>
    <row r="559" ht="22.5" customHeight="1">
      <c r="A559" s="73"/>
      <c r="B559" s="73"/>
      <c r="C559" s="73"/>
      <c r="D559" s="73"/>
      <c r="E559" s="330"/>
      <c r="F559" s="118"/>
      <c r="G559" s="118"/>
      <c r="H559" s="118"/>
      <c r="I559" s="118"/>
      <c r="J559" s="119"/>
      <c r="K559" s="120"/>
      <c r="L559" s="120"/>
      <c r="M559" s="120"/>
      <c r="N559" s="120"/>
      <c r="O559" s="118"/>
      <c r="P559" s="120"/>
      <c r="Q559" s="121"/>
      <c r="R559" s="109" t="b">
        <v>0</v>
      </c>
      <c r="S559" s="143" t="str">
        <f t="shared" si="1"/>
        <v>Suspenso</v>
      </c>
      <c r="T559" s="118"/>
      <c r="U559" s="118"/>
      <c r="V559" s="118"/>
      <c r="W559" s="118"/>
      <c r="X559" s="118"/>
      <c r="Y559" s="118"/>
      <c r="Z559" s="118"/>
      <c r="AA559" s="118"/>
      <c r="AB559" s="118"/>
      <c r="AC559" s="118"/>
      <c r="AD559" s="111"/>
      <c r="AE559" s="73"/>
      <c r="AF559" s="73"/>
    </row>
    <row r="560" ht="22.5" customHeight="1">
      <c r="A560" s="73"/>
      <c r="B560" s="73"/>
      <c r="C560" s="73"/>
      <c r="D560" s="73"/>
      <c r="E560" s="330"/>
      <c r="F560" s="118"/>
      <c r="G560" s="118"/>
      <c r="H560" s="118"/>
      <c r="I560" s="118"/>
      <c r="J560" s="119"/>
      <c r="K560" s="120"/>
      <c r="L560" s="120"/>
      <c r="M560" s="120"/>
      <c r="N560" s="120"/>
      <c r="O560" s="118"/>
      <c r="P560" s="120"/>
      <c r="Q560" s="121"/>
      <c r="R560" s="109" t="b">
        <v>0</v>
      </c>
      <c r="S560" s="143" t="str">
        <f t="shared" si="1"/>
        <v>Suspenso</v>
      </c>
      <c r="T560" s="118"/>
      <c r="U560" s="118"/>
      <c r="V560" s="118"/>
      <c r="W560" s="118"/>
      <c r="X560" s="118"/>
      <c r="Y560" s="118"/>
      <c r="Z560" s="118"/>
      <c r="AA560" s="118"/>
      <c r="AB560" s="118"/>
      <c r="AC560" s="118"/>
      <c r="AD560" s="111"/>
      <c r="AE560" s="73"/>
      <c r="AF560" s="73"/>
    </row>
    <row r="561" ht="22.5" customHeight="1">
      <c r="A561" s="73"/>
      <c r="B561" s="73"/>
      <c r="C561" s="73"/>
      <c r="D561" s="73"/>
      <c r="E561" s="330"/>
      <c r="F561" s="118"/>
      <c r="G561" s="118"/>
      <c r="H561" s="118"/>
      <c r="I561" s="118"/>
      <c r="J561" s="119"/>
      <c r="K561" s="120"/>
      <c r="L561" s="120"/>
      <c r="M561" s="120"/>
      <c r="N561" s="120"/>
      <c r="O561" s="118"/>
      <c r="P561" s="120"/>
      <c r="Q561" s="121"/>
      <c r="R561" s="109" t="b">
        <v>0</v>
      </c>
      <c r="S561" s="143" t="str">
        <f t="shared" si="1"/>
        <v>Suspenso</v>
      </c>
      <c r="T561" s="118"/>
      <c r="U561" s="118"/>
      <c r="V561" s="118"/>
      <c r="W561" s="118"/>
      <c r="X561" s="118"/>
      <c r="Y561" s="118"/>
      <c r="Z561" s="118"/>
      <c r="AA561" s="118"/>
      <c r="AB561" s="118"/>
      <c r="AC561" s="118"/>
      <c r="AD561" s="111"/>
      <c r="AE561" s="73"/>
      <c r="AF561" s="73"/>
    </row>
    <row r="562" ht="22.5" customHeight="1">
      <c r="A562" s="73"/>
      <c r="B562" s="73"/>
      <c r="C562" s="73"/>
      <c r="D562" s="73"/>
      <c r="E562" s="330"/>
      <c r="F562" s="118"/>
      <c r="G562" s="118"/>
      <c r="H562" s="118"/>
      <c r="I562" s="118"/>
      <c r="J562" s="119"/>
      <c r="K562" s="120"/>
      <c r="L562" s="120"/>
      <c r="M562" s="120"/>
      <c r="N562" s="120"/>
      <c r="O562" s="118"/>
      <c r="P562" s="120"/>
      <c r="Q562" s="121"/>
      <c r="R562" s="109" t="b">
        <v>0</v>
      </c>
      <c r="S562" s="143" t="str">
        <f t="shared" si="1"/>
        <v>Suspenso</v>
      </c>
      <c r="T562" s="118"/>
      <c r="U562" s="118"/>
      <c r="V562" s="118"/>
      <c r="W562" s="118"/>
      <c r="X562" s="118"/>
      <c r="Y562" s="118"/>
      <c r="Z562" s="118"/>
      <c r="AA562" s="118"/>
      <c r="AB562" s="118"/>
      <c r="AC562" s="118"/>
      <c r="AD562" s="111"/>
      <c r="AE562" s="73"/>
      <c r="AF562" s="73"/>
    </row>
    <row r="563" ht="22.5" customHeight="1">
      <c r="A563" s="73"/>
      <c r="B563" s="73"/>
      <c r="C563" s="73"/>
      <c r="D563" s="73"/>
      <c r="E563" s="330"/>
      <c r="F563" s="118"/>
      <c r="G563" s="118"/>
      <c r="H563" s="118"/>
      <c r="I563" s="118"/>
      <c r="J563" s="119"/>
      <c r="K563" s="120"/>
      <c r="L563" s="120"/>
      <c r="M563" s="120"/>
      <c r="N563" s="120"/>
      <c r="O563" s="118"/>
      <c r="P563" s="120"/>
      <c r="Q563" s="121"/>
      <c r="R563" s="109" t="b">
        <v>0</v>
      </c>
      <c r="S563" s="143" t="str">
        <f t="shared" si="1"/>
        <v>Suspenso</v>
      </c>
      <c r="T563" s="118"/>
      <c r="U563" s="118"/>
      <c r="V563" s="118"/>
      <c r="W563" s="118"/>
      <c r="X563" s="118"/>
      <c r="Y563" s="118"/>
      <c r="Z563" s="118"/>
      <c r="AA563" s="118"/>
      <c r="AB563" s="118"/>
      <c r="AC563" s="118"/>
      <c r="AD563" s="111"/>
      <c r="AE563" s="73"/>
      <c r="AF563" s="73"/>
    </row>
    <row r="564" ht="22.5" customHeight="1">
      <c r="A564" s="73"/>
      <c r="B564" s="73"/>
      <c r="C564" s="73"/>
      <c r="D564" s="73"/>
      <c r="E564" s="330"/>
      <c r="F564" s="118"/>
      <c r="G564" s="118"/>
      <c r="H564" s="118"/>
      <c r="I564" s="118"/>
      <c r="J564" s="119"/>
      <c r="K564" s="120"/>
      <c r="L564" s="120"/>
      <c r="M564" s="120"/>
      <c r="N564" s="120"/>
      <c r="O564" s="118"/>
      <c r="P564" s="120"/>
      <c r="Q564" s="121"/>
      <c r="R564" s="109" t="b">
        <v>0</v>
      </c>
      <c r="S564" s="143" t="str">
        <f t="shared" si="1"/>
        <v>Suspenso</v>
      </c>
      <c r="T564" s="118"/>
      <c r="U564" s="118"/>
      <c r="V564" s="118"/>
      <c r="W564" s="118"/>
      <c r="X564" s="118"/>
      <c r="Y564" s="118"/>
      <c r="Z564" s="118"/>
      <c r="AA564" s="118"/>
      <c r="AB564" s="118"/>
      <c r="AC564" s="118"/>
      <c r="AD564" s="111"/>
      <c r="AE564" s="73"/>
      <c r="AF564" s="73"/>
    </row>
    <row r="565" ht="22.5" customHeight="1">
      <c r="A565" s="73"/>
      <c r="B565" s="73"/>
      <c r="C565" s="73"/>
      <c r="D565" s="73"/>
      <c r="E565" s="330"/>
      <c r="F565" s="118"/>
      <c r="G565" s="118"/>
      <c r="H565" s="118"/>
      <c r="I565" s="118"/>
      <c r="J565" s="119"/>
      <c r="K565" s="120"/>
      <c r="L565" s="120"/>
      <c r="M565" s="120"/>
      <c r="N565" s="120"/>
      <c r="O565" s="118"/>
      <c r="P565" s="120"/>
      <c r="Q565" s="121"/>
      <c r="R565" s="109" t="b">
        <v>0</v>
      </c>
      <c r="S565" s="143" t="str">
        <f t="shared" si="1"/>
        <v>Suspenso</v>
      </c>
      <c r="T565" s="118"/>
      <c r="U565" s="118"/>
      <c r="V565" s="118"/>
      <c r="W565" s="118"/>
      <c r="X565" s="118"/>
      <c r="Y565" s="118"/>
      <c r="Z565" s="118"/>
      <c r="AA565" s="118"/>
      <c r="AB565" s="118"/>
      <c r="AC565" s="118"/>
      <c r="AD565" s="111"/>
      <c r="AE565" s="73"/>
      <c r="AF565" s="73"/>
    </row>
    <row r="566" ht="22.5" customHeight="1">
      <c r="A566" s="73"/>
      <c r="B566" s="73"/>
      <c r="C566" s="73"/>
      <c r="D566" s="73"/>
      <c r="E566" s="330"/>
      <c r="F566" s="118"/>
      <c r="G566" s="118"/>
      <c r="H566" s="118"/>
      <c r="I566" s="118"/>
      <c r="J566" s="119"/>
      <c r="K566" s="120"/>
      <c r="L566" s="120"/>
      <c r="M566" s="120"/>
      <c r="N566" s="120"/>
      <c r="O566" s="118"/>
      <c r="P566" s="120"/>
      <c r="Q566" s="121"/>
      <c r="R566" s="109" t="b">
        <v>0</v>
      </c>
      <c r="S566" s="143" t="str">
        <f t="shared" si="1"/>
        <v>Suspenso</v>
      </c>
      <c r="T566" s="118"/>
      <c r="U566" s="118"/>
      <c r="V566" s="118"/>
      <c r="W566" s="118"/>
      <c r="X566" s="118"/>
      <c r="Y566" s="118"/>
      <c r="Z566" s="118"/>
      <c r="AA566" s="118"/>
      <c r="AB566" s="118"/>
      <c r="AC566" s="118"/>
      <c r="AD566" s="111"/>
      <c r="AE566" s="73"/>
      <c r="AF566" s="73"/>
    </row>
    <row r="567" ht="22.5" customHeight="1">
      <c r="A567" s="73"/>
      <c r="B567" s="73"/>
      <c r="C567" s="73"/>
      <c r="D567" s="73"/>
      <c r="E567" s="330"/>
      <c r="F567" s="118"/>
      <c r="G567" s="118"/>
      <c r="H567" s="118"/>
      <c r="I567" s="118"/>
      <c r="J567" s="119"/>
      <c r="K567" s="120"/>
      <c r="L567" s="120"/>
      <c r="M567" s="120"/>
      <c r="N567" s="120"/>
      <c r="O567" s="118"/>
      <c r="P567" s="120"/>
      <c r="Q567" s="121"/>
      <c r="R567" s="109" t="b">
        <v>0</v>
      </c>
      <c r="S567" s="143" t="str">
        <f t="shared" si="1"/>
        <v>Suspenso</v>
      </c>
      <c r="T567" s="118"/>
      <c r="U567" s="118"/>
      <c r="V567" s="118"/>
      <c r="W567" s="118"/>
      <c r="X567" s="118"/>
      <c r="Y567" s="118"/>
      <c r="Z567" s="118"/>
      <c r="AA567" s="118"/>
      <c r="AB567" s="118"/>
      <c r="AC567" s="118"/>
      <c r="AD567" s="111"/>
      <c r="AE567" s="73"/>
      <c r="AF567" s="73"/>
    </row>
    <row r="568" ht="22.5" customHeight="1">
      <c r="A568" s="73"/>
      <c r="B568" s="73"/>
      <c r="C568" s="73"/>
      <c r="D568" s="73"/>
      <c r="E568" s="330"/>
      <c r="F568" s="118"/>
      <c r="G568" s="118"/>
      <c r="H568" s="118"/>
      <c r="I568" s="118"/>
      <c r="J568" s="119"/>
      <c r="K568" s="120"/>
      <c r="L568" s="120"/>
      <c r="M568" s="120"/>
      <c r="N568" s="120"/>
      <c r="O568" s="118"/>
      <c r="P568" s="120"/>
      <c r="Q568" s="121"/>
      <c r="R568" s="109" t="b">
        <v>0</v>
      </c>
      <c r="S568" s="143" t="str">
        <f t="shared" si="1"/>
        <v>Suspenso</v>
      </c>
      <c r="T568" s="118"/>
      <c r="U568" s="118"/>
      <c r="V568" s="118"/>
      <c r="W568" s="118"/>
      <c r="X568" s="118"/>
      <c r="Y568" s="118"/>
      <c r="Z568" s="118"/>
      <c r="AA568" s="118"/>
      <c r="AB568" s="118"/>
      <c r="AC568" s="118"/>
      <c r="AD568" s="111"/>
      <c r="AE568" s="73"/>
      <c r="AF568" s="73"/>
    </row>
    <row r="569" ht="22.5" customHeight="1">
      <c r="A569" s="73"/>
      <c r="B569" s="73"/>
      <c r="C569" s="73"/>
      <c r="D569" s="73"/>
      <c r="E569" s="330"/>
      <c r="F569" s="118"/>
      <c r="G569" s="118"/>
      <c r="H569" s="118"/>
      <c r="I569" s="118"/>
      <c r="J569" s="119"/>
      <c r="K569" s="120"/>
      <c r="L569" s="120"/>
      <c r="M569" s="120"/>
      <c r="N569" s="120"/>
      <c r="O569" s="118"/>
      <c r="P569" s="120"/>
      <c r="Q569" s="121"/>
      <c r="R569" s="109" t="b">
        <v>0</v>
      </c>
      <c r="S569" s="143" t="str">
        <f t="shared" si="1"/>
        <v>Suspenso</v>
      </c>
      <c r="T569" s="118"/>
      <c r="U569" s="118"/>
      <c r="V569" s="118"/>
      <c r="W569" s="118"/>
      <c r="X569" s="118"/>
      <c r="Y569" s="118"/>
      <c r="Z569" s="118"/>
      <c r="AA569" s="118"/>
      <c r="AB569" s="118"/>
      <c r="AC569" s="118"/>
      <c r="AD569" s="111"/>
      <c r="AE569" s="73"/>
      <c r="AF569" s="73"/>
    </row>
    <row r="570" ht="22.5" customHeight="1">
      <c r="A570" s="73"/>
      <c r="B570" s="73"/>
      <c r="C570" s="73"/>
      <c r="D570" s="73"/>
      <c r="E570" s="330"/>
      <c r="F570" s="118"/>
      <c r="G570" s="118"/>
      <c r="H570" s="118"/>
      <c r="I570" s="118"/>
      <c r="J570" s="119"/>
      <c r="K570" s="120"/>
      <c r="L570" s="120"/>
      <c r="M570" s="120"/>
      <c r="N570" s="120"/>
      <c r="O570" s="118"/>
      <c r="P570" s="120"/>
      <c r="Q570" s="121"/>
      <c r="R570" s="109" t="b">
        <v>0</v>
      </c>
      <c r="S570" s="143" t="str">
        <f t="shared" si="1"/>
        <v>Suspenso</v>
      </c>
      <c r="T570" s="118"/>
      <c r="U570" s="118"/>
      <c r="V570" s="118"/>
      <c r="W570" s="118"/>
      <c r="X570" s="118"/>
      <c r="Y570" s="118"/>
      <c r="Z570" s="118"/>
      <c r="AA570" s="118"/>
      <c r="AB570" s="118"/>
      <c r="AC570" s="118"/>
      <c r="AD570" s="111"/>
      <c r="AE570" s="73"/>
      <c r="AF570" s="73"/>
    </row>
    <row r="571" ht="22.5" customHeight="1">
      <c r="A571" s="73"/>
      <c r="B571" s="73"/>
      <c r="C571" s="73"/>
      <c r="D571" s="73"/>
      <c r="E571" s="330"/>
      <c r="F571" s="118"/>
      <c r="G571" s="118"/>
      <c r="H571" s="118"/>
      <c r="I571" s="118"/>
      <c r="J571" s="119"/>
      <c r="K571" s="120"/>
      <c r="L571" s="120"/>
      <c r="M571" s="120"/>
      <c r="N571" s="120"/>
      <c r="O571" s="118"/>
      <c r="P571" s="120"/>
      <c r="Q571" s="121"/>
      <c r="R571" s="109" t="b">
        <v>0</v>
      </c>
      <c r="S571" s="143" t="str">
        <f t="shared" si="1"/>
        <v>Suspenso</v>
      </c>
      <c r="T571" s="118"/>
      <c r="U571" s="118"/>
      <c r="V571" s="118"/>
      <c r="W571" s="118"/>
      <c r="X571" s="118"/>
      <c r="Y571" s="118"/>
      <c r="Z571" s="118"/>
      <c r="AA571" s="118"/>
      <c r="AB571" s="118"/>
      <c r="AC571" s="118"/>
      <c r="AD571" s="111"/>
      <c r="AE571" s="73"/>
      <c r="AF571" s="73"/>
    </row>
    <row r="572" ht="22.5" customHeight="1">
      <c r="A572" s="73"/>
      <c r="B572" s="73"/>
      <c r="C572" s="73"/>
      <c r="D572" s="73"/>
      <c r="E572" s="330"/>
      <c r="F572" s="118"/>
      <c r="G572" s="118"/>
      <c r="H572" s="118"/>
      <c r="I572" s="118"/>
      <c r="J572" s="119"/>
      <c r="K572" s="120"/>
      <c r="L572" s="120"/>
      <c r="M572" s="120"/>
      <c r="N572" s="120"/>
      <c r="O572" s="118"/>
      <c r="P572" s="120"/>
      <c r="Q572" s="121"/>
      <c r="R572" s="109" t="b">
        <v>0</v>
      </c>
      <c r="S572" s="143" t="str">
        <f t="shared" si="1"/>
        <v>Suspenso</v>
      </c>
      <c r="T572" s="118"/>
      <c r="U572" s="118"/>
      <c r="V572" s="118"/>
      <c r="W572" s="118"/>
      <c r="X572" s="118"/>
      <c r="Y572" s="118"/>
      <c r="Z572" s="118"/>
      <c r="AA572" s="118"/>
      <c r="AB572" s="118"/>
      <c r="AC572" s="118"/>
      <c r="AD572" s="111"/>
      <c r="AE572" s="73"/>
      <c r="AF572" s="73"/>
    </row>
    <row r="573" ht="22.5" customHeight="1">
      <c r="A573" s="73"/>
      <c r="B573" s="73"/>
      <c r="C573" s="73"/>
      <c r="D573" s="73"/>
      <c r="E573" s="330"/>
      <c r="F573" s="118"/>
      <c r="G573" s="118"/>
      <c r="H573" s="118"/>
      <c r="I573" s="118"/>
      <c r="J573" s="119"/>
      <c r="K573" s="120"/>
      <c r="L573" s="120"/>
      <c r="M573" s="120"/>
      <c r="N573" s="120"/>
      <c r="O573" s="118"/>
      <c r="P573" s="120"/>
      <c r="Q573" s="121"/>
      <c r="R573" s="109" t="b">
        <v>0</v>
      </c>
      <c r="S573" s="143" t="str">
        <f t="shared" si="1"/>
        <v>Suspenso</v>
      </c>
      <c r="T573" s="118"/>
      <c r="U573" s="118"/>
      <c r="V573" s="118"/>
      <c r="W573" s="118"/>
      <c r="X573" s="118"/>
      <c r="Y573" s="118"/>
      <c r="Z573" s="118"/>
      <c r="AA573" s="118"/>
      <c r="AB573" s="118"/>
      <c r="AC573" s="118"/>
      <c r="AD573" s="111"/>
      <c r="AE573" s="73"/>
      <c r="AF573" s="73"/>
    </row>
    <row r="574" ht="22.5" customHeight="1">
      <c r="A574" s="73"/>
      <c r="B574" s="73"/>
      <c r="C574" s="73"/>
      <c r="D574" s="73"/>
      <c r="E574" s="330"/>
      <c r="F574" s="118"/>
      <c r="G574" s="118"/>
      <c r="H574" s="118"/>
      <c r="I574" s="118"/>
      <c r="J574" s="119"/>
      <c r="K574" s="120"/>
      <c r="L574" s="120"/>
      <c r="M574" s="120"/>
      <c r="N574" s="120"/>
      <c r="O574" s="118"/>
      <c r="P574" s="120"/>
      <c r="Q574" s="121"/>
      <c r="R574" s="109" t="b">
        <v>0</v>
      </c>
      <c r="S574" s="143" t="str">
        <f t="shared" si="1"/>
        <v>Suspenso</v>
      </c>
      <c r="T574" s="118"/>
      <c r="U574" s="118"/>
      <c r="V574" s="118"/>
      <c r="W574" s="118"/>
      <c r="X574" s="118"/>
      <c r="Y574" s="118"/>
      <c r="Z574" s="118"/>
      <c r="AA574" s="118"/>
      <c r="AB574" s="118"/>
      <c r="AC574" s="118"/>
      <c r="AD574" s="111"/>
      <c r="AE574" s="73"/>
      <c r="AF574" s="73"/>
    </row>
    <row r="575" ht="22.5" customHeight="1">
      <c r="A575" s="73"/>
      <c r="B575" s="73"/>
      <c r="C575" s="73"/>
      <c r="D575" s="73"/>
      <c r="E575" s="330"/>
      <c r="F575" s="118"/>
      <c r="G575" s="118"/>
      <c r="H575" s="118"/>
      <c r="I575" s="118"/>
      <c r="J575" s="119"/>
      <c r="K575" s="120"/>
      <c r="L575" s="120"/>
      <c r="M575" s="120"/>
      <c r="N575" s="120"/>
      <c r="O575" s="118"/>
      <c r="P575" s="120"/>
      <c r="Q575" s="121"/>
      <c r="R575" s="109" t="b">
        <v>0</v>
      </c>
      <c r="S575" s="143" t="str">
        <f t="shared" si="1"/>
        <v>Suspenso</v>
      </c>
      <c r="T575" s="118"/>
      <c r="U575" s="118"/>
      <c r="V575" s="118"/>
      <c r="W575" s="118"/>
      <c r="X575" s="118"/>
      <c r="Y575" s="118"/>
      <c r="Z575" s="118"/>
      <c r="AA575" s="118"/>
      <c r="AB575" s="118"/>
      <c r="AC575" s="118"/>
      <c r="AD575" s="111"/>
      <c r="AE575" s="73"/>
      <c r="AF575" s="73"/>
    </row>
    <row r="576" ht="22.5" customHeight="1">
      <c r="A576" s="73"/>
      <c r="B576" s="73"/>
      <c r="C576" s="73"/>
      <c r="D576" s="73"/>
      <c r="E576" s="330"/>
      <c r="F576" s="118"/>
      <c r="G576" s="118"/>
      <c r="H576" s="118"/>
      <c r="I576" s="118"/>
      <c r="J576" s="119"/>
      <c r="K576" s="120"/>
      <c r="L576" s="120"/>
      <c r="M576" s="120"/>
      <c r="N576" s="120"/>
      <c r="O576" s="118"/>
      <c r="P576" s="120"/>
      <c r="Q576" s="121"/>
      <c r="R576" s="109" t="b">
        <v>0</v>
      </c>
      <c r="S576" s="143" t="str">
        <f t="shared" si="1"/>
        <v>Suspenso</v>
      </c>
      <c r="T576" s="118"/>
      <c r="U576" s="118"/>
      <c r="V576" s="118"/>
      <c r="W576" s="118"/>
      <c r="X576" s="118"/>
      <c r="Y576" s="118"/>
      <c r="Z576" s="118"/>
      <c r="AA576" s="118"/>
      <c r="AB576" s="118"/>
      <c r="AC576" s="118"/>
      <c r="AD576" s="111"/>
      <c r="AE576" s="73"/>
      <c r="AF576" s="73"/>
    </row>
    <row r="577" ht="22.5" customHeight="1">
      <c r="A577" s="73"/>
      <c r="B577" s="73"/>
      <c r="C577" s="73"/>
      <c r="D577" s="73"/>
      <c r="E577" s="330"/>
      <c r="F577" s="118"/>
      <c r="G577" s="118"/>
      <c r="H577" s="118"/>
      <c r="I577" s="118"/>
      <c r="J577" s="119"/>
      <c r="K577" s="120"/>
      <c r="L577" s="120"/>
      <c r="M577" s="120"/>
      <c r="N577" s="120"/>
      <c r="O577" s="118"/>
      <c r="P577" s="120"/>
      <c r="Q577" s="121"/>
      <c r="R577" s="109" t="b">
        <v>0</v>
      </c>
      <c r="S577" s="143" t="str">
        <f t="shared" si="1"/>
        <v>Suspenso</v>
      </c>
      <c r="T577" s="118"/>
      <c r="U577" s="118"/>
      <c r="V577" s="118"/>
      <c r="W577" s="118"/>
      <c r="X577" s="118"/>
      <c r="Y577" s="118"/>
      <c r="Z577" s="118"/>
      <c r="AA577" s="118"/>
      <c r="AB577" s="118"/>
      <c r="AC577" s="118"/>
      <c r="AD577" s="111"/>
      <c r="AE577" s="73"/>
      <c r="AF577" s="73"/>
    </row>
    <row r="578" ht="22.5" customHeight="1">
      <c r="A578" s="73"/>
      <c r="B578" s="73"/>
      <c r="C578" s="73"/>
      <c r="D578" s="73"/>
      <c r="E578" s="330"/>
      <c r="F578" s="118"/>
      <c r="G578" s="118"/>
      <c r="H578" s="118"/>
      <c r="I578" s="118"/>
      <c r="J578" s="119"/>
      <c r="K578" s="120"/>
      <c r="L578" s="120"/>
      <c r="M578" s="120"/>
      <c r="N578" s="120"/>
      <c r="O578" s="118"/>
      <c r="P578" s="120"/>
      <c r="Q578" s="121"/>
      <c r="R578" s="109" t="b">
        <v>0</v>
      </c>
      <c r="S578" s="143" t="str">
        <f t="shared" si="1"/>
        <v>Suspenso</v>
      </c>
      <c r="T578" s="118"/>
      <c r="U578" s="118"/>
      <c r="V578" s="118"/>
      <c r="W578" s="118"/>
      <c r="X578" s="118"/>
      <c r="Y578" s="118"/>
      <c r="Z578" s="118"/>
      <c r="AA578" s="118"/>
      <c r="AB578" s="118"/>
      <c r="AC578" s="118"/>
      <c r="AD578" s="111"/>
      <c r="AE578" s="73"/>
      <c r="AF578" s="73"/>
    </row>
    <row r="579" ht="22.5" customHeight="1">
      <c r="A579" s="73"/>
      <c r="B579" s="73"/>
      <c r="C579" s="73"/>
      <c r="D579" s="73"/>
      <c r="E579" s="330"/>
      <c r="F579" s="118"/>
      <c r="G579" s="118"/>
      <c r="H579" s="118"/>
      <c r="I579" s="118"/>
      <c r="J579" s="119"/>
      <c r="K579" s="120"/>
      <c r="L579" s="120"/>
      <c r="M579" s="120"/>
      <c r="N579" s="120"/>
      <c r="O579" s="118"/>
      <c r="P579" s="120"/>
      <c r="Q579" s="121"/>
      <c r="R579" s="109" t="b">
        <v>0</v>
      </c>
      <c r="S579" s="143" t="str">
        <f t="shared" si="1"/>
        <v>Suspenso</v>
      </c>
      <c r="T579" s="118"/>
      <c r="U579" s="118"/>
      <c r="V579" s="118"/>
      <c r="W579" s="118"/>
      <c r="X579" s="118"/>
      <c r="Y579" s="118"/>
      <c r="Z579" s="118"/>
      <c r="AA579" s="118"/>
      <c r="AB579" s="118"/>
      <c r="AC579" s="118"/>
      <c r="AD579" s="111"/>
      <c r="AE579" s="73"/>
      <c r="AF579" s="73"/>
    </row>
    <row r="580" ht="22.5" customHeight="1">
      <c r="A580" s="73"/>
      <c r="B580" s="73"/>
      <c r="C580" s="73"/>
      <c r="D580" s="73"/>
      <c r="E580" s="330"/>
      <c r="F580" s="118"/>
      <c r="G580" s="118"/>
      <c r="H580" s="118"/>
      <c r="I580" s="118"/>
      <c r="J580" s="119"/>
      <c r="K580" s="120"/>
      <c r="L580" s="120"/>
      <c r="M580" s="120"/>
      <c r="N580" s="120"/>
      <c r="O580" s="118"/>
      <c r="P580" s="120"/>
      <c r="Q580" s="121"/>
      <c r="R580" s="109" t="b">
        <v>0</v>
      </c>
      <c r="S580" s="143" t="str">
        <f t="shared" si="1"/>
        <v>Suspenso</v>
      </c>
      <c r="T580" s="118"/>
      <c r="U580" s="118"/>
      <c r="V580" s="118"/>
      <c r="W580" s="118"/>
      <c r="X580" s="118"/>
      <c r="Y580" s="118"/>
      <c r="Z580" s="118"/>
      <c r="AA580" s="118"/>
      <c r="AB580" s="118"/>
      <c r="AC580" s="118"/>
      <c r="AD580" s="111"/>
      <c r="AE580" s="73"/>
      <c r="AF580" s="73"/>
    </row>
    <row r="581" ht="22.5" customHeight="1">
      <c r="A581" s="73"/>
      <c r="B581" s="73"/>
      <c r="C581" s="73"/>
      <c r="D581" s="73"/>
      <c r="E581" s="330"/>
      <c r="F581" s="118"/>
      <c r="G581" s="118"/>
      <c r="H581" s="118"/>
      <c r="I581" s="118"/>
      <c r="J581" s="119"/>
      <c r="K581" s="120"/>
      <c r="L581" s="120"/>
      <c r="M581" s="120"/>
      <c r="N581" s="120"/>
      <c r="O581" s="118"/>
      <c r="P581" s="120"/>
      <c r="Q581" s="121"/>
      <c r="R581" s="109" t="b">
        <v>0</v>
      </c>
      <c r="S581" s="143" t="str">
        <f t="shared" si="1"/>
        <v>Suspenso</v>
      </c>
      <c r="T581" s="118"/>
      <c r="U581" s="118"/>
      <c r="V581" s="118"/>
      <c r="W581" s="118"/>
      <c r="X581" s="118"/>
      <c r="Y581" s="118"/>
      <c r="Z581" s="118"/>
      <c r="AA581" s="118"/>
      <c r="AB581" s="118"/>
      <c r="AC581" s="118"/>
      <c r="AD581" s="111"/>
      <c r="AE581" s="73"/>
      <c r="AF581" s="73"/>
    </row>
    <row r="582" ht="22.5" customHeight="1">
      <c r="A582" s="73"/>
      <c r="B582" s="73"/>
      <c r="C582" s="73"/>
      <c r="D582" s="73"/>
      <c r="E582" s="330"/>
      <c r="F582" s="118"/>
      <c r="G582" s="118"/>
      <c r="H582" s="118"/>
      <c r="I582" s="118"/>
      <c r="J582" s="119"/>
      <c r="K582" s="120"/>
      <c r="L582" s="120"/>
      <c r="M582" s="120"/>
      <c r="N582" s="120"/>
      <c r="O582" s="118"/>
      <c r="P582" s="120"/>
      <c r="Q582" s="121"/>
      <c r="R582" s="109" t="b">
        <v>0</v>
      </c>
      <c r="S582" s="143" t="str">
        <f t="shared" si="1"/>
        <v>Suspenso</v>
      </c>
      <c r="T582" s="118"/>
      <c r="U582" s="118"/>
      <c r="V582" s="118"/>
      <c r="W582" s="118"/>
      <c r="X582" s="118"/>
      <c r="Y582" s="118"/>
      <c r="Z582" s="118"/>
      <c r="AA582" s="118"/>
      <c r="AB582" s="118"/>
      <c r="AC582" s="118"/>
      <c r="AD582" s="111"/>
      <c r="AE582" s="73"/>
      <c r="AF582" s="73"/>
    </row>
    <row r="583" ht="22.5" customHeight="1">
      <c r="A583" s="73"/>
      <c r="B583" s="73"/>
      <c r="C583" s="73"/>
      <c r="D583" s="73"/>
      <c r="E583" s="330"/>
      <c r="F583" s="118"/>
      <c r="G583" s="118"/>
      <c r="H583" s="118"/>
      <c r="I583" s="118"/>
      <c r="J583" s="119"/>
      <c r="K583" s="120"/>
      <c r="L583" s="120"/>
      <c r="M583" s="120"/>
      <c r="N583" s="120"/>
      <c r="O583" s="118"/>
      <c r="P583" s="120"/>
      <c r="Q583" s="121"/>
      <c r="R583" s="109" t="b">
        <v>0</v>
      </c>
      <c r="S583" s="143" t="str">
        <f t="shared" si="1"/>
        <v>Suspenso</v>
      </c>
      <c r="T583" s="118"/>
      <c r="U583" s="118"/>
      <c r="V583" s="118"/>
      <c r="W583" s="118"/>
      <c r="X583" s="118"/>
      <c r="Y583" s="118"/>
      <c r="Z583" s="118"/>
      <c r="AA583" s="118"/>
      <c r="AB583" s="118"/>
      <c r="AC583" s="118"/>
      <c r="AD583" s="111"/>
      <c r="AE583" s="73"/>
      <c r="AF583" s="73"/>
    </row>
    <row r="584" ht="22.5" customHeight="1">
      <c r="A584" s="73"/>
      <c r="B584" s="73"/>
      <c r="C584" s="73"/>
      <c r="D584" s="73"/>
      <c r="E584" s="330"/>
      <c r="F584" s="118"/>
      <c r="G584" s="118"/>
      <c r="H584" s="118"/>
      <c r="I584" s="118"/>
      <c r="J584" s="119"/>
      <c r="K584" s="120"/>
      <c r="L584" s="120"/>
      <c r="M584" s="120"/>
      <c r="N584" s="120"/>
      <c r="O584" s="118"/>
      <c r="P584" s="120"/>
      <c r="Q584" s="121"/>
      <c r="R584" s="109" t="b">
        <v>0</v>
      </c>
      <c r="S584" s="143" t="str">
        <f t="shared" si="1"/>
        <v>Suspenso</v>
      </c>
      <c r="T584" s="118"/>
      <c r="U584" s="118"/>
      <c r="V584" s="118"/>
      <c r="W584" s="118"/>
      <c r="X584" s="118"/>
      <c r="Y584" s="118"/>
      <c r="Z584" s="118"/>
      <c r="AA584" s="118"/>
      <c r="AB584" s="118"/>
      <c r="AC584" s="118"/>
      <c r="AD584" s="111"/>
      <c r="AE584" s="73"/>
      <c r="AF584" s="73"/>
    </row>
    <row r="585" ht="22.5" customHeight="1">
      <c r="A585" s="73"/>
      <c r="B585" s="73"/>
      <c r="C585" s="73"/>
      <c r="D585" s="73"/>
      <c r="E585" s="330"/>
      <c r="F585" s="118"/>
      <c r="G585" s="118"/>
      <c r="H585" s="118"/>
      <c r="I585" s="118"/>
      <c r="J585" s="119"/>
      <c r="K585" s="120"/>
      <c r="L585" s="120"/>
      <c r="M585" s="120"/>
      <c r="N585" s="120"/>
      <c r="O585" s="118"/>
      <c r="P585" s="120"/>
      <c r="Q585" s="121"/>
      <c r="R585" s="109" t="b">
        <v>0</v>
      </c>
      <c r="S585" s="143" t="str">
        <f t="shared" si="1"/>
        <v>Suspenso</v>
      </c>
      <c r="T585" s="118"/>
      <c r="U585" s="118"/>
      <c r="V585" s="118"/>
      <c r="W585" s="118"/>
      <c r="X585" s="118"/>
      <c r="Y585" s="118"/>
      <c r="Z585" s="118"/>
      <c r="AA585" s="118"/>
      <c r="AB585" s="118"/>
      <c r="AC585" s="118"/>
      <c r="AD585" s="111"/>
      <c r="AE585" s="73"/>
      <c r="AF585" s="73"/>
    </row>
    <row r="586" ht="22.5" customHeight="1">
      <c r="A586" s="73"/>
      <c r="B586" s="73"/>
      <c r="C586" s="73"/>
      <c r="D586" s="73"/>
      <c r="E586" s="330"/>
      <c r="F586" s="118"/>
      <c r="G586" s="118"/>
      <c r="H586" s="118"/>
      <c r="I586" s="118"/>
      <c r="J586" s="119"/>
      <c r="K586" s="120"/>
      <c r="L586" s="120"/>
      <c r="M586" s="120"/>
      <c r="N586" s="120"/>
      <c r="O586" s="118"/>
      <c r="P586" s="120"/>
      <c r="Q586" s="121"/>
      <c r="R586" s="109" t="b">
        <v>0</v>
      </c>
      <c r="S586" s="143" t="str">
        <f t="shared" si="1"/>
        <v>Suspenso</v>
      </c>
      <c r="T586" s="118"/>
      <c r="U586" s="118"/>
      <c r="V586" s="118"/>
      <c r="W586" s="118"/>
      <c r="X586" s="118"/>
      <c r="Y586" s="118"/>
      <c r="Z586" s="118"/>
      <c r="AA586" s="118"/>
      <c r="AB586" s="118"/>
      <c r="AC586" s="118"/>
      <c r="AD586" s="111"/>
      <c r="AE586" s="73"/>
      <c r="AF586" s="73"/>
    </row>
    <row r="587" ht="22.5" customHeight="1">
      <c r="A587" s="73"/>
      <c r="B587" s="73"/>
      <c r="C587" s="73"/>
      <c r="D587" s="73"/>
      <c r="E587" s="330"/>
      <c r="F587" s="118"/>
      <c r="G587" s="118"/>
      <c r="H587" s="118"/>
      <c r="I587" s="118"/>
      <c r="J587" s="119"/>
      <c r="K587" s="120"/>
      <c r="L587" s="120"/>
      <c r="M587" s="120"/>
      <c r="N587" s="120"/>
      <c r="O587" s="118"/>
      <c r="P587" s="120"/>
      <c r="Q587" s="121"/>
      <c r="R587" s="109" t="b">
        <v>0</v>
      </c>
      <c r="S587" s="143" t="str">
        <f t="shared" si="1"/>
        <v>Suspenso</v>
      </c>
      <c r="T587" s="118"/>
      <c r="U587" s="118"/>
      <c r="V587" s="118"/>
      <c r="W587" s="118"/>
      <c r="X587" s="118"/>
      <c r="Y587" s="118"/>
      <c r="Z587" s="118"/>
      <c r="AA587" s="118"/>
      <c r="AB587" s="118"/>
      <c r="AC587" s="118"/>
      <c r="AD587" s="111"/>
      <c r="AE587" s="73"/>
      <c r="AF587" s="73"/>
    </row>
    <row r="588" ht="22.5" customHeight="1">
      <c r="A588" s="73"/>
      <c r="B588" s="73"/>
      <c r="C588" s="73"/>
      <c r="D588" s="73"/>
      <c r="E588" s="330"/>
      <c r="F588" s="118"/>
      <c r="G588" s="118"/>
      <c r="H588" s="118"/>
      <c r="I588" s="118"/>
      <c r="J588" s="119"/>
      <c r="K588" s="120"/>
      <c r="L588" s="120"/>
      <c r="M588" s="120"/>
      <c r="N588" s="120"/>
      <c r="O588" s="118"/>
      <c r="P588" s="120"/>
      <c r="Q588" s="121"/>
      <c r="R588" s="109" t="b">
        <v>0</v>
      </c>
      <c r="S588" s="143" t="str">
        <f t="shared" si="1"/>
        <v>Suspenso</v>
      </c>
      <c r="T588" s="118"/>
      <c r="U588" s="118"/>
      <c r="V588" s="118"/>
      <c r="W588" s="118"/>
      <c r="X588" s="118"/>
      <c r="Y588" s="118"/>
      <c r="Z588" s="118"/>
      <c r="AA588" s="118"/>
      <c r="AB588" s="118"/>
      <c r="AC588" s="118"/>
      <c r="AD588" s="111"/>
      <c r="AE588" s="73"/>
      <c r="AF588" s="73"/>
    </row>
    <row r="589" ht="22.5" customHeight="1">
      <c r="A589" s="73"/>
      <c r="B589" s="73"/>
      <c r="C589" s="73"/>
      <c r="D589" s="73"/>
      <c r="E589" s="330"/>
      <c r="F589" s="118"/>
      <c r="G589" s="118"/>
      <c r="H589" s="118"/>
      <c r="I589" s="118"/>
      <c r="J589" s="119"/>
      <c r="K589" s="120"/>
      <c r="L589" s="120"/>
      <c r="M589" s="120"/>
      <c r="N589" s="120"/>
      <c r="O589" s="118"/>
      <c r="P589" s="120"/>
      <c r="Q589" s="121"/>
      <c r="R589" s="109" t="b">
        <v>0</v>
      </c>
      <c r="S589" s="143" t="str">
        <f t="shared" si="1"/>
        <v>Suspenso</v>
      </c>
      <c r="T589" s="118"/>
      <c r="U589" s="118"/>
      <c r="V589" s="118"/>
      <c r="W589" s="118"/>
      <c r="X589" s="118"/>
      <c r="Y589" s="118"/>
      <c r="Z589" s="118"/>
      <c r="AA589" s="118"/>
      <c r="AB589" s="118"/>
      <c r="AC589" s="118"/>
      <c r="AD589" s="111"/>
      <c r="AE589" s="73"/>
      <c r="AF589" s="73"/>
    </row>
    <row r="590" ht="22.5" customHeight="1">
      <c r="A590" s="73"/>
      <c r="B590" s="73"/>
      <c r="C590" s="73"/>
      <c r="D590" s="73"/>
      <c r="E590" s="330"/>
      <c r="F590" s="118"/>
      <c r="G590" s="118"/>
      <c r="H590" s="118"/>
      <c r="I590" s="118"/>
      <c r="J590" s="119"/>
      <c r="K590" s="120"/>
      <c r="L590" s="120"/>
      <c r="M590" s="120"/>
      <c r="N590" s="120"/>
      <c r="O590" s="118"/>
      <c r="P590" s="120"/>
      <c r="Q590" s="121"/>
      <c r="R590" s="109" t="b">
        <v>0</v>
      </c>
      <c r="S590" s="143" t="str">
        <f t="shared" si="1"/>
        <v>Suspenso</v>
      </c>
      <c r="T590" s="118"/>
      <c r="U590" s="118"/>
      <c r="V590" s="118"/>
      <c r="W590" s="118"/>
      <c r="X590" s="118"/>
      <c r="Y590" s="118"/>
      <c r="Z590" s="118"/>
      <c r="AA590" s="118"/>
      <c r="AB590" s="118"/>
      <c r="AC590" s="118"/>
      <c r="AD590" s="111"/>
      <c r="AE590" s="73"/>
      <c r="AF590" s="73"/>
    </row>
    <row r="591" ht="22.5" customHeight="1">
      <c r="A591" s="73"/>
      <c r="B591" s="73"/>
      <c r="C591" s="73"/>
      <c r="D591" s="73"/>
      <c r="E591" s="330"/>
      <c r="F591" s="118"/>
      <c r="G591" s="118"/>
      <c r="H591" s="118"/>
      <c r="I591" s="118"/>
      <c r="J591" s="119"/>
      <c r="K591" s="120"/>
      <c r="L591" s="120"/>
      <c r="M591" s="120"/>
      <c r="N591" s="120"/>
      <c r="O591" s="118"/>
      <c r="P591" s="120"/>
      <c r="Q591" s="121"/>
      <c r="R591" s="109" t="b">
        <v>0</v>
      </c>
      <c r="S591" s="143" t="str">
        <f t="shared" si="1"/>
        <v>Suspenso</v>
      </c>
      <c r="T591" s="118"/>
      <c r="U591" s="118"/>
      <c r="V591" s="118"/>
      <c r="W591" s="118"/>
      <c r="X591" s="118"/>
      <c r="Y591" s="118"/>
      <c r="Z591" s="118"/>
      <c r="AA591" s="118"/>
      <c r="AB591" s="118"/>
      <c r="AC591" s="118"/>
      <c r="AD591" s="111"/>
      <c r="AE591" s="73"/>
      <c r="AF591" s="73"/>
    </row>
    <row r="592" ht="22.5" customHeight="1">
      <c r="A592" s="73"/>
      <c r="B592" s="73"/>
      <c r="C592" s="73"/>
      <c r="D592" s="73"/>
      <c r="E592" s="330"/>
      <c r="F592" s="118"/>
      <c r="G592" s="118"/>
      <c r="H592" s="118"/>
      <c r="I592" s="118"/>
      <c r="J592" s="119"/>
      <c r="K592" s="120"/>
      <c r="L592" s="120"/>
      <c r="M592" s="120"/>
      <c r="N592" s="120"/>
      <c r="O592" s="118"/>
      <c r="P592" s="120"/>
      <c r="Q592" s="121"/>
      <c r="R592" s="109" t="b">
        <v>0</v>
      </c>
      <c r="S592" s="143" t="str">
        <f t="shared" si="1"/>
        <v>Suspenso</v>
      </c>
      <c r="T592" s="118"/>
      <c r="U592" s="118"/>
      <c r="V592" s="118"/>
      <c r="W592" s="118"/>
      <c r="X592" s="118"/>
      <c r="Y592" s="118"/>
      <c r="Z592" s="118"/>
      <c r="AA592" s="118"/>
      <c r="AB592" s="118"/>
      <c r="AC592" s="118"/>
      <c r="AD592" s="111"/>
      <c r="AE592" s="73"/>
      <c r="AF592" s="73"/>
    </row>
    <row r="593" ht="22.5" customHeight="1">
      <c r="A593" s="73"/>
      <c r="B593" s="73"/>
      <c r="C593" s="73"/>
      <c r="D593" s="73"/>
      <c r="E593" s="330"/>
      <c r="F593" s="118"/>
      <c r="G593" s="118"/>
      <c r="H593" s="118"/>
      <c r="I593" s="118"/>
      <c r="J593" s="119"/>
      <c r="K593" s="120"/>
      <c r="L593" s="120"/>
      <c r="M593" s="120"/>
      <c r="N593" s="120"/>
      <c r="O593" s="118"/>
      <c r="P593" s="120"/>
      <c r="Q593" s="121"/>
      <c r="R593" s="109" t="b">
        <v>0</v>
      </c>
      <c r="S593" s="143" t="str">
        <f t="shared" si="1"/>
        <v>Suspenso</v>
      </c>
      <c r="T593" s="118"/>
      <c r="U593" s="118"/>
      <c r="V593" s="118"/>
      <c r="W593" s="118"/>
      <c r="X593" s="118"/>
      <c r="Y593" s="118"/>
      <c r="Z593" s="118"/>
      <c r="AA593" s="118"/>
      <c r="AB593" s="118"/>
      <c r="AC593" s="118"/>
      <c r="AD593" s="111"/>
      <c r="AE593" s="73"/>
      <c r="AF593" s="73"/>
    </row>
    <row r="594" ht="22.5" customHeight="1">
      <c r="A594" s="73"/>
      <c r="B594" s="73"/>
      <c r="C594" s="73"/>
      <c r="D594" s="73"/>
      <c r="E594" s="330"/>
      <c r="F594" s="118"/>
      <c r="G594" s="118"/>
      <c r="H594" s="118"/>
      <c r="I594" s="118"/>
      <c r="J594" s="119"/>
      <c r="K594" s="120"/>
      <c r="L594" s="120"/>
      <c r="M594" s="120"/>
      <c r="N594" s="120"/>
      <c r="O594" s="118"/>
      <c r="P594" s="120"/>
      <c r="Q594" s="121"/>
      <c r="R594" s="109" t="b">
        <v>0</v>
      </c>
      <c r="S594" s="143" t="str">
        <f t="shared" si="1"/>
        <v>Suspenso</v>
      </c>
      <c r="T594" s="118"/>
      <c r="U594" s="118"/>
      <c r="V594" s="118"/>
      <c r="W594" s="118"/>
      <c r="X594" s="118"/>
      <c r="Y594" s="118"/>
      <c r="Z594" s="118"/>
      <c r="AA594" s="118"/>
      <c r="AB594" s="118"/>
      <c r="AC594" s="118"/>
      <c r="AD594" s="111"/>
      <c r="AE594" s="73"/>
      <c r="AF594" s="73"/>
    </row>
    <row r="595" ht="22.5" customHeight="1">
      <c r="A595" s="73"/>
      <c r="B595" s="73"/>
      <c r="C595" s="73"/>
      <c r="D595" s="73"/>
      <c r="E595" s="330"/>
      <c r="F595" s="118"/>
      <c r="G595" s="118"/>
      <c r="H595" s="118"/>
      <c r="I595" s="118"/>
      <c r="J595" s="119"/>
      <c r="K595" s="120"/>
      <c r="L595" s="120"/>
      <c r="M595" s="120"/>
      <c r="N595" s="120"/>
      <c r="O595" s="118"/>
      <c r="P595" s="120"/>
      <c r="Q595" s="121"/>
      <c r="R595" s="109" t="b">
        <v>0</v>
      </c>
      <c r="S595" s="143" t="str">
        <f t="shared" si="1"/>
        <v>Suspenso</v>
      </c>
      <c r="T595" s="118"/>
      <c r="U595" s="118"/>
      <c r="V595" s="118"/>
      <c r="W595" s="118"/>
      <c r="X595" s="118"/>
      <c r="Y595" s="118"/>
      <c r="Z595" s="118"/>
      <c r="AA595" s="118"/>
      <c r="AB595" s="118"/>
      <c r="AC595" s="118"/>
      <c r="AD595" s="111"/>
      <c r="AE595" s="73"/>
      <c r="AF595" s="73"/>
    </row>
    <row r="596" ht="22.5" customHeight="1">
      <c r="A596" s="73"/>
      <c r="B596" s="73"/>
      <c r="C596" s="73"/>
      <c r="D596" s="73"/>
      <c r="E596" s="330"/>
      <c r="F596" s="118"/>
      <c r="G596" s="118"/>
      <c r="H596" s="118"/>
      <c r="I596" s="118"/>
      <c r="J596" s="119"/>
      <c r="K596" s="120"/>
      <c r="L596" s="120"/>
      <c r="M596" s="120"/>
      <c r="N596" s="120"/>
      <c r="O596" s="118"/>
      <c r="P596" s="120"/>
      <c r="Q596" s="121"/>
      <c r="R596" s="109" t="b">
        <v>0</v>
      </c>
      <c r="S596" s="143" t="str">
        <f t="shared" si="1"/>
        <v>Suspenso</v>
      </c>
      <c r="T596" s="118"/>
      <c r="U596" s="118"/>
      <c r="V596" s="118"/>
      <c r="W596" s="118"/>
      <c r="X596" s="118"/>
      <c r="Y596" s="118"/>
      <c r="Z596" s="118"/>
      <c r="AA596" s="118"/>
      <c r="AB596" s="118"/>
      <c r="AC596" s="118"/>
      <c r="AD596" s="111"/>
      <c r="AE596" s="73"/>
      <c r="AF596" s="73"/>
    </row>
    <row r="597" ht="22.5" customHeight="1">
      <c r="A597" s="73"/>
      <c r="B597" s="73"/>
      <c r="C597" s="73"/>
      <c r="D597" s="73"/>
      <c r="E597" s="330"/>
      <c r="F597" s="118"/>
      <c r="G597" s="118"/>
      <c r="H597" s="118"/>
      <c r="I597" s="118"/>
      <c r="J597" s="119"/>
      <c r="K597" s="120"/>
      <c r="L597" s="120"/>
      <c r="M597" s="120"/>
      <c r="N597" s="120"/>
      <c r="O597" s="118"/>
      <c r="P597" s="120"/>
      <c r="Q597" s="121"/>
      <c r="R597" s="109" t="b">
        <v>0</v>
      </c>
      <c r="S597" s="143" t="str">
        <f t="shared" si="1"/>
        <v>Suspenso</v>
      </c>
      <c r="T597" s="118"/>
      <c r="U597" s="118"/>
      <c r="V597" s="118"/>
      <c r="W597" s="118"/>
      <c r="X597" s="118"/>
      <c r="Y597" s="118"/>
      <c r="Z597" s="118"/>
      <c r="AA597" s="118"/>
      <c r="AB597" s="118"/>
      <c r="AC597" s="118"/>
      <c r="AD597" s="111"/>
      <c r="AE597" s="73"/>
      <c r="AF597" s="73"/>
    </row>
    <row r="598" ht="22.5" customHeight="1">
      <c r="A598" s="73"/>
      <c r="B598" s="73"/>
      <c r="C598" s="73"/>
      <c r="D598" s="73"/>
      <c r="E598" s="330"/>
      <c r="F598" s="118"/>
      <c r="G598" s="118"/>
      <c r="H598" s="118"/>
      <c r="I598" s="118"/>
      <c r="J598" s="119"/>
      <c r="K598" s="120"/>
      <c r="L598" s="120"/>
      <c r="M598" s="120"/>
      <c r="N598" s="120"/>
      <c r="O598" s="118"/>
      <c r="P598" s="120"/>
      <c r="Q598" s="121"/>
      <c r="R598" s="109" t="b">
        <v>0</v>
      </c>
      <c r="S598" s="143" t="str">
        <f t="shared" si="1"/>
        <v>Suspenso</v>
      </c>
      <c r="T598" s="118"/>
      <c r="U598" s="118"/>
      <c r="V598" s="118"/>
      <c r="W598" s="118"/>
      <c r="X598" s="118"/>
      <c r="Y598" s="118"/>
      <c r="Z598" s="118"/>
      <c r="AA598" s="118"/>
      <c r="AB598" s="118"/>
      <c r="AC598" s="118"/>
      <c r="AD598" s="111"/>
      <c r="AE598" s="73"/>
      <c r="AF598" s="73"/>
    </row>
    <row r="599" ht="22.5" customHeight="1">
      <c r="A599" s="73"/>
      <c r="B599" s="73"/>
      <c r="C599" s="73"/>
      <c r="D599" s="73"/>
      <c r="E599" s="330"/>
      <c r="F599" s="118"/>
      <c r="G599" s="118"/>
      <c r="H599" s="118"/>
      <c r="I599" s="118"/>
      <c r="J599" s="119"/>
      <c r="K599" s="120"/>
      <c r="L599" s="120"/>
      <c r="M599" s="120"/>
      <c r="N599" s="120"/>
      <c r="O599" s="118"/>
      <c r="P599" s="120"/>
      <c r="Q599" s="121"/>
      <c r="R599" s="109" t="b">
        <v>0</v>
      </c>
      <c r="S599" s="143" t="str">
        <f t="shared" si="1"/>
        <v>Suspenso</v>
      </c>
      <c r="T599" s="118"/>
      <c r="U599" s="118"/>
      <c r="V599" s="118"/>
      <c r="W599" s="118"/>
      <c r="X599" s="118"/>
      <c r="Y599" s="118"/>
      <c r="Z599" s="118"/>
      <c r="AA599" s="118"/>
      <c r="AB599" s="118"/>
      <c r="AC599" s="118"/>
      <c r="AD599" s="111"/>
      <c r="AE599" s="73"/>
      <c r="AF599" s="73"/>
    </row>
    <row r="600" ht="22.5" customHeight="1">
      <c r="A600" s="73"/>
      <c r="B600" s="73"/>
      <c r="C600" s="73"/>
      <c r="D600" s="73"/>
      <c r="E600" s="330"/>
      <c r="F600" s="118"/>
      <c r="G600" s="118"/>
      <c r="H600" s="118"/>
      <c r="I600" s="118"/>
      <c r="J600" s="119"/>
      <c r="K600" s="120"/>
      <c r="L600" s="120"/>
      <c r="M600" s="120"/>
      <c r="N600" s="120"/>
      <c r="O600" s="118"/>
      <c r="P600" s="120"/>
      <c r="Q600" s="121"/>
      <c r="R600" s="109" t="b">
        <v>0</v>
      </c>
      <c r="S600" s="143" t="str">
        <f t="shared" si="1"/>
        <v>Suspenso</v>
      </c>
      <c r="T600" s="118"/>
      <c r="U600" s="118"/>
      <c r="V600" s="118"/>
      <c r="W600" s="118"/>
      <c r="X600" s="118"/>
      <c r="Y600" s="118"/>
      <c r="Z600" s="118"/>
      <c r="AA600" s="118"/>
      <c r="AB600" s="118"/>
      <c r="AC600" s="118"/>
      <c r="AD600" s="111"/>
      <c r="AE600" s="73"/>
      <c r="AF600" s="73"/>
    </row>
    <row r="601" ht="22.5" customHeight="1">
      <c r="A601" s="73"/>
      <c r="B601" s="73"/>
      <c r="C601" s="73"/>
      <c r="D601" s="73"/>
      <c r="E601" s="330"/>
      <c r="F601" s="118"/>
      <c r="G601" s="118"/>
      <c r="H601" s="118"/>
      <c r="I601" s="118"/>
      <c r="J601" s="119"/>
      <c r="K601" s="120"/>
      <c r="L601" s="120"/>
      <c r="M601" s="120"/>
      <c r="N601" s="120"/>
      <c r="O601" s="118"/>
      <c r="P601" s="120"/>
      <c r="Q601" s="121"/>
      <c r="R601" s="109" t="b">
        <v>0</v>
      </c>
      <c r="S601" s="143" t="str">
        <f t="shared" si="1"/>
        <v>Suspenso</v>
      </c>
      <c r="T601" s="118"/>
      <c r="U601" s="118"/>
      <c r="V601" s="118"/>
      <c r="W601" s="118"/>
      <c r="X601" s="118"/>
      <c r="Y601" s="118"/>
      <c r="Z601" s="118"/>
      <c r="AA601" s="118"/>
      <c r="AB601" s="118"/>
      <c r="AC601" s="118"/>
      <c r="AD601" s="111"/>
      <c r="AE601" s="73"/>
      <c r="AF601" s="73"/>
    </row>
    <row r="602" ht="22.5" customHeight="1">
      <c r="A602" s="73"/>
      <c r="B602" s="73"/>
      <c r="C602" s="73"/>
      <c r="D602" s="73"/>
      <c r="E602" s="330"/>
      <c r="F602" s="118"/>
      <c r="G602" s="118"/>
      <c r="H602" s="118"/>
      <c r="I602" s="118"/>
      <c r="J602" s="119"/>
      <c r="K602" s="120"/>
      <c r="L602" s="120"/>
      <c r="M602" s="120"/>
      <c r="N602" s="120"/>
      <c r="O602" s="118"/>
      <c r="P602" s="120"/>
      <c r="Q602" s="121"/>
      <c r="R602" s="109" t="b">
        <v>0</v>
      </c>
      <c r="S602" s="143" t="str">
        <f t="shared" si="1"/>
        <v>Suspenso</v>
      </c>
      <c r="T602" s="118"/>
      <c r="U602" s="118"/>
      <c r="V602" s="118"/>
      <c r="W602" s="118"/>
      <c r="X602" s="118"/>
      <c r="Y602" s="118"/>
      <c r="Z602" s="118"/>
      <c r="AA602" s="118"/>
      <c r="AB602" s="118"/>
      <c r="AC602" s="118"/>
      <c r="AD602" s="111"/>
      <c r="AE602" s="73"/>
      <c r="AF602" s="73"/>
    </row>
    <row r="603" ht="22.5" customHeight="1">
      <c r="A603" s="73"/>
      <c r="B603" s="73"/>
      <c r="C603" s="73"/>
      <c r="D603" s="73"/>
      <c r="E603" s="330"/>
      <c r="F603" s="118"/>
      <c r="G603" s="118"/>
      <c r="H603" s="118"/>
      <c r="I603" s="118"/>
      <c r="J603" s="119"/>
      <c r="K603" s="120"/>
      <c r="L603" s="120"/>
      <c r="M603" s="120"/>
      <c r="N603" s="120"/>
      <c r="O603" s="118"/>
      <c r="P603" s="120"/>
      <c r="Q603" s="121"/>
      <c r="R603" s="109" t="b">
        <v>0</v>
      </c>
      <c r="S603" s="143" t="str">
        <f t="shared" si="1"/>
        <v>Suspenso</v>
      </c>
      <c r="T603" s="118"/>
      <c r="U603" s="118"/>
      <c r="V603" s="118"/>
      <c r="W603" s="118"/>
      <c r="X603" s="118"/>
      <c r="Y603" s="118"/>
      <c r="Z603" s="118"/>
      <c r="AA603" s="118"/>
      <c r="AB603" s="118"/>
      <c r="AC603" s="118"/>
      <c r="AD603" s="111"/>
      <c r="AE603" s="73"/>
      <c r="AF603" s="73"/>
    </row>
    <row r="604" ht="22.5" customHeight="1">
      <c r="A604" s="73"/>
      <c r="B604" s="73"/>
      <c r="C604" s="73"/>
      <c r="D604" s="73"/>
      <c r="E604" s="330"/>
      <c r="F604" s="118"/>
      <c r="G604" s="118"/>
      <c r="H604" s="118"/>
      <c r="I604" s="118"/>
      <c r="J604" s="119"/>
      <c r="K604" s="120"/>
      <c r="L604" s="120"/>
      <c r="M604" s="120"/>
      <c r="N604" s="120"/>
      <c r="O604" s="118"/>
      <c r="P604" s="120"/>
      <c r="Q604" s="121"/>
      <c r="R604" s="109" t="b">
        <v>0</v>
      </c>
      <c r="S604" s="143" t="str">
        <f t="shared" si="1"/>
        <v>Suspenso</v>
      </c>
      <c r="T604" s="118"/>
      <c r="U604" s="118"/>
      <c r="V604" s="118"/>
      <c r="W604" s="118"/>
      <c r="X604" s="118"/>
      <c r="Y604" s="118"/>
      <c r="Z604" s="118"/>
      <c r="AA604" s="118"/>
      <c r="AB604" s="118"/>
      <c r="AC604" s="118"/>
      <c r="AD604" s="111"/>
      <c r="AE604" s="73"/>
      <c r="AF604" s="73"/>
    </row>
    <row r="605" ht="22.5" customHeight="1">
      <c r="A605" s="73"/>
      <c r="B605" s="73"/>
      <c r="C605" s="73"/>
      <c r="D605" s="73"/>
      <c r="E605" s="330"/>
      <c r="F605" s="118"/>
      <c r="G605" s="118"/>
      <c r="H605" s="118"/>
      <c r="I605" s="118"/>
      <c r="J605" s="119"/>
      <c r="K605" s="120"/>
      <c r="L605" s="120"/>
      <c r="M605" s="120"/>
      <c r="N605" s="120"/>
      <c r="O605" s="118"/>
      <c r="P605" s="120"/>
      <c r="Q605" s="121"/>
      <c r="R605" s="109" t="b">
        <v>0</v>
      </c>
      <c r="S605" s="143" t="str">
        <f t="shared" si="1"/>
        <v>Suspenso</v>
      </c>
      <c r="T605" s="118"/>
      <c r="U605" s="118"/>
      <c r="V605" s="118"/>
      <c r="W605" s="118"/>
      <c r="X605" s="118"/>
      <c r="Y605" s="118"/>
      <c r="Z605" s="118"/>
      <c r="AA605" s="118"/>
      <c r="AB605" s="118"/>
      <c r="AC605" s="118"/>
      <c r="AD605" s="111"/>
      <c r="AE605" s="73"/>
      <c r="AF605" s="73"/>
    </row>
    <row r="606" ht="22.5" customHeight="1">
      <c r="A606" s="73"/>
      <c r="B606" s="73"/>
      <c r="C606" s="73"/>
      <c r="D606" s="73"/>
      <c r="E606" s="330"/>
      <c r="F606" s="118"/>
      <c r="G606" s="118"/>
      <c r="H606" s="118"/>
      <c r="I606" s="118"/>
      <c r="J606" s="119"/>
      <c r="K606" s="120"/>
      <c r="L606" s="120"/>
      <c r="M606" s="120"/>
      <c r="N606" s="120"/>
      <c r="O606" s="118"/>
      <c r="P606" s="120"/>
      <c r="Q606" s="121"/>
      <c r="R606" s="109" t="b">
        <v>0</v>
      </c>
      <c r="S606" s="143" t="str">
        <f t="shared" si="1"/>
        <v>Suspenso</v>
      </c>
      <c r="T606" s="118"/>
      <c r="U606" s="118"/>
      <c r="V606" s="118"/>
      <c r="W606" s="118"/>
      <c r="X606" s="118"/>
      <c r="Y606" s="118"/>
      <c r="Z606" s="118"/>
      <c r="AA606" s="118"/>
      <c r="AB606" s="118"/>
      <c r="AC606" s="118"/>
      <c r="AD606" s="111"/>
      <c r="AE606" s="73"/>
      <c r="AF606" s="73"/>
    </row>
    <row r="607" ht="22.5" customHeight="1">
      <c r="A607" s="73"/>
      <c r="B607" s="73"/>
      <c r="C607" s="73"/>
      <c r="D607" s="73"/>
      <c r="E607" s="330"/>
      <c r="F607" s="118"/>
      <c r="G607" s="118"/>
      <c r="H607" s="118"/>
      <c r="I607" s="118"/>
      <c r="J607" s="119"/>
      <c r="K607" s="120"/>
      <c r="L607" s="120"/>
      <c r="M607" s="120"/>
      <c r="N607" s="120"/>
      <c r="O607" s="118"/>
      <c r="P607" s="120"/>
      <c r="Q607" s="121"/>
      <c r="R607" s="109" t="b">
        <v>0</v>
      </c>
      <c r="S607" s="143" t="str">
        <f t="shared" si="1"/>
        <v>Suspenso</v>
      </c>
      <c r="T607" s="118"/>
      <c r="U607" s="118"/>
      <c r="V607" s="118"/>
      <c r="W607" s="118"/>
      <c r="X607" s="118"/>
      <c r="Y607" s="118"/>
      <c r="Z607" s="118"/>
      <c r="AA607" s="118"/>
      <c r="AB607" s="118"/>
      <c r="AC607" s="118"/>
      <c r="AD607" s="111"/>
      <c r="AE607" s="73"/>
      <c r="AF607" s="73"/>
    </row>
    <row r="608" ht="22.5" customHeight="1">
      <c r="A608" s="73"/>
      <c r="B608" s="73"/>
      <c r="C608" s="73"/>
      <c r="D608" s="73"/>
      <c r="E608" s="330"/>
      <c r="F608" s="118"/>
      <c r="G608" s="118"/>
      <c r="H608" s="118"/>
      <c r="I608" s="118"/>
      <c r="J608" s="119"/>
      <c r="K608" s="120"/>
      <c r="L608" s="120"/>
      <c r="M608" s="120"/>
      <c r="N608" s="120"/>
      <c r="O608" s="118"/>
      <c r="P608" s="120"/>
      <c r="Q608" s="121"/>
      <c r="R608" s="109" t="b">
        <v>0</v>
      </c>
      <c r="S608" s="143" t="str">
        <f t="shared" si="1"/>
        <v>Suspenso</v>
      </c>
      <c r="T608" s="118"/>
      <c r="U608" s="118"/>
      <c r="V608" s="118"/>
      <c r="W608" s="118"/>
      <c r="X608" s="118"/>
      <c r="Y608" s="118"/>
      <c r="Z608" s="118"/>
      <c r="AA608" s="118"/>
      <c r="AB608" s="118"/>
      <c r="AC608" s="118"/>
      <c r="AD608" s="111"/>
      <c r="AE608" s="73"/>
      <c r="AF608" s="73"/>
    </row>
    <row r="609" ht="22.5" customHeight="1">
      <c r="A609" s="73"/>
      <c r="B609" s="73"/>
      <c r="C609" s="73"/>
      <c r="D609" s="73"/>
      <c r="E609" s="330"/>
      <c r="F609" s="118"/>
      <c r="G609" s="118"/>
      <c r="H609" s="118"/>
      <c r="I609" s="118"/>
      <c r="J609" s="119"/>
      <c r="K609" s="120"/>
      <c r="L609" s="120"/>
      <c r="M609" s="120"/>
      <c r="N609" s="120"/>
      <c r="O609" s="118"/>
      <c r="P609" s="120"/>
      <c r="Q609" s="121"/>
      <c r="R609" s="109" t="b">
        <v>0</v>
      </c>
      <c r="S609" s="143" t="str">
        <f t="shared" si="1"/>
        <v>Suspenso</v>
      </c>
      <c r="T609" s="118"/>
      <c r="U609" s="118"/>
      <c r="V609" s="118"/>
      <c r="W609" s="118"/>
      <c r="X609" s="118"/>
      <c r="Y609" s="118"/>
      <c r="Z609" s="118"/>
      <c r="AA609" s="118"/>
      <c r="AB609" s="118"/>
      <c r="AC609" s="118"/>
      <c r="AD609" s="111"/>
      <c r="AE609" s="73"/>
      <c r="AF609" s="73"/>
    </row>
    <row r="610" ht="22.5" customHeight="1">
      <c r="A610" s="73"/>
      <c r="B610" s="73"/>
      <c r="C610" s="73"/>
      <c r="D610" s="73"/>
      <c r="E610" s="330"/>
      <c r="F610" s="118"/>
      <c r="G610" s="118"/>
      <c r="H610" s="118"/>
      <c r="I610" s="118"/>
      <c r="J610" s="119"/>
      <c r="K610" s="120"/>
      <c r="L610" s="120"/>
      <c r="M610" s="120"/>
      <c r="N610" s="120"/>
      <c r="O610" s="118"/>
      <c r="P610" s="120"/>
      <c r="Q610" s="121"/>
      <c r="R610" s="109" t="b">
        <v>0</v>
      </c>
      <c r="S610" s="143" t="str">
        <f t="shared" si="1"/>
        <v>Suspenso</v>
      </c>
      <c r="T610" s="118"/>
      <c r="U610" s="118"/>
      <c r="V610" s="118"/>
      <c r="W610" s="118"/>
      <c r="X610" s="118"/>
      <c r="Y610" s="118"/>
      <c r="Z610" s="118"/>
      <c r="AA610" s="118"/>
      <c r="AB610" s="118"/>
      <c r="AC610" s="118"/>
      <c r="AD610" s="111"/>
      <c r="AE610" s="73"/>
      <c r="AF610" s="73"/>
    </row>
    <row r="611" ht="22.5" customHeight="1">
      <c r="A611" s="73"/>
      <c r="B611" s="73"/>
      <c r="C611" s="73"/>
      <c r="D611" s="73"/>
      <c r="E611" s="330"/>
      <c r="F611" s="118"/>
      <c r="G611" s="118"/>
      <c r="H611" s="118"/>
      <c r="I611" s="118"/>
      <c r="J611" s="119"/>
      <c r="K611" s="120"/>
      <c r="L611" s="120"/>
      <c r="M611" s="120"/>
      <c r="N611" s="120"/>
      <c r="O611" s="118"/>
      <c r="P611" s="120"/>
      <c r="Q611" s="121"/>
      <c r="R611" s="109" t="b">
        <v>0</v>
      </c>
      <c r="S611" s="143" t="str">
        <f t="shared" si="1"/>
        <v>Suspenso</v>
      </c>
      <c r="T611" s="118"/>
      <c r="U611" s="118"/>
      <c r="V611" s="118"/>
      <c r="W611" s="118"/>
      <c r="X611" s="118"/>
      <c r="Y611" s="118"/>
      <c r="Z611" s="118"/>
      <c r="AA611" s="118"/>
      <c r="AB611" s="118"/>
      <c r="AC611" s="118"/>
      <c r="AD611" s="111"/>
      <c r="AE611" s="73"/>
      <c r="AF611" s="73"/>
    </row>
    <row r="612" ht="22.5" customHeight="1">
      <c r="A612" s="73"/>
      <c r="B612" s="73"/>
      <c r="C612" s="73"/>
      <c r="D612" s="73"/>
      <c r="E612" s="330"/>
      <c r="F612" s="118"/>
      <c r="G612" s="118"/>
      <c r="H612" s="118"/>
      <c r="I612" s="118"/>
      <c r="J612" s="119"/>
      <c r="K612" s="120"/>
      <c r="L612" s="120"/>
      <c r="M612" s="120"/>
      <c r="N612" s="120"/>
      <c r="O612" s="118"/>
      <c r="P612" s="120"/>
      <c r="Q612" s="121"/>
      <c r="R612" s="109" t="b">
        <v>0</v>
      </c>
      <c r="S612" s="143" t="str">
        <f t="shared" si="1"/>
        <v>Suspenso</v>
      </c>
      <c r="T612" s="118"/>
      <c r="U612" s="118"/>
      <c r="V612" s="118"/>
      <c r="W612" s="118"/>
      <c r="X612" s="118"/>
      <c r="Y612" s="118"/>
      <c r="Z612" s="118"/>
      <c r="AA612" s="118"/>
      <c r="AB612" s="118"/>
      <c r="AC612" s="118"/>
      <c r="AD612" s="111"/>
      <c r="AE612" s="73"/>
      <c r="AF612" s="73"/>
    </row>
    <row r="613" ht="22.5" customHeight="1">
      <c r="A613" s="73"/>
      <c r="B613" s="73"/>
      <c r="C613" s="73"/>
      <c r="D613" s="73"/>
      <c r="E613" s="330"/>
      <c r="F613" s="118"/>
      <c r="G613" s="118"/>
      <c r="H613" s="118"/>
      <c r="I613" s="118"/>
      <c r="J613" s="119"/>
      <c r="K613" s="120"/>
      <c r="L613" s="120"/>
      <c r="M613" s="120"/>
      <c r="N613" s="120"/>
      <c r="O613" s="118"/>
      <c r="P613" s="120"/>
      <c r="Q613" s="121"/>
      <c r="R613" s="109" t="b">
        <v>0</v>
      </c>
      <c r="S613" s="143" t="str">
        <f t="shared" si="1"/>
        <v>Suspenso</v>
      </c>
      <c r="T613" s="118"/>
      <c r="U613" s="118"/>
      <c r="V613" s="118"/>
      <c r="W613" s="118"/>
      <c r="X613" s="118"/>
      <c r="Y613" s="118"/>
      <c r="Z613" s="118"/>
      <c r="AA613" s="118"/>
      <c r="AB613" s="118"/>
      <c r="AC613" s="118"/>
      <c r="AD613" s="111"/>
      <c r="AE613" s="73"/>
      <c r="AF613" s="73"/>
    </row>
    <row r="614" ht="22.5" customHeight="1">
      <c r="A614" s="73"/>
      <c r="B614" s="73"/>
      <c r="C614" s="73"/>
      <c r="D614" s="73"/>
      <c r="E614" s="330"/>
      <c r="F614" s="118"/>
      <c r="G614" s="118"/>
      <c r="H614" s="118"/>
      <c r="I614" s="118"/>
      <c r="J614" s="119"/>
      <c r="K614" s="120"/>
      <c r="L614" s="120"/>
      <c r="M614" s="120"/>
      <c r="N614" s="120"/>
      <c r="O614" s="118"/>
      <c r="P614" s="120"/>
      <c r="Q614" s="121"/>
      <c r="R614" s="109" t="b">
        <v>0</v>
      </c>
      <c r="S614" s="143" t="str">
        <f t="shared" si="1"/>
        <v>Suspenso</v>
      </c>
      <c r="T614" s="118"/>
      <c r="U614" s="118"/>
      <c r="V614" s="118"/>
      <c r="W614" s="118"/>
      <c r="X614" s="118"/>
      <c r="Y614" s="118"/>
      <c r="Z614" s="118"/>
      <c r="AA614" s="118"/>
      <c r="AB614" s="118"/>
      <c r="AC614" s="118"/>
      <c r="AD614" s="111"/>
      <c r="AE614" s="73"/>
      <c r="AF614" s="73"/>
    </row>
    <row r="615" ht="22.5" customHeight="1">
      <c r="A615" s="73"/>
      <c r="B615" s="73"/>
      <c r="C615" s="73"/>
      <c r="D615" s="73"/>
      <c r="E615" s="330"/>
      <c r="F615" s="118"/>
      <c r="G615" s="118"/>
      <c r="H615" s="118"/>
      <c r="I615" s="118"/>
      <c r="J615" s="119"/>
      <c r="K615" s="120"/>
      <c r="L615" s="120"/>
      <c r="M615" s="120"/>
      <c r="N615" s="120"/>
      <c r="O615" s="118"/>
      <c r="P615" s="120"/>
      <c r="Q615" s="121"/>
      <c r="R615" s="109" t="b">
        <v>0</v>
      </c>
      <c r="S615" s="143" t="str">
        <f t="shared" si="1"/>
        <v>Suspenso</v>
      </c>
      <c r="T615" s="118"/>
      <c r="U615" s="118"/>
      <c r="V615" s="118"/>
      <c r="W615" s="118"/>
      <c r="X615" s="118"/>
      <c r="Y615" s="118"/>
      <c r="Z615" s="118"/>
      <c r="AA615" s="118"/>
      <c r="AB615" s="118"/>
      <c r="AC615" s="118"/>
      <c r="AD615" s="111"/>
      <c r="AE615" s="73"/>
      <c r="AF615" s="73"/>
    </row>
    <row r="616" ht="22.5" customHeight="1">
      <c r="A616" s="73"/>
      <c r="B616" s="73"/>
      <c r="C616" s="73"/>
      <c r="D616" s="73"/>
      <c r="E616" s="330"/>
      <c r="F616" s="118"/>
      <c r="G616" s="118"/>
      <c r="H616" s="118"/>
      <c r="I616" s="118"/>
      <c r="J616" s="119"/>
      <c r="K616" s="120"/>
      <c r="L616" s="120"/>
      <c r="M616" s="120"/>
      <c r="N616" s="120"/>
      <c r="O616" s="118"/>
      <c r="P616" s="120"/>
      <c r="Q616" s="121"/>
      <c r="R616" s="109" t="b">
        <v>0</v>
      </c>
      <c r="S616" s="143" t="str">
        <f t="shared" si="1"/>
        <v>Suspenso</v>
      </c>
      <c r="T616" s="118"/>
      <c r="U616" s="118"/>
      <c r="V616" s="118"/>
      <c r="W616" s="118"/>
      <c r="X616" s="118"/>
      <c r="Y616" s="118"/>
      <c r="Z616" s="118"/>
      <c r="AA616" s="118"/>
      <c r="AB616" s="118"/>
      <c r="AC616" s="118"/>
      <c r="AD616" s="111"/>
      <c r="AE616" s="73"/>
      <c r="AF616" s="73"/>
    </row>
    <row r="617" ht="22.5" customHeight="1">
      <c r="A617" s="73"/>
      <c r="B617" s="73"/>
      <c r="C617" s="73"/>
      <c r="D617" s="73"/>
      <c r="E617" s="330"/>
      <c r="F617" s="118"/>
      <c r="G617" s="118"/>
      <c r="H617" s="118"/>
      <c r="I617" s="118"/>
      <c r="J617" s="119"/>
      <c r="K617" s="120"/>
      <c r="L617" s="120"/>
      <c r="M617" s="120"/>
      <c r="N617" s="120"/>
      <c r="O617" s="118"/>
      <c r="P617" s="120"/>
      <c r="Q617" s="121"/>
      <c r="R617" s="109" t="b">
        <v>0</v>
      </c>
      <c r="S617" s="143" t="str">
        <f t="shared" si="1"/>
        <v>Suspenso</v>
      </c>
      <c r="T617" s="118"/>
      <c r="U617" s="118"/>
      <c r="V617" s="118"/>
      <c r="W617" s="118"/>
      <c r="X617" s="118"/>
      <c r="Y617" s="118"/>
      <c r="Z617" s="118"/>
      <c r="AA617" s="118"/>
      <c r="AB617" s="118"/>
      <c r="AC617" s="118"/>
      <c r="AD617" s="111"/>
      <c r="AE617" s="73"/>
      <c r="AF617" s="73"/>
    </row>
    <row r="618" ht="22.5" customHeight="1">
      <c r="A618" s="73"/>
      <c r="B618" s="73"/>
      <c r="C618" s="73"/>
      <c r="D618" s="73"/>
      <c r="E618" s="330"/>
      <c r="F618" s="118"/>
      <c r="G618" s="118"/>
      <c r="H618" s="118"/>
      <c r="I618" s="118"/>
      <c r="J618" s="119"/>
      <c r="K618" s="120"/>
      <c r="L618" s="120"/>
      <c r="M618" s="120"/>
      <c r="N618" s="120"/>
      <c r="O618" s="118"/>
      <c r="P618" s="120"/>
      <c r="Q618" s="121"/>
      <c r="R618" s="109" t="b">
        <v>0</v>
      </c>
      <c r="S618" s="143" t="str">
        <f t="shared" si="1"/>
        <v>Suspenso</v>
      </c>
      <c r="T618" s="118"/>
      <c r="U618" s="118"/>
      <c r="V618" s="118"/>
      <c r="W618" s="118"/>
      <c r="X618" s="118"/>
      <c r="Y618" s="118"/>
      <c r="Z618" s="118"/>
      <c r="AA618" s="118"/>
      <c r="AB618" s="118"/>
      <c r="AC618" s="118"/>
      <c r="AD618" s="111"/>
      <c r="AE618" s="73"/>
      <c r="AF618" s="73"/>
    </row>
    <row r="619" ht="22.5" customHeight="1">
      <c r="A619" s="73"/>
      <c r="B619" s="73"/>
      <c r="C619" s="73"/>
      <c r="D619" s="73"/>
      <c r="E619" s="330"/>
      <c r="F619" s="118"/>
      <c r="G619" s="118"/>
      <c r="H619" s="118"/>
      <c r="I619" s="118"/>
      <c r="J619" s="119"/>
      <c r="K619" s="120"/>
      <c r="L619" s="120"/>
      <c r="M619" s="120"/>
      <c r="N619" s="120"/>
      <c r="O619" s="118"/>
      <c r="P619" s="120"/>
      <c r="Q619" s="121"/>
      <c r="R619" s="109" t="b">
        <v>0</v>
      </c>
      <c r="S619" s="143" t="str">
        <f t="shared" si="1"/>
        <v>Suspenso</v>
      </c>
      <c r="T619" s="118"/>
      <c r="U619" s="118"/>
      <c r="V619" s="118"/>
      <c r="W619" s="118"/>
      <c r="X619" s="118"/>
      <c r="Y619" s="118"/>
      <c r="Z619" s="118"/>
      <c r="AA619" s="118"/>
      <c r="AB619" s="118"/>
      <c r="AC619" s="118"/>
      <c r="AD619" s="111"/>
      <c r="AE619" s="73"/>
      <c r="AF619" s="73"/>
    </row>
    <row r="620" ht="22.5" customHeight="1">
      <c r="A620" s="73"/>
      <c r="B620" s="73"/>
      <c r="C620" s="73"/>
      <c r="D620" s="73"/>
      <c r="E620" s="330"/>
      <c r="F620" s="118"/>
      <c r="G620" s="118"/>
      <c r="H620" s="118"/>
      <c r="I620" s="118"/>
      <c r="J620" s="119"/>
      <c r="K620" s="120"/>
      <c r="L620" s="120"/>
      <c r="M620" s="120"/>
      <c r="N620" s="120"/>
      <c r="O620" s="118"/>
      <c r="P620" s="120"/>
      <c r="Q620" s="121"/>
      <c r="R620" s="109" t="b">
        <v>0</v>
      </c>
      <c r="S620" s="143" t="str">
        <f t="shared" si="1"/>
        <v>Suspenso</v>
      </c>
      <c r="T620" s="118"/>
      <c r="U620" s="118"/>
      <c r="V620" s="118"/>
      <c r="W620" s="118"/>
      <c r="X620" s="118"/>
      <c r="Y620" s="118"/>
      <c r="Z620" s="118"/>
      <c r="AA620" s="118"/>
      <c r="AB620" s="118"/>
      <c r="AC620" s="118"/>
      <c r="AD620" s="111"/>
      <c r="AE620" s="73"/>
      <c r="AF620" s="73"/>
    </row>
    <row r="621" ht="22.5" customHeight="1">
      <c r="A621" s="73"/>
      <c r="B621" s="73"/>
      <c r="C621" s="73"/>
      <c r="D621" s="73"/>
      <c r="E621" s="330"/>
      <c r="F621" s="118"/>
      <c r="G621" s="118"/>
      <c r="H621" s="118"/>
      <c r="I621" s="118"/>
      <c r="J621" s="119"/>
      <c r="K621" s="120"/>
      <c r="L621" s="120"/>
      <c r="M621" s="120"/>
      <c r="N621" s="120"/>
      <c r="O621" s="118"/>
      <c r="P621" s="120"/>
      <c r="Q621" s="121"/>
      <c r="R621" s="109" t="b">
        <v>0</v>
      </c>
      <c r="S621" s="143" t="str">
        <f t="shared" si="1"/>
        <v>Suspenso</v>
      </c>
      <c r="T621" s="118"/>
      <c r="U621" s="118"/>
      <c r="V621" s="118"/>
      <c r="W621" s="118"/>
      <c r="X621" s="118"/>
      <c r="Y621" s="118"/>
      <c r="Z621" s="118"/>
      <c r="AA621" s="118"/>
      <c r="AB621" s="118"/>
      <c r="AC621" s="118"/>
      <c r="AD621" s="111"/>
      <c r="AE621" s="73"/>
      <c r="AF621" s="73"/>
    </row>
    <row r="622" ht="22.5" customHeight="1">
      <c r="A622" s="73"/>
      <c r="B622" s="73"/>
      <c r="C622" s="73"/>
      <c r="D622" s="73"/>
      <c r="E622" s="330"/>
      <c r="F622" s="118"/>
      <c r="G622" s="118"/>
      <c r="H622" s="118"/>
      <c r="I622" s="118"/>
      <c r="J622" s="119"/>
      <c r="K622" s="120"/>
      <c r="L622" s="120"/>
      <c r="M622" s="120"/>
      <c r="N622" s="120"/>
      <c r="O622" s="118"/>
      <c r="P622" s="120"/>
      <c r="Q622" s="121"/>
      <c r="R622" s="109" t="b">
        <v>0</v>
      </c>
      <c r="S622" s="143" t="str">
        <f t="shared" si="1"/>
        <v>Suspenso</v>
      </c>
      <c r="T622" s="118"/>
      <c r="U622" s="118"/>
      <c r="V622" s="118"/>
      <c r="W622" s="118"/>
      <c r="X622" s="118"/>
      <c r="Y622" s="118"/>
      <c r="Z622" s="118"/>
      <c r="AA622" s="118"/>
      <c r="AB622" s="118"/>
      <c r="AC622" s="118"/>
      <c r="AD622" s="111"/>
      <c r="AE622" s="73"/>
      <c r="AF622" s="73"/>
    </row>
    <row r="623" ht="22.5" customHeight="1">
      <c r="A623" s="73"/>
      <c r="B623" s="73"/>
      <c r="C623" s="73"/>
      <c r="D623" s="73"/>
      <c r="E623" s="330"/>
      <c r="F623" s="118"/>
      <c r="G623" s="118"/>
      <c r="H623" s="118"/>
      <c r="I623" s="118"/>
      <c r="J623" s="119"/>
      <c r="K623" s="120"/>
      <c r="L623" s="120"/>
      <c r="M623" s="120"/>
      <c r="N623" s="120"/>
      <c r="O623" s="118"/>
      <c r="P623" s="120"/>
      <c r="Q623" s="121"/>
      <c r="R623" s="109" t="b">
        <v>0</v>
      </c>
      <c r="S623" s="143" t="str">
        <f t="shared" si="1"/>
        <v>Suspenso</v>
      </c>
      <c r="T623" s="118"/>
      <c r="U623" s="118"/>
      <c r="V623" s="118"/>
      <c r="W623" s="118"/>
      <c r="X623" s="118"/>
      <c r="Y623" s="118"/>
      <c r="Z623" s="118"/>
      <c r="AA623" s="118"/>
      <c r="AB623" s="118"/>
      <c r="AC623" s="118"/>
      <c r="AD623" s="111"/>
      <c r="AE623" s="73"/>
      <c r="AF623" s="73"/>
    </row>
    <row r="624" ht="22.5" customHeight="1">
      <c r="A624" s="73"/>
      <c r="B624" s="73"/>
      <c r="C624" s="73"/>
      <c r="D624" s="73"/>
      <c r="E624" s="330"/>
      <c r="F624" s="118"/>
      <c r="G624" s="118"/>
      <c r="H624" s="118"/>
      <c r="I624" s="118"/>
      <c r="J624" s="119"/>
      <c r="K624" s="120"/>
      <c r="L624" s="120"/>
      <c r="M624" s="120"/>
      <c r="N624" s="120"/>
      <c r="O624" s="118"/>
      <c r="P624" s="120"/>
      <c r="Q624" s="121"/>
      <c r="R624" s="109" t="b">
        <v>0</v>
      </c>
      <c r="S624" s="143" t="str">
        <f t="shared" si="1"/>
        <v>Suspenso</v>
      </c>
      <c r="T624" s="118"/>
      <c r="U624" s="118"/>
      <c r="V624" s="118"/>
      <c r="W624" s="118"/>
      <c r="X624" s="118"/>
      <c r="Y624" s="118"/>
      <c r="Z624" s="118"/>
      <c r="AA624" s="118"/>
      <c r="AB624" s="118"/>
      <c r="AC624" s="118"/>
      <c r="AD624" s="111"/>
      <c r="AE624" s="73"/>
      <c r="AF624" s="73"/>
    </row>
    <row r="625" ht="22.5" customHeight="1">
      <c r="A625" s="73"/>
      <c r="B625" s="73"/>
      <c r="C625" s="73"/>
      <c r="D625" s="73"/>
      <c r="E625" s="330"/>
      <c r="F625" s="118"/>
      <c r="G625" s="118"/>
      <c r="H625" s="118"/>
      <c r="I625" s="118"/>
      <c r="J625" s="119"/>
      <c r="K625" s="120"/>
      <c r="L625" s="120"/>
      <c r="M625" s="120"/>
      <c r="N625" s="120"/>
      <c r="O625" s="118"/>
      <c r="P625" s="120"/>
      <c r="Q625" s="121"/>
      <c r="R625" s="109" t="b">
        <v>0</v>
      </c>
      <c r="S625" s="143" t="str">
        <f t="shared" si="1"/>
        <v>Suspenso</v>
      </c>
      <c r="T625" s="118"/>
      <c r="U625" s="118"/>
      <c r="V625" s="118"/>
      <c r="W625" s="118"/>
      <c r="X625" s="118"/>
      <c r="Y625" s="118"/>
      <c r="Z625" s="118"/>
      <c r="AA625" s="118"/>
      <c r="AB625" s="118"/>
      <c r="AC625" s="118"/>
      <c r="AD625" s="111"/>
      <c r="AE625" s="73"/>
      <c r="AF625" s="73"/>
    </row>
    <row r="626" ht="22.5" customHeight="1">
      <c r="A626" s="73"/>
      <c r="B626" s="73"/>
      <c r="C626" s="73"/>
      <c r="D626" s="73"/>
      <c r="E626" s="330"/>
      <c r="F626" s="118"/>
      <c r="G626" s="118"/>
      <c r="H626" s="118"/>
      <c r="I626" s="118"/>
      <c r="J626" s="119"/>
      <c r="K626" s="120"/>
      <c r="L626" s="120"/>
      <c r="M626" s="120"/>
      <c r="N626" s="120"/>
      <c r="O626" s="118"/>
      <c r="P626" s="120"/>
      <c r="Q626" s="121"/>
      <c r="R626" s="109" t="b">
        <v>0</v>
      </c>
      <c r="S626" s="143" t="str">
        <f t="shared" si="1"/>
        <v>Suspenso</v>
      </c>
      <c r="T626" s="118"/>
      <c r="U626" s="118"/>
      <c r="V626" s="118"/>
      <c r="W626" s="118"/>
      <c r="X626" s="118"/>
      <c r="Y626" s="118"/>
      <c r="Z626" s="118"/>
      <c r="AA626" s="118"/>
      <c r="AB626" s="118"/>
      <c r="AC626" s="118"/>
      <c r="AD626" s="111"/>
      <c r="AE626" s="73"/>
      <c r="AF626" s="73"/>
    </row>
    <row r="627" ht="22.5" customHeight="1">
      <c r="A627" s="73"/>
      <c r="B627" s="73"/>
      <c r="C627" s="73"/>
      <c r="D627" s="73"/>
      <c r="E627" s="330"/>
      <c r="F627" s="118"/>
      <c r="G627" s="118"/>
      <c r="H627" s="118"/>
      <c r="I627" s="118"/>
      <c r="J627" s="119"/>
      <c r="K627" s="120"/>
      <c r="L627" s="120"/>
      <c r="M627" s="120"/>
      <c r="N627" s="120"/>
      <c r="O627" s="118"/>
      <c r="P627" s="120"/>
      <c r="Q627" s="121"/>
      <c r="R627" s="109" t="b">
        <v>0</v>
      </c>
      <c r="S627" s="143" t="str">
        <f t="shared" si="1"/>
        <v>Suspenso</v>
      </c>
      <c r="T627" s="118"/>
      <c r="U627" s="118"/>
      <c r="V627" s="118"/>
      <c r="W627" s="118"/>
      <c r="X627" s="118"/>
      <c r="Y627" s="118"/>
      <c r="Z627" s="118"/>
      <c r="AA627" s="118"/>
      <c r="AB627" s="118"/>
      <c r="AC627" s="118"/>
      <c r="AD627" s="111"/>
      <c r="AE627" s="73"/>
      <c r="AF627" s="73"/>
    </row>
    <row r="628" ht="22.5" customHeight="1">
      <c r="A628" s="73"/>
      <c r="B628" s="73"/>
      <c r="C628" s="73"/>
      <c r="D628" s="73"/>
      <c r="E628" s="330"/>
      <c r="F628" s="118"/>
      <c r="G628" s="118"/>
      <c r="H628" s="118"/>
      <c r="I628" s="118"/>
      <c r="J628" s="119"/>
      <c r="K628" s="120"/>
      <c r="L628" s="120"/>
      <c r="M628" s="120"/>
      <c r="N628" s="120"/>
      <c r="O628" s="118"/>
      <c r="P628" s="120"/>
      <c r="Q628" s="121"/>
      <c r="R628" s="109" t="b">
        <v>0</v>
      </c>
      <c r="S628" s="143" t="str">
        <f t="shared" si="1"/>
        <v>Suspenso</v>
      </c>
      <c r="T628" s="118"/>
      <c r="U628" s="118"/>
      <c r="V628" s="118"/>
      <c r="W628" s="118"/>
      <c r="X628" s="118"/>
      <c r="Y628" s="118"/>
      <c r="Z628" s="118"/>
      <c r="AA628" s="118"/>
      <c r="AB628" s="118"/>
      <c r="AC628" s="118"/>
      <c r="AD628" s="111"/>
      <c r="AE628" s="73"/>
      <c r="AF628" s="73"/>
    </row>
    <row r="629" ht="22.5" customHeight="1">
      <c r="A629" s="73"/>
      <c r="B629" s="73"/>
      <c r="C629" s="73"/>
      <c r="D629" s="73"/>
      <c r="E629" s="330"/>
      <c r="F629" s="118"/>
      <c r="G629" s="118"/>
      <c r="H629" s="118"/>
      <c r="I629" s="118"/>
      <c r="J629" s="119"/>
      <c r="K629" s="120"/>
      <c r="L629" s="120"/>
      <c r="M629" s="120"/>
      <c r="N629" s="120"/>
      <c r="O629" s="118"/>
      <c r="P629" s="120"/>
      <c r="Q629" s="121"/>
      <c r="R629" s="109" t="b">
        <v>0</v>
      </c>
      <c r="S629" s="143" t="str">
        <f t="shared" si="1"/>
        <v>Suspenso</v>
      </c>
      <c r="T629" s="118"/>
      <c r="U629" s="118"/>
      <c r="V629" s="118"/>
      <c r="W629" s="118"/>
      <c r="X629" s="118"/>
      <c r="Y629" s="118"/>
      <c r="Z629" s="118"/>
      <c r="AA629" s="118"/>
      <c r="AB629" s="118"/>
      <c r="AC629" s="118"/>
      <c r="AD629" s="111"/>
      <c r="AE629" s="73"/>
      <c r="AF629" s="73"/>
    </row>
    <row r="630" ht="22.5" customHeight="1">
      <c r="A630" s="73"/>
      <c r="B630" s="73"/>
      <c r="C630" s="73"/>
      <c r="D630" s="73"/>
      <c r="E630" s="330"/>
      <c r="F630" s="118"/>
      <c r="G630" s="118"/>
      <c r="H630" s="118"/>
      <c r="I630" s="118"/>
      <c r="J630" s="119"/>
      <c r="K630" s="120"/>
      <c r="L630" s="120"/>
      <c r="M630" s="120"/>
      <c r="N630" s="120"/>
      <c r="O630" s="118"/>
      <c r="P630" s="120"/>
      <c r="Q630" s="121"/>
      <c r="R630" s="109" t="b">
        <v>0</v>
      </c>
      <c r="S630" s="143" t="str">
        <f t="shared" si="1"/>
        <v>Suspenso</v>
      </c>
      <c r="T630" s="118"/>
      <c r="U630" s="118"/>
      <c r="V630" s="118"/>
      <c r="W630" s="118"/>
      <c r="X630" s="118"/>
      <c r="Y630" s="118"/>
      <c r="Z630" s="118"/>
      <c r="AA630" s="118"/>
      <c r="AB630" s="118"/>
      <c r="AC630" s="118"/>
      <c r="AD630" s="111"/>
      <c r="AE630" s="73"/>
      <c r="AF630" s="73"/>
    </row>
    <row r="631" ht="22.5" customHeight="1">
      <c r="A631" s="73"/>
      <c r="B631" s="73"/>
      <c r="C631" s="73"/>
      <c r="D631" s="73"/>
      <c r="E631" s="330"/>
      <c r="F631" s="118"/>
      <c r="G631" s="118"/>
      <c r="H631" s="118"/>
      <c r="I631" s="118"/>
      <c r="J631" s="119"/>
      <c r="K631" s="120"/>
      <c r="L631" s="120"/>
      <c r="M631" s="120"/>
      <c r="N631" s="120"/>
      <c r="O631" s="118"/>
      <c r="P631" s="120"/>
      <c r="Q631" s="121"/>
      <c r="R631" s="109" t="b">
        <v>0</v>
      </c>
      <c r="S631" s="143" t="str">
        <f t="shared" si="1"/>
        <v>Suspenso</v>
      </c>
      <c r="T631" s="118"/>
      <c r="U631" s="118"/>
      <c r="V631" s="118"/>
      <c r="W631" s="118"/>
      <c r="X631" s="118"/>
      <c r="Y631" s="118"/>
      <c r="Z631" s="118"/>
      <c r="AA631" s="118"/>
      <c r="AB631" s="118"/>
      <c r="AC631" s="118"/>
      <c r="AD631" s="111"/>
      <c r="AE631" s="73"/>
      <c r="AF631" s="73"/>
    </row>
    <row r="632" ht="22.5" customHeight="1">
      <c r="A632" s="73"/>
      <c r="B632" s="73"/>
      <c r="C632" s="73"/>
      <c r="D632" s="73"/>
      <c r="E632" s="330"/>
      <c r="F632" s="118"/>
      <c r="G632" s="118"/>
      <c r="H632" s="118"/>
      <c r="I632" s="118"/>
      <c r="J632" s="119"/>
      <c r="K632" s="120"/>
      <c r="L632" s="120"/>
      <c r="M632" s="120"/>
      <c r="N632" s="120"/>
      <c r="O632" s="118"/>
      <c r="P632" s="120"/>
      <c r="Q632" s="121"/>
      <c r="R632" s="109" t="b">
        <v>0</v>
      </c>
      <c r="S632" s="143" t="str">
        <f t="shared" si="1"/>
        <v>Suspenso</v>
      </c>
      <c r="T632" s="118"/>
      <c r="U632" s="118"/>
      <c r="V632" s="118"/>
      <c r="W632" s="118"/>
      <c r="X632" s="118"/>
      <c r="Y632" s="118"/>
      <c r="Z632" s="118"/>
      <c r="AA632" s="118"/>
      <c r="AB632" s="118"/>
      <c r="AC632" s="118"/>
      <c r="AD632" s="111"/>
      <c r="AE632" s="73"/>
      <c r="AF632" s="73"/>
    </row>
    <row r="633" ht="22.5" customHeight="1">
      <c r="A633" s="73"/>
      <c r="B633" s="73"/>
      <c r="C633" s="73"/>
      <c r="D633" s="73"/>
      <c r="E633" s="330"/>
      <c r="F633" s="118"/>
      <c r="G633" s="118"/>
      <c r="H633" s="118"/>
      <c r="I633" s="118"/>
      <c r="J633" s="119"/>
      <c r="K633" s="120"/>
      <c r="L633" s="120"/>
      <c r="M633" s="120"/>
      <c r="N633" s="120"/>
      <c r="O633" s="118"/>
      <c r="P633" s="120"/>
      <c r="Q633" s="121"/>
      <c r="R633" s="109" t="b">
        <v>0</v>
      </c>
      <c r="S633" s="143" t="str">
        <f t="shared" si="1"/>
        <v>Suspenso</v>
      </c>
      <c r="T633" s="118"/>
      <c r="U633" s="118"/>
      <c r="V633" s="118"/>
      <c r="W633" s="118"/>
      <c r="X633" s="118"/>
      <c r="Y633" s="118"/>
      <c r="Z633" s="118"/>
      <c r="AA633" s="118"/>
      <c r="AB633" s="118"/>
      <c r="AC633" s="118"/>
      <c r="AD633" s="111"/>
      <c r="AE633" s="73"/>
      <c r="AF633" s="73"/>
    </row>
    <row r="634" ht="22.5" customHeight="1">
      <c r="A634" s="73"/>
      <c r="B634" s="73"/>
      <c r="C634" s="73"/>
      <c r="D634" s="73"/>
      <c r="E634" s="330"/>
      <c r="F634" s="118"/>
      <c r="G634" s="118"/>
      <c r="H634" s="118"/>
      <c r="I634" s="118"/>
      <c r="J634" s="119"/>
      <c r="K634" s="120"/>
      <c r="L634" s="120"/>
      <c r="M634" s="120"/>
      <c r="N634" s="120"/>
      <c r="O634" s="118"/>
      <c r="P634" s="120"/>
      <c r="Q634" s="121"/>
      <c r="R634" s="109" t="b">
        <v>0</v>
      </c>
      <c r="S634" s="143" t="str">
        <f t="shared" si="1"/>
        <v>Suspenso</v>
      </c>
      <c r="T634" s="118"/>
      <c r="U634" s="118"/>
      <c r="V634" s="118"/>
      <c r="W634" s="118"/>
      <c r="X634" s="118"/>
      <c r="Y634" s="118"/>
      <c r="Z634" s="118"/>
      <c r="AA634" s="118"/>
      <c r="AB634" s="118"/>
      <c r="AC634" s="118"/>
      <c r="AD634" s="111"/>
      <c r="AE634" s="73"/>
      <c r="AF634" s="73"/>
    </row>
    <row r="635" ht="22.5" customHeight="1">
      <c r="A635" s="73"/>
      <c r="B635" s="73"/>
      <c r="C635" s="73"/>
      <c r="D635" s="73"/>
      <c r="E635" s="330"/>
      <c r="F635" s="118"/>
      <c r="G635" s="118"/>
      <c r="H635" s="118"/>
      <c r="I635" s="118"/>
      <c r="J635" s="119"/>
      <c r="K635" s="120"/>
      <c r="L635" s="120"/>
      <c r="M635" s="120"/>
      <c r="N635" s="120"/>
      <c r="O635" s="118"/>
      <c r="P635" s="120"/>
      <c r="Q635" s="121"/>
      <c r="R635" s="109" t="b">
        <v>0</v>
      </c>
      <c r="S635" s="143" t="str">
        <f t="shared" si="1"/>
        <v>Suspenso</v>
      </c>
      <c r="T635" s="118"/>
      <c r="U635" s="118"/>
      <c r="V635" s="118"/>
      <c r="W635" s="118"/>
      <c r="X635" s="118"/>
      <c r="Y635" s="118"/>
      <c r="Z635" s="118"/>
      <c r="AA635" s="118"/>
      <c r="AB635" s="118"/>
      <c r="AC635" s="118"/>
      <c r="AD635" s="111"/>
      <c r="AE635" s="73"/>
      <c r="AF635" s="73"/>
    </row>
    <row r="636" ht="22.5" customHeight="1">
      <c r="A636" s="73"/>
      <c r="B636" s="73"/>
      <c r="C636" s="73"/>
      <c r="D636" s="73"/>
      <c r="E636" s="330"/>
      <c r="F636" s="118"/>
      <c r="G636" s="118"/>
      <c r="H636" s="118"/>
      <c r="I636" s="118"/>
      <c r="J636" s="119"/>
      <c r="K636" s="120"/>
      <c r="L636" s="120"/>
      <c r="M636" s="120"/>
      <c r="N636" s="120"/>
      <c r="O636" s="118"/>
      <c r="P636" s="120"/>
      <c r="Q636" s="121"/>
      <c r="R636" s="109" t="b">
        <v>0</v>
      </c>
      <c r="S636" s="143" t="str">
        <f t="shared" si="1"/>
        <v>Suspenso</v>
      </c>
      <c r="T636" s="118"/>
      <c r="U636" s="118"/>
      <c r="V636" s="118"/>
      <c r="W636" s="118"/>
      <c r="X636" s="118"/>
      <c r="Y636" s="118"/>
      <c r="Z636" s="118"/>
      <c r="AA636" s="118"/>
      <c r="AB636" s="118"/>
      <c r="AC636" s="118"/>
      <c r="AD636" s="111"/>
      <c r="AE636" s="73"/>
      <c r="AF636" s="73"/>
    </row>
    <row r="637" ht="22.5" customHeight="1">
      <c r="A637" s="73"/>
      <c r="B637" s="73"/>
      <c r="C637" s="73"/>
      <c r="D637" s="73"/>
      <c r="E637" s="330"/>
      <c r="F637" s="118"/>
      <c r="G637" s="118"/>
      <c r="H637" s="118"/>
      <c r="I637" s="118"/>
      <c r="J637" s="119"/>
      <c r="K637" s="120"/>
      <c r="L637" s="120"/>
      <c r="M637" s="120"/>
      <c r="N637" s="120"/>
      <c r="O637" s="118"/>
      <c r="P637" s="120"/>
      <c r="Q637" s="121"/>
      <c r="R637" s="109" t="b">
        <v>0</v>
      </c>
      <c r="S637" s="143" t="str">
        <f t="shared" si="1"/>
        <v>Suspenso</v>
      </c>
      <c r="T637" s="118"/>
      <c r="U637" s="118"/>
      <c r="V637" s="118"/>
      <c r="W637" s="118"/>
      <c r="X637" s="118"/>
      <c r="Y637" s="118"/>
      <c r="Z637" s="118"/>
      <c r="AA637" s="118"/>
      <c r="AB637" s="118"/>
      <c r="AC637" s="118"/>
      <c r="AD637" s="111"/>
      <c r="AE637" s="73"/>
      <c r="AF637" s="73"/>
    </row>
    <row r="638" ht="22.5" customHeight="1">
      <c r="A638" s="73"/>
      <c r="B638" s="73"/>
      <c r="C638" s="73"/>
      <c r="D638" s="73"/>
      <c r="E638" s="330"/>
      <c r="F638" s="118"/>
      <c r="G638" s="118"/>
      <c r="H638" s="118"/>
      <c r="I638" s="118"/>
      <c r="J638" s="119"/>
      <c r="K638" s="120"/>
      <c r="L638" s="120"/>
      <c r="M638" s="120"/>
      <c r="N638" s="120"/>
      <c r="O638" s="118"/>
      <c r="P638" s="120"/>
      <c r="Q638" s="121"/>
      <c r="R638" s="109" t="b">
        <v>0</v>
      </c>
      <c r="S638" s="143" t="str">
        <f t="shared" si="1"/>
        <v>Suspenso</v>
      </c>
      <c r="T638" s="118"/>
      <c r="U638" s="118"/>
      <c r="V638" s="118"/>
      <c r="W638" s="118"/>
      <c r="X638" s="118"/>
      <c r="Y638" s="118"/>
      <c r="Z638" s="118"/>
      <c r="AA638" s="118"/>
      <c r="AB638" s="118"/>
      <c r="AC638" s="118"/>
      <c r="AD638" s="111"/>
      <c r="AE638" s="73"/>
      <c r="AF638" s="73"/>
    </row>
    <row r="639" ht="22.5" customHeight="1">
      <c r="A639" s="73"/>
      <c r="B639" s="73"/>
      <c r="C639" s="73"/>
      <c r="D639" s="73"/>
      <c r="E639" s="330"/>
      <c r="F639" s="118"/>
      <c r="G639" s="118"/>
      <c r="H639" s="118"/>
      <c r="I639" s="118"/>
      <c r="J639" s="119"/>
      <c r="K639" s="120"/>
      <c r="L639" s="120"/>
      <c r="M639" s="120"/>
      <c r="N639" s="120"/>
      <c r="O639" s="118"/>
      <c r="P639" s="120"/>
      <c r="Q639" s="121"/>
      <c r="R639" s="109" t="b">
        <v>0</v>
      </c>
      <c r="S639" s="143" t="str">
        <f t="shared" si="1"/>
        <v>Suspenso</v>
      </c>
      <c r="T639" s="118"/>
      <c r="U639" s="118"/>
      <c r="V639" s="118"/>
      <c r="W639" s="118"/>
      <c r="X639" s="118"/>
      <c r="Y639" s="118"/>
      <c r="Z639" s="118"/>
      <c r="AA639" s="118"/>
      <c r="AB639" s="118"/>
      <c r="AC639" s="118"/>
      <c r="AD639" s="111"/>
      <c r="AE639" s="73"/>
      <c r="AF639" s="73"/>
    </row>
    <row r="640" ht="22.5" customHeight="1">
      <c r="A640" s="73"/>
      <c r="B640" s="73"/>
      <c r="C640" s="73"/>
      <c r="D640" s="73"/>
      <c r="E640" s="330"/>
      <c r="F640" s="118"/>
      <c r="G640" s="118"/>
      <c r="H640" s="118"/>
      <c r="I640" s="118"/>
      <c r="J640" s="119"/>
      <c r="K640" s="120"/>
      <c r="L640" s="120"/>
      <c r="M640" s="120"/>
      <c r="N640" s="120"/>
      <c r="O640" s="118"/>
      <c r="P640" s="120"/>
      <c r="Q640" s="121"/>
      <c r="R640" s="109" t="b">
        <v>0</v>
      </c>
      <c r="S640" s="143" t="str">
        <f t="shared" si="1"/>
        <v>Suspenso</v>
      </c>
      <c r="T640" s="118"/>
      <c r="U640" s="118"/>
      <c r="V640" s="118"/>
      <c r="W640" s="118"/>
      <c r="X640" s="118"/>
      <c r="Y640" s="118"/>
      <c r="Z640" s="118"/>
      <c r="AA640" s="118"/>
      <c r="AB640" s="118"/>
      <c r="AC640" s="118"/>
      <c r="AD640" s="111"/>
      <c r="AE640" s="73"/>
      <c r="AF640" s="73"/>
    </row>
    <row r="641" ht="22.5" customHeight="1">
      <c r="A641" s="73"/>
      <c r="B641" s="73"/>
      <c r="C641" s="73"/>
      <c r="D641" s="73"/>
      <c r="E641" s="330"/>
      <c r="F641" s="118"/>
      <c r="G641" s="118"/>
      <c r="H641" s="118"/>
      <c r="I641" s="118"/>
      <c r="J641" s="119"/>
      <c r="K641" s="120"/>
      <c r="L641" s="120"/>
      <c r="M641" s="120"/>
      <c r="N641" s="120"/>
      <c r="O641" s="118"/>
      <c r="P641" s="120"/>
      <c r="Q641" s="121"/>
      <c r="R641" s="109" t="b">
        <v>0</v>
      </c>
      <c r="S641" s="143" t="str">
        <f t="shared" si="1"/>
        <v>Suspenso</v>
      </c>
      <c r="T641" s="118"/>
      <c r="U641" s="118"/>
      <c r="V641" s="118"/>
      <c r="W641" s="118"/>
      <c r="X641" s="118"/>
      <c r="Y641" s="118"/>
      <c r="Z641" s="118"/>
      <c r="AA641" s="118"/>
      <c r="AB641" s="118"/>
      <c r="AC641" s="118"/>
      <c r="AD641" s="111"/>
      <c r="AE641" s="73"/>
      <c r="AF641" s="73"/>
    </row>
    <row r="642" ht="22.5" customHeight="1">
      <c r="A642" s="73"/>
      <c r="B642" s="73"/>
      <c r="C642" s="73"/>
      <c r="D642" s="73"/>
      <c r="E642" s="330"/>
      <c r="F642" s="118"/>
      <c r="G642" s="118"/>
      <c r="H642" s="118"/>
      <c r="I642" s="118"/>
      <c r="J642" s="119"/>
      <c r="K642" s="120"/>
      <c r="L642" s="120"/>
      <c r="M642" s="120"/>
      <c r="N642" s="120"/>
      <c r="O642" s="118"/>
      <c r="P642" s="120"/>
      <c r="Q642" s="121"/>
      <c r="R642" s="109" t="b">
        <v>0</v>
      </c>
      <c r="S642" s="143" t="str">
        <f t="shared" si="1"/>
        <v>Suspenso</v>
      </c>
      <c r="T642" s="118"/>
      <c r="U642" s="118"/>
      <c r="V642" s="118"/>
      <c r="W642" s="118"/>
      <c r="X642" s="118"/>
      <c r="Y642" s="118"/>
      <c r="Z642" s="118"/>
      <c r="AA642" s="118"/>
      <c r="AB642" s="118"/>
      <c r="AC642" s="118"/>
      <c r="AD642" s="111"/>
      <c r="AE642" s="73"/>
      <c r="AF642" s="73"/>
    </row>
    <row r="643" ht="22.5" customHeight="1">
      <c r="A643" s="73"/>
      <c r="B643" s="73"/>
      <c r="C643" s="73"/>
      <c r="D643" s="73"/>
      <c r="E643" s="330"/>
      <c r="F643" s="118"/>
      <c r="G643" s="118"/>
      <c r="H643" s="118"/>
      <c r="I643" s="118"/>
      <c r="J643" s="119"/>
      <c r="K643" s="120"/>
      <c r="L643" s="120"/>
      <c r="M643" s="120"/>
      <c r="N643" s="120"/>
      <c r="O643" s="118"/>
      <c r="P643" s="120"/>
      <c r="Q643" s="121"/>
      <c r="R643" s="109" t="b">
        <v>0</v>
      </c>
      <c r="S643" s="143" t="str">
        <f t="shared" si="1"/>
        <v>Suspenso</v>
      </c>
      <c r="T643" s="118"/>
      <c r="U643" s="118"/>
      <c r="V643" s="118"/>
      <c r="W643" s="118"/>
      <c r="X643" s="118"/>
      <c r="Y643" s="118"/>
      <c r="Z643" s="118"/>
      <c r="AA643" s="118"/>
      <c r="AB643" s="118"/>
      <c r="AC643" s="118"/>
      <c r="AD643" s="111"/>
      <c r="AE643" s="73"/>
      <c r="AF643" s="73"/>
    </row>
    <row r="644" ht="22.5" customHeight="1">
      <c r="A644" s="73"/>
      <c r="B644" s="73"/>
      <c r="C644" s="73"/>
      <c r="D644" s="73"/>
      <c r="E644" s="330"/>
      <c r="F644" s="118"/>
      <c r="G644" s="118"/>
      <c r="H644" s="118"/>
      <c r="I644" s="118"/>
      <c r="J644" s="119"/>
      <c r="K644" s="120"/>
      <c r="L644" s="120"/>
      <c r="M644" s="120"/>
      <c r="N644" s="120"/>
      <c r="O644" s="118"/>
      <c r="P644" s="120"/>
      <c r="Q644" s="121"/>
      <c r="R644" s="109" t="b">
        <v>0</v>
      </c>
      <c r="S644" s="143" t="str">
        <f t="shared" si="1"/>
        <v>Suspenso</v>
      </c>
      <c r="T644" s="118"/>
      <c r="U644" s="118"/>
      <c r="V644" s="118"/>
      <c r="W644" s="118"/>
      <c r="X644" s="118"/>
      <c r="Y644" s="118"/>
      <c r="Z644" s="118"/>
      <c r="AA644" s="118"/>
      <c r="AB644" s="118"/>
      <c r="AC644" s="118"/>
      <c r="AD644" s="111"/>
      <c r="AE644" s="73"/>
      <c r="AF644" s="73"/>
    </row>
    <row r="645" ht="22.5" customHeight="1">
      <c r="A645" s="73"/>
      <c r="B645" s="73"/>
      <c r="C645" s="73"/>
      <c r="D645" s="73"/>
      <c r="E645" s="330"/>
      <c r="F645" s="118"/>
      <c r="G645" s="118"/>
      <c r="H645" s="118"/>
      <c r="I645" s="118"/>
      <c r="J645" s="119"/>
      <c r="K645" s="120"/>
      <c r="L645" s="120"/>
      <c r="M645" s="120"/>
      <c r="N645" s="120"/>
      <c r="O645" s="118"/>
      <c r="P645" s="120"/>
      <c r="Q645" s="121"/>
      <c r="R645" s="109" t="b">
        <v>0</v>
      </c>
      <c r="S645" s="143" t="str">
        <f t="shared" si="1"/>
        <v>Suspenso</v>
      </c>
      <c r="T645" s="118"/>
      <c r="U645" s="118"/>
      <c r="V645" s="118"/>
      <c r="W645" s="118"/>
      <c r="X645" s="118"/>
      <c r="Y645" s="118"/>
      <c r="Z645" s="118"/>
      <c r="AA645" s="118"/>
      <c r="AB645" s="118"/>
      <c r="AC645" s="118"/>
      <c r="AD645" s="111"/>
      <c r="AE645" s="73"/>
      <c r="AF645" s="73"/>
    </row>
    <row r="646" ht="22.5" customHeight="1">
      <c r="A646" s="73"/>
      <c r="B646" s="73"/>
      <c r="C646" s="73"/>
      <c r="D646" s="73"/>
      <c r="E646" s="330"/>
      <c r="F646" s="118"/>
      <c r="G646" s="118"/>
      <c r="H646" s="118"/>
      <c r="I646" s="118"/>
      <c r="J646" s="119"/>
      <c r="K646" s="120"/>
      <c r="L646" s="120"/>
      <c r="M646" s="120"/>
      <c r="N646" s="120"/>
      <c r="O646" s="118"/>
      <c r="P646" s="120"/>
      <c r="Q646" s="121"/>
      <c r="R646" s="109" t="b">
        <v>0</v>
      </c>
      <c r="S646" s="143" t="str">
        <f t="shared" si="1"/>
        <v>Suspenso</v>
      </c>
      <c r="T646" s="118"/>
      <c r="U646" s="118"/>
      <c r="V646" s="118"/>
      <c r="W646" s="118"/>
      <c r="X646" s="118"/>
      <c r="Y646" s="118"/>
      <c r="Z646" s="118"/>
      <c r="AA646" s="118"/>
      <c r="AB646" s="118"/>
      <c r="AC646" s="118"/>
      <c r="AD646" s="111"/>
      <c r="AE646" s="73"/>
      <c r="AF646" s="73"/>
    </row>
    <row r="647" ht="22.5" customHeight="1">
      <c r="A647" s="73"/>
      <c r="B647" s="73"/>
      <c r="C647" s="73"/>
      <c r="D647" s="73"/>
      <c r="E647" s="330"/>
      <c r="F647" s="118"/>
      <c r="G647" s="118"/>
      <c r="H647" s="118"/>
      <c r="I647" s="118"/>
      <c r="J647" s="119"/>
      <c r="K647" s="120"/>
      <c r="L647" s="120"/>
      <c r="M647" s="120"/>
      <c r="N647" s="120"/>
      <c r="O647" s="118"/>
      <c r="P647" s="120"/>
      <c r="Q647" s="121"/>
      <c r="R647" s="109" t="b">
        <v>0</v>
      </c>
      <c r="S647" s="143" t="str">
        <f t="shared" si="1"/>
        <v>Suspenso</v>
      </c>
      <c r="T647" s="118"/>
      <c r="U647" s="118"/>
      <c r="V647" s="118"/>
      <c r="W647" s="118"/>
      <c r="X647" s="118"/>
      <c r="Y647" s="118"/>
      <c r="Z647" s="118"/>
      <c r="AA647" s="118"/>
      <c r="AB647" s="118"/>
      <c r="AC647" s="118"/>
      <c r="AD647" s="111"/>
      <c r="AE647" s="73"/>
      <c r="AF647" s="73"/>
    </row>
    <row r="648" ht="22.5" customHeight="1">
      <c r="A648" s="73"/>
      <c r="B648" s="73"/>
      <c r="C648" s="73"/>
      <c r="D648" s="73"/>
      <c r="E648" s="330"/>
      <c r="F648" s="118"/>
      <c r="G648" s="118"/>
      <c r="H648" s="118"/>
      <c r="I648" s="118"/>
      <c r="J648" s="119"/>
      <c r="K648" s="120"/>
      <c r="L648" s="120"/>
      <c r="M648" s="120"/>
      <c r="N648" s="120"/>
      <c r="O648" s="118"/>
      <c r="P648" s="120"/>
      <c r="Q648" s="121"/>
      <c r="R648" s="109" t="b">
        <v>0</v>
      </c>
      <c r="S648" s="143" t="str">
        <f t="shared" si="1"/>
        <v>Suspenso</v>
      </c>
      <c r="T648" s="118"/>
      <c r="U648" s="118"/>
      <c r="V648" s="118"/>
      <c r="W648" s="118"/>
      <c r="X648" s="118"/>
      <c r="Y648" s="118"/>
      <c r="Z648" s="118"/>
      <c r="AA648" s="118"/>
      <c r="AB648" s="118"/>
      <c r="AC648" s="118"/>
      <c r="AD648" s="111"/>
      <c r="AE648" s="73"/>
      <c r="AF648" s="73"/>
    </row>
    <row r="649" ht="22.5" customHeight="1">
      <c r="A649" s="73"/>
      <c r="B649" s="73"/>
      <c r="C649" s="73"/>
      <c r="D649" s="73"/>
      <c r="E649" s="330"/>
      <c r="F649" s="118"/>
      <c r="G649" s="118"/>
      <c r="H649" s="118"/>
      <c r="I649" s="118"/>
      <c r="J649" s="119"/>
      <c r="K649" s="120"/>
      <c r="L649" s="120"/>
      <c r="M649" s="120"/>
      <c r="N649" s="120"/>
      <c r="O649" s="118"/>
      <c r="P649" s="120"/>
      <c r="Q649" s="121"/>
      <c r="R649" s="109" t="b">
        <v>0</v>
      </c>
      <c r="S649" s="143" t="str">
        <f t="shared" si="1"/>
        <v>Suspenso</v>
      </c>
      <c r="T649" s="118"/>
      <c r="U649" s="118"/>
      <c r="V649" s="118"/>
      <c r="W649" s="118"/>
      <c r="X649" s="118"/>
      <c r="Y649" s="118"/>
      <c r="Z649" s="118"/>
      <c r="AA649" s="118"/>
      <c r="AB649" s="118"/>
      <c r="AC649" s="118"/>
      <c r="AD649" s="111"/>
      <c r="AE649" s="73"/>
      <c r="AF649" s="73"/>
    </row>
    <row r="650" ht="22.5" customHeight="1">
      <c r="A650" s="73"/>
      <c r="B650" s="73"/>
      <c r="C650" s="73"/>
      <c r="D650" s="73"/>
      <c r="E650" s="330"/>
      <c r="F650" s="118"/>
      <c r="G650" s="118"/>
      <c r="H650" s="118"/>
      <c r="I650" s="118"/>
      <c r="J650" s="119"/>
      <c r="K650" s="120"/>
      <c r="L650" s="120"/>
      <c r="M650" s="120"/>
      <c r="N650" s="120"/>
      <c r="O650" s="118"/>
      <c r="P650" s="120"/>
      <c r="Q650" s="121"/>
      <c r="R650" s="109" t="b">
        <v>0</v>
      </c>
      <c r="S650" s="143" t="str">
        <f t="shared" si="1"/>
        <v>Suspenso</v>
      </c>
      <c r="T650" s="118"/>
      <c r="U650" s="118"/>
      <c r="V650" s="118"/>
      <c r="W650" s="118"/>
      <c r="X650" s="118"/>
      <c r="Y650" s="118"/>
      <c r="Z650" s="118"/>
      <c r="AA650" s="118"/>
      <c r="AB650" s="118"/>
      <c r="AC650" s="118"/>
      <c r="AD650" s="111"/>
      <c r="AE650" s="73"/>
      <c r="AF650" s="73"/>
    </row>
    <row r="651" ht="22.5" customHeight="1">
      <c r="A651" s="73"/>
      <c r="B651" s="73"/>
      <c r="C651" s="73"/>
      <c r="D651" s="73"/>
      <c r="E651" s="330"/>
      <c r="F651" s="118"/>
      <c r="G651" s="118"/>
      <c r="H651" s="118"/>
      <c r="I651" s="118"/>
      <c r="J651" s="119"/>
      <c r="K651" s="120"/>
      <c r="L651" s="120"/>
      <c r="M651" s="120"/>
      <c r="N651" s="120"/>
      <c r="O651" s="118"/>
      <c r="P651" s="120"/>
      <c r="Q651" s="121"/>
      <c r="R651" s="109" t="b">
        <v>0</v>
      </c>
      <c r="S651" s="143" t="str">
        <f t="shared" si="1"/>
        <v>Suspenso</v>
      </c>
      <c r="T651" s="118"/>
      <c r="U651" s="118"/>
      <c r="V651" s="118"/>
      <c r="W651" s="118"/>
      <c r="X651" s="118"/>
      <c r="Y651" s="118"/>
      <c r="Z651" s="118"/>
      <c r="AA651" s="118"/>
      <c r="AB651" s="118"/>
      <c r="AC651" s="118"/>
      <c r="AD651" s="111"/>
      <c r="AE651" s="73"/>
      <c r="AF651" s="73"/>
    </row>
    <row r="652" ht="22.5" customHeight="1">
      <c r="A652" s="73"/>
      <c r="B652" s="73"/>
      <c r="C652" s="73"/>
      <c r="D652" s="73"/>
      <c r="E652" s="330"/>
      <c r="F652" s="118"/>
      <c r="G652" s="118"/>
      <c r="H652" s="118"/>
      <c r="I652" s="118"/>
      <c r="J652" s="119"/>
      <c r="K652" s="120"/>
      <c r="L652" s="120"/>
      <c r="M652" s="120"/>
      <c r="N652" s="120"/>
      <c r="O652" s="118"/>
      <c r="P652" s="120"/>
      <c r="Q652" s="121"/>
      <c r="R652" s="109" t="b">
        <v>0</v>
      </c>
      <c r="S652" s="143" t="str">
        <f t="shared" si="1"/>
        <v>Suspenso</v>
      </c>
      <c r="T652" s="118"/>
      <c r="U652" s="118"/>
      <c r="V652" s="118"/>
      <c r="W652" s="118"/>
      <c r="X652" s="118"/>
      <c r="Y652" s="118"/>
      <c r="Z652" s="118"/>
      <c r="AA652" s="118"/>
      <c r="AB652" s="118"/>
      <c r="AC652" s="118"/>
      <c r="AD652" s="111"/>
      <c r="AE652" s="73"/>
      <c r="AF652" s="73"/>
    </row>
    <row r="653" ht="22.5" customHeight="1">
      <c r="A653" s="73"/>
      <c r="B653" s="73"/>
      <c r="C653" s="73"/>
      <c r="D653" s="73"/>
      <c r="E653" s="330"/>
      <c r="F653" s="118"/>
      <c r="G653" s="118"/>
      <c r="H653" s="118"/>
      <c r="I653" s="118"/>
      <c r="J653" s="119"/>
      <c r="K653" s="120"/>
      <c r="L653" s="120"/>
      <c r="M653" s="120"/>
      <c r="N653" s="120"/>
      <c r="O653" s="118"/>
      <c r="P653" s="120"/>
      <c r="Q653" s="121"/>
      <c r="R653" s="109" t="b">
        <v>0</v>
      </c>
      <c r="S653" s="143" t="str">
        <f t="shared" si="1"/>
        <v>Suspenso</v>
      </c>
      <c r="T653" s="118"/>
      <c r="U653" s="118"/>
      <c r="V653" s="118"/>
      <c r="W653" s="118"/>
      <c r="X653" s="118"/>
      <c r="Y653" s="118"/>
      <c r="Z653" s="118"/>
      <c r="AA653" s="118"/>
      <c r="AB653" s="118"/>
      <c r="AC653" s="118"/>
      <c r="AD653" s="111"/>
      <c r="AE653" s="73"/>
      <c r="AF653" s="73"/>
    </row>
    <row r="654" ht="22.5" customHeight="1">
      <c r="A654" s="73"/>
      <c r="B654" s="73"/>
      <c r="C654" s="73"/>
      <c r="D654" s="73"/>
      <c r="E654" s="330"/>
      <c r="F654" s="118"/>
      <c r="G654" s="118"/>
      <c r="H654" s="118"/>
      <c r="I654" s="118"/>
      <c r="J654" s="119"/>
      <c r="K654" s="120"/>
      <c r="L654" s="120"/>
      <c r="M654" s="120"/>
      <c r="N654" s="120"/>
      <c r="O654" s="118"/>
      <c r="P654" s="120"/>
      <c r="Q654" s="121"/>
      <c r="R654" s="109" t="b">
        <v>0</v>
      </c>
      <c r="S654" s="143" t="str">
        <f t="shared" si="1"/>
        <v>Suspenso</v>
      </c>
      <c r="T654" s="118"/>
      <c r="U654" s="118"/>
      <c r="V654" s="118"/>
      <c r="W654" s="118"/>
      <c r="X654" s="118"/>
      <c r="Y654" s="118"/>
      <c r="Z654" s="118"/>
      <c r="AA654" s="118"/>
      <c r="AB654" s="118"/>
      <c r="AC654" s="118"/>
      <c r="AD654" s="111"/>
      <c r="AE654" s="73"/>
      <c r="AF654" s="73"/>
    </row>
    <row r="655" ht="22.5" customHeight="1">
      <c r="A655" s="73"/>
      <c r="B655" s="73"/>
      <c r="C655" s="73"/>
      <c r="D655" s="73"/>
      <c r="E655" s="330"/>
      <c r="F655" s="118"/>
      <c r="G655" s="118"/>
      <c r="H655" s="118"/>
      <c r="I655" s="118"/>
      <c r="J655" s="119"/>
      <c r="K655" s="120"/>
      <c r="L655" s="120"/>
      <c r="M655" s="120"/>
      <c r="N655" s="120"/>
      <c r="O655" s="118"/>
      <c r="P655" s="120"/>
      <c r="Q655" s="121"/>
      <c r="R655" s="109" t="b">
        <v>0</v>
      </c>
      <c r="S655" s="143" t="str">
        <f t="shared" si="1"/>
        <v>Suspenso</v>
      </c>
      <c r="T655" s="118"/>
      <c r="U655" s="118"/>
      <c r="V655" s="118"/>
      <c r="W655" s="118"/>
      <c r="X655" s="118"/>
      <c r="Y655" s="118"/>
      <c r="Z655" s="118"/>
      <c r="AA655" s="118"/>
      <c r="AB655" s="118"/>
      <c r="AC655" s="118"/>
      <c r="AD655" s="111"/>
      <c r="AE655" s="73"/>
      <c r="AF655" s="73"/>
    </row>
    <row r="656" ht="22.5" customHeight="1">
      <c r="A656" s="73"/>
      <c r="B656" s="73"/>
      <c r="C656" s="73"/>
      <c r="D656" s="73"/>
      <c r="E656" s="330"/>
      <c r="F656" s="118"/>
      <c r="G656" s="118"/>
      <c r="H656" s="118"/>
      <c r="I656" s="118"/>
      <c r="J656" s="119"/>
      <c r="K656" s="120"/>
      <c r="L656" s="120"/>
      <c r="M656" s="120"/>
      <c r="N656" s="120"/>
      <c r="O656" s="118"/>
      <c r="P656" s="120"/>
      <c r="Q656" s="121"/>
      <c r="R656" s="109" t="b">
        <v>0</v>
      </c>
      <c r="S656" s="143" t="str">
        <f t="shared" si="1"/>
        <v>Suspenso</v>
      </c>
      <c r="T656" s="118"/>
      <c r="U656" s="118"/>
      <c r="V656" s="118"/>
      <c r="W656" s="118"/>
      <c r="X656" s="118"/>
      <c r="Y656" s="118"/>
      <c r="Z656" s="118"/>
      <c r="AA656" s="118"/>
      <c r="AB656" s="118"/>
      <c r="AC656" s="118"/>
      <c r="AD656" s="111"/>
      <c r="AE656" s="73"/>
      <c r="AF656" s="73"/>
    </row>
    <row r="657" ht="22.5" customHeight="1">
      <c r="A657" s="73"/>
      <c r="B657" s="73"/>
      <c r="C657" s="73"/>
      <c r="D657" s="73"/>
      <c r="E657" s="330"/>
      <c r="F657" s="118"/>
      <c r="G657" s="118"/>
      <c r="H657" s="118"/>
      <c r="I657" s="118"/>
      <c r="J657" s="119"/>
      <c r="K657" s="120"/>
      <c r="L657" s="120"/>
      <c r="M657" s="120"/>
      <c r="N657" s="120"/>
      <c r="O657" s="118"/>
      <c r="P657" s="120"/>
      <c r="Q657" s="121"/>
      <c r="R657" s="109" t="b">
        <v>0</v>
      </c>
      <c r="S657" s="143" t="str">
        <f t="shared" si="1"/>
        <v>Suspenso</v>
      </c>
      <c r="T657" s="118"/>
      <c r="U657" s="118"/>
      <c r="V657" s="118"/>
      <c r="W657" s="118"/>
      <c r="X657" s="118"/>
      <c r="Y657" s="118"/>
      <c r="Z657" s="118"/>
      <c r="AA657" s="118"/>
      <c r="AB657" s="118"/>
      <c r="AC657" s="118"/>
      <c r="AD657" s="111"/>
      <c r="AE657" s="73"/>
      <c r="AF657" s="73"/>
    </row>
    <row r="658" ht="22.5" customHeight="1">
      <c r="A658" s="73"/>
      <c r="B658" s="73"/>
      <c r="C658" s="73"/>
      <c r="D658" s="73"/>
      <c r="E658" s="330"/>
      <c r="F658" s="118"/>
      <c r="G658" s="118"/>
      <c r="H658" s="118"/>
      <c r="I658" s="118"/>
      <c r="J658" s="119"/>
      <c r="K658" s="120"/>
      <c r="L658" s="120"/>
      <c r="M658" s="120"/>
      <c r="N658" s="120"/>
      <c r="O658" s="118"/>
      <c r="P658" s="120"/>
      <c r="Q658" s="121"/>
      <c r="R658" s="109" t="b">
        <v>0</v>
      </c>
      <c r="S658" s="143" t="str">
        <f t="shared" si="1"/>
        <v>Suspenso</v>
      </c>
      <c r="T658" s="118"/>
      <c r="U658" s="118"/>
      <c r="V658" s="118"/>
      <c r="W658" s="118"/>
      <c r="X658" s="118"/>
      <c r="Y658" s="118"/>
      <c r="Z658" s="118"/>
      <c r="AA658" s="118"/>
      <c r="AB658" s="118"/>
      <c r="AC658" s="118"/>
      <c r="AD658" s="111"/>
      <c r="AE658" s="73"/>
      <c r="AF658" s="73"/>
    </row>
    <row r="659" ht="22.5" customHeight="1">
      <c r="A659" s="73"/>
      <c r="B659" s="73"/>
      <c r="C659" s="73"/>
      <c r="D659" s="73"/>
      <c r="E659" s="330"/>
      <c r="F659" s="118"/>
      <c r="G659" s="118"/>
      <c r="H659" s="118"/>
      <c r="I659" s="118"/>
      <c r="J659" s="119"/>
      <c r="K659" s="120"/>
      <c r="L659" s="120"/>
      <c r="M659" s="120"/>
      <c r="N659" s="120"/>
      <c r="O659" s="118"/>
      <c r="P659" s="120"/>
      <c r="Q659" s="121"/>
      <c r="R659" s="109" t="b">
        <v>0</v>
      </c>
      <c r="S659" s="143" t="str">
        <f t="shared" si="1"/>
        <v>Suspenso</v>
      </c>
      <c r="T659" s="118"/>
      <c r="U659" s="118"/>
      <c r="V659" s="118"/>
      <c r="W659" s="118"/>
      <c r="X659" s="118"/>
      <c r="Y659" s="118"/>
      <c r="Z659" s="118"/>
      <c r="AA659" s="118"/>
      <c r="AB659" s="118"/>
      <c r="AC659" s="118"/>
      <c r="AD659" s="111"/>
      <c r="AE659" s="73"/>
      <c r="AF659" s="73"/>
    </row>
    <row r="660" ht="22.5" customHeight="1">
      <c r="A660" s="73"/>
      <c r="B660" s="73"/>
      <c r="C660" s="73"/>
      <c r="D660" s="73"/>
      <c r="E660" s="330"/>
      <c r="F660" s="118"/>
      <c r="G660" s="118"/>
      <c r="H660" s="118"/>
      <c r="I660" s="118"/>
      <c r="J660" s="119"/>
      <c r="K660" s="120"/>
      <c r="L660" s="120"/>
      <c r="M660" s="120"/>
      <c r="N660" s="120"/>
      <c r="O660" s="118"/>
      <c r="P660" s="120"/>
      <c r="Q660" s="121"/>
      <c r="R660" s="109" t="b">
        <v>0</v>
      </c>
      <c r="S660" s="143" t="str">
        <f t="shared" si="1"/>
        <v>Suspenso</v>
      </c>
      <c r="T660" s="118"/>
      <c r="U660" s="118"/>
      <c r="V660" s="118"/>
      <c r="W660" s="118"/>
      <c r="X660" s="118"/>
      <c r="Y660" s="118"/>
      <c r="Z660" s="118"/>
      <c r="AA660" s="118"/>
      <c r="AB660" s="118"/>
      <c r="AC660" s="118"/>
      <c r="AD660" s="111"/>
      <c r="AE660" s="73"/>
      <c r="AF660" s="73"/>
    </row>
    <row r="661" ht="22.5" customHeight="1">
      <c r="A661" s="73"/>
      <c r="B661" s="73"/>
      <c r="C661" s="73"/>
      <c r="D661" s="73"/>
      <c r="E661" s="330"/>
      <c r="F661" s="118"/>
      <c r="G661" s="118"/>
      <c r="H661" s="118"/>
      <c r="I661" s="118"/>
      <c r="J661" s="119"/>
      <c r="K661" s="120"/>
      <c r="L661" s="120"/>
      <c r="M661" s="120"/>
      <c r="N661" s="120"/>
      <c r="O661" s="118"/>
      <c r="P661" s="120"/>
      <c r="Q661" s="121"/>
      <c r="R661" s="109" t="b">
        <v>0</v>
      </c>
      <c r="S661" s="143" t="str">
        <f t="shared" si="1"/>
        <v>Suspenso</v>
      </c>
      <c r="T661" s="118"/>
      <c r="U661" s="118"/>
      <c r="V661" s="118"/>
      <c r="W661" s="118"/>
      <c r="X661" s="118"/>
      <c r="Y661" s="118"/>
      <c r="Z661" s="118"/>
      <c r="AA661" s="118"/>
      <c r="AB661" s="118"/>
      <c r="AC661" s="118"/>
      <c r="AD661" s="111"/>
      <c r="AE661" s="73"/>
      <c r="AF661" s="73"/>
    </row>
    <row r="662" ht="22.5" customHeight="1">
      <c r="A662" s="73"/>
      <c r="B662" s="73"/>
      <c r="C662" s="73"/>
      <c r="D662" s="73"/>
      <c r="E662" s="330"/>
      <c r="F662" s="118"/>
      <c r="G662" s="118"/>
      <c r="H662" s="118"/>
      <c r="I662" s="118"/>
      <c r="J662" s="119"/>
      <c r="K662" s="120"/>
      <c r="L662" s="120"/>
      <c r="M662" s="120"/>
      <c r="N662" s="120"/>
      <c r="O662" s="118"/>
      <c r="P662" s="120"/>
      <c r="Q662" s="121"/>
      <c r="R662" s="109" t="b">
        <v>0</v>
      </c>
      <c r="S662" s="143" t="str">
        <f t="shared" si="1"/>
        <v>Suspenso</v>
      </c>
      <c r="T662" s="118"/>
      <c r="U662" s="118"/>
      <c r="V662" s="118"/>
      <c r="W662" s="118"/>
      <c r="X662" s="118"/>
      <c r="Y662" s="118"/>
      <c r="Z662" s="118"/>
      <c r="AA662" s="118"/>
      <c r="AB662" s="118"/>
      <c r="AC662" s="118"/>
      <c r="AD662" s="111"/>
      <c r="AE662" s="73"/>
      <c r="AF662" s="73"/>
    </row>
    <row r="663" ht="22.5" customHeight="1">
      <c r="A663" s="73"/>
      <c r="B663" s="73"/>
      <c r="C663" s="73"/>
      <c r="D663" s="73"/>
      <c r="E663" s="330"/>
      <c r="F663" s="118"/>
      <c r="G663" s="118"/>
      <c r="H663" s="118"/>
      <c r="I663" s="118"/>
      <c r="J663" s="119"/>
      <c r="K663" s="120"/>
      <c r="L663" s="120"/>
      <c r="M663" s="120"/>
      <c r="N663" s="120"/>
      <c r="O663" s="118"/>
      <c r="P663" s="120"/>
      <c r="Q663" s="121"/>
      <c r="R663" s="109" t="b">
        <v>0</v>
      </c>
      <c r="S663" s="143" t="str">
        <f t="shared" si="1"/>
        <v>Suspenso</v>
      </c>
      <c r="T663" s="118"/>
      <c r="U663" s="118"/>
      <c r="V663" s="118"/>
      <c r="W663" s="118"/>
      <c r="X663" s="118"/>
      <c r="Y663" s="118"/>
      <c r="Z663" s="118"/>
      <c r="AA663" s="118"/>
      <c r="AB663" s="118"/>
      <c r="AC663" s="118"/>
      <c r="AD663" s="111"/>
      <c r="AE663" s="73"/>
      <c r="AF663" s="73"/>
    </row>
    <row r="664" ht="22.5" customHeight="1">
      <c r="A664" s="73"/>
      <c r="B664" s="73"/>
      <c r="C664" s="73"/>
      <c r="D664" s="73"/>
      <c r="E664" s="330"/>
      <c r="F664" s="118"/>
      <c r="G664" s="118"/>
      <c r="H664" s="118"/>
      <c r="I664" s="118"/>
      <c r="J664" s="119"/>
      <c r="K664" s="120"/>
      <c r="L664" s="120"/>
      <c r="M664" s="120"/>
      <c r="N664" s="120"/>
      <c r="O664" s="118"/>
      <c r="P664" s="120"/>
      <c r="Q664" s="121"/>
      <c r="R664" s="109" t="b">
        <v>0</v>
      </c>
      <c r="S664" s="143" t="str">
        <f t="shared" si="1"/>
        <v>Suspenso</v>
      </c>
      <c r="T664" s="118"/>
      <c r="U664" s="118"/>
      <c r="V664" s="118"/>
      <c r="W664" s="118"/>
      <c r="X664" s="118"/>
      <c r="Y664" s="118"/>
      <c r="Z664" s="118"/>
      <c r="AA664" s="118"/>
      <c r="AB664" s="118"/>
      <c r="AC664" s="118"/>
      <c r="AD664" s="111"/>
      <c r="AE664" s="73"/>
      <c r="AF664" s="73"/>
    </row>
    <row r="665" ht="22.5" customHeight="1">
      <c r="A665" s="73"/>
      <c r="B665" s="73"/>
      <c r="C665" s="73"/>
      <c r="D665" s="73"/>
      <c r="E665" s="330"/>
      <c r="F665" s="118"/>
      <c r="G665" s="118"/>
      <c r="H665" s="118"/>
      <c r="I665" s="118"/>
      <c r="J665" s="119"/>
      <c r="K665" s="120"/>
      <c r="L665" s="120"/>
      <c r="M665" s="120"/>
      <c r="N665" s="120"/>
      <c r="O665" s="118"/>
      <c r="P665" s="120"/>
      <c r="Q665" s="121"/>
      <c r="R665" s="109" t="b">
        <v>0</v>
      </c>
      <c r="S665" s="143" t="str">
        <f t="shared" si="1"/>
        <v>Suspenso</v>
      </c>
      <c r="T665" s="118"/>
      <c r="U665" s="118"/>
      <c r="V665" s="118"/>
      <c r="W665" s="118"/>
      <c r="X665" s="118"/>
      <c r="Y665" s="118"/>
      <c r="Z665" s="118"/>
      <c r="AA665" s="118"/>
      <c r="AB665" s="118"/>
      <c r="AC665" s="118"/>
      <c r="AD665" s="111"/>
      <c r="AE665" s="73"/>
      <c r="AF665" s="73"/>
    </row>
    <row r="666" ht="22.5" customHeight="1">
      <c r="A666" s="73"/>
      <c r="B666" s="73"/>
      <c r="C666" s="73"/>
      <c r="D666" s="73"/>
      <c r="E666" s="330"/>
      <c r="F666" s="118"/>
      <c r="G666" s="118"/>
      <c r="H666" s="118"/>
      <c r="I666" s="118"/>
      <c r="J666" s="119"/>
      <c r="K666" s="120"/>
      <c r="L666" s="120"/>
      <c r="M666" s="120"/>
      <c r="N666" s="120"/>
      <c r="O666" s="118"/>
      <c r="P666" s="120"/>
      <c r="Q666" s="121"/>
      <c r="R666" s="109" t="b">
        <v>0</v>
      </c>
      <c r="S666" s="143" t="str">
        <f t="shared" si="1"/>
        <v>Suspenso</v>
      </c>
      <c r="T666" s="118"/>
      <c r="U666" s="118"/>
      <c r="V666" s="118"/>
      <c r="W666" s="118"/>
      <c r="X666" s="118"/>
      <c r="Y666" s="118"/>
      <c r="Z666" s="118"/>
      <c r="AA666" s="118"/>
      <c r="AB666" s="118"/>
      <c r="AC666" s="118"/>
      <c r="AD666" s="111"/>
      <c r="AE666" s="73"/>
      <c r="AF666" s="73"/>
    </row>
    <row r="667" ht="22.5" customHeight="1">
      <c r="A667" s="73"/>
      <c r="B667" s="73"/>
      <c r="C667" s="73"/>
      <c r="D667" s="73"/>
      <c r="E667" s="330"/>
      <c r="F667" s="118"/>
      <c r="G667" s="118"/>
      <c r="H667" s="118"/>
      <c r="I667" s="118"/>
      <c r="J667" s="119"/>
      <c r="K667" s="120"/>
      <c r="L667" s="120"/>
      <c r="M667" s="120"/>
      <c r="N667" s="120"/>
      <c r="O667" s="118"/>
      <c r="P667" s="120"/>
      <c r="Q667" s="121"/>
      <c r="R667" s="109" t="b">
        <v>0</v>
      </c>
      <c r="S667" s="143" t="str">
        <f t="shared" si="1"/>
        <v>Suspenso</v>
      </c>
      <c r="T667" s="118"/>
      <c r="U667" s="118"/>
      <c r="V667" s="118"/>
      <c r="W667" s="118"/>
      <c r="X667" s="118"/>
      <c r="Y667" s="118"/>
      <c r="Z667" s="118"/>
      <c r="AA667" s="118"/>
      <c r="AB667" s="118"/>
      <c r="AC667" s="118"/>
      <c r="AD667" s="111"/>
      <c r="AE667" s="73"/>
      <c r="AF667" s="73"/>
    </row>
    <row r="668" ht="22.5" customHeight="1">
      <c r="A668" s="73"/>
      <c r="B668" s="73"/>
      <c r="C668" s="73"/>
      <c r="D668" s="73"/>
      <c r="E668" s="330"/>
      <c r="F668" s="118"/>
      <c r="G668" s="118"/>
      <c r="H668" s="118"/>
      <c r="I668" s="118"/>
      <c r="J668" s="119"/>
      <c r="K668" s="120"/>
      <c r="L668" s="120"/>
      <c r="M668" s="120"/>
      <c r="N668" s="120"/>
      <c r="O668" s="118"/>
      <c r="P668" s="120"/>
      <c r="Q668" s="121"/>
      <c r="R668" s="109" t="b">
        <v>0</v>
      </c>
      <c r="S668" s="143" t="str">
        <f t="shared" si="1"/>
        <v>Suspenso</v>
      </c>
      <c r="T668" s="118"/>
      <c r="U668" s="118"/>
      <c r="V668" s="118"/>
      <c r="W668" s="118"/>
      <c r="X668" s="118"/>
      <c r="Y668" s="118"/>
      <c r="Z668" s="118"/>
      <c r="AA668" s="118"/>
      <c r="AB668" s="118"/>
      <c r="AC668" s="118"/>
      <c r="AD668" s="111"/>
      <c r="AE668" s="73"/>
      <c r="AF668" s="73"/>
    </row>
    <row r="669" ht="22.5" customHeight="1">
      <c r="A669" s="73"/>
      <c r="B669" s="73"/>
      <c r="C669" s="73"/>
      <c r="D669" s="73"/>
      <c r="E669" s="330"/>
      <c r="F669" s="118"/>
      <c r="G669" s="118"/>
      <c r="H669" s="118"/>
      <c r="I669" s="118"/>
      <c r="J669" s="119"/>
      <c r="K669" s="120"/>
      <c r="L669" s="120"/>
      <c r="M669" s="120"/>
      <c r="N669" s="120"/>
      <c r="O669" s="118"/>
      <c r="P669" s="120"/>
      <c r="Q669" s="121"/>
      <c r="R669" s="109" t="b">
        <v>0</v>
      </c>
      <c r="S669" s="143" t="str">
        <f t="shared" si="1"/>
        <v>Suspenso</v>
      </c>
      <c r="T669" s="118"/>
      <c r="U669" s="118"/>
      <c r="V669" s="118"/>
      <c r="W669" s="118"/>
      <c r="X669" s="118"/>
      <c r="Y669" s="118"/>
      <c r="Z669" s="118"/>
      <c r="AA669" s="118"/>
      <c r="AB669" s="118"/>
      <c r="AC669" s="118"/>
      <c r="AD669" s="111"/>
      <c r="AE669" s="73"/>
      <c r="AF669" s="73"/>
    </row>
    <row r="670" ht="22.5" customHeight="1">
      <c r="A670" s="73"/>
      <c r="B670" s="73"/>
      <c r="C670" s="73"/>
      <c r="D670" s="73"/>
      <c r="E670" s="330"/>
      <c r="F670" s="118"/>
      <c r="G670" s="118"/>
      <c r="H670" s="118"/>
      <c r="I670" s="118"/>
      <c r="J670" s="119"/>
      <c r="K670" s="120"/>
      <c r="L670" s="120"/>
      <c r="M670" s="120"/>
      <c r="N670" s="120"/>
      <c r="O670" s="118"/>
      <c r="P670" s="120"/>
      <c r="Q670" s="121"/>
      <c r="R670" s="109" t="b">
        <v>0</v>
      </c>
      <c r="S670" s="143" t="str">
        <f t="shared" si="1"/>
        <v>Suspenso</v>
      </c>
      <c r="T670" s="118"/>
      <c r="U670" s="118"/>
      <c r="V670" s="118"/>
      <c r="W670" s="118"/>
      <c r="X670" s="118"/>
      <c r="Y670" s="118"/>
      <c r="Z670" s="118"/>
      <c r="AA670" s="118"/>
      <c r="AB670" s="118"/>
      <c r="AC670" s="118"/>
      <c r="AD670" s="111"/>
      <c r="AE670" s="73"/>
      <c r="AF670" s="73"/>
    </row>
    <row r="671" ht="22.5" customHeight="1">
      <c r="A671" s="73"/>
      <c r="B671" s="73"/>
      <c r="C671" s="73"/>
      <c r="D671" s="73"/>
      <c r="E671" s="330"/>
      <c r="F671" s="118"/>
      <c r="G671" s="118"/>
      <c r="H671" s="118"/>
      <c r="I671" s="118"/>
      <c r="J671" s="119"/>
      <c r="K671" s="120"/>
      <c r="L671" s="120"/>
      <c r="M671" s="120"/>
      <c r="N671" s="120"/>
      <c r="O671" s="118"/>
      <c r="P671" s="120"/>
      <c r="Q671" s="121"/>
      <c r="R671" s="109" t="b">
        <v>0</v>
      </c>
      <c r="S671" s="143" t="str">
        <f t="shared" si="1"/>
        <v>Suspenso</v>
      </c>
      <c r="T671" s="118"/>
      <c r="U671" s="118"/>
      <c r="V671" s="118"/>
      <c r="W671" s="118"/>
      <c r="X671" s="118"/>
      <c r="Y671" s="118"/>
      <c r="Z671" s="118"/>
      <c r="AA671" s="118"/>
      <c r="AB671" s="118"/>
      <c r="AC671" s="118"/>
      <c r="AD671" s="111"/>
      <c r="AE671" s="73"/>
      <c r="AF671" s="73"/>
    </row>
    <row r="672" ht="22.5" customHeight="1">
      <c r="A672" s="73"/>
      <c r="B672" s="73"/>
      <c r="C672" s="73"/>
      <c r="D672" s="73"/>
      <c r="E672" s="330"/>
      <c r="F672" s="118"/>
      <c r="G672" s="118"/>
      <c r="H672" s="118"/>
      <c r="I672" s="118"/>
      <c r="J672" s="119"/>
      <c r="K672" s="120"/>
      <c r="L672" s="120"/>
      <c r="M672" s="120"/>
      <c r="N672" s="120"/>
      <c r="O672" s="118"/>
      <c r="P672" s="120"/>
      <c r="Q672" s="121"/>
      <c r="R672" s="109" t="b">
        <v>0</v>
      </c>
      <c r="S672" s="143" t="str">
        <f t="shared" si="1"/>
        <v>Suspenso</v>
      </c>
      <c r="T672" s="118"/>
      <c r="U672" s="118"/>
      <c r="V672" s="118"/>
      <c r="W672" s="118"/>
      <c r="X672" s="118"/>
      <c r="Y672" s="118"/>
      <c r="Z672" s="118"/>
      <c r="AA672" s="118"/>
      <c r="AB672" s="118"/>
      <c r="AC672" s="118"/>
      <c r="AD672" s="111"/>
      <c r="AE672" s="73"/>
      <c r="AF672" s="73"/>
    </row>
    <row r="673" ht="22.5" customHeight="1">
      <c r="A673" s="73"/>
      <c r="B673" s="73"/>
      <c r="C673" s="73"/>
      <c r="D673" s="73"/>
      <c r="E673" s="330"/>
      <c r="F673" s="118"/>
      <c r="G673" s="118"/>
      <c r="H673" s="118"/>
      <c r="I673" s="118"/>
      <c r="J673" s="119"/>
      <c r="K673" s="120"/>
      <c r="L673" s="120"/>
      <c r="M673" s="120"/>
      <c r="N673" s="120"/>
      <c r="O673" s="118"/>
      <c r="P673" s="120"/>
      <c r="Q673" s="121"/>
      <c r="R673" s="109" t="b">
        <v>0</v>
      </c>
      <c r="S673" s="143" t="str">
        <f t="shared" si="1"/>
        <v>Suspenso</v>
      </c>
      <c r="T673" s="118"/>
      <c r="U673" s="118"/>
      <c r="V673" s="118"/>
      <c r="W673" s="118"/>
      <c r="X673" s="118"/>
      <c r="Y673" s="118"/>
      <c r="Z673" s="118"/>
      <c r="AA673" s="118"/>
      <c r="AB673" s="118"/>
      <c r="AC673" s="118"/>
      <c r="AD673" s="111"/>
      <c r="AE673" s="73"/>
      <c r="AF673" s="73"/>
    </row>
    <row r="674" ht="22.5" customHeight="1">
      <c r="A674" s="73"/>
      <c r="B674" s="73"/>
      <c r="C674" s="73"/>
      <c r="D674" s="73"/>
      <c r="E674" s="330"/>
      <c r="F674" s="118"/>
      <c r="G674" s="118"/>
      <c r="H674" s="118"/>
      <c r="I674" s="118"/>
      <c r="J674" s="119"/>
      <c r="K674" s="120"/>
      <c r="L674" s="120"/>
      <c r="M674" s="120"/>
      <c r="N674" s="120"/>
      <c r="O674" s="118"/>
      <c r="P674" s="120"/>
      <c r="Q674" s="121"/>
      <c r="R674" s="109" t="b">
        <v>0</v>
      </c>
      <c r="S674" s="143" t="str">
        <f t="shared" si="1"/>
        <v>Suspenso</v>
      </c>
      <c r="T674" s="118"/>
      <c r="U674" s="118"/>
      <c r="V674" s="118"/>
      <c r="W674" s="118"/>
      <c r="X674" s="118"/>
      <c r="Y674" s="118"/>
      <c r="Z674" s="118"/>
      <c r="AA674" s="118"/>
      <c r="AB674" s="118"/>
      <c r="AC674" s="118"/>
      <c r="AD674" s="111"/>
      <c r="AE674" s="73"/>
      <c r="AF674" s="73"/>
    </row>
    <row r="675" ht="22.5" customHeight="1">
      <c r="A675" s="73"/>
      <c r="B675" s="73"/>
      <c r="C675" s="73"/>
      <c r="D675" s="73"/>
      <c r="E675" s="330"/>
      <c r="F675" s="118"/>
      <c r="G675" s="118"/>
      <c r="H675" s="118"/>
      <c r="I675" s="118"/>
      <c r="J675" s="119"/>
      <c r="K675" s="120"/>
      <c r="L675" s="120"/>
      <c r="M675" s="120"/>
      <c r="N675" s="120"/>
      <c r="O675" s="118"/>
      <c r="P675" s="120"/>
      <c r="Q675" s="121"/>
      <c r="R675" s="109" t="b">
        <v>0</v>
      </c>
      <c r="S675" s="143" t="str">
        <f t="shared" si="1"/>
        <v>Suspenso</v>
      </c>
      <c r="T675" s="118"/>
      <c r="U675" s="118"/>
      <c r="V675" s="118"/>
      <c r="W675" s="118"/>
      <c r="X675" s="118"/>
      <c r="Y675" s="118"/>
      <c r="Z675" s="118"/>
      <c r="AA675" s="118"/>
      <c r="AB675" s="118"/>
      <c r="AC675" s="118"/>
      <c r="AD675" s="111"/>
      <c r="AE675" s="73"/>
      <c r="AF675" s="73"/>
    </row>
    <row r="676" ht="22.5" customHeight="1">
      <c r="A676" s="73"/>
      <c r="B676" s="73"/>
      <c r="C676" s="73"/>
      <c r="D676" s="73"/>
      <c r="E676" s="330"/>
      <c r="F676" s="118"/>
      <c r="G676" s="118"/>
      <c r="H676" s="118"/>
      <c r="I676" s="118"/>
      <c r="J676" s="119"/>
      <c r="K676" s="120"/>
      <c r="L676" s="120"/>
      <c r="M676" s="120"/>
      <c r="N676" s="120"/>
      <c r="O676" s="118"/>
      <c r="P676" s="120"/>
      <c r="Q676" s="121"/>
      <c r="R676" s="109" t="b">
        <v>0</v>
      </c>
      <c r="S676" s="143" t="str">
        <f t="shared" si="1"/>
        <v>Suspenso</v>
      </c>
      <c r="T676" s="118"/>
      <c r="U676" s="118"/>
      <c r="V676" s="118"/>
      <c r="W676" s="118"/>
      <c r="X676" s="118"/>
      <c r="Y676" s="118"/>
      <c r="Z676" s="118"/>
      <c r="AA676" s="118"/>
      <c r="AB676" s="118"/>
      <c r="AC676" s="118"/>
      <c r="AD676" s="111"/>
      <c r="AE676" s="73"/>
      <c r="AF676" s="73"/>
    </row>
    <row r="677" ht="22.5" customHeight="1">
      <c r="A677" s="73"/>
      <c r="B677" s="73"/>
      <c r="C677" s="73"/>
      <c r="D677" s="73"/>
      <c r="E677" s="330"/>
      <c r="F677" s="118"/>
      <c r="G677" s="118"/>
      <c r="H677" s="118"/>
      <c r="I677" s="118"/>
      <c r="J677" s="119"/>
      <c r="K677" s="120"/>
      <c r="L677" s="120"/>
      <c r="M677" s="120"/>
      <c r="N677" s="120"/>
      <c r="O677" s="118"/>
      <c r="P677" s="120"/>
      <c r="Q677" s="121"/>
      <c r="R677" s="109" t="b">
        <v>0</v>
      </c>
      <c r="S677" s="143" t="str">
        <f t="shared" si="1"/>
        <v>Suspenso</v>
      </c>
      <c r="T677" s="118"/>
      <c r="U677" s="118"/>
      <c r="V677" s="118"/>
      <c r="W677" s="118"/>
      <c r="X677" s="118"/>
      <c r="Y677" s="118"/>
      <c r="Z677" s="118"/>
      <c r="AA677" s="118"/>
      <c r="AB677" s="118"/>
      <c r="AC677" s="118"/>
      <c r="AD677" s="111"/>
      <c r="AE677" s="73"/>
      <c r="AF677" s="73"/>
    </row>
    <row r="678" ht="22.5" customHeight="1">
      <c r="A678" s="73"/>
      <c r="B678" s="73"/>
      <c r="C678" s="73"/>
      <c r="D678" s="73"/>
      <c r="E678" s="330"/>
      <c r="F678" s="118"/>
      <c r="G678" s="118"/>
      <c r="H678" s="118"/>
      <c r="I678" s="118"/>
      <c r="J678" s="119"/>
      <c r="K678" s="120"/>
      <c r="L678" s="120"/>
      <c r="M678" s="120"/>
      <c r="N678" s="120"/>
      <c r="O678" s="118"/>
      <c r="P678" s="120"/>
      <c r="Q678" s="121"/>
      <c r="R678" s="109" t="b">
        <v>0</v>
      </c>
      <c r="S678" s="143" t="str">
        <f t="shared" si="1"/>
        <v>Suspenso</v>
      </c>
      <c r="T678" s="118"/>
      <c r="U678" s="118"/>
      <c r="V678" s="118"/>
      <c r="W678" s="118"/>
      <c r="X678" s="118"/>
      <c r="Y678" s="118"/>
      <c r="Z678" s="118"/>
      <c r="AA678" s="118"/>
      <c r="AB678" s="118"/>
      <c r="AC678" s="118"/>
      <c r="AD678" s="111"/>
      <c r="AE678" s="73"/>
      <c r="AF678" s="73"/>
    </row>
    <row r="679" ht="22.5" customHeight="1">
      <c r="A679" s="73"/>
      <c r="B679" s="73"/>
      <c r="C679" s="73"/>
      <c r="D679" s="73"/>
      <c r="E679" s="330"/>
      <c r="F679" s="118"/>
      <c r="G679" s="118"/>
      <c r="H679" s="118"/>
      <c r="I679" s="118"/>
      <c r="J679" s="119"/>
      <c r="K679" s="120"/>
      <c r="L679" s="120"/>
      <c r="M679" s="120"/>
      <c r="N679" s="120"/>
      <c r="O679" s="118"/>
      <c r="P679" s="120"/>
      <c r="Q679" s="121"/>
      <c r="R679" s="109" t="b">
        <v>0</v>
      </c>
      <c r="S679" s="143" t="str">
        <f t="shared" si="1"/>
        <v>Suspenso</v>
      </c>
      <c r="T679" s="118"/>
      <c r="U679" s="118"/>
      <c r="V679" s="118"/>
      <c r="W679" s="118"/>
      <c r="X679" s="118"/>
      <c r="Y679" s="118"/>
      <c r="Z679" s="118"/>
      <c r="AA679" s="118"/>
      <c r="AB679" s="118"/>
      <c r="AC679" s="118"/>
      <c r="AD679" s="111"/>
      <c r="AE679" s="73"/>
      <c r="AF679" s="73"/>
    </row>
    <row r="680" ht="22.5" customHeight="1">
      <c r="A680" s="73"/>
      <c r="B680" s="73"/>
      <c r="C680" s="73"/>
      <c r="D680" s="73"/>
      <c r="E680" s="330"/>
      <c r="F680" s="118"/>
      <c r="G680" s="118"/>
      <c r="H680" s="118"/>
      <c r="I680" s="118"/>
      <c r="J680" s="119"/>
      <c r="K680" s="120"/>
      <c r="L680" s="120"/>
      <c r="M680" s="120"/>
      <c r="N680" s="120"/>
      <c r="O680" s="118"/>
      <c r="P680" s="120"/>
      <c r="Q680" s="121"/>
      <c r="R680" s="109" t="b">
        <v>0</v>
      </c>
      <c r="S680" s="143" t="str">
        <f t="shared" si="1"/>
        <v>Suspenso</v>
      </c>
      <c r="T680" s="118"/>
      <c r="U680" s="118"/>
      <c r="V680" s="118"/>
      <c r="W680" s="118"/>
      <c r="X680" s="118"/>
      <c r="Y680" s="118"/>
      <c r="Z680" s="118"/>
      <c r="AA680" s="118"/>
      <c r="AB680" s="118"/>
      <c r="AC680" s="118"/>
      <c r="AD680" s="111"/>
      <c r="AE680" s="73"/>
      <c r="AF680" s="73"/>
    </row>
    <row r="681" ht="22.5" customHeight="1">
      <c r="A681" s="73"/>
      <c r="B681" s="73"/>
      <c r="C681" s="73"/>
      <c r="D681" s="73"/>
      <c r="E681" s="330"/>
      <c r="F681" s="118"/>
      <c r="G681" s="118"/>
      <c r="H681" s="118"/>
      <c r="I681" s="118"/>
      <c r="J681" s="119"/>
      <c r="K681" s="120"/>
      <c r="L681" s="120"/>
      <c r="M681" s="120"/>
      <c r="N681" s="120"/>
      <c r="O681" s="118"/>
      <c r="P681" s="120"/>
      <c r="Q681" s="121"/>
      <c r="R681" s="109" t="b">
        <v>0</v>
      </c>
      <c r="S681" s="143" t="str">
        <f t="shared" si="1"/>
        <v>Suspenso</v>
      </c>
      <c r="T681" s="118"/>
      <c r="U681" s="118"/>
      <c r="V681" s="118"/>
      <c r="W681" s="118"/>
      <c r="X681" s="118"/>
      <c r="Y681" s="118"/>
      <c r="Z681" s="118"/>
      <c r="AA681" s="118"/>
      <c r="AB681" s="118"/>
      <c r="AC681" s="118"/>
      <c r="AD681" s="111"/>
      <c r="AE681" s="73"/>
      <c r="AF681" s="73"/>
    </row>
    <row r="682" ht="22.5" customHeight="1">
      <c r="A682" s="73"/>
      <c r="B682" s="73"/>
      <c r="C682" s="73"/>
      <c r="D682" s="73"/>
      <c r="E682" s="330"/>
      <c r="F682" s="118"/>
      <c r="G682" s="118"/>
      <c r="H682" s="118"/>
      <c r="I682" s="118"/>
      <c r="J682" s="119"/>
      <c r="K682" s="120"/>
      <c r="L682" s="120"/>
      <c r="M682" s="120"/>
      <c r="N682" s="120"/>
      <c r="O682" s="118"/>
      <c r="P682" s="120"/>
      <c r="Q682" s="121"/>
      <c r="R682" s="109" t="b">
        <v>0</v>
      </c>
      <c r="S682" s="143" t="str">
        <f t="shared" si="1"/>
        <v>Suspenso</v>
      </c>
      <c r="T682" s="118"/>
      <c r="U682" s="118"/>
      <c r="V682" s="118"/>
      <c r="W682" s="118"/>
      <c r="X682" s="118"/>
      <c r="Y682" s="118"/>
      <c r="Z682" s="118"/>
      <c r="AA682" s="118"/>
      <c r="AB682" s="118"/>
      <c r="AC682" s="118"/>
      <c r="AD682" s="111"/>
      <c r="AE682" s="73"/>
      <c r="AF682" s="73"/>
    </row>
    <row r="683" ht="22.5" customHeight="1">
      <c r="A683" s="73"/>
      <c r="B683" s="73"/>
      <c r="C683" s="73"/>
      <c r="D683" s="73"/>
      <c r="E683" s="330"/>
      <c r="F683" s="118"/>
      <c r="G683" s="118"/>
      <c r="H683" s="118"/>
      <c r="I683" s="118"/>
      <c r="J683" s="119"/>
      <c r="K683" s="120"/>
      <c r="L683" s="120"/>
      <c r="M683" s="120"/>
      <c r="N683" s="120"/>
      <c r="O683" s="118"/>
      <c r="P683" s="120"/>
      <c r="Q683" s="121"/>
      <c r="R683" s="109" t="b">
        <v>0</v>
      </c>
      <c r="S683" s="143" t="str">
        <f t="shared" si="1"/>
        <v>Suspenso</v>
      </c>
      <c r="T683" s="118"/>
      <c r="U683" s="118"/>
      <c r="V683" s="118"/>
      <c r="W683" s="118"/>
      <c r="X683" s="118"/>
      <c r="Y683" s="118"/>
      <c r="Z683" s="118"/>
      <c r="AA683" s="118"/>
      <c r="AB683" s="118"/>
      <c r="AC683" s="118"/>
      <c r="AD683" s="111"/>
      <c r="AE683" s="73"/>
      <c r="AF683" s="73"/>
    </row>
    <row r="684" ht="22.5" customHeight="1">
      <c r="A684" s="73"/>
      <c r="B684" s="73"/>
      <c r="C684" s="73"/>
      <c r="D684" s="73"/>
      <c r="E684" s="330"/>
      <c r="F684" s="118"/>
      <c r="G684" s="118"/>
      <c r="H684" s="118"/>
      <c r="I684" s="118"/>
      <c r="J684" s="119"/>
      <c r="K684" s="120"/>
      <c r="L684" s="120"/>
      <c r="M684" s="120"/>
      <c r="N684" s="120"/>
      <c r="O684" s="118"/>
      <c r="P684" s="120"/>
      <c r="Q684" s="121"/>
      <c r="R684" s="109" t="b">
        <v>0</v>
      </c>
      <c r="S684" s="143" t="str">
        <f t="shared" si="1"/>
        <v>Suspenso</v>
      </c>
      <c r="T684" s="118"/>
      <c r="U684" s="118"/>
      <c r="V684" s="118"/>
      <c r="W684" s="118"/>
      <c r="X684" s="118"/>
      <c r="Y684" s="118"/>
      <c r="Z684" s="118"/>
      <c r="AA684" s="118"/>
      <c r="AB684" s="118"/>
      <c r="AC684" s="118"/>
      <c r="AD684" s="111"/>
      <c r="AE684" s="73"/>
      <c r="AF684" s="73"/>
    </row>
    <row r="685" ht="22.5" customHeight="1">
      <c r="A685" s="73"/>
      <c r="B685" s="73"/>
      <c r="C685" s="73"/>
      <c r="D685" s="73"/>
      <c r="E685" s="330"/>
      <c r="F685" s="118"/>
      <c r="G685" s="118"/>
      <c r="H685" s="118"/>
      <c r="I685" s="118"/>
      <c r="J685" s="119"/>
      <c r="K685" s="120"/>
      <c r="L685" s="120"/>
      <c r="M685" s="120"/>
      <c r="N685" s="120"/>
      <c r="O685" s="118"/>
      <c r="P685" s="120"/>
      <c r="Q685" s="121"/>
      <c r="R685" s="109" t="b">
        <v>0</v>
      </c>
      <c r="S685" s="143" t="str">
        <f t="shared" si="1"/>
        <v>Suspenso</v>
      </c>
      <c r="T685" s="118"/>
      <c r="U685" s="118"/>
      <c r="V685" s="118"/>
      <c r="W685" s="118"/>
      <c r="X685" s="118"/>
      <c r="Y685" s="118"/>
      <c r="Z685" s="118"/>
      <c r="AA685" s="118"/>
      <c r="AB685" s="118"/>
      <c r="AC685" s="118"/>
      <c r="AD685" s="111"/>
      <c r="AE685" s="73"/>
      <c r="AF685" s="73"/>
    </row>
    <row r="686" ht="22.5" customHeight="1">
      <c r="A686" s="73"/>
      <c r="B686" s="73"/>
      <c r="C686" s="73"/>
      <c r="D686" s="73"/>
      <c r="E686" s="330"/>
      <c r="F686" s="118"/>
      <c r="G686" s="118"/>
      <c r="H686" s="118"/>
      <c r="I686" s="118"/>
      <c r="J686" s="119"/>
      <c r="K686" s="120"/>
      <c r="L686" s="120"/>
      <c r="M686" s="120"/>
      <c r="N686" s="120"/>
      <c r="O686" s="118"/>
      <c r="P686" s="120"/>
      <c r="Q686" s="121"/>
      <c r="R686" s="109" t="b">
        <v>0</v>
      </c>
      <c r="S686" s="143" t="str">
        <f t="shared" si="1"/>
        <v>Suspenso</v>
      </c>
      <c r="T686" s="118"/>
      <c r="U686" s="118"/>
      <c r="V686" s="118"/>
      <c r="W686" s="118"/>
      <c r="X686" s="118"/>
      <c r="Y686" s="118"/>
      <c r="Z686" s="118"/>
      <c r="AA686" s="118"/>
      <c r="AB686" s="118"/>
      <c r="AC686" s="118"/>
      <c r="AD686" s="111"/>
      <c r="AE686" s="73"/>
      <c r="AF686" s="73"/>
    </row>
    <row r="687" ht="22.5" customHeight="1">
      <c r="A687" s="73"/>
      <c r="B687" s="73"/>
      <c r="C687" s="73"/>
      <c r="D687" s="73"/>
      <c r="E687" s="330"/>
      <c r="F687" s="118"/>
      <c r="G687" s="118"/>
      <c r="H687" s="118"/>
      <c r="I687" s="118"/>
      <c r="J687" s="119"/>
      <c r="K687" s="120"/>
      <c r="L687" s="120"/>
      <c r="M687" s="120"/>
      <c r="N687" s="120"/>
      <c r="O687" s="118"/>
      <c r="P687" s="120"/>
      <c r="Q687" s="121"/>
      <c r="R687" s="109" t="b">
        <v>0</v>
      </c>
      <c r="S687" s="143" t="str">
        <f t="shared" si="1"/>
        <v>Suspenso</v>
      </c>
      <c r="T687" s="118"/>
      <c r="U687" s="118"/>
      <c r="V687" s="118"/>
      <c r="W687" s="118"/>
      <c r="X687" s="118"/>
      <c r="Y687" s="118"/>
      <c r="Z687" s="118"/>
      <c r="AA687" s="118"/>
      <c r="AB687" s="118"/>
      <c r="AC687" s="118"/>
      <c r="AD687" s="111"/>
      <c r="AE687" s="73"/>
      <c r="AF687" s="73"/>
    </row>
    <row r="688" ht="22.5" customHeight="1">
      <c r="A688" s="73"/>
      <c r="B688" s="73"/>
      <c r="C688" s="73"/>
      <c r="D688" s="73"/>
      <c r="E688" s="330"/>
      <c r="F688" s="118"/>
      <c r="G688" s="118"/>
      <c r="H688" s="118"/>
      <c r="I688" s="118"/>
      <c r="J688" s="119"/>
      <c r="K688" s="120"/>
      <c r="L688" s="120"/>
      <c r="M688" s="120"/>
      <c r="N688" s="120"/>
      <c r="O688" s="118"/>
      <c r="P688" s="120"/>
      <c r="Q688" s="121"/>
      <c r="R688" s="109" t="b">
        <v>0</v>
      </c>
      <c r="S688" s="143" t="str">
        <f t="shared" si="1"/>
        <v>Suspenso</v>
      </c>
      <c r="T688" s="118"/>
      <c r="U688" s="118"/>
      <c r="V688" s="118"/>
      <c r="W688" s="118"/>
      <c r="X688" s="118"/>
      <c r="Y688" s="118"/>
      <c r="Z688" s="118"/>
      <c r="AA688" s="118"/>
      <c r="AB688" s="118"/>
      <c r="AC688" s="118"/>
      <c r="AD688" s="111"/>
      <c r="AE688" s="73"/>
      <c r="AF688" s="73"/>
    </row>
    <row r="689" ht="22.5" customHeight="1">
      <c r="A689" s="73"/>
      <c r="B689" s="73"/>
      <c r="C689" s="73"/>
      <c r="D689" s="73"/>
      <c r="E689" s="330"/>
      <c r="F689" s="118"/>
      <c r="G689" s="118"/>
      <c r="H689" s="118"/>
      <c r="I689" s="118"/>
      <c r="J689" s="119"/>
      <c r="K689" s="120"/>
      <c r="L689" s="120"/>
      <c r="M689" s="120"/>
      <c r="N689" s="120"/>
      <c r="O689" s="118"/>
      <c r="P689" s="120"/>
      <c r="Q689" s="121"/>
      <c r="R689" s="109" t="b">
        <v>0</v>
      </c>
      <c r="S689" s="143" t="str">
        <f t="shared" si="1"/>
        <v>Suspenso</v>
      </c>
      <c r="T689" s="118"/>
      <c r="U689" s="118"/>
      <c r="V689" s="118"/>
      <c r="W689" s="118"/>
      <c r="X689" s="118"/>
      <c r="Y689" s="118"/>
      <c r="Z689" s="118"/>
      <c r="AA689" s="118"/>
      <c r="AB689" s="118"/>
      <c r="AC689" s="118"/>
      <c r="AD689" s="111"/>
      <c r="AE689" s="73"/>
      <c r="AF689" s="73"/>
    </row>
    <row r="690" ht="22.5" customHeight="1">
      <c r="A690" s="73"/>
      <c r="B690" s="73"/>
      <c r="C690" s="73"/>
      <c r="D690" s="73"/>
      <c r="E690" s="330"/>
      <c r="F690" s="118"/>
      <c r="G690" s="118"/>
      <c r="H690" s="118"/>
      <c r="I690" s="118"/>
      <c r="J690" s="119"/>
      <c r="K690" s="120"/>
      <c r="L690" s="120"/>
      <c r="M690" s="120"/>
      <c r="N690" s="120"/>
      <c r="O690" s="118"/>
      <c r="P690" s="120"/>
      <c r="Q690" s="121"/>
      <c r="R690" s="109" t="b">
        <v>0</v>
      </c>
      <c r="S690" s="143" t="str">
        <f t="shared" si="1"/>
        <v>Suspenso</v>
      </c>
      <c r="T690" s="118"/>
      <c r="U690" s="118"/>
      <c r="V690" s="118"/>
      <c r="W690" s="118"/>
      <c r="X690" s="118"/>
      <c r="Y690" s="118"/>
      <c r="Z690" s="118"/>
      <c r="AA690" s="118"/>
      <c r="AB690" s="118"/>
      <c r="AC690" s="118"/>
      <c r="AD690" s="111"/>
      <c r="AE690" s="73"/>
      <c r="AF690" s="73"/>
    </row>
    <row r="691" ht="22.5" customHeight="1">
      <c r="A691" s="73"/>
      <c r="B691" s="73"/>
      <c r="C691" s="73"/>
      <c r="D691" s="73"/>
      <c r="E691" s="330"/>
      <c r="F691" s="118"/>
      <c r="G691" s="118"/>
      <c r="H691" s="118"/>
      <c r="I691" s="118"/>
      <c r="J691" s="119"/>
      <c r="K691" s="120"/>
      <c r="L691" s="120"/>
      <c r="M691" s="120"/>
      <c r="N691" s="120"/>
      <c r="O691" s="118"/>
      <c r="P691" s="120"/>
      <c r="Q691" s="121"/>
      <c r="R691" s="109" t="b">
        <v>0</v>
      </c>
      <c r="S691" s="143" t="str">
        <f t="shared" si="1"/>
        <v>Suspenso</v>
      </c>
      <c r="T691" s="118"/>
      <c r="U691" s="118"/>
      <c r="V691" s="118"/>
      <c r="W691" s="118"/>
      <c r="X691" s="118"/>
      <c r="Y691" s="118"/>
      <c r="Z691" s="118"/>
      <c r="AA691" s="118"/>
      <c r="AB691" s="118"/>
      <c r="AC691" s="118"/>
      <c r="AD691" s="111"/>
      <c r="AE691" s="73"/>
      <c r="AF691" s="73"/>
    </row>
    <row r="692" ht="22.5" customHeight="1">
      <c r="A692" s="73"/>
      <c r="B692" s="73"/>
      <c r="C692" s="73"/>
      <c r="D692" s="73"/>
      <c r="E692" s="330"/>
      <c r="F692" s="118"/>
      <c r="G692" s="118"/>
      <c r="H692" s="118"/>
      <c r="I692" s="118"/>
      <c r="J692" s="119"/>
      <c r="K692" s="120"/>
      <c r="L692" s="120"/>
      <c r="M692" s="120"/>
      <c r="N692" s="120"/>
      <c r="O692" s="118"/>
      <c r="P692" s="120"/>
      <c r="Q692" s="121"/>
      <c r="R692" s="109" t="b">
        <v>0</v>
      </c>
      <c r="S692" s="143" t="str">
        <f t="shared" si="1"/>
        <v>Suspenso</v>
      </c>
      <c r="T692" s="118"/>
      <c r="U692" s="118"/>
      <c r="V692" s="118"/>
      <c r="W692" s="118"/>
      <c r="X692" s="118"/>
      <c r="Y692" s="118"/>
      <c r="Z692" s="118"/>
      <c r="AA692" s="118"/>
      <c r="AB692" s="118"/>
      <c r="AC692" s="118"/>
      <c r="AD692" s="111"/>
      <c r="AE692" s="73"/>
      <c r="AF692" s="73"/>
    </row>
    <row r="693" ht="22.5" customHeight="1">
      <c r="A693" s="73"/>
      <c r="B693" s="73"/>
      <c r="C693" s="73"/>
      <c r="D693" s="73"/>
      <c r="E693" s="330"/>
      <c r="F693" s="118"/>
      <c r="G693" s="118"/>
      <c r="H693" s="118"/>
      <c r="I693" s="118"/>
      <c r="J693" s="119"/>
      <c r="K693" s="120"/>
      <c r="L693" s="120"/>
      <c r="M693" s="120"/>
      <c r="N693" s="120"/>
      <c r="O693" s="118"/>
      <c r="P693" s="120"/>
      <c r="Q693" s="121"/>
      <c r="R693" s="109" t="b">
        <v>0</v>
      </c>
      <c r="S693" s="143" t="str">
        <f t="shared" si="1"/>
        <v>Suspenso</v>
      </c>
      <c r="T693" s="118"/>
      <c r="U693" s="118"/>
      <c r="V693" s="118"/>
      <c r="W693" s="118"/>
      <c r="X693" s="118"/>
      <c r="Y693" s="118"/>
      <c r="Z693" s="118"/>
      <c r="AA693" s="118"/>
      <c r="AB693" s="118"/>
      <c r="AC693" s="118"/>
      <c r="AD693" s="111"/>
      <c r="AE693" s="73"/>
      <c r="AF693" s="73"/>
    </row>
    <row r="694" ht="22.5" customHeight="1">
      <c r="A694" s="73"/>
      <c r="B694" s="73"/>
      <c r="C694" s="73"/>
      <c r="D694" s="73"/>
      <c r="E694" s="330"/>
      <c r="F694" s="118"/>
      <c r="G694" s="118"/>
      <c r="H694" s="118"/>
      <c r="I694" s="118"/>
      <c r="J694" s="119"/>
      <c r="K694" s="120"/>
      <c r="L694" s="120"/>
      <c r="M694" s="120"/>
      <c r="N694" s="120"/>
      <c r="O694" s="118"/>
      <c r="P694" s="120"/>
      <c r="Q694" s="121"/>
      <c r="R694" s="109" t="b">
        <v>0</v>
      </c>
      <c r="S694" s="143" t="str">
        <f t="shared" si="1"/>
        <v>Suspenso</v>
      </c>
      <c r="T694" s="118"/>
      <c r="U694" s="118"/>
      <c r="V694" s="118"/>
      <c r="W694" s="118"/>
      <c r="X694" s="118"/>
      <c r="Y694" s="118"/>
      <c r="Z694" s="118"/>
      <c r="AA694" s="118"/>
      <c r="AB694" s="118"/>
      <c r="AC694" s="118"/>
      <c r="AD694" s="111"/>
      <c r="AE694" s="73"/>
      <c r="AF694" s="73"/>
    </row>
    <row r="695" ht="22.5" customHeight="1">
      <c r="A695" s="73"/>
      <c r="B695" s="73"/>
      <c r="C695" s="73"/>
      <c r="D695" s="73"/>
      <c r="E695" s="330"/>
      <c r="F695" s="118"/>
      <c r="G695" s="118"/>
      <c r="H695" s="118"/>
      <c r="I695" s="118"/>
      <c r="J695" s="119"/>
      <c r="K695" s="120"/>
      <c r="L695" s="120"/>
      <c r="M695" s="120"/>
      <c r="N695" s="120"/>
      <c r="O695" s="118"/>
      <c r="P695" s="120"/>
      <c r="Q695" s="121"/>
      <c r="R695" s="109" t="b">
        <v>0</v>
      </c>
      <c r="S695" s="143" t="str">
        <f t="shared" si="1"/>
        <v>Suspenso</v>
      </c>
      <c r="T695" s="118"/>
      <c r="U695" s="118"/>
      <c r="V695" s="118"/>
      <c r="W695" s="118"/>
      <c r="X695" s="118"/>
      <c r="Y695" s="118"/>
      <c r="Z695" s="118"/>
      <c r="AA695" s="118"/>
      <c r="AB695" s="118"/>
      <c r="AC695" s="118"/>
      <c r="AD695" s="111"/>
      <c r="AE695" s="73"/>
      <c r="AF695" s="73"/>
    </row>
    <row r="696" ht="22.5" customHeight="1">
      <c r="A696" s="73"/>
      <c r="B696" s="73"/>
      <c r="C696" s="73"/>
      <c r="D696" s="73"/>
      <c r="E696" s="330"/>
      <c r="F696" s="118"/>
      <c r="G696" s="118"/>
      <c r="H696" s="118"/>
      <c r="I696" s="118"/>
      <c r="J696" s="119"/>
      <c r="K696" s="120"/>
      <c r="L696" s="120"/>
      <c r="M696" s="120"/>
      <c r="N696" s="120"/>
      <c r="O696" s="118"/>
      <c r="P696" s="120"/>
      <c r="Q696" s="121"/>
      <c r="R696" s="109" t="b">
        <v>0</v>
      </c>
      <c r="S696" s="143" t="str">
        <f t="shared" si="1"/>
        <v>Suspenso</v>
      </c>
      <c r="T696" s="118"/>
      <c r="U696" s="118"/>
      <c r="V696" s="118"/>
      <c r="W696" s="118"/>
      <c r="X696" s="118"/>
      <c r="Y696" s="118"/>
      <c r="Z696" s="118"/>
      <c r="AA696" s="118"/>
      <c r="AB696" s="118"/>
      <c r="AC696" s="118"/>
      <c r="AD696" s="111"/>
      <c r="AE696" s="73"/>
      <c r="AF696" s="73"/>
    </row>
    <row r="697" ht="22.5" customHeight="1">
      <c r="A697" s="73"/>
      <c r="B697" s="73"/>
      <c r="C697" s="73"/>
      <c r="D697" s="73"/>
      <c r="E697" s="330"/>
      <c r="F697" s="118"/>
      <c r="G697" s="118"/>
      <c r="H697" s="118"/>
      <c r="I697" s="118"/>
      <c r="J697" s="119"/>
      <c r="K697" s="120"/>
      <c r="L697" s="120"/>
      <c r="M697" s="120"/>
      <c r="N697" s="120"/>
      <c r="O697" s="118"/>
      <c r="P697" s="120"/>
      <c r="Q697" s="121"/>
      <c r="R697" s="109" t="b">
        <v>0</v>
      </c>
      <c r="S697" s="143" t="str">
        <f t="shared" si="1"/>
        <v>Suspenso</v>
      </c>
      <c r="T697" s="118"/>
      <c r="U697" s="118"/>
      <c r="V697" s="118"/>
      <c r="W697" s="118"/>
      <c r="X697" s="118"/>
      <c r="Y697" s="118"/>
      <c r="Z697" s="118"/>
      <c r="AA697" s="118"/>
      <c r="AB697" s="118"/>
      <c r="AC697" s="118"/>
      <c r="AD697" s="111"/>
      <c r="AE697" s="73"/>
      <c r="AF697" s="73"/>
    </row>
    <row r="698" ht="22.5" customHeight="1">
      <c r="A698" s="73"/>
      <c r="B698" s="73"/>
      <c r="C698" s="73"/>
      <c r="D698" s="73"/>
      <c r="E698" s="330"/>
      <c r="F698" s="118"/>
      <c r="G698" s="118"/>
      <c r="H698" s="118"/>
      <c r="I698" s="118"/>
      <c r="J698" s="119"/>
      <c r="K698" s="120"/>
      <c r="L698" s="120"/>
      <c r="M698" s="120"/>
      <c r="N698" s="120"/>
      <c r="O698" s="118"/>
      <c r="P698" s="120"/>
      <c r="Q698" s="121"/>
      <c r="R698" s="109" t="b">
        <v>0</v>
      </c>
      <c r="S698" s="143" t="str">
        <f t="shared" si="1"/>
        <v>Suspenso</v>
      </c>
      <c r="T698" s="118"/>
      <c r="U698" s="118"/>
      <c r="V698" s="118"/>
      <c r="W698" s="118"/>
      <c r="X698" s="118"/>
      <c r="Y698" s="118"/>
      <c r="Z698" s="118"/>
      <c r="AA698" s="118"/>
      <c r="AB698" s="118"/>
      <c r="AC698" s="118"/>
      <c r="AD698" s="111"/>
      <c r="AE698" s="73"/>
      <c r="AF698" s="73"/>
    </row>
    <row r="699" ht="22.5" customHeight="1">
      <c r="A699" s="73"/>
      <c r="B699" s="73"/>
      <c r="C699" s="73"/>
      <c r="D699" s="73"/>
      <c r="E699" s="330"/>
      <c r="F699" s="118"/>
      <c r="G699" s="118"/>
      <c r="H699" s="118"/>
      <c r="I699" s="118"/>
      <c r="J699" s="119"/>
      <c r="K699" s="120"/>
      <c r="L699" s="120"/>
      <c r="M699" s="120"/>
      <c r="N699" s="120"/>
      <c r="O699" s="118"/>
      <c r="P699" s="120"/>
      <c r="Q699" s="121"/>
      <c r="R699" s="109" t="b">
        <v>0</v>
      </c>
      <c r="S699" s="143" t="str">
        <f t="shared" si="1"/>
        <v>Suspenso</v>
      </c>
      <c r="T699" s="118"/>
      <c r="U699" s="118"/>
      <c r="V699" s="118"/>
      <c r="W699" s="118"/>
      <c r="X699" s="118"/>
      <c r="Y699" s="118"/>
      <c r="Z699" s="118"/>
      <c r="AA699" s="118"/>
      <c r="AB699" s="118"/>
      <c r="AC699" s="118"/>
      <c r="AD699" s="111"/>
      <c r="AE699" s="73"/>
      <c r="AF699" s="73"/>
    </row>
    <row r="700" ht="22.5" customHeight="1">
      <c r="A700" s="73"/>
      <c r="B700" s="73"/>
      <c r="C700" s="73"/>
      <c r="D700" s="73"/>
      <c r="E700" s="330"/>
      <c r="F700" s="118"/>
      <c r="G700" s="118"/>
      <c r="H700" s="118"/>
      <c r="I700" s="118"/>
      <c r="J700" s="119"/>
      <c r="K700" s="120"/>
      <c r="L700" s="120"/>
      <c r="M700" s="120"/>
      <c r="N700" s="120"/>
      <c r="O700" s="118"/>
      <c r="P700" s="120"/>
      <c r="Q700" s="121"/>
      <c r="R700" s="109" t="b">
        <v>0</v>
      </c>
      <c r="S700" s="143" t="str">
        <f t="shared" si="1"/>
        <v>Suspenso</v>
      </c>
      <c r="T700" s="118"/>
      <c r="U700" s="118"/>
      <c r="V700" s="118"/>
      <c r="W700" s="118"/>
      <c r="X700" s="118"/>
      <c r="Y700" s="118"/>
      <c r="Z700" s="118"/>
      <c r="AA700" s="118"/>
      <c r="AB700" s="118"/>
      <c r="AC700" s="118"/>
      <c r="AD700" s="111"/>
      <c r="AE700" s="73"/>
      <c r="AF700" s="73"/>
    </row>
    <row r="701" ht="22.5" customHeight="1">
      <c r="A701" s="73"/>
      <c r="B701" s="73"/>
      <c r="C701" s="73"/>
      <c r="D701" s="73"/>
      <c r="E701" s="330"/>
      <c r="F701" s="118"/>
      <c r="G701" s="118"/>
      <c r="H701" s="118"/>
      <c r="I701" s="118"/>
      <c r="J701" s="119"/>
      <c r="K701" s="120"/>
      <c r="L701" s="120"/>
      <c r="M701" s="120"/>
      <c r="N701" s="120"/>
      <c r="O701" s="118"/>
      <c r="P701" s="120"/>
      <c r="Q701" s="121"/>
      <c r="R701" s="109" t="b">
        <v>0</v>
      </c>
      <c r="S701" s="143" t="str">
        <f t="shared" si="1"/>
        <v>Suspenso</v>
      </c>
      <c r="T701" s="118"/>
      <c r="U701" s="118"/>
      <c r="V701" s="118"/>
      <c r="W701" s="118"/>
      <c r="X701" s="118"/>
      <c r="Y701" s="118"/>
      <c r="Z701" s="118"/>
      <c r="AA701" s="118"/>
      <c r="AB701" s="118"/>
      <c r="AC701" s="118"/>
      <c r="AD701" s="111"/>
      <c r="AE701" s="73"/>
      <c r="AF701" s="73"/>
    </row>
    <row r="702" ht="22.5" customHeight="1">
      <c r="A702" s="73"/>
      <c r="B702" s="73"/>
      <c r="C702" s="73"/>
      <c r="D702" s="73"/>
      <c r="E702" s="330"/>
      <c r="F702" s="118"/>
      <c r="G702" s="118"/>
      <c r="H702" s="118"/>
      <c r="I702" s="118"/>
      <c r="J702" s="119"/>
      <c r="K702" s="120"/>
      <c r="L702" s="120"/>
      <c r="M702" s="120"/>
      <c r="N702" s="120"/>
      <c r="O702" s="118"/>
      <c r="P702" s="120"/>
      <c r="Q702" s="121"/>
      <c r="R702" s="109" t="b">
        <v>0</v>
      </c>
      <c r="S702" s="143" t="str">
        <f t="shared" si="1"/>
        <v>Suspenso</v>
      </c>
      <c r="T702" s="118"/>
      <c r="U702" s="118"/>
      <c r="V702" s="118"/>
      <c r="W702" s="118"/>
      <c r="X702" s="118"/>
      <c r="Y702" s="118"/>
      <c r="Z702" s="118"/>
      <c r="AA702" s="118"/>
      <c r="AB702" s="118"/>
      <c r="AC702" s="118"/>
      <c r="AD702" s="111"/>
      <c r="AE702" s="73"/>
      <c r="AF702" s="73"/>
    </row>
    <row r="703" ht="22.5" customHeight="1">
      <c r="A703" s="73"/>
      <c r="B703" s="73"/>
      <c r="C703" s="73"/>
      <c r="D703" s="73"/>
      <c r="E703" s="330"/>
      <c r="F703" s="118"/>
      <c r="G703" s="118"/>
      <c r="H703" s="118"/>
      <c r="I703" s="118"/>
      <c r="J703" s="119"/>
      <c r="K703" s="120"/>
      <c r="L703" s="120"/>
      <c r="M703" s="120"/>
      <c r="N703" s="120"/>
      <c r="O703" s="118"/>
      <c r="P703" s="120"/>
      <c r="Q703" s="121"/>
      <c r="R703" s="109" t="b">
        <v>0</v>
      </c>
      <c r="S703" s="143" t="str">
        <f t="shared" si="1"/>
        <v>Suspenso</v>
      </c>
      <c r="T703" s="118"/>
      <c r="U703" s="118"/>
      <c r="V703" s="118"/>
      <c r="W703" s="118"/>
      <c r="X703" s="118"/>
      <c r="Y703" s="118"/>
      <c r="Z703" s="118"/>
      <c r="AA703" s="118"/>
      <c r="AB703" s="118"/>
      <c r="AC703" s="118"/>
      <c r="AD703" s="111"/>
      <c r="AE703" s="73"/>
      <c r="AF703" s="73"/>
    </row>
    <row r="704" ht="22.5" customHeight="1">
      <c r="A704" s="73"/>
      <c r="B704" s="73"/>
      <c r="C704" s="73"/>
      <c r="D704" s="73"/>
      <c r="E704" s="330"/>
      <c r="F704" s="118"/>
      <c r="G704" s="118"/>
      <c r="H704" s="118"/>
      <c r="I704" s="118"/>
      <c r="J704" s="119"/>
      <c r="K704" s="120"/>
      <c r="L704" s="120"/>
      <c r="M704" s="120"/>
      <c r="N704" s="120"/>
      <c r="O704" s="118"/>
      <c r="P704" s="120"/>
      <c r="Q704" s="121"/>
      <c r="R704" s="109" t="b">
        <v>0</v>
      </c>
      <c r="S704" s="143" t="str">
        <f t="shared" si="1"/>
        <v>Suspenso</v>
      </c>
      <c r="T704" s="118"/>
      <c r="U704" s="118"/>
      <c r="V704" s="118"/>
      <c r="W704" s="118"/>
      <c r="X704" s="118"/>
      <c r="Y704" s="118"/>
      <c r="Z704" s="118"/>
      <c r="AA704" s="118"/>
      <c r="AB704" s="118"/>
      <c r="AC704" s="118"/>
      <c r="AD704" s="111"/>
      <c r="AE704" s="73"/>
      <c r="AF704" s="73"/>
    </row>
    <row r="705" ht="22.5" customHeight="1">
      <c r="A705" s="73"/>
      <c r="B705" s="73"/>
      <c r="C705" s="73"/>
      <c r="D705" s="73"/>
      <c r="E705" s="330"/>
      <c r="F705" s="118"/>
      <c r="G705" s="118"/>
      <c r="H705" s="118"/>
      <c r="I705" s="118"/>
      <c r="J705" s="119"/>
      <c r="K705" s="120"/>
      <c r="L705" s="120"/>
      <c r="M705" s="120"/>
      <c r="N705" s="120"/>
      <c r="O705" s="118"/>
      <c r="P705" s="120"/>
      <c r="Q705" s="121"/>
      <c r="R705" s="109" t="b">
        <v>0</v>
      </c>
      <c r="S705" s="143" t="str">
        <f t="shared" si="1"/>
        <v>Suspenso</v>
      </c>
      <c r="T705" s="118"/>
      <c r="U705" s="118"/>
      <c r="V705" s="118"/>
      <c r="W705" s="118"/>
      <c r="X705" s="118"/>
      <c r="Y705" s="118"/>
      <c r="Z705" s="118"/>
      <c r="AA705" s="118"/>
      <c r="AB705" s="118"/>
      <c r="AC705" s="118"/>
      <c r="AD705" s="111"/>
      <c r="AE705" s="73"/>
      <c r="AF705" s="73"/>
    </row>
    <row r="706" ht="22.5" customHeight="1">
      <c r="A706" s="73"/>
      <c r="B706" s="73"/>
      <c r="C706" s="73"/>
      <c r="D706" s="73"/>
      <c r="E706" s="330"/>
      <c r="F706" s="118"/>
      <c r="G706" s="118"/>
      <c r="H706" s="118"/>
      <c r="I706" s="118"/>
      <c r="J706" s="119"/>
      <c r="K706" s="120"/>
      <c r="L706" s="120"/>
      <c r="M706" s="120"/>
      <c r="N706" s="120"/>
      <c r="O706" s="118"/>
      <c r="P706" s="120"/>
      <c r="Q706" s="121"/>
      <c r="R706" s="109" t="b">
        <v>0</v>
      </c>
      <c r="S706" s="143" t="str">
        <f t="shared" si="1"/>
        <v>Suspenso</v>
      </c>
      <c r="T706" s="118"/>
      <c r="U706" s="118"/>
      <c r="V706" s="118"/>
      <c r="W706" s="118"/>
      <c r="X706" s="118"/>
      <c r="Y706" s="118"/>
      <c r="Z706" s="118"/>
      <c r="AA706" s="118"/>
      <c r="AB706" s="118"/>
      <c r="AC706" s="118"/>
      <c r="AD706" s="111"/>
      <c r="AE706" s="73"/>
      <c r="AF706" s="73"/>
    </row>
    <row r="707" ht="22.5" customHeight="1">
      <c r="A707" s="73"/>
      <c r="B707" s="73"/>
      <c r="C707" s="73"/>
      <c r="D707" s="73"/>
      <c r="E707" s="330"/>
      <c r="F707" s="118"/>
      <c r="G707" s="118"/>
      <c r="H707" s="118"/>
      <c r="I707" s="118"/>
      <c r="J707" s="119"/>
      <c r="K707" s="120"/>
      <c r="L707" s="120"/>
      <c r="M707" s="120"/>
      <c r="N707" s="120"/>
      <c r="O707" s="118"/>
      <c r="P707" s="120"/>
      <c r="Q707" s="121"/>
      <c r="R707" s="109" t="b">
        <v>0</v>
      </c>
      <c r="S707" s="143" t="str">
        <f t="shared" si="1"/>
        <v>Suspenso</v>
      </c>
      <c r="T707" s="118"/>
      <c r="U707" s="118"/>
      <c r="V707" s="118"/>
      <c r="W707" s="118"/>
      <c r="X707" s="118"/>
      <c r="Y707" s="118"/>
      <c r="Z707" s="118"/>
      <c r="AA707" s="118"/>
      <c r="AB707" s="118"/>
      <c r="AC707" s="118"/>
      <c r="AD707" s="111"/>
      <c r="AE707" s="73"/>
      <c r="AF707" s="73"/>
    </row>
    <row r="708" ht="22.5" customHeight="1">
      <c r="A708" s="73"/>
      <c r="B708" s="73"/>
      <c r="C708" s="73"/>
      <c r="D708" s="73"/>
      <c r="E708" s="330"/>
      <c r="F708" s="118"/>
      <c r="G708" s="118"/>
      <c r="H708" s="118"/>
      <c r="I708" s="118"/>
      <c r="J708" s="119"/>
      <c r="K708" s="120"/>
      <c r="L708" s="120"/>
      <c r="M708" s="120"/>
      <c r="N708" s="120"/>
      <c r="O708" s="118"/>
      <c r="P708" s="120"/>
      <c r="Q708" s="121"/>
      <c r="R708" s="109" t="b">
        <v>0</v>
      </c>
      <c r="S708" s="143" t="str">
        <f t="shared" si="1"/>
        <v>Suspenso</v>
      </c>
      <c r="T708" s="118"/>
      <c r="U708" s="118"/>
      <c r="V708" s="118"/>
      <c r="W708" s="118"/>
      <c r="X708" s="118"/>
      <c r="Y708" s="118"/>
      <c r="Z708" s="118"/>
      <c r="AA708" s="118"/>
      <c r="AB708" s="118"/>
      <c r="AC708" s="118"/>
      <c r="AD708" s="111"/>
      <c r="AE708" s="73"/>
      <c r="AF708" s="73"/>
    </row>
    <row r="709" ht="22.5" customHeight="1">
      <c r="A709" s="73"/>
      <c r="B709" s="73"/>
      <c r="C709" s="73"/>
      <c r="D709" s="73"/>
      <c r="E709" s="330"/>
      <c r="F709" s="118"/>
      <c r="G709" s="118"/>
      <c r="H709" s="118"/>
      <c r="I709" s="118"/>
      <c r="J709" s="119"/>
      <c r="K709" s="120"/>
      <c r="L709" s="120"/>
      <c r="M709" s="120"/>
      <c r="N709" s="120"/>
      <c r="O709" s="118"/>
      <c r="P709" s="120"/>
      <c r="Q709" s="121"/>
      <c r="R709" s="109" t="b">
        <v>0</v>
      </c>
      <c r="S709" s="143" t="str">
        <f t="shared" si="1"/>
        <v>Suspenso</v>
      </c>
      <c r="T709" s="118"/>
      <c r="U709" s="118"/>
      <c r="V709" s="118"/>
      <c r="W709" s="118"/>
      <c r="X709" s="118"/>
      <c r="Y709" s="118"/>
      <c r="Z709" s="118"/>
      <c r="AA709" s="118"/>
      <c r="AB709" s="118"/>
      <c r="AC709" s="118"/>
      <c r="AD709" s="111"/>
      <c r="AE709" s="73"/>
      <c r="AF709" s="73"/>
    </row>
    <row r="710" ht="22.5" customHeight="1">
      <c r="A710" s="73"/>
      <c r="B710" s="73"/>
      <c r="C710" s="73"/>
      <c r="D710" s="73"/>
      <c r="E710" s="330"/>
      <c r="F710" s="118"/>
      <c r="G710" s="118"/>
      <c r="H710" s="118"/>
      <c r="I710" s="118"/>
      <c r="J710" s="119"/>
      <c r="K710" s="120"/>
      <c r="L710" s="120"/>
      <c r="M710" s="120"/>
      <c r="N710" s="120"/>
      <c r="O710" s="118"/>
      <c r="P710" s="120"/>
      <c r="Q710" s="121"/>
      <c r="R710" s="109" t="b">
        <v>0</v>
      </c>
      <c r="S710" s="143" t="str">
        <f t="shared" si="1"/>
        <v>Suspenso</v>
      </c>
      <c r="T710" s="118"/>
      <c r="U710" s="118"/>
      <c r="V710" s="118"/>
      <c r="W710" s="118"/>
      <c r="X710" s="118"/>
      <c r="Y710" s="118"/>
      <c r="Z710" s="118"/>
      <c r="AA710" s="118"/>
      <c r="AB710" s="118"/>
      <c r="AC710" s="118"/>
      <c r="AD710" s="111"/>
      <c r="AE710" s="73"/>
      <c r="AF710" s="73"/>
    </row>
    <row r="711" ht="22.5" customHeight="1">
      <c r="A711" s="73"/>
      <c r="B711" s="73"/>
      <c r="C711" s="73"/>
      <c r="D711" s="73"/>
      <c r="E711" s="330"/>
      <c r="F711" s="118"/>
      <c r="G711" s="118"/>
      <c r="H711" s="118"/>
      <c r="I711" s="118"/>
      <c r="J711" s="119"/>
      <c r="K711" s="120"/>
      <c r="L711" s="120"/>
      <c r="M711" s="120"/>
      <c r="N711" s="120"/>
      <c r="O711" s="118"/>
      <c r="P711" s="120"/>
      <c r="Q711" s="121"/>
      <c r="R711" s="109" t="b">
        <v>0</v>
      </c>
      <c r="S711" s="143" t="str">
        <f t="shared" si="1"/>
        <v>Suspenso</v>
      </c>
      <c r="T711" s="118"/>
      <c r="U711" s="118"/>
      <c r="V711" s="118"/>
      <c r="W711" s="118"/>
      <c r="X711" s="118"/>
      <c r="Y711" s="118"/>
      <c r="Z711" s="118"/>
      <c r="AA711" s="118"/>
      <c r="AB711" s="118"/>
      <c r="AC711" s="118"/>
      <c r="AD711" s="111"/>
      <c r="AE711" s="73"/>
      <c r="AF711" s="73"/>
    </row>
    <row r="712" ht="22.5" customHeight="1">
      <c r="A712" s="73"/>
      <c r="B712" s="73"/>
      <c r="C712" s="73"/>
      <c r="D712" s="73"/>
      <c r="E712" s="330"/>
      <c r="F712" s="118"/>
      <c r="G712" s="118"/>
      <c r="H712" s="118"/>
      <c r="I712" s="118"/>
      <c r="J712" s="119"/>
      <c r="K712" s="120"/>
      <c r="L712" s="120"/>
      <c r="M712" s="120"/>
      <c r="N712" s="120"/>
      <c r="O712" s="118"/>
      <c r="P712" s="120"/>
      <c r="Q712" s="121"/>
      <c r="R712" s="109" t="b">
        <v>0</v>
      </c>
      <c r="S712" s="143" t="str">
        <f t="shared" si="1"/>
        <v>Suspenso</v>
      </c>
      <c r="T712" s="118"/>
      <c r="U712" s="118"/>
      <c r="V712" s="118"/>
      <c r="W712" s="118"/>
      <c r="X712" s="118"/>
      <c r="Y712" s="118"/>
      <c r="Z712" s="118"/>
      <c r="AA712" s="118"/>
      <c r="AB712" s="118"/>
      <c r="AC712" s="118"/>
      <c r="AD712" s="111"/>
      <c r="AE712" s="73"/>
      <c r="AF712" s="73"/>
    </row>
    <row r="713" ht="22.5" customHeight="1">
      <c r="A713" s="73"/>
      <c r="B713" s="73"/>
      <c r="C713" s="73"/>
      <c r="D713" s="73"/>
      <c r="E713" s="330"/>
      <c r="F713" s="118"/>
      <c r="G713" s="118"/>
      <c r="H713" s="118"/>
      <c r="I713" s="118"/>
      <c r="J713" s="119"/>
      <c r="K713" s="120"/>
      <c r="L713" s="120"/>
      <c r="M713" s="120"/>
      <c r="N713" s="120"/>
      <c r="O713" s="118"/>
      <c r="P713" s="120"/>
      <c r="Q713" s="121"/>
      <c r="R713" s="109" t="b">
        <v>0</v>
      </c>
      <c r="S713" s="143" t="str">
        <f t="shared" si="1"/>
        <v>Suspenso</v>
      </c>
      <c r="T713" s="118"/>
      <c r="U713" s="118"/>
      <c r="V713" s="118"/>
      <c r="W713" s="118"/>
      <c r="X713" s="118"/>
      <c r="Y713" s="118"/>
      <c r="Z713" s="118"/>
      <c r="AA713" s="118"/>
      <c r="AB713" s="118"/>
      <c r="AC713" s="118"/>
      <c r="AD713" s="111"/>
      <c r="AE713" s="73"/>
      <c r="AF713" s="73"/>
    </row>
    <row r="714" ht="22.5" customHeight="1">
      <c r="A714" s="73"/>
      <c r="B714" s="73"/>
      <c r="C714" s="73"/>
      <c r="D714" s="73"/>
      <c r="E714" s="330"/>
      <c r="F714" s="118"/>
      <c r="G714" s="118"/>
      <c r="H714" s="118"/>
      <c r="I714" s="118"/>
      <c r="J714" s="119"/>
      <c r="K714" s="120"/>
      <c r="L714" s="120"/>
      <c r="M714" s="120"/>
      <c r="N714" s="120"/>
      <c r="O714" s="118"/>
      <c r="P714" s="120"/>
      <c r="Q714" s="121"/>
      <c r="R714" s="109" t="b">
        <v>0</v>
      </c>
      <c r="S714" s="143" t="str">
        <f t="shared" si="1"/>
        <v>Suspenso</v>
      </c>
      <c r="T714" s="118"/>
      <c r="U714" s="118"/>
      <c r="V714" s="118"/>
      <c r="W714" s="118"/>
      <c r="X714" s="118"/>
      <c r="Y714" s="118"/>
      <c r="Z714" s="118"/>
      <c r="AA714" s="118"/>
      <c r="AB714" s="118"/>
      <c r="AC714" s="118"/>
      <c r="AD714" s="111"/>
      <c r="AE714" s="73"/>
      <c r="AF714" s="73"/>
    </row>
    <row r="715" ht="22.5" customHeight="1">
      <c r="A715" s="73"/>
      <c r="B715" s="73"/>
      <c r="C715" s="73"/>
      <c r="D715" s="73"/>
      <c r="E715" s="330"/>
      <c r="F715" s="118"/>
      <c r="G715" s="118"/>
      <c r="H715" s="118"/>
      <c r="I715" s="118"/>
      <c r="J715" s="119"/>
      <c r="K715" s="120"/>
      <c r="L715" s="120"/>
      <c r="M715" s="120"/>
      <c r="N715" s="120"/>
      <c r="O715" s="118"/>
      <c r="P715" s="120"/>
      <c r="Q715" s="121"/>
      <c r="R715" s="109" t="b">
        <v>0</v>
      </c>
      <c r="S715" s="143" t="str">
        <f t="shared" si="1"/>
        <v>Suspenso</v>
      </c>
      <c r="T715" s="118"/>
      <c r="U715" s="118"/>
      <c r="V715" s="118"/>
      <c r="W715" s="118"/>
      <c r="X715" s="118"/>
      <c r="Y715" s="118"/>
      <c r="Z715" s="118"/>
      <c r="AA715" s="118"/>
      <c r="AB715" s="118"/>
      <c r="AC715" s="118"/>
      <c r="AD715" s="111"/>
      <c r="AE715" s="73"/>
      <c r="AF715" s="73"/>
    </row>
    <row r="716" ht="22.5" customHeight="1">
      <c r="A716" s="73"/>
      <c r="B716" s="73"/>
      <c r="C716" s="73"/>
      <c r="D716" s="73"/>
      <c r="E716" s="330"/>
      <c r="F716" s="118"/>
      <c r="G716" s="118"/>
      <c r="H716" s="118"/>
      <c r="I716" s="118"/>
      <c r="J716" s="119"/>
      <c r="K716" s="120"/>
      <c r="L716" s="120"/>
      <c r="M716" s="120"/>
      <c r="N716" s="120"/>
      <c r="O716" s="118"/>
      <c r="P716" s="120"/>
      <c r="Q716" s="121"/>
      <c r="R716" s="109" t="b">
        <v>0</v>
      </c>
      <c r="S716" s="143" t="str">
        <f t="shared" si="1"/>
        <v>Suspenso</v>
      </c>
      <c r="T716" s="118"/>
      <c r="U716" s="118"/>
      <c r="V716" s="118"/>
      <c r="W716" s="118"/>
      <c r="X716" s="118"/>
      <c r="Y716" s="118"/>
      <c r="Z716" s="118"/>
      <c r="AA716" s="118"/>
      <c r="AB716" s="118"/>
      <c r="AC716" s="118"/>
      <c r="AD716" s="111"/>
      <c r="AE716" s="73"/>
      <c r="AF716" s="73"/>
    </row>
    <row r="717" ht="22.5" customHeight="1">
      <c r="A717" s="73"/>
      <c r="B717" s="73"/>
      <c r="C717" s="73"/>
      <c r="D717" s="73"/>
      <c r="E717" s="330"/>
      <c r="F717" s="118"/>
      <c r="G717" s="118"/>
      <c r="H717" s="118"/>
      <c r="I717" s="118"/>
      <c r="J717" s="119"/>
      <c r="K717" s="120"/>
      <c r="L717" s="120"/>
      <c r="M717" s="120"/>
      <c r="N717" s="120"/>
      <c r="O717" s="118"/>
      <c r="P717" s="120"/>
      <c r="Q717" s="121"/>
      <c r="R717" s="109" t="b">
        <v>0</v>
      </c>
      <c r="S717" s="143" t="str">
        <f t="shared" si="1"/>
        <v>Suspenso</v>
      </c>
      <c r="T717" s="118"/>
      <c r="U717" s="118"/>
      <c r="V717" s="118"/>
      <c r="W717" s="118"/>
      <c r="X717" s="118"/>
      <c r="Y717" s="118"/>
      <c r="Z717" s="118"/>
      <c r="AA717" s="118"/>
      <c r="AB717" s="118"/>
      <c r="AC717" s="118"/>
      <c r="AD717" s="111"/>
      <c r="AE717" s="73"/>
      <c r="AF717" s="73"/>
    </row>
    <row r="718" ht="22.5" customHeight="1">
      <c r="A718" s="73"/>
      <c r="B718" s="73"/>
      <c r="C718" s="73"/>
      <c r="D718" s="73"/>
      <c r="E718" s="330"/>
      <c r="F718" s="118"/>
      <c r="G718" s="118"/>
      <c r="H718" s="118"/>
      <c r="I718" s="118"/>
      <c r="J718" s="119"/>
      <c r="K718" s="120"/>
      <c r="L718" s="120"/>
      <c r="M718" s="120"/>
      <c r="N718" s="120"/>
      <c r="O718" s="118"/>
      <c r="P718" s="120"/>
      <c r="Q718" s="121"/>
      <c r="R718" s="109" t="b">
        <v>0</v>
      </c>
      <c r="S718" s="143" t="str">
        <f t="shared" si="1"/>
        <v>Suspenso</v>
      </c>
      <c r="T718" s="118"/>
      <c r="U718" s="118"/>
      <c r="V718" s="118"/>
      <c r="W718" s="118"/>
      <c r="X718" s="118"/>
      <c r="Y718" s="118"/>
      <c r="Z718" s="118"/>
      <c r="AA718" s="118"/>
      <c r="AB718" s="118"/>
      <c r="AC718" s="118"/>
      <c r="AD718" s="111"/>
      <c r="AE718" s="73"/>
      <c r="AF718" s="73"/>
    </row>
    <row r="719" ht="22.5" customHeight="1">
      <c r="A719" s="73"/>
      <c r="B719" s="73"/>
      <c r="C719" s="73"/>
      <c r="D719" s="73"/>
      <c r="E719" s="330"/>
      <c r="F719" s="118"/>
      <c r="G719" s="118"/>
      <c r="H719" s="118"/>
      <c r="I719" s="118"/>
      <c r="J719" s="119"/>
      <c r="K719" s="120"/>
      <c r="L719" s="120"/>
      <c r="M719" s="120"/>
      <c r="N719" s="120"/>
      <c r="O719" s="118"/>
      <c r="P719" s="120"/>
      <c r="Q719" s="121"/>
      <c r="R719" s="109" t="b">
        <v>0</v>
      </c>
      <c r="S719" s="143" t="str">
        <f t="shared" si="1"/>
        <v>Suspenso</v>
      </c>
      <c r="T719" s="118"/>
      <c r="U719" s="118"/>
      <c r="V719" s="118"/>
      <c r="W719" s="118"/>
      <c r="X719" s="118"/>
      <c r="Y719" s="118"/>
      <c r="Z719" s="118"/>
      <c r="AA719" s="118"/>
      <c r="AB719" s="118"/>
      <c r="AC719" s="118"/>
      <c r="AD719" s="111"/>
      <c r="AE719" s="73"/>
      <c r="AF719" s="73"/>
    </row>
    <row r="720" ht="22.5" customHeight="1">
      <c r="A720" s="73"/>
      <c r="B720" s="73"/>
      <c r="C720" s="73"/>
      <c r="D720" s="73"/>
      <c r="E720" s="330"/>
      <c r="F720" s="118"/>
      <c r="G720" s="118"/>
      <c r="H720" s="118"/>
      <c r="I720" s="118"/>
      <c r="J720" s="119"/>
      <c r="K720" s="120"/>
      <c r="L720" s="120"/>
      <c r="M720" s="120"/>
      <c r="N720" s="120"/>
      <c r="O720" s="118"/>
      <c r="P720" s="120"/>
      <c r="Q720" s="121"/>
      <c r="R720" s="109" t="b">
        <v>0</v>
      </c>
      <c r="S720" s="143" t="str">
        <f t="shared" si="1"/>
        <v>Suspenso</v>
      </c>
      <c r="T720" s="118"/>
      <c r="U720" s="118"/>
      <c r="V720" s="118"/>
      <c r="W720" s="118"/>
      <c r="X720" s="118"/>
      <c r="Y720" s="118"/>
      <c r="Z720" s="118"/>
      <c r="AA720" s="118"/>
      <c r="AB720" s="118"/>
      <c r="AC720" s="118"/>
      <c r="AD720" s="111"/>
      <c r="AE720" s="73"/>
      <c r="AF720" s="73"/>
    </row>
    <row r="721" ht="22.5" customHeight="1">
      <c r="A721" s="73"/>
      <c r="B721" s="73"/>
      <c r="C721" s="73"/>
      <c r="D721" s="73"/>
      <c r="E721" s="330"/>
      <c r="F721" s="118"/>
      <c r="G721" s="118"/>
      <c r="H721" s="118"/>
      <c r="I721" s="118"/>
      <c r="J721" s="119"/>
      <c r="K721" s="120"/>
      <c r="L721" s="120"/>
      <c r="M721" s="120"/>
      <c r="N721" s="120"/>
      <c r="O721" s="118"/>
      <c r="P721" s="120"/>
      <c r="Q721" s="121"/>
      <c r="R721" s="109" t="b">
        <v>0</v>
      </c>
      <c r="S721" s="143" t="str">
        <f t="shared" si="1"/>
        <v>Suspenso</v>
      </c>
      <c r="T721" s="118"/>
      <c r="U721" s="118"/>
      <c r="V721" s="118"/>
      <c r="W721" s="118"/>
      <c r="X721" s="118"/>
      <c r="Y721" s="118"/>
      <c r="Z721" s="118"/>
      <c r="AA721" s="118"/>
      <c r="AB721" s="118"/>
      <c r="AC721" s="118"/>
      <c r="AD721" s="111"/>
      <c r="AE721" s="73"/>
      <c r="AF721" s="73"/>
    </row>
    <row r="722" ht="22.5" customHeight="1">
      <c r="A722" s="73"/>
      <c r="B722" s="73"/>
      <c r="C722" s="73"/>
      <c r="D722" s="73"/>
      <c r="E722" s="330"/>
      <c r="F722" s="118"/>
      <c r="G722" s="118"/>
      <c r="H722" s="118"/>
      <c r="I722" s="118"/>
      <c r="J722" s="119"/>
      <c r="K722" s="120"/>
      <c r="L722" s="120"/>
      <c r="M722" s="120"/>
      <c r="N722" s="120"/>
      <c r="O722" s="118"/>
      <c r="P722" s="120"/>
      <c r="Q722" s="121"/>
      <c r="R722" s="109" t="b">
        <v>0</v>
      </c>
      <c r="S722" s="143" t="str">
        <f t="shared" si="1"/>
        <v>Suspenso</v>
      </c>
      <c r="T722" s="118"/>
      <c r="U722" s="118"/>
      <c r="V722" s="118"/>
      <c r="W722" s="118"/>
      <c r="X722" s="118"/>
      <c r="Y722" s="118"/>
      <c r="Z722" s="118"/>
      <c r="AA722" s="118"/>
      <c r="AB722" s="118"/>
      <c r="AC722" s="118"/>
      <c r="AD722" s="111"/>
      <c r="AE722" s="73"/>
      <c r="AF722" s="73"/>
    </row>
    <row r="723" ht="22.5" customHeight="1">
      <c r="A723" s="73"/>
      <c r="B723" s="73"/>
      <c r="C723" s="73"/>
      <c r="D723" s="73"/>
      <c r="E723" s="330"/>
      <c r="F723" s="118"/>
      <c r="G723" s="118"/>
      <c r="H723" s="118"/>
      <c r="I723" s="118"/>
      <c r="J723" s="119"/>
      <c r="K723" s="120"/>
      <c r="L723" s="120"/>
      <c r="M723" s="120"/>
      <c r="N723" s="120"/>
      <c r="O723" s="118"/>
      <c r="P723" s="120"/>
      <c r="Q723" s="121"/>
      <c r="R723" s="109" t="b">
        <v>0</v>
      </c>
      <c r="S723" s="143" t="str">
        <f t="shared" si="1"/>
        <v>Suspenso</v>
      </c>
      <c r="T723" s="118"/>
      <c r="U723" s="118"/>
      <c r="V723" s="118"/>
      <c r="W723" s="118"/>
      <c r="X723" s="118"/>
      <c r="Y723" s="118"/>
      <c r="Z723" s="118"/>
      <c r="AA723" s="118"/>
      <c r="AB723" s="118"/>
      <c r="AC723" s="118"/>
      <c r="AD723" s="111"/>
      <c r="AE723" s="73"/>
      <c r="AF723" s="73"/>
    </row>
    <row r="724" ht="22.5" customHeight="1">
      <c r="A724" s="73"/>
      <c r="B724" s="73"/>
      <c r="C724" s="73"/>
      <c r="D724" s="73"/>
      <c r="E724" s="330"/>
      <c r="F724" s="118"/>
      <c r="G724" s="118"/>
      <c r="H724" s="118"/>
      <c r="I724" s="118"/>
      <c r="J724" s="119"/>
      <c r="K724" s="120"/>
      <c r="L724" s="120"/>
      <c r="M724" s="120"/>
      <c r="N724" s="120"/>
      <c r="O724" s="118"/>
      <c r="P724" s="120"/>
      <c r="Q724" s="121"/>
      <c r="R724" s="109" t="b">
        <v>0</v>
      </c>
      <c r="S724" s="143" t="str">
        <f t="shared" si="1"/>
        <v>Suspenso</v>
      </c>
      <c r="T724" s="118"/>
      <c r="U724" s="118"/>
      <c r="V724" s="118"/>
      <c r="W724" s="118"/>
      <c r="X724" s="118"/>
      <c r="Y724" s="118"/>
      <c r="Z724" s="118"/>
      <c r="AA724" s="118"/>
      <c r="AB724" s="118"/>
      <c r="AC724" s="118"/>
      <c r="AD724" s="111"/>
      <c r="AE724" s="73"/>
      <c r="AF724" s="73"/>
    </row>
    <row r="725" ht="22.5" customHeight="1">
      <c r="A725" s="73"/>
      <c r="B725" s="73"/>
      <c r="C725" s="73"/>
      <c r="D725" s="73"/>
      <c r="E725" s="330"/>
      <c r="F725" s="118"/>
      <c r="G725" s="118"/>
      <c r="H725" s="118"/>
      <c r="I725" s="118"/>
      <c r="J725" s="119"/>
      <c r="K725" s="120"/>
      <c r="L725" s="120"/>
      <c r="M725" s="120"/>
      <c r="N725" s="120"/>
      <c r="O725" s="118"/>
      <c r="P725" s="120"/>
      <c r="Q725" s="121"/>
      <c r="R725" s="109" t="b">
        <v>0</v>
      </c>
      <c r="S725" s="143" t="str">
        <f t="shared" si="1"/>
        <v>Suspenso</v>
      </c>
      <c r="T725" s="118"/>
      <c r="U725" s="118"/>
      <c r="V725" s="118"/>
      <c r="W725" s="118"/>
      <c r="X725" s="118"/>
      <c r="Y725" s="118"/>
      <c r="Z725" s="118"/>
      <c r="AA725" s="118"/>
      <c r="AB725" s="118"/>
      <c r="AC725" s="118"/>
      <c r="AD725" s="111"/>
      <c r="AE725" s="73"/>
      <c r="AF725" s="73"/>
    </row>
    <row r="726" ht="22.5" customHeight="1">
      <c r="A726" s="73"/>
      <c r="B726" s="73"/>
      <c r="C726" s="73"/>
      <c r="D726" s="73"/>
      <c r="E726" s="330"/>
      <c r="F726" s="118"/>
      <c r="G726" s="118"/>
      <c r="H726" s="118"/>
      <c r="I726" s="118"/>
      <c r="J726" s="119"/>
      <c r="K726" s="120"/>
      <c r="L726" s="120"/>
      <c r="M726" s="120"/>
      <c r="N726" s="120"/>
      <c r="O726" s="118"/>
      <c r="P726" s="120"/>
      <c r="Q726" s="121"/>
      <c r="R726" s="109" t="b">
        <v>0</v>
      </c>
      <c r="S726" s="143" t="str">
        <f t="shared" si="1"/>
        <v>Suspenso</v>
      </c>
      <c r="T726" s="118"/>
      <c r="U726" s="118"/>
      <c r="V726" s="118"/>
      <c r="W726" s="118"/>
      <c r="X726" s="118"/>
      <c r="Y726" s="118"/>
      <c r="Z726" s="118"/>
      <c r="AA726" s="118"/>
      <c r="AB726" s="118"/>
      <c r="AC726" s="118"/>
      <c r="AD726" s="111"/>
      <c r="AE726" s="73"/>
      <c r="AF726" s="73"/>
    </row>
    <row r="727" ht="22.5" customHeight="1">
      <c r="A727" s="73"/>
      <c r="B727" s="73"/>
      <c r="C727" s="73"/>
      <c r="D727" s="73"/>
      <c r="E727" s="330"/>
      <c r="F727" s="118"/>
      <c r="G727" s="118"/>
      <c r="H727" s="118"/>
      <c r="I727" s="118"/>
      <c r="J727" s="119"/>
      <c r="K727" s="120"/>
      <c r="L727" s="120"/>
      <c r="M727" s="120"/>
      <c r="N727" s="120"/>
      <c r="O727" s="118"/>
      <c r="P727" s="120"/>
      <c r="Q727" s="121"/>
      <c r="R727" s="109" t="b">
        <v>0</v>
      </c>
      <c r="S727" s="143" t="str">
        <f t="shared" si="1"/>
        <v>Suspenso</v>
      </c>
      <c r="T727" s="118"/>
      <c r="U727" s="118"/>
      <c r="V727" s="118"/>
      <c r="W727" s="118"/>
      <c r="X727" s="118"/>
      <c r="Y727" s="118"/>
      <c r="Z727" s="118"/>
      <c r="AA727" s="118"/>
      <c r="AB727" s="118"/>
      <c r="AC727" s="118"/>
      <c r="AD727" s="111"/>
      <c r="AE727" s="73"/>
      <c r="AF727" s="73"/>
    </row>
    <row r="728" ht="22.5" customHeight="1">
      <c r="A728" s="73"/>
      <c r="B728" s="73"/>
      <c r="C728" s="73"/>
      <c r="D728" s="73"/>
      <c r="E728" s="330"/>
      <c r="F728" s="118"/>
      <c r="G728" s="118"/>
      <c r="H728" s="118"/>
      <c r="I728" s="118"/>
      <c r="J728" s="119"/>
      <c r="K728" s="120"/>
      <c r="L728" s="120"/>
      <c r="M728" s="120"/>
      <c r="N728" s="120"/>
      <c r="O728" s="118"/>
      <c r="P728" s="120"/>
      <c r="Q728" s="121"/>
      <c r="R728" s="109" t="b">
        <v>0</v>
      </c>
      <c r="S728" s="143" t="str">
        <f t="shared" si="1"/>
        <v>Suspenso</v>
      </c>
      <c r="T728" s="118"/>
      <c r="U728" s="118"/>
      <c r="V728" s="118"/>
      <c r="W728" s="118"/>
      <c r="X728" s="118"/>
      <c r="Y728" s="118"/>
      <c r="Z728" s="118"/>
      <c r="AA728" s="118"/>
      <c r="AB728" s="118"/>
      <c r="AC728" s="118"/>
      <c r="AD728" s="111"/>
      <c r="AE728" s="73"/>
      <c r="AF728" s="73"/>
    </row>
    <row r="729" ht="22.5" customHeight="1">
      <c r="A729" s="73"/>
      <c r="B729" s="73"/>
      <c r="C729" s="73"/>
      <c r="D729" s="73"/>
      <c r="E729" s="330"/>
      <c r="F729" s="118"/>
      <c r="G729" s="118"/>
      <c r="H729" s="118"/>
      <c r="I729" s="118"/>
      <c r="J729" s="119"/>
      <c r="K729" s="120"/>
      <c r="L729" s="120"/>
      <c r="M729" s="120"/>
      <c r="N729" s="120"/>
      <c r="O729" s="118"/>
      <c r="P729" s="120"/>
      <c r="Q729" s="121"/>
      <c r="R729" s="109" t="b">
        <v>0</v>
      </c>
      <c r="S729" s="143" t="str">
        <f t="shared" si="1"/>
        <v>Suspenso</v>
      </c>
      <c r="T729" s="118"/>
      <c r="U729" s="118"/>
      <c r="V729" s="118"/>
      <c r="W729" s="118"/>
      <c r="X729" s="118"/>
      <c r="Y729" s="118"/>
      <c r="Z729" s="118"/>
      <c r="AA729" s="118"/>
      <c r="AB729" s="118"/>
      <c r="AC729" s="118"/>
      <c r="AD729" s="111"/>
      <c r="AE729" s="73"/>
      <c r="AF729" s="73"/>
    </row>
    <row r="730" ht="22.5" customHeight="1">
      <c r="A730" s="73"/>
      <c r="B730" s="73"/>
      <c r="C730" s="73"/>
      <c r="D730" s="73"/>
      <c r="E730" s="330"/>
      <c r="F730" s="118"/>
      <c r="G730" s="118"/>
      <c r="H730" s="118"/>
      <c r="I730" s="118"/>
      <c r="J730" s="119"/>
      <c r="K730" s="120"/>
      <c r="L730" s="120"/>
      <c r="M730" s="120"/>
      <c r="N730" s="120"/>
      <c r="O730" s="118"/>
      <c r="P730" s="120"/>
      <c r="Q730" s="121"/>
      <c r="R730" s="109" t="b">
        <v>0</v>
      </c>
      <c r="S730" s="143" t="str">
        <f t="shared" si="1"/>
        <v>Suspenso</v>
      </c>
      <c r="T730" s="118"/>
      <c r="U730" s="118"/>
      <c r="V730" s="118"/>
      <c r="W730" s="118"/>
      <c r="X730" s="118"/>
      <c r="Y730" s="118"/>
      <c r="Z730" s="118"/>
      <c r="AA730" s="118"/>
      <c r="AB730" s="118"/>
      <c r="AC730" s="118"/>
      <c r="AD730" s="111"/>
      <c r="AE730" s="73"/>
      <c r="AF730" s="73"/>
    </row>
    <row r="731" ht="22.5" customHeight="1">
      <c r="A731" s="73"/>
      <c r="B731" s="73"/>
      <c r="C731" s="73"/>
      <c r="D731" s="73"/>
      <c r="E731" s="330"/>
      <c r="F731" s="118"/>
      <c r="G731" s="118"/>
      <c r="H731" s="118"/>
      <c r="I731" s="118"/>
      <c r="J731" s="119"/>
      <c r="K731" s="120"/>
      <c r="L731" s="120"/>
      <c r="M731" s="120"/>
      <c r="N731" s="120"/>
      <c r="O731" s="118"/>
      <c r="P731" s="120"/>
      <c r="Q731" s="121"/>
      <c r="R731" s="109" t="b">
        <v>0</v>
      </c>
      <c r="S731" s="143" t="str">
        <f t="shared" si="1"/>
        <v>Suspenso</v>
      </c>
      <c r="T731" s="118"/>
      <c r="U731" s="118"/>
      <c r="V731" s="118"/>
      <c r="W731" s="118"/>
      <c r="X731" s="118"/>
      <c r="Y731" s="118"/>
      <c r="Z731" s="118"/>
      <c r="AA731" s="118"/>
      <c r="AB731" s="118"/>
      <c r="AC731" s="118"/>
      <c r="AD731" s="111"/>
      <c r="AE731" s="73"/>
      <c r="AF731" s="73"/>
    </row>
    <row r="732" ht="22.5" customHeight="1">
      <c r="A732" s="73"/>
      <c r="B732" s="73"/>
      <c r="C732" s="73"/>
      <c r="D732" s="73"/>
      <c r="E732" s="330"/>
      <c r="F732" s="118"/>
      <c r="G732" s="118"/>
      <c r="H732" s="118"/>
      <c r="I732" s="118"/>
      <c r="J732" s="119"/>
      <c r="K732" s="120"/>
      <c r="L732" s="120"/>
      <c r="M732" s="120"/>
      <c r="N732" s="120"/>
      <c r="O732" s="118"/>
      <c r="P732" s="120"/>
      <c r="Q732" s="121"/>
      <c r="R732" s="109" t="b">
        <v>0</v>
      </c>
      <c r="S732" s="143" t="str">
        <f t="shared" si="1"/>
        <v>Suspenso</v>
      </c>
      <c r="T732" s="118"/>
      <c r="U732" s="118"/>
      <c r="V732" s="118"/>
      <c r="W732" s="118"/>
      <c r="X732" s="118"/>
      <c r="Y732" s="118"/>
      <c r="Z732" s="118"/>
      <c r="AA732" s="118"/>
      <c r="AB732" s="118"/>
      <c r="AC732" s="118"/>
      <c r="AD732" s="111"/>
      <c r="AE732" s="73"/>
      <c r="AF732" s="73"/>
    </row>
    <row r="733" ht="22.5" customHeight="1">
      <c r="A733" s="73"/>
      <c r="B733" s="73"/>
      <c r="C733" s="73"/>
      <c r="D733" s="73"/>
      <c r="E733" s="330"/>
      <c r="F733" s="118"/>
      <c r="G733" s="118"/>
      <c r="H733" s="118"/>
      <c r="I733" s="118"/>
      <c r="J733" s="119"/>
      <c r="K733" s="120"/>
      <c r="L733" s="120"/>
      <c r="M733" s="120"/>
      <c r="N733" s="120"/>
      <c r="O733" s="118"/>
      <c r="P733" s="120"/>
      <c r="Q733" s="121"/>
      <c r="R733" s="109" t="b">
        <v>0</v>
      </c>
      <c r="S733" s="143" t="str">
        <f t="shared" si="1"/>
        <v>Suspenso</v>
      </c>
      <c r="T733" s="118"/>
      <c r="U733" s="118"/>
      <c r="V733" s="118"/>
      <c r="W733" s="118"/>
      <c r="X733" s="118"/>
      <c r="Y733" s="118"/>
      <c r="Z733" s="118"/>
      <c r="AA733" s="118"/>
      <c r="AB733" s="118"/>
      <c r="AC733" s="118"/>
      <c r="AD733" s="111"/>
      <c r="AE733" s="73"/>
      <c r="AF733" s="73"/>
    </row>
    <row r="734" ht="22.5" customHeight="1">
      <c r="A734" s="73"/>
      <c r="B734" s="73"/>
      <c r="C734" s="73"/>
      <c r="D734" s="73"/>
      <c r="E734" s="330"/>
      <c r="F734" s="118"/>
      <c r="G734" s="118"/>
      <c r="H734" s="118"/>
      <c r="I734" s="118"/>
      <c r="J734" s="119"/>
      <c r="K734" s="120"/>
      <c r="L734" s="120"/>
      <c r="M734" s="120"/>
      <c r="N734" s="120"/>
      <c r="O734" s="118"/>
      <c r="P734" s="120"/>
      <c r="Q734" s="121"/>
      <c r="R734" s="109" t="b">
        <v>0</v>
      </c>
      <c r="S734" s="143" t="str">
        <f t="shared" si="1"/>
        <v>Suspenso</v>
      </c>
      <c r="T734" s="118"/>
      <c r="U734" s="118"/>
      <c r="V734" s="118"/>
      <c r="W734" s="118"/>
      <c r="X734" s="118"/>
      <c r="Y734" s="118"/>
      <c r="Z734" s="118"/>
      <c r="AA734" s="118"/>
      <c r="AB734" s="118"/>
      <c r="AC734" s="118"/>
      <c r="AD734" s="111"/>
      <c r="AE734" s="73"/>
      <c r="AF734" s="73"/>
    </row>
    <row r="735" ht="22.5" customHeight="1">
      <c r="A735" s="73"/>
      <c r="B735" s="73"/>
      <c r="C735" s="73"/>
      <c r="D735" s="73"/>
      <c r="E735" s="330"/>
      <c r="F735" s="118"/>
      <c r="G735" s="118"/>
      <c r="H735" s="118"/>
      <c r="I735" s="118"/>
      <c r="J735" s="119"/>
      <c r="K735" s="120"/>
      <c r="L735" s="120"/>
      <c r="M735" s="120"/>
      <c r="N735" s="120"/>
      <c r="O735" s="118"/>
      <c r="P735" s="120"/>
      <c r="Q735" s="121"/>
      <c r="R735" s="109" t="b">
        <v>0</v>
      </c>
      <c r="S735" s="143" t="str">
        <f t="shared" si="1"/>
        <v>Suspenso</v>
      </c>
      <c r="T735" s="118"/>
      <c r="U735" s="118"/>
      <c r="V735" s="118"/>
      <c r="W735" s="118"/>
      <c r="X735" s="118"/>
      <c r="Y735" s="118"/>
      <c r="Z735" s="118"/>
      <c r="AA735" s="118"/>
      <c r="AB735" s="118"/>
      <c r="AC735" s="118"/>
      <c r="AD735" s="111"/>
      <c r="AE735" s="73"/>
      <c r="AF735" s="73"/>
    </row>
    <row r="736" ht="22.5" customHeight="1">
      <c r="A736" s="73"/>
      <c r="B736" s="73"/>
      <c r="C736" s="73"/>
      <c r="D736" s="73"/>
      <c r="E736" s="330"/>
      <c r="F736" s="118"/>
      <c r="G736" s="118"/>
      <c r="H736" s="118"/>
      <c r="I736" s="118"/>
      <c r="J736" s="119"/>
      <c r="K736" s="120"/>
      <c r="L736" s="120"/>
      <c r="M736" s="120"/>
      <c r="N736" s="120"/>
      <c r="O736" s="118"/>
      <c r="P736" s="120"/>
      <c r="Q736" s="121"/>
      <c r="R736" s="109" t="b">
        <v>0</v>
      </c>
      <c r="S736" s="143" t="str">
        <f t="shared" si="1"/>
        <v>Suspenso</v>
      </c>
      <c r="T736" s="118"/>
      <c r="U736" s="118"/>
      <c r="V736" s="118"/>
      <c r="W736" s="118"/>
      <c r="X736" s="118"/>
      <c r="Y736" s="118"/>
      <c r="Z736" s="118"/>
      <c r="AA736" s="118"/>
      <c r="AB736" s="118"/>
      <c r="AC736" s="118"/>
      <c r="AD736" s="111"/>
      <c r="AE736" s="73"/>
      <c r="AF736" s="73"/>
    </row>
    <row r="737" ht="22.5" customHeight="1">
      <c r="A737" s="73"/>
      <c r="B737" s="73"/>
      <c r="C737" s="73"/>
      <c r="D737" s="73"/>
      <c r="E737" s="330"/>
      <c r="F737" s="118"/>
      <c r="G737" s="118"/>
      <c r="H737" s="118"/>
      <c r="I737" s="118"/>
      <c r="J737" s="119"/>
      <c r="K737" s="120"/>
      <c r="L737" s="120"/>
      <c r="M737" s="120"/>
      <c r="N737" s="120"/>
      <c r="O737" s="118"/>
      <c r="P737" s="120"/>
      <c r="Q737" s="121"/>
      <c r="R737" s="109" t="b">
        <v>0</v>
      </c>
      <c r="S737" s="143" t="str">
        <f t="shared" si="1"/>
        <v>Suspenso</v>
      </c>
      <c r="T737" s="118"/>
      <c r="U737" s="118"/>
      <c r="V737" s="118"/>
      <c r="W737" s="118"/>
      <c r="X737" s="118"/>
      <c r="Y737" s="118"/>
      <c r="Z737" s="118"/>
      <c r="AA737" s="118"/>
      <c r="AB737" s="118"/>
      <c r="AC737" s="118"/>
      <c r="AD737" s="111"/>
      <c r="AE737" s="73"/>
      <c r="AF737" s="73"/>
    </row>
    <row r="738" ht="22.5" customHeight="1">
      <c r="A738" s="73"/>
      <c r="B738" s="73"/>
      <c r="C738" s="73"/>
      <c r="D738" s="73"/>
      <c r="E738" s="330"/>
      <c r="F738" s="118"/>
      <c r="G738" s="118"/>
      <c r="H738" s="118"/>
      <c r="I738" s="118"/>
      <c r="J738" s="119"/>
      <c r="K738" s="120"/>
      <c r="L738" s="120"/>
      <c r="M738" s="120"/>
      <c r="N738" s="120"/>
      <c r="O738" s="118"/>
      <c r="P738" s="120"/>
      <c r="Q738" s="121"/>
      <c r="R738" s="109" t="b">
        <v>0</v>
      </c>
      <c r="S738" s="143" t="str">
        <f t="shared" si="1"/>
        <v>Suspenso</v>
      </c>
      <c r="T738" s="118"/>
      <c r="U738" s="118"/>
      <c r="V738" s="118"/>
      <c r="W738" s="118"/>
      <c r="X738" s="118"/>
      <c r="Y738" s="118"/>
      <c r="Z738" s="118"/>
      <c r="AA738" s="118"/>
      <c r="AB738" s="118"/>
      <c r="AC738" s="118"/>
      <c r="AD738" s="111"/>
      <c r="AE738" s="73"/>
      <c r="AF738" s="73"/>
    </row>
    <row r="739" ht="22.5" customHeight="1">
      <c r="A739" s="73"/>
      <c r="B739" s="73"/>
      <c r="C739" s="73"/>
      <c r="D739" s="73"/>
      <c r="E739" s="330"/>
      <c r="F739" s="118"/>
      <c r="G739" s="118"/>
      <c r="H739" s="118"/>
      <c r="I739" s="118"/>
      <c r="J739" s="119"/>
      <c r="K739" s="120"/>
      <c r="L739" s="120"/>
      <c r="M739" s="120"/>
      <c r="N739" s="120"/>
      <c r="O739" s="118"/>
      <c r="P739" s="120"/>
      <c r="Q739" s="121"/>
      <c r="R739" s="109" t="b">
        <v>0</v>
      </c>
      <c r="S739" s="143" t="str">
        <f t="shared" si="1"/>
        <v>Suspenso</v>
      </c>
      <c r="T739" s="118"/>
      <c r="U739" s="118"/>
      <c r="V739" s="118"/>
      <c r="W739" s="118"/>
      <c r="X739" s="118"/>
      <c r="Y739" s="118"/>
      <c r="Z739" s="118"/>
      <c r="AA739" s="118"/>
      <c r="AB739" s="118"/>
      <c r="AC739" s="118"/>
      <c r="AD739" s="111"/>
      <c r="AE739" s="73"/>
      <c r="AF739" s="73"/>
    </row>
    <row r="740" ht="22.5" customHeight="1">
      <c r="A740" s="73"/>
      <c r="B740" s="73"/>
      <c r="C740" s="73"/>
      <c r="D740" s="73"/>
      <c r="E740" s="330"/>
      <c r="F740" s="118"/>
      <c r="G740" s="118"/>
      <c r="H740" s="118"/>
      <c r="I740" s="118"/>
      <c r="J740" s="119"/>
      <c r="K740" s="120"/>
      <c r="L740" s="120"/>
      <c r="M740" s="120"/>
      <c r="N740" s="120"/>
      <c r="O740" s="118"/>
      <c r="P740" s="120"/>
      <c r="Q740" s="121"/>
      <c r="R740" s="109" t="b">
        <v>0</v>
      </c>
      <c r="S740" s="143" t="str">
        <f t="shared" si="1"/>
        <v>Suspenso</v>
      </c>
      <c r="T740" s="118"/>
      <c r="U740" s="118"/>
      <c r="V740" s="118"/>
      <c r="W740" s="118"/>
      <c r="X740" s="118"/>
      <c r="Y740" s="118"/>
      <c r="Z740" s="118"/>
      <c r="AA740" s="118"/>
      <c r="AB740" s="118"/>
      <c r="AC740" s="118"/>
      <c r="AD740" s="111"/>
      <c r="AE740" s="73"/>
      <c r="AF740" s="73"/>
    </row>
    <row r="741" ht="22.5" customHeight="1">
      <c r="A741" s="73"/>
      <c r="B741" s="73"/>
      <c r="C741" s="73"/>
      <c r="D741" s="73"/>
      <c r="E741" s="330"/>
      <c r="F741" s="118"/>
      <c r="G741" s="118"/>
      <c r="H741" s="118"/>
      <c r="I741" s="118"/>
      <c r="J741" s="119"/>
      <c r="K741" s="120"/>
      <c r="L741" s="120"/>
      <c r="M741" s="120"/>
      <c r="N741" s="120"/>
      <c r="O741" s="118"/>
      <c r="P741" s="120"/>
      <c r="Q741" s="121"/>
      <c r="R741" s="109" t="b">
        <v>0</v>
      </c>
      <c r="S741" s="143" t="str">
        <f t="shared" si="1"/>
        <v>Suspenso</v>
      </c>
      <c r="T741" s="118"/>
      <c r="U741" s="118"/>
      <c r="V741" s="118"/>
      <c r="W741" s="118"/>
      <c r="X741" s="118"/>
      <c r="Y741" s="118"/>
      <c r="Z741" s="118"/>
      <c r="AA741" s="118"/>
      <c r="AB741" s="118"/>
      <c r="AC741" s="118"/>
      <c r="AD741" s="111"/>
      <c r="AE741" s="73"/>
      <c r="AF741" s="73"/>
    </row>
    <row r="742" ht="22.5" customHeight="1">
      <c r="A742" s="73"/>
      <c r="B742" s="73"/>
      <c r="C742" s="73"/>
      <c r="D742" s="73"/>
      <c r="E742" s="330"/>
      <c r="F742" s="118"/>
      <c r="G742" s="118"/>
      <c r="H742" s="118"/>
      <c r="I742" s="118"/>
      <c r="J742" s="119"/>
      <c r="K742" s="120"/>
      <c r="L742" s="120"/>
      <c r="M742" s="120"/>
      <c r="N742" s="120"/>
      <c r="O742" s="118"/>
      <c r="P742" s="120"/>
      <c r="Q742" s="121"/>
      <c r="R742" s="109" t="b">
        <v>0</v>
      </c>
      <c r="S742" s="143" t="str">
        <f t="shared" si="1"/>
        <v>Suspenso</v>
      </c>
      <c r="T742" s="118"/>
      <c r="U742" s="118"/>
      <c r="V742" s="118"/>
      <c r="W742" s="118"/>
      <c r="X742" s="118"/>
      <c r="Y742" s="118"/>
      <c r="Z742" s="118"/>
      <c r="AA742" s="118"/>
      <c r="AB742" s="118"/>
      <c r="AC742" s="118"/>
      <c r="AD742" s="111"/>
      <c r="AE742" s="73"/>
      <c r="AF742" s="73"/>
    </row>
    <row r="743" ht="22.5" customHeight="1">
      <c r="A743" s="73"/>
      <c r="B743" s="73"/>
      <c r="C743" s="73"/>
      <c r="D743" s="73"/>
      <c r="E743" s="330"/>
      <c r="F743" s="118"/>
      <c r="G743" s="118"/>
      <c r="H743" s="118"/>
      <c r="I743" s="118"/>
      <c r="J743" s="119"/>
      <c r="K743" s="120"/>
      <c r="L743" s="120"/>
      <c r="M743" s="120"/>
      <c r="N743" s="120"/>
      <c r="O743" s="118"/>
      <c r="P743" s="120"/>
      <c r="Q743" s="121"/>
      <c r="R743" s="109" t="b">
        <v>0</v>
      </c>
      <c r="S743" s="143" t="str">
        <f t="shared" si="1"/>
        <v>Suspenso</v>
      </c>
      <c r="T743" s="118"/>
      <c r="U743" s="118"/>
      <c r="V743" s="118"/>
      <c r="W743" s="118"/>
      <c r="X743" s="118"/>
      <c r="Y743" s="118"/>
      <c r="Z743" s="118"/>
      <c r="AA743" s="118"/>
      <c r="AB743" s="118"/>
      <c r="AC743" s="118"/>
      <c r="AD743" s="111"/>
      <c r="AE743" s="73"/>
      <c r="AF743" s="73"/>
    </row>
    <row r="744" ht="22.5" customHeight="1">
      <c r="A744" s="73"/>
      <c r="B744" s="73"/>
      <c r="C744" s="73"/>
      <c r="D744" s="73"/>
      <c r="E744" s="330"/>
      <c r="F744" s="118"/>
      <c r="G744" s="118"/>
      <c r="H744" s="118"/>
      <c r="I744" s="118"/>
      <c r="J744" s="119"/>
      <c r="K744" s="120"/>
      <c r="L744" s="120"/>
      <c r="M744" s="120"/>
      <c r="N744" s="120"/>
      <c r="O744" s="118"/>
      <c r="P744" s="120"/>
      <c r="Q744" s="121"/>
      <c r="R744" s="109" t="b">
        <v>0</v>
      </c>
      <c r="S744" s="143" t="str">
        <f t="shared" si="1"/>
        <v>Suspenso</v>
      </c>
      <c r="T744" s="118"/>
      <c r="U744" s="118"/>
      <c r="V744" s="118"/>
      <c r="W744" s="118"/>
      <c r="X744" s="118"/>
      <c r="Y744" s="118"/>
      <c r="Z744" s="118"/>
      <c r="AA744" s="118"/>
      <c r="AB744" s="118"/>
      <c r="AC744" s="118"/>
      <c r="AD744" s="111"/>
      <c r="AE744" s="73"/>
      <c r="AF744" s="73"/>
    </row>
    <row r="745" ht="22.5" customHeight="1">
      <c r="A745" s="73"/>
      <c r="B745" s="73"/>
      <c r="C745" s="73"/>
      <c r="D745" s="73"/>
      <c r="E745" s="330"/>
      <c r="F745" s="118"/>
      <c r="G745" s="118"/>
      <c r="H745" s="118"/>
      <c r="I745" s="118"/>
      <c r="J745" s="119"/>
      <c r="K745" s="120"/>
      <c r="L745" s="120"/>
      <c r="M745" s="120"/>
      <c r="N745" s="120"/>
      <c r="O745" s="118"/>
      <c r="P745" s="120"/>
      <c r="Q745" s="121"/>
      <c r="R745" s="109" t="b">
        <v>0</v>
      </c>
      <c r="S745" s="143" t="str">
        <f t="shared" si="1"/>
        <v>Suspenso</v>
      </c>
      <c r="T745" s="118"/>
      <c r="U745" s="118"/>
      <c r="V745" s="118"/>
      <c r="W745" s="118"/>
      <c r="X745" s="118"/>
      <c r="Y745" s="118"/>
      <c r="Z745" s="118"/>
      <c r="AA745" s="118"/>
      <c r="AB745" s="118"/>
      <c r="AC745" s="118"/>
      <c r="AD745" s="111"/>
      <c r="AE745" s="73"/>
      <c r="AF745" s="73"/>
    </row>
    <row r="746" ht="22.5" customHeight="1">
      <c r="A746" s="73"/>
      <c r="B746" s="73"/>
      <c r="C746" s="73"/>
      <c r="D746" s="73"/>
      <c r="E746" s="330"/>
      <c r="F746" s="118"/>
      <c r="G746" s="118"/>
      <c r="H746" s="118"/>
      <c r="I746" s="118"/>
      <c r="J746" s="119"/>
      <c r="K746" s="120"/>
      <c r="L746" s="120"/>
      <c r="M746" s="120"/>
      <c r="N746" s="120"/>
      <c r="O746" s="118"/>
      <c r="P746" s="120"/>
      <c r="Q746" s="121"/>
      <c r="R746" s="109" t="b">
        <v>0</v>
      </c>
      <c r="S746" s="143" t="str">
        <f t="shared" si="1"/>
        <v>Suspenso</v>
      </c>
      <c r="T746" s="118"/>
      <c r="U746" s="118"/>
      <c r="V746" s="118"/>
      <c r="W746" s="118"/>
      <c r="X746" s="118"/>
      <c r="Y746" s="118"/>
      <c r="Z746" s="118"/>
      <c r="AA746" s="118"/>
      <c r="AB746" s="118"/>
      <c r="AC746" s="118"/>
      <c r="AD746" s="111"/>
      <c r="AE746" s="73"/>
      <c r="AF746" s="73"/>
    </row>
    <row r="747" ht="22.5" customHeight="1">
      <c r="A747" s="73"/>
      <c r="B747" s="73"/>
      <c r="C747" s="73"/>
      <c r="D747" s="73"/>
      <c r="E747" s="330"/>
      <c r="F747" s="118"/>
      <c r="G747" s="118"/>
      <c r="H747" s="118"/>
      <c r="I747" s="118"/>
      <c r="J747" s="119"/>
      <c r="K747" s="120"/>
      <c r="L747" s="120"/>
      <c r="M747" s="120"/>
      <c r="N747" s="120"/>
      <c r="O747" s="118"/>
      <c r="P747" s="120"/>
      <c r="Q747" s="121"/>
      <c r="R747" s="109" t="b">
        <v>0</v>
      </c>
      <c r="S747" s="143" t="str">
        <f t="shared" si="1"/>
        <v>Suspenso</v>
      </c>
      <c r="T747" s="118"/>
      <c r="U747" s="118"/>
      <c r="V747" s="118"/>
      <c r="W747" s="118"/>
      <c r="X747" s="118"/>
      <c r="Y747" s="118"/>
      <c r="Z747" s="118"/>
      <c r="AA747" s="118"/>
      <c r="AB747" s="118"/>
      <c r="AC747" s="118"/>
      <c r="AD747" s="111"/>
      <c r="AE747" s="73"/>
      <c r="AF747" s="73"/>
    </row>
    <row r="748" ht="22.5" customHeight="1">
      <c r="A748" s="73"/>
      <c r="B748" s="73"/>
      <c r="C748" s="73"/>
      <c r="D748" s="73"/>
      <c r="E748" s="330"/>
      <c r="F748" s="118"/>
      <c r="G748" s="118"/>
      <c r="H748" s="118"/>
      <c r="I748" s="118"/>
      <c r="J748" s="119"/>
      <c r="K748" s="120"/>
      <c r="L748" s="120"/>
      <c r="M748" s="120"/>
      <c r="N748" s="120"/>
      <c r="O748" s="118"/>
      <c r="P748" s="120"/>
      <c r="Q748" s="121"/>
      <c r="R748" s="109" t="b">
        <v>0</v>
      </c>
      <c r="S748" s="143" t="str">
        <f t="shared" si="1"/>
        <v>Suspenso</v>
      </c>
      <c r="T748" s="118"/>
      <c r="U748" s="118"/>
      <c r="V748" s="118"/>
      <c r="W748" s="118"/>
      <c r="X748" s="118"/>
      <c r="Y748" s="118"/>
      <c r="Z748" s="118"/>
      <c r="AA748" s="118"/>
      <c r="AB748" s="118"/>
      <c r="AC748" s="118"/>
      <c r="AD748" s="111"/>
      <c r="AE748" s="73"/>
      <c r="AF748" s="73"/>
    </row>
    <row r="749" ht="22.5" customHeight="1">
      <c r="A749" s="73"/>
      <c r="B749" s="73"/>
      <c r="C749" s="73"/>
      <c r="D749" s="73"/>
      <c r="E749" s="330"/>
      <c r="F749" s="118"/>
      <c r="G749" s="118"/>
      <c r="H749" s="118"/>
      <c r="I749" s="118"/>
      <c r="J749" s="119"/>
      <c r="K749" s="120"/>
      <c r="L749" s="120"/>
      <c r="M749" s="120"/>
      <c r="N749" s="120"/>
      <c r="O749" s="118"/>
      <c r="P749" s="120"/>
      <c r="Q749" s="121"/>
      <c r="R749" s="109" t="b">
        <v>0</v>
      </c>
      <c r="S749" s="143" t="str">
        <f t="shared" si="1"/>
        <v>Suspenso</v>
      </c>
      <c r="T749" s="118"/>
      <c r="U749" s="118"/>
      <c r="V749" s="118"/>
      <c r="W749" s="118"/>
      <c r="X749" s="118"/>
      <c r="Y749" s="118"/>
      <c r="Z749" s="118"/>
      <c r="AA749" s="118"/>
      <c r="AB749" s="118"/>
      <c r="AC749" s="118"/>
      <c r="AD749" s="111"/>
      <c r="AE749" s="73"/>
      <c r="AF749" s="73"/>
    </row>
    <row r="750" ht="22.5" customHeight="1">
      <c r="A750" s="73"/>
      <c r="B750" s="73"/>
      <c r="C750" s="73"/>
      <c r="D750" s="73"/>
      <c r="E750" s="330"/>
      <c r="F750" s="118"/>
      <c r="G750" s="118"/>
      <c r="H750" s="118"/>
      <c r="I750" s="118"/>
      <c r="J750" s="119"/>
      <c r="K750" s="120"/>
      <c r="L750" s="120"/>
      <c r="M750" s="120"/>
      <c r="N750" s="120"/>
      <c r="O750" s="118"/>
      <c r="P750" s="120"/>
      <c r="Q750" s="121"/>
      <c r="R750" s="109" t="b">
        <v>0</v>
      </c>
      <c r="S750" s="143" t="str">
        <f t="shared" si="1"/>
        <v>Suspenso</v>
      </c>
      <c r="T750" s="118"/>
      <c r="U750" s="118"/>
      <c r="V750" s="118"/>
      <c r="W750" s="118"/>
      <c r="X750" s="118"/>
      <c r="Y750" s="118"/>
      <c r="Z750" s="118"/>
      <c r="AA750" s="118"/>
      <c r="AB750" s="118"/>
      <c r="AC750" s="118"/>
      <c r="AD750" s="111"/>
      <c r="AE750" s="73"/>
      <c r="AF750" s="73"/>
    </row>
    <row r="751" ht="22.5" customHeight="1">
      <c r="A751" s="73"/>
      <c r="B751" s="73"/>
      <c r="C751" s="73"/>
      <c r="D751" s="73"/>
      <c r="E751" s="330"/>
      <c r="F751" s="118"/>
      <c r="G751" s="118"/>
      <c r="H751" s="118"/>
      <c r="I751" s="118"/>
      <c r="J751" s="119"/>
      <c r="K751" s="120"/>
      <c r="L751" s="120"/>
      <c r="M751" s="120"/>
      <c r="N751" s="120"/>
      <c r="O751" s="118"/>
      <c r="P751" s="120"/>
      <c r="Q751" s="121"/>
      <c r="R751" s="109" t="b">
        <v>0</v>
      </c>
      <c r="S751" s="143" t="str">
        <f t="shared" si="1"/>
        <v>Suspenso</v>
      </c>
      <c r="T751" s="118"/>
      <c r="U751" s="118"/>
      <c r="V751" s="118"/>
      <c r="W751" s="118"/>
      <c r="X751" s="118"/>
      <c r="Y751" s="118"/>
      <c r="Z751" s="118"/>
      <c r="AA751" s="118"/>
      <c r="AB751" s="118"/>
      <c r="AC751" s="118"/>
      <c r="AD751" s="111"/>
      <c r="AE751" s="73"/>
      <c r="AF751" s="73"/>
    </row>
    <row r="752" ht="22.5" customHeight="1">
      <c r="A752" s="73"/>
      <c r="B752" s="73"/>
      <c r="C752" s="73"/>
      <c r="D752" s="73"/>
      <c r="E752" s="330"/>
      <c r="F752" s="118"/>
      <c r="G752" s="118"/>
      <c r="H752" s="118"/>
      <c r="I752" s="118"/>
      <c r="J752" s="119"/>
      <c r="K752" s="120"/>
      <c r="L752" s="120"/>
      <c r="M752" s="120"/>
      <c r="N752" s="120"/>
      <c r="O752" s="118"/>
      <c r="P752" s="120"/>
      <c r="Q752" s="121"/>
      <c r="R752" s="109" t="b">
        <v>0</v>
      </c>
      <c r="S752" s="143" t="str">
        <f t="shared" si="1"/>
        <v>Suspenso</v>
      </c>
      <c r="T752" s="118"/>
      <c r="U752" s="118"/>
      <c r="V752" s="118"/>
      <c r="W752" s="118"/>
      <c r="X752" s="118"/>
      <c r="Y752" s="118"/>
      <c r="Z752" s="118"/>
      <c r="AA752" s="118"/>
      <c r="AB752" s="118"/>
      <c r="AC752" s="118"/>
      <c r="AD752" s="111"/>
      <c r="AE752" s="73"/>
      <c r="AF752" s="73"/>
    </row>
    <row r="753" ht="22.5" customHeight="1">
      <c r="A753" s="73"/>
      <c r="B753" s="73"/>
      <c r="C753" s="73"/>
      <c r="D753" s="73"/>
      <c r="E753" s="330"/>
      <c r="F753" s="118"/>
      <c r="G753" s="118"/>
      <c r="H753" s="118"/>
      <c r="I753" s="118"/>
      <c r="J753" s="119"/>
      <c r="K753" s="120"/>
      <c r="L753" s="120"/>
      <c r="M753" s="120"/>
      <c r="N753" s="120"/>
      <c r="O753" s="118"/>
      <c r="P753" s="120"/>
      <c r="Q753" s="121"/>
      <c r="R753" s="109" t="b">
        <v>0</v>
      </c>
      <c r="S753" s="143" t="str">
        <f t="shared" si="1"/>
        <v>Suspenso</v>
      </c>
      <c r="T753" s="118"/>
      <c r="U753" s="118"/>
      <c r="V753" s="118"/>
      <c r="W753" s="118"/>
      <c r="X753" s="118"/>
      <c r="Y753" s="118"/>
      <c r="Z753" s="118"/>
      <c r="AA753" s="118"/>
      <c r="AB753" s="118"/>
      <c r="AC753" s="118"/>
      <c r="AD753" s="111"/>
      <c r="AE753" s="73"/>
      <c r="AF753" s="73"/>
    </row>
    <row r="754" ht="22.5" customHeight="1">
      <c r="A754" s="73"/>
      <c r="B754" s="73"/>
      <c r="C754" s="73"/>
      <c r="D754" s="73"/>
      <c r="E754" s="330"/>
      <c r="F754" s="118"/>
      <c r="G754" s="118"/>
      <c r="H754" s="118"/>
      <c r="I754" s="118"/>
      <c r="J754" s="119"/>
      <c r="K754" s="120"/>
      <c r="L754" s="120"/>
      <c r="M754" s="120"/>
      <c r="N754" s="120"/>
      <c r="O754" s="118"/>
      <c r="P754" s="120"/>
      <c r="Q754" s="121"/>
      <c r="R754" s="109" t="b">
        <v>0</v>
      </c>
      <c r="S754" s="143" t="str">
        <f t="shared" si="1"/>
        <v>Suspenso</v>
      </c>
      <c r="T754" s="118"/>
      <c r="U754" s="118"/>
      <c r="V754" s="118"/>
      <c r="W754" s="118"/>
      <c r="X754" s="118"/>
      <c r="Y754" s="118"/>
      <c r="Z754" s="118"/>
      <c r="AA754" s="118"/>
      <c r="AB754" s="118"/>
      <c r="AC754" s="118"/>
      <c r="AD754" s="111"/>
      <c r="AE754" s="73"/>
      <c r="AF754" s="73"/>
    </row>
    <row r="755" ht="22.5" customHeight="1">
      <c r="A755" s="73"/>
      <c r="B755" s="73"/>
      <c r="C755" s="73"/>
      <c r="D755" s="73"/>
      <c r="E755" s="330"/>
      <c r="F755" s="118"/>
      <c r="G755" s="118"/>
      <c r="H755" s="118"/>
      <c r="I755" s="118"/>
      <c r="J755" s="119"/>
      <c r="K755" s="120"/>
      <c r="L755" s="120"/>
      <c r="M755" s="120"/>
      <c r="N755" s="120"/>
      <c r="O755" s="118"/>
      <c r="P755" s="120"/>
      <c r="Q755" s="121"/>
      <c r="R755" s="109" t="b">
        <v>0</v>
      </c>
      <c r="S755" s="143" t="str">
        <f t="shared" si="1"/>
        <v>Suspenso</v>
      </c>
      <c r="T755" s="118"/>
      <c r="U755" s="118"/>
      <c r="V755" s="118"/>
      <c r="W755" s="118"/>
      <c r="X755" s="118"/>
      <c r="Y755" s="118"/>
      <c r="Z755" s="118"/>
      <c r="AA755" s="118"/>
      <c r="AB755" s="118"/>
      <c r="AC755" s="118"/>
      <c r="AD755" s="111"/>
      <c r="AE755" s="73"/>
      <c r="AF755" s="73"/>
    </row>
    <row r="756" ht="22.5" customHeight="1">
      <c r="A756" s="73"/>
      <c r="B756" s="73"/>
      <c r="C756" s="73"/>
      <c r="D756" s="73"/>
      <c r="E756" s="330"/>
      <c r="F756" s="118"/>
      <c r="G756" s="118"/>
      <c r="H756" s="118"/>
      <c r="I756" s="118"/>
      <c r="J756" s="119"/>
      <c r="K756" s="120"/>
      <c r="L756" s="120"/>
      <c r="M756" s="120"/>
      <c r="N756" s="120"/>
      <c r="O756" s="118"/>
      <c r="P756" s="120"/>
      <c r="Q756" s="121"/>
      <c r="R756" s="109" t="b">
        <v>0</v>
      </c>
      <c r="S756" s="143" t="str">
        <f t="shared" si="1"/>
        <v>Suspenso</v>
      </c>
      <c r="T756" s="118"/>
      <c r="U756" s="118"/>
      <c r="V756" s="118"/>
      <c r="W756" s="118"/>
      <c r="X756" s="118"/>
      <c r="Y756" s="118"/>
      <c r="Z756" s="118"/>
      <c r="AA756" s="118"/>
      <c r="AB756" s="118"/>
      <c r="AC756" s="118"/>
      <c r="AD756" s="111"/>
      <c r="AE756" s="73"/>
      <c r="AF756" s="73"/>
    </row>
    <row r="757" ht="22.5" customHeight="1">
      <c r="A757" s="73"/>
      <c r="B757" s="73"/>
      <c r="C757" s="73"/>
      <c r="D757" s="73"/>
      <c r="E757" s="330"/>
      <c r="F757" s="118"/>
      <c r="G757" s="118"/>
      <c r="H757" s="118"/>
      <c r="I757" s="118"/>
      <c r="J757" s="119"/>
      <c r="K757" s="120"/>
      <c r="L757" s="120"/>
      <c r="M757" s="120"/>
      <c r="N757" s="120"/>
      <c r="O757" s="118"/>
      <c r="P757" s="120"/>
      <c r="Q757" s="121"/>
      <c r="R757" s="109" t="b">
        <v>0</v>
      </c>
      <c r="S757" s="143" t="str">
        <f t="shared" si="1"/>
        <v>Suspenso</v>
      </c>
      <c r="T757" s="118"/>
      <c r="U757" s="118"/>
      <c r="V757" s="118"/>
      <c r="W757" s="118"/>
      <c r="X757" s="118"/>
      <c r="Y757" s="118"/>
      <c r="Z757" s="118"/>
      <c r="AA757" s="118"/>
      <c r="AB757" s="118"/>
      <c r="AC757" s="118"/>
      <c r="AD757" s="111"/>
      <c r="AE757" s="73"/>
      <c r="AF757" s="73"/>
    </row>
    <row r="758" ht="22.5" customHeight="1">
      <c r="A758" s="73"/>
      <c r="B758" s="73"/>
      <c r="C758" s="73"/>
      <c r="D758" s="73"/>
      <c r="E758" s="330"/>
      <c r="F758" s="118"/>
      <c r="G758" s="118"/>
      <c r="H758" s="118"/>
      <c r="I758" s="118"/>
      <c r="J758" s="119"/>
      <c r="K758" s="120"/>
      <c r="L758" s="120"/>
      <c r="M758" s="120"/>
      <c r="N758" s="120"/>
      <c r="O758" s="118"/>
      <c r="P758" s="120"/>
      <c r="Q758" s="121"/>
      <c r="R758" s="109" t="b">
        <v>0</v>
      </c>
      <c r="S758" s="143" t="str">
        <f t="shared" si="1"/>
        <v>Suspenso</v>
      </c>
      <c r="T758" s="118"/>
      <c r="U758" s="118"/>
      <c r="V758" s="118"/>
      <c r="W758" s="118"/>
      <c r="X758" s="118"/>
      <c r="Y758" s="118"/>
      <c r="Z758" s="118"/>
      <c r="AA758" s="118"/>
      <c r="AB758" s="118"/>
      <c r="AC758" s="118"/>
      <c r="AD758" s="111"/>
      <c r="AE758" s="73"/>
      <c r="AF758" s="73"/>
    </row>
    <row r="759" ht="22.5" customHeight="1">
      <c r="A759" s="73"/>
      <c r="B759" s="73"/>
      <c r="C759" s="73"/>
      <c r="D759" s="73"/>
      <c r="E759" s="330"/>
      <c r="F759" s="118"/>
      <c r="G759" s="118"/>
      <c r="H759" s="118"/>
      <c r="I759" s="118"/>
      <c r="J759" s="119"/>
      <c r="K759" s="120"/>
      <c r="L759" s="120"/>
      <c r="M759" s="120"/>
      <c r="N759" s="120"/>
      <c r="O759" s="118"/>
      <c r="P759" s="120"/>
      <c r="Q759" s="121"/>
      <c r="R759" s="109" t="b">
        <v>0</v>
      </c>
      <c r="S759" s="143" t="str">
        <f t="shared" si="1"/>
        <v>Suspenso</v>
      </c>
      <c r="T759" s="118"/>
      <c r="U759" s="118"/>
      <c r="V759" s="118"/>
      <c r="W759" s="118"/>
      <c r="X759" s="118"/>
      <c r="Y759" s="118"/>
      <c r="Z759" s="118"/>
      <c r="AA759" s="118"/>
      <c r="AB759" s="118"/>
      <c r="AC759" s="118"/>
      <c r="AD759" s="111"/>
      <c r="AE759" s="73"/>
      <c r="AF759" s="73"/>
    </row>
    <row r="760" ht="22.5" customHeight="1">
      <c r="A760" s="73"/>
      <c r="B760" s="73"/>
      <c r="C760" s="73"/>
      <c r="D760" s="73"/>
      <c r="E760" s="330"/>
      <c r="F760" s="118"/>
      <c r="G760" s="118"/>
      <c r="H760" s="118"/>
      <c r="I760" s="118"/>
      <c r="J760" s="119"/>
      <c r="K760" s="120"/>
      <c r="L760" s="120"/>
      <c r="M760" s="120"/>
      <c r="N760" s="120"/>
      <c r="O760" s="118"/>
      <c r="P760" s="120"/>
      <c r="Q760" s="121"/>
      <c r="R760" s="109" t="b">
        <v>0</v>
      </c>
      <c r="S760" s="143" t="str">
        <f t="shared" si="1"/>
        <v>Suspenso</v>
      </c>
      <c r="T760" s="118"/>
      <c r="U760" s="118"/>
      <c r="V760" s="118"/>
      <c r="W760" s="118"/>
      <c r="X760" s="118"/>
      <c r="Y760" s="118"/>
      <c r="Z760" s="118"/>
      <c r="AA760" s="118"/>
      <c r="AB760" s="118"/>
      <c r="AC760" s="118"/>
      <c r="AD760" s="111"/>
      <c r="AE760" s="73"/>
      <c r="AF760" s="73"/>
    </row>
    <row r="761" ht="22.5" customHeight="1">
      <c r="A761" s="73"/>
      <c r="B761" s="73"/>
      <c r="C761" s="73"/>
      <c r="D761" s="73"/>
      <c r="E761" s="330"/>
      <c r="F761" s="118"/>
      <c r="G761" s="118"/>
      <c r="H761" s="118"/>
      <c r="I761" s="118"/>
      <c r="J761" s="119"/>
      <c r="K761" s="120"/>
      <c r="L761" s="120"/>
      <c r="M761" s="120"/>
      <c r="N761" s="120"/>
      <c r="O761" s="118"/>
      <c r="P761" s="120"/>
      <c r="Q761" s="121"/>
      <c r="R761" s="109" t="b">
        <v>0</v>
      </c>
      <c r="S761" s="143" t="str">
        <f t="shared" si="1"/>
        <v>Suspenso</v>
      </c>
      <c r="T761" s="118"/>
      <c r="U761" s="118"/>
      <c r="V761" s="118"/>
      <c r="W761" s="118"/>
      <c r="X761" s="118"/>
      <c r="Y761" s="118"/>
      <c r="Z761" s="118"/>
      <c r="AA761" s="118"/>
      <c r="AB761" s="118"/>
      <c r="AC761" s="118"/>
      <c r="AD761" s="111"/>
      <c r="AE761" s="73"/>
      <c r="AF761" s="73"/>
    </row>
    <row r="762" ht="22.5" customHeight="1">
      <c r="A762" s="73"/>
      <c r="B762" s="73"/>
      <c r="C762" s="73"/>
      <c r="D762" s="73"/>
      <c r="E762" s="330"/>
      <c r="F762" s="118"/>
      <c r="G762" s="118"/>
      <c r="H762" s="118"/>
      <c r="I762" s="118"/>
      <c r="J762" s="119"/>
      <c r="K762" s="120"/>
      <c r="L762" s="120"/>
      <c r="M762" s="120"/>
      <c r="N762" s="120"/>
      <c r="O762" s="118"/>
      <c r="P762" s="120"/>
      <c r="Q762" s="121"/>
      <c r="R762" s="109" t="b">
        <v>0</v>
      </c>
      <c r="S762" s="143" t="str">
        <f t="shared" si="1"/>
        <v>Suspenso</v>
      </c>
      <c r="T762" s="118"/>
      <c r="U762" s="118"/>
      <c r="V762" s="118"/>
      <c r="W762" s="118"/>
      <c r="X762" s="118"/>
      <c r="Y762" s="118"/>
      <c r="Z762" s="118"/>
      <c r="AA762" s="118"/>
      <c r="AB762" s="118"/>
      <c r="AC762" s="118"/>
      <c r="AD762" s="111"/>
      <c r="AE762" s="73"/>
      <c r="AF762" s="73"/>
    </row>
    <row r="763" ht="22.5" customHeight="1">
      <c r="A763" s="73"/>
      <c r="B763" s="73"/>
      <c r="C763" s="73"/>
      <c r="D763" s="73"/>
      <c r="E763" s="330"/>
      <c r="F763" s="118"/>
      <c r="G763" s="118"/>
      <c r="H763" s="118"/>
      <c r="I763" s="118"/>
      <c r="J763" s="119"/>
      <c r="K763" s="120"/>
      <c r="L763" s="120"/>
      <c r="M763" s="120"/>
      <c r="N763" s="120"/>
      <c r="O763" s="118"/>
      <c r="P763" s="120"/>
      <c r="Q763" s="121"/>
      <c r="R763" s="109" t="b">
        <v>0</v>
      </c>
      <c r="S763" s="143" t="str">
        <f t="shared" si="1"/>
        <v>Suspenso</v>
      </c>
      <c r="T763" s="118"/>
      <c r="U763" s="118"/>
      <c r="V763" s="118"/>
      <c r="W763" s="118"/>
      <c r="X763" s="118"/>
      <c r="Y763" s="118"/>
      <c r="Z763" s="118"/>
      <c r="AA763" s="118"/>
      <c r="AB763" s="118"/>
      <c r="AC763" s="118"/>
      <c r="AD763" s="111"/>
      <c r="AE763" s="73"/>
      <c r="AF763" s="73"/>
    </row>
    <row r="764" ht="22.5" customHeight="1">
      <c r="A764" s="73"/>
      <c r="B764" s="73"/>
      <c r="C764" s="73"/>
      <c r="D764" s="73"/>
      <c r="E764" s="330"/>
      <c r="F764" s="118"/>
      <c r="G764" s="118"/>
      <c r="H764" s="118"/>
      <c r="I764" s="118"/>
      <c r="J764" s="119"/>
      <c r="K764" s="120"/>
      <c r="L764" s="120"/>
      <c r="M764" s="120"/>
      <c r="N764" s="120"/>
      <c r="O764" s="118"/>
      <c r="P764" s="120"/>
      <c r="Q764" s="121"/>
      <c r="R764" s="109" t="b">
        <v>0</v>
      </c>
      <c r="S764" s="143" t="str">
        <f t="shared" si="1"/>
        <v>Suspenso</v>
      </c>
      <c r="T764" s="118"/>
      <c r="U764" s="118"/>
      <c r="V764" s="118"/>
      <c r="W764" s="118"/>
      <c r="X764" s="118"/>
      <c r="Y764" s="118"/>
      <c r="Z764" s="118"/>
      <c r="AA764" s="118"/>
      <c r="AB764" s="118"/>
      <c r="AC764" s="118"/>
      <c r="AD764" s="111"/>
      <c r="AE764" s="73"/>
      <c r="AF764" s="73"/>
    </row>
    <row r="765" ht="22.5" customHeight="1">
      <c r="A765" s="73"/>
      <c r="B765" s="73"/>
      <c r="C765" s="73"/>
      <c r="D765" s="73"/>
      <c r="E765" s="330"/>
      <c r="F765" s="118"/>
      <c r="G765" s="118"/>
      <c r="H765" s="118"/>
      <c r="I765" s="118"/>
      <c r="J765" s="119"/>
      <c r="K765" s="120"/>
      <c r="L765" s="120"/>
      <c r="M765" s="120"/>
      <c r="N765" s="120"/>
      <c r="O765" s="118"/>
      <c r="P765" s="120"/>
      <c r="Q765" s="121"/>
      <c r="R765" s="109" t="b">
        <v>0</v>
      </c>
      <c r="S765" s="143" t="str">
        <f t="shared" si="1"/>
        <v>Suspenso</v>
      </c>
      <c r="T765" s="118"/>
      <c r="U765" s="118"/>
      <c r="V765" s="118"/>
      <c r="W765" s="118"/>
      <c r="X765" s="118"/>
      <c r="Y765" s="118"/>
      <c r="Z765" s="118"/>
      <c r="AA765" s="118"/>
      <c r="AB765" s="118"/>
      <c r="AC765" s="118"/>
      <c r="AD765" s="111"/>
      <c r="AE765" s="73"/>
      <c r="AF765" s="73"/>
    </row>
    <row r="766" ht="22.5" customHeight="1">
      <c r="A766" s="73"/>
      <c r="B766" s="73"/>
      <c r="C766" s="73"/>
      <c r="D766" s="73"/>
      <c r="E766" s="330"/>
      <c r="F766" s="118"/>
      <c r="G766" s="118"/>
      <c r="H766" s="118"/>
      <c r="I766" s="118"/>
      <c r="J766" s="119"/>
      <c r="K766" s="120"/>
      <c r="L766" s="120"/>
      <c r="M766" s="120"/>
      <c r="N766" s="120"/>
      <c r="O766" s="118"/>
      <c r="P766" s="120"/>
      <c r="Q766" s="121"/>
      <c r="R766" s="109" t="b">
        <v>0</v>
      </c>
      <c r="S766" s="143" t="str">
        <f t="shared" si="1"/>
        <v>Suspenso</v>
      </c>
      <c r="T766" s="118"/>
      <c r="U766" s="118"/>
      <c r="V766" s="118"/>
      <c r="W766" s="118"/>
      <c r="X766" s="118"/>
      <c r="Y766" s="118"/>
      <c r="Z766" s="118"/>
      <c r="AA766" s="118"/>
      <c r="AB766" s="118"/>
      <c r="AC766" s="118"/>
      <c r="AD766" s="111"/>
      <c r="AE766" s="73"/>
      <c r="AF766" s="73"/>
    </row>
    <row r="767" ht="22.5" customHeight="1">
      <c r="A767" s="73"/>
      <c r="B767" s="73"/>
      <c r="C767" s="73"/>
      <c r="D767" s="73"/>
      <c r="E767" s="330"/>
      <c r="F767" s="118"/>
      <c r="G767" s="118"/>
      <c r="H767" s="118"/>
      <c r="I767" s="118"/>
      <c r="J767" s="119"/>
      <c r="K767" s="120"/>
      <c r="L767" s="120"/>
      <c r="M767" s="120"/>
      <c r="N767" s="120"/>
      <c r="O767" s="118"/>
      <c r="P767" s="120"/>
      <c r="Q767" s="121"/>
      <c r="R767" s="109" t="b">
        <v>0</v>
      </c>
      <c r="S767" s="143" t="str">
        <f t="shared" si="1"/>
        <v>Suspenso</v>
      </c>
      <c r="T767" s="118"/>
      <c r="U767" s="118"/>
      <c r="V767" s="118"/>
      <c r="W767" s="118"/>
      <c r="X767" s="118"/>
      <c r="Y767" s="118"/>
      <c r="Z767" s="118"/>
      <c r="AA767" s="118"/>
      <c r="AB767" s="118"/>
      <c r="AC767" s="118"/>
      <c r="AD767" s="111"/>
      <c r="AE767" s="73"/>
      <c r="AF767" s="73"/>
    </row>
    <row r="768" ht="22.5" customHeight="1">
      <c r="A768" s="73"/>
      <c r="B768" s="73"/>
      <c r="C768" s="73"/>
      <c r="D768" s="73"/>
      <c r="E768" s="330"/>
      <c r="F768" s="118"/>
      <c r="G768" s="118"/>
      <c r="H768" s="118"/>
      <c r="I768" s="118"/>
      <c r="J768" s="119"/>
      <c r="K768" s="120"/>
      <c r="L768" s="120"/>
      <c r="M768" s="120"/>
      <c r="N768" s="120"/>
      <c r="O768" s="118"/>
      <c r="P768" s="120"/>
      <c r="Q768" s="121"/>
      <c r="R768" s="109" t="b">
        <v>0</v>
      </c>
      <c r="S768" s="143" t="str">
        <f t="shared" si="1"/>
        <v>Suspenso</v>
      </c>
      <c r="T768" s="118"/>
      <c r="U768" s="118"/>
      <c r="V768" s="118"/>
      <c r="W768" s="118"/>
      <c r="X768" s="118"/>
      <c r="Y768" s="118"/>
      <c r="Z768" s="118"/>
      <c r="AA768" s="118"/>
      <c r="AB768" s="118"/>
      <c r="AC768" s="118"/>
      <c r="AD768" s="111"/>
      <c r="AE768" s="73"/>
      <c r="AF768" s="73"/>
    </row>
    <row r="769" ht="22.5" customHeight="1">
      <c r="A769" s="73"/>
      <c r="B769" s="73"/>
      <c r="C769" s="73"/>
      <c r="D769" s="73"/>
      <c r="E769" s="330"/>
      <c r="F769" s="118"/>
      <c r="G769" s="118"/>
      <c r="H769" s="118"/>
      <c r="I769" s="118"/>
      <c r="J769" s="119"/>
      <c r="K769" s="120"/>
      <c r="L769" s="120"/>
      <c r="M769" s="120"/>
      <c r="N769" s="120"/>
      <c r="O769" s="118"/>
      <c r="P769" s="120"/>
      <c r="Q769" s="121"/>
      <c r="R769" s="109" t="b">
        <v>0</v>
      </c>
      <c r="S769" s="143" t="str">
        <f t="shared" si="1"/>
        <v>Suspenso</v>
      </c>
      <c r="T769" s="118"/>
      <c r="U769" s="118"/>
      <c r="V769" s="118"/>
      <c r="W769" s="118"/>
      <c r="X769" s="118"/>
      <c r="Y769" s="118"/>
      <c r="Z769" s="118"/>
      <c r="AA769" s="118"/>
      <c r="AB769" s="118"/>
      <c r="AC769" s="118"/>
      <c r="AD769" s="111"/>
      <c r="AE769" s="73"/>
      <c r="AF769" s="73"/>
    </row>
    <row r="770" ht="22.5" customHeight="1">
      <c r="A770" s="73"/>
      <c r="B770" s="73"/>
      <c r="C770" s="73"/>
      <c r="D770" s="73"/>
      <c r="E770" s="330"/>
      <c r="F770" s="118"/>
      <c r="G770" s="118"/>
      <c r="H770" s="118"/>
      <c r="I770" s="118"/>
      <c r="J770" s="119"/>
      <c r="K770" s="120"/>
      <c r="L770" s="120"/>
      <c r="M770" s="120"/>
      <c r="N770" s="120"/>
      <c r="O770" s="118"/>
      <c r="P770" s="120"/>
      <c r="Q770" s="121"/>
      <c r="R770" s="109" t="b">
        <v>0</v>
      </c>
      <c r="S770" s="143" t="str">
        <f t="shared" si="1"/>
        <v>Suspenso</v>
      </c>
      <c r="T770" s="118"/>
      <c r="U770" s="118"/>
      <c r="V770" s="118"/>
      <c r="W770" s="118"/>
      <c r="X770" s="118"/>
      <c r="Y770" s="118"/>
      <c r="Z770" s="118"/>
      <c r="AA770" s="118"/>
      <c r="AB770" s="118"/>
      <c r="AC770" s="118"/>
      <c r="AD770" s="111"/>
      <c r="AE770" s="73"/>
      <c r="AF770" s="73"/>
    </row>
    <row r="771" ht="22.5" customHeight="1">
      <c r="A771" s="73"/>
      <c r="B771" s="73"/>
      <c r="C771" s="73"/>
      <c r="D771" s="73"/>
      <c r="E771" s="330"/>
      <c r="F771" s="118"/>
      <c r="G771" s="118"/>
      <c r="H771" s="118"/>
      <c r="I771" s="118"/>
      <c r="J771" s="119"/>
      <c r="K771" s="120"/>
      <c r="L771" s="120"/>
      <c r="M771" s="120"/>
      <c r="N771" s="120"/>
      <c r="O771" s="118"/>
      <c r="P771" s="120"/>
      <c r="Q771" s="121"/>
      <c r="R771" s="109" t="b">
        <v>0</v>
      </c>
      <c r="S771" s="143" t="str">
        <f t="shared" si="1"/>
        <v>Suspenso</v>
      </c>
      <c r="T771" s="118"/>
      <c r="U771" s="118"/>
      <c r="V771" s="118"/>
      <c r="W771" s="118"/>
      <c r="X771" s="118"/>
      <c r="Y771" s="118"/>
      <c r="Z771" s="118"/>
      <c r="AA771" s="118"/>
      <c r="AB771" s="118"/>
      <c r="AC771" s="118"/>
      <c r="AD771" s="111"/>
      <c r="AE771" s="73"/>
      <c r="AF771" s="73"/>
    </row>
    <row r="772" ht="22.5" customHeight="1">
      <c r="A772" s="73"/>
      <c r="B772" s="73"/>
      <c r="C772" s="73"/>
      <c r="D772" s="73"/>
      <c r="E772" s="330"/>
      <c r="F772" s="118"/>
      <c r="G772" s="118"/>
      <c r="H772" s="118"/>
      <c r="I772" s="118"/>
      <c r="J772" s="119"/>
      <c r="K772" s="120"/>
      <c r="L772" s="120"/>
      <c r="M772" s="120"/>
      <c r="N772" s="120"/>
      <c r="O772" s="118"/>
      <c r="P772" s="120"/>
      <c r="Q772" s="121"/>
      <c r="R772" s="109" t="b">
        <v>0</v>
      </c>
      <c r="S772" s="143" t="str">
        <f t="shared" si="1"/>
        <v>Suspenso</v>
      </c>
      <c r="T772" s="118"/>
      <c r="U772" s="118"/>
      <c r="V772" s="118"/>
      <c r="W772" s="118"/>
      <c r="X772" s="118"/>
      <c r="Y772" s="118"/>
      <c r="Z772" s="118"/>
      <c r="AA772" s="118"/>
      <c r="AB772" s="118"/>
      <c r="AC772" s="118"/>
      <c r="AD772" s="111"/>
      <c r="AE772" s="73"/>
      <c r="AF772" s="73"/>
    </row>
    <row r="773" ht="22.5" customHeight="1">
      <c r="A773" s="73"/>
      <c r="B773" s="73"/>
      <c r="C773" s="73"/>
      <c r="D773" s="73"/>
      <c r="E773" s="330"/>
      <c r="F773" s="118"/>
      <c r="G773" s="118"/>
      <c r="H773" s="118"/>
      <c r="I773" s="118"/>
      <c r="J773" s="119"/>
      <c r="K773" s="120"/>
      <c r="L773" s="120"/>
      <c r="M773" s="120"/>
      <c r="N773" s="120"/>
      <c r="O773" s="118"/>
      <c r="P773" s="120"/>
      <c r="Q773" s="121"/>
      <c r="R773" s="109" t="b">
        <v>0</v>
      </c>
      <c r="S773" s="143" t="str">
        <f t="shared" si="1"/>
        <v>Suspenso</v>
      </c>
      <c r="T773" s="118"/>
      <c r="U773" s="118"/>
      <c r="V773" s="118"/>
      <c r="W773" s="118"/>
      <c r="X773" s="118"/>
      <c r="Y773" s="118"/>
      <c r="Z773" s="118"/>
      <c r="AA773" s="118"/>
      <c r="AB773" s="118"/>
      <c r="AC773" s="118"/>
      <c r="AD773" s="111"/>
      <c r="AE773" s="73"/>
      <c r="AF773" s="73"/>
    </row>
    <row r="774" ht="22.5" customHeight="1">
      <c r="A774" s="73"/>
      <c r="B774" s="73"/>
      <c r="C774" s="73"/>
      <c r="D774" s="73"/>
      <c r="E774" s="330"/>
      <c r="F774" s="118"/>
      <c r="G774" s="118"/>
      <c r="H774" s="118"/>
      <c r="I774" s="118"/>
      <c r="J774" s="119"/>
      <c r="K774" s="120"/>
      <c r="L774" s="120"/>
      <c r="M774" s="120"/>
      <c r="N774" s="120"/>
      <c r="O774" s="118"/>
      <c r="P774" s="120"/>
      <c r="Q774" s="121"/>
      <c r="R774" s="109" t="b">
        <v>0</v>
      </c>
      <c r="S774" s="143" t="str">
        <f t="shared" si="1"/>
        <v>Suspenso</v>
      </c>
      <c r="T774" s="118"/>
      <c r="U774" s="118"/>
      <c r="V774" s="118"/>
      <c r="W774" s="118"/>
      <c r="X774" s="118"/>
      <c r="Y774" s="118"/>
      <c r="Z774" s="118"/>
      <c r="AA774" s="118"/>
      <c r="AB774" s="118"/>
      <c r="AC774" s="118"/>
      <c r="AD774" s="111"/>
      <c r="AE774" s="73"/>
      <c r="AF774" s="73"/>
    </row>
    <row r="775" ht="22.5" customHeight="1">
      <c r="A775" s="73"/>
      <c r="B775" s="73"/>
      <c r="C775" s="73"/>
      <c r="D775" s="73"/>
      <c r="E775" s="330"/>
      <c r="F775" s="118"/>
      <c r="G775" s="118"/>
      <c r="H775" s="118"/>
      <c r="I775" s="118"/>
      <c r="J775" s="119"/>
      <c r="K775" s="120"/>
      <c r="L775" s="120"/>
      <c r="M775" s="120"/>
      <c r="N775" s="120"/>
      <c r="O775" s="118"/>
      <c r="P775" s="120"/>
      <c r="Q775" s="121"/>
      <c r="R775" s="109" t="b">
        <v>0</v>
      </c>
      <c r="S775" s="143" t="str">
        <f t="shared" si="1"/>
        <v>Suspenso</v>
      </c>
      <c r="T775" s="118"/>
      <c r="U775" s="118"/>
      <c r="V775" s="118"/>
      <c r="W775" s="118"/>
      <c r="X775" s="118"/>
      <c r="Y775" s="118"/>
      <c r="Z775" s="118"/>
      <c r="AA775" s="118"/>
      <c r="AB775" s="118"/>
      <c r="AC775" s="118"/>
      <c r="AD775" s="111"/>
      <c r="AE775" s="73"/>
      <c r="AF775" s="73"/>
    </row>
    <row r="776" ht="22.5" customHeight="1">
      <c r="A776" s="73"/>
      <c r="B776" s="73"/>
      <c r="C776" s="73"/>
      <c r="D776" s="73"/>
      <c r="E776" s="330"/>
      <c r="F776" s="118"/>
      <c r="G776" s="118"/>
      <c r="H776" s="118"/>
      <c r="I776" s="118"/>
      <c r="J776" s="119"/>
      <c r="K776" s="120"/>
      <c r="L776" s="120"/>
      <c r="M776" s="120"/>
      <c r="N776" s="120"/>
      <c r="O776" s="118"/>
      <c r="P776" s="120"/>
      <c r="Q776" s="121"/>
      <c r="R776" s="109" t="b">
        <v>0</v>
      </c>
      <c r="S776" s="143" t="str">
        <f t="shared" si="1"/>
        <v>Suspenso</v>
      </c>
      <c r="T776" s="118"/>
      <c r="U776" s="118"/>
      <c r="V776" s="118"/>
      <c r="W776" s="118"/>
      <c r="X776" s="118"/>
      <c r="Y776" s="118"/>
      <c r="Z776" s="118"/>
      <c r="AA776" s="118"/>
      <c r="AB776" s="118"/>
      <c r="AC776" s="118"/>
      <c r="AD776" s="111"/>
      <c r="AE776" s="73"/>
      <c r="AF776" s="73"/>
    </row>
    <row r="777" ht="22.5" customHeight="1">
      <c r="A777" s="73"/>
      <c r="B777" s="73"/>
      <c r="C777" s="73"/>
      <c r="D777" s="73"/>
      <c r="E777" s="330"/>
      <c r="F777" s="118"/>
      <c r="G777" s="118"/>
      <c r="H777" s="118"/>
      <c r="I777" s="118"/>
      <c r="J777" s="119"/>
      <c r="K777" s="120"/>
      <c r="L777" s="120"/>
      <c r="M777" s="120"/>
      <c r="N777" s="120"/>
      <c r="O777" s="118"/>
      <c r="P777" s="120"/>
      <c r="Q777" s="121"/>
      <c r="R777" s="109" t="b">
        <v>0</v>
      </c>
      <c r="S777" s="143" t="str">
        <f t="shared" si="1"/>
        <v>Suspenso</v>
      </c>
      <c r="T777" s="118"/>
      <c r="U777" s="118"/>
      <c r="V777" s="118"/>
      <c r="W777" s="118"/>
      <c r="X777" s="118"/>
      <c r="Y777" s="118"/>
      <c r="Z777" s="118"/>
      <c r="AA777" s="118"/>
      <c r="AB777" s="118"/>
      <c r="AC777" s="118"/>
      <c r="AD777" s="111"/>
      <c r="AE777" s="73"/>
      <c r="AF777" s="73"/>
    </row>
    <row r="778" ht="22.5" customHeight="1">
      <c r="A778" s="73"/>
      <c r="B778" s="73"/>
      <c r="C778" s="73"/>
      <c r="D778" s="73"/>
      <c r="E778" s="330"/>
      <c r="F778" s="118"/>
      <c r="G778" s="118"/>
      <c r="H778" s="118"/>
      <c r="I778" s="118"/>
      <c r="J778" s="119"/>
      <c r="K778" s="120"/>
      <c r="L778" s="120"/>
      <c r="M778" s="120"/>
      <c r="N778" s="120"/>
      <c r="O778" s="118"/>
      <c r="P778" s="120"/>
      <c r="Q778" s="121"/>
      <c r="R778" s="109" t="b">
        <v>0</v>
      </c>
      <c r="S778" s="143" t="str">
        <f t="shared" si="1"/>
        <v>Suspenso</v>
      </c>
      <c r="T778" s="118"/>
      <c r="U778" s="118"/>
      <c r="V778" s="118"/>
      <c r="W778" s="118"/>
      <c r="X778" s="118"/>
      <c r="Y778" s="118"/>
      <c r="Z778" s="118"/>
      <c r="AA778" s="118"/>
      <c r="AB778" s="118"/>
      <c r="AC778" s="118"/>
      <c r="AD778" s="111"/>
      <c r="AE778" s="73"/>
      <c r="AF778" s="73"/>
    </row>
    <row r="779" ht="22.5" customHeight="1">
      <c r="A779" s="73"/>
      <c r="B779" s="73"/>
      <c r="C779" s="73"/>
      <c r="D779" s="73"/>
      <c r="E779" s="330"/>
      <c r="F779" s="118"/>
      <c r="G779" s="118"/>
      <c r="H779" s="118"/>
      <c r="I779" s="118"/>
      <c r="J779" s="119"/>
      <c r="K779" s="120"/>
      <c r="L779" s="120"/>
      <c r="M779" s="120"/>
      <c r="N779" s="120"/>
      <c r="O779" s="118"/>
      <c r="P779" s="120"/>
      <c r="Q779" s="121"/>
      <c r="R779" s="109" t="b">
        <v>0</v>
      </c>
      <c r="S779" s="143" t="str">
        <f t="shared" si="1"/>
        <v>Suspenso</v>
      </c>
      <c r="T779" s="118"/>
      <c r="U779" s="118"/>
      <c r="V779" s="118"/>
      <c r="W779" s="118"/>
      <c r="X779" s="118"/>
      <c r="Y779" s="118"/>
      <c r="Z779" s="118"/>
      <c r="AA779" s="118"/>
      <c r="AB779" s="118"/>
      <c r="AC779" s="118"/>
      <c r="AD779" s="111"/>
      <c r="AE779" s="73"/>
      <c r="AF779" s="73"/>
    </row>
    <row r="780" ht="22.5" customHeight="1">
      <c r="A780" s="73"/>
      <c r="B780" s="73"/>
      <c r="C780" s="73"/>
      <c r="D780" s="73"/>
      <c r="E780" s="330"/>
      <c r="F780" s="118"/>
      <c r="G780" s="118"/>
      <c r="H780" s="118"/>
      <c r="I780" s="118"/>
      <c r="J780" s="119"/>
      <c r="K780" s="120"/>
      <c r="L780" s="120"/>
      <c r="M780" s="120"/>
      <c r="N780" s="120"/>
      <c r="O780" s="118"/>
      <c r="P780" s="120"/>
      <c r="Q780" s="121"/>
      <c r="R780" s="109" t="b">
        <v>0</v>
      </c>
      <c r="S780" s="143" t="str">
        <f t="shared" si="1"/>
        <v>Suspenso</v>
      </c>
      <c r="T780" s="118"/>
      <c r="U780" s="118"/>
      <c r="V780" s="118"/>
      <c r="W780" s="118"/>
      <c r="X780" s="118"/>
      <c r="Y780" s="118"/>
      <c r="Z780" s="118"/>
      <c r="AA780" s="118"/>
      <c r="AB780" s="118"/>
      <c r="AC780" s="118"/>
      <c r="AD780" s="111"/>
      <c r="AE780" s="73"/>
      <c r="AF780" s="73"/>
    </row>
    <row r="781" ht="22.5" customHeight="1">
      <c r="A781" s="73"/>
      <c r="B781" s="73"/>
      <c r="C781" s="73"/>
      <c r="D781" s="73"/>
      <c r="E781" s="330"/>
      <c r="F781" s="118"/>
      <c r="G781" s="118"/>
      <c r="H781" s="118"/>
      <c r="I781" s="118"/>
      <c r="J781" s="119"/>
      <c r="K781" s="120"/>
      <c r="L781" s="120"/>
      <c r="M781" s="120"/>
      <c r="N781" s="120"/>
      <c r="O781" s="118"/>
      <c r="P781" s="120"/>
      <c r="Q781" s="121"/>
      <c r="R781" s="109" t="b">
        <v>0</v>
      </c>
      <c r="S781" s="143" t="str">
        <f t="shared" si="1"/>
        <v>Suspenso</v>
      </c>
      <c r="T781" s="118"/>
      <c r="U781" s="118"/>
      <c r="V781" s="118"/>
      <c r="W781" s="118"/>
      <c r="X781" s="118"/>
      <c r="Y781" s="118"/>
      <c r="Z781" s="118"/>
      <c r="AA781" s="118"/>
      <c r="AB781" s="118"/>
      <c r="AC781" s="118"/>
      <c r="AD781" s="111"/>
      <c r="AE781" s="73"/>
      <c r="AF781" s="73"/>
    </row>
    <row r="782" ht="22.5" customHeight="1">
      <c r="A782" s="73"/>
      <c r="B782" s="73"/>
      <c r="C782" s="73"/>
      <c r="D782" s="73"/>
      <c r="E782" s="330"/>
      <c r="F782" s="118"/>
      <c r="G782" s="118"/>
      <c r="H782" s="118"/>
      <c r="I782" s="118"/>
      <c r="J782" s="119"/>
      <c r="K782" s="120"/>
      <c r="L782" s="120"/>
      <c r="M782" s="120"/>
      <c r="N782" s="120"/>
      <c r="O782" s="118"/>
      <c r="P782" s="120"/>
      <c r="Q782" s="121"/>
      <c r="R782" s="109" t="b">
        <v>0</v>
      </c>
      <c r="S782" s="143" t="str">
        <f t="shared" si="1"/>
        <v>Suspenso</v>
      </c>
      <c r="T782" s="118"/>
      <c r="U782" s="118"/>
      <c r="V782" s="118"/>
      <c r="W782" s="118"/>
      <c r="X782" s="118"/>
      <c r="Y782" s="118"/>
      <c r="Z782" s="118"/>
      <c r="AA782" s="118"/>
      <c r="AB782" s="118"/>
      <c r="AC782" s="118"/>
      <c r="AD782" s="111"/>
      <c r="AE782" s="73"/>
      <c r="AF782" s="73"/>
    </row>
    <row r="783" ht="22.5" customHeight="1">
      <c r="A783" s="73"/>
      <c r="B783" s="73"/>
      <c r="C783" s="73"/>
      <c r="D783" s="73"/>
      <c r="E783" s="330"/>
      <c r="F783" s="118"/>
      <c r="G783" s="118"/>
      <c r="H783" s="118"/>
      <c r="I783" s="118"/>
      <c r="J783" s="119"/>
      <c r="K783" s="120"/>
      <c r="L783" s="120"/>
      <c r="M783" s="120"/>
      <c r="N783" s="120"/>
      <c r="O783" s="118"/>
      <c r="P783" s="120"/>
      <c r="Q783" s="121"/>
      <c r="R783" s="109" t="b">
        <v>0</v>
      </c>
      <c r="S783" s="143" t="str">
        <f t="shared" si="1"/>
        <v>Suspenso</v>
      </c>
      <c r="T783" s="118"/>
      <c r="U783" s="118"/>
      <c r="V783" s="118"/>
      <c r="W783" s="118"/>
      <c r="X783" s="118"/>
      <c r="Y783" s="118"/>
      <c r="Z783" s="118"/>
      <c r="AA783" s="118"/>
      <c r="AB783" s="118"/>
      <c r="AC783" s="118"/>
      <c r="AD783" s="111"/>
      <c r="AE783" s="73"/>
      <c r="AF783" s="73"/>
    </row>
    <row r="784" ht="22.5" customHeight="1">
      <c r="A784" s="73"/>
      <c r="B784" s="73"/>
      <c r="C784" s="73"/>
      <c r="D784" s="73"/>
      <c r="E784" s="330"/>
      <c r="F784" s="118"/>
      <c r="G784" s="118"/>
      <c r="H784" s="118"/>
      <c r="I784" s="118"/>
      <c r="J784" s="119"/>
      <c r="K784" s="120"/>
      <c r="L784" s="120"/>
      <c r="M784" s="120"/>
      <c r="N784" s="120"/>
      <c r="O784" s="118"/>
      <c r="P784" s="120"/>
      <c r="Q784" s="121"/>
      <c r="R784" s="109" t="b">
        <v>0</v>
      </c>
      <c r="S784" s="143" t="str">
        <f t="shared" si="1"/>
        <v>Suspenso</v>
      </c>
      <c r="T784" s="118"/>
      <c r="U784" s="118"/>
      <c r="V784" s="118"/>
      <c r="W784" s="118"/>
      <c r="X784" s="118"/>
      <c r="Y784" s="118"/>
      <c r="Z784" s="118"/>
      <c r="AA784" s="118"/>
      <c r="AB784" s="118"/>
      <c r="AC784" s="118"/>
      <c r="AD784" s="111"/>
      <c r="AE784" s="73"/>
      <c r="AF784" s="73"/>
    </row>
    <row r="785" ht="22.5" customHeight="1">
      <c r="A785" s="73"/>
      <c r="B785" s="73"/>
      <c r="C785" s="73"/>
      <c r="D785" s="73"/>
      <c r="E785" s="330"/>
      <c r="F785" s="118"/>
      <c r="G785" s="118"/>
      <c r="H785" s="118"/>
      <c r="I785" s="118"/>
      <c r="J785" s="119"/>
      <c r="K785" s="120"/>
      <c r="L785" s="120"/>
      <c r="M785" s="120"/>
      <c r="N785" s="120"/>
      <c r="O785" s="118"/>
      <c r="P785" s="120"/>
      <c r="Q785" s="121"/>
      <c r="R785" s="109" t="b">
        <v>0</v>
      </c>
      <c r="S785" s="143" t="str">
        <f t="shared" si="1"/>
        <v>Suspenso</v>
      </c>
      <c r="T785" s="118"/>
      <c r="U785" s="118"/>
      <c r="V785" s="118"/>
      <c r="W785" s="118"/>
      <c r="X785" s="118"/>
      <c r="Y785" s="118"/>
      <c r="Z785" s="118"/>
      <c r="AA785" s="118"/>
      <c r="AB785" s="118"/>
      <c r="AC785" s="118"/>
      <c r="AD785" s="111"/>
      <c r="AE785" s="73"/>
      <c r="AF785" s="73"/>
    </row>
    <row r="786" ht="22.5" customHeight="1">
      <c r="A786" s="73"/>
      <c r="B786" s="73"/>
      <c r="C786" s="73"/>
      <c r="D786" s="73"/>
      <c r="E786" s="330"/>
      <c r="F786" s="118"/>
      <c r="G786" s="118"/>
      <c r="H786" s="118"/>
      <c r="I786" s="118"/>
      <c r="J786" s="119"/>
      <c r="K786" s="120"/>
      <c r="L786" s="120"/>
      <c r="M786" s="120"/>
      <c r="N786" s="120"/>
      <c r="O786" s="118"/>
      <c r="P786" s="120"/>
      <c r="Q786" s="121"/>
      <c r="R786" s="109" t="b">
        <v>0</v>
      </c>
      <c r="S786" s="143" t="str">
        <f t="shared" si="1"/>
        <v>Suspenso</v>
      </c>
      <c r="T786" s="118"/>
      <c r="U786" s="118"/>
      <c r="V786" s="118"/>
      <c r="W786" s="118"/>
      <c r="X786" s="118"/>
      <c r="Y786" s="118"/>
      <c r="Z786" s="118"/>
      <c r="AA786" s="118"/>
      <c r="AB786" s="118"/>
      <c r="AC786" s="118"/>
      <c r="AD786" s="111"/>
      <c r="AE786" s="73"/>
      <c r="AF786" s="73"/>
    </row>
    <row r="787" ht="22.5" customHeight="1">
      <c r="A787" s="73"/>
      <c r="B787" s="73"/>
      <c r="C787" s="73"/>
      <c r="D787" s="73"/>
      <c r="E787" s="330"/>
      <c r="F787" s="118"/>
      <c r="G787" s="118"/>
      <c r="H787" s="118"/>
      <c r="I787" s="118"/>
      <c r="J787" s="119"/>
      <c r="K787" s="120"/>
      <c r="L787" s="120"/>
      <c r="M787" s="120"/>
      <c r="N787" s="120"/>
      <c r="O787" s="118"/>
      <c r="P787" s="120"/>
      <c r="Q787" s="121"/>
      <c r="R787" s="109" t="b">
        <v>0</v>
      </c>
      <c r="S787" s="143" t="str">
        <f t="shared" si="1"/>
        <v>Suspenso</v>
      </c>
      <c r="T787" s="118"/>
      <c r="U787" s="118"/>
      <c r="V787" s="118"/>
      <c r="W787" s="118"/>
      <c r="X787" s="118"/>
      <c r="Y787" s="118"/>
      <c r="Z787" s="118"/>
      <c r="AA787" s="118"/>
      <c r="AB787" s="118"/>
      <c r="AC787" s="118"/>
      <c r="AD787" s="111"/>
      <c r="AE787" s="73"/>
      <c r="AF787" s="73"/>
    </row>
    <row r="788" ht="22.5" customHeight="1">
      <c r="A788" s="73"/>
      <c r="B788" s="73"/>
      <c r="C788" s="73"/>
      <c r="D788" s="73"/>
      <c r="E788" s="330"/>
      <c r="F788" s="118"/>
      <c r="G788" s="118"/>
      <c r="H788" s="118"/>
      <c r="I788" s="118"/>
      <c r="J788" s="119"/>
      <c r="K788" s="120"/>
      <c r="L788" s="120"/>
      <c r="M788" s="120"/>
      <c r="N788" s="120"/>
      <c r="O788" s="118"/>
      <c r="P788" s="120"/>
      <c r="Q788" s="121"/>
      <c r="R788" s="109" t="b">
        <v>0</v>
      </c>
      <c r="S788" s="143" t="str">
        <f t="shared" si="1"/>
        <v>Suspenso</v>
      </c>
      <c r="T788" s="118"/>
      <c r="U788" s="118"/>
      <c r="V788" s="118"/>
      <c r="W788" s="118"/>
      <c r="X788" s="118"/>
      <c r="Y788" s="118"/>
      <c r="Z788" s="118"/>
      <c r="AA788" s="118"/>
      <c r="AB788" s="118"/>
      <c r="AC788" s="118"/>
      <c r="AD788" s="111"/>
      <c r="AE788" s="73"/>
      <c r="AF788" s="73"/>
    </row>
    <row r="789" ht="22.5" customHeight="1">
      <c r="A789" s="73"/>
      <c r="B789" s="73"/>
      <c r="C789" s="73"/>
      <c r="D789" s="73"/>
      <c r="E789" s="330"/>
      <c r="F789" s="118"/>
      <c r="G789" s="118"/>
      <c r="H789" s="118"/>
      <c r="I789" s="118"/>
      <c r="J789" s="119"/>
      <c r="K789" s="120"/>
      <c r="L789" s="120"/>
      <c r="M789" s="120"/>
      <c r="N789" s="120"/>
      <c r="O789" s="118"/>
      <c r="P789" s="120"/>
      <c r="Q789" s="121"/>
      <c r="R789" s="109" t="b">
        <v>0</v>
      </c>
      <c r="S789" s="143" t="str">
        <f t="shared" si="1"/>
        <v>Suspenso</v>
      </c>
      <c r="T789" s="118"/>
      <c r="U789" s="118"/>
      <c r="V789" s="118"/>
      <c r="W789" s="118"/>
      <c r="X789" s="118"/>
      <c r="Y789" s="118"/>
      <c r="Z789" s="118"/>
      <c r="AA789" s="118"/>
      <c r="AB789" s="118"/>
      <c r="AC789" s="118"/>
      <c r="AD789" s="111"/>
      <c r="AE789" s="73"/>
      <c r="AF789" s="73"/>
    </row>
    <row r="790" ht="22.5" customHeight="1">
      <c r="A790" s="73"/>
      <c r="B790" s="73"/>
      <c r="C790" s="73"/>
      <c r="D790" s="73"/>
      <c r="E790" s="330"/>
      <c r="F790" s="118"/>
      <c r="G790" s="118"/>
      <c r="H790" s="118"/>
      <c r="I790" s="118"/>
      <c r="J790" s="119"/>
      <c r="K790" s="120"/>
      <c r="L790" s="120"/>
      <c r="M790" s="120"/>
      <c r="N790" s="120"/>
      <c r="O790" s="118"/>
      <c r="P790" s="120"/>
      <c r="Q790" s="121"/>
      <c r="R790" s="109" t="b">
        <v>0</v>
      </c>
      <c r="S790" s="143" t="str">
        <f t="shared" si="1"/>
        <v>Suspenso</v>
      </c>
      <c r="T790" s="118"/>
      <c r="U790" s="118"/>
      <c r="V790" s="118"/>
      <c r="W790" s="118"/>
      <c r="X790" s="118"/>
      <c r="Y790" s="118"/>
      <c r="Z790" s="118"/>
      <c r="AA790" s="118"/>
      <c r="AB790" s="118"/>
      <c r="AC790" s="118"/>
      <c r="AD790" s="111"/>
      <c r="AE790" s="73"/>
      <c r="AF790" s="73"/>
    </row>
    <row r="791" ht="22.5" customHeight="1">
      <c r="A791" s="73"/>
      <c r="B791" s="73"/>
      <c r="C791" s="73"/>
      <c r="D791" s="73"/>
      <c r="E791" s="330"/>
      <c r="F791" s="118"/>
      <c r="G791" s="118"/>
      <c r="H791" s="118"/>
      <c r="I791" s="118"/>
      <c r="J791" s="119"/>
      <c r="K791" s="120"/>
      <c r="L791" s="120"/>
      <c r="M791" s="120"/>
      <c r="N791" s="120"/>
      <c r="O791" s="118"/>
      <c r="P791" s="120"/>
      <c r="Q791" s="121"/>
      <c r="R791" s="109" t="b">
        <v>0</v>
      </c>
      <c r="S791" s="143" t="str">
        <f t="shared" si="1"/>
        <v>Suspenso</v>
      </c>
      <c r="T791" s="118"/>
      <c r="U791" s="118"/>
      <c r="V791" s="118"/>
      <c r="W791" s="118"/>
      <c r="X791" s="118"/>
      <c r="Y791" s="118"/>
      <c r="Z791" s="118"/>
      <c r="AA791" s="118"/>
      <c r="AB791" s="118"/>
      <c r="AC791" s="118"/>
      <c r="AD791" s="111"/>
      <c r="AE791" s="73"/>
      <c r="AF791" s="73"/>
    </row>
    <row r="792" ht="22.5" customHeight="1">
      <c r="A792" s="73"/>
      <c r="B792" s="73"/>
      <c r="C792" s="73"/>
      <c r="D792" s="73"/>
      <c r="E792" s="330"/>
      <c r="F792" s="118"/>
      <c r="G792" s="118"/>
      <c r="H792" s="118"/>
      <c r="I792" s="118"/>
      <c r="J792" s="119"/>
      <c r="K792" s="120"/>
      <c r="L792" s="120"/>
      <c r="M792" s="120"/>
      <c r="N792" s="120"/>
      <c r="O792" s="118"/>
      <c r="P792" s="120"/>
      <c r="Q792" s="121"/>
      <c r="R792" s="109" t="b">
        <v>0</v>
      </c>
      <c r="S792" s="143" t="str">
        <f t="shared" si="1"/>
        <v>Suspenso</v>
      </c>
      <c r="T792" s="118"/>
      <c r="U792" s="118"/>
      <c r="V792" s="118"/>
      <c r="W792" s="118"/>
      <c r="X792" s="118"/>
      <c r="Y792" s="118"/>
      <c r="Z792" s="118"/>
      <c r="AA792" s="118"/>
      <c r="AB792" s="118"/>
      <c r="AC792" s="118"/>
      <c r="AD792" s="111"/>
      <c r="AE792" s="73"/>
      <c r="AF792" s="73"/>
    </row>
    <row r="793" ht="22.5" customHeight="1">
      <c r="A793" s="73"/>
      <c r="B793" s="73"/>
      <c r="C793" s="73"/>
      <c r="D793" s="73"/>
      <c r="E793" s="330"/>
      <c r="F793" s="118"/>
      <c r="G793" s="118"/>
      <c r="H793" s="118"/>
      <c r="I793" s="118"/>
      <c r="J793" s="119"/>
      <c r="K793" s="120"/>
      <c r="L793" s="120"/>
      <c r="M793" s="120"/>
      <c r="N793" s="120"/>
      <c r="O793" s="118"/>
      <c r="P793" s="120"/>
      <c r="Q793" s="121"/>
      <c r="R793" s="109" t="b">
        <v>0</v>
      </c>
      <c r="S793" s="143" t="str">
        <f t="shared" si="1"/>
        <v>Suspenso</v>
      </c>
      <c r="T793" s="118"/>
      <c r="U793" s="118"/>
      <c r="V793" s="118"/>
      <c r="W793" s="118"/>
      <c r="X793" s="118"/>
      <c r="Y793" s="118"/>
      <c r="Z793" s="118"/>
      <c r="AA793" s="118"/>
      <c r="AB793" s="118"/>
      <c r="AC793" s="118"/>
      <c r="AD793" s="111"/>
      <c r="AE793" s="73"/>
      <c r="AF793" s="73"/>
    </row>
    <row r="794" ht="22.5" customHeight="1">
      <c r="A794" s="73"/>
      <c r="B794" s="73"/>
      <c r="C794" s="73"/>
      <c r="D794" s="73"/>
      <c r="E794" s="330"/>
      <c r="F794" s="118"/>
      <c r="G794" s="118"/>
      <c r="H794" s="118"/>
      <c r="I794" s="118"/>
      <c r="J794" s="119"/>
      <c r="K794" s="120"/>
      <c r="L794" s="120"/>
      <c r="M794" s="120"/>
      <c r="N794" s="120"/>
      <c r="O794" s="118"/>
      <c r="P794" s="120"/>
      <c r="Q794" s="121"/>
      <c r="R794" s="109" t="b">
        <v>0</v>
      </c>
      <c r="S794" s="143" t="str">
        <f t="shared" si="1"/>
        <v>Suspenso</v>
      </c>
      <c r="T794" s="118"/>
      <c r="U794" s="118"/>
      <c r="V794" s="118"/>
      <c r="W794" s="118"/>
      <c r="X794" s="118"/>
      <c r="Y794" s="118"/>
      <c r="Z794" s="118"/>
      <c r="AA794" s="118"/>
      <c r="AB794" s="118"/>
      <c r="AC794" s="118"/>
      <c r="AD794" s="111"/>
      <c r="AE794" s="73"/>
      <c r="AF794" s="73"/>
    </row>
    <row r="795" ht="22.5" customHeight="1">
      <c r="A795" s="73"/>
      <c r="B795" s="73"/>
      <c r="C795" s="73"/>
      <c r="D795" s="73"/>
      <c r="E795" s="330"/>
      <c r="F795" s="118"/>
      <c r="G795" s="118"/>
      <c r="H795" s="118"/>
      <c r="I795" s="118"/>
      <c r="J795" s="119"/>
      <c r="K795" s="120"/>
      <c r="L795" s="120"/>
      <c r="M795" s="120"/>
      <c r="N795" s="120"/>
      <c r="O795" s="118"/>
      <c r="P795" s="120"/>
      <c r="Q795" s="121"/>
      <c r="R795" s="109" t="b">
        <v>0</v>
      </c>
      <c r="S795" s="143" t="str">
        <f t="shared" si="1"/>
        <v>Suspenso</v>
      </c>
      <c r="T795" s="118"/>
      <c r="U795" s="118"/>
      <c r="V795" s="118"/>
      <c r="W795" s="118"/>
      <c r="X795" s="118"/>
      <c r="Y795" s="118"/>
      <c r="Z795" s="118"/>
      <c r="AA795" s="118"/>
      <c r="AB795" s="118"/>
      <c r="AC795" s="118"/>
      <c r="AD795" s="111"/>
      <c r="AE795" s="73"/>
      <c r="AF795" s="73"/>
    </row>
    <row r="796" ht="22.5" customHeight="1">
      <c r="A796" s="73"/>
      <c r="B796" s="73"/>
      <c r="C796" s="73"/>
      <c r="D796" s="73"/>
      <c r="E796" s="330"/>
      <c r="F796" s="118"/>
      <c r="G796" s="118"/>
      <c r="H796" s="118"/>
      <c r="I796" s="118"/>
      <c r="J796" s="119"/>
      <c r="K796" s="120"/>
      <c r="L796" s="120"/>
      <c r="M796" s="120"/>
      <c r="N796" s="120"/>
      <c r="O796" s="118"/>
      <c r="P796" s="120"/>
      <c r="Q796" s="121"/>
      <c r="R796" s="109" t="b">
        <v>0</v>
      </c>
      <c r="S796" s="143" t="str">
        <f t="shared" si="1"/>
        <v>Suspenso</v>
      </c>
      <c r="T796" s="118"/>
      <c r="U796" s="118"/>
      <c r="V796" s="118"/>
      <c r="W796" s="118"/>
      <c r="X796" s="118"/>
      <c r="Y796" s="118"/>
      <c r="Z796" s="118"/>
      <c r="AA796" s="118"/>
      <c r="AB796" s="118"/>
      <c r="AC796" s="118"/>
      <c r="AD796" s="111"/>
      <c r="AE796" s="73"/>
      <c r="AF796" s="73"/>
    </row>
    <row r="797" ht="22.5" customHeight="1">
      <c r="A797" s="73"/>
      <c r="B797" s="73"/>
      <c r="C797" s="73"/>
      <c r="D797" s="73"/>
      <c r="E797" s="330"/>
      <c r="F797" s="118"/>
      <c r="G797" s="118"/>
      <c r="H797" s="118"/>
      <c r="I797" s="118"/>
      <c r="J797" s="119"/>
      <c r="K797" s="120"/>
      <c r="L797" s="120"/>
      <c r="M797" s="120"/>
      <c r="N797" s="120"/>
      <c r="O797" s="118"/>
      <c r="P797" s="120"/>
      <c r="Q797" s="121"/>
      <c r="R797" s="109" t="b">
        <v>0</v>
      </c>
      <c r="S797" s="143" t="str">
        <f t="shared" si="1"/>
        <v>Suspenso</v>
      </c>
      <c r="T797" s="118"/>
      <c r="U797" s="118"/>
      <c r="V797" s="118"/>
      <c r="W797" s="118"/>
      <c r="X797" s="118"/>
      <c r="Y797" s="118"/>
      <c r="Z797" s="118"/>
      <c r="AA797" s="118"/>
      <c r="AB797" s="118"/>
      <c r="AC797" s="118"/>
      <c r="AD797" s="111"/>
      <c r="AE797" s="73"/>
      <c r="AF797" s="73"/>
    </row>
    <row r="798" ht="22.5" customHeight="1">
      <c r="A798" s="73"/>
      <c r="B798" s="73"/>
      <c r="C798" s="73"/>
      <c r="D798" s="73"/>
      <c r="E798" s="330"/>
      <c r="F798" s="118"/>
      <c r="G798" s="118"/>
      <c r="H798" s="118"/>
      <c r="I798" s="118"/>
      <c r="J798" s="119"/>
      <c r="K798" s="120"/>
      <c r="L798" s="120"/>
      <c r="M798" s="120"/>
      <c r="N798" s="120"/>
      <c r="O798" s="118"/>
      <c r="P798" s="120"/>
      <c r="Q798" s="121"/>
      <c r="R798" s="109" t="b">
        <v>0</v>
      </c>
      <c r="S798" s="143" t="str">
        <f t="shared" si="1"/>
        <v>Suspenso</v>
      </c>
      <c r="T798" s="118"/>
      <c r="U798" s="118"/>
      <c r="V798" s="118"/>
      <c r="W798" s="118"/>
      <c r="X798" s="118"/>
      <c r="Y798" s="118"/>
      <c r="Z798" s="118"/>
      <c r="AA798" s="118"/>
      <c r="AB798" s="118"/>
      <c r="AC798" s="118"/>
      <c r="AD798" s="111"/>
      <c r="AE798" s="73"/>
      <c r="AF798" s="73"/>
    </row>
    <row r="799" ht="22.5" customHeight="1">
      <c r="A799" s="73"/>
      <c r="B799" s="73"/>
      <c r="C799" s="73"/>
      <c r="D799" s="73"/>
      <c r="E799" s="330"/>
      <c r="F799" s="118"/>
      <c r="G799" s="118"/>
      <c r="H799" s="118"/>
      <c r="I799" s="118"/>
      <c r="J799" s="119"/>
      <c r="K799" s="120"/>
      <c r="L799" s="120"/>
      <c r="M799" s="120"/>
      <c r="N799" s="120"/>
      <c r="O799" s="118"/>
      <c r="P799" s="120"/>
      <c r="Q799" s="121"/>
      <c r="R799" s="109" t="b">
        <v>0</v>
      </c>
      <c r="S799" s="143" t="str">
        <f t="shared" si="1"/>
        <v>Suspenso</v>
      </c>
      <c r="T799" s="118"/>
      <c r="U799" s="118"/>
      <c r="V799" s="118"/>
      <c r="W799" s="118"/>
      <c r="X799" s="118"/>
      <c r="Y799" s="118"/>
      <c r="Z799" s="118"/>
      <c r="AA799" s="118"/>
      <c r="AB799" s="118"/>
      <c r="AC799" s="118"/>
      <c r="AD799" s="111"/>
      <c r="AE799" s="73"/>
      <c r="AF799" s="73"/>
    </row>
    <row r="800" ht="22.5" customHeight="1">
      <c r="A800" s="73"/>
      <c r="B800" s="73"/>
      <c r="C800" s="73"/>
      <c r="D800" s="73"/>
      <c r="E800" s="330"/>
      <c r="F800" s="118"/>
      <c r="G800" s="118"/>
      <c r="H800" s="118"/>
      <c r="I800" s="118"/>
      <c r="J800" s="119"/>
      <c r="K800" s="120"/>
      <c r="L800" s="120"/>
      <c r="M800" s="120"/>
      <c r="N800" s="120"/>
      <c r="O800" s="118"/>
      <c r="P800" s="120"/>
      <c r="Q800" s="121"/>
      <c r="R800" s="109" t="b">
        <v>0</v>
      </c>
      <c r="S800" s="143" t="str">
        <f t="shared" si="1"/>
        <v>Suspenso</v>
      </c>
      <c r="T800" s="118"/>
      <c r="U800" s="118"/>
      <c r="V800" s="118"/>
      <c r="W800" s="118"/>
      <c r="X800" s="118"/>
      <c r="Y800" s="118"/>
      <c r="Z800" s="118"/>
      <c r="AA800" s="118"/>
      <c r="AB800" s="118"/>
      <c r="AC800" s="118"/>
      <c r="AD800" s="111"/>
      <c r="AE800" s="73"/>
      <c r="AF800" s="73"/>
    </row>
    <row r="801" ht="22.5" customHeight="1">
      <c r="A801" s="73"/>
      <c r="B801" s="73"/>
      <c r="C801" s="73"/>
      <c r="D801" s="73"/>
      <c r="E801" s="330"/>
      <c r="F801" s="118"/>
      <c r="G801" s="118"/>
      <c r="H801" s="118"/>
      <c r="I801" s="118"/>
      <c r="J801" s="119"/>
      <c r="K801" s="120"/>
      <c r="L801" s="120"/>
      <c r="M801" s="120"/>
      <c r="N801" s="120"/>
      <c r="O801" s="118"/>
      <c r="P801" s="120"/>
      <c r="Q801" s="121"/>
      <c r="R801" s="109" t="b">
        <v>0</v>
      </c>
      <c r="S801" s="143" t="str">
        <f t="shared" si="1"/>
        <v>Suspenso</v>
      </c>
      <c r="T801" s="118"/>
      <c r="U801" s="118"/>
      <c r="V801" s="118"/>
      <c r="W801" s="118"/>
      <c r="X801" s="118"/>
      <c r="Y801" s="118"/>
      <c r="Z801" s="118"/>
      <c r="AA801" s="118"/>
      <c r="AB801" s="118"/>
      <c r="AC801" s="118"/>
      <c r="AD801" s="111"/>
      <c r="AE801" s="73"/>
      <c r="AF801" s="73"/>
    </row>
    <row r="802" ht="22.5" customHeight="1">
      <c r="A802" s="73"/>
      <c r="B802" s="73"/>
      <c r="C802" s="73"/>
      <c r="D802" s="73"/>
      <c r="E802" s="330"/>
      <c r="F802" s="118"/>
      <c r="G802" s="118"/>
      <c r="H802" s="118"/>
      <c r="I802" s="118"/>
      <c r="J802" s="119"/>
      <c r="K802" s="120"/>
      <c r="L802" s="120"/>
      <c r="M802" s="120"/>
      <c r="N802" s="120"/>
      <c r="O802" s="118"/>
      <c r="P802" s="120"/>
      <c r="Q802" s="121"/>
      <c r="R802" s="109" t="b">
        <v>0</v>
      </c>
      <c r="S802" s="143" t="str">
        <f t="shared" si="1"/>
        <v>Suspenso</v>
      </c>
      <c r="T802" s="118"/>
      <c r="U802" s="118"/>
      <c r="V802" s="118"/>
      <c r="W802" s="118"/>
      <c r="X802" s="118"/>
      <c r="Y802" s="118"/>
      <c r="Z802" s="118"/>
      <c r="AA802" s="118"/>
      <c r="AB802" s="118"/>
      <c r="AC802" s="118"/>
      <c r="AD802" s="111"/>
      <c r="AE802" s="73"/>
      <c r="AF802" s="73"/>
    </row>
    <row r="803" ht="22.5" customHeight="1">
      <c r="A803" s="73"/>
      <c r="B803" s="73"/>
      <c r="C803" s="73"/>
      <c r="D803" s="73"/>
      <c r="E803" s="330"/>
      <c r="F803" s="118"/>
      <c r="G803" s="118"/>
      <c r="H803" s="118"/>
      <c r="I803" s="118"/>
      <c r="J803" s="119"/>
      <c r="K803" s="120"/>
      <c r="L803" s="120"/>
      <c r="M803" s="120"/>
      <c r="N803" s="120"/>
      <c r="O803" s="118"/>
      <c r="P803" s="120"/>
      <c r="Q803" s="121"/>
      <c r="R803" s="109" t="b">
        <v>0</v>
      </c>
      <c r="S803" s="143" t="str">
        <f t="shared" si="1"/>
        <v>Suspenso</v>
      </c>
      <c r="T803" s="118"/>
      <c r="U803" s="118"/>
      <c r="V803" s="118"/>
      <c r="W803" s="118"/>
      <c r="X803" s="118"/>
      <c r="Y803" s="118"/>
      <c r="Z803" s="118"/>
      <c r="AA803" s="118"/>
      <c r="AB803" s="118"/>
      <c r="AC803" s="118"/>
      <c r="AD803" s="111"/>
      <c r="AE803" s="73"/>
      <c r="AF803" s="73"/>
    </row>
    <row r="804" ht="22.5" customHeight="1">
      <c r="A804" s="73"/>
      <c r="B804" s="73"/>
      <c r="C804" s="73"/>
      <c r="D804" s="73"/>
      <c r="E804" s="330"/>
      <c r="F804" s="118"/>
      <c r="G804" s="118"/>
      <c r="H804" s="118"/>
      <c r="I804" s="118"/>
      <c r="J804" s="119"/>
      <c r="K804" s="120"/>
      <c r="L804" s="120"/>
      <c r="M804" s="120"/>
      <c r="N804" s="120"/>
      <c r="O804" s="118"/>
      <c r="P804" s="120"/>
      <c r="Q804" s="121"/>
      <c r="R804" s="109" t="b">
        <v>0</v>
      </c>
      <c r="S804" s="143" t="str">
        <f t="shared" si="1"/>
        <v>Suspenso</v>
      </c>
      <c r="T804" s="118"/>
      <c r="U804" s="118"/>
      <c r="V804" s="118"/>
      <c r="W804" s="118"/>
      <c r="X804" s="118"/>
      <c r="Y804" s="118"/>
      <c r="Z804" s="118"/>
      <c r="AA804" s="118"/>
      <c r="AB804" s="118"/>
      <c r="AC804" s="118"/>
      <c r="AD804" s="111"/>
      <c r="AE804" s="73"/>
      <c r="AF804" s="73"/>
    </row>
    <row r="805" ht="22.5" customHeight="1">
      <c r="A805" s="73"/>
      <c r="B805" s="73"/>
      <c r="C805" s="73"/>
      <c r="D805" s="73"/>
      <c r="E805" s="330"/>
      <c r="F805" s="118"/>
      <c r="G805" s="118"/>
      <c r="H805" s="118"/>
      <c r="I805" s="118"/>
      <c r="J805" s="119"/>
      <c r="K805" s="120"/>
      <c r="L805" s="120"/>
      <c r="M805" s="120"/>
      <c r="N805" s="120"/>
      <c r="O805" s="118"/>
      <c r="P805" s="120"/>
      <c r="Q805" s="121"/>
      <c r="R805" s="109" t="b">
        <v>0</v>
      </c>
      <c r="S805" s="143" t="str">
        <f t="shared" si="1"/>
        <v>Suspenso</v>
      </c>
      <c r="T805" s="118"/>
      <c r="U805" s="118"/>
      <c r="V805" s="118"/>
      <c r="W805" s="118"/>
      <c r="X805" s="118"/>
      <c r="Y805" s="118"/>
      <c r="Z805" s="118"/>
      <c r="AA805" s="118"/>
      <c r="AB805" s="118"/>
      <c r="AC805" s="118"/>
      <c r="AD805" s="111"/>
      <c r="AE805" s="73"/>
      <c r="AF805" s="73"/>
    </row>
    <row r="806" ht="22.5" customHeight="1">
      <c r="A806" s="73"/>
      <c r="B806" s="73"/>
      <c r="C806" s="73"/>
      <c r="D806" s="73"/>
      <c r="E806" s="330"/>
      <c r="F806" s="118"/>
      <c r="G806" s="118"/>
      <c r="H806" s="118"/>
      <c r="I806" s="118"/>
      <c r="J806" s="119"/>
      <c r="K806" s="120"/>
      <c r="L806" s="120"/>
      <c r="M806" s="120"/>
      <c r="N806" s="120"/>
      <c r="O806" s="118"/>
      <c r="P806" s="120"/>
      <c r="Q806" s="121"/>
      <c r="R806" s="109" t="b">
        <v>0</v>
      </c>
      <c r="S806" s="143" t="str">
        <f t="shared" si="1"/>
        <v>Suspenso</v>
      </c>
      <c r="T806" s="118"/>
      <c r="U806" s="118"/>
      <c r="V806" s="118"/>
      <c r="W806" s="118"/>
      <c r="X806" s="118"/>
      <c r="Y806" s="118"/>
      <c r="Z806" s="118"/>
      <c r="AA806" s="118"/>
      <c r="AB806" s="118"/>
      <c r="AC806" s="118"/>
      <c r="AD806" s="111"/>
      <c r="AE806" s="73"/>
      <c r="AF806" s="73"/>
    </row>
    <row r="807" ht="22.5" customHeight="1">
      <c r="A807" s="73"/>
      <c r="B807" s="73"/>
      <c r="C807" s="73"/>
      <c r="D807" s="73"/>
      <c r="E807" s="330"/>
      <c r="F807" s="118"/>
      <c r="G807" s="118"/>
      <c r="H807" s="118"/>
      <c r="I807" s="118"/>
      <c r="J807" s="119"/>
      <c r="K807" s="120"/>
      <c r="L807" s="120"/>
      <c r="M807" s="120"/>
      <c r="N807" s="120"/>
      <c r="O807" s="118"/>
      <c r="P807" s="120"/>
      <c r="Q807" s="121"/>
      <c r="R807" s="109" t="b">
        <v>0</v>
      </c>
      <c r="S807" s="143" t="str">
        <f t="shared" si="1"/>
        <v>Suspenso</v>
      </c>
      <c r="T807" s="118"/>
      <c r="U807" s="118"/>
      <c r="V807" s="118"/>
      <c r="W807" s="118"/>
      <c r="X807" s="118"/>
      <c r="Y807" s="118"/>
      <c r="Z807" s="118"/>
      <c r="AA807" s="118"/>
      <c r="AB807" s="118"/>
      <c r="AC807" s="118"/>
      <c r="AD807" s="111"/>
      <c r="AE807" s="73"/>
      <c r="AF807" s="73"/>
    </row>
    <row r="808" ht="22.5" customHeight="1">
      <c r="A808" s="73"/>
      <c r="B808" s="73"/>
      <c r="C808" s="73"/>
      <c r="D808" s="73"/>
      <c r="E808" s="330"/>
      <c r="F808" s="118"/>
      <c r="G808" s="118"/>
      <c r="H808" s="118"/>
      <c r="I808" s="118"/>
      <c r="J808" s="119"/>
      <c r="K808" s="120"/>
      <c r="L808" s="120"/>
      <c r="M808" s="120"/>
      <c r="N808" s="120"/>
      <c r="O808" s="118"/>
      <c r="P808" s="120"/>
      <c r="Q808" s="121"/>
      <c r="R808" s="109" t="b">
        <v>0</v>
      </c>
      <c r="S808" s="143" t="str">
        <f t="shared" si="1"/>
        <v>Suspenso</v>
      </c>
      <c r="T808" s="118"/>
      <c r="U808" s="118"/>
      <c r="V808" s="118"/>
      <c r="W808" s="118"/>
      <c r="X808" s="118"/>
      <c r="Y808" s="118"/>
      <c r="Z808" s="118"/>
      <c r="AA808" s="118"/>
      <c r="AB808" s="118"/>
      <c r="AC808" s="118"/>
      <c r="AD808" s="111"/>
      <c r="AE808" s="73"/>
      <c r="AF808" s="73"/>
    </row>
    <row r="809" ht="22.5" customHeight="1">
      <c r="A809" s="73"/>
      <c r="B809" s="73"/>
      <c r="C809" s="73"/>
      <c r="D809" s="73"/>
      <c r="E809" s="330"/>
      <c r="F809" s="118"/>
      <c r="G809" s="118"/>
      <c r="H809" s="118"/>
      <c r="I809" s="118"/>
      <c r="J809" s="119"/>
      <c r="K809" s="120"/>
      <c r="L809" s="120"/>
      <c r="M809" s="120"/>
      <c r="N809" s="120"/>
      <c r="O809" s="118"/>
      <c r="P809" s="120"/>
      <c r="Q809" s="121"/>
      <c r="R809" s="109" t="b">
        <v>0</v>
      </c>
      <c r="S809" s="143" t="str">
        <f t="shared" si="1"/>
        <v>Suspenso</v>
      </c>
      <c r="T809" s="118"/>
      <c r="U809" s="118"/>
      <c r="V809" s="118"/>
      <c r="W809" s="118"/>
      <c r="X809" s="118"/>
      <c r="Y809" s="118"/>
      <c r="Z809" s="118"/>
      <c r="AA809" s="118"/>
      <c r="AB809" s="118"/>
      <c r="AC809" s="118"/>
      <c r="AD809" s="111"/>
      <c r="AE809" s="73"/>
      <c r="AF809" s="73"/>
    </row>
    <row r="810" ht="22.5" customHeight="1">
      <c r="A810" s="73"/>
      <c r="B810" s="73"/>
      <c r="C810" s="73"/>
      <c r="D810" s="73"/>
      <c r="E810" s="330"/>
      <c r="F810" s="118"/>
      <c r="G810" s="118"/>
      <c r="H810" s="118"/>
      <c r="I810" s="118"/>
      <c r="J810" s="119"/>
      <c r="K810" s="120"/>
      <c r="L810" s="120"/>
      <c r="M810" s="120"/>
      <c r="N810" s="120"/>
      <c r="O810" s="118"/>
      <c r="P810" s="120"/>
      <c r="Q810" s="121"/>
      <c r="R810" s="109" t="b">
        <v>0</v>
      </c>
      <c r="S810" s="143" t="str">
        <f t="shared" si="1"/>
        <v>Suspenso</v>
      </c>
      <c r="T810" s="118"/>
      <c r="U810" s="118"/>
      <c r="V810" s="118"/>
      <c r="W810" s="118"/>
      <c r="X810" s="118"/>
      <c r="Y810" s="118"/>
      <c r="Z810" s="118"/>
      <c r="AA810" s="118"/>
      <c r="AB810" s="118"/>
      <c r="AC810" s="118"/>
      <c r="AD810" s="111"/>
      <c r="AE810" s="73"/>
      <c r="AF810" s="73"/>
    </row>
    <row r="811" ht="22.5" customHeight="1">
      <c r="A811" s="73"/>
      <c r="B811" s="73"/>
      <c r="C811" s="73"/>
      <c r="D811" s="73"/>
      <c r="E811" s="330"/>
      <c r="F811" s="118"/>
      <c r="G811" s="118"/>
      <c r="H811" s="118"/>
      <c r="I811" s="118"/>
      <c r="J811" s="119"/>
      <c r="K811" s="120"/>
      <c r="L811" s="120"/>
      <c r="M811" s="120"/>
      <c r="N811" s="120"/>
      <c r="O811" s="118"/>
      <c r="P811" s="120"/>
      <c r="Q811" s="121"/>
      <c r="R811" s="109" t="b">
        <v>0</v>
      </c>
      <c r="S811" s="143" t="str">
        <f t="shared" si="1"/>
        <v>Suspenso</v>
      </c>
      <c r="T811" s="118"/>
      <c r="U811" s="118"/>
      <c r="V811" s="118"/>
      <c r="W811" s="118"/>
      <c r="X811" s="118"/>
      <c r="Y811" s="118"/>
      <c r="Z811" s="118"/>
      <c r="AA811" s="118"/>
      <c r="AB811" s="118"/>
      <c r="AC811" s="118"/>
      <c r="AD811" s="111"/>
      <c r="AE811" s="73"/>
      <c r="AF811" s="73"/>
    </row>
    <row r="812" ht="22.5" customHeight="1">
      <c r="A812" s="73"/>
      <c r="B812" s="73"/>
      <c r="C812" s="73"/>
      <c r="D812" s="73"/>
      <c r="E812" s="330"/>
      <c r="F812" s="118"/>
      <c r="G812" s="118"/>
      <c r="H812" s="118"/>
      <c r="I812" s="118"/>
      <c r="J812" s="119"/>
      <c r="K812" s="120"/>
      <c r="L812" s="120"/>
      <c r="M812" s="120"/>
      <c r="N812" s="120"/>
      <c r="O812" s="118"/>
      <c r="P812" s="120"/>
      <c r="Q812" s="121"/>
      <c r="R812" s="109" t="b">
        <v>0</v>
      </c>
      <c r="S812" s="143" t="str">
        <f t="shared" si="1"/>
        <v>Suspenso</v>
      </c>
      <c r="T812" s="118"/>
      <c r="U812" s="118"/>
      <c r="V812" s="118"/>
      <c r="W812" s="118"/>
      <c r="X812" s="118"/>
      <c r="Y812" s="118"/>
      <c r="Z812" s="118"/>
      <c r="AA812" s="118"/>
      <c r="AB812" s="118"/>
      <c r="AC812" s="118"/>
      <c r="AD812" s="111"/>
      <c r="AE812" s="73"/>
      <c r="AF812" s="73"/>
    </row>
    <row r="813" ht="22.5" customHeight="1">
      <c r="A813" s="73"/>
      <c r="B813" s="73"/>
      <c r="C813" s="73"/>
      <c r="D813" s="73"/>
      <c r="E813" s="330"/>
      <c r="F813" s="118"/>
      <c r="G813" s="118"/>
      <c r="H813" s="118"/>
      <c r="I813" s="118"/>
      <c r="J813" s="119"/>
      <c r="K813" s="120"/>
      <c r="L813" s="120"/>
      <c r="M813" s="120"/>
      <c r="N813" s="120"/>
      <c r="O813" s="118"/>
      <c r="P813" s="120"/>
      <c r="Q813" s="121"/>
      <c r="R813" s="109" t="b">
        <v>0</v>
      </c>
      <c r="S813" s="143" t="str">
        <f t="shared" si="1"/>
        <v>Suspenso</v>
      </c>
      <c r="T813" s="118"/>
      <c r="U813" s="118"/>
      <c r="V813" s="118"/>
      <c r="W813" s="118"/>
      <c r="X813" s="118"/>
      <c r="Y813" s="118"/>
      <c r="Z813" s="118"/>
      <c r="AA813" s="118"/>
      <c r="AB813" s="118"/>
      <c r="AC813" s="118"/>
      <c r="AD813" s="111"/>
      <c r="AE813" s="73"/>
      <c r="AF813" s="73"/>
    </row>
    <row r="814" ht="22.5" customHeight="1">
      <c r="A814" s="73"/>
      <c r="B814" s="73"/>
      <c r="C814" s="73"/>
      <c r="D814" s="73"/>
      <c r="E814" s="330"/>
      <c r="F814" s="118"/>
      <c r="G814" s="118"/>
      <c r="H814" s="118"/>
      <c r="I814" s="118"/>
      <c r="J814" s="119"/>
      <c r="K814" s="120"/>
      <c r="L814" s="120"/>
      <c r="M814" s="120"/>
      <c r="N814" s="120"/>
      <c r="O814" s="118"/>
      <c r="P814" s="120"/>
      <c r="Q814" s="121"/>
      <c r="R814" s="109" t="b">
        <v>0</v>
      </c>
      <c r="S814" s="143" t="str">
        <f t="shared" si="1"/>
        <v>Suspenso</v>
      </c>
      <c r="T814" s="118"/>
      <c r="U814" s="118"/>
      <c r="V814" s="118"/>
      <c r="W814" s="118"/>
      <c r="X814" s="118"/>
      <c r="Y814" s="118"/>
      <c r="Z814" s="118"/>
      <c r="AA814" s="118"/>
      <c r="AB814" s="118"/>
      <c r="AC814" s="118"/>
      <c r="AD814" s="111"/>
      <c r="AE814" s="73"/>
      <c r="AF814" s="73"/>
    </row>
    <row r="815" ht="22.5" customHeight="1">
      <c r="A815" s="73"/>
      <c r="B815" s="73"/>
      <c r="C815" s="73"/>
      <c r="D815" s="73"/>
      <c r="E815" s="330"/>
      <c r="F815" s="118"/>
      <c r="G815" s="118"/>
      <c r="H815" s="118"/>
      <c r="I815" s="118"/>
      <c r="J815" s="119"/>
      <c r="K815" s="120"/>
      <c r="L815" s="120"/>
      <c r="M815" s="120"/>
      <c r="N815" s="120"/>
      <c r="O815" s="118"/>
      <c r="P815" s="120"/>
      <c r="Q815" s="121"/>
      <c r="R815" s="109" t="b">
        <v>0</v>
      </c>
      <c r="S815" s="143" t="str">
        <f t="shared" si="1"/>
        <v>Suspenso</v>
      </c>
      <c r="T815" s="118"/>
      <c r="U815" s="118"/>
      <c r="V815" s="118"/>
      <c r="W815" s="118"/>
      <c r="X815" s="118"/>
      <c r="Y815" s="118"/>
      <c r="Z815" s="118"/>
      <c r="AA815" s="118"/>
      <c r="AB815" s="118"/>
      <c r="AC815" s="118"/>
      <c r="AD815" s="111"/>
      <c r="AE815" s="73"/>
      <c r="AF815" s="73"/>
    </row>
    <row r="816" ht="22.5" customHeight="1">
      <c r="A816" s="73"/>
      <c r="B816" s="73"/>
      <c r="C816" s="73"/>
      <c r="D816" s="73"/>
      <c r="E816" s="330"/>
      <c r="F816" s="118"/>
      <c r="G816" s="118"/>
      <c r="H816" s="118"/>
      <c r="I816" s="118"/>
      <c r="J816" s="119"/>
      <c r="K816" s="120"/>
      <c r="L816" s="120"/>
      <c r="M816" s="120"/>
      <c r="N816" s="120"/>
      <c r="O816" s="118"/>
      <c r="P816" s="120"/>
      <c r="Q816" s="121"/>
      <c r="R816" s="109" t="b">
        <v>0</v>
      </c>
      <c r="S816" s="143" t="str">
        <f t="shared" si="1"/>
        <v>Suspenso</v>
      </c>
      <c r="T816" s="118"/>
      <c r="U816" s="118"/>
      <c r="V816" s="118"/>
      <c r="W816" s="118"/>
      <c r="X816" s="118"/>
      <c r="Y816" s="118"/>
      <c r="Z816" s="118"/>
      <c r="AA816" s="118"/>
      <c r="AB816" s="118"/>
      <c r="AC816" s="118"/>
      <c r="AD816" s="111"/>
      <c r="AE816" s="73"/>
      <c r="AF816" s="73"/>
    </row>
    <row r="817" ht="22.5" customHeight="1">
      <c r="A817" s="73"/>
      <c r="B817" s="73"/>
      <c r="C817" s="73"/>
      <c r="D817" s="73"/>
      <c r="E817" s="330"/>
      <c r="F817" s="118"/>
      <c r="G817" s="118"/>
      <c r="H817" s="118"/>
      <c r="I817" s="118"/>
      <c r="J817" s="119"/>
      <c r="K817" s="120"/>
      <c r="L817" s="120"/>
      <c r="M817" s="120"/>
      <c r="N817" s="120"/>
      <c r="O817" s="118"/>
      <c r="P817" s="120"/>
      <c r="Q817" s="121"/>
      <c r="R817" s="109" t="b">
        <v>0</v>
      </c>
      <c r="S817" s="143" t="str">
        <f t="shared" si="1"/>
        <v>Suspenso</v>
      </c>
      <c r="T817" s="118"/>
      <c r="U817" s="118"/>
      <c r="V817" s="118"/>
      <c r="W817" s="118"/>
      <c r="X817" s="118"/>
      <c r="Y817" s="118"/>
      <c r="Z817" s="118"/>
      <c r="AA817" s="118"/>
      <c r="AB817" s="118"/>
      <c r="AC817" s="118"/>
      <c r="AD817" s="111"/>
      <c r="AE817" s="73"/>
      <c r="AF817" s="73"/>
    </row>
    <row r="818" ht="22.5" customHeight="1">
      <c r="A818" s="73"/>
      <c r="B818" s="73"/>
      <c r="C818" s="73"/>
      <c r="D818" s="73"/>
      <c r="E818" s="330"/>
      <c r="F818" s="118"/>
      <c r="G818" s="118"/>
      <c r="H818" s="118"/>
      <c r="I818" s="118"/>
      <c r="J818" s="119"/>
      <c r="K818" s="120"/>
      <c r="L818" s="120"/>
      <c r="M818" s="120"/>
      <c r="N818" s="120"/>
      <c r="O818" s="118"/>
      <c r="P818" s="120"/>
      <c r="Q818" s="121"/>
      <c r="R818" s="109" t="b">
        <v>0</v>
      </c>
      <c r="S818" s="143" t="str">
        <f t="shared" si="1"/>
        <v>Suspenso</v>
      </c>
      <c r="T818" s="118"/>
      <c r="U818" s="118"/>
      <c r="V818" s="118"/>
      <c r="W818" s="118"/>
      <c r="X818" s="118"/>
      <c r="Y818" s="118"/>
      <c r="Z818" s="118"/>
      <c r="AA818" s="118"/>
      <c r="AB818" s="118"/>
      <c r="AC818" s="118"/>
      <c r="AD818" s="111"/>
      <c r="AE818" s="73"/>
      <c r="AF818" s="73"/>
    </row>
    <row r="819" ht="22.5" customHeight="1">
      <c r="A819" s="73"/>
      <c r="B819" s="73"/>
      <c r="C819" s="73"/>
      <c r="D819" s="73"/>
      <c r="E819" s="330"/>
      <c r="F819" s="118"/>
      <c r="G819" s="118"/>
      <c r="H819" s="118"/>
      <c r="I819" s="118"/>
      <c r="J819" s="119"/>
      <c r="K819" s="120"/>
      <c r="L819" s="120"/>
      <c r="M819" s="120"/>
      <c r="N819" s="120"/>
      <c r="O819" s="118"/>
      <c r="P819" s="120"/>
      <c r="Q819" s="121"/>
      <c r="R819" s="109" t="b">
        <v>0</v>
      </c>
      <c r="S819" s="143" t="str">
        <f t="shared" si="1"/>
        <v>Suspenso</v>
      </c>
      <c r="T819" s="118"/>
      <c r="U819" s="118"/>
      <c r="V819" s="118"/>
      <c r="W819" s="118"/>
      <c r="X819" s="118"/>
      <c r="Y819" s="118"/>
      <c r="Z819" s="118"/>
      <c r="AA819" s="118"/>
      <c r="AB819" s="118"/>
      <c r="AC819" s="118"/>
      <c r="AD819" s="111"/>
      <c r="AE819" s="73"/>
      <c r="AF819" s="73"/>
    </row>
    <row r="820" ht="22.5" customHeight="1">
      <c r="A820" s="73"/>
      <c r="B820" s="73"/>
      <c r="C820" s="73"/>
      <c r="D820" s="73"/>
      <c r="E820" s="330"/>
      <c r="F820" s="118"/>
      <c r="G820" s="118"/>
      <c r="H820" s="118"/>
      <c r="I820" s="118"/>
      <c r="J820" s="119"/>
      <c r="K820" s="120"/>
      <c r="L820" s="120"/>
      <c r="M820" s="120"/>
      <c r="N820" s="120"/>
      <c r="O820" s="118"/>
      <c r="P820" s="120"/>
      <c r="Q820" s="121"/>
      <c r="R820" s="109" t="b">
        <v>0</v>
      </c>
      <c r="S820" s="143" t="str">
        <f t="shared" si="1"/>
        <v>Suspenso</v>
      </c>
      <c r="T820" s="118"/>
      <c r="U820" s="118"/>
      <c r="V820" s="118"/>
      <c r="W820" s="118"/>
      <c r="X820" s="118"/>
      <c r="Y820" s="118"/>
      <c r="Z820" s="118"/>
      <c r="AA820" s="118"/>
      <c r="AB820" s="118"/>
      <c r="AC820" s="118"/>
      <c r="AD820" s="111"/>
      <c r="AE820" s="73"/>
      <c r="AF820" s="73"/>
    </row>
    <row r="821" ht="22.5" customHeight="1">
      <c r="A821" s="73"/>
      <c r="B821" s="73"/>
      <c r="C821" s="73"/>
      <c r="D821" s="73"/>
      <c r="E821" s="330"/>
      <c r="F821" s="118"/>
      <c r="G821" s="118"/>
      <c r="H821" s="118"/>
      <c r="I821" s="118"/>
      <c r="J821" s="119"/>
      <c r="K821" s="120"/>
      <c r="L821" s="120"/>
      <c r="M821" s="120"/>
      <c r="N821" s="120"/>
      <c r="O821" s="118"/>
      <c r="P821" s="120"/>
      <c r="Q821" s="121"/>
      <c r="R821" s="109" t="b">
        <v>0</v>
      </c>
      <c r="S821" s="143" t="str">
        <f t="shared" si="1"/>
        <v>Suspenso</v>
      </c>
      <c r="T821" s="118"/>
      <c r="U821" s="118"/>
      <c r="V821" s="118"/>
      <c r="W821" s="118"/>
      <c r="X821" s="118"/>
      <c r="Y821" s="118"/>
      <c r="Z821" s="118"/>
      <c r="AA821" s="118"/>
      <c r="AB821" s="118"/>
      <c r="AC821" s="118"/>
      <c r="AD821" s="111"/>
      <c r="AE821" s="73"/>
      <c r="AF821" s="73"/>
    </row>
    <row r="822" ht="22.5" customHeight="1">
      <c r="A822" s="73"/>
      <c r="B822" s="73"/>
      <c r="C822" s="73"/>
      <c r="D822" s="73"/>
      <c r="E822" s="330"/>
      <c r="F822" s="118"/>
      <c r="G822" s="118"/>
      <c r="H822" s="118"/>
      <c r="I822" s="118"/>
      <c r="J822" s="119"/>
      <c r="K822" s="120"/>
      <c r="L822" s="120"/>
      <c r="M822" s="120"/>
      <c r="N822" s="120"/>
      <c r="O822" s="118"/>
      <c r="P822" s="120"/>
      <c r="Q822" s="121"/>
      <c r="R822" s="109" t="b">
        <v>0</v>
      </c>
      <c r="S822" s="143" t="str">
        <f t="shared" si="1"/>
        <v>Suspenso</v>
      </c>
      <c r="T822" s="118"/>
      <c r="U822" s="118"/>
      <c r="V822" s="118"/>
      <c r="W822" s="118"/>
      <c r="X822" s="118"/>
      <c r="Y822" s="118"/>
      <c r="Z822" s="118"/>
      <c r="AA822" s="118"/>
      <c r="AB822" s="118"/>
      <c r="AC822" s="118"/>
      <c r="AD822" s="111"/>
      <c r="AE822" s="73"/>
      <c r="AF822" s="73"/>
    </row>
    <row r="823" ht="22.5" customHeight="1">
      <c r="A823" s="73"/>
      <c r="B823" s="73"/>
      <c r="C823" s="73"/>
      <c r="D823" s="73"/>
      <c r="E823" s="330"/>
      <c r="F823" s="118"/>
      <c r="G823" s="118"/>
      <c r="H823" s="118"/>
      <c r="I823" s="118"/>
      <c r="J823" s="119"/>
      <c r="K823" s="120"/>
      <c r="L823" s="120"/>
      <c r="M823" s="120"/>
      <c r="N823" s="120"/>
      <c r="O823" s="118"/>
      <c r="P823" s="120"/>
      <c r="Q823" s="121"/>
      <c r="R823" s="109" t="b">
        <v>0</v>
      </c>
      <c r="S823" s="143" t="str">
        <f t="shared" si="1"/>
        <v>Suspenso</v>
      </c>
      <c r="T823" s="118"/>
      <c r="U823" s="118"/>
      <c r="V823" s="118"/>
      <c r="W823" s="118"/>
      <c r="X823" s="118"/>
      <c r="Y823" s="118"/>
      <c r="Z823" s="118"/>
      <c r="AA823" s="118"/>
      <c r="AB823" s="118"/>
      <c r="AC823" s="118"/>
      <c r="AD823" s="111"/>
      <c r="AE823" s="73"/>
      <c r="AF823" s="73"/>
    </row>
    <row r="824" ht="22.5" customHeight="1">
      <c r="A824" s="73"/>
      <c r="B824" s="73"/>
      <c r="C824" s="73"/>
      <c r="D824" s="73"/>
      <c r="E824" s="330"/>
      <c r="F824" s="118"/>
      <c r="G824" s="118"/>
      <c r="H824" s="118"/>
      <c r="I824" s="118"/>
      <c r="J824" s="119"/>
      <c r="K824" s="120"/>
      <c r="L824" s="120"/>
      <c r="M824" s="120"/>
      <c r="N824" s="120"/>
      <c r="O824" s="118"/>
      <c r="P824" s="120"/>
      <c r="Q824" s="121"/>
      <c r="R824" s="109" t="b">
        <v>0</v>
      </c>
      <c r="S824" s="143" t="str">
        <f t="shared" si="1"/>
        <v>Suspenso</v>
      </c>
      <c r="T824" s="118"/>
      <c r="U824" s="118"/>
      <c r="V824" s="118"/>
      <c r="W824" s="118"/>
      <c r="X824" s="118"/>
      <c r="Y824" s="118"/>
      <c r="Z824" s="118"/>
      <c r="AA824" s="118"/>
      <c r="AB824" s="118"/>
      <c r="AC824" s="118"/>
      <c r="AD824" s="111"/>
      <c r="AE824" s="73"/>
      <c r="AF824" s="73"/>
    </row>
    <row r="825" ht="22.5" customHeight="1">
      <c r="A825" s="73"/>
      <c r="B825" s="73"/>
      <c r="C825" s="73"/>
      <c r="D825" s="73"/>
      <c r="E825" s="330"/>
      <c r="F825" s="118"/>
      <c r="G825" s="118"/>
      <c r="H825" s="118"/>
      <c r="I825" s="118"/>
      <c r="J825" s="119"/>
      <c r="K825" s="120"/>
      <c r="L825" s="120"/>
      <c r="M825" s="120"/>
      <c r="N825" s="120"/>
      <c r="O825" s="118"/>
      <c r="P825" s="120"/>
      <c r="Q825" s="121"/>
      <c r="R825" s="109" t="b">
        <v>0</v>
      </c>
      <c r="S825" s="143" t="str">
        <f t="shared" si="1"/>
        <v>Suspenso</v>
      </c>
      <c r="T825" s="118"/>
      <c r="U825" s="118"/>
      <c r="V825" s="118"/>
      <c r="W825" s="118"/>
      <c r="X825" s="118"/>
      <c r="Y825" s="118"/>
      <c r="Z825" s="118"/>
      <c r="AA825" s="118"/>
      <c r="AB825" s="118"/>
      <c r="AC825" s="118"/>
      <c r="AD825" s="111"/>
      <c r="AE825" s="73"/>
      <c r="AF825" s="73"/>
    </row>
    <row r="826" ht="22.5" customHeight="1">
      <c r="A826" s="73"/>
      <c r="B826" s="73"/>
      <c r="C826" s="73"/>
      <c r="D826" s="73"/>
      <c r="E826" s="330"/>
      <c r="F826" s="118"/>
      <c r="G826" s="118"/>
      <c r="H826" s="118"/>
      <c r="I826" s="118"/>
      <c r="J826" s="119"/>
      <c r="K826" s="120"/>
      <c r="L826" s="120"/>
      <c r="M826" s="120"/>
      <c r="N826" s="120"/>
      <c r="O826" s="118"/>
      <c r="P826" s="120"/>
      <c r="Q826" s="121"/>
      <c r="R826" s="109" t="b">
        <v>0</v>
      </c>
      <c r="S826" s="143" t="str">
        <f t="shared" si="1"/>
        <v>Suspenso</v>
      </c>
      <c r="T826" s="118"/>
      <c r="U826" s="118"/>
      <c r="V826" s="118"/>
      <c r="W826" s="118"/>
      <c r="X826" s="118"/>
      <c r="Y826" s="118"/>
      <c r="Z826" s="118"/>
      <c r="AA826" s="118"/>
      <c r="AB826" s="118"/>
      <c r="AC826" s="118"/>
      <c r="AD826" s="111"/>
      <c r="AE826" s="73"/>
      <c r="AF826" s="73"/>
    </row>
    <row r="827" ht="22.5" customHeight="1">
      <c r="A827" s="73"/>
      <c r="B827" s="73"/>
      <c r="C827" s="73"/>
      <c r="D827" s="73"/>
      <c r="E827" s="330"/>
      <c r="F827" s="118"/>
      <c r="G827" s="118"/>
      <c r="H827" s="118"/>
      <c r="I827" s="118"/>
      <c r="J827" s="119"/>
      <c r="K827" s="120"/>
      <c r="L827" s="120"/>
      <c r="M827" s="120"/>
      <c r="N827" s="120"/>
      <c r="O827" s="118"/>
      <c r="P827" s="120"/>
      <c r="Q827" s="121"/>
      <c r="R827" s="109" t="b">
        <v>0</v>
      </c>
      <c r="S827" s="143" t="str">
        <f t="shared" si="1"/>
        <v>Suspenso</v>
      </c>
      <c r="T827" s="118"/>
      <c r="U827" s="118"/>
      <c r="V827" s="118"/>
      <c r="W827" s="118"/>
      <c r="X827" s="118"/>
      <c r="Y827" s="118"/>
      <c r="Z827" s="118"/>
      <c r="AA827" s="118"/>
      <c r="AB827" s="118"/>
      <c r="AC827" s="118"/>
      <c r="AD827" s="111"/>
      <c r="AE827" s="73"/>
      <c r="AF827" s="73"/>
    </row>
    <row r="828" ht="22.5" customHeight="1">
      <c r="A828" s="73"/>
      <c r="B828" s="73"/>
      <c r="C828" s="73"/>
      <c r="D828" s="73"/>
      <c r="E828" s="330"/>
      <c r="F828" s="118"/>
      <c r="G828" s="118"/>
      <c r="H828" s="118"/>
      <c r="I828" s="118"/>
      <c r="J828" s="119"/>
      <c r="K828" s="120"/>
      <c r="L828" s="120"/>
      <c r="M828" s="120"/>
      <c r="N828" s="120"/>
      <c r="O828" s="118"/>
      <c r="P828" s="120"/>
      <c r="Q828" s="121"/>
      <c r="R828" s="109" t="b">
        <v>0</v>
      </c>
      <c r="S828" s="143" t="str">
        <f t="shared" si="1"/>
        <v>Suspenso</v>
      </c>
      <c r="T828" s="118"/>
      <c r="U828" s="118"/>
      <c r="V828" s="118"/>
      <c r="W828" s="118"/>
      <c r="X828" s="118"/>
      <c r="Y828" s="118"/>
      <c r="Z828" s="118"/>
      <c r="AA828" s="118"/>
      <c r="AB828" s="118"/>
      <c r="AC828" s="118"/>
      <c r="AD828" s="111"/>
      <c r="AE828" s="73"/>
      <c r="AF828" s="73"/>
    </row>
    <row r="829" ht="22.5" customHeight="1">
      <c r="A829" s="73"/>
      <c r="B829" s="73"/>
      <c r="C829" s="73"/>
      <c r="D829" s="73"/>
      <c r="E829" s="330"/>
      <c r="F829" s="118"/>
      <c r="G829" s="118"/>
      <c r="H829" s="118"/>
      <c r="I829" s="118"/>
      <c r="J829" s="119"/>
      <c r="K829" s="120"/>
      <c r="L829" s="120"/>
      <c r="M829" s="120"/>
      <c r="N829" s="120"/>
      <c r="O829" s="118"/>
      <c r="P829" s="120"/>
      <c r="Q829" s="121"/>
      <c r="R829" s="109" t="b">
        <v>0</v>
      </c>
      <c r="S829" s="143" t="str">
        <f t="shared" si="1"/>
        <v>Suspenso</v>
      </c>
      <c r="T829" s="118"/>
      <c r="U829" s="118"/>
      <c r="V829" s="118"/>
      <c r="W829" s="118"/>
      <c r="X829" s="118"/>
      <c r="Y829" s="118"/>
      <c r="Z829" s="118"/>
      <c r="AA829" s="118"/>
      <c r="AB829" s="118"/>
      <c r="AC829" s="118"/>
      <c r="AD829" s="111"/>
      <c r="AE829" s="73"/>
      <c r="AF829" s="73"/>
    </row>
    <row r="830" ht="22.5" customHeight="1">
      <c r="A830" s="73"/>
      <c r="B830" s="73"/>
      <c r="C830" s="73"/>
      <c r="D830" s="73"/>
      <c r="E830" s="330"/>
      <c r="F830" s="118"/>
      <c r="G830" s="118"/>
      <c r="H830" s="118"/>
      <c r="I830" s="118"/>
      <c r="J830" s="119"/>
      <c r="K830" s="120"/>
      <c r="L830" s="120"/>
      <c r="M830" s="120"/>
      <c r="N830" s="120"/>
      <c r="O830" s="118"/>
      <c r="P830" s="120"/>
      <c r="Q830" s="121"/>
      <c r="R830" s="109" t="b">
        <v>0</v>
      </c>
      <c r="S830" s="143" t="str">
        <f t="shared" si="1"/>
        <v>Suspenso</v>
      </c>
      <c r="T830" s="118"/>
      <c r="U830" s="118"/>
      <c r="V830" s="118"/>
      <c r="W830" s="118"/>
      <c r="X830" s="118"/>
      <c r="Y830" s="118"/>
      <c r="Z830" s="118"/>
      <c r="AA830" s="118"/>
      <c r="AB830" s="118"/>
      <c r="AC830" s="118"/>
      <c r="AD830" s="111"/>
      <c r="AE830" s="73"/>
      <c r="AF830" s="73"/>
    </row>
    <row r="831" ht="22.5" customHeight="1">
      <c r="A831" s="73"/>
      <c r="B831" s="73"/>
      <c r="C831" s="73"/>
      <c r="D831" s="73"/>
      <c r="E831" s="330"/>
      <c r="F831" s="118"/>
      <c r="G831" s="118"/>
      <c r="H831" s="118"/>
      <c r="I831" s="118"/>
      <c r="J831" s="119"/>
      <c r="K831" s="120"/>
      <c r="L831" s="120"/>
      <c r="M831" s="120"/>
      <c r="N831" s="120"/>
      <c r="O831" s="118"/>
      <c r="P831" s="120"/>
      <c r="Q831" s="121"/>
      <c r="R831" s="109" t="b">
        <v>0</v>
      </c>
      <c r="S831" s="143" t="str">
        <f t="shared" si="1"/>
        <v>Suspenso</v>
      </c>
      <c r="T831" s="118"/>
      <c r="U831" s="118"/>
      <c r="V831" s="118"/>
      <c r="W831" s="118"/>
      <c r="X831" s="118"/>
      <c r="Y831" s="118"/>
      <c r="Z831" s="118"/>
      <c r="AA831" s="118"/>
      <c r="AB831" s="118"/>
      <c r="AC831" s="118"/>
      <c r="AD831" s="111"/>
      <c r="AE831" s="73"/>
      <c r="AF831" s="73"/>
    </row>
    <row r="832" ht="22.5" customHeight="1">
      <c r="A832" s="73"/>
      <c r="B832" s="73"/>
      <c r="C832" s="73"/>
      <c r="D832" s="73"/>
      <c r="E832" s="330"/>
      <c r="F832" s="118"/>
      <c r="G832" s="118"/>
      <c r="H832" s="118"/>
      <c r="I832" s="118"/>
      <c r="J832" s="119"/>
      <c r="K832" s="120"/>
      <c r="L832" s="120"/>
      <c r="M832" s="120"/>
      <c r="N832" s="120"/>
      <c r="O832" s="118"/>
      <c r="P832" s="120"/>
      <c r="Q832" s="121"/>
      <c r="R832" s="109" t="b">
        <v>0</v>
      </c>
      <c r="S832" s="143" t="str">
        <f t="shared" si="1"/>
        <v>Suspenso</v>
      </c>
      <c r="T832" s="118"/>
      <c r="U832" s="118"/>
      <c r="V832" s="118"/>
      <c r="W832" s="118"/>
      <c r="X832" s="118"/>
      <c r="Y832" s="118"/>
      <c r="Z832" s="118"/>
      <c r="AA832" s="118"/>
      <c r="AB832" s="118"/>
      <c r="AC832" s="118"/>
      <c r="AD832" s="111"/>
      <c r="AE832" s="73"/>
      <c r="AF832" s="73"/>
    </row>
    <row r="833" ht="22.5" customHeight="1">
      <c r="A833" s="73"/>
      <c r="B833" s="73"/>
      <c r="C833" s="73"/>
      <c r="D833" s="73"/>
      <c r="E833" s="330"/>
      <c r="F833" s="118"/>
      <c r="G833" s="118"/>
      <c r="H833" s="118"/>
      <c r="I833" s="118"/>
      <c r="J833" s="119"/>
      <c r="K833" s="120"/>
      <c r="L833" s="120"/>
      <c r="M833" s="120"/>
      <c r="N833" s="120"/>
      <c r="O833" s="118"/>
      <c r="P833" s="120"/>
      <c r="Q833" s="121"/>
      <c r="R833" s="109" t="b">
        <v>0</v>
      </c>
      <c r="S833" s="143" t="str">
        <f t="shared" si="1"/>
        <v>Suspenso</v>
      </c>
      <c r="T833" s="118"/>
      <c r="U833" s="118"/>
      <c r="V833" s="118"/>
      <c r="W833" s="118"/>
      <c r="X833" s="118"/>
      <c r="Y833" s="118"/>
      <c r="Z833" s="118"/>
      <c r="AA833" s="118"/>
      <c r="AB833" s="118"/>
      <c r="AC833" s="118"/>
      <c r="AD833" s="111"/>
      <c r="AE833" s="73"/>
      <c r="AF833" s="73"/>
    </row>
    <row r="834" ht="22.5" customHeight="1">
      <c r="A834" s="73"/>
      <c r="B834" s="73"/>
      <c r="C834" s="73"/>
      <c r="D834" s="73"/>
      <c r="E834" s="330"/>
      <c r="F834" s="118"/>
      <c r="G834" s="118"/>
      <c r="H834" s="118"/>
      <c r="I834" s="118"/>
      <c r="J834" s="119"/>
      <c r="K834" s="120"/>
      <c r="L834" s="120"/>
      <c r="M834" s="120"/>
      <c r="N834" s="120"/>
      <c r="O834" s="118"/>
      <c r="P834" s="120"/>
      <c r="Q834" s="121"/>
      <c r="R834" s="109" t="b">
        <v>0</v>
      </c>
      <c r="S834" s="143" t="str">
        <f t="shared" si="1"/>
        <v>Suspenso</v>
      </c>
      <c r="T834" s="118"/>
      <c r="U834" s="118"/>
      <c r="V834" s="118"/>
      <c r="W834" s="118"/>
      <c r="X834" s="118"/>
      <c r="Y834" s="118"/>
      <c r="Z834" s="118"/>
      <c r="AA834" s="118"/>
      <c r="AB834" s="118"/>
      <c r="AC834" s="118"/>
      <c r="AD834" s="111"/>
      <c r="AE834" s="73"/>
      <c r="AF834" s="73"/>
    </row>
    <row r="835" ht="22.5" customHeight="1">
      <c r="A835" s="73"/>
      <c r="B835" s="73"/>
      <c r="C835" s="73"/>
      <c r="D835" s="73"/>
      <c r="E835" s="330"/>
      <c r="F835" s="118"/>
      <c r="G835" s="118"/>
      <c r="H835" s="118"/>
      <c r="I835" s="118"/>
      <c r="J835" s="119"/>
      <c r="K835" s="120"/>
      <c r="L835" s="120"/>
      <c r="M835" s="120"/>
      <c r="N835" s="120"/>
      <c r="O835" s="118"/>
      <c r="P835" s="120"/>
      <c r="Q835" s="121"/>
      <c r="R835" s="109" t="b">
        <v>0</v>
      </c>
      <c r="S835" s="143" t="str">
        <f t="shared" si="1"/>
        <v>Suspenso</v>
      </c>
      <c r="T835" s="118"/>
      <c r="U835" s="118"/>
      <c r="V835" s="118"/>
      <c r="W835" s="118"/>
      <c r="X835" s="118"/>
      <c r="Y835" s="118"/>
      <c r="Z835" s="118"/>
      <c r="AA835" s="118"/>
      <c r="AB835" s="118"/>
      <c r="AC835" s="118"/>
      <c r="AD835" s="111"/>
      <c r="AE835" s="73"/>
      <c r="AF835" s="73"/>
    </row>
    <row r="836" ht="22.5" customHeight="1">
      <c r="A836" s="73"/>
      <c r="B836" s="73"/>
      <c r="C836" s="73"/>
      <c r="D836" s="73"/>
      <c r="E836" s="330"/>
      <c r="F836" s="118"/>
      <c r="G836" s="118"/>
      <c r="H836" s="118"/>
      <c r="I836" s="118"/>
      <c r="J836" s="119"/>
      <c r="K836" s="120"/>
      <c r="L836" s="120"/>
      <c r="M836" s="120"/>
      <c r="N836" s="120"/>
      <c r="O836" s="118"/>
      <c r="P836" s="120"/>
      <c r="Q836" s="121"/>
      <c r="R836" s="109" t="b">
        <v>0</v>
      </c>
      <c r="S836" s="143" t="str">
        <f t="shared" si="1"/>
        <v>Suspenso</v>
      </c>
      <c r="T836" s="118"/>
      <c r="U836" s="118"/>
      <c r="V836" s="118"/>
      <c r="W836" s="118"/>
      <c r="X836" s="118"/>
      <c r="Y836" s="118"/>
      <c r="Z836" s="118"/>
      <c r="AA836" s="118"/>
      <c r="AB836" s="118"/>
      <c r="AC836" s="118"/>
      <c r="AD836" s="111"/>
      <c r="AE836" s="73"/>
      <c r="AF836" s="73"/>
    </row>
    <row r="837" ht="22.5" customHeight="1">
      <c r="A837" s="73"/>
      <c r="B837" s="73"/>
      <c r="C837" s="73"/>
      <c r="D837" s="73"/>
      <c r="E837" s="330"/>
      <c r="F837" s="118"/>
      <c r="G837" s="118"/>
      <c r="H837" s="118"/>
      <c r="I837" s="118"/>
      <c r="J837" s="119"/>
      <c r="K837" s="120"/>
      <c r="L837" s="120"/>
      <c r="M837" s="120"/>
      <c r="N837" s="120"/>
      <c r="O837" s="118"/>
      <c r="P837" s="120"/>
      <c r="Q837" s="121"/>
      <c r="R837" s="109" t="b">
        <v>0</v>
      </c>
      <c r="S837" s="143" t="str">
        <f t="shared" si="1"/>
        <v>Suspenso</v>
      </c>
      <c r="T837" s="118"/>
      <c r="U837" s="118"/>
      <c r="V837" s="118"/>
      <c r="W837" s="118"/>
      <c r="X837" s="118"/>
      <c r="Y837" s="118"/>
      <c r="Z837" s="118"/>
      <c r="AA837" s="118"/>
      <c r="AB837" s="118"/>
      <c r="AC837" s="118"/>
      <c r="AD837" s="111"/>
      <c r="AE837" s="73"/>
      <c r="AF837" s="73"/>
    </row>
    <row r="838" ht="22.5" customHeight="1">
      <c r="A838" s="73"/>
      <c r="B838" s="73"/>
      <c r="C838" s="73"/>
      <c r="D838" s="73"/>
      <c r="E838" s="330"/>
      <c r="F838" s="118"/>
      <c r="G838" s="118"/>
      <c r="H838" s="118"/>
      <c r="I838" s="118"/>
      <c r="J838" s="119"/>
      <c r="K838" s="120"/>
      <c r="L838" s="120"/>
      <c r="M838" s="120"/>
      <c r="N838" s="120"/>
      <c r="O838" s="118"/>
      <c r="P838" s="120"/>
      <c r="Q838" s="121"/>
      <c r="R838" s="109" t="b">
        <v>0</v>
      </c>
      <c r="S838" s="143" t="str">
        <f t="shared" si="1"/>
        <v>Suspenso</v>
      </c>
      <c r="T838" s="118"/>
      <c r="U838" s="118"/>
      <c r="V838" s="118"/>
      <c r="W838" s="118"/>
      <c r="X838" s="118"/>
      <c r="Y838" s="118"/>
      <c r="Z838" s="118"/>
      <c r="AA838" s="118"/>
      <c r="AB838" s="118"/>
      <c r="AC838" s="118"/>
      <c r="AD838" s="111"/>
      <c r="AE838" s="73"/>
      <c r="AF838" s="73"/>
    </row>
    <row r="839" ht="22.5" customHeight="1">
      <c r="A839" s="73"/>
      <c r="B839" s="73"/>
      <c r="C839" s="73"/>
      <c r="D839" s="73"/>
      <c r="E839" s="330"/>
      <c r="F839" s="118"/>
      <c r="G839" s="118"/>
      <c r="H839" s="118"/>
      <c r="I839" s="118"/>
      <c r="J839" s="119"/>
      <c r="K839" s="120"/>
      <c r="L839" s="120"/>
      <c r="M839" s="120"/>
      <c r="N839" s="120"/>
      <c r="O839" s="118"/>
      <c r="P839" s="120"/>
      <c r="Q839" s="121"/>
      <c r="R839" s="109" t="b">
        <v>0</v>
      </c>
      <c r="S839" s="143" t="str">
        <f t="shared" si="1"/>
        <v>Suspenso</v>
      </c>
      <c r="T839" s="118"/>
      <c r="U839" s="118"/>
      <c r="V839" s="118"/>
      <c r="W839" s="118"/>
      <c r="X839" s="118"/>
      <c r="Y839" s="118"/>
      <c r="Z839" s="118"/>
      <c r="AA839" s="118"/>
      <c r="AB839" s="118"/>
      <c r="AC839" s="118"/>
      <c r="AD839" s="111"/>
      <c r="AE839" s="73"/>
      <c r="AF839" s="73"/>
    </row>
    <row r="840" ht="22.5" customHeight="1">
      <c r="A840" s="73"/>
      <c r="B840" s="73"/>
      <c r="C840" s="73"/>
      <c r="D840" s="73"/>
      <c r="E840" s="330"/>
      <c r="F840" s="118"/>
      <c r="G840" s="118"/>
      <c r="H840" s="118"/>
      <c r="I840" s="118"/>
      <c r="J840" s="119"/>
      <c r="K840" s="120"/>
      <c r="L840" s="120"/>
      <c r="M840" s="120"/>
      <c r="N840" s="120"/>
      <c r="O840" s="118"/>
      <c r="P840" s="120"/>
      <c r="Q840" s="121"/>
      <c r="R840" s="109" t="b">
        <v>0</v>
      </c>
      <c r="S840" s="143" t="str">
        <f t="shared" si="1"/>
        <v>Suspenso</v>
      </c>
      <c r="T840" s="118"/>
      <c r="U840" s="118"/>
      <c r="V840" s="118"/>
      <c r="W840" s="118"/>
      <c r="X840" s="118"/>
      <c r="Y840" s="118"/>
      <c r="Z840" s="118"/>
      <c r="AA840" s="118"/>
      <c r="AB840" s="118"/>
      <c r="AC840" s="118"/>
      <c r="AD840" s="111"/>
      <c r="AE840" s="73"/>
      <c r="AF840" s="73"/>
    </row>
    <row r="841" ht="22.5" customHeight="1">
      <c r="A841" s="73"/>
      <c r="B841" s="73"/>
      <c r="C841" s="73"/>
      <c r="D841" s="73"/>
      <c r="E841" s="330"/>
      <c r="F841" s="118"/>
      <c r="G841" s="118"/>
      <c r="H841" s="118"/>
      <c r="I841" s="118"/>
      <c r="J841" s="119"/>
      <c r="K841" s="120"/>
      <c r="L841" s="120"/>
      <c r="M841" s="120"/>
      <c r="N841" s="120"/>
      <c r="O841" s="118"/>
      <c r="P841" s="120"/>
      <c r="Q841" s="121"/>
      <c r="R841" s="109" t="b">
        <v>0</v>
      </c>
      <c r="S841" s="143" t="str">
        <f t="shared" si="1"/>
        <v>Suspenso</v>
      </c>
      <c r="T841" s="118"/>
      <c r="U841" s="118"/>
      <c r="V841" s="118"/>
      <c r="W841" s="118"/>
      <c r="X841" s="118"/>
      <c r="Y841" s="118"/>
      <c r="Z841" s="118"/>
      <c r="AA841" s="118"/>
      <c r="AB841" s="118"/>
      <c r="AC841" s="118"/>
      <c r="AD841" s="111"/>
      <c r="AE841" s="73"/>
      <c r="AF841" s="73"/>
    </row>
    <row r="842" ht="22.5" customHeight="1">
      <c r="A842" s="73"/>
      <c r="B842" s="73"/>
      <c r="C842" s="73"/>
      <c r="D842" s="73"/>
      <c r="E842" s="330"/>
      <c r="F842" s="118"/>
      <c r="G842" s="118"/>
      <c r="H842" s="118"/>
      <c r="I842" s="118"/>
      <c r="J842" s="119"/>
      <c r="K842" s="120"/>
      <c r="L842" s="120"/>
      <c r="M842" s="120"/>
      <c r="N842" s="120"/>
      <c r="O842" s="118"/>
      <c r="P842" s="120"/>
      <c r="Q842" s="121"/>
      <c r="R842" s="109" t="b">
        <v>0</v>
      </c>
      <c r="S842" s="143" t="str">
        <f t="shared" si="1"/>
        <v>Suspenso</v>
      </c>
      <c r="T842" s="118"/>
      <c r="U842" s="118"/>
      <c r="V842" s="118"/>
      <c r="W842" s="118"/>
      <c r="X842" s="118"/>
      <c r="Y842" s="118"/>
      <c r="Z842" s="118"/>
      <c r="AA842" s="118"/>
      <c r="AB842" s="118"/>
      <c r="AC842" s="118"/>
      <c r="AD842" s="111"/>
      <c r="AE842" s="73"/>
      <c r="AF842" s="73"/>
    </row>
    <row r="843" ht="22.5" customHeight="1">
      <c r="A843" s="73"/>
      <c r="B843" s="73"/>
      <c r="C843" s="73"/>
      <c r="D843" s="73"/>
      <c r="E843" s="330"/>
      <c r="F843" s="118"/>
      <c r="G843" s="118"/>
      <c r="H843" s="118"/>
      <c r="I843" s="118"/>
      <c r="J843" s="119"/>
      <c r="K843" s="120"/>
      <c r="L843" s="120"/>
      <c r="M843" s="120"/>
      <c r="N843" s="120"/>
      <c r="O843" s="118"/>
      <c r="P843" s="120"/>
      <c r="Q843" s="121"/>
      <c r="R843" s="109" t="b">
        <v>0</v>
      </c>
      <c r="S843" s="143" t="str">
        <f t="shared" si="1"/>
        <v>Suspenso</v>
      </c>
      <c r="T843" s="118"/>
      <c r="U843" s="118"/>
      <c r="V843" s="118"/>
      <c r="W843" s="118"/>
      <c r="X843" s="118"/>
      <c r="Y843" s="118"/>
      <c r="Z843" s="118"/>
      <c r="AA843" s="118"/>
      <c r="AB843" s="118"/>
      <c r="AC843" s="118"/>
      <c r="AD843" s="111"/>
      <c r="AE843" s="73"/>
      <c r="AF843" s="73"/>
    </row>
    <row r="844" ht="22.5" customHeight="1">
      <c r="A844" s="73"/>
      <c r="B844" s="73"/>
      <c r="C844" s="73"/>
      <c r="D844" s="73"/>
      <c r="E844" s="330"/>
      <c r="F844" s="118"/>
      <c r="G844" s="118"/>
      <c r="H844" s="118"/>
      <c r="I844" s="118"/>
      <c r="J844" s="119"/>
      <c r="K844" s="120"/>
      <c r="L844" s="120"/>
      <c r="M844" s="120"/>
      <c r="N844" s="120"/>
      <c r="O844" s="118"/>
      <c r="P844" s="120"/>
      <c r="Q844" s="121"/>
      <c r="R844" s="109" t="b">
        <v>0</v>
      </c>
      <c r="S844" s="143" t="str">
        <f t="shared" si="1"/>
        <v>Suspenso</v>
      </c>
      <c r="T844" s="118"/>
      <c r="U844" s="118"/>
      <c r="V844" s="118"/>
      <c r="W844" s="118"/>
      <c r="X844" s="118"/>
      <c r="Y844" s="118"/>
      <c r="Z844" s="118"/>
      <c r="AA844" s="118"/>
      <c r="AB844" s="118"/>
      <c r="AC844" s="118"/>
      <c r="AD844" s="111"/>
      <c r="AE844" s="73"/>
      <c r="AF844" s="73"/>
    </row>
    <row r="845" ht="22.5" customHeight="1">
      <c r="A845" s="73"/>
      <c r="B845" s="73"/>
      <c r="C845" s="73"/>
      <c r="D845" s="73"/>
      <c r="E845" s="330"/>
      <c r="F845" s="118"/>
      <c r="G845" s="118"/>
      <c r="H845" s="118"/>
      <c r="I845" s="118"/>
      <c r="J845" s="119"/>
      <c r="K845" s="120"/>
      <c r="L845" s="120"/>
      <c r="M845" s="120"/>
      <c r="N845" s="120"/>
      <c r="O845" s="118"/>
      <c r="P845" s="120"/>
      <c r="Q845" s="121"/>
      <c r="R845" s="109" t="b">
        <v>0</v>
      </c>
      <c r="S845" s="143" t="str">
        <f t="shared" si="1"/>
        <v>Suspenso</v>
      </c>
      <c r="T845" s="118"/>
      <c r="U845" s="118"/>
      <c r="V845" s="118"/>
      <c r="W845" s="118"/>
      <c r="X845" s="118"/>
      <c r="Y845" s="118"/>
      <c r="Z845" s="118"/>
      <c r="AA845" s="118"/>
      <c r="AB845" s="118"/>
      <c r="AC845" s="118"/>
      <c r="AD845" s="111"/>
      <c r="AE845" s="73"/>
      <c r="AF845" s="73"/>
    </row>
    <row r="846" ht="22.5" customHeight="1">
      <c r="A846" s="73"/>
      <c r="B846" s="73"/>
      <c r="C846" s="73"/>
      <c r="D846" s="73"/>
      <c r="E846" s="330"/>
      <c r="F846" s="118"/>
      <c r="G846" s="118"/>
      <c r="H846" s="118"/>
      <c r="I846" s="118"/>
      <c r="J846" s="119"/>
      <c r="K846" s="120"/>
      <c r="L846" s="120"/>
      <c r="M846" s="120"/>
      <c r="N846" s="120"/>
      <c r="O846" s="118"/>
      <c r="P846" s="120"/>
      <c r="Q846" s="121"/>
      <c r="R846" s="109" t="b">
        <v>0</v>
      </c>
      <c r="S846" s="143" t="str">
        <f t="shared" si="1"/>
        <v>Suspenso</v>
      </c>
      <c r="T846" s="118"/>
      <c r="U846" s="118"/>
      <c r="V846" s="118"/>
      <c r="W846" s="118"/>
      <c r="X846" s="118"/>
      <c r="Y846" s="118"/>
      <c r="Z846" s="118"/>
      <c r="AA846" s="118"/>
      <c r="AB846" s="118"/>
      <c r="AC846" s="118"/>
      <c r="AD846" s="111"/>
      <c r="AE846" s="73"/>
      <c r="AF846" s="73"/>
    </row>
    <row r="847" ht="22.5" customHeight="1">
      <c r="A847" s="73"/>
      <c r="B847" s="73"/>
      <c r="C847" s="73"/>
      <c r="D847" s="73"/>
      <c r="E847" s="330"/>
      <c r="F847" s="118"/>
      <c r="G847" s="118"/>
      <c r="H847" s="118"/>
      <c r="I847" s="118"/>
      <c r="J847" s="119"/>
      <c r="K847" s="120"/>
      <c r="L847" s="120"/>
      <c r="M847" s="120"/>
      <c r="N847" s="120"/>
      <c r="O847" s="118"/>
      <c r="P847" s="120"/>
      <c r="Q847" s="121"/>
      <c r="R847" s="109" t="b">
        <v>0</v>
      </c>
      <c r="S847" s="143" t="str">
        <f t="shared" si="1"/>
        <v>Suspenso</v>
      </c>
      <c r="T847" s="118"/>
      <c r="U847" s="118"/>
      <c r="V847" s="118"/>
      <c r="W847" s="118"/>
      <c r="X847" s="118"/>
      <c r="Y847" s="118"/>
      <c r="Z847" s="118"/>
      <c r="AA847" s="118"/>
      <c r="AB847" s="118"/>
      <c r="AC847" s="118"/>
      <c r="AD847" s="111"/>
      <c r="AE847" s="73"/>
      <c r="AF847" s="73"/>
    </row>
    <row r="848" ht="22.5" customHeight="1">
      <c r="A848" s="73"/>
      <c r="B848" s="73"/>
      <c r="C848" s="73"/>
      <c r="D848" s="73"/>
      <c r="E848" s="330"/>
      <c r="F848" s="118"/>
      <c r="G848" s="118"/>
      <c r="H848" s="118"/>
      <c r="I848" s="118"/>
      <c r="J848" s="119"/>
      <c r="K848" s="120"/>
      <c r="L848" s="120"/>
      <c r="M848" s="120"/>
      <c r="N848" s="120"/>
      <c r="O848" s="118"/>
      <c r="P848" s="120"/>
      <c r="Q848" s="121"/>
      <c r="R848" s="109" t="b">
        <v>0</v>
      </c>
      <c r="S848" s="143" t="str">
        <f t="shared" si="1"/>
        <v>Suspenso</v>
      </c>
      <c r="T848" s="118"/>
      <c r="U848" s="118"/>
      <c r="V848" s="118"/>
      <c r="W848" s="118"/>
      <c r="X848" s="118"/>
      <c r="Y848" s="118"/>
      <c r="Z848" s="118"/>
      <c r="AA848" s="118"/>
      <c r="AB848" s="118"/>
      <c r="AC848" s="118"/>
      <c r="AD848" s="111"/>
      <c r="AE848" s="73"/>
      <c r="AF848" s="73"/>
    </row>
    <row r="849" ht="22.5" customHeight="1">
      <c r="A849" s="73"/>
      <c r="B849" s="73"/>
      <c r="C849" s="73"/>
      <c r="D849" s="73"/>
      <c r="E849" s="330"/>
      <c r="F849" s="118"/>
      <c r="G849" s="118"/>
      <c r="H849" s="118"/>
      <c r="I849" s="118"/>
      <c r="J849" s="119"/>
      <c r="K849" s="120"/>
      <c r="L849" s="120"/>
      <c r="M849" s="120"/>
      <c r="N849" s="120"/>
      <c r="O849" s="118"/>
      <c r="P849" s="120"/>
      <c r="Q849" s="121"/>
      <c r="R849" s="109" t="b">
        <v>0</v>
      </c>
      <c r="S849" s="143" t="str">
        <f t="shared" si="1"/>
        <v>Suspenso</v>
      </c>
      <c r="T849" s="118"/>
      <c r="U849" s="118"/>
      <c r="V849" s="118"/>
      <c r="W849" s="118"/>
      <c r="X849" s="118"/>
      <c r="Y849" s="118"/>
      <c r="Z849" s="118"/>
      <c r="AA849" s="118"/>
      <c r="AB849" s="118"/>
      <c r="AC849" s="118"/>
      <c r="AD849" s="111"/>
      <c r="AE849" s="73"/>
      <c r="AF849" s="73"/>
    </row>
    <row r="850" ht="22.5" customHeight="1">
      <c r="A850" s="73"/>
      <c r="B850" s="73"/>
      <c r="C850" s="73"/>
      <c r="D850" s="73"/>
      <c r="E850" s="330"/>
      <c r="F850" s="118"/>
      <c r="G850" s="118"/>
      <c r="H850" s="118"/>
      <c r="I850" s="118"/>
      <c r="J850" s="119"/>
      <c r="K850" s="120"/>
      <c r="L850" s="120"/>
      <c r="M850" s="120"/>
      <c r="N850" s="120"/>
      <c r="O850" s="118"/>
      <c r="P850" s="120"/>
      <c r="Q850" s="121"/>
      <c r="R850" s="109" t="b">
        <v>0</v>
      </c>
      <c r="S850" s="143" t="str">
        <f t="shared" si="1"/>
        <v>Suspenso</v>
      </c>
      <c r="T850" s="118"/>
      <c r="U850" s="118"/>
      <c r="V850" s="118"/>
      <c r="W850" s="118"/>
      <c r="X850" s="118"/>
      <c r="Y850" s="118"/>
      <c r="Z850" s="118"/>
      <c r="AA850" s="118"/>
      <c r="AB850" s="118"/>
      <c r="AC850" s="118"/>
      <c r="AD850" s="111"/>
      <c r="AE850" s="73"/>
      <c r="AF850" s="73"/>
    </row>
    <row r="851" ht="22.5" customHeight="1">
      <c r="A851" s="73"/>
      <c r="B851" s="73"/>
      <c r="C851" s="73"/>
      <c r="D851" s="73"/>
      <c r="E851" s="330"/>
      <c r="F851" s="118"/>
      <c r="G851" s="118"/>
      <c r="H851" s="118"/>
      <c r="I851" s="118"/>
      <c r="J851" s="119"/>
      <c r="K851" s="120"/>
      <c r="L851" s="120"/>
      <c r="M851" s="120"/>
      <c r="N851" s="120"/>
      <c r="O851" s="118"/>
      <c r="P851" s="120"/>
      <c r="Q851" s="121"/>
      <c r="R851" s="109" t="b">
        <v>0</v>
      </c>
      <c r="S851" s="143" t="str">
        <f t="shared" si="1"/>
        <v>Suspenso</v>
      </c>
      <c r="T851" s="118"/>
      <c r="U851" s="118"/>
      <c r="V851" s="118"/>
      <c r="W851" s="118"/>
      <c r="X851" s="118"/>
      <c r="Y851" s="118"/>
      <c r="Z851" s="118"/>
      <c r="AA851" s="118"/>
      <c r="AB851" s="118"/>
      <c r="AC851" s="118"/>
      <c r="AD851" s="111"/>
      <c r="AE851" s="73"/>
      <c r="AF851" s="73"/>
    </row>
    <row r="852" ht="22.5" customHeight="1">
      <c r="A852" s="73"/>
      <c r="B852" s="73"/>
      <c r="C852" s="73"/>
      <c r="D852" s="73"/>
      <c r="E852" s="330"/>
      <c r="F852" s="118"/>
      <c r="G852" s="118"/>
      <c r="H852" s="118"/>
      <c r="I852" s="118"/>
      <c r="J852" s="119"/>
      <c r="K852" s="120"/>
      <c r="L852" s="120"/>
      <c r="M852" s="120"/>
      <c r="N852" s="120"/>
      <c r="O852" s="118"/>
      <c r="P852" s="120"/>
      <c r="Q852" s="121"/>
      <c r="R852" s="109" t="b">
        <v>0</v>
      </c>
      <c r="S852" s="143" t="str">
        <f t="shared" si="1"/>
        <v>Suspenso</v>
      </c>
      <c r="T852" s="118"/>
      <c r="U852" s="118"/>
      <c r="V852" s="118"/>
      <c r="W852" s="118"/>
      <c r="X852" s="118"/>
      <c r="Y852" s="118"/>
      <c r="Z852" s="118"/>
      <c r="AA852" s="118"/>
      <c r="AB852" s="118"/>
      <c r="AC852" s="118"/>
      <c r="AD852" s="111"/>
      <c r="AE852" s="73"/>
      <c r="AF852" s="73"/>
    </row>
    <row r="853" ht="22.5" customHeight="1">
      <c r="A853" s="73"/>
      <c r="B853" s="73"/>
      <c r="C853" s="73"/>
      <c r="D853" s="73"/>
      <c r="E853" s="330"/>
      <c r="F853" s="118"/>
      <c r="G853" s="118"/>
      <c r="H853" s="118"/>
      <c r="I853" s="118"/>
      <c r="J853" s="119"/>
      <c r="K853" s="120"/>
      <c r="L853" s="120"/>
      <c r="M853" s="120"/>
      <c r="N853" s="120"/>
      <c r="O853" s="118"/>
      <c r="P853" s="120"/>
      <c r="Q853" s="121"/>
      <c r="R853" s="109" t="b">
        <v>0</v>
      </c>
      <c r="S853" s="143" t="str">
        <f t="shared" si="1"/>
        <v>Suspenso</v>
      </c>
      <c r="T853" s="118"/>
      <c r="U853" s="118"/>
      <c r="V853" s="118"/>
      <c r="W853" s="118"/>
      <c r="X853" s="118"/>
      <c r="Y853" s="118"/>
      <c r="Z853" s="118"/>
      <c r="AA853" s="118"/>
      <c r="AB853" s="118"/>
      <c r="AC853" s="118"/>
      <c r="AD853" s="111"/>
      <c r="AE853" s="73"/>
      <c r="AF853" s="73"/>
    </row>
    <row r="854" ht="22.5" customHeight="1">
      <c r="A854" s="73"/>
      <c r="B854" s="73"/>
      <c r="C854" s="73"/>
      <c r="D854" s="73"/>
      <c r="E854" s="330"/>
      <c r="F854" s="118"/>
      <c r="G854" s="118"/>
      <c r="H854" s="118"/>
      <c r="I854" s="118"/>
      <c r="J854" s="119"/>
      <c r="K854" s="120"/>
      <c r="L854" s="120"/>
      <c r="M854" s="120"/>
      <c r="N854" s="120"/>
      <c r="O854" s="118"/>
      <c r="P854" s="120"/>
      <c r="Q854" s="121"/>
      <c r="R854" s="109" t="b">
        <v>0</v>
      </c>
      <c r="S854" s="143" t="str">
        <f t="shared" si="1"/>
        <v>Suspenso</v>
      </c>
      <c r="T854" s="118"/>
      <c r="U854" s="118"/>
      <c r="V854" s="118"/>
      <c r="W854" s="118"/>
      <c r="X854" s="118"/>
      <c r="Y854" s="118"/>
      <c r="Z854" s="118"/>
      <c r="AA854" s="118"/>
      <c r="AB854" s="118"/>
      <c r="AC854" s="118"/>
      <c r="AD854" s="111"/>
      <c r="AE854" s="73"/>
      <c r="AF854" s="73"/>
    </row>
    <row r="855" ht="22.5" customHeight="1">
      <c r="A855" s="73"/>
      <c r="B855" s="73"/>
      <c r="C855" s="73"/>
      <c r="D855" s="73"/>
      <c r="E855" s="330"/>
      <c r="F855" s="118"/>
      <c r="G855" s="118"/>
      <c r="H855" s="118"/>
      <c r="I855" s="118"/>
      <c r="J855" s="119"/>
      <c r="K855" s="120"/>
      <c r="L855" s="120"/>
      <c r="M855" s="120"/>
      <c r="N855" s="120"/>
      <c r="O855" s="118"/>
      <c r="P855" s="120"/>
      <c r="Q855" s="121"/>
      <c r="R855" s="109" t="b">
        <v>0</v>
      </c>
      <c r="S855" s="143" t="str">
        <f t="shared" si="1"/>
        <v>Suspenso</v>
      </c>
      <c r="T855" s="118"/>
      <c r="U855" s="118"/>
      <c r="V855" s="118"/>
      <c r="W855" s="118"/>
      <c r="X855" s="118"/>
      <c r="Y855" s="118"/>
      <c r="Z855" s="118"/>
      <c r="AA855" s="118"/>
      <c r="AB855" s="118"/>
      <c r="AC855" s="118"/>
      <c r="AD855" s="111"/>
      <c r="AE855" s="73"/>
      <c r="AF855" s="73"/>
    </row>
    <row r="856" ht="22.5" customHeight="1">
      <c r="A856" s="73"/>
      <c r="B856" s="73"/>
      <c r="C856" s="73"/>
      <c r="D856" s="73"/>
      <c r="E856" s="330"/>
      <c r="F856" s="118"/>
      <c r="G856" s="118"/>
      <c r="H856" s="118"/>
      <c r="I856" s="118"/>
      <c r="J856" s="119"/>
      <c r="K856" s="120"/>
      <c r="L856" s="120"/>
      <c r="M856" s="120"/>
      <c r="N856" s="120"/>
      <c r="O856" s="118"/>
      <c r="P856" s="120"/>
      <c r="Q856" s="121"/>
      <c r="R856" s="109" t="b">
        <v>0</v>
      </c>
      <c r="S856" s="143" t="str">
        <f t="shared" si="1"/>
        <v>Suspenso</v>
      </c>
      <c r="T856" s="118"/>
      <c r="U856" s="118"/>
      <c r="V856" s="118"/>
      <c r="W856" s="118"/>
      <c r="X856" s="118"/>
      <c r="Y856" s="118"/>
      <c r="Z856" s="118"/>
      <c r="AA856" s="118"/>
      <c r="AB856" s="118"/>
      <c r="AC856" s="118"/>
      <c r="AD856" s="111"/>
      <c r="AE856" s="73"/>
      <c r="AF856" s="73"/>
    </row>
    <row r="857" ht="22.5" customHeight="1">
      <c r="A857" s="73"/>
      <c r="B857" s="73"/>
      <c r="C857" s="73"/>
      <c r="D857" s="73"/>
      <c r="E857" s="330"/>
      <c r="F857" s="118"/>
      <c r="G857" s="118"/>
      <c r="H857" s="118"/>
      <c r="I857" s="118"/>
      <c r="J857" s="119"/>
      <c r="K857" s="120"/>
      <c r="L857" s="120"/>
      <c r="M857" s="120"/>
      <c r="N857" s="120"/>
      <c r="O857" s="118"/>
      <c r="P857" s="120"/>
      <c r="Q857" s="121"/>
      <c r="R857" s="109" t="b">
        <v>0</v>
      </c>
      <c r="S857" s="143" t="str">
        <f t="shared" si="1"/>
        <v>Suspenso</v>
      </c>
      <c r="T857" s="118"/>
      <c r="U857" s="118"/>
      <c r="V857" s="118"/>
      <c r="W857" s="118"/>
      <c r="X857" s="118"/>
      <c r="Y857" s="118"/>
      <c r="Z857" s="118"/>
      <c r="AA857" s="118"/>
      <c r="AB857" s="118"/>
      <c r="AC857" s="118"/>
      <c r="AD857" s="111"/>
      <c r="AE857" s="73"/>
      <c r="AF857" s="73"/>
    </row>
    <row r="858" ht="22.5" customHeight="1">
      <c r="A858" s="73"/>
      <c r="B858" s="73"/>
      <c r="C858" s="73"/>
      <c r="D858" s="73"/>
      <c r="E858" s="330"/>
      <c r="F858" s="118"/>
      <c r="G858" s="118"/>
      <c r="H858" s="118"/>
      <c r="I858" s="118"/>
      <c r="J858" s="119"/>
      <c r="K858" s="120"/>
      <c r="L858" s="120"/>
      <c r="M858" s="120"/>
      <c r="N858" s="120"/>
      <c r="O858" s="118"/>
      <c r="P858" s="120"/>
      <c r="Q858" s="121"/>
      <c r="R858" s="109" t="b">
        <v>0</v>
      </c>
      <c r="S858" s="143" t="str">
        <f t="shared" si="1"/>
        <v>Suspenso</v>
      </c>
      <c r="T858" s="118"/>
      <c r="U858" s="118"/>
      <c r="V858" s="118"/>
      <c r="W858" s="118"/>
      <c r="X858" s="118"/>
      <c r="Y858" s="118"/>
      <c r="Z858" s="118"/>
      <c r="AA858" s="118"/>
      <c r="AB858" s="118"/>
      <c r="AC858" s="118"/>
      <c r="AD858" s="111"/>
      <c r="AE858" s="73"/>
      <c r="AF858" s="73"/>
    </row>
    <row r="859" ht="22.5" customHeight="1">
      <c r="A859" s="73"/>
      <c r="B859" s="73"/>
      <c r="C859" s="73"/>
      <c r="D859" s="73"/>
      <c r="E859" s="330"/>
      <c r="F859" s="118"/>
      <c r="G859" s="118"/>
      <c r="H859" s="118"/>
      <c r="I859" s="118"/>
      <c r="J859" s="119"/>
      <c r="K859" s="120"/>
      <c r="L859" s="120"/>
      <c r="M859" s="120"/>
      <c r="N859" s="120"/>
      <c r="O859" s="118"/>
      <c r="P859" s="120"/>
      <c r="Q859" s="121"/>
      <c r="R859" s="109" t="b">
        <v>0</v>
      </c>
      <c r="S859" s="143" t="str">
        <f t="shared" si="1"/>
        <v>Suspenso</v>
      </c>
      <c r="T859" s="118"/>
      <c r="U859" s="118"/>
      <c r="V859" s="118"/>
      <c r="W859" s="118"/>
      <c r="X859" s="118"/>
      <c r="Y859" s="118"/>
      <c r="Z859" s="118"/>
      <c r="AA859" s="118"/>
      <c r="AB859" s="118"/>
      <c r="AC859" s="118"/>
      <c r="AD859" s="111"/>
      <c r="AE859" s="73"/>
      <c r="AF859" s="73"/>
    </row>
    <row r="860" ht="22.5" customHeight="1">
      <c r="A860" s="73"/>
      <c r="B860" s="73"/>
      <c r="C860" s="73"/>
      <c r="D860" s="73"/>
      <c r="E860" s="330"/>
      <c r="F860" s="118"/>
      <c r="G860" s="118"/>
      <c r="H860" s="118"/>
      <c r="I860" s="118"/>
      <c r="J860" s="119"/>
      <c r="K860" s="120"/>
      <c r="L860" s="120"/>
      <c r="M860" s="120"/>
      <c r="N860" s="120"/>
      <c r="O860" s="118"/>
      <c r="P860" s="120"/>
      <c r="Q860" s="121"/>
      <c r="R860" s="109" t="b">
        <v>0</v>
      </c>
      <c r="S860" s="143" t="str">
        <f t="shared" si="1"/>
        <v>Suspenso</v>
      </c>
      <c r="T860" s="118"/>
      <c r="U860" s="118"/>
      <c r="V860" s="118"/>
      <c r="W860" s="118"/>
      <c r="X860" s="118"/>
      <c r="Y860" s="118"/>
      <c r="Z860" s="118"/>
      <c r="AA860" s="118"/>
      <c r="AB860" s="118"/>
      <c r="AC860" s="118"/>
      <c r="AD860" s="111"/>
      <c r="AE860" s="73"/>
      <c r="AF860" s="73"/>
    </row>
    <row r="861" ht="22.5" customHeight="1">
      <c r="A861" s="73"/>
      <c r="B861" s="73"/>
      <c r="C861" s="73"/>
      <c r="D861" s="73"/>
      <c r="E861" s="330"/>
      <c r="F861" s="118"/>
      <c r="G861" s="118"/>
      <c r="H861" s="118"/>
      <c r="I861" s="118"/>
      <c r="J861" s="119"/>
      <c r="K861" s="120"/>
      <c r="L861" s="120"/>
      <c r="M861" s="120"/>
      <c r="N861" s="120"/>
      <c r="O861" s="118"/>
      <c r="P861" s="120"/>
      <c r="Q861" s="121"/>
      <c r="R861" s="109" t="b">
        <v>0</v>
      </c>
      <c r="S861" s="143" t="str">
        <f t="shared" si="1"/>
        <v>Suspenso</v>
      </c>
      <c r="T861" s="118"/>
      <c r="U861" s="118"/>
      <c r="V861" s="118"/>
      <c r="W861" s="118"/>
      <c r="X861" s="118"/>
      <c r="Y861" s="118"/>
      <c r="Z861" s="118"/>
      <c r="AA861" s="118"/>
      <c r="AB861" s="118"/>
      <c r="AC861" s="118"/>
      <c r="AD861" s="111"/>
      <c r="AE861" s="73"/>
      <c r="AF861" s="73"/>
    </row>
    <row r="862" ht="22.5" customHeight="1">
      <c r="A862" s="73"/>
      <c r="B862" s="73"/>
      <c r="C862" s="73"/>
      <c r="D862" s="73"/>
      <c r="E862" s="330"/>
      <c r="F862" s="118"/>
      <c r="G862" s="118"/>
      <c r="H862" s="118"/>
      <c r="I862" s="118"/>
      <c r="J862" s="119"/>
      <c r="K862" s="120"/>
      <c r="L862" s="120"/>
      <c r="M862" s="120"/>
      <c r="N862" s="120"/>
      <c r="O862" s="118"/>
      <c r="P862" s="120"/>
      <c r="Q862" s="121"/>
      <c r="R862" s="109" t="b">
        <v>0</v>
      </c>
      <c r="S862" s="143" t="str">
        <f t="shared" si="1"/>
        <v>Suspenso</v>
      </c>
      <c r="T862" s="118"/>
      <c r="U862" s="118"/>
      <c r="V862" s="118"/>
      <c r="W862" s="118"/>
      <c r="X862" s="118"/>
      <c r="Y862" s="118"/>
      <c r="Z862" s="118"/>
      <c r="AA862" s="118"/>
      <c r="AB862" s="118"/>
      <c r="AC862" s="118"/>
      <c r="AD862" s="111"/>
      <c r="AE862" s="73"/>
      <c r="AF862" s="73"/>
    </row>
    <row r="863" ht="22.5" customHeight="1">
      <c r="A863" s="73"/>
      <c r="B863" s="73"/>
      <c r="C863" s="73"/>
      <c r="D863" s="73"/>
      <c r="E863" s="330"/>
      <c r="F863" s="118"/>
      <c r="G863" s="118"/>
      <c r="H863" s="118"/>
      <c r="I863" s="118"/>
      <c r="J863" s="119"/>
      <c r="K863" s="120"/>
      <c r="L863" s="120"/>
      <c r="M863" s="120"/>
      <c r="N863" s="120"/>
      <c r="O863" s="118"/>
      <c r="P863" s="120"/>
      <c r="Q863" s="121"/>
      <c r="R863" s="109" t="b">
        <v>0</v>
      </c>
      <c r="S863" s="143" t="str">
        <f t="shared" si="1"/>
        <v>Suspenso</v>
      </c>
      <c r="T863" s="118"/>
      <c r="U863" s="118"/>
      <c r="V863" s="118"/>
      <c r="W863" s="118"/>
      <c r="X863" s="118"/>
      <c r="Y863" s="118"/>
      <c r="Z863" s="118"/>
      <c r="AA863" s="118"/>
      <c r="AB863" s="118"/>
      <c r="AC863" s="118"/>
      <c r="AD863" s="111"/>
      <c r="AE863" s="73"/>
      <c r="AF863" s="73"/>
    </row>
    <row r="864" ht="22.5" customHeight="1">
      <c r="A864" s="73"/>
      <c r="B864" s="73"/>
      <c r="C864" s="73"/>
      <c r="D864" s="73"/>
      <c r="E864" s="330"/>
      <c r="F864" s="118"/>
      <c r="G864" s="118"/>
      <c r="H864" s="118"/>
      <c r="I864" s="118"/>
      <c r="J864" s="119"/>
      <c r="K864" s="120"/>
      <c r="L864" s="120"/>
      <c r="M864" s="120"/>
      <c r="N864" s="120"/>
      <c r="O864" s="118"/>
      <c r="P864" s="120"/>
      <c r="Q864" s="121"/>
      <c r="R864" s="109" t="b">
        <v>0</v>
      </c>
      <c r="S864" s="143" t="str">
        <f t="shared" si="1"/>
        <v>Suspenso</v>
      </c>
      <c r="T864" s="118"/>
      <c r="U864" s="118"/>
      <c r="V864" s="118"/>
      <c r="W864" s="118"/>
      <c r="X864" s="118"/>
      <c r="Y864" s="118"/>
      <c r="Z864" s="118"/>
      <c r="AA864" s="118"/>
      <c r="AB864" s="118"/>
      <c r="AC864" s="118"/>
      <c r="AD864" s="111"/>
      <c r="AE864" s="73"/>
      <c r="AF864" s="73"/>
    </row>
    <row r="865" ht="22.5" customHeight="1">
      <c r="A865" s="73"/>
      <c r="B865" s="73"/>
      <c r="C865" s="73"/>
      <c r="D865" s="73"/>
      <c r="E865" s="330"/>
      <c r="F865" s="118"/>
      <c r="G865" s="118"/>
      <c r="H865" s="118"/>
      <c r="I865" s="118"/>
      <c r="J865" s="119"/>
      <c r="K865" s="120"/>
      <c r="L865" s="120"/>
      <c r="M865" s="120"/>
      <c r="N865" s="120"/>
      <c r="O865" s="118"/>
      <c r="P865" s="120"/>
      <c r="Q865" s="121"/>
      <c r="R865" s="109" t="b">
        <v>0</v>
      </c>
      <c r="S865" s="143" t="str">
        <f t="shared" si="1"/>
        <v>Suspenso</v>
      </c>
      <c r="T865" s="118"/>
      <c r="U865" s="118"/>
      <c r="V865" s="118"/>
      <c r="W865" s="118"/>
      <c r="X865" s="118"/>
      <c r="Y865" s="118"/>
      <c r="Z865" s="118"/>
      <c r="AA865" s="118"/>
      <c r="AB865" s="118"/>
      <c r="AC865" s="118"/>
      <c r="AD865" s="111"/>
      <c r="AE865" s="73"/>
      <c r="AF865" s="73"/>
    </row>
    <row r="866" ht="22.5" customHeight="1">
      <c r="A866" s="73"/>
      <c r="B866" s="73"/>
      <c r="C866" s="73"/>
      <c r="D866" s="73"/>
      <c r="E866" s="330"/>
      <c r="F866" s="118"/>
      <c r="G866" s="118"/>
      <c r="H866" s="118"/>
      <c r="I866" s="118"/>
      <c r="J866" s="119"/>
      <c r="K866" s="120"/>
      <c r="L866" s="120"/>
      <c r="M866" s="120"/>
      <c r="N866" s="120"/>
      <c r="O866" s="118"/>
      <c r="P866" s="120"/>
      <c r="Q866" s="121"/>
      <c r="R866" s="109" t="b">
        <v>0</v>
      </c>
      <c r="S866" s="143" t="str">
        <f t="shared" si="1"/>
        <v>Suspenso</v>
      </c>
      <c r="T866" s="118"/>
      <c r="U866" s="118"/>
      <c r="V866" s="118"/>
      <c r="W866" s="118"/>
      <c r="X866" s="118"/>
      <c r="Y866" s="118"/>
      <c r="Z866" s="118"/>
      <c r="AA866" s="118"/>
      <c r="AB866" s="118"/>
      <c r="AC866" s="118"/>
      <c r="AD866" s="111"/>
      <c r="AE866" s="73"/>
      <c r="AF866" s="73"/>
    </row>
    <row r="867" ht="22.5" customHeight="1">
      <c r="A867" s="73"/>
      <c r="B867" s="73"/>
      <c r="C867" s="73"/>
      <c r="D867" s="73"/>
      <c r="E867" s="330"/>
      <c r="F867" s="118"/>
      <c r="G867" s="118"/>
      <c r="H867" s="118"/>
      <c r="I867" s="118"/>
      <c r="J867" s="119"/>
      <c r="K867" s="120"/>
      <c r="L867" s="120"/>
      <c r="M867" s="120"/>
      <c r="N867" s="120"/>
      <c r="O867" s="118"/>
      <c r="P867" s="120"/>
      <c r="Q867" s="121"/>
      <c r="R867" s="109" t="b">
        <v>0</v>
      </c>
      <c r="S867" s="143" t="str">
        <f t="shared" si="1"/>
        <v>Suspenso</v>
      </c>
      <c r="T867" s="118"/>
      <c r="U867" s="118"/>
      <c r="V867" s="118"/>
      <c r="W867" s="118"/>
      <c r="X867" s="118"/>
      <c r="Y867" s="118"/>
      <c r="Z867" s="118"/>
      <c r="AA867" s="118"/>
      <c r="AB867" s="118"/>
      <c r="AC867" s="118"/>
      <c r="AD867" s="111"/>
      <c r="AE867" s="73"/>
      <c r="AF867" s="73"/>
    </row>
    <row r="868" ht="22.5" customHeight="1">
      <c r="A868" s="73"/>
      <c r="B868" s="73"/>
      <c r="C868" s="73"/>
      <c r="D868" s="73"/>
      <c r="E868" s="330"/>
      <c r="F868" s="118"/>
      <c r="G868" s="118"/>
      <c r="H868" s="118"/>
      <c r="I868" s="118"/>
      <c r="J868" s="119"/>
      <c r="K868" s="120"/>
      <c r="L868" s="120"/>
      <c r="M868" s="120"/>
      <c r="N868" s="120"/>
      <c r="O868" s="118"/>
      <c r="P868" s="120"/>
      <c r="Q868" s="121"/>
      <c r="R868" s="109" t="b">
        <v>0</v>
      </c>
      <c r="S868" s="143" t="str">
        <f t="shared" si="1"/>
        <v>Suspenso</v>
      </c>
      <c r="T868" s="118"/>
      <c r="U868" s="118"/>
      <c r="V868" s="118"/>
      <c r="W868" s="118"/>
      <c r="X868" s="118"/>
      <c r="Y868" s="118"/>
      <c r="Z868" s="118"/>
      <c r="AA868" s="118"/>
      <c r="AB868" s="118"/>
      <c r="AC868" s="118"/>
      <c r="AD868" s="111"/>
      <c r="AE868" s="73"/>
      <c r="AF868" s="73"/>
    </row>
    <row r="869" ht="22.5" customHeight="1">
      <c r="A869" s="73"/>
      <c r="B869" s="73"/>
      <c r="C869" s="73"/>
      <c r="D869" s="73"/>
      <c r="E869" s="330"/>
      <c r="F869" s="118"/>
      <c r="G869" s="118"/>
      <c r="H869" s="118"/>
      <c r="I869" s="118"/>
      <c r="J869" s="119"/>
      <c r="K869" s="120"/>
      <c r="L869" s="120"/>
      <c r="M869" s="120"/>
      <c r="N869" s="120"/>
      <c r="O869" s="118"/>
      <c r="P869" s="120"/>
      <c r="Q869" s="121"/>
      <c r="R869" s="109" t="b">
        <v>0</v>
      </c>
      <c r="S869" s="143" t="str">
        <f t="shared" si="1"/>
        <v>Suspenso</v>
      </c>
      <c r="T869" s="118"/>
      <c r="U869" s="118"/>
      <c r="V869" s="118"/>
      <c r="W869" s="118"/>
      <c r="X869" s="118"/>
      <c r="Y869" s="118"/>
      <c r="Z869" s="118"/>
      <c r="AA869" s="118"/>
      <c r="AB869" s="118"/>
      <c r="AC869" s="118"/>
      <c r="AD869" s="111"/>
      <c r="AE869" s="73"/>
      <c r="AF869" s="73"/>
    </row>
    <row r="870" ht="22.5" customHeight="1">
      <c r="A870" s="73"/>
      <c r="B870" s="73"/>
      <c r="C870" s="73"/>
      <c r="D870" s="73"/>
      <c r="E870" s="330"/>
      <c r="F870" s="118"/>
      <c r="G870" s="118"/>
      <c r="H870" s="118"/>
      <c r="I870" s="118"/>
      <c r="J870" s="119"/>
      <c r="K870" s="120"/>
      <c r="L870" s="120"/>
      <c r="M870" s="120"/>
      <c r="N870" s="120"/>
      <c r="O870" s="118"/>
      <c r="P870" s="120"/>
      <c r="Q870" s="121"/>
      <c r="R870" s="109" t="b">
        <v>0</v>
      </c>
      <c r="S870" s="143" t="str">
        <f t="shared" si="1"/>
        <v>Suspenso</v>
      </c>
      <c r="T870" s="118"/>
      <c r="U870" s="118"/>
      <c r="V870" s="118"/>
      <c r="W870" s="118"/>
      <c r="X870" s="118"/>
      <c r="Y870" s="118"/>
      <c r="Z870" s="118"/>
      <c r="AA870" s="118"/>
      <c r="AB870" s="118"/>
      <c r="AC870" s="118"/>
      <c r="AD870" s="111"/>
      <c r="AE870" s="73"/>
      <c r="AF870" s="73"/>
    </row>
    <row r="871" ht="22.5" customHeight="1">
      <c r="A871" s="73"/>
      <c r="B871" s="73"/>
      <c r="C871" s="73"/>
      <c r="D871" s="73"/>
      <c r="E871" s="330"/>
      <c r="F871" s="118"/>
      <c r="G871" s="118"/>
      <c r="H871" s="118"/>
      <c r="I871" s="118"/>
      <c r="J871" s="119"/>
      <c r="K871" s="120"/>
      <c r="L871" s="120"/>
      <c r="M871" s="120"/>
      <c r="N871" s="120"/>
      <c r="O871" s="118"/>
      <c r="P871" s="120"/>
      <c r="Q871" s="121"/>
      <c r="R871" s="109" t="b">
        <v>0</v>
      </c>
      <c r="S871" s="143" t="str">
        <f t="shared" si="1"/>
        <v>Suspenso</v>
      </c>
      <c r="T871" s="118"/>
      <c r="U871" s="118"/>
      <c r="V871" s="118"/>
      <c r="W871" s="118"/>
      <c r="X871" s="118"/>
      <c r="Y871" s="118"/>
      <c r="Z871" s="118"/>
      <c r="AA871" s="118"/>
      <c r="AB871" s="118"/>
      <c r="AC871" s="118"/>
      <c r="AD871" s="111"/>
      <c r="AE871" s="73"/>
      <c r="AF871" s="73"/>
    </row>
    <row r="872" ht="22.5" customHeight="1">
      <c r="A872" s="73"/>
      <c r="B872" s="73"/>
      <c r="C872" s="73"/>
      <c r="D872" s="73"/>
      <c r="E872" s="330"/>
      <c r="F872" s="118"/>
      <c r="G872" s="118"/>
      <c r="H872" s="118"/>
      <c r="I872" s="118"/>
      <c r="J872" s="119"/>
      <c r="K872" s="120"/>
      <c r="L872" s="120"/>
      <c r="M872" s="120"/>
      <c r="N872" s="120"/>
      <c r="O872" s="118"/>
      <c r="P872" s="120"/>
      <c r="Q872" s="121"/>
      <c r="R872" s="109" t="b">
        <v>0</v>
      </c>
      <c r="S872" s="143" t="str">
        <f t="shared" si="1"/>
        <v>Suspenso</v>
      </c>
      <c r="T872" s="118"/>
      <c r="U872" s="118"/>
      <c r="V872" s="118"/>
      <c r="W872" s="118"/>
      <c r="X872" s="118"/>
      <c r="Y872" s="118"/>
      <c r="Z872" s="118"/>
      <c r="AA872" s="118"/>
      <c r="AB872" s="118"/>
      <c r="AC872" s="118"/>
      <c r="AD872" s="111"/>
      <c r="AE872" s="73"/>
      <c r="AF872" s="73"/>
    </row>
    <row r="873" ht="22.5" customHeight="1">
      <c r="A873" s="73"/>
      <c r="B873" s="73"/>
      <c r="C873" s="73"/>
      <c r="D873" s="73"/>
      <c r="E873" s="330"/>
      <c r="F873" s="118"/>
      <c r="G873" s="118"/>
      <c r="H873" s="118"/>
      <c r="I873" s="118"/>
      <c r="J873" s="119"/>
      <c r="K873" s="120"/>
      <c r="L873" s="120"/>
      <c r="M873" s="120"/>
      <c r="N873" s="120"/>
      <c r="O873" s="118"/>
      <c r="P873" s="120"/>
      <c r="Q873" s="121"/>
      <c r="R873" s="109" t="b">
        <v>0</v>
      </c>
      <c r="S873" s="143" t="str">
        <f t="shared" si="1"/>
        <v>Suspenso</v>
      </c>
      <c r="T873" s="118"/>
      <c r="U873" s="118"/>
      <c r="V873" s="118"/>
      <c r="W873" s="118"/>
      <c r="X873" s="118"/>
      <c r="Y873" s="118"/>
      <c r="Z873" s="118"/>
      <c r="AA873" s="118"/>
      <c r="AB873" s="118"/>
      <c r="AC873" s="118"/>
      <c r="AD873" s="111"/>
      <c r="AE873" s="73"/>
      <c r="AF873" s="73"/>
    </row>
    <row r="874" ht="22.5" customHeight="1">
      <c r="A874" s="73"/>
      <c r="B874" s="73"/>
      <c r="C874" s="73"/>
      <c r="D874" s="73"/>
      <c r="E874" s="330"/>
      <c r="F874" s="118"/>
      <c r="G874" s="118"/>
      <c r="H874" s="118"/>
      <c r="I874" s="118"/>
      <c r="J874" s="119"/>
      <c r="K874" s="120"/>
      <c r="L874" s="120"/>
      <c r="M874" s="120"/>
      <c r="N874" s="120"/>
      <c r="O874" s="118"/>
      <c r="P874" s="120"/>
      <c r="Q874" s="121"/>
      <c r="R874" s="109" t="b">
        <v>0</v>
      </c>
      <c r="S874" s="143" t="str">
        <f t="shared" si="1"/>
        <v>Suspenso</v>
      </c>
      <c r="T874" s="118"/>
      <c r="U874" s="118"/>
      <c r="V874" s="118"/>
      <c r="W874" s="118"/>
      <c r="X874" s="118"/>
      <c r="Y874" s="118"/>
      <c r="Z874" s="118"/>
      <c r="AA874" s="118"/>
      <c r="AB874" s="118"/>
      <c r="AC874" s="118"/>
      <c r="AD874" s="111"/>
      <c r="AE874" s="73"/>
      <c r="AF874" s="73"/>
    </row>
    <row r="875" ht="22.5" customHeight="1">
      <c r="A875" s="73"/>
      <c r="B875" s="73"/>
      <c r="C875" s="73"/>
      <c r="D875" s="73"/>
      <c r="E875" s="330"/>
      <c r="F875" s="118"/>
      <c r="G875" s="118"/>
      <c r="H875" s="118"/>
      <c r="I875" s="118"/>
      <c r="J875" s="119"/>
      <c r="K875" s="120"/>
      <c r="L875" s="120"/>
      <c r="M875" s="120"/>
      <c r="N875" s="120"/>
      <c r="O875" s="118"/>
      <c r="P875" s="120"/>
      <c r="Q875" s="121"/>
      <c r="R875" s="109" t="b">
        <v>0</v>
      </c>
      <c r="S875" s="143" t="str">
        <f t="shared" si="1"/>
        <v>Suspenso</v>
      </c>
      <c r="T875" s="118"/>
      <c r="U875" s="118"/>
      <c r="V875" s="118"/>
      <c r="W875" s="118"/>
      <c r="X875" s="118"/>
      <c r="Y875" s="118"/>
      <c r="Z875" s="118"/>
      <c r="AA875" s="118"/>
      <c r="AB875" s="118"/>
      <c r="AC875" s="118"/>
      <c r="AD875" s="111"/>
      <c r="AE875" s="73"/>
      <c r="AF875" s="73"/>
    </row>
    <row r="876" ht="22.5" customHeight="1">
      <c r="A876" s="73"/>
      <c r="B876" s="73"/>
      <c r="C876" s="73"/>
      <c r="D876" s="73"/>
      <c r="E876" s="330"/>
      <c r="F876" s="118"/>
      <c r="G876" s="118"/>
      <c r="H876" s="118"/>
      <c r="I876" s="118"/>
      <c r="J876" s="119"/>
      <c r="K876" s="120"/>
      <c r="L876" s="120"/>
      <c r="M876" s="120"/>
      <c r="N876" s="120"/>
      <c r="O876" s="118"/>
      <c r="P876" s="120"/>
      <c r="Q876" s="121"/>
      <c r="R876" s="109" t="b">
        <v>0</v>
      </c>
      <c r="S876" s="143" t="str">
        <f t="shared" si="1"/>
        <v>Suspenso</v>
      </c>
      <c r="T876" s="118"/>
      <c r="U876" s="118"/>
      <c r="V876" s="118"/>
      <c r="W876" s="118"/>
      <c r="X876" s="118"/>
      <c r="Y876" s="118"/>
      <c r="Z876" s="118"/>
      <c r="AA876" s="118"/>
      <c r="AB876" s="118"/>
      <c r="AC876" s="118"/>
      <c r="AD876" s="111"/>
      <c r="AE876" s="73"/>
      <c r="AF876" s="73"/>
    </row>
    <row r="877" ht="22.5" customHeight="1">
      <c r="A877" s="73"/>
      <c r="B877" s="73"/>
      <c r="C877" s="73"/>
      <c r="D877" s="73"/>
      <c r="E877" s="330"/>
      <c r="F877" s="118"/>
      <c r="G877" s="118"/>
      <c r="H877" s="118"/>
      <c r="I877" s="118"/>
      <c r="J877" s="119"/>
      <c r="K877" s="120"/>
      <c r="L877" s="120"/>
      <c r="M877" s="120"/>
      <c r="N877" s="120"/>
      <c r="O877" s="118"/>
      <c r="P877" s="120"/>
      <c r="Q877" s="121"/>
      <c r="R877" s="109" t="b">
        <v>0</v>
      </c>
      <c r="S877" s="143" t="str">
        <f t="shared" si="1"/>
        <v>Suspenso</v>
      </c>
      <c r="T877" s="118"/>
      <c r="U877" s="118"/>
      <c r="V877" s="118"/>
      <c r="W877" s="118"/>
      <c r="X877" s="118"/>
      <c r="Y877" s="118"/>
      <c r="Z877" s="118"/>
      <c r="AA877" s="118"/>
      <c r="AB877" s="118"/>
      <c r="AC877" s="118"/>
      <c r="AD877" s="111"/>
      <c r="AE877" s="73"/>
      <c r="AF877" s="73"/>
    </row>
    <row r="878" ht="22.5" customHeight="1">
      <c r="A878" s="73"/>
      <c r="B878" s="73"/>
      <c r="C878" s="73"/>
      <c r="D878" s="73"/>
      <c r="E878" s="330"/>
      <c r="F878" s="118"/>
      <c r="G878" s="118"/>
      <c r="H878" s="118"/>
      <c r="I878" s="118"/>
      <c r="J878" s="119"/>
      <c r="K878" s="120"/>
      <c r="L878" s="120"/>
      <c r="M878" s="120"/>
      <c r="N878" s="120"/>
      <c r="O878" s="118"/>
      <c r="P878" s="120"/>
      <c r="Q878" s="121"/>
      <c r="R878" s="109" t="b">
        <v>0</v>
      </c>
      <c r="S878" s="143" t="str">
        <f t="shared" si="1"/>
        <v>Suspenso</v>
      </c>
      <c r="T878" s="118"/>
      <c r="U878" s="118"/>
      <c r="V878" s="118"/>
      <c r="W878" s="118"/>
      <c r="X878" s="118"/>
      <c r="Y878" s="118"/>
      <c r="Z878" s="118"/>
      <c r="AA878" s="118"/>
      <c r="AB878" s="118"/>
      <c r="AC878" s="118"/>
      <c r="AD878" s="111"/>
      <c r="AE878" s="73"/>
      <c r="AF878" s="73"/>
    </row>
    <row r="879" ht="22.5" customHeight="1">
      <c r="A879" s="73"/>
      <c r="B879" s="73"/>
      <c r="C879" s="73"/>
      <c r="D879" s="73"/>
      <c r="E879" s="330"/>
      <c r="F879" s="118"/>
      <c r="G879" s="118"/>
      <c r="H879" s="118"/>
      <c r="I879" s="118"/>
      <c r="J879" s="119"/>
      <c r="K879" s="120"/>
      <c r="L879" s="120"/>
      <c r="M879" s="120"/>
      <c r="N879" s="120"/>
      <c r="O879" s="118"/>
      <c r="P879" s="120"/>
      <c r="Q879" s="121"/>
      <c r="R879" s="109" t="b">
        <v>0</v>
      </c>
      <c r="S879" s="143" t="str">
        <f t="shared" si="1"/>
        <v>Suspenso</v>
      </c>
      <c r="T879" s="118"/>
      <c r="U879" s="118"/>
      <c r="V879" s="118"/>
      <c r="W879" s="118"/>
      <c r="X879" s="118"/>
      <c r="Y879" s="118"/>
      <c r="Z879" s="118"/>
      <c r="AA879" s="118"/>
      <c r="AB879" s="118"/>
      <c r="AC879" s="118"/>
      <c r="AD879" s="111"/>
      <c r="AE879" s="73"/>
      <c r="AF879" s="73"/>
    </row>
    <row r="880" ht="22.5" customHeight="1">
      <c r="A880" s="73"/>
      <c r="B880" s="73"/>
      <c r="C880" s="73"/>
      <c r="D880" s="73"/>
      <c r="E880" s="330"/>
      <c r="F880" s="118"/>
      <c r="G880" s="118"/>
      <c r="H880" s="118"/>
      <c r="I880" s="118"/>
      <c r="J880" s="119"/>
      <c r="K880" s="120"/>
      <c r="L880" s="120"/>
      <c r="M880" s="120"/>
      <c r="N880" s="120"/>
      <c r="O880" s="118"/>
      <c r="P880" s="120"/>
      <c r="Q880" s="121"/>
      <c r="R880" s="109" t="b">
        <v>0</v>
      </c>
      <c r="S880" s="143" t="str">
        <f t="shared" si="1"/>
        <v>Suspenso</v>
      </c>
      <c r="T880" s="118"/>
      <c r="U880" s="118"/>
      <c r="V880" s="118"/>
      <c r="W880" s="118"/>
      <c r="X880" s="118"/>
      <c r="Y880" s="118"/>
      <c r="Z880" s="118"/>
      <c r="AA880" s="118"/>
      <c r="AB880" s="118"/>
      <c r="AC880" s="118"/>
      <c r="AD880" s="111"/>
      <c r="AE880" s="73"/>
      <c r="AF880" s="73"/>
    </row>
    <row r="881" ht="22.5" customHeight="1">
      <c r="A881" s="73"/>
      <c r="B881" s="73"/>
      <c r="C881" s="73"/>
      <c r="D881" s="73"/>
      <c r="E881" s="330"/>
      <c r="F881" s="118"/>
      <c r="G881" s="118"/>
      <c r="H881" s="118"/>
      <c r="I881" s="118"/>
      <c r="J881" s="119"/>
      <c r="K881" s="120"/>
      <c r="L881" s="120"/>
      <c r="M881" s="120"/>
      <c r="N881" s="120"/>
      <c r="O881" s="118"/>
      <c r="P881" s="120"/>
      <c r="Q881" s="121"/>
      <c r="R881" s="109" t="b">
        <v>0</v>
      </c>
      <c r="S881" s="143" t="str">
        <f t="shared" si="1"/>
        <v>Suspenso</v>
      </c>
      <c r="T881" s="118"/>
      <c r="U881" s="118"/>
      <c r="V881" s="118"/>
      <c r="W881" s="118"/>
      <c r="X881" s="118"/>
      <c r="Y881" s="118"/>
      <c r="Z881" s="118"/>
      <c r="AA881" s="118"/>
      <c r="AB881" s="118"/>
      <c r="AC881" s="118"/>
      <c r="AD881" s="111"/>
      <c r="AE881" s="73"/>
      <c r="AF881" s="73"/>
    </row>
    <row r="882" ht="22.5" customHeight="1">
      <c r="A882" s="73"/>
      <c r="B882" s="73"/>
      <c r="C882" s="73"/>
      <c r="D882" s="73"/>
      <c r="E882" s="330"/>
      <c r="F882" s="118"/>
      <c r="G882" s="118"/>
      <c r="H882" s="118"/>
      <c r="I882" s="118"/>
      <c r="J882" s="119"/>
      <c r="K882" s="120"/>
      <c r="L882" s="120"/>
      <c r="M882" s="120"/>
      <c r="N882" s="120"/>
      <c r="O882" s="118"/>
      <c r="P882" s="120"/>
      <c r="Q882" s="121"/>
      <c r="R882" s="109" t="b">
        <v>0</v>
      </c>
      <c r="S882" s="143" t="str">
        <f t="shared" si="1"/>
        <v>Suspenso</v>
      </c>
      <c r="T882" s="118"/>
      <c r="U882" s="118"/>
      <c r="V882" s="118"/>
      <c r="W882" s="118"/>
      <c r="X882" s="118"/>
      <c r="Y882" s="118"/>
      <c r="Z882" s="118"/>
      <c r="AA882" s="118"/>
      <c r="AB882" s="118"/>
      <c r="AC882" s="118"/>
      <c r="AD882" s="111"/>
      <c r="AE882" s="73"/>
      <c r="AF882" s="73"/>
    </row>
    <row r="883" ht="22.5" customHeight="1">
      <c r="A883" s="73"/>
      <c r="B883" s="73"/>
      <c r="C883" s="73"/>
      <c r="D883" s="73"/>
      <c r="E883" s="330"/>
      <c r="F883" s="118"/>
      <c r="G883" s="118"/>
      <c r="H883" s="118"/>
      <c r="I883" s="118"/>
      <c r="J883" s="119"/>
      <c r="K883" s="120"/>
      <c r="L883" s="120"/>
      <c r="M883" s="120"/>
      <c r="N883" s="120"/>
      <c r="O883" s="118"/>
      <c r="P883" s="120"/>
      <c r="Q883" s="121"/>
      <c r="R883" s="109" t="b">
        <v>0</v>
      </c>
      <c r="S883" s="143" t="str">
        <f t="shared" si="1"/>
        <v>Suspenso</v>
      </c>
      <c r="T883" s="118"/>
      <c r="U883" s="118"/>
      <c r="V883" s="118"/>
      <c r="W883" s="118"/>
      <c r="X883" s="118"/>
      <c r="Y883" s="118"/>
      <c r="Z883" s="118"/>
      <c r="AA883" s="118"/>
      <c r="AB883" s="118"/>
      <c r="AC883" s="118"/>
      <c r="AD883" s="111"/>
      <c r="AE883" s="73"/>
      <c r="AF883" s="73"/>
    </row>
    <row r="884" ht="22.5" customHeight="1">
      <c r="A884" s="73"/>
      <c r="B884" s="73"/>
      <c r="C884" s="73"/>
      <c r="D884" s="73"/>
      <c r="E884" s="330"/>
      <c r="F884" s="118"/>
      <c r="G884" s="118"/>
      <c r="H884" s="118"/>
      <c r="I884" s="118"/>
      <c r="J884" s="119"/>
      <c r="K884" s="120"/>
      <c r="L884" s="120"/>
      <c r="M884" s="120"/>
      <c r="N884" s="120"/>
      <c r="O884" s="118"/>
      <c r="P884" s="120"/>
      <c r="Q884" s="121"/>
      <c r="R884" s="109" t="b">
        <v>0</v>
      </c>
      <c r="S884" s="143" t="str">
        <f t="shared" si="1"/>
        <v>Suspenso</v>
      </c>
      <c r="T884" s="118"/>
      <c r="U884" s="118"/>
      <c r="V884" s="118"/>
      <c r="W884" s="118"/>
      <c r="X884" s="118"/>
      <c r="Y884" s="118"/>
      <c r="Z884" s="118"/>
      <c r="AA884" s="118"/>
      <c r="AB884" s="118"/>
      <c r="AC884" s="118"/>
      <c r="AD884" s="111"/>
      <c r="AE884" s="73"/>
      <c r="AF884" s="73"/>
    </row>
    <row r="885" ht="22.5" customHeight="1">
      <c r="A885" s="73"/>
      <c r="B885" s="73"/>
      <c r="C885" s="73"/>
      <c r="D885" s="73"/>
      <c r="E885" s="330"/>
      <c r="F885" s="118"/>
      <c r="G885" s="118"/>
      <c r="H885" s="118"/>
      <c r="I885" s="118"/>
      <c r="J885" s="119"/>
      <c r="K885" s="120"/>
      <c r="L885" s="120"/>
      <c r="M885" s="120"/>
      <c r="N885" s="120"/>
      <c r="O885" s="118"/>
      <c r="P885" s="120"/>
      <c r="Q885" s="121"/>
      <c r="R885" s="109" t="b">
        <v>0</v>
      </c>
      <c r="S885" s="143" t="str">
        <f t="shared" si="1"/>
        <v>Suspenso</v>
      </c>
      <c r="T885" s="118"/>
      <c r="U885" s="118"/>
      <c r="V885" s="118"/>
      <c r="W885" s="118"/>
      <c r="X885" s="118"/>
      <c r="Y885" s="118"/>
      <c r="Z885" s="118"/>
      <c r="AA885" s="118"/>
      <c r="AB885" s="118"/>
      <c r="AC885" s="118"/>
      <c r="AD885" s="111"/>
      <c r="AE885" s="73"/>
      <c r="AF885" s="73"/>
    </row>
    <row r="886" ht="22.5" customHeight="1">
      <c r="A886" s="73"/>
      <c r="B886" s="73"/>
      <c r="C886" s="73"/>
      <c r="D886" s="73"/>
      <c r="E886" s="330"/>
      <c r="F886" s="118"/>
      <c r="G886" s="118"/>
      <c r="H886" s="118"/>
      <c r="I886" s="118"/>
      <c r="J886" s="119"/>
      <c r="K886" s="120"/>
      <c r="L886" s="120"/>
      <c r="M886" s="120"/>
      <c r="N886" s="120"/>
      <c r="O886" s="118"/>
      <c r="P886" s="120"/>
      <c r="Q886" s="121"/>
      <c r="R886" s="109" t="b">
        <v>0</v>
      </c>
      <c r="S886" s="143" t="str">
        <f t="shared" si="1"/>
        <v>Suspenso</v>
      </c>
      <c r="T886" s="118"/>
      <c r="U886" s="118"/>
      <c r="V886" s="118"/>
      <c r="W886" s="118"/>
      <c r="X886" s="118"/>
      <c r="Y886" s="118"/>
      <c r="Z886" s="118"/>
      <c r="AA886" s="118"/>
      <c r="AB886" s="118"/>
      <c r="AC886" s="118"/>
      <c r="AD886" s="111"/>
      <c r="AE886" s="73"/>
      <c r="AF886" s="73"/>
    </row>
    <row r="887" ht="22.5" customHeight="1">
      <c r="A887" s="73"/>
      <c r="B887" s="73"/>
      <c r="C887" s="73"/>
      <c r="D887" s="73"/>
      <c r="E887" s="330"/>
      <c r="F887" s="118"/>
      <c r="G887" s="118"/>
      <c r="H887" s="118"/>
      <c r="I887" s="118"/>
      <c r="J887" s="119"/>
      <c r="K887" s="120"/>
      <c r="L887" s="120"/>
      <c r="M887" s="120"/>
      <c r="N887" s="120"/>
      <c r="O887" s="118"/>
      <c r="P887" s="120"/>
      <c r="Q887" s="121"/>
      <c r="R887" s="109" t="b">
        <v>0</v>
      </c>
      <c r="S887" s="143" t="str">
        <f t="shared" si="1"/>
        <v>Suspenso</v>
      </c>
      <c r="T887" s="118"/>
      <c r="U887" s="118"/>
      <c r="V887" s="118"/>
      <c r="W887" s="118"/>
      <c r="X887" s="118"/>
      <c r="Y887" s="118"/>
      <c r="Z887" s="118"/>
      <c r="AA887" s="118"/>
      <c r="AB887" s="118"/>
      <c r="AC887" s="118"/>
      <c r="AD887" s="111"/>
      <c r="AE887" s="73"/>
      <c r="AF887" s="73"/>
    </row>
    <row r="888" ht="22.5" customHeight="1">
      <c r="A888" s="73"/>
      <c r="B888" s="73"/>
      <c r="C888" s="73"/>
      <c r="D888" s="73"/>
      <c r="E888" s="330"/>
      <c r="F888" s="118"/>
      <c r="G888" s="118"/>
      <c r="H888" s="118"/>
      <c r="I888" s="118"/>
      <c r="J888" s="119"/>
      <c r="K888" s="120"/>
      <c r="L888" s="120"/>
      <c r="M888" s="120"/>
      <c r="N888" s="120"/>
      <c r="O888" s="118"/>
      <c r="P888" s="120"/>
      <c r="Q888" s="121"/>
      <c r="R888" s="109" t="b">
        <v>0</v>
      </c>
      <c r="S888" s="143" t="str">
        <f t="shared" si="1"/>
        <v>Suspenso</v>
      </c>
      <c r="T888" s="118"/>
      <c r="U888" s="118"/>
      <c r="V888" s="118"/>
      <c r="W888" s="118"/>
      <c r="X888" s="118"/>
      <c r="Y888" s="118"/>
      <c r="Z888" s="118"/>
      <c r="AA888" s="118"/>
      <c r="AB888" s="118"/>
      <c r="AC888" s="118"/>
      <c r="AD888" s="111"/>
      <c r="AE888" s="73"/>
      <c r="AF888" s="73"/>
    </row>
    <row r="889" ht="22.5" customHeight="1">
      <c r="A889" s="73"/>
      <c r="B889" s="73"/>
      <c r="C889" s="73"/>
      <c r="D889" s="73"/>
      <c r="E889" s="330"/>
      <c r="F889" s="118"/>
      <c r="G889" s="118"/>
      <c r="H889" s="118"/>
      <c r="I889" s="118"/>
      <c r="J889" s="119"/>
      <c r="K889" s="120"/>
      <c r="L889" s="120"/>
      <c r="M889" s="120"/>
      <c r="N889" s="120"/>
      <c r="O889" s="118"/>
      <c r="P889" s="120"/>
      <c r="Q889" s="121"/>
      <c r="R889" s="109" t="b">
        <v>0</v>
      </c>
      <c r="S889" s="143" t="str">
        <f t="shared" si="1"/>
        <v>Suspenso</v>
      </c>
      <c r="T889" s="118"/>
      <c r="U889" s="118"/>
      <c r="V889" s="118"/>
      <c r="W889" s="118"/>
      <c r="X889" s="118"/>
      <c r="Y889" s="118"/>
      <c r="Z889" s="118"/>
      <c r="AA889" s="118"/>
      <c r="AB889" s="118"/>
      <c r="AC889" s="118"/>
      <c r="AD889" s="111"/>
      <c r="AE889" s="73"/>
      <c r="AF889" s="73"/>
    </row>
    <row r="890" ht="22.5" customHeight="1">
      <c r="A890" s="73"/>
      <c r="B890" s="73"/>
      <c r="C890" s="73"/>
      <c r="D890" s="73"/>
      <c r="E890" s="330"/>
      <c r="F890" s="118"/>
      <c r="G890" s="118"/>
      <c r="H890" s="118"/>
      <c r="I890" s="118"/>
      <c r="J890" s="119"/>
      <c r="K890" s="120"/>
      <c r="L890" s="120"/>
      <c r="M890" s="120"/>
      <c r="N890" s="120"/>
      <c r="O890" s="118"/>
      <c r="P890" s="120"/>
      <c r="Q890" s="121"/>
      <c r="R890" s="109" t="b">
        <v>0</v>
      </c>
      <c r="S890" s="143" t="str">
        <f t="shared" si="1"/>
        <v>Suspenso</v>
      </c>
      <c r="T890" s="118"/>
      <c r="U890" s="118"/>
      <c r="V890" s="118"/>
      <c r="W890" s="118"/>
      <c r="X890" s="118"/>
      <c r="Y890" s="118"/>
      <c r="Z890" s="118"/>
      <c r="AA890" s="118"/>
      <c r="AB890" s="118"/>
      <c r="AC890" s="118"/>
      <c r="AD890" s="111"/>
      <c r="AE890" s="73"/>
      <c r="AF890" s="73"/>
    </row>
    <row r="891" ht="22.5" customHeight="1">
      <c r="A891" s="73"/>
      <c r="B891" s="73"/>
      <c r="C891" s="73"/>
      <c r="D891" s="73"/>
      <c r="E891" s="330"/>
      <c r="F891" s="118"/>
      <c r="G891" s="118"/>
      <c r="H891" s="118"/>
      <c r="I891" s="118"/>
      <c r="J891" s="119"/>
      <c r="K891" s="120"/>
      <c r="L891" s="120"/>
      <c r="M891" s="120"/>
      <c r="N891" s="120"/>
      <c r="O891" s="118"/>
      <c r="P891" s="120"/>
      <c r="Q891" s="121"/>
      <c r="R891" s="109" t="b">
        <v>0</v>
      </c>
      <c r="S891" s="143" t="str">
        <f t="shared" si="1"/>
        <v>Suspenso</v>
      </c>
      <c r="T891" s="118"/>
      <c r="U891" s="118"/>
      <c r="V891" s="118"/>
      <c r="W891" s="118"/>
      <c r="X891" s="118"/>
      <c r="Y891" s="118"/>
      <c r="Z891" s="118"/>
      <c r="AA891" s="118"/>
      <c r="AB891" s="118"/>
      <c r="AC891" s="118"/>
      <c r="AD891" s="111"/>
      <c r="AE891" s="73"/>
      <c r="AF891" s="73"/>
    </row>
    <row r="892" ht="22.5" customHeight="1">
      <c r="A892" s="73"/>
      <c r="B892" s="73"/>
      <c r="C892" s="73"/>
      <c r="D892" s="73"/>
      <c r="E892" s="330"/>
      <c r="F892" s="118"/>
      <c r="G892" s="118"/>
      <c r="H892" s="118"/>
      <c r="I892" s="118"/>
      <c r="J892" s="119"/>
      <c r="K892" s="120"/>
      <c r="L892" s="120"/>
      <c r="M892" s="120"/>
      <c r="N892" s="120"/>
      <c r="O892" s="118"/>
      <c r="P892" s="120"/>
      <c r="Q892" s="121"/>
      <c r="R892" s="109" t="b">
        <v>0</v>
      </c>
      <c r="S892" s="143" t="str">
        <f t="shared" si="1"/>
        <v>Suspenso</v>
      </c>
      <c r="T892" s="118"/>
      <c r="U892" s="118"/>
      <c r="V892" s="118"/>
      <c r="W892" s="118"/>
      <c r="X892" s="118"/>
      <c r="Y892" s="118"/>
      <c r="Z892" s="118"/>
      <c r="AA892" s="118"/>
      <c r="AB892" s="118"/>
      <c r="AC892" s="118"/>
      <c r="AD892" s="111"/>
      <c r="AE892" s="73"/>
      <c r="AF892" s="73"/>
    </row>
    <row r="893" ht="22.5" customHeight="1">
      <c r="A893" s="73"/>
      <c r="B893" s="73"/>
      <c r="C893" s="73"/>
      <c r="D893" s="73"/>
      <c r="E893" s="330"/>
      <c r="F893" s="118"/>
      <c r="G893" s="118"/>
      <c r="H893" s="118"/>
      <c r="I893" s="118"/>
      <c r="J893" s="119"/>
      <c r="K893" s="120"/>
      <c r="L893" s="120"/>
      <c r="M893" s="120"/>
      <c r="N893" s="120"/>
      <c r="O893" s="118"/>
      <c r="P893" s="120"/>
      <c r="Q893" s="121"/>
      <c r="R893" s="109" t="b">
        <v>0</v>
      </c>
      <c r="S893" s="143" t="str">
        <f t="shared" si="1"/>
        <v>Suspenso</v>
      </c>
      <c r="T893" s="118"/>
      <c r="U893" s="118"/>
      <c r="V893" s="118"/>
      <c r="W893" s="118"/>
      <c r="X893" s="118"/>
      <c r="Y893" s="118"/>
      <c r="Z893" s="118"/>
      <c r="AA893" s="118"/>
      <c r="AB893" s="118"/>
      <c r="AC893" s="118"/>
      <c r="AD893" s="111"/>
      <c r="AE893" s="73"/>
      <c r="AF893" s="73"/>
    </row>
    <row r="894" ht="22.5" customHeight="1">
      <c r="A894" s="73"/>
      <c r="B894" s="73"/>
      <c r="C894" s="73"/>
      <c r="D894" s="73"/>
      <c r="E894" s="330"/>
      <c r="F894" s="118"/>
      <c r="G894" s="118"/>
      <c r="H894" s="118"/>
      <c r="I894" s="118"/>
      <c r="J894" s="119"/>
      <c r="K894" s="120"/>
      <c r="L894" s="120"/>
      <c r="M894" s="120"/>
      <c r="N894" s="120"/>
      <c r="O894" s="118"/>
      <c r="P894" s="120"/>
      <c r="Q894" s="121"/>
      <c r="R894" s="109" t="b">
        <v>0</v>
      </c>
      <c r="S894" s="143" t="str">
        <f t="shared" si="1"/>
        <v>Suspenso</v>
      </c>
      <c r="T894" s="118"/>
      <c r="U894" s="118"/>
      <c r="V894" s="118"/>
      <c r="W894" s="118"/>
      <c r="X894" s="118"/>
      <c r="Y894" s="118"/>
      <c r="Z894" s="118"/>
      <c r="AA894" s="118"/>
      <c r="AB894" s="118"/>
      <c r="AC894" s="118"/>
      <c r="AD894" s="111"/>
      <c r="AE894" s="73"/>
      <c r="AF894" s="73"/>
    </row>
    <row r="895" ht="22.5" customHeight="1">
      <c r="A895" s="73"/>
      <c r="B895" s="73"/>
      <c r="C895" s="73"/>
      <c r="D895" s="73"/>
      <c r="E895" s="330"/>
      <c r="F895" s="118"/>
      <c r="G895" s="118"/>
      <c r="H895" s="118"/>
      <c r="I895" s="118"/>
      <c r="J895" s="119"/>
      <c r="K895" s="120"/>
      <c r="L895" s="120"/>
      <c r="M895" s="120"/>
      <c r="N895" s="120"/>
      <c r="O895" s="118"/>
      <c r="P895" s="120"/>
      <c r="Q895" s="121"/>
      <c r="R895" s="109" t="b">
        <v>0</v>
      </c>
      <c r="S895" s="143" t="str">
        <f t="shared" si="1"/>
        <v>Suspenso</v>
      </c>
      <c r="T895" s="118"/>
      <c r="U895" s="118"/>
      <c r="V895" s="118"/>
      <c r="W895" s="118"/>
      <c r="X895" s="118"/>
      <c r="Y895" s="118"/>
      <c r="Z895" s="118"/>
      <c r="AA895" s="118"/>
      <c r="AB895" s="118"/>
      <c r="AC895" s="118"/>
      <c r="AD895" s="111"/>
      <c r="AE895" s="73"/>
      <c r="AF895" s="73"/>
    </row>
    <row r="896" ht="22.5" customHeight="1">
      <c r="A896" s="73"/>
      <c r="B896" s="73"/>
      <c r="C896" s="73"/>
      <c r="D896" s="73"/>
      <c r="E896" s="330"/>
      <c r="F896" s="118"/>
      <c r="G896" s="118"/>
      <c r="H896" s="118"/>
      <c r="I896" s="118"/>
      <c r="J896" s="119"/>
      <c r="K896" s="120"/>
      <c r="L896" s="120"/>
      <c r="M896" s="120"/>
      <c r="N896" s="120"/>
      <c r="O896" s="118"/>
      <c r="P896" s="120"/>
      <c r="Q896" s="121"/>
      <c r="R896" s="109" t="b">
        <v>0</v>
      </c>
      <c r="S896" s="143" t="str">
        <f t="shared" si="1"/>
        <v>Suspenso</v>
      </c>
      <c r="T896" s="118"/>
      <c r="U896" s="118"/>
      <c r="V896" s="118"/>
      <c r="W896" s="118"/>
      <c r="X896" s="118"/>
      <c r="Y896" s="118"/>
      <c r="Z896" s="118"/>
      <c r="AA896" s="118"/>
      <c r="AB896" s="118"/>
      <c r="AC896" s="118"/>
      <c r="AD896" s="111"/>
      <c r="AE896" s="73"/>
      <c r="AF896" s="73"/>
    </row>
    <row r="897" ht="22.5" customHeight="1">
      <c r="A897" s="73"/>
      <c r="B897" s="73"/>
      <c r="C897" s="73"/>
      <c r="D897" s="73"/>
      <c r="E897" s="330"/>
      <c r="F897" s="118"/>
      <c r="G897" s="118"/>
      <c r="H897" s="118"/>
      <c r="I897" s="118"/>
      <c r="J897" s="119"/>
      <c r="K897" s="120"/>
      <c r="L897" s="120"/>
      <c r="M897" s="120"/>
      <c r="N897" s="120"/>
      <c r="O897" s="118"/>
      <c r="P897" s="120"/>
      <c r="Q897" s="121"/>
      <c r="R897" s="109" t="b">
        <v>0</v>
      </c>
      <c r="S897" s="143" t="str">
        <f t="shared" si="1"/>
        <v>Suspenso</v>
      </c>
      <c r="T897" s="118"/>
      <c r="U897" s="118"/>
      <c r="V897" s="118"/>
      <c r="W897" s="118"/>
      <c r="X897" s="118"/>
      <c r="Y897" s="118"/>
      <c r="Z897" s="118"/>
      <c r="AA897" s="118"/>
      <c r="AB897" s="118"/>
      <c r="AC897" s="118"/>
      <c r="AD897" s="111"/>
      <c r="AE897" s="73"/>
      <c r="AF897" s="73"/>
    </row>
    <row r="898" ht="22.5" customHeight="1">
      <c r="A898" s="73"/>
      <c r="B898" s="73"/>
      <c r="C898" s="73"/>
      <c r="D898" s="73"/>
      <c r="E898" s="330"/>
      <c r="F898" s="118"/>
      <c r="G898" s="118"/>
      <c r="H898" s="118"/>
      <c r="I898" s="118"/>
      <c r="J898" s="119"/>
      <c r="K898" s="120"/>
      <c r="L898" s="120"/>
      <c r="M898" s="120"/>
      <c r="N898" s="120"/>
      <c r="O898" s="118"/>
      <c r="P898" s="120"/>
      <c r="Q898" s="121"/>
      <c r="R898" s="109" t="b">
        <v>0</v>
      </c>
      <c r="S898" s="143" t="str">
        <f t="shared" si="1"/>
        <v>Suspenso</v>
      </c>
      <c r="T898" s="118"/>
      <c r="U898" s="118"/>
      <c r="V898" s="118"/>
      <c r="W898" s="118"/>
      <c r="X898" s="118"/>
      <c r="Y898" s="118"/>
      <c r="Z898" s="118"/>
      <c r="AA898" s="118"/>
      <c r="AB898" s="118"/>
      <c r="AC898" s="118"/>
      <c r="AD898" s="111"/>
      <c r="AE898" s="73"/>
      <c r="AF898" s="73"/>
    </row>
    <row r="899" ht="22.5" customHeight="1">
      <c r="A899" s="73"/>
      <c r="B899" s="73"/>
      <c r="C899" s="73"/>
      <c r="D899" s="73"/>
      <c r="E899" s="330"/>
      <c r="F899" s="118"/>
      <c r="G899" s="118"/>
      <c r="H899" s="118"/>
      <c r="I899" s="118"/>
      <c r="J899" s="119"/>
      <c r="K899" s="120"/>
      <c r="L899" s="120"/>
      <c r="M899" s="120"/>
      <c r="N899" s="120"/>
      <c r="O899" s="118"/>
      <c r="P899" s="120"/>
      <c r="Q899" s="121"/>
      <c r="R899" s="109" t="b">
        <v>0</v>
      </c>
      <c r="S899" s="143" t="str">
        <f t="shared" si="1"/>
        <v>Suspenso</v>
      </c>
      <c r="T899" s="118"/>
      <c r="U899" s="118"/>
      <c r="V899" s="118"/>
      <c r="W899" s="118"/>
      <c r="X899" s="118"/>
      <c r="Y899" s="118"/>
      <c r="Z899" s="118"/>
      <c r="AA899" s="118"/>
      <c r="AB899" s="118"/>
      <c r="AC899" s="118"/>
      <c r="AD899" s="111"/>
      <c r="AE899" s="73"/>
      <c r="AF899" s="73"/>
    </row>
    <row r="900" ht="22.5" customHeight="1">
      <c r="A900" s="73"/>
      <c r="B900" s="73"/>
      <c r="C900" s="73"/>
      <c r="D900" s="73"/>
      <c r="E900" s="330"/>
      <c r="F900" s="118"/>
      <c r="G900" s="118"/>
      <c r="H900" s="118"/>
      <c r="I900" s="118"/>
      <c r="J900" s="119"/>
      <c r="K900" s="120"/>
      <c r="L900" s="120"/>
      <c r="M900" s="120"/>
      <c r="N900" s="120"/>
      <c r="O900" s="118"/>
      <c r="P900" s="120"/>
      <c r="Q900" s="121"/>
      <c r="R900" s="109" t="b">
        <v>0</v>
      </c>
      <c r="S900" s="143" t="str">
        <f t="shared" si="1"/>
        <v>Suspenso</v>
      </c>
      <c r="T900" s="118"/>
      <c r="U900" s="118"/>
      <c r="V900" s="118"/>
      <c r="W900" s="118"/>
      <c r="X900" s="118"/>
      <c r="Y900" s="118"/>
      <c r="Z900" s="118"/>
      <c r="AA900" s="118"/>
      <c r="AB900" s="118"/>
      <c r="AC900" s="118"/>
      <c r="AD900" s="111"/>
      <c r="AE900" s="73"/>
      <c r="AF900" s="73"/>
    </row>
    <row r="901" ht="22.5" customHeight="1">
      <c r="A901" s="73"/>
      <c r="B901" s="73"/>
      <c r="C901" s="73"/>
      <c r="D901" s="73"/>
      <c r="E901" s="330"/>
      <c r="F901" s="118"/>
      <c r="G901" s="118"/>
      <c r="H901" s="118"/>
      <c r="I901" s="118"/>
      <c r="J901" s="119"/>
      <c r="K901" s="120"/>
      <c r="L901" s="120"/>
      <c r="M901" s="120"/>
      <c r="N901" s="120"/>
      <c r="O901" s="118"/>
      <c r="P901" s="120"/>
      <c r="Q901" s="121"/>
      <c r="R901" s="109" t="b">
        <v>0</v>
      </c>
      <c r="S901" s="143" t="str">
        <f t="shared" si="1"/>
        <v>Suspenso</v>
      </c>
      <c r="T901" s="118"/>
      <c r="U901" s="118"/>
      <c r="V901" s="118"/>
      <c r="W901" s="118"/>
      <c r="X901" s="118"/>
      <c r="Y901" s="118"/>
      <c r="Z901" s="118"/>
      <c r="AA901" s="118"/>
      <c r="AB901" s="118"/>
      <c r="AC901" s="118"/>
      <c r="AD901" s="111"/>
      <c r="AE901" s="73"/>
      <c r="AF901" s="73"/>
    </row>
    <row r="902" ht="22.5" customHeight="1">
      <c r="A902" s="73"/>
      <c r="B902" s="73"/>
      <c r="C902" s="73"/>
      <c r="D902" s="73"/>
      <c r="E902" s="330"/>
      <c r="F902" s="118"/>
      <c r="G902" s="118"/>
      <c r="H902" s="118"/>
      <c r="I902" s="118"/>
      <c r="J902" s="119"/>
      <c r="K902" s="120"/>
      <c r="L902" s="120"/>
      <c r="M902" s="120"/>
      <c r="N902" s="120"/>
      <c r="O902" s="118"/>
      <c r="P902" s="120"/>
      <c r="Q902" s="121"/>
      <c r="R902" s="109" t="b">
        <v>0</v>
      </c>
      <c r="S902" s="143" t="str">
        <f t="shared" si="1"/>
        <v>Suspenso</v>
      </c>
      <c r="T902" s="118"/>
      <c r="U902" s="118"/>
      <c r="V902" s="118"/>
      <c r="W902" s="118"/>
      <c r="X902" s="118"/>
      <c r="Y902" s="118"/>
      <c r="Z902" s="118"/>
      <c r="AA902" s="118"/>
      <c r="AB902" s="118"/>
      <c r="AC902" s="118"/>
      <c r="AD902" s="111"/>
      <c r="AE902" s="73"/>
      <c r="AF902" s="73"/>
    </row>
    <row r="903" ht="22.5" customHeight="1">
      <c r="A903" s="73"/>
      <c r="B903" s="73"/>
      <c r="C903" s="73"/>
      <c r="D903" s="73"/>
      <c r="E903" s="330"/>
      <c r="F903" s="118"/>
      <c r="G903" s="118"/>
      <c r="H903" s="118"/>
      <c r="I903" s="118"/>
      <c r="J903" s="119"/>
      <c r="K903" s="120"/>
      <c r="L903" s="120"/>
      <c r="M903" s="120"/>
      <c r="N903" s="120"/>
      <c r="O903" s="118"/>
      <c r="P903" s="120"/>
      <c r="Q903" s="121"/>
      <c r="R903" s="109" t="b">
        <v>0</v>
      </c>
      <c r="S903" s="143" t="str">
        <f t="shared" si="1"/>
        <v>Suspenso</v>
      </c>
      <c r="T903" s="118"/>
      <c r="U903" s="118"/>
      <c r="V903" s="118"/>
      <c r="W903" s="118"/>
      <c r="X903" s="118"/>
      <c r="Y903" s="118"/>
      <c r="Z903" s="118"/>
      <c r="AA903" s="118"/>
      <c r="AB903" s="118"/>
      <c r="AC903" s="118"/>
      <c r="AD903" s="111"/>
      <c r="AE903" s="73"/>
      <c r="AF903" s="73"/>
    </row>
    <row r="904" ht="22.5" customHeight="1">
      <c r="A904" s="73"/>
      <c r="B904" s="73"/>
      <c r="C904" s="73"/>
      <c r="D904" s="73"/>
      <c r="E904" s="330"/>
      <c r="F904" s="118"/>
      <c r="G904" s="118"/>
      <c r="H904" s="118"/>
      <c r="I904" s="118"/>
      <c r="J904" s="119"/>
      <c r="K904" s="120"/>
      <c r="L904" s="120"/>
      <c r="M904" s="120"/>
      <c r="N904" s="120"/>
      <c r="O904" s="118"/>
      <c r="P904" s="120"/>
      <c r="Q904" s="121"/>
      <c r="R904" s="109" t="b">
        <v>0</v>
      </c>
      <c r="S904" s="143" t="str">
        <f t="shared" si="1"/>
        <v>Suspenso</v>
      </c>
      <c r="T904" s="118"/>
      <c r="U904" s="118"/>
      <c r="V904" s="118"/>
      <c r="W904" s="118"/>
      <c r="X904" s="118"/>
      <c r="Y904" s="118"/>
      <c r="Z904" s="118"/>
      <c r="AA904" s="118"/>
      <c r="AB904" s="118"/>
      <c r="AC904" s="118"/>
      <c r="AD904" s="111"/>
      <c r="AE904" s="73"/>
      <c r="AF904" s="73"/>
    </row>
    <row r="905" ht="22.5" customHeight="1">
      <c r="A905" s="73"/>
      <c r="B905" s="73"/>
      <c r="C905" s="73"/>
      <c r="D905" s="73"/>
      <c r="E905" s="330"/>
      <c r="F905" s="118"/>
      <c r="G905" s="118"/>
      <c r="H905" s="118"/>
      <c r="I905" s="118"/>
      <c r="J905" s="119"/>
      <c r="K905" s="120"/>
      <c r="L905" s="120"/>
      <c r="M905" s="120"/>
      <c r="N905" s="120"/>
      <c r="O905" s="118"/>
      <c r="P905" s="120"/>
      <c r="Q905" s="121"/>
      <c r="R905" s="109" t="b">
        <v>0</v>
      </c>
      <c r="S905" s="143" t="str">
        <f t="shared" si="1"/>
        <v>Suspenso</v>
      </c>
      <c r="T905" s="118"/>
      <c r="U905" s="118"/>
      <c r="V905" s="118"/>
      <c r="W905" s="118"/>
      <c r="X905" s="118"/>
      <c r="Y905" s="118"/>
      <c r="Z905" s="118"/>
      <c r="AA905" s="118"/>
      <c r="AB905" s="118"/>
      <c r="AC905" s="118"/>
      <c r="AD905" s="111"/>
      <c r="AE905" s="73"/>
      <c r="AF905" s="73"/>
    </row>
    <row r="906" ht="22.5" customHeight="1">
      <c r="A906" s="73"/>
      <c r="B906" s="73"/>
      <c r="C906" s="73"/>
      <c r="D906" s="73"/>
      <c r="E906" s="330"/>
      <c r="F906" s="118"/>
      <c r="G906" s="118"/>
      <c r="H906" s="118"/>
      <c r="I906" s="118"/>
      <c r="J906" s="119"/>
      <c r="K906" s="120"/>
      <c r="L906" s="120"/>
      <c r="M906" s="120"/>
      <c r="N906" s="120"/>
      <c r="O906" s="118"/>
      <c r="P906" s="120"/>
      <c r="Q906" s="121"/>
      <c r="R906" s="109" t="b">
        <v>0</v>
      </c>
      <c r="S906" s="143" t="str">
        <f t="shared" si="1"/>
        <v>Suspenso</v>
      </c>
      <c r="T906" s="118"/>
      <c r="U906" s="118"/>
      <c r="V906" s="118"/>
      <c r="W906" s="118"/>
      <c r="X906" s="118"/>
      <c r="Y906" s="118"/>
      <c r="Z906" s="118"/>
      <c r="AA906" s="118"/>
      <c r="AB906" s="118"/>
      <c r="AC906" s="118"/>
      <c r="AD906" s="111"/>
      <c r="AE906" s="73"/>
      <c r="AF906" s="73"/>
    </row>
    <row r="907" ht="22.5" customHeight="1">
      <c r="A907" s="73"/>
      <c r="B907" s="73"/>
      <c r="C907" s="73"/>
      <c r="D907" s="73"/>
      <c r="E907" s="330"/>
      <c r="F907" s="118"/>
      <c r="G907" s="118"/>
      <c r="H907" s="118"/>
      <c r="I907" s="118"/>
      <c r="J907" s="119"/>
      <c r="K907" s="120"/>
      <c r="L907" s="120"/>
      <c r="M907" s="120"/>
      <c r="N907" s="120"/>
      <c r="O907" s="118"/>
      <c r="P907" s="120"/>
      <c r="Q907" s="121"/>
      <c r="R907" s="109" t="b">
        <v>0</v>
      </c>
      <c r="S907" s="143" t="str">
        <f t="shared" si="1"/>
        <v>Suspenso</v>
      </c>
      <c r="T907" s="118"/>
      <c r="U907" s="118"/>
      <c r="V907" s="118"/>
      <c r="W907" s="118"/>
      <c r="X907" s="118"/>
      <c r="Y907" s="118"/>
      <c r="Z907" s="118"/>
      <c r="AA907" s="118"/>
      <c r="AB907" s="118"/>
      <c r="AC907" s="118"/>
      <c r="AD907" s="111"/>
      <c r="AE907" s="73"/>
      <c r="AF907" s="73"/>
    </row>
    <row r="908" ht="22.5" customHeight="1">
      <c r="A908" s="73"/>
      <c r="B908" s="73"/>
      <c r="C908" s="73"/>
      <c r="D908" s="73"/>
      <c r="E908" s="330"/>
      <c r="F908" s="118"/>
      <c r="G908" s="118"/>
      <c r="H908" s="118"/>
      <c r="I908" s="118"/>
      <c r="J908" s="119"/>
      <c r="K908" s="120"/>
      <c r="L908" s="120"/>
      <c r="M908" s="120"/>
      <c r="N908" s="120"/>
      <c r="O908" s="118"/>
      <c r="P908" s="120"/>
      <c r="Q908" s="121"/>
      <c r="R908" s="109" t="b">
        <v>0</v>
      </c>
      <c r="S908" s="143" t="str">
        <f t="shared" si="1"/>
        <v>Suspenso</v>
      </c>
      <c r="T908" s="118"/>
      <c r="U908" s="118"/>
      <c r="V908" s="118"/>
      <c r="W908" s="118"/>
      <c r="X908" s="118"/>
      <c r="Y908" s="118"/>
      <c r="Z908" s="118"/>
      <c r="AA908" s="118"/>
      <c r="AB908" s="118"/>
      <c r="AC908" s="118"/>
      <c r="AD908" s="111"/>
      <c r="AE908" s="73"/>
      <c r="AF908" s="73"/>
    </row>
    <row r="909" ht="22.5" customHeight="1">
      <c r="A909" s="73"/>
      <c r="B909" s="73"/>
      <c r="C909" s="73"/>
      <c r="D909" s="73"/>
      <c r="E909" s="330"/>
      <c r="F909" s="118"/>
      <c r="G909" s="118"/>
      <c r="H909" s="118"/>
      <c r="I909" s="118"/>
      <c r="J909" s="119"/>
      <c r="K909" s="120"/>
      <c r="L909" s="120"/>
      <c r="M909" s="120"/>
      <c r="N909" s="120"/>
      <c r="O909" s="118"/>
      <c r="P909" s="120"/>
      <c r="Q909" s="121"/>
      <c r="R909" s="109" t="b">
        <v>0</v>
      </c>
      <c r="S909" s="143" t="str">
        <f t="shared" si="1"/>
        <v>Suspenso</v>
      </c>
      <c r="T909" s="118"/>
      <c r="U909" s="118"/>
      <c r="V909" s="118"/>
      <c r="W909" s="118"/>
      <c r="X909" s="118"/>
      <c r="Y909" s="118"/>
      <c r="Z909" s="118"/>
      <c r="AA909" s="118"/>
      <c r="AB909" s="118"/>
      <c r="AC909" s="118"/>
      <c r="AD909" s="111"/>
      <c r="AE909" s="73"/>
      <c r="AF909" s="73"/>
    </row>
    <row r="910" ht="22.5" customHeight="1">
      <c r="A910" s="73"/>
      <c r="B910" s="73"/>
      <c r="C910" s="73"/>
      <c r="D910" s="73"/>
      <c r="E910" s="330"/>
      <c r="F910" s="118"/>
      <c r="G910" s="118"/>
      <c r="H910" s="118"/>
      <c r="I910" s="118"/>
      <c r="J910" s="119"/>
      <c r="K910" s="120"/>
      <c r="L910" s="120"/>
      <c r="M910" s="120"/>
      <c r="N910" s="120"/>
      <c r="O910" s="118"/>
      <c r="P910" s="120"/>
      <c r="Q910" s="121"/>
      <c r="R910" s="109" t="b">
        <v>0</v>
      </c>
      <c r="S910" s="143" t="str">
        <f t="shared" si="1"/>
        <v>Suspenso</v>
      </c>
      <c r="T910" s="118"/>
      <c r="U910" s="118"/>
      <c r="V910" s="118"/>
      <c r="W910" s="118"/>
      <c r="X910" s="118"/>
      <c r="Y910" s="118"/>
      <c r="Z910" s="118"/>
      <c r="AA910" s="118"/>
      <c r="AB910" s="118"/>
      <c r="AC910" s="118"/>
      <c r="AD910" s="111"/>
      <c r="AE910" s="73"/>
      <c r="AF910" s="73"/>
    </row>
    <row r="911" ht="22.5" customHeight="1">
      <c r="A911" s="73"/>
      <c r="B911" s="73"/>
      <c r="C911" s="73"/>
      <c r="D911" s="73"/>
      <c r="E911" s="330"/>
      <c r="F911" s="118"/>
      <c r="G911" s="118"/>
      <c r="H911" s="118"/>
      <c r="I911" s="118"/>
      <c r="J911" s="119"/>
      <c r="K911" s="120"/>
      <c r="L911" s="120"/>
      <c r="M911" s="120"/>
      <c r="N911" s="120"/>
      <c r="O911" s="118"/>
      <c r="P911" s="120"/>
      <c r="Q911" s="121"/>
      <c r="R911" s="109" t="b">
        <v>0</v>
      </c>
      <c r="S911" s="143" t="str">
        <f t="shared" si="1"/>
        <v>Suspenso</v>
      </c>
      <c r="T911" s="118"/>
      <c r="U911" s="118"/>
      <c r="V911" s="118"/>
      <c r="W911" s="118"/>
      <c r="X911" s="118"/>
      <c r="Y911" s="118"/>
      <c r="Z911" s="118"/>
      <c r="AA911" s="118"/>
      <c r="AB911" s="118"/>
      <c r="AC911" s="118"/>
      <c r="AD911" s="111"/>
      <c r="AE911" s="73"/>
      <c r="AF911" s="73"/>
    </row>
    <row r="912" ht="22.5" customHeight="1">
      <c r="A912" s="73"/>
      <c r="B912" s="73"/>
      <c r="C912" s="73"/>
      <c r="D912" s="73"/>
      <c r="E912" s="330"/>
      <c r="F912" s="118"/>
      <c r="G912" s="118"/>
      <c r="H912" s="118"/>
      <c r="I912" s="118"/>
      <c r="J912" s="119"/>
      <c r="K912" s="120"/>
      <c r="L912" s="120"/>
      <c r="M912" s="120"/>
      <c r="N912" s="120"/>
      <c r="O912" s="118"/>
      <c r="P912" s="120"/>
      <c r="Q912" s="121"/>
      <c r="R912" s="109" t="b">
        <v>0</v>
      </c>
      <c r="S912" s="143" t="str">
        <f t="shared" si="1"/>
        <v>Suspenso</v>
      </c>
      <c r="T912" s="118"/>
      <c r="U912" s="118"/>
      <c r="V912" s="118"/>
      <c r="W912" s="118"/>
      <c r="X912" s="118"/>
      <c r="Y912" s="118"/>
      <c r="Z912" s="118"/>
      <c r="AA912" s="118"/>
      <c r="AB912" s="118"/>
      <c r="AC912" s="118"/>
      <c r="AD912" s="111"/>
      <c r="AE912" s="73"/>
      <c r="AF912" s="73"/>
    </row>
    <row r="913" ht="22.5" customHeight="1">
      <c r="A913" s="73"/>
      <c r="B913" s="73"/>
      <c r="C913" s="73"/>
      <c r="D913" s="73"/>
      <c r="E913" s="330"/>
      <c r="F913" s="118"/>
      <c r="G913" s="118"/>
      <c r="H913" s="118"/>
      <c r="I913" s="118"/>
      <c r="J913" s="119"/>
      <c r="K913" s="120"/>
      <c r="L913" s="120"/>
      <c r="M913" s="120"/>
      <c r="N913" s="120"/>
      <c r="O913" s="118"/>
      <c r="P913" s="120"/>
      <c r="Q913" s="121"/>
      <c r="R913" s="109" t="b">
        <v>0</v>
      </c>
      <c r="S913" s="143" t="str">
        <f t="shared" si="1"/>
        <v>Suspenso</v>
      </c>
      <c r="T913" s="118"/>
      <c r="U913" s="118"/>
      <c r="V913" s="118"/>
      <c r="W913" s="118"/>
      <c r="X913" s="118"/>
      <c r="Y913" s="118"/>
      <c r="Z913" s="118"/>
      <c r="AA913" s="118"/>
      <c r="AB913" s="118"/>
      <c r="AC913" s="118"/>
      <c r="AD913" s="111"/>
      <c r="AE913" s="73"/>
      <c r="AF913" s="73"/>
    </row>
    <row r="914" ht="22.5" customHeight="1">
      <c r="A914" s="73"/>
      <c r="B914" s="73"/>
      <c r="C914" s="73"/>
      <c r="D914" s="73"/>
      <c r="E914" s="330"/>
      <c r="F914" s="118"/>
      <c r="G914" s="118"/>
      <c r="H914" s="118"/>
      <c r="I914" s="118"/>
      <c r="J914" s="119"/>
      <c r="K914" s="120"/>
      <c r="L914" s="120"/>
      <c r="M914" s="120"/>
      <c r="N914" s="120"/>
      <c r="O914" s="118"/>
      <c r="P914" s="120"/>
      <c r="Q914" s="121"/>
      <c r="R914" s="109" t="b">
        <v>0</v>
      </c>
      <c r="S914" s="143" t="str">
        <f t="shared" si="1"/>
        <v>Suspenso</v>
      </c>
      <c r="T914" s="118"/>
      <c r="U914" s="118"/>
      <c r="V914" s="118"/>
      <c r="W914" s="118"/>
      <c r="X914" s="118"/>
      <c r="Y914" s="118"/>
      <c r="Z914" s="118"/>
      <c r="AA914" s="118"/>
      <c r="AB914" s="118"/>
      <c r="AC914" s="118"/>
      <c r="AD914" s="111"/>
      <c r="AE914" s="73"/>
      <c r="AF914" s="73"/>
    </row>
    <row r="915" ht="22.5" customHeight="1">
      <c r="A915" s="73"/>
      <c r="B915" s="73"/>
      <c r="C915" s="73"/>
      <c r="D915" s="73"/>
      <c r="E915" s="330"/>
      <c r="F915" s="118"/>
      <c r="G915" s="118"/>
      <c r="H915" s="118"/>
      <c r="I915" s="118"/>
      <c r="J915" s="119"/>
      <c r="K915" s="120"/>
      <c r="L915" s="120"/>
      <c r="M915" s="120"/>
      <c r="N915" s="120"/>
      <c r="O915" s="118"/>
      <c r="P915" s="120"/>
      <c r="Q915" s="121"/>
      <c r="R915" s="109" t="b">
        <v>0</v>
      </c>
      <c r="S915" s="143" t="str">
        <f t="shared" si="1"/>
        <v>Suspenso</v>
      </c>
      <c r="T915" s="118"/>
      <c r="U915" s="118"/>
      <c r="V915" s="118"/>
      <c r="W915" s="118"/>
      <c r="X915" s="118"/>
      <c r="Y915" s="118"/>
      <c r="Z915" s="118"/>
      <c r="AA915" s="118"/>
      <c r="AB915" s="118"/>
      <c r="AC915" s="118"/>
      <c r="AD915" s="111"/>
      <c r="AE915" s="73"/>
      <c r="AF915" s="73"/>
    </row>
    <row r="916" ht="22.5" customHeight="1">
      <c r="A916" s="73"/>
      <c r="B916" s="73"/>
      <c r="C916" s="73"/>
      <c r="D916" s="73"/>
      <c r="E916" s="330"/>
      <c r="F916" s="118"/>
      <c r="G916" s="118"/>
      <c r="H916" s="118"/>
      <c r="I916" s="118"/>
      <c r="J916" s="119"/>
      <c r="K916" s="120"/>
      <c r="L916" s="120"/>
      <c r="M916" s="120"/>
      <c r="N916" s="120"/>
      <c r="O916" s="118"/>
      <c r="P916" s="120"/>
      <c r="Q916" s="121"/>
      <c r="R916" s="109" t="b">
        <v>0</v>
      </c>
      <c r="S916" s="143" t="str">
        <f t="shared" si="1"/>
        <v>Suspenso</v>
      </c>
      <c r="T916" s="118"/>
      <c r="U916" s="118"/>
      <c r="V916" s="118"/>
      <c r="W916" s="118"/>
      <c r="X916" s="118"/>
      <c r="Y916" s="118"/>
      <c r="Z916" s="118"/>
      <c r="AA916" s="118"/>
      <c r="AB916" s="118"/>
      <c r="AC916" s="118"/>
      <c r="AD916" s="111"/>
      <c r="AE916" s="73"/>
      <c r="AF916" s="73"/>
    </row>
    <row r="917" ht="22.5" customHeight="1">
      <c r="A917" s="73"/>
      <c r="B917" s="73"/>
      <c r="C917" s="73"/>
      <c r="D917" s="73"/>
      <c r="E917" s="330"/>
      <c r="F917" s="118"/>
      <c r="G917" s="118"/>
      <c r="H917" s="118"/>
      <c r="I917" s="118"/>
      <c r="J917" s="119"/>
      <c r="K917" s="120"/>
      <c r="L917" s="120"/>
      <c r="M917" s="120"/>
      <c r="N917" s="120"/>
      <c r="O917" s="118"/>
      <c r="P917" s="120"/>
      <c r="Q917" s="121"/>
      <c r="R917" s="109" t="b">
        <v>0</v>
      </c>
      <c r="S917" s="143" t="str">
        <f t="shared" si="1"/>
        <v>Suspenso</v>
      </c>
      <c r="T917" s="118"/>
      <c r="U917" s="118"/>
      <c r="V917" s="118"/>
      <c r="W917" s="118"/>
      <c r="X917" s="118"/>
      <c r="Y917" s="118"/>
      <c r="Z917" s="118"/>
      <c r="AA917" s="118"/>
      <c r="AB917" s="118"/>
      <c r="AC917" s="118"/>
      <c r="AD917" s="111"/>
      <c r="AE917" s="73"/>
      <c r="AF917" s="73"/>
    </row>
    <row r="918" ht="22.5" customHeight="1">
      <c r="A918" s="73"/>
      <c r="B918" s="73"/>
      <c r="C918" s="73"/>
      <c r="D918" s="73"/>
      <c r="E918" s="330"/>
      <c r="F918" s="118"/>
      <c r="G918" s="118"/>
      <c r="H918" s="118"/>
      <c r="I918" s="118"/>
      <c r="J918" s="119"/>
      <c r="K918" s="120"/>
      <c r="L918" s="120"/>
      <c r="M918" s="120"/>
      <c r="N918" s="120"/>
      <c r="O918" s="118"/>
      <c r="P918" s="120"/>
      <c r="Q918" s="121"/>
      <c r="R918" s="109" t="b">
        <v>0</v>
      </c>
      <c r="S918" s="143" t="str">
        <f t="shared" si="1"/>
        <v>Suspenso</v>
      </c>
      <c r="T918" s="118"/>
      <c r="U918" s="118"/>
      <c r="V918" s="118"/>
      <c r="W918" s="118"/>
      <c r="X918" s="118"/>
      <c r="Y918" s="118"/>
      <c r="Z918" s="118"/>
      <c r="AA918" s="118"/>
      <c r="AB918" s="118"/>
      <c r="AC918" s="118"/>
      <c r="AD918" s="111"/>
      <c r="AE918" s="73"/>
      <c r="AF918" s="73"/>
    </row>
    <row r="919" ht="22.5" customHeight="1">
      <c r="A919" s="73"/>
      <c r="B919" s="73"/>
      <c r="C919" s="73"/>
      <c r="D919" s="73"/>
      <c r="E919" s="330"/>
      <c r="F919" s="118"/>
      <c r="G919" s="118"/>
      <c r="H919" s="118"/>
      <c r="I919" s="118"/>
      <c r="J919" s="119"/>
      <c r="K919" s="120"/>
      <c r="L919" s="120"/>
      <c r="M919" s="120"/>
      <c r="N919" s="120"/>
      <c r="O919" s="118"/>
      <c r="P919" s="120"/>
      <c r="Q919" s="121"/>
      <c r="R919" s="109" t="b">
        <v>0</v>
      </c>
      <c r="S919" s="143" t="str">
        <f t="shared" si="1"/>
        <v>Suspenso</v>
      </c>
      <c r="T919" s="118"/>
      <c r="U919" s="118"/>
      <c r="V919" s="118"/>
      <c r="W919" s="118"/>
      <c r="X919" s="118"/>
      <c r="Y919" s="118"/>
      <c r="Z919" s="118"/>
      <c r="AA919" s="118"/>
      <c r="AB919" s="118"/>
      <c r="AC919" s="118"/>
      <c r="AD919" s="111"/>
      <c r="AE919" s="73"/>
      <c r="AF919" s="73"/>
    </row>
    <row r="920" ht="22.5" customHeight="1">
      <c r="A920" s="73"/>
      <c r="B920" s="73"/>
      <c r="C920" s="73"/>
      <c r="D920" s="73"/>
      <c r="E920" s="330"/>
      <c r="F920" s="118"/>
      <c r="G920" s="118"/>
      <c r="H920" s="118"/>
      <c r="I920" s="118"/>
      <c r="J920" s="119"/>
      <c r="K920" s="120"/>
      <c r="L920" s="120"/>
      <c r="M920" s="120"/>
      <c r="N920" s="120"/>
      <c r="O920" s="118"/>
      <c r="P920" s="120"/>
      <c r="Q920" s="121"/>
      <c r="R920" s="109" t="b">
        <v>0</v>
      </c>
      <c r="S920" s="143" t="str">
        <f t="shared" si="1"/>
        <v>Suspenso</v>
      </c>
      <c r="T920" s="118"/>
      <c r="U920" s="118"/>
      <c r="V920" s="118"/>
      <c r="W920" s="118"/>
      <c r="X920" s="118"/>
      <c r="Y920" s="118"/>
      <c r="Z920" s="118"/>
      <c r="AA920" s="118"/>
      <c r="AB920" s="118"/>
      <c r="AC920" s="118"/>
      <c r="AD920" s="111"/>
      <c r="AE920" s="73"/>
      <c r="AF920" s="73"/>
    </row>
    <row r="921" ht="22.5" customHeight="1">
      <c r="A921" s="73"/>
      <c r="B921" s="73"/>
      <c r="C921" s="73"/>
      <c r="D921" s="73"/>
      <c r="E921" s="330"/>
      <c r="F921" s="118"/>
      <c r="G921" s="118"/>
      <c r="H921" s="118"/>
      <c r="I921" s="118"/>
      <c r="J921" s="119"/>
      <c r="K921" s="120"/>
      <c r="L921" s="120"/>
      <c r="M921" s="120"/>
      <c r="N921" s="120"/>
      <c r="O921" s="118"/>
      <c r="P921" s="120"/>
      <c r="Q921" s="121"/>
      <c r="R921" s="109" t="b">
        <v>0</v>
      </c>
      <c r="S921" s="143" t="str">
        <f t="shared" si="1"/>
        <v>Suspenso</v>
      </c>
      <c r="T921" s="118"/>
      <c r="U921" s="118"/>
      <c r="V921" s="118"/>
      <c r="W921" s="118"/>
      <c r="X921" s="118"/>
      <c r="Y921" s="118"/>
      <c r="Z921" s="118"/>
      <c r="AA921" s="118"/>
      <c r="AB921" s="118"/>
      <c r="AC921" s="118"/>
      <c r="AD921" s="111"/>
      <c r="AE921" s="73"/>
      <c r="AF921" s="73"/>
    </row>
    <row r="922" ht="22.5" customHeight="1">
      <c r="A922" s="73"/>
      <c r="B922" s="73"/>
      <c r="C922" s="73"/>
      <c r="D922" s="73"/>
      <c r="E922" s="330"/>
      <c r="F922" s="118"/>
      <c r="G922" s="118"/>
      <c r="H922" s="118"/>
      <c r="I922" s="118"/>
      <c r="J922" s="119"/>
      <c r="K922" s="120"/>
      <c r="L922" s="120"/>
      <c r="M922" s="120"/>
      <c r="N922" s="120"/>
      <c r="O922" s="118"/>
      <c r="P922" s="120"/>
      <c r="Q922" s="121"/>
      <c r="R922" s="109" t="b">
        <v>0</v>
      </c>
      <c r="S922" s="143" t="str">
        <f t="shared" si="1"/>
        <v>Suspenso</v>
      </c>
      <c r="T922" s="118"/>
      <c r="U922" s="118"/>
      <c r="V922" s="118"/>
      <c r="W922" s="118"/>
      <c r="X922" s="118"/>
      <c r="Y922" s="118"/>
      <c r="Z922" s="118"/>
      <c r="AA922" s="118"/>
      <c r="AB922" s="118"/>
      <c r="AC922" s="118"/>
      <c r="AD922" s="111"/>
      <c r="AE922" s="73"/>
      <c r="AF922" s="73"/>
    </row>
    <row r="923" ht="22.5" customHeight="1">
      <c r="A923" s="73"/>
      <c r="B923" s="73"/>
      <c r="C923" s="73"/>
      <c r="D923" s="73"/>
      <c r="E923" s="330"/>
      <c r="F923" s="118"/>
      <c r="G923" s="118"/>
      <c r="H923" s="118"/>
      <c r="I923" s="118"/>
      <c r="J923" s="119"/>
      <c r="K923" s="120"/>
      <c r="L923" s="120"/>
      <c r="M923" s="120"/>
      <c r="N923" s="120"/>
      <c r="O923" s="118"/>
      <c r="P923" s="120"/>
      <c r="Q923" s="121"/>
      <c r="R923" s="109" t="b">
        <v>0</v>
      </c>
      <c r="S923" s="143" t="str">
        <f t="shared" si="1"/>
        <v>Suspenso</v>
      </c>
      <c r="T923" s="118"/>
      <c r="U923" s="118"/>
      <c r="V923" s="118"/>
      <c r="W923" s="118"/>
      <c r="X923" s="118"/>
      <c r="Y923" s="118"/>
      <c r="Z923" s="118"/>
      <c r="AA923" s="118"/>
      <c r="AB923" s="118"/>
      <c r="AC923" s="118"/>
      <c r="AD923" s="111"/>
      <c r="AE923" s="73"/>
      <c r="AF923" s="73"/>
    </row>
    <row r="924" ht="22.5" customHeight="1">
      <c r="A924" s="73"/>
      <c r="B924" s="73"/>
      <c r="C924" s="73"/>
      <c r="D924" s="73"/>
      <c r="E924" s="330"/>
      <c r="F924" s="118"/>
      <c r="G924" s="118"/>
      <c r="H924" s="118"/>
      <c r="I924" s="118"/>
      <c r="J924" s="119"/>
      <c r="K924" s="120"/>
      <c r="L924" s="120"/>
      <c r="M924" s="120"/>
      <c r="N924" s="120"/>
      <c r="O924" s="118"/>
      <c r="P924" s="120"/>
      <c r="Q924" s="121"/>
      <c r="R924" s="109" t="b">
        <v>0</v>
      </c>
      <c r="S924" s="143" t="str">
        <f t="shared" si="1"/>
        <v>Suspenso</v>
      </c>
      <c r="T924" s="118"/>
      <c r="U924" s="118"/>
      <c r="V924" s="118"/>
      <c r="W924" s="118"/>
      <c r="X924" s="118"/>
      <c r="Y924" s="118"/>
      <c r="Z924" s="118"/>
      <c r="AA924" s="118"/>
      <c r="AB924" s="118"/>
      <c r="AC924" s="118"/>
      <c r="AD924" s="111"/>
      <c r="AE924" s="73"/>
      <c r="AF924" s="73"/>
    </row>
    <row r="925" ht="22.5" customHeight="1">
      <c r="A925" s="73"/>
      <c r="B925" s="73"/>
      <c r="C925" s="73"/>
      <c r="D925" s="73"/>
      <c r="E925" s="330"/>
      <c r="F925" s="118"/>
      <c r="G925" s="118"/>
      <c r="H925" s="118"/>
      <c r="I925" s="118"/>
      <c r="J925" s="119"/>
      <c r="K925" s="120"/>
      <c r="L925" s="120"/>
      <c r="M925" s="120"/>
      <c r="N925" s="120"/>
      <c r="O925" s="118"/>
      <c r="P925" s="120"/>
      <c r="Q925" s="121"/>
      <c r="R925" s="109" t="b">
        <v>0</v>
      </c>
      <c r="S925" s="143" t="str">
        <f t="shared" si="1"/>
        <v>Suspenso</v>
      </c>
      <c r="T925" s="118"/>
      <c r="U925" s="118"/>
      <c r="V925" s="118"/>
      <c r="W925" s="118"/>
      <c r="X925" s="118"/>
      <c r="Y925" s="118"/>
      <c r="Z925" s="118"/>
      <c r="AA925" s="118"/>
      <c r="AB925" s="118"/>
      <c r="AC925" s="118"/>
      <c r="AD925" s="111"/>
      <c r="AE925" s="73"/>
      <c r="AF925" s="73"/>
    </row>
    <row r="926" ht="22.5" customHeight="1">
      <c r="A926" s="73"/>
      <c r="B926" s="73"/>
      <c r="C926" s="73"/>
      <c r="D926" s="73"/>
      <c r="E926" s="330"/>
      <c r="F926" s="118"/>
      <c r="G926" s="118"/>
      <c r="H926" s="118"/>
      <c r="I926" s="118"/>
      <c r="J926" s="119"/>
      <c r="K926" s="120"/>
      <c r="L926" s="120"/>
      <c r="M926" s="120"/>
      <c r="N926" s="120"/>
      <c r="O926" s="118"/>
      <c r="P926" s="120"/>
      <c r="Q926" s="121"/>
      <c r="R926" s="109" t="b">
        <v>0</v>
      </c>
      <c r="S926" s="143" t="str">
        <f t="shared" si="1"/>
        <v>Suspenso</v>
      </c>
      <c r="T926" s="118"/>
      <c r="U926" s="118"/>
      <c r="V926" s="118"/>
      <c r="W926" s="118"/>
      <c r="X926" s="118"/>
      <c r="Y926" s="118"/>
      <c r="Z926" s="118"/>
      <c r="AA926" s="118"/>
      <c r="AB926" s="118"/>
      <c r="AC926" s="118"/>
      <c r="AD926" s="111"/>
      <c r="AE926" s="73"/>
      <c r="AF926" s="73"/>
    </row>
    <row r="927" ht="22.5" customHeight="1">
      <c r="A927" s="73"/>
      <c r="B927" s="73"/>
      <c r="C927" s="73"/>
      <c r="D927" s="73"/>
      <c r="E927" s="330"/>
      <c r="F927" s="118"/>
      <c r="G927" s="118"/>
      <c r="H927" s="118"/>
      <c r="I927" s="118"/>
      <c r="J927" s="119"/>
      <c r="K927" s="120"/>
      <c r="L927" s="120"/>
      <c r="M927" s="120"/>
      <c r="N927" s="120"/>
      <c r="O927" s="118"/>
      <c r="P927" s="120"/>
      <c r="Q927" s="121"/>
      <c r="R927" s="109" t="b">
        <v>0</v>
      </c>
      <c r="S927" s="143" t="str">
        <f t="shared" si="1"/>
        <v>Suspenso</v>
      </c>
      <c r="T927" s="118"/>
      <c r="U927" s="118"/>
      <c r="V927" s="118"/>
      <c r="W927" s="118"/>
      <c r="X927" s="118"/>
      <c r="Y927" s="118"/>
      <c r="Z927" s="118"/>
      <c r="AA927" s="118"/>
      <c r="AB927" s="118"/>
      <c r="AC927" s="118"/>
      <c r="AD927" s="111"/>
      <c r="AE927" s="73"/>
      <c r="AF927" s="73"/>
    </row>
    <row r="928" ht="22.5" customHeight="1">
      <c r="A928" s="73"/>
      <c r="B928" s="73"/>
      <c r="C928" s="73"/>
      <c r="D928" s="73"/>
      <c r="E928" s="330"/>
      <c r="F928" s="118"/>
      <c r="G928" s="118"/>
      <c r="H928" s="118"/>
      <c r="I928" s="118"/>
      <c r="J928" s="119"/>
      <c r="K928" s="120"/>
      <c r="L928" s="120"/>
      <c r="M928" s="120"/>
      <c r="N928" s="120"/>
      <c r="O928" s="118"/>
      <c r="P928" s="120"/>
      <c r="Q928" s="121"/>
      <c r="R928" s="109" t="b">
        <v>0</v>
      </c>
      <c r="S928" s="143" t="str">
        <f t="shared" si="1"/>
        <v>Suspenso</v>
      </c>
      <c r="T928" s="118"/>
      <c r="U928" s="118"/>
      <c r="V928" s="118"/>
      <c r="W928" s="118"/>
      <c r="X928" s="118"/>
      <c r="Y928" s="118"/>
      <c r="Z928" s="118"/>
      <c r="AA928" s="118"/>
      <c r="AB928" s="118"/>
      <c r="AC928" s="118"/>
      <c r="AD928" s="111"/>
      <c r="AE928" s="73"/>
      <c r="AF928" s="73"/>
    </row>
    <row r="929" ht="22.5" customHeight="1">
      <c r="A929" s="73"/>
      <c r="B929" s="73"/>
      <c r="C929" s="73"/>
      <c r="D929" s="73"/>
      <c r="E929" s="330"/>
      <c r="F929" s="118"/>
      <c r="G929" s="118"/>
      <c r="H929" s="118"/>
      <c r="I929" s="118"/>
      <c r="J929" s="119"/>
      <c r="K929" s="120"/>
      <c r="L929" s="120"/>
      <c r="M929" s="120"/>
      <c r="N929" s="120"/>
      <c r="O929" s="118"/>
      <c r="P929" s="120"/>
      <c r="Q929" s="121"/>
      <c r="R929" s="109" t="b">
        <v>0</v>
      </c>
      <c r="S929" s="143" t="str">
        <f t="shared" si="1"/>
        <v>Suspenso</v>
      </c>
      <c r="T929" s="118"/>
      <c r="U929" s="118"/>
      <c r="V929" s="118"/>
      <c r="W929" s="118"/>
      <c r="X929" s="118"/>
      <c r="Y929" s="118"/>
      <c r="Z929" s="118"/>
      <c r="AA929" s="118"/>
      <c r="AB929" s="118"/>
      <c r="AC929" s="118"/>
      <c r="AD929" s="111"/>
      <c r="AE929" s="73"/>
      <c r="AF929" s="73"/>
    </row>
    <row r="930" ht="22.5" customHeight="1">
      <c r="A930" s="73"/>
      <c r="B930" s="73"/>
      <c r="C930" s="73"/>
      <c r="D930" s="73"/>
      <c r="E930" s="330"/>
      <c r="F930" s="118"/>
      <c r="G930" s="118"/>
      <c r="H930" s="118"/>
      <c r="I930" s="118"/>
      <c r="J930" s="119"/>
      <c r="K930" s="120"/>
      <c r="L930" s="120"/>
      <c r="M930" s="120"/>
      <c r="N930" s="120"/>
      <c r="O930" s="118"/>
      <c r="P930" s="120"/>
      <c r="Q930" s="121"/>
      <c r="R930" s="109" t="b">
        <v>0</v>
      </c>
      <c r="S930" s="143" t="str">
        <f t="shared" si="1"/>
        <v>Suspenso</v>
      </c>
      <c r="T930" s="118"/>
      <c r="U930" s="118"/>
      <c r="V930" s="118"/>
      <c r="W930" s="118"/>
      <c r="X930" s="118"/>
      <c r="Y930" s="118"/>
      <c r="Z930" s="118"/>
      <c r="AA930" s="118"/>
      <c r="AB930" s="118"/>
      <c r="AC930" s="118"/>
      <c r="AD930" s="111"/>
      <c r="AE930" s="73"/>
      <c r="AF930" s="73"/>
    </row>
    <row r="931" ht="22.5" customHeight="1">
      <c r="A931" s="73"/>
      <c r="B931" s="73"/>
      <c r="C931" s="73"/>
      <c r="D931" s="73"/>
      <c r="E931" s="330"/>
      <c r="F931" s="118"/>
      <c r="G931" s="118"/>
      <c r="H931" s="118"/>
      <c r="I931" s="118"/>
      <c r="J931" s="119"/>
      <c r="K931" s="120"/>
      <c r="L931" s="120"/>
      <c r="M931" s="120"/>
      <c r="N931" s="120"/>
      <c r="O931" s="118"/>
      <c r="P931" s="120"/>
      <c r="Q931" s="121"/>
      <c r="R931" s="109" t="b">
        <v>0</v>
      </c>
      <c r="S931" s="143" t="str">
        <f t="shared" si="1"/>
        <v>Suspenso</v>
      </c>
      <c r="T931" s="118"/>
      <c r="U931" s="118"/>
      <c r="V931" s="118"/>
      <c r="W931" s="118"/>
      <c r="X931" s="118"/>
      <c r="Y931" s="118"/>
      <c r="Z931" s="118"/>
      <c r="AA931" s="118"/>
      <c r="AB931" s="118"/>
      <c r="AC931" s="118"/>
      <c r="AD931" s="111"/>
      <c r="AE931" s="73"/>
      <c r="AF931" s="73"/>
    </row>
    <row r="932" ht="22.5" customHeight="1">
      <c r="A932" s="73"/>
      <c r="B932" s="73"/>
      <c r="C932" s="73"/>
      <c r="D932" s="73"/>
      <c r="E932" s="330"/>
      <c r="F932" s="118"/>
      <c r="G932" s="118"/>
      <c r="H932" s="118"/>
      <c r="I932" s="118"/>
      <c r="J932" s="119"/>
      <c r="K932" s="120"/>
      <c r="L932" s="120"/>
      <c r="M932" s="120"/>
      <c r="N932" s="120"/>
      <c r="O932" s="118"/>
      <c r="P932" s="120"/>
      <c r="Q932" s="121"/>
      <c r="R932" s="109" t="b">
        <v>0</v>
      </c>
      <c r="S932" s="143" t="str">
        <f t="shared" si="1"/>
        <v>Suspenso</v>
      </c>
      <c r="T932" s="118"/>
      <c r="U932" s="118"/>
      <c r="V932" s="118"/>
      <c r="W932" s="118"/>
      <c r="X932" s="118"/>
      <c r="Y932" s="118"/>
      <c r="Z932" s="118"/>
      <c r="AA932" s="118"/>
      <c r="AB932" s="118"/>
      <c r="AC932" s="118"/>
      <c r="AD932" s="111"/>
      <c r="AE932" s="73"/>
      <c r="AF932" s="73"/>
    </row>
    <row r="933" ht="22.5" customHeight="1">
      <c r="A933" s="73"/>
      <c r="B933" s="73"/>
      <c r="C933" s="73"/>
      <c r="D933" s="73"/>
      <c r="E933" s="330"/>
      <c r="F933" s="118"/>
      <c r="G933" s="118"/>
      <c r="H933" s="118"/>
      <c r="I933" s="118"/>
      <c r="J933" s="119"/>
      <c r="K933" s="120"/>
      <c r="L933" s="120"/>
      <c r="M933" s="120"/>
      <c r="N933" s="120"/>
      <c r="O933" s="118"/>
      <c r="P933" s="120"/>
      <c r="Q933" s="121"/>
      <c r="R933" s="109" t="b">
        <v>0</v>
      </c>
      <c r="S933" s="143" t="str">
        <f t="shared" si="1"/>
        <v>Suspenso</v>
      </c>
      <c r="T933" s="118"/>
      <c r="U933" s="118"/>
      <c r="V933" s="118"/>
      <c r="W933" s="118"/>
      <c r="X933" s="118"/>
      <c r="Y933" s="118"/>
      <c r="Z933" s="118"/>
      <c r="AA933" s="118"/>
      <c r="AB933" s="118"/>
      <c r="AC933" s="118"/>
      <c r="AD933" s="111"/>
      <c r="AE933" s="73"/>
      <c r="AF933" s="73"/>
    </row>
    <row r="934" ht="22.5" customHeight="1">
      <c r="A934" s="73"/>
      <c r="B934" s="73"/>
      <c r="C934" s="73"/>
      <c r="D934" s="73"/>
      <c r="E934" s="330"/>
      <c r="F934" s="118"/>
      <c r="G934" s="118"/>
      <c r="H934" s="118"/>
      <c r="I934" s="118"/>
      <c r="J934" s="119"/>
      <c r="K934" s="120"/>
      <c r="L934" s="120"/>
      <c r="M934" s="120"/>
      <c r="N934" s="120"/>
      <c r="O934" s="118"/>
      <c r="P934" s="120"/>
      <c r="Q934" s="121"/>
      <c r="R934" s="109" t="b">
        <v>0</v>
      </c>
      <c r="S934" s="143" t="str">
        <f t="shared" si="1"/>
        <v>Suspenso</v>
      </c>
      <c r="T934" s="118"/>
      <c r="U934" s="118"/>
      <c r="V934" s="118"/>
      <c r="W934" s="118"/>
      <c r="X934" s="118"/>
      <c r="Y934" s="118"/>
      <c r="Z934" s="118"/>
      <c r="AA934" s="118"/>
      <c r="AB934" s="118"/>
      <c r="AC934" s="118"/>
      <c r="AD934" s="111"/>
      <c r="AE934" s="73"/>
      <c r="AF934" s="73"/>
    </row>
    <row r="935" ht="22.5" customHeight="1">
      <c r="A935" s="73"/>
      <c r="B935" s="73"/>
      <c r="C935" s="73"/>
      <c r="D935" s="73"/>
      <c r="E935" s="330"/>
      <c r="F935" s="118"/>
      <c r="G935" s="118"/>
      <c r="H935" s="118"/>
      <c r="I935" s="118"/>
      <c r="J935" s="119"/>
      <c r="K935" s="120"/>
      <c r="L935" s="120"/>
      <c r="M935" s="120"/>
      <c r="N935" s="120"/>
      <c r="O935" s="118"/>
      <c r="P935" s="120"/>
      <c r="Q935" s="121"/>
      <c r="R935" s="109" t="b">
        <v>0</v>
      </c>
      <c r="S935" s="143" t="str">
        <f t="shared" si="1"/>
        <v>Suspenso</v>
      </c>
      <c r="T935" s="118"/>
      <c r="U935" s="118"/>
      <c r="V935" s="118"/>
      <c r="W935" s="118"/>
      <c r="X935" s="118"/>
      <c r="Y935" s="118"/>
      <c r="Z935" s="118"/>
      <c r="AA935" s="118"/>
      <c r="AB935" s="118"/>
      <c r="AC935" s="118"/>
      <c r="AD935" s="111"/>
      <c r="AE935" s="73"/>
      <c r="AF935" s="73"/>
    </row>
    <row r="936" ht="22.5" customHeight="1">
      <c r="A936" s="73"/>
      <c r="B936" s="73"/>
      <c r="C936" s="73"/>
      <c r="D936" s="73"/>
      <c r="E936" s="330"/>
      <c r="F936" s="118"/>
      <c r="G936" s="118"/>
      <c r="H936" s="118"/>
      <c r="I936" s="118"/>
      <c r="J936" s="119"/>
      <c r="K936" s="120"/>
      <c r="L936" s="120"/>
      <c r="M936" s="120"/>
      <c r="N936" s="120"/>
      <c r="O936" s="118"/>
      <c r="P936" s="120"/>
      <c r="Q936" s="121"/>
      <c r="R936" s="109" t="b">
        <v>0</v>
      </c>
      <c r="S936" s="143" t="str">
        <f t="shared" si="1"/>
        <v>Suspenso</v>
      </c>
      <c r="T936" s="118"/>
      <c r="U936" s="118"/>
      <c r="V936" s="118"/>
      <c r="W936" s="118"/>
      <c r="X936" s="118"/>
      <c r="Y936" s="118"/>
      <c r="Z936" s="118"/>
      <c r="AA936" s="118"/>
      <c r="AB936" s="118"/>
      <c r="AC936" s="118"/>
      <c r="AD936" s="111"/>
      <c r="AE936" s="73"/>
      <c r="AF936" s="73"/>
    </row>
    <row r="937" ht="22.5" customHeight="1">
      <c r="A937" s="73"/>
      <c r="B937" s="73"/>
      <c r="C937" s="73"/>
      <c r="D937" s="73"/>
      <c r="E937" s="330"/>
      <c r="F937" s="118"/>
      <c r="G937" s="118"/>
      <c r="H937" s="118"/>
      <c r="I937" s="118"/>
      <c r="J937" s="119"/>
      <c r="K937" s="120"/>
      <c r="L937" s="120"/>
      <c r="M937" s="120"/>
      <c r="N937" s="120"/>
      <c r="O937" s="118"/>
      <c r="P937" s="120"/>
      <c r="Q937" s="121"/>
      <c r="R937" s="109" t="b">
        <v>0</v>
      </c>
      <c r="S937" s="143" t="str">
        <f t="shared" si="1"/>
        <v>Suspenso</v>
      </c>
      <c r="T937" s="118"/>
      <c r="U937" s="118"/>
      <c r="V937" s="118"/>
      <c r="W937" s="118"/>
      <c r="X937" s="118"/>
      <c r="Y937" s="118"/>
      <c r="Z937" s="118"/>
      <c r="AA937" s="118"/>
      <c r="AB937" s="118"/>
      <c r="AC937" s="118"/>
      <c r="AD937" s="111"/>
      <c r="AE937" s="73"/>
      <c r="AF937" s="73"/>
    </row>
    <row r="938" ht="22.5" customHeight="1">
      <c r="A938" s="73"/>
      <c r="B938" s="73"/>
      <c r="C938" s="73"/>
      <c r="D938" s="73"/>
      <c r="E938" s="330"/>
      <c r="F938" s="118"/>
      <c r="G938" s="118"/>
      <c r="H938" s="118"/>
      <c r="I938" s="118"/>
      <c r="J938" s="119"/>
      <c r="K938" s="120"/>
      <c r="L938" s="120"/>
      <c r="M938" s="120"/>
      <c r="N938" s="120"/>
      <c r="O938" s="118"/>
      <c r="P938" s="120"/>
      <c r="Q938" s="121"/>
      <c r="R938" s="109" t="b">
        <v>0</v>
      </c>
      <c r="S938" s="143" t="str">
        <f t="shared" si="1"/>
        <v>Suspenso</v>
      </c>
      <c r="T938" s="118"/>
      <c r="U938" s="118"/>
      <c r="V938" s="118"/>
      <c r="W938" s="118"/>
      <c r="X938" s="118"/>
      <c r="Y938" s="118"/>
      <c r="Z938" s="118"/>
      <c r="AA938" s="118"/>
      <c r="AB938" s="118"/>
      <c r="AC938" s="118"/>
      <c r="AD938" s="111"/>
      <c r="AE938" s="73"/>
      <c r="AF938" s="73"/>
    </row>
    <row r="939" ht="22.5" customHeight="1">
      <c r="A939" s="73"/>
      <c r="B939" s="73"/>
      <c r="C939" s="73"/>
      <c r="D939" s="73"/>
      <c r="E939" s="330"/>
      <c r="F939" s="118"/>
      <c r="G939" s="118"/>
      <c r="H939" s="118"/>
      <c r="I939" s="118"/>
      <c r="J939" s="119"/>
      <c r="K939" s="120"/>
      <c r="L939" s="120"/>
      <c r="M939" s="120"/>
      <c r="N939" s="120"/>
      <c r="O939" s="118"/>
      <c r="P939" s="120"/>
      <c r="Q939" s="121"/>
      <c r="R939" s="109" t="b">
        <v>0</v>
      </c>
      <c r="S939" s="143" t="str">
        <f t="shared" si="1"/>
        <v>Suspenso</v>
      </c>
      <c r="T939" s="118"/>
      <c r="U939" s="118"/>
      <c r="V939" s="118"/>
      <c r="W939" s="118"/>
      <c r="X939" s="118"/>
      <c r="Y939" s="118"/>
      <c r="Z939" s="118"/>
      <c r="AA939" s="118"/>
      <c r="AB939" s="118"/>
      <c r="AC939" s="118"/>
      <c r="AD939" s="111"/>
      <c r="AE939" s="73"/>
      <c r="AF939" s="73"/>
    </row>
    <row r="940" ht="22.5" customHeight="1">
      <c r="A940" s="73"/>
      <c r="B940" s="73"/>
      <c r="C940" s="73"/>
      <c r="D940" s="73"/>
      <c r="E940" s="330"/>
      <c r="F940" s="118"/>
      <c r="G940" s="118"/>
      <c r="H940" s="118"/>
      <c r="I940" s="118"/>
      <c r="J940" s="119"/>
      <c r="K940" s="120"/>
      <c r="L940" s="120"/>
      <c r="M940" s="120"/>
      <c r="N940" s="120"/>
      <c r="O940" s="118"/>
      <c r="P940" s="120"/>
      <c r="Q940" s="121"/>
      <c r="R940" s="109" t="b">
        <v>0</v>
      </c>
      <c r="S940" s="143" t="str">
        <f t="shared" si="1"/>
        <v>Suspenso</v>
      </c>
      <c r="T940" s="118"/>
      <c r="U940" s="118"/>
      <c r="V940" s="118"/>
      <c r="W940" s="118"/>
      <c r="X940" s="118"/>
      <c r="Y940" s="118"/>
      <c r="Z940" s="118"/>
      <c r="AA940" s="118"/>
      <c r="AB940" s="118"/>
      <c r="AC940" s="118"/>
      <c r="AD940" s="111"/>
      <c r="AE940" s="73"/>
      <c r="AF940" s="73"/>
    </row>
    <row r="941" ht="22.5" customHeight="1">
      <c r="A941" s="73"/>
      <c r="B941" s="73"/>
      <c r="C941" s="73"/>
      <c r="D941" s="73"/>
      <c r="E941" s="330"/>
      <c r="F941" s="118"/>
      <c r="G941" s="118"/>
      <c r="H941" s="118"/>
      <c r="I941" s="118"/>
      <c r="J941" s="119"/>
      <c r="K941" s="120"/>
      <c r="L941" s="120"/>
      <c r="M941" s="120"/>
      <c r="N941" s="120"/>
      <c r="O941" s="118"/>
      <c r="P941" s="120"/>
      <c r="Q941" s="121"/>
      <c r="R941" s="109" t="b">
        <v>0</v>
      </c>
      <c r="S941" s="143" t="str">
        <f t="shared" si="1"/>
        <v>Suspenso</v>
      </c>
      <c r="T941" s="118"/>
      <c r="U941" s="118"/>
      <c r="V941" s="118"/>
      <c r="W941" s="118"/>
      <c r="X941" s="118"/>
      <c r="Y941" s="118"/>
      <c r="Z941" s="118"/>
      <c r="AA941" s="118"/>
      <c r="AB941" s="118"/>
      <c r="AC941" s="118"/>
      <c r="AD941" s="111"/>
      <c r="AE941" s="73"/>
      <c r="AF941" s="73"/>
    </row>
    <row r="942" ht="22.5" customHeight="1">
      <c r="A942" s="73"/>
      <c r="B942" s="73"/>
      <c r="C942" s="73"/>
      <c r="D942" s="73"/>
      <c r="E942" s="330"/>
      <c r="F942" s="118"/>
      <c r="G942" s="118"/>
      <c r="H942" s="118"/>
      <c r="I942" s="118"/>
      <c r="J942" s="119"/>
      <c r="K942" s="120"/>
      <c r="L942" s="120"/>
      <c r="M942" s="120"/>
      <c r="N942" s="120"/>
      <c r="O942" s="118"/>
      <c r="P942" s="120"/>
      <c r="Q942" s="121"/>
      <c r="R942" s="109" t="b">
        <v>0</v>
      </c>
      <c r="S942" s="143" t="str">
        <f t="shared" si="1"/>
        <v>Suspenso</v>
      </c>
      <c r="T942" s="118"/>
      <c r="U942" s="118"/>
      <c r="V942" s="118"/>
      <c r="W942" s="118"/>
      <c r="X942" s="118"/>
      <c r="Y942" s="118"/>
      <c r="Z942" s="118"/>
      <c r="AA942" s="118"/>
      <c r="AB942" s="118"/>
      <c r="AC942" s="118"/>
      <c r="AD942" s="111"/>
      <c r="AE942" s="73"/>
      <c r="AF942" s="73"/>
    </row>
    <row r="943" ht="22.5" customHeight="1">
      <c r="A943" s="73"/>
      <c r="B943" s="73"/>
      <c r="C943" s="73"/>
      <c r="D943" s="73"/>
      <c r="E943" s="330"/>
      <c r="F943" s="118"/>
      <c r="G943" s="118"/>
      <c r="H943" s="118"/>
      <c r="I943" s="118"/>
      <c r="J943" s="119"/>
      <c r="K943" s="120"/>
      <c r="L943" s="120"/>
      <c r="M943" s="120"/>
      <c r="N943" s="120"/>
      <c r="O943" s="118"/>
      <c r="P943" s="120"/>
      <c r="Q943" s="121"/>
      <c r="R943" s="109" t="b">
        <v>0</v>
      </c>
      <c r="S943" s="143" t="str">
        <f t="shared" si="1"/>
        <v>Suspenso</v>
      </c>
      <c r="T943" s="118"/>
      <c r="U943" s="118"/>
      <c r="V943" s="118"/>
      <c r="W943" s="118"/>
      <c r="X943" s="118"/>
      <c r="Y943" s="118"/>
      <c r="Z943" s="118"/>
      <c r="AA943" s="118"/>
      <c r="AB943" s="118"/>
      <c r="AC943" s="118"/>
      <c r="AD943" s="111"/>
      <c r="AE943" s="73"/>
      <c r="AF943" s="73"/>
    </row>
    <row r="944" ht="22.5" customHeight="1">
      <c r="A944" s="73"/>
      <c r="B944" s="73"/>
      <c r="C944" s="73"/>
      <c r="D944" s="73"/>
      <c r="E944" s="330"/>
      <c r="F944" s="118"/>
      <c r="G944" s="118"/>
      <c r="H944" s="118"/>
      <c r="I944" s="118"/>
      <c r="J944" s="119"/>
      <c r="K944" s="120"/>
      <c r="L944" s="120"/>
      <c r="M944" s="120"/>
      <c r="N944" s="120"/>
      <c r="O944" s="118"/>
      <c r="P944" s="120"/>
      <c r="Q944" s="121"/>
      <c r="R944" s="109" t="b">
        <v>0</v>
      </c>
      <c r="S944" s="143" t="str">
        <f t="shared" si="1"/>
        <v>Suspenso</v>
      </c>
      <c r="T944" s="118"/>
      <c r="U944" s="118"/>
      <c r="V944" s="118"/>
      <c r="W944" s="118"/>
      <c r="X944" s="118"/>
      <c r="Y944" s="118"/>
      <c r="Z944" s="118"/>
      <c r="AA944" s="118"/>
      <c r="AB944" s="118"/>
      <c r="AC944" s="118"/>
      <c r="AD944" s="111"/>
      <c r="AE944" s="73"/>
      <c r="AF944" s="73"/>
    </row>
    <row r="945" ht="22.5" customHeight="1">
      <c r="A945" s="73"/>
      <c r="B945" s="73"/>
      <c r="C945" s="73"/>
      <c r="D945" s="73"/>
      <c r="E945" s="330"/>
      <c r="F945" s="118"/>
      <c r="G945" s="118"/>
      <c r="H945" s="118"/>
      <c r="I945" s="118"/>
      <c r="J945" s="119"/>
      <c r="K945" s="120"/>
      <c r="L945" s="120"/>
      <c r="M945" s="120"/>
      <c r="N945" s="120"/>
      <c r="O945" s="118"/>
      <c r="P945" s="120"/>
      <c r="Q945" s="121"/>
      <c r="R945" s="109" t="b">
        <v>0</v>
      </c>
      <c r="S945" s="143" t="str">
        <f t="shared" si="1"/>
        <v>Suspenso</v>
      </c>
      <c r="T945" s="118"/>
      <c r="U945" s="118"/>
      <c r="V945" s="118"/>
      <c r="W945" s="118"/>
      <c r="X945" s="118"/>
      <c r="Y945" s="118"/>
      <c r="Z945" s="118"/>
      <c r="AA945" s="118"/>
      <c r="AB945" s="118"/>
      <c r="AC945" s="118"/>
      <c r="AD945" s="111"/>
      <c r="AE945" s="73"/>
      <c r="AF945" s="73"/>
    </row>
    <row r="946" ht="22.5" customHeight="1">
      <c r="A946" s="73"/>
      <c r="B946" s="73"/>
      <c r="C946" s="73"/>
      <c r="D946" s="73"/>
      <c r="E946" s="330"/>
      <c r="F946" s="118"/>
      <c r="G946" s="118"/>
      <c r="H946" s="118"/>
      <c r="I946" s="118"/>
      <c r="J946" s="119"/>
      <c r="K946" s="120"/>
      <c r="L946" s="120"/>
      <c r="M946" s="120"/>
      <c r="N946" s="120"/>
      <c r="O946" s="118"/>
      <c r="P946" s="120"/>
      <c r="Q946" s="121"/>
      <c r="R946" s="109" t="b">
        <v>0</v>
      </c>
      <c r="S946" s="143" t="str">
        <f t="shared" si="1"/>
        <v>Suspenso</v>
      </c>
      <c r="T946" s="118"/>
      <c r="U946" s="118"/>
      <c r="V946" s="118"/>
      <c r="W946" s="118"/>
      <c r="X946" s="118"/>
      <c r="Y946" s="118"/>
      <c r="Z946" s="118"/>
      <c r="AA946" s="118"/>
      <c r="AB946" s="118"/>
      <c r="AC946" s="118"/>
      <c r="AD946" s="111"/>
      <c r="AE946" s="73"/>
      <c r="AF946" s="73"/>
    </row>
    <row r="947" ht="22.5" customHeight="1">
      <c r="A947" s="73"/>
      <c r="B947" s="73"/>
      <c r="C947" s="73"/>
      <c r="D947" s="73"/>
      <c r="E947" s="330"/>
      <c r="F947" s="118"/>
      <c r="G947" s="118"/>
      <c r="H947" s="118"/>
      <c r="I947" s="118"/>
      <c r="J947" s="119"/>
      <c r="K947" s="120"/>
      <c r="L947" s="120"/>
      <c r="M947" s="120"/>
      <c r="N947" s="120"/>
      <c r="O947" s="118"/>
      <c r="P947" s="120"/>
      <c r="Q947" s="121"/>
      <c r="R947" s="109" t="b">
        <v>0</v>
      </c>
      <c r="S947" s="143" t="str">
        <f t="shared" si="1"/>
        <v>Suspenso</v>
      </c>
      <c r="T947" s="118"/>
      <c r="U947" s="118"/>
      <c r="V947" s="118"/>
      <c r="W947" s="118"/>
      <c r="X947" s="118"/>
      <c r="Y947" s="118"/>
      <c r="Z947" s="118"/>
      <c r="AA947" s="118"/>
      <c r="AB947" s="118"/>
      <c r="AC947" s="118"/>
      <c r="AD947" s="111"/>
      <c r="AE947" s="73"/>
      <c r="AF947" s="73"/>
    </row>
    <row r="948" ht="22.5" customHeight="1">
      <c r="A948" s="73"/>
      <c r="B948" s="73"/>
      <c r="C948" s="73"/>
      <c r="D948" s="73"/>
      <c r="E948" s="330"/>
      <c r="F948" s="118"/>
      <c r="G948" s="118"/>
      <c r="H948" s="118"/>
      <c r="I948" s="118"/>
      <c r="J948" s="119"/>
      <c r="K948" s="120"/>
      <c r="L948" s="120"/>
      <c r="M948" s="120"/>
      <c r="N948" s="120"/>
      <c r="O948" s="118"/>
      <c r="P948" s="120"/>
      <c r="Q948" s="121"/>
      <c r="R948" s="109" t="b">
        <v>0</v>
      </c>
      <c r="S948" s="143" t="str">
        <f t="shared" si="1"/>
        <v>Suspenso</v>
      </c>
      <c r="T948" s="118"/>
      <c r="U948" s="118"/>
      <c r="V948" s="118"/>
      <c r="W948" s="118"/>
      <c r="X948" s="118"/>
      <c r="Y948" s="118"/>
      <c r="Z948" s="118"/>
      <c r="AA948" s="118"/>
      <c r="AB948" s="118"/>
      <c r="AC948" s="118"/>
      <c r="AD948" s="111"/>
      <c r="AE948" s="73"/>
      <c r="AF948" s="73"/>
    </row>
    <row r="949" ht="22.5" customHeight="1">
      <c r="A949" s="73"/>
      <c r="B949" s="73"/>
      <c r="C949" s="73"/>
      <c r="D949" s="73"/>
      <c r="E949" s="330"/>
      <c r="F949" s="118"/>
      <c r="G949" s="118"/>
      <c r="H949" s="118"/>
      <c r="I949" s="118"/>
      <c r="J949" s="119"/>
      <c r="K949" s="120"/>
      <c r="L949" s="120"/>
      <c r="M949" s="120"/>
      <c r="N949" s="120"/>
      <c r="O949" s="118"/>
      <c r="P949" s="120"/>
      <c r="Q949" s="121"/>
      <c r="R949" s="109" t="b">
        <v>0</v>
      </c>
      <c r="S949" s="143" t="str">
        <f t="shared" si="1"/>
        <v>Suspenso</v>
      </c>
      <c r="T949" s="118"/>
      <c r="U949" s="118"/>
      <c r="V949" s="118"/>
      <c r="W949" s="118"/>
      <c r="X949" s="118"/>
      <c r="Y949" s="118"/>
      <c r="Z949" s="118"/>
      <c r="AA949" s="118"/>
      <c r="AB949" s="118"/>
      <c r="AC949" s="118"/>
      <c r="AD949" s="111"/>
      <c r="AE949" s="73"/>
      <c r="AF949" s="73"/>
    </row>
    <row r="950" ht="22.5" customHeight="1">
      <c r="A950" s="73"/>
      <c r="B950" s="73"/>
      <c r="C950" s="73"/>
      <c r="D950" s="73"/>
      <c r="E950" s="330"/>
      <c r="F950" s="118"/>
      <c r="G950" s="118"/>
      <c r="H950" s="118"/>
      <c r="I950" s="118"/>
      <c r="J950" s="119"/>
      <c r="K950" s="120"/>
      <c r="L950" s="120"/>
      <c r="M950" s="120"/>
      <c r="N950" s="120"/>
      <c r="O950" s="118"/>
      <c r="P950" s="120"/>
      <c r="Q950" s="121"/>
      <c r="R950" s="109" t="b">
        <v>0</v>
      </c>
      <c r="S950" s="143" t="str">
        <f t="shared" si="1"/>
        <v>Suspenso</v>
      </c>
      <c r="T950" s="118"/>
      <c r="U950" s="118"/>
      <c r="V950" s="118"/>
      <c r="W950" s="118"/>
      <c r="X950" s="118"/>
      <c r="Y950" s="118"/>
      <c r="Z950" s="118"/>
      <c r="AA950" s="118"/>
      <c r="AB950" s="118"/>
      <c r="AC950" s="118"/>
      <c r="AD950" s="111"/>
      <c r="AE950" s="73"/>
      <c r="AF950" s="73"/>
    </row>
    <row r="951" ht="22.5" customHeight="1">
      <c r="A951" s="73"/>
      <c r="B951" s="73"/>
      <c r="C951" s="73"/>
      <c r="D951" s="73"/>
      <c r="E951" s="330"/>
      <c r="F951" s="118"/>
      <c r="G951" s="118"/>
      <c r="H951" s="118"/>
      <c r="I951" s="118"/>
      <c r="J951" s="119"/>
      <c r="K951" s="120"/>
      <c r="L951" s="120"/>
      <c r="M951" s="120"/>
      <c r="N951" s="120"/>
      <c r="O951" s="118"/>
      <c r="P951" s="120"/>
      <c r="Q951" s="121"/>
      <c r="R951" s="109" t="b">
        <v>0</v>
      </c>
      <c r="S951" s="143" t="str">
        <f t="shared" si="1"/>
        <v>Suspenso</v>
      </c>
      <c r="T951" s="118"/>
      <c r="U951" s="118"/>
      <c r="V951" s="118"/>
      <c r="W951" s="118"/>
      <c r="X951" s="118"/>
      <c r="Y951" s="118"/>
      <c r="Z951" s="118"/>
      <c r="AA951" s="118"/>
      <c r="AB951" s="118"/>
      <c r="AC951" s="118"/>
      <c r="AD951" s="111"/>
      <c r="AE951" s="73"/>
      <c r="AF951" s="73"/>
    </row>
    <row r="952" ht="22.5" customHeight="1">
      <c r="A952" s="73"/>
      <c r="B952" s="73"/>
      <c r="C952" s="73"/>
      <c r="D952" s="73"/>
      <c r="E952" s="330"/>
      <c r="F952" s="118"/>
      <c r="G952" s="118"/>
      <c r="H952" s="118"/>
      <c r="I952" s="118"/>
      <c r="J952" s="119"/>
      <c r="K952" s="120"/>
      <c r="L952" s="120"/>
      <c r="M952" s="120"/>
      <c r="N952" s="120"/>
      <c r="O952" s="118"/>
      <c r="P952" s="120"/>
      <c r="Q952" s="121"/>
      <c r="R952" s="109" t="b">
        <v>0</v>
      </c>
      <c r="S952" s="143" t="str">
        <f t="shared" si="1"/>
        <v>Suspenso</v>
      </c>
      <c r="T952" s="118"/>
      <c r="U952" s="118"/>
      <c r="V952" s="118"/>
      <c r="W952" s="118"/>
      <c r="X952" s="118"/>
      <c r="Y952" s="118"/>
      <c r="Z952" s="118"/>
      <c r="AA952" s="118"/>
      <c r="AB952" s="118"/>
      <c r="AC952" s="118"/>
      <c r="AD952" s="111"/>
      <c r="AE952" s="73"/>
      <c r="AF952" s="73"/>
    </row>
    <row r="953" ht="22.5" customHeight="1">
      <c r="A953" s="73"/>
      <c r="B953" s="73"/>
      <c r="C953" s="73"/>
      <c r="D953" s="73"/>
      <c r="E953" s="330"/>
      <c r="F953" s="118"/>
      <c r="G953" s="118"/>
      <c r="H953" s="118"/>
      <c r="I953" s="118"/>
      <c r="J953" s="119"/>
      <c r="K953" s="120"/>
      <c r="L953" s="120"/>
      <c r="M953" s="120"/>
      <c r="N953" s="120"/>
      <c r="O953" s="118"/>
      <c r="P953" s="120"/>
      <c r="Q953" s="121"/>
      <c r="R953" s="109" t="b">
        <v>0</v>
      </c>
      <c r="S953" s="143" t="str">
        <f t="shared" si="1"/>
        <v>Suspenso</v>
      </c>
      <c r="T953" s="118"/>
      <c r="U953" s="118"/>
      <c r="V953" s="118"/>
      <c r="W953" s="118"/>
      <c r="X953" s="118"/>
      <c r="Y953" s="118"/>
      <c r="Z953" s="118"/>
      <c r="AA953" s="118"/>
      <c r="AB953" s="118"/>
      <c r="AC953" s="118"/>
      <c r="AD953" s="111"/>
      <c r="AE953" s="73"/>
      <c r="AF953" s="73"/>
    </row>
    <row r="954" ht="22.5" customHeight="1">
      <c r="A954" s="73"/>
      <c r="B954" s="73"/>
      <c r="C954" s="73"/>
      <c r="D954" s="73"/>
      <c r="E954" s="330"/>
      <c r="F954" s="118"/>
      <c r="G954" s="118"/>
      <c r="H954" s="118"/>
      <c r="I954" s="118"/>
      <c r="J954" s="119"/>
      <c r="K954" s="120"/>
      <c r="L954" s="120"/>
      <c r="M954" s="120"/>
      <c r="N954" s="120"/>
      <c r="O954" s="118"/>
      <c r="P954" s="120"/>
      <c r="Q954" s="121"/>
      <c r="R954" s="109" t="b">
        <v>0</v>
      </c>
      <c r="S954" s="143" t="str">
        <f t="shared" si="1"/>
        <v>Suspenso</v>
      </c>
      <c r="T954" s="118"/>
      <c r="U954" s="118"/>
      <c r="V954" s="118"/>
      <c r="W954" s="118"/>
      <c r="X954" s="118"/>
      <c r="Y954" s="118"/>
      <c r="Z954" s="118"/>
      <c r="AA954" s="118"/>
      <c r="AB954" s="118"/>
      <c r="AC954" s="118"/>
      <c r="AD954" s="111"/>
      <c r="AE954" s="73"/>
      <c r="AF954" s="73"/>
    </row>
    <row r="955" ht="22.5" customHeight="1">
      <c r="A955" s="73"/>
      <c r="B955" s="73"/>
      <c r="C955" s="73"/>
      <c r="D955" s="73"/>
      <c r="E955" s="330"/>
      <c r="F955" s="118"/>
      <c r="G955" s="118"/>
      <c r="H955" s="118"/>
      <c r="I955" s="118"/>
      <c r="J955" s="119"/>
      <c r="K955" s="120"/>
      <c r="L955" s="120"/>
      <c r="M955" s="120"/>
      <c r="N955" s="120"/>
      <c r="O955" s="118"/>
      <c r="P955" s="120"/>
      <c r="Q955" s="121"/>
      <c r="R955" s="109" t="b">
        <v>0</v>
      </c>
      <c r="S955" s="143" t="str">
        <f t="shared" si="1"/>
        <v>Suspenso</v>
      </c>
      <c r="T955" s="118"/>
      <c r="U955" s="118"/>
      <c r="V955" s="118"/>
      <c r="W955" s="118"/>
      <c r="X955" s="118"/>
      <c r="Y955" s="118"/>
      <c r="Z955" s="118"/>
      <c r="AA955" s="118"/>
      <c r="AB955" s="118"/>
      <c r="AC955" s="118"/>
      <c r="AD955" s="111"/>
      <c r="AE955" s="73"/>
      <c r="AF955" s="73"/>
    </row>
    <row r="956" ht="22.5" customHeight="1">
      <c r="A956" s="73"/>
      <c r="B956" s="73"/>
      <c r="C956" s="73"/>
      <c r="D956" s="73"/>
      <c r="E956" s="330"/>
      <c r="F956" s="118"/>
      <c r="G956" s="118"/>
      <c r="H956" s="118"/>
      <c r="I956" s="118"/>
      <c r="J956" s="119"/>
      <c r="K956" s="120"/>
      <c r="L956" s="120"/>
      <c r="M956" s="120"/>
      <c r="N956" s="120"/>
      <c r="O956" s="118"/>
      <c r="P956" s="120"/>
      <c r="Q956" s="121"/>
      <c r="R956" s="109" t="b">
        <v>0</v>
      </c>
      <c r="S956" s="143" t="str">
        <f t="shared" si="1"/>
        <v>Suspenso</v>
      </c>
      <c r="T956" s="118"/>
      <c r="U956" s="118"/>
      <c r="V956" s="118"/>
      <c r="W956" s="118"/>
      <c r="X956" s="118"/>
      <c r="Y956" s="118"/>
      <c r="Z956" s="118"/>
      <c r="AA956" s="118"/>
      <c r="AB956" s="118"/>
      <c r="AC956" s="118"/>
      <c r="AD956" s="111"/>
      <c r="AE956" s="73"/>
      <c r="AF956" s="73"/>
    </row>
    <row r="957" ht="22.5" customHeight="1">
      <c r="A957" s="73"/>
      <c r="B957" s="73"/>
      <c r="C957" s="73"/>
      <c r="D957" s="73"/>
      <c r="E957" s="330"/>
      <c r="F957" s="118"/>
      <c r="G957" s="118"/>
      <c r="H957" s="118"/>
      <c r="I957" s="118"/>
      <c r="J957" s="119"/>
      <c r="K957" s="120"/>
      <c r="L957" s="120"/>
      <c r="M957" s="120"/>
      <c r="N957" s="120"/>
      <c r="O957" s="118"/>
      <c r="P957" s="120"/>
      <c r="Q957" s="121"/>
      <c r="R957" s="109" t="b">
        <v>0</v>
      </c>
      <c r="S957" s="143" t="str">
        <f t="shared" si="1"/>
        <v>Suspenso</v>
      </c>
      <c r="T957" s="118"/>
      <c r="U957" s="118"/>
      <c r="V957" s="118"/>
      <c r="W957" s="118"/>
      <c r="X957" s="118"/>
      <c r="Y957" s="118"/>
      <c r="Z957" s="118"/>
      <c r="AA957" s="118"/>
      <c r="AB957" s="118"/>
      <c r="AC957" s="118"/>
      <c r="AD957" s="111"/>
      <c r="AE957" s="73"/>
      <c r="AF957" s="73"/>
    </row>
    <row r="958" ht="22.5" customHeight="1">
      <c r="A958" s="73"/>
      <c r="B958" s="73"/>
      <c r="C958" s="73"/>
      <c r="D958" s="73"/>
      <c r="E958" s="330"/>
      <c r="F958" s="118"/>
      <c r="G958" s="118"/>
      <c r="H958" s="118"/>
      <c r="I958" s="118"/>
      <c r="J958" s="119"/>
      <c r="K958" s="120"/>
      <c r="L958" s="120"/>
      <c r="M958" s="120"/>
      <c r="N958" s="120"/>
      <c r="O958" s="118"/>
      <c r="P958" s="120"/>
      <c r="Q958" s="121"/>
      <c r="R958" s="109" t="b">
        <v>0</v>
      </c>
      <c r="S958" s="143" t="str">
        <f t="shared" si="1"/>
        <v>Suspenso</v>
      </c>
      <c r="T958" s="118"/>
      <c r="U958" s="118"/>
      <c r="V958" s="118"/>
      <c r="W958" s="118"/>
      <c r="X958" s="118"/>
      <c r="Y958" s="118"/>
      <c r="Z958" s="118"/>
      <c r="AA958" s="118"/>
      <c r="AB958" s="118"/>
      <c r="AC958" s="118"/>
      <c r="AD958" s="111"/>
      <c r="AE958" s="73"/>
      <c r="AF958" s="73"/>
    </row>
    <row r="959" ht="22.5" customHeight="1">
      <c r="A959" s="73"/>
      <c r="B959" s="73"/>
      <c r="C959" s="73"/>
      <c r="D959" s="73"/>
      <c r="E959" s="330"/>
      <c r="F959" s="118"/>
      <c r="G959" s="118"/>
      <c r="H959" s="118"/>
      <c r="I959" s="118"/>
      <c r="J959" s="119"/>
      <c r="K959" s="120"/>
      <c r="L959" s="120"/>
      <c r="M959" s="120"/>
      <c r="N959" s="120"/>
      <c r="O959" s="118"/>
      <c r="P959" s="120"/>
      <c r="Q959" s="121"/>
      <c r="R959" s="109" t="b">
        <v>0</v>
      </c>
      <c r="S959" s="143" t="str">
        <f t="shared" si="1"/>
        <v>Suspenso</v>
      </c>
      <c r="T959" s="118"/>
      <c r="U959" s="118"/>
      <c r="V959" s="118"/>
      <c r="W959" s="118"/>
      <c r="X959" s="118"/>
      <c r="Y959" s="118"/>
      <c r="Z959" s="118"/>
      <c r="AA959" s="118"/>
      <c r="AB959" s="118"/>
      <c r="AC959" s="118"/>
      <c r="AD959" s="111"/>
      <c r="AE959" s="73"/>
      <c r="AF959" s="73"/>
    </row>
    <row r="960" ht="22.5" customHeight="1">
      <c r="A960" s="73"/>
      <c r="B960" s="73"/>
      <c r="C960" s="73"/>
      <c r="D960" s="73"/>
      <c r="E960" s="330"/>
      <c r="F960" s="118"/>
      <c r="G960" s="118"/>
      <c r="H960" s="118"/>
      <c r="I960" s="118"/>
      <c r="J960" s="119"/>
      <c r="K960" s="120"/>
      <c r="L960" s="120"/>
      <c r="M960" s="120"/>
      <c r="N960" s="120"/>
      <c r="O960" s="118"/>
      <c r="P960" s="120"/>
      <c r="Q960" s="121"/>
      <c r="R960" s="109" t="b">
        <v>0</v>
      </c>
      <c r="S960" s="143" t="str">
        <f t="shared" si="1"/>
        <v>Suspenso</v>
      </c>
      <c r="T960" s="118"/>
      <c r="U960" s="118"/>
      <c r="V960" s="118"/>
      <c r="W960" s="118"/>
      <c r="X960" s="118"/>
      <c r="Y960" s="118"/>
      <c r="Z960" s="118"/>
      <c r="AA960" s="118"/>
      <c r="AB960" s="118"/>
      <c r="AC960" s="118"/>
      <c r="AD960" s="111"/>
      <c r="AE960" s="73"/>
      <c r="AF960" s="73"/>
    </row>
    <row r="961" ht="22.5" customHeight="1">
      <c r="A961" s="73"/>
      <c r="B961" s="73"/>
      <c r="C961" s="73"/>
      <c r="D961" s="73"/>
      <c r="E961" s="330"/>
      <c r="F961" s="118"/>
      <c r="G961" s="118"/>
      <c r="H961" s="118"/>
      <c r="I961" s="118"/>
      <c r="J961" s="119"/>
      <c r="K961" s="120"/>
      <c r="L961" s="120"/>
      <c r="M961" s="120"/>
      <c r="N961" s="120"/>
      <c r="O961" s="118"/>
      <c r="P961" s="120"/>
      <c r="Q961" s="121"/>
      <c r="R961" s="109" t="b">
        <v>0</v>
      </c>
      <c r="S961" s="143" t="str">
        <f t="shared" si="1"/>
        <v>Suspenso</v>
      </c>
      <c r="T961" s="118"/>
      <c r="U961" s="118"/>
      <c r="V961" s="118"/>
      <c r="W961" s="118"/>
      <c r="X961" s="118"/>
      <c r="Y961" s="118"/>
      <c r="Z961" s="118"/>
      <c r="AA961" s="118"/>
      <c r="AB961" s="118"/>
      <c r="AC961" s="118"/>
      <c r="AD961" s="111"/>
      <c r="AE961" s="73"/>
      <c r="AF961" s="73"/>
    </row>
    <row r="962" ht="22.5" customHeight="1">
      <c r="A962" s="73"/>
      <c r="B962" s="73"/>
      <c r="C962" s="73"/>
      <c r="D962" s="73"/>
      <c r="E962" s="330"/>
      <c r="F962" s="118"/>
      <c r="G962" s="118"/>
      <c r="H962" s="118"/>
      <c r="I962" s="118"/>
      <c r="J962" s="119"/>
      <c r="K962" s="120"/>
      <c r="L962" s="120"/>
      <c r="M962" s="120"/>
      <c r="N962" s="120"/>
      <c r="O962" s="118"/>
      <c r="P962" s="120"/>
      <c r="Q962" s="121"/>
      <c r="R962" s="109" t="b">
        <v>0</v>
      </c>
      <c r="S962" s="143" t="str">
        <f t="shared" si="1"/>
        <v>Suspenso</v>
      </c>
      <c r="T962" s="118"/>
      <c r="U962" s="118"/>
      <c r="V962" s="118"/>
      <c r="W962" s="118"/>
      <c r="X962" s="118"/>
      <c r="Y962" s="118"/>
      <c r="Z962" s="118"/>
      <c r="AA962" s="118"/>
      <c r="AB962" s="118"/>
      <c r="AC962" s="118"/>
      <c r="AD962" s="111"/>
      <c r="AE962" s="73"/>
      <c r="AF962" s="73"/>
    </row>
    <row r="963" ht="22.5" customHeight="1">
      <c r="A963" s="73"/>
      <c r="B963" s="73"/>
      <c r="C963" s="73"/>
      <c r="D963" s="73"/>
      <c r="E963" s="330"/>
      <c r="F963" s="118"/>
      <c r="G963" s="118"/>
      <c r="H963" s="118"/>
      <c r="I963" s="118"/>
      <c r="J963" s="119"/>
      <c r="K963" s="120"/>
      <c r="L963" s="120"/>
      <c r="M963" s="120"/>
      <c r="N963" s="120"/>
      <c r="O963" s="118"/>
      <c r="P963" s="120"/>
      <c r="Q963" s="121"/>
      <c r="R963" s="109" t="b">
        <v>0</v>
      </c>
      <c r="S963" s="143" t="str">
        <f t="shared" si="1"/>
        <v>Suspenso</v>
      </c>
      <c r="T963" s="118"/>
      <c r="U963" s="118"/>
      <c r="V963" s="118"/>
      <c r="W963" s="118"/>
      <c r="X963" s="118"/>
      <c r="Y963" s="118"/>
      <c r="Z963" s="118"/>
      <c r="AA963" s="118"/>
      <c r="AB963" s="118"/>
      <c r="AC963" s="118"/>
      <c r="AD963" s="111"/>
      <c r="AE963" s="73"/>
      <c r="AF963" s="73"/>
    </row>
    <row r="964" ht="22.5" customHeight="1">
      <c r="A964" s="73"/>
      <c r="B964" s="73"/>
      <c r="C964" s="73"/>
      <c r="D964" s="73"/>
      <c r="E964" s="330"/>
      <c r="F964" s="118"/>
      <c r="G964" s="118"/>
      <c r="H964" s="118"/>
      <c r="I964" s="118"/>
      <c r="J964" s="119"/>
      <c r="K964" s="120"/>
      <c r="L964" s="120"/>
      <c r="M964" s="120"/>
      <c r="N964" s="120"/>
      <c r="O964" s="118"/>
      <c r="P964" s="120"/>
      <c r="Q964" s="121"/>
      <c r="R964" s="109" t="b">
        <v>0</v>
      </c>
      <c r="S964" s="143" t="str">
        <f t="shared" si="1"/>
        <v>Suspenso</v>
      </c>
      <c r="T964" s="118"/>
      <c r="U964" s="118"/>
      <c r="V964" s="118"/>
      <c r="W964" s="118"/>
      <c r="X964" s="118"/>
      <c r="Y964" s="118"/>
      <c r="Z964" s="118"/>
      <c r="AA964" s="118"/>
      <c r="AB964" s="118"/>
      <c r="AC964" s="118"/>
      <c r="AD964" s="111"/>
      <c r="AE964" s="73"/>
      <c r="AF964" s="73"/>
    </row>
    <row r="965" ht="22.5" customHeight="1">
      <c r="A965" s="73"/>
      <c r="B965" s="73"/>
      <c r="C965" s="73"/>
      <c r="D965" s="73"/>
      <c r="E965" s="330"/>
      <c r="F965" s="118"/>
      <c r="G965" s="118"/>
      <c r="H965" s="118"/>
      <c r="I965" s="118"/>
      <c r="J965" s="119"/>
      <c r="K965" s="120"/>
      <c r="L965" s="120"/>
      <c r="M965" s="120"/>
      <c r="N965" s="120"/>
      <c r="O965" s="118"/>
      <c r="P965" s="120"/>
      <c r="Q965" s="121"/>
      <c r="R965" s="109" t="b">
        <v>0</v>
      </c>
      <c r="S965" s="143" t="str">
        <f t="shared" si="1"/>
        <v>Suspenso</v>
      </c>
      <c r="T965" s="118"/>
      <c r="U965" s="118"/>
      <c r="V965" s="118"/>
      <c r="W965" s="118"/>
      <c r="X965" s="118"/>
      <c r="Y965" s="118"/>
      <c r="Z965" s="118"/>
      <c r="AA965" s="118"/>
      <c r="AB965" s="118"/>
      <c r="AC965" s="118"/>
      <c r="AD965" s="111"/>
      <c r="AE965" s="73"/>
      <c r="AF965" s="73"/>
    </row>
    <row r="966" ht="22.5" customHeight="1">
      <c r="A966" s="73"/>
      <c r="B966" s="73"/>
      <c r="C966" s="73"/>
      <c r="D966" s="73"/>
      <c r="E966" s="330"/>
      <c r="F966" s="118"/>
      <c r="G966" s="118"/>
      <c r="H966" s="118"/>
      <c r="I966" s="118"/>
      <c r="J966" s="119"/>
      <c r="K966" s="120"/>
      <c r="L966" s="120"/>
      <c r="M966" s="120"/>
      <c r="N966" s="120"/>
      <c r="O966" s="118"/>
      <c r="P966" s="120"/>
      <c r="Q966" s="121"/>
      <c r="R966" s="109" t="b">
        <v>0</v>
      </c>
      <c r="S966" s="143" t="str">
        <f t="shared" si="1"/>
        <v>Suspenso</v>
      </c>
      <c r="T966" s="118"/>
      <c r="U966" s="118"/>
      <c r="V966" s="118"/>
      <c r="W966" s="118"/>
      <c r="X966" s="118"/>
      <c r="Y966" s="118"/>
      <c r="Z966" s="118"/>
      <c r="AA966" s="118"/>
      <c r="AB966" s="118"/>
      <c r="AC966" s="118"/>
      <c r="AD966" s="111"/>
      <c r="AE966" s="73"/>
      <c r="AF966" s="73"/>
    </row>
    <row r="967" ht="22.5" customHeight="1">
      <c r="A967" s="73"/>
      <c r="B967" s="73"/>
      <c r="C967" s="73"/>
      <c r="D967" s="73"/>
      <c r="E967" s="330"/>
      <c r="F967" s="118"/>
      <c r="G967" s="118"/>
      <c r="H967" s="118"/>
      <c r="I967" s="118"/>
      <c r="J967" s="119"/>
      <c r="K967" s="120"/>
      <c r="L967" s="120"/>
      <c r="M967" s="120"/>
      <c r="N967" s="120"/>
      <c r="O967" s="118"/>
      <c r="P967" s="120"/>
      <c r="Q967" s="121"/>
      <c r="R967" s="109" t="b">
        <v>0</v>
      </c>
      <c r="S967" s="143" t="str">
        <f t="shared" si="1"/>
        <v>Suspenso</v>
      </c>
      <c r="T967" s="118"/>
      <c r="U967" s="118"/>
      <c r="V967" s="118"/>
      <c r="W967" s="118"/>
      <c r="X967" s="118"/>
      <c r="Y967" s="118"/>
      <c r="Z967" s="118"/>
      <c r="AA967" s="118"/>
      <c r="AB967" s="118"/>
      <c r="AC967" s="118"/>
      <c r="AD967" s="111"/>
      <c r="AE967" s="73"/>
      <c r="AF967" s="73"/>
    </row>
    <row r="968" ht="22.5" customHeight="1">
      <c r="A968" s="73"/>
      <c r="B968" s="73"/>
      <c r="C968" s="73"/>
      <c r="D968" s="73"/>
      <c r="E968" s="330"/>
      <c r="F968" s="118"/>
      <c r="G968" s="118"/>
      <c r="H968" s="118"/>
      <c r="I968" s="118"/>
      <c r="J968" s="119"/>
      <c r="K968" s="120"/>
      <c r="L968" s="120"/>
      <c r="M968" s="120"/>
      <c r="N968" s="120"/>
      <c r="O968" s="118"/>
      <c r="P968" s="120"/>
      <c r="Q968" s="121"/>
      <c r="R968" s="109" t="b">
        <v>0</v>
      </c>
      <c r="S968" s="143" t="str">
        <f t="shared" si="1"/>
        <v>Suspenso</v>
      </c>
      <c r="T968" s="118"/>
      <c r="U968" s="118"/>
      <c r="V968" s="118"/>
      <c r="W968" s="118"/>
      <c r="X968" s="118"/>
      <c r="Y968" s="118"/>
      <c r="Z968" s="118"/>
      <c r="AA968" s="118"/>
      <c r="AB968" s="118"/>
      <c r="AC968" s="118"/>
      <c r="AD968" s="111"/>
      <c r="AE968" s="73"/>
      <c r="AF968" s="73"/>
    </row>
    <row r="969" ht="22.5" customHeight="1">
      <c r="A969" s="73"/>
      <c r="B969" s="73"/>
      <c r="C969" s="73"/>
      <c r="D969" s="73"/>
      <c r="E969" s="330"/>
      <c r="F969" s="118"/>
      <c r="G969" s="118"/>
      <c r="H969" s="118"/>
      <c r="I969" s="118"/>
      <c r="J969" s="119"/>
      <c r="K969" s="120"/>
      <c r="L969" s="120"/>
      <c r="M969" s="120"/>
      <c r="N969" s="120"/>
      <c r="O969" s="118"/>
      <c r="P969" s="120"/>
      <c r="Q969" s="121"/>
      <c r="R969" s="109" t="b">
        <v>0</v>
      </c>
      <c r="S969" s="143" t="str">
        <f t="shared" si="1"/>
        <v>Suspenso</v>
      </c>
      <c r="T969" s="118"/>
      <c r="U969" s="118"/>
      <c r="V969" s="118"/>
      <c r="W969" s="118"/>
      <c r="X969" s="118"/>
      <c r="Y969" s="118"/>
      <c r="Z969" s="118"/>
      <c r="AA969" s="118"/>
      <c r="AB969" s="118"/>
      <c r="AC969" s="118"/>
      <c r="AD969" s="111"/>
      <c r="AE969" s="73"/>
      <c r="AF969" s="73"/>
    </row>
    <row r="970" ht="22.5" customHeight="1">
      <c r="A970" s="73"/>
      <c r="B970" s="73"/>
      <c r="C970" s="73"/>
      <c r="D970" s="73"/>
      <c r="E970" s="330"/>
      <c r="F970" s="118"/>
      <c r="G970" s="118"/>
      <c r="H970" s="118"/>
      <c r="I970" s="118"/>
      <c r="J970" s="119"/>
      <c r="K970" s="120"/>
      <c r="L970" s="120"/>
      <c r="M970" s="120"/>
      <c r="N970" s="120"/>
      <c r="O970" s="118"/>
      <c r="P970" s="120"/>
      <c r="Q970" s="121"/>
      <c r="R970" s="109" t="b">
        <v>0</v>
      </c>
      <c r="S970" s="143" t="str">
        <f t="shared" si="1"/>
        <v>Suspenso</v>
      </c>
      <c r="T970" s="118"/>
      <c r="U970" s="118"/>
      <c r="V970" s="118"/>
      <c r="W970" s="118"/>
      <c r="X970" s="118"/>
      <c r="Y970" s="118"/>
      <c r="Z970" s="118"/>
      <c r="AA970" s="118"/>
      <c r="AB970" s="118"/>
      <c r="AC970" s="118"/>
      <c r="AD970" s="111"/>
      <c r="AE970" s="73"/>
      <c r="AF970" s="73"/>
    </row>
    <row r="971" ht="22.5" customHeight="1">
      <c r="A971" s="73"/>
      <c r="B971" s="73"/>
      <c r="C971" s="73"/>
      <c r="D971" s="73"/>
      <c r="E971" s="330"/>
      <c r="F971" s="118"/>
      <c r="G971" s="118"/>
      <c r="H971" s="118"/>
      <c r="I971" s="118"/>
      <c r="J971" s="119"/>
      <c r="K971" s="120"/>
      <c r="L971" s="120"/>
      <c r="M971" s="120"/>
      <c r="N971" s="120"/>
      <c r="O971" s="118"/>
      <c r="P971" s="120"/>
      <c r="Q971" s="121"/>
      <c r="R971" s="109" t="b">
        <v>0</v>
      </c>
      <c r="S971" s="143" t="str">
        <f t="shared" si="1"/>
        <v>Suspenso</v>
      </c>
      <c r="T971" s="118"/>
      <c r="U971" s="118"/>
      <c r="V971" s="118"/>
      <c r="W971" s="118"/>
      <c r="X971" s="118"/>
      <c r="Y971" s="118"/>
      <c r="Z971" s="118"/>
      <c r="AA971" s="118"/>
      <c r="AB971" s="118"/>
      <c r="AC971" s="118"/>
      <c r="AD971" s="111"/>
      <c r="AE971" s="73"/>
      <c r="AF971" s="73"/>
    </row>
    <row r="972" ht="22.5" customHeight="1">
      <c r="A972" s="73"/>
      <c r="B972" s="73"/>
      <c r="C972" s="73"/>
      <c r="D972" s="73"/>
      <c r="E972" s="330"/>
      <c r="F972" s="118"/>
      <c r="G972" s="118"/>
      <c r="H972" s="118"/>
      <c r="I972" s="118"/>
      <c r="J972" s="119"/>
      <c r="K972" s="120"/>
      <c r="L972" s="120"/>
      <c r="M972" s="120"/>
      <c r="N972" s="120"/>
      <c r="O972" s="118"/>
      <c r="P972" s="120"/>
      <c r="Q972" s="121"/>
      <c r="R972" s="109" t="b">
        <v>0</v>
      </c>
      <c r="S972" s="143" t="str">
        <f t="shared" si="1"/>
        <v>Suspenso</v>
      </c>
      <c r="T972" s="118"/>
      <c r="U972" s="118"/>
      <c r="V972" s="118"/>
      <c r="W972" s="118"/>
      <c r="X972" s="118"/>
      <c r="Y972" s="118"/>
      <c r="Z972" s="118"/>
      <c r="AA972" s="118"/>
      <c r="AB972" s="118"/>
      <c r="AC972" s="118"/>
      <c r="AD972" s="111"/>
      <c r="AE972" s="73"/>
      <c r="AF972" s="73"/>
    </row>
    <row r="973" ht="22.5" customHeight="1">
      <c r="A973" s="73"/>
      <c r="B973" s="73"/>
      <c r="C973" s="73"/>
      <c r="D973" s="73"/>
      <c r="E973" s="330"/>
      <c r="F973" s="118"/>
      <c r="G973" s="118"/>
      <c r="H973" s="118"/>
      <c r="I973" s="118"/>
      <c r="J973" s="119"/>
      <c r="K973" s="120"/>
      <c r="L973" s="120"/>
      <c r="M973" s="120"/>
      <c r="N973" s="120"/>
      <c r="O973" s="118"/>
      <c r="P973" s="120"/>
      <c r="Q973" s="121"/>
      <c r="R973" s="109" t="b">
        <v>0</v>
      </c>
      <c r="S973" s="143" t="str">
        <f t="shared" si="1"/>
        <v>Suspenso</v>
      </c>
      <c r="T973" s="118"/>
      <c r="U973" s="118"/>
      <c r="V973" s="118"/>
      <c r="W973" s="118"/>
      <c r="X973" s="118"/>
      <c r="Y973" s="118"/>
      <c r="Z973" s="118"/>
      <c r="AA973" s="118"/>
      <c r="AB973" s="118"/>
      <c r="AC973" s="118"/>
      <c r="AD973" s="111"/>
      <c r="AE973" s="73"/>
      <c r="AF973" s="73"/>
    </row>
    <row r="974" ht="22.5" customHeight="1">
      <c r="A974" s="73"/>
      <c r="B974" s="73"/>
      <c r="C974" s="73"/>
      <c r="D974" s="73"/>
      <c r="E974" s="330"/>
      <c r="F974" s="118"/>
      <c r="G974" s="118"/>
      <c r="H974" s="118"/>
      <c r="I974" s="118"/>
      <c r="J974" s="119"/>
      <c r="K974" s="120"/>
      <c r="L974" s="120"/>
      <c r="M974" s="120"/>
      <c r="N974" s="120"/>
      <c r="O974" s="118"/>
      <c r="P974" s="120"/>
      <c r="Q974" s="121"/>
      <c r="R974" s="109" t="b">
        <v>0</v>
      </c>
      <c r="S974" s="143" t="str">
        <f t="shared" si="1"/>
        <v>Suspenso</v>
      </c>
      <c r="T974" s="118"/>
      <c r="U974" s="118"/>
      <c r="V974" s="118"/>
      <c r="W974" s="118"/>
      <c r="X974" s="118"/>
      <c r="Y974" s="118"/>
      <c r="Z974" s="118"/>
      <c r="AA974" s="118"/>
      <c r="AB974" s="118"/>
      <c r="AC974" s="118"/>
      <c r="AD974" s="111"/>
      <c r="AE974" s="73"/>
      <c r="AF974" s="73"/>
    </row>
    <row r="975" ht="22.5" customHeight="1">
      <c r="A975" s="73"/>
      <c r="B975" s="73"/>
      <c r="C975" s="73"/>
      <c r="D975" s="73"/>
      <c r="E975" s="330"/>
      <c r="F975" s="118"/>
      <c r="G975" s="118"/>
      <c r="H975" s="118"/>
      <c r="I975" s="118"/>
      <c r="J975" s="119"/>
      <c r="K975" s="120"/>
      <c r="L975" s="120"/>
      <c r="M975" s="120"/>
      <c r="N975" s="120"/>
      <c r="O975" s="118"/>
      <c r="P975" s="120"/>
      <c r="Q975" s="121"/>
      <c r="R975" s="109" t="b">
        <v>0</v>
      </c>
      <c r="S975" s="143" t="str">
        <f t="shared" si="1"/>
        <v>Suspenso</v>
      </c>
      <c r="T975" s="118"/>
      <c r="U975" s="118"/>
      <c r="V975" s="118"/>
      <c r="W975" s="118"/>
      <c r="X975" s="118"/>
      <c r="Y975" s="118"/>
      <c r="Z975" s="118"/>
      <c r="AA975" s="118"/>
      <c r="AB975" s="118"/>
      <c r="AC975" s="118"/>
      <c r="AD975" s="111"/>
      <c r="AE975" s="73"/>
      <c r="AF975" s="73"/>
    </row>
    <row r="976" ht="22.5" customHeight="1">
      <c r="A976" s="73"/>
      <c r="B976" s="73"/>
      <c r="C976" s="73"/>
      <c r="D976" s="73"/>
      <c r="E976" s="330"/>
      <c r="F976" s="118"/>
      <c r="G976" s="118"/>
      <c r="H976" s="118"/>
      <c r="I976" s="118"/>
      <c r="J976" s="119"/>
      <c r="K976" s="120"/>
      <c r="L976" s="120"/>
      <c r="M976" s="120"/>
      <c r="N976" s="120"/>
      <c r="O976" s="118"/>
      <c r="P976" s="120"/>
      <c r="Q976" s="121"/>
      <c r="R976" s="109" t="b">
        <v>0</v>
      </c>
      <c r="S976" s="143" t="str">
        <f t="shared" si="1"/>
        <v>Suspenso</v>
      </c>
      <c r="T976" s="118"/>
      <c r="U976" s="118"/>
      <c r="V976" s="118"/>
      <c r="W976" s="118"/>
      <c r="X976" s="118"/>
      <c r="Y976" s="118"/>
      <c r="Z976" s="118"/>
      <c r="AA976" s="118"/>
      <c r="AB976" s="118"/>
      <c r="AC976" s="118"/>
      <c r="AD976" s="111"/>
      <c r="AE976" s="73"/>
      <c r="AF976" s="73"/>
    </row>
    <row r="977" ht="22.5" customHeight="1">
      <c r="A977" s="73"/>
      <c r="B977" s="73"/>
      <c r="C977" s="73"/>
      <c r="D977" s="73"/>
      <c r="E977" s="330"/>
      <c r="F977" s="118"/>
      <c r="G977" s="118"/>
      <c r="H977" s="118"/>
      <c r="I977" s="118"/>
      <c r="J977" s="119"/>
      <c r="K977" s="120"/>
      <c r="L977" s="120"/>
      <c r="M977" s="120"/>
      <c r="N977" s="120"/>
      <c r="O977" s="118"/>
      <c r="P977" s="120"/>
      <c r="Q977" s="121"/>
      <c r="R977" s="109" t="b">
        <v>0</v>
      </c>
      <c r="S977" s="143" t="str">
        <f t="shared" si="1"/>
        <v>Suspenso</v>
      </c>
      <c r="T977" s="118"/>
      <c r="U977" s="118"/>
      <c r="V977" s="118"/>
      <c r="W977" s="118"/>
      <c r="X977" s="118"/>
      <c r="Y977" s="118"/>
      <c r="Z977" s="118"/>
      <c r="AA977" s="118"/>
      <c r="AB977" s="118"/>
      <c r="AC977" s="118"/>
      <c r="AD977" s="111"/>
      <c r="AE977" s="73"/>
      <c r="AF977" s="73"/>
    </row>
    <row r="978" ht="22.5" customHeight="1">
      <c r="A978" s="73"/>
      <c r="B978" s="73"/>
      <c r="C978" s="73"/>
      <c r="D978" s="73"/>
      <c r="E978" s="330"/>
      <c r="F978" s="118"/>
      <c r="G978" s="118"/>
      <c r="H978" s="118"/>
      <c r="I978" s="118"/>
      <c r="J978" s="119"/>
      <c r="K978" s="120"/>
      <c r="L978" s="120"/>
      <c r="M978" s="120"/>
      <c r="N978" s="120"/>
      <c r="O978" s="118"/>
      <c r="P978" s="120"/>
      <c r="Q978" s="121"/>
      <c r="R978" s="109" t="b">
        <v>0</v>
      </c>
      <c r="S978" s="143" t="str">
        <f t="shared" si="1"/>
        <v>Suspenso</v>
      </c>
      <c r="T978" s="118"/>
      <c r="U978" s="118"/>
      <c r="V978" s="118"/>
      <c r="W978" s="118"/>
      <c r="X978" s="118"/>
      <c r="Y978" s="118"/>
      <c r="Z978" s="118"/>
      <c r="AA978" s="118"/>
      <c r="AB978" s="118"/>
      <c r="AC978" s="118"/>
      <c r="AD978" s="111"/>
      <c r="AE978" s="73"/>
      <c r="AF978" s="73"/>
    </row>
    <row r="979" ht="22.5" customHeight="1">
      <c r="A979" s="73"/>
      <c r="B979" s="73"/>
      <c r="C979" s="73"/>
      <c r="D979" s="73"/>
      <c r="E979" s="330"/>
      <c r="F979" s="118"/>
      <c r="G979" s="118"/>
      <c r="H979" s="118"/>
      <c r="I979" s="118"/>
      <c r="J979" s="119"/>
      <c r="K979" s="120"/>
      <c r="L979" s="120"/>
      <c r="M979" s="120"/>
      <c r="N979" s="120"/>
      <c r="O979" s="118"/>
      <c r="P979" s="120"/>
      <c r="Q979" s="121"/>
      <c r="R979" s="109" t="b">
        <v>0</v>
      </c>
      <c r="S979" s="143" t="str">
        <f t="shared" si="1"/>
        <v>Suspenso</v>
      </c>
      <c r="T979" s="118"/>
      <c r="U979" s="118"/>
      <c r="V979" s="118"/>
      <c r="W979" s="118"/>
      <c r="X979" s="118"/>
      <c r="Y979" s="118"/>
      <c r="Z979" s="118"/>
      <c r="AA979" s="118"/>
      <c r="AB979" s="118"/>
      <c r="AC979" s="118"/>
      <c r="AD979" s="111"/>
      <c r="AE979" s="73"/>
      <c r="AF979" s="73"/>
    </row>
    <row r="980" ht="22.5" customHeight="1">
      <c r="A980" s="73"/>
      <c r="B980" s="73"/>
      <c r="C980" s="73"/>
      <c r="D980" s="73"/>
      <c r="E980" s="330"/>
      <c r="F980" s="118"/>
      <c r="G980" s="118"/>
      <c r="H980" s="118"/>
      <c r="I980" s="118"/>
      <c r="J980" s="119"/>
      <c r="K980" s="120"/>
      <c r="L980" s="120"/>
      <c r="M980" s="120"/>
      <c r="N980" s="120"/>
      <c r="O980" s="118"/>
      <c r="P980" s="120"/>
      <c r="Q980" s="121"/>
      <c r="R980" s="109" t="b">
        <v>0</v>
      </c>
      <c r="S980" s="143" t="str">
        <f t="shared" si="1"/>
        <v>Suspenso</v>
      </c>
      <c r="T980" s="118"/>
      <c r="U980" s="118"/>
      <c r="V980" s="118"/>
      <c r="W980" s="118"/>
      <c r="X980" s="118"/>
      <c r="Y980" s="118"/>
      <c r="Z980" s="118"/>
      <c r="AA980" s="118"/>
      <c r="AB980" s="118"/>
      <c r="AC980" s="118"/>
      <c r="AD980" s="111"/>
      <c r="AE980" s="73"/>
      <c r="AF980" s="73"/>
    </row>
    <row r="981" ht="22.5" customHeight="1">
      <c r="A981" s="73"/>
      <c r="B981" s="73"/>
      <c r="C981" s="73"/>
      <c r="D981" s="73"/>
      <c r="E981" s="330"/>
      <c r="F981" s="118"/>
      <c r="G981" s="118"/>
      <c r="H981" s="118"/>
      <c r="I981" s="118"/>
      <c r="J981" s="119"/>
      <c r="K981" s="120"/>
      <c r="L981" s="120"/>
      <c r="M981" s="120"/>
      <c r="N981" s="120"/>
      <c r="O981" s="118"/>
      <c r="P981" s="120"/>
      <c r="Q981" s="121"/>
      <c r="R981" s="109" t="b">
        <v>0</v>
      </c>
      <c r="S981" s="143" t="str">
        <f t="shared" si="1"/>
        <v>Suspenso</v>
      </c>
      <c r="T981" s="118"/>
      <c r="U981" s="118"/>
      <c r="V981" s="118"/>
      <c r="W981" s="118"/>
      <c r="X981" s="118"/>
      <c r="Y981" s="118"/>
      <c r="Z981" s="118"/>
      <c r="AA981" s="118"/>
      <c r="AB981" s="118"/>
      <c r="AC981" s="118"/>
      <c r="AD981" s="111"/>
      <c r="AE981" s="73"/>
      <c r="AF981" s="73"/>
    </row>
    <row r="982" ht="22.5" customHeight="1">
      <c r="A982" s="73"/>
      <c r="B982" s="73"/>
      <c r="C982" s="73"/>
      <c r="D982" s="73"/>
      <c r="E982" s="330"/>
      <c r="F982" s="118"/>
      <c r="G982" s="118"/>
      <c r="H982" s="118"/>
      <c r="I982" s="118"/>
      <c r="J982" s="119"/>
      <c r="K982" s="120"/>
      <c r="L982" s="120"/>
      <c r="M982" s="120"/>
      <c r="N982" s="120"/>
      <c r="O982" s="118"/>
      <c r="P982" s="120"/>
      <c r="Q982" s="121"/>
      <c r="R982" s="109" t="b">
        <v>0</v>
      </c>
      <c r="S982" s="143" t="str">
        <f t="shared" si="1"/>
        <v>Suspenso</v>
      </c>
      <c r="T982" s="118"/>
      <c r="U982" s="118"/>
      <c r="V982" s="118"/>
      <c r="W982" s="118"/>
      <c r="X982" s="118"/>
      <c r="Y982" s="118"/>
      <c r="Z982" s="118"/>
      <c r="AA982" s="118"/>
      <c r="AB982" s="118"/>
      <c r="AC982" s="118"/>
      <c r="AD982" s="111"/>
      <c r="AE982" s="73"/>
      <c r="AF982" s="73"/>
    </row>
    <row r="983" ht="22.5" customHeight="1">
      <c r="A983" s="73"/>
      <c r="B983" s="73"/>
      <c r="C983" s="73"/>
      <c r="D983" s="73"/>
      <c r="E983" s="330"/>
      <c r="F983" s="118"/>
      <c r="G983" s="118"/>
      <c r="H983" s="118"/>
      <c r="I983" s="118"/>
      <c r="J983" s="119"/>
      <c r="K983" s="120"/>
      <c r="L983" s="120"/>
      <c r="M983" s="120"/>
      <c r="N983" s="120"/>
      <c r="O983" s="118"/>
      <c r="P983" s="120"/>
      <c r="Q983" s="121"/>
      <c r="R983" s="109" t="b">
        <v>0</v>
      </c>
      <c r="S983" s="143" t="str">
        <f t="shared" si="1"/>
        <v>Suspenso</v>
      </c>
      <c r="T983" s="118"/>
      <c r="U983" s="118"/>
      <c r="V983" s="118"/>
      <c r="W983" s="118"/>
      <c r="X983" s="118"/>
      <c r="Y983" s="118"/>
      <c r="Z983" s="118"/>
      <c r="AA983" s="118"/>
      <c r="AB983" s="118"/>
      <c r="AC983" s="118"/>
      <c r="AD983" s="111"/>
      <c r="AE983" s="73"/>
      <c r="AF983" s="73"/>
    </row>
    <row r="984" ht="22.5" customHeight="1">
      <c r="A984" s="73"/>
      <c r="B984" s="73"/>
      <c r="C984" s="73"/>
      <c r="D984" s="73"/>
      <c r="E984" s="330"/>
      <c r="F984" s="118"/>
      <c r="G984" s="118"/>
      <c r="H984" s="118"/>
      <c r="I984" s="118"/>
      <c r="J984" s="119"/>
      <c r="K984" s="120"/>
      <c r="L984" s="120"/>
      <c r="M984" s="120"/>
      <c r="N984" s="120"/>
      <c r="O984" s="118"/>
      <c r="P984" s="120"/>
      <c r="Q984" s="121"/>
      <c r="R984" s="109" t="b">
        <v>0</v>
      </c>
      <c r="S984" s="143" t="str">
        <f t="shared" si="1"/>
        <v>Suspenso</v>
      </c>
      <c r="T984" s="118"/>
      <c r="U984" s="118"/>
      <c r="V984" s="118"/>
      <c r="W984" s="118"/>
      <c r="X984" s="118"/>
      <c r="Y984" s="118"/>
      <c r="Z984" s="118"/>
      <c r="AA984" s="118"/>
      <c r="AB984" s="118"/>
      <c r="AC984" s="118"/>
      <c r="AD984" s="111"/>
      <c r="AE984" s="73"/>
      <c r="AF984" s="73"/>
    </row>
    <row r="985" ht="22.5" customHeight="1">
      <c r="A985" s="73"/>
      <c r="B985" s="73"/>
      <c r="C985" s="73"/>
      <c r="D985" s="73"/>
      <c r="E985" s="330"/>
      <c r="F985" s="118"/>
      <c r="G985" s="118"/>
      <c r="H985" s="118"/>
      <c r="I985" s="118"/>
      <c r="J985" s="119"/>
      <c r="K985" s="120"/>
      <c r="L985" s="120"/>
      <c r="M985" s="120"/>
      <c r="N985" s="120"/>
      <c r="O985" s="118"/>
      <c r="P985" s="120"/>
      <c r="Q985" s="121"/>
      <c r="R985" s="109" t="b">
        <v>0</v>
      </c>
      <c r="S985" s="143" t="str">
        <f t="shared" si="1"/>
        <v>Suspenso</v>
      </c>
      <c r="T985" s="118"/>
      <c r="U985" s="118"/>
      <c r="V985" s="118"/>
      <c r="W985" s="118"/>
      <c r="X985" s="118"/>
      <c r="Y985" s="118"/>
      <c r="Z985" s="118"/>
      <c r="AA985" s="118"/>
      <c r="AB985" s="118"/>
      <c r="AC985" s="118"/>
      <c r="AD985" s="111"/>
      <c r="AE985" s="73"/>
      <c r="AF985" s="73"/>
    </row>
    <row r="986" ht="22.5" customHeight="1">
      <c r="A986" s="73"/>
      <c r="B986" s="73"/>
      <c r="C986" s="73"/>
      <c r="D986" s="73"/>
      <c r="E986" s="330"/>
      <c r="F986" s="118"/>
      <c r="G986" s="118"/>
      <c r="H986" s="118"/>
      <c r="I986" s="118"/>
      <c r="J986" s="119"/>
      <c r="K986" s="120"/>
      <c r="L986" s="120"/>
      <c r="M986" s="120"/>
      <c r="N986" s="120"/>
      <c r="O986" s="118"/>
      <c r="P986" s="120"/>
      <c r="Q986" s="121"/>
      <c r="R986" s="109" t="b">
        <v>0</v>
      </c>
      <c r="S986" s="143" t="str">
        <f t="shared" si="1"/>
        <v>Suspenso</v>
      </c>
      <c r="T986" s="118"/>
      <c r="U986" s="118"/>
      <c r="V986" s="118"/>
      <c r="W986" s="118"/>
      <c r="X986" s="118"/>
      <c r="Y986" s="118"/>
      <c r="Z986" s="118"/>
      <c r="AA986" s="118"/>
      <c r="AB986" s="118"/>
      <c r="AC986" s="118"/>
      <c r="AD986" s="111"/>
      <c r="AE986" s="73"/>
      <c r="AF986" s="73"/>
    </row>
    <row r="987" ht="22.5" customHeight="1">
      <c r="A987" s="73"/>
      <c r="B987" s="73"/>
      <c r="C987" s="73"/>
      <c r="D987" s="73"/>
      <c r="E987" s="330"/>
      <c r="F987" s="118"/>
      <c r="G987" s="118"/>
      <c r="H987" s="118"/>
      <c r="I987" s="118"/>
      <c r="J987" s="119"/>
      <c r="K987" s="120"/>
      <c r="L987" s="120"/>
      <c r="M987" s="120"/>
      <c r="N987" s="120"/>
      <c r="O987" s="118"/>
      <c r="P987" s="120"/>
      <c r="Q987" s="121"/>
      <c r="R987" s="109" t="b">
        <v>0</v>
      </c>
      <c r="S987" s="143" t="str">
        <f t="shared" si="1"/>
        <v>Suspenso</v>
      </c>
      <c r="T987" s="118"/>
      <c r="U987" s="118"/>
      <c r="V987" s="118"/>
      <c r="W987" s="118"/>
      <c r="X987" s="118"/>
      <c r="Y987" s="118"/>
      <c r="Z987" s="118"/>
      <c r="AA987" s="118"/>
      <c r="AB987" s="118"/>
      <c r="AC987" s="118"/>
      <c r="AD987" s="111"/>
      <c r="AE987" s="73"/>
      <c r="AF987" s="73"/>
    </row>
    <row r="988" ht="22.5" customHeight="1">
      <c r="A988" s="73"/>
      <c r="B988" s="73"/>
      <c r="C988" s="73"/>
      <c r="D988" s="73"/>
      <c r="E988" s="330"/>
      <c r="F988" s="118"/>
      <c r="G988" s="118"/>
      <c r="H988" s="118"/>
      <c r="I988" s="118"/>
      <c r="J988" s="119"/>
      <c r="K988" s="120"/>
      <c r="L988" s="120"/>
      <c r="M988" s="120"/>
      <c r="N988" s="120"/>
      <c r="O988" s="118"/>
      <c r="P988" s="120"/>
      <c r="Q988" s="121"/>
      <c r="R988" s="109" t="b">
        <v>0</v>
      </c>
      <c r="S988" s="143" t="str">
        <f t="shared" si="1"/>
        <v>Suspenso</v>
      </c>
      <c r="T988" s="118"/>
      <c r="U988" s="118"/>
      <c r="V988" s="118"/>
      <c r="W988" s="118"/>
      <c r="X988" s="118"/>
      <c r="Y988" s="118"/>
      <c r="Z988" s="118"/>
      <c r="AA988" s="118"/>
      <c r="AB988" s="118"/>
      <c r="AC988" s="118"/>
      <c r="AD988" s="111"/>
      <c r="AE988" s="73"/>
      <c r="AF988" s="73"/>
    </row>
    <row r="989" ht="22.5" customHeight="1">
      <c r="A989" s="73"/>
      <c r="B989" s="73"/>
      <c r="C989" s="73"/>
      <c r="D989" s="73"/>
      <c r="E989" s="330"/>
      <c r="F989" s="118"/>
      <c r="G989" s="118"/>
      <c r="H989" s="118"/>
      <c r="I989" s="118"/>
      <c r="J989" s="119"/>
      <c r="K989" s="120"/>
      <c r="L989" s="120"/>
      <c r="M989" s="120"/>
      <c r="N989" s="120"/>
      <c r="O989" s="118"/>
      <c r="P989" s="120"/>
      <c r="Q989" s="121"/>
      <c r="R989" s="109" t="b">
        <v>0</v>
      </c>
      <c r="S989" s="143" t="str">
        <f t="shared" si="1"/>
        <v>Suspenso</v>
      </c>
      <c r="T989" s="118"/>
      <c r="U989" s="118"/>
      <c r="V989" s="118"/>
      <c r="W989" s="118"/>
      <c r="X989" s="118"/>
      <c r="Y989" s="118"/>
      <c r="Z989" s="118"/>
      <c r="AA989" s="118"/>
      <c r="AB989" s="118"/>
      <c r="AC989" s="118"/>
      <c r="AD989" s="111"/>
      <c r="AE989" s="73"/>
      <c r="AF989" s="73"/>
    </row>
    <row r="990" ht="22.5" customHeight="1">
      <c r="A990" s="73"/>
      <c r="B990" s="73"/>
      <c r="C990" s="73"/>
      <c r="D990" s="73"/>
      <c r="E990" s="330"/>
      <c r="F990" s="118"/>
      <c r="G990" s="118"/>
      <c r="H990" s="118"/>
      <c r="I990" s="118"/>
      <c r="J990" s="119"/>
      <c r="K990" s="120"/>
      <c r="L990" s="120"/>
      <c r="M990" s="120"/>
      <c r="N990" s="120"/>
      <c r="O990" s="118"/>
      <c r="P990" s="120"/>
      <c r="Q990" s="121"/>
      <c r="R990" s="109" t="b">
        <v>0</v>
      </c>
      <c r="S990" s="143" t="str">
        <f t="shared" si="1"/>
        <v>Suspenso</v>
      </c>
      <c r="T990" s="118"/>
      <c r="U990" s="118"/>
      <c r="V990" s="118"/>
      <c r="W990" s="118"/>
      <c r="X990" s="118"/>
      <c r="Y990" s="118"/>
      <c r="Z990" s="118"/>
      <c r="AA990" s="118"/>
      <c r="AB990" s="118"/>
      <c r="AC990" s="118"/>
      <c r="AD990" s="111"/>
      <c r="AE990" s="73"/>
      <c r="AF990" s="73"/>
    </row>
    <row r="991" ht="22.5" customHeight="1">
      <c r="A991" s="73"/>
      <c r="B991" s="73"/>
      <c r="C991" s="73"/>
      <c r="D991" s="73"/>
      <c r="E991" s="330"/>
      <c r="F991" s="118"/>
      <c r="G991" s="118"/>
      <c r="H991" s="118"/>
      <c r="I991" s="118"/>
      <c r="J991" s="119"/>
      <c r="K991" s="120"/>
      <c r="L991" s="120"/>
      <c r="M991" s="120"/>
      <c r="N991" s="120"/>
      <c r="O991" s="118"/>
      <c r="P991" s="120"/>
      <c r="Q991" s="121"/>
      <c r="R991" s="109" t="b">
        <v>0</v>
      </c>
      <c r="S991" s="143" t="str">
        <f t="shared" si="1"/>
        <v>Suspenso</v>
      </c>
      <c r="T991" s="118"/>
      <c r="U991" s="118"/>
      <c r="V991" s="118"/>
      <c r="W991" s="118"/>
      <c r="X991" s="118"/>
      <c r="Y991" s="118"/>
      <c r="Z991" s="118"/>
      <c r="AA991" s="118"/>
      <c r="AB991" s="118"/>
      <c r="AC991" s="118"/>
      <c r="AD991" s="111"/>
      <c r="AE991" s="73"/>
      <c r="AF991" s="73"/>
    </row>
    <row r="992" ht="22.5" customHeight="1">
      <c r="A992" s="73"/>
      <c r="B992" s="73"/>
      <c r="C992" s="73"/>
      <c r="D992" s="73"/>
      <c r="E992" s="330"/>
      <c r="F992" s="118"/>
      <c r="G992" s="118"/>
      <c r="H992" s="118"/>
      <c r="I992" s="118"/>
      <c r="J992" s="119"/>
      <c r="K992" s="120"/>
      <c r="L992" s="120"/>
      <c r="M992" s="120"/>
      <c r="N992" s="120"/>
      <c r="O992" s="118"/>
      <c r="P992" s="120"/>
      <c r="Q992" s="121"/>
      <c r="R992" s="109" t="b">
        <v>0</v>
      </c>
      <c r="S992" s="143" t="str">
        <f t="shared" si="1"/>
        <v>Suspenso</v>
      </c>
      <c r="T992" s="118"/>
      <c r="U992" s="118"/>
      <c r="V992" s="118"/>
      <c r="W992" s="118"/>
      <c r="X992" s="118"/>
      <c r="Y992" s="118"/>
      <c r="Z992" s="118"/>
      <c r="AA992" s="118"/>
      <c r="AB992" s="118"/>
      <c r="AC992" s="118"/>
      <c r="AD992" s="111"/>
      <c r="AE992" s="73"/>
      <c r="AF992" s="73"/>
    </row>
    <row r="993" ht="22.5" customHeight="1">
      <c r="A993" s="73"/>
      <c r="B993" s="73"/>
      <c r="C993" s="73"/>
      <c r="D993" s="73"/>
      <c r="E993" s="330"/>
      <c r="F993" s="118"/>
      <c r="G993" s="118"/>
      <c r="H993" s="118"/>
      <c r="I993" s="118"/>
      <c r="J993" s="119"/>
      <c r="K993" s="120"/>
      <c r="L993" s="120"/>
      <c r="M993" s="120"/>
      <c r="N993" s="120"/>
      <c r="O993" s="118"/>
      <c r="P993" s="120"/>
      <c r="Q993" s="121"/>
      <c r="R993" s="109" t="b">
        <v>0</v>
      </c>
      <c r="S993" s="143" t="str">
        <f t="shared" si="1"/>
        <v>Suspenso</v>
      </c>
      <c r="T993" s="118"/>
      <c r="U993" s="118"/>
      <c r="V993" s="118"/>
      <c r="W993" s="118"/>
      <c r="X993" s="118"/>
      <c r="Y993" s="118"/>
      <c r="Z993" s="118"/>
      <c r="AA993" s="118"/>
      <c r="AB993" s="118"/>
      <c r="AC993" s="118"/>
      <c r="AD993" s="111"/>
      <c r="AE993" s="73"/>
      <c r="AF993" s="73"/>
    </row>
    <row r="994" ht="22.5" customHeight="1">
      <c r="A994" s="73"/>
      <c r="B994" s="73"/>
      <c r="C994" s="73"/>
      <c r="D994" s="73"/>
      <c r="E994" s="330"/>
      <c r="F994" s="118"/>
      <c r="G994" s="118"/>
      <c r="H994" s="118"/>
      <c r="I994" s="118"/>
      <c r="J994" s="119"/>
      <c r="K994" s="120"/>
      <c r="L994" s="120"/>
      <c r="M994" s="120"/>
      <c r="N994" s="120"/>
      <c r="O994" s="118"/>
      <c r="P994" s="120"/>
      <c r="Q994" s="121"/>
      <c r="R994" s="109" t="b">
        <v>0</v>
      </c>
      <c r="S994" s="143" t="str">
        <f t="shared" si="1"/>
        <v>Suspenso</v>
      </c>
      <c r="T994" s="118"/>
      <c r="U994" s="118"/>
      <c r="V994" s="118"/>
      <c r="W994" s="118"/>
      <c r="X994" s="118"/>
      <c r="Y994" s="118"/>
      <c r="Z994" s="118"/>
      <c r="AA994" s="118"/>
      <c r="AB994" s="118"/>
      <c r="AC994" s="118"/>
      <c r="AD994" s="111"/>
      <c r="AE994" s="73"/>
      <c r="AF994" s="73"/>
    </row>
    <row r="995" ht="22.5" customHeight="1">
      <c r="A995" s="73"/>
      <c r="B995" s="73"/>
      <c r="C995" s="73"/>
      <c r="D995" s="73"/>
      <c r="E995" s="330"/>
      <c r="F995" s="118"/>
      <c r="G995" s="118"/>
      <c r="H995" s="118"/>
      <c r="I995" s="118"/>
      <c r="J995" s="119"/>
      <c r="K995" s="120"/>
      <c r="L995" s="120"/>
      <c r="M995" s="120"/>
      <c r="N995" s="120"/>
      <c r="O995" s="118"/>
      <c r="P995" s="120"/>
      <c r="Q995" s="121"/>
      <c r="R995" s="109" t="b">
        <v>0</v>
      </c>
      <c r="S995" s="143" t="str">
        <f t="shared" si="1"/>
        <v>Suspenso</v>
      </c>
      <c r="T995" s="118"/>
      <c r="U995" s="118"/>
      <c r="V995" s="118"/>
      <c r="W995" s="118"/>
      <c r="X995" s="118"/>
      <c r="Y995" s="118"/>
      <c r="Z995" s="118"/>
      <c r="AA995" s="118"/>
      <c r="AB995" s="118"/>
      <c r="AC995" s="118"/>
      <c r="AD995" s="111"/>
      <c r="AE995" s="73"/>
      <c r="AF995" s="73"/>
    </row>
    <row r="996" ht="22.5" customHeight="1">
      <c r="A996" s="73"/>
      <c r="B996" s="73"/>
      <c r="C996" s="73"/>
      <c r="D996" s="73"/>
      <c r="E996" s="330"/>
      <c r="F996" s="118"/>
      <c r="G996" s="118"/>
      <c r="H996" s="118"/>
      <c r="I996" s="118"/>
      <c r="J996" s="119"/>
      <c r="K996" s="120"/>
      <c r="L996" s="120"/>
      <c r="M996" s="120"/>
      <c r="N996" s="120"/>
      <c r="O996" s="118"/>
      <c r="P996" s="120"/>
      <c r="Q996" s="121"/>
      <c r="R996" s="109" t="b">
        <v>0</v>
      </c>
      <c r="S996" s="143" t="str">
        <f t="shared" si="1"/>
        <v>Suspenso</v>
      </c>
      <c r="T996" s="118"/>
      <c r="U996" s="118"/>
      <c r="V996" s="118"/>
      <c r="W996" s="118"/>
      <c r="X996" s="118"/>
      <c r="Y996" s="118"/>
      <c r="Z996" s="118"/>
      <c r="AA996" s="118"/>
      <c r="AB996" s="118"/>
      <c r="AC996" s="118"/>
      <c r="AD996" s="111"/>
      <c r="AE996" s="73"/>
      <c r="AF996" s="73"/>
    </row>
    <row r="997" ht="22.5" customHeight="1">
      <c r="A997" s="73"/>
      <c r="B997" s="73"/>
      <c r="C997" s="73"/>
      <c r="D997" s="73"/>
      <c r="E997" s="330"/>
      <c r="F997" s="118"/>
      <c r="G997" s="118"/>
      <c r="H997" s="118"/>
      <c r="I997" s="118"/>
      <c r="J997" s="119"/>
      <c r="K997" s="120"/>
      <c r="L997" s="120"/>
      <c r="M997" s="120"/>
      <c r="N997" s="120"/>
      <c r="O997" s="118"/>
      <c r="P997" s="120"/>
      <c r="Q997" s="121"/>
      <c r="R997" s="109" t="b">
        <v>0</v>
      </c>
      <c r="S997" s="143" t="str">
        <f t="shared" si="1"/>
        <v>Suspenso</v>
      </c>
      <c r="T997" s="118"/>
      <c r="U997" s="118"/>
      <c r="V997" s="118"/>
      <c r="W997" s="118"/>
      <c r="X997" s="118"/>
      <c r="Y997" s="118"/>
      <c r="Z997" s="118"/>
      <c r="AA997" s="118"/>
      <c r="AB997" s="118"/>
      <c r="AC997" s="118"/>
      <c r="AD997" s="111"/>
      <c r="AE997" s="73"/>
      <c r="AF997" s="73"/>
    </row>
    <row r="998" ht="22.5" customHeight="1">
      <c r="A998" s="73"/>
      <c r="B998" s="73"/>
      <c r="C998" s="73"/>
      <c r="D998" s="73"/>
      <c r="E998" s="330"/>
      <c r="F998" s="118"/>
      <c r="G998" s="118"/>
      <c r="H998" s="118"/>
      <c r="I998" s="118"/>
      <c r="J998" s="119"/>
      <c r="K998" s="120"/>
      <c r="L998" s="120"/>
      <c r="M998" s="120"/>
      <c r="N998" s="120"/>
      <c r="O998" s="118"/>
      <c r="P998" s="120"/>
      <c r="Q998" s="121"/>
      <c r="R998" s="109" t="b">
        <v>0</v>
      </c>
      <c r="S998" s="143" t="str">
        <f t="shared" si="1"/>
        <v>Suspenso</v>
      </c>
      <c r="T998" s="118"/>
      <c r="U998" s="118"/>
      <c r="V998" s="118"/>
      <c r="W998" s="118"/>
      <c r="X998" s="118"/>
      <c r="Y998" s="118"/>
      <c r="Z998" s="118"/>
      <c r="AA998" s="118"/>
      <c r="AB998" s="118"/>
      <c r="AC998" s="118"/>
      <c r="AD998" s="111"/>
      <c r="AE998" s="73"/>
      <c r="AF998" s="73"/>
    </row>
    <row r="999" ht="22.5" customHeight="1">
      <c r="A999" s="73"/>
      <c r="B999" s="73"/>
      <c r="C999" s="73"/>
      <c r="D999" s="73"/>
      <c r="E999" s="330"/>
      <c r="F999" s="118"/>
      <c r="G999" s="118"/>
      <c r="H999" s="118"/>
      <c r="I999" s="118"/>
      <c r="J999" s="119"/>
      <c r="K999" s="120"/>
      <c r="L999" s="120"/>
      <c r="M999" s="120"/>
      <c r="N999" s="120"/>
      <c r="O999" s="118"/>
      <c r="P999" s="120"/>
      <c r="Q999" s="121"/>
      <c r="R999" s="109" t="b">
        <v>0</v>
      </c>
      <c r="S999" s="143" t="str">
        <f t="shared" si="1"/>
        <v>Suspenso</v>
      </c>
      <c r="T999" s="118"/>
      <c r="U999" s="118"/>
      <c r="V999" s="118"/>
      <c r="W999" s="118"/>
      <c r="X999" s="118"/>
      <c r="Y999" s="118"/>
      <c r="Z999" s="118"/>
      <c r="AA999" s="118"/>
      <c r="AB999" s="118"/>
      <c r="AC999" s="118"/>
      <c r="AD999" s="111"/>
      <c r="AE999" s="73"/>
      <c r="AF999" s="73"/>
    </row>
    <row r="1000" ht="22.5" customHeight="1">
      <c r="A1000" s="73"/>
      <c r="B1000" s="73"/>
      <c r="C1000" s="73"/>
      <c r="D1000" s="73"/>
      <c r="E1000" s="330"/>
      <c r="F1000" s="118"/>
      <c r="G1000" s="118"/>
      <c r="H1000" s="118"/>
      <c r="I1000" s="118"/>
      <c r="J1000" s="119"/>
      <c r="K1000" s="120"/>
      <c r="L1000" s="120"/>
      <c r="M1000" s="120"/>
      <c r="N1000" s="120"/>
      <c r="O1000" s="118"/>
      <c r="P1000" s="120"/>
      <c r="Q1000" s="121"/>
      <c r="R1000" s="109" t="b">
        <v>0</v>
      </c>
      <c r="S1000" s="143" t="str">
        <f t="shared" si="1"/>
        <v>Suspenso</v>
      </c>
      <c r="T1000" s="118"/>
      <c r="U1000" s="118"/>
      <c r="V1000" s="118"/>
      <c r="W1000" s="118"/>
      <c r="X1000" s="118"/>
      <c r="Y1000" s="118"/>
      <c r="Z1000" s="118"/>
      <c r="AA1000" s="118"/>
      <c r="AB1000" s="118"/>
      <c r="AC1000" s="118"/>
      <c r="AD1000" s="111"/>
      <c r="AE1000" s="73"/>
      <c r="AF1000" s="73"/>
    </row>
    <row r="1001" ht="22.5" customHeight="1">
      <c r="A1001" s="73"/>
      <c r="B1001" s="73"/>
      <c r="C1001" s="73"/>
      <c r="D1001" s="73"/>
      <c r="E1001" s="330"/>
      <c r="F1001" s="118"/>
      <c r="G1001" s="118"/>
      <c r="H1001" s="118"/>
      <c r="I1001" s="118"/>
      <c r="J1001" s="119"/>
      <c r="K1001" s="120"/>
      <c r="L1001" s="120"/>
      <c r="M1001" s="120"/>
      <c r="N1001" s="120"/>
      <c r="O1001" s="118"/>
      <c r="P1001" s="120"/>
      <c r="Q1001" s="121"/>
      <c r="R1001" s="109" t="b">
        <v>0</v>
      </c>
      <c r="S1001" s="143" t="str">
        <f t="shared" si="1"/>
        <v>Suspenso</v>
      </c>
      <c r="T1001" s="118"/>
      <c r="U1001" s="118"/>
      <c r="V1001" s="118"/>
      <c r="W1001" s="118"/>
      <c r="X1001" s="118"/>
      <c r="Y1001" s="118"/>
      <c r="Z1001" s="118"/>
      <c r="AA1001" s="118"/>
      <c r="AB1001" s="118"/>
      <c r="AC1001" s="118"/>
      <c r="AD1001" s="111"/>
      <c r="AE1001" s="73"/>
      <c r="AF1001" s="73"/>
    </row>
    <row r="1002" ht="22.5" customHeight="1">
      <c r="A1002" s="73"/>
      <c r="B1002" s="73"/>
      <c r="C1002" s="73"/>
      <c r="D1002" s="73"/>
      <c r="E1002" s="330"/>
      <c r="F1002" s="118"/>
      <c r="G1002" s="118"/>
      <c r="H1002" s="118"/>
      <c r="I1002" s="118"/>
      <c r="J1002" s="119"/>
      <c r="K1002" s="120"/>
      <c r="L1002" s="120"/>
      <c r="M1002" s="120"/>
      <c r="N1002" s="120"/>
      <c r="O1002" s="118"/>
      <c r="P1002" s="120"/>
      <c r="Q1002" s="121"/>
      <c r="R1002" s="109" t="b">
        <v>0</v>
      </c>
      <c r="S1002" s="143" t="str">
        <f t="shared" si="1"/>
        <v>Suspenso</v>
      </c>
      <c r="T1002" s="118"/>
      <c r="U1002" s="118"/>
      <c r="V1002" s="118"/>
      <c r="W1002" s="118"/>
      <c r="X1002" s="118"/>
      <c r="Y1002" s="118"/>
      <c r="Z1002" s="118"/>
      <c r="AA1002" s="118"/>
      <c r="AB1002" s="118"/>
      <c r="AC1002" s="118"/>
      <c r="AD1002" s="111"/>
      <c r="AE1002" s="73"/>
      <c r="AF1002" s="73"/>
    </row>
    <row r="1003" ht="22.5" customHeight="1">
      <c r="A1003" s="73"/>
      <c r="B1003" s="73"/>
      <c r="C1003" s="73"/>
      <c r="D1003" s="73"/>
      <c r="E1003" s="330"/>
      <c r="F1003" s="118"/>
      <c r="G1003" s="118"/>
      <c r="H1003" s="118"/>
      <c r="I1003" s="118"/>
      <c r="J1003" s="119"/>
      <c r="K1003" s="120"/>
      <c r="L1003" s="120"/>
      <c r="M1003" s="120"/>
      <c r="N1003" s="120"/>
      <c r="O1003" s="118"/>
      <c r="P1003" s="120"/>
      <c r="Q1003" s="121"/>
      <c r="R1003" s="109" t="b">
        <v>0</v>
      </c>
      <c r="S1003" s="143" t="str">
        <f t="shared" si="1"/>
        <v>Suspenso</v>
      </c>
      <c r="T1003" s="118"/>
      <c r="U1003" s="118"/>
      <c r="V1003" s="118"/>
      <c r="W1003" s="118"/>
      <c r="X1003" s="118"/>
      <c r="Y1003" s="118"/>
      <c r="Z1003" s="118"/>
      <c r="AA1003" s="118"/>
      <c r="AB1003" s="118"/>
      <c r="AC1003" s="118"/>
      <c r="AD1003" s="111"/>
      <c r="AE1003" s="73"/>
      <c r="AF1003" s="73"/>
    </row>
    <row r="1004" ht="22.5" customHeight="1">
      <c r="A1004" s="73"/>
      <c r="B1004" s="73"/>
      <c r="C1004" s="73"/>
      <c r="D1004" s="73"/>
      <c r="E1004" s="330"/>
      <c r="F1004" s="118"/>
      <c r="G1004" s="118"/>
      <c r="H1004" s="118"/>
      <c r="I1004" s="118"/>
      <c r="J1004" s="119"/>
      <c r="K1004" s="120"/>
      <c r="L1004" s="120"/>
      <c r="M1004" s="120"/>
      <c r="N1004" s="120"/>
      <c r="O1004" s="118"/>
      <c r="P1004" s="120"/>
      <c r="Q1004" s="121"/>
      <c r="R1004" s="109" t="b">
        <v>0</v>
      </c>
      <c r="S1004" s="143" t="str">
        <f t="shared" si="1"/>
        <v>Suspenso</v>
      </c>
      <c r="T1004" s="118"/>
      <c r="U1004" s="118"/>
      <c r="V1004" s="118"/>
      <c r="W1004" s="118"/>
      <c r="X1004" s="118"/>
      <c r="Y1004" s="118"/>
      <c r="Z1004" s="118"/>
      <c r="AA1004" s="118"/>
      <c r="AB1004" s="118"/>
      <c r="AC1004" s="118"/>
      <c r="AD1004" s="111"/>
      <c r="AE1004" s="73"/>
      <c r="AF1004" s="73"/>
    </row>
    <row r="1005" ht="22.5" customHeight="1">
      <c r="A1005" s="73"/>
      <c r="B1005" s="73"/>
      <c r="C1005" s="73"/>
      <c r="D1005" s="73"/>
      <c r="E1005" s="330"/>
      <c r="F1005" s="118"/>
      <c r="G1005" s="118"/>
      <c r="H1005" s="118"/>
      <c r="I1005" s="118"/>
      <c r="J1005" s="119"/>
      <c r="K1005" s="120"/>
      <c r="L1005" s="120"/>
      <c r="M1005" s="120"/>
      <c r="N1005" s="120"/>
      <c r="O1005" s="118"/>
      <c r="P1005" s="120"/>
      <c r="Q1005" s="121"/>
      <c r="R1005" s="109" t="b">
        <v>0</v>
      </c>
      <c r="S1005" s="143" t="str">
        <f t="shared" si="1"/>
        <v>Suspenso</v>
      </c>
      <c r="T1005" s="118"/>
      <c r="U1005" s="118"/>
      <c r="V1005" s="118"/>
      <c r="W1005" s="118"/>
      <c r="X1005" s="118"/>
      <c r="Y1005" s="118"/>
      <c r="Z1005" s="118"/>
      <c r="AA1005" s="118"/>
      <c r="AB1005" s="118"/>
      <c r="AC1005" s="118"/>
      <c r="AD1005" s="111"/>
      <c r="AE1005" s="73"/>
      <c r="AF1005" s="73"/>
    </row>
    <row r="1006" ht="22.5" customHeight="1">
      <c r="A1006" s="73"/>
      <c r="B1006" s="73"/>
      <c r="C1006" s="73"/>
      <c r="D1006" s="73"/>
      <c r="E1006" s="330"/>
      <c r="F1006" s="118"/>
      <c r="G1006" s="118"/>
      <c r="H1006" s="118"/>
      <c r="I1006" s="118"/>
      <c r="J1006" s="119"/>
      <c r="K1006" s="120"/>
      <c r="L1006" s="120"/>
      <c r="M1006" s="120"/>
      <c r="N1006" s="120"/>
      <c r="O1006" s="118"/>
      <c r="P1006" s="120"/>
      <c r="Q1006" s="121"/>
      <c r="R1006" s="109" t="b">
        <v>0</v>
      </c>
      <c r="S1006" s="143" t="str">
        <f t="shared" si="1"/>
        <v>Suspenso</v>
      </c>
      <c r="T1006" s="118"/>
      <c r="U1006" s="118"/>
      <c r="V1006" s="118"/>
      <c r="W1006" s="118"/>
      <c r="X1006" s="118"/>
      <c r="Y1006" s="118"/>
      <c r="Z1006" s="118"/>
      <c r="AA1006" s="118"/>
      <c r="AB1006" s="118"/>
      <c r="AC1006" s="118"/>
      <c r="AD1006" s="111"/>
      <c r="AE1006" s="73"/>
      <c r="AF1006" s="73"/>
    </row>
    <row r="1007" ht="22.5" customHeight="1">
      <c r="A1007" s="73"/>
      <c r="B1007" s="73"/>
      <c r="C1007" s="73"/>
      <c r="D1007" s="73"/>
      <c r="E1007" s="330"/>
      <c r="F1007" s="118"/>
      <c r="G1007" s="118"/>
      <c r="H1007" s="118"/>
      <c r="I1007" s="118"/>
      <c r="J1007" s="119"/>
      <c r="K1007" s="120"/>
      <c r="L1007" s="120"/>
      <c r="M1007" s="120"/>
      <c r="N1007" s="120"/>
      <c r="O1007" s="118"/>
      <c r="P1007" s="120"/>
      <c r="Q1007" s="121"/>
      <c r="R1007" s="109" t="b">
        <v>0</v>
      </c>
      <c r="S1007" s="143" t="str">
        <f t="shared" si="1"/>
        <v>Suspenso</v>
      </c>
      <c r="T1007" s="118"/>
      <c r="U1007" s="118"/>
      <c r="V1007" s="118"/>
      <c r="W1007" s="118"/>
      <c r="X1007" s="118"/>
      <c r="Y1007" s="118"/>
      <c r="Z1007" s="118"/>
      <c r="AA1007" s="118"/>
      <c r="AB1007" s="118"/>
      <c r="AC1007" s="118"/>
      <c r="AD1007" s="111"/>
      <c r="AE1007" s="73"/>
      <c r="AF1007" s="73"/>
    </row>
    <row r="1008" ht="22.5" customHeight="1">
      <c r="A1008" s="73"/>
      <c r="B1008" s="73"/>
      <c r="C1008" s="73"/>
      <c r="D1008" s="73"/>
      <c r="E1008" s="330"/>
      <c r="F1008" s="118"/>
      <c r="G1008" s="118"/>
      <c r="H1008" s="118"/>
      <c r="I1008" s="118"/>
      <c r="J1008" s="119"/>
      <c r="K1008" s="120"/>
      <c r="L1008" s="120"/>
      <c r="M1008" s="120"/>
      <c r="N1008" s="120"/>
      <c r="O1008" s="118"/>
      <c r="P1008" s="120"/>
      <c r="Q1008" s="121"/>
      <c r="R1008" s="109" t="b">
        <v>0</v>
      </c>
      <c r="S1008" s="143" t="str">
        <f t="shared" si="1"/>
        <v>Suspenso</v>
      </c>
      <c r="T1008" s="118"/>
      <c r="U1008" s="118"/>
      <c r="V1008" s="118"/>
      <c r="W1008" s="118"/>
      <c r="X1008" s="118"/>
      <c r="Y1008" s="118"/>
      <c r="Z1008" s="118"/>
      <c r="AA1008" s="118"/>
      <c r="AB1008" s="118"/>
      <c r="AC1008" s="118"/>
      <c r="AD1008" s="111"/>
      <c r="AE1008" s="73"/>
      <c r="AF1008" s="73"/>
    </row>
    <row r="1009" ht="22.5" customHeight="1">
      <c r="A1009" s="73"/>
      <c r="B1009" s="73"/>
      <c r="C1009" s="73"/>
      <c r="D1009" s="73"/>
      <c r="E1009" s="330"/>
      <c r="F1009" s="118"/>
      <c r="G1009" s="118"/>
      <c r="H1009" s="118"/>
      <c r="I1009" s="118"/>
      <c r="J1009" s="119"/>
      <c r="K1009" s="120"/>
      <c r="L1009" s="120"/>
      <c r="M1009" s="120"/>
      <c r="N1009" s="120"/>
      <c r="O1009" s="118"/>
      <c r="P1009" s="120"/>
      <c r="Q1009" s="121"/>
      <c r="R1009" s="109" t="b">
        <v>0</v>
      </c>
      <c r="S1009" s="143" t="str">
        <f t="shared" si="1"/>
        <v>Suspenso</v>
      </c>
      <c r="T1009" s="118"/>
      <c r="U1009" s="118"/>
      <c r="V1009" s="118"/>
      <c r="W1009" s="118"/>
      <c r="X1009" s="118"/>
      <c r="Y1009" s="118"/>
      <c r="Z1009" s="118"/>
      <c r="AA1009" s="118"/>
      <c r="AB1009" s="118"/>
      <c r="AC1009" s="118"/>
      <c r="AD1009" s="111"/>
      <c r="AE1009" s="73"/>
      <c r="AF1009" s="73"/>
    </row>
    <row r="1010" ht="22.5" customHeight="1">
      <c r="A1010" s="73"/>
      <c r="B1010" s="73"/>
      <c r="C1010" s="73"/>
      <c r="D1010" s="73"/>
      <c r="E1010" s="330"/>
      <c r="F1010" s="118"/>
      <c r="G1010" s="118"/>
      <c r="H1010" s="118"/>
      <c r="I1010" s="118"/>
      <c r="J1010" s="119"/>
      <c r="K1010" s="120"/>
      <c r="L1010" s="120"/>
      <c r="M1010" s="120"/>
      <c r="N1010" s="120"/>
      <c r="O1010" s="118"/>
      <c r="P1010" s="120"/>
      <c r="Q1010" s="121"/>
      <c r="R1010" s="109" t="b">
        <v>0</v>
      </c>
      <c r="S1010" s="143" t="str">
        <f t="shared" si="1"/>
        <v>Suspenso</v>
      </c>
      <c r="T1010" s="118"/>
      <c r="U1010" s="118"/>
      <c r="V1010" s="118"/>
      <c r="W1010" s="118"/>
      <c r="X1010" s="118"/>
      <c r="Y1010" s="118"/>
      <c r="Z1010" s="118"/>
      <c r="AA1010" s="118"/>
      <c r="AB1010" s="118"/>
      <c r="AC1010" s="118"/>
      <c r="AD1010" s="111"/>
      <c r="AE1010" s="73"/>
      <c r="AF1010" s="73"/>
    </row>
    <row r="1011" ht="22.5" customHeight="1">
      <c r="A1011" s="73"/>
      <c r="B1011" s="73"/>
      <c r="C1011" s="73"/>
      <c r="D1011" s="73"/>
      <c r="E1011" s="330"/>
      <c r="F1011" s="118"/>
      <c r="G1011" s="118"/>
      <c r="H1011" s="118"/>
      <c r="I1011" s="118"/>
      <c r="J1011" s="119"/>
      <c r="K1011" s="120"/>
      <c r="L1011" s="120"/>
      <c r="M1011" s="120"/>
      <c r="N1011" s="120"/>
      <c r="O1011" s="118"/>
      <c r="P1011" s="120"/>
      <c r="Q1011" s="121"/>
      <c r="R1011" s="109" t="b">
        <v>0</v>
      </c>
      <c r="S1011" s="143" t="str">
        <f t="shared" si="1"/>
        <v>Suspenso</v>
      </c>
      <c r="T1011" s="118"/>
      <c r="U1011" s="118"/>
      <c r="V1011" s="118"/>
      <c r="W1011" s="118"/>
      <c r="X1011" s="118"/>
      <c r="Y1011" s="118"/>
      <c r="Z1011" s="118"/>
      <c r="AA1011" s="118"/>
      <c r="AB1011" s="118"/>
      <c r="AC1011" s="118"/>
      <c r="AD1011" s="111"/>
      <c r="AE1011" s="73"/>
      <c r="AF1011" s="73"/>
    </row>
    <row r="1012" ht="22.5" customHeight="1">
      <c r="A1012" s="73"/>
      <c r="B1012" s="73"/>
      <c r="C1012" s="73"/>
      <c r="D1012" s="73"/>
      <c r="E1012" s="330"/>
      <c r="F1012" s="118"/>
      <c r="G1012" s="118"/>
      <c r="H1012" s="118"/>
      <c r="I1012" s="118"/>
      <c r="J1012" s="119"/>
      <c r="K1012" s="120"/>
      <c r="L1012" s="120"/>
      <c r="M1012" s="120"/>
      <c r="N1012" s="120"/>
      <c r="O1012" s="118"/>
      <c r="P1012" s="120"/>
      <c r="Q1012" s="121"/>
      <c r="R1012" s="109" t="b">
        <v>0</v>
      </c>
      <c r="S1012" s="143" t="str">
        <f t="shared" si="1"/>
        <v>Suspenso</v>
      </c>
      <c r="T1012" s="118"/>
      <c r="U1012" s="118"/>
      <c r="V1012" s="118"/>
      <c r="W1012" s="118"/>
      <c r="X1012" s="118"/>
      <c r="Y1012" s="118"/>
      <c r="Z1012" s="118"/>
      <c r="AA1012" s="118"/>
      <c r="AB1012" s="118"/>
      <c r="AC1012" s="118"/>
      <c r="AD1012" s="111"/>
      <c r="AE1012" s="73"/>
      <c r="AF1012" s="73"/>
    </row>
    <row r="1013" ht="22.5" customHeight="1">
      <c r="A1013" s="73"/>
      <c r="B1013" s="73"/>
      <c r="C1013" s="73"/>
      <c r="D1013" s="73"/>
      <c r="E1013" s="330"/>
      <c r="F1013" s="118"/>
      <c r="G1013" s="118"/>
      <c r="H1013" s="118"/>
      <c r="I1013" s="118"/>
      <c r="J1013" s="119"/>
      <c r="K1013" s="120"/>
      <c r="L1013" s="120"/>
      <c r="M1013" s="120"/>
      <c r="N1013" s="120"/>
      <c r="O1013" s="118"/>
      <c r="P1013" s="120"/>
      <c r="Q1013" s="121"/>
      <c r="R1013" s="109" t="b">
        <v>0</v>
      </c>
      <c r="S1013" s="143" t="str">
        <f t="shared" si="1"/>
        <v>Suspenso</v>
      </c>
      <c r="T1013" s="118"/>
      <c r="U1013" s="118"/>
      <c r="V1013" s="118"/>
      <c r="W1013" s="118"/>
      <c r="X1013" s="118"/>
      <c r="Y1013" s="118"/>
      <c r="Z1013" s="118"/>
      <c r="AA1013" s="118"/>
      <c r="AB1013" s="118"/>
      <c r="AC1013" s="118"/>
      <c r="AD1013" s="111"/>
      <c r="AE1013" s="73"/>
      <c r="AF1013" s="73"/>
    </row>
    <row r="1014" ht="22.5" customHeight="1">
      <c r="A1014" s="73"/>
      <c r="B1014" s="73"/>
      <c r="C1014" s="73"/>
      <c r="D1014" s="73"/>
      <c r="E1014" s="330"/>
      <c r="F1014" s="118"/>
      <c r="G1014" s="118"/>
      <c r="H1014" s="118"/>
      <c r="I1014" s="118"/>
      <c r="J1014" s="119"/>
      <c r="K1014" s="120"/>
      <c r="L1014" s="120"/>
      <c r="M1014" s="120"/>
      <c r="N1014" s="120"/>
      <c r="O1014" s="118"/>
      <c r="P1014" s="120"/>
      <c r="Q1014" s="121"/>
      <c r="R1014" s="109" t="b">
        <v>0</v>
      </c>
      <c r="S1014" s="143" t="str">
        <f t="shared" si="1"/>
        <v>Suspenso</v>
      </c>
      <c r="T1014" s="118"/>
      <c r="U1014" s="118"/>
      <c r="V1014" s="118"/>
      <c r="W1014" s="118"/>
      <c r="X1014" s="118"/>
      <c r="Y1014" s="118"/>
      <c r="Z1014" s="118"/>
      <c r="AA1014" s="118"/>
      <c r="AB1014" s="118"/>
      <c r="AC1014" s="118"/>
      <c r="AD1014" s="111"/>
      <c r="AE1014" s="73"/>
      <c r="AF1014" s="73"/>
    </row>
    <row r="1015" ht="22.5" customHeight="1">
      <c r="A1015" s="73"/>
      <c r="B1015" s="73"/>
      <c r="C1015" s="73"/>
      <c r="D1015" s="73"/>
      <c r="E1015" s="330"/>
      <c r="F1015" s="118"/>
      <c r="G1015" s="118"/>
      <c r="H1015" s="118"/>
      <c r="I1015" s="118"/>
      <c r="J1015" s="119"/>
      <c r="K1015" s="120"/>
      <c r="L1015" s="120"/>
      <c r="M1015" s="120"/>
      <c r="N1015" s="120"/>
      <c r="O1015" s="118"/>
      <c r="P1015" s="120"/>
      <c r="Q1015" s="121"/>
      <c r="R1015" s="109" t="b">
        <v>0</v>
      </c>
      <c r="S1015" s="143" t="str">
        <f t="shared" si="1"/>
        <v>Suspenso</v>
      </c>
      <c r="T1015" s="118"/>
      <c r="U1015" s="118"/>
      <c r="V1015" s="118"/>
      <c r="W1015" s="118"/>
      <c r="X1015" s="118"/>
      <c r="Y1015" s="118"/>
      <c r="Z1015" s="118"/>
      <c r="AA1015" s="118"/>
      <c r="AB1015" s="118"/>
      <c r="AC1015" s="118"/>
      <c r="AD1015" s="111"/>
      <c r="AE1015" s="73"/>
      <c r="AF1015" s="73"/>
    </row>
    <row r="1016" ht="22.5" customHeight="1">
      <c r="A1016" s="73"/>
      <c r="B1016" s="73"/>
      <c r="C1016" s="73"/>
      <c r="D1016" s="73"/>
      <c r="E1016" s="330"/>
      <c r="F1016" s="118"/>
      <c r="G1016" s="118"/>
      <c r="H1016" s="118"/>
      <c r="I1016" s="118"/>
      <c r="J1016" s="119"/>
      <c r="K1016" s="120"/>
      <c r="L1016" s="120"/>
      <c r="M1016" s="120"/>
      <c r="N1016" s="120"/>
      <c r="O1016" s="118"/>
      <c r="P1016" s="120"/>
      <c r="Q1016" s="121"/>
      <c r="R1016" s="109" t="b">
        <v>0</v>
      </c>
      <c r="S1016" s="143" t="str">
        <f t="shared" si="1"/>
        <v>Suspenso</v>
      </c>
      <c r="T1016" s="118"/>
      <c r="U1016" s="118"/>
      <c r="V1016" s="118"/>
      <c r="W1016" s="118"/>
      <c r="X1016" s="118"/>
      <c r="Y1016" s="118"/>
      <c r="Z1016" s="118"/>
      <c r="AA1016" s="118"/>
      <c r="AB1016" s="118"/>
      <c r="AC1016" s="118"/>
      <c r="AD1016" s="111"/>
      <c r="AE1016" s="73"/>
      <c r="AF1016" s="73"/>
    </row>
    <row r="1017" ht="22.5" customHeight="1">
      <c r="A1017" s="73"/>
      <c r="B1017" s="73"/>
      <c r="C1017" s="73"/>
      <c r="D1017" s="73"/>
      <c r="E1017" s="330"/>
      <c r="F1017" s="118"/>
      <c r="G1017" s="118"/>
      <c r="H1017" s="118"/>
      <c r="I1017" s="118"/>
      <c r="J1017" s="119"/>
      <c r="K1017" s="120"/>
      <c r="L1017" s="120"/>
      <c r="M1017" s="120"/>
      <c r="N1017" s="120"/>
      <c r="O1017" s="118"/>
      <c r="P1017" s="120"/>
      <c r="Q1017" s="121"/>
      <c r="R1017" s="109" t="b">
        <v>0</v>
      </c>
      <c r="S1017" s="143" t="str">
        <f t="shared" si="1"/>
        <v>Suspenso</v>
      </c>
      <c r="T1017" s="118"/>
      <c r="U1017" s="118"/>
      <c r="V1017" s="118"/>
      <c r="W1017" s="118"/>
      <c r="X1017" s="118"/>
      <c r="Y1017" s="118"/>
      <c r="Z1017" s="118"/>
      <c r="AA1017" s="118"/>
      <c r="AB1017" s="118"/>
      <c r="AC1017" s="118"/>
      <c r="AD1017" s="111"/>
      <c r="AE1017" s="73"/>
      <c r="AF1017" s="73"/>
    </row>
    <row r="1018" ht="22.5" customHeight="1">
      <c r="A1018" s="73"/>
      <c r="B1018" s="73"/>
      <c r="C1018" s="73"/>
      <c r="D1018" s="73"/>
      <c r="E1018" s="330"/>
      <c r="F1018" s="118"/>
      <c r="G1018" s="118"/>
      <c r="H1018" s="118"/>
      <c r="I1018" s="118"/>
      <c r="J1018" s="119"/>
      <c r="K1018" s="120"/>
      <c r="L1018" s="120"/>
      <c r="M1018" s="120"/>
      <c r="N1018" s="120"/>
      <c r="O1018" s="118"/>
      <c r="P1018" s="120"/>
      <c r="Q1018" s="121"/>
      <c r="R1018" s="109" t="b">
        <v>0</v>
      </c>
      <c r="S1018" s="143" t="str">
        <f t="shared" si="1"/>
        <v>Suspenso</v>
      </c>
      <c r="T1018" s="118"/>
      <c r="U1018" s="118"/>
      <c r="V1018" s="118"/>
      <c r="W1018" s="118"/>
      <c r="X1018" s="118"/>
      <c r="Y1018" s="118"/>
      <c r="Z1018" s="118"/>
      <c r="AA1018" s="118"/>
      <c r="AB1018" s="118"/>
      <c r="AC1018" s="118"/>
      <c r="AD1018" s="111"/>
      <c r="AE1018" s="73"/>
      <c r="AF1018" s="73"/>
    </row>
    <row r="1019" ht="22.5" customHeight="1">
      <c r="A1019" s="73"/>
      <c r="B1019" s="73"/>
      <c r="C1019" s="73"/>
      <c r="D1019" s="73"/>
      <c r="E1019" s="330"/>
      <c r="F1019" s="118"/>
      <c r="G1019" s="118"/>
      <c r="H1019" s="118"/>
      <c r="I1019" s="118"/>
      <c r="J1019" s="119"/>
      <c r="K1019" s="120"/>
      <c r="L1019" s="120"/>
      <c r="M1019" s="120"/>
      <c r="N1019" s="120"/>
      <c r="O1019" s="118"/>
      <c r="P1019" s="120"/>
      <c r="Q1019" s="121"/>
      <c r="R1019" s="109" t="b">
        <v>0</v>
      </c>
      <c r="S1019" s="143" t="str">
        <f t="shared" si="1"/>
        <v>Suspenso</v>
      </c>
      <c r="T1019" s="118"/>
      <c r="U1019" s="118"/>
      <c r="V1019" s="118"/>
      <c r="W1019" s="118"/>
      <c r="X1019" s="118"/>
      <c r="Y1019" s="118"/>
      <c r="Z1019" s="118"/>
      <c r="AA1019" s="118"/>
      <c r="AB1019" s="118"/>
      <c r="AC1019" s="118"/>
      <c r="AD1019" s="111"/>
      <c r="AE1019" s="73"/>
      <c r="AF1019" s="73"/>
    </row>
    <row r="1020" ht="22.5" customHeight="1">
      <c r="A1020" s="73"/>
      <c r="B1020" s="73"/>
      <c r="C1020" s="73"/>
      <c r="D1020" s="73"/>
      <c r="E1020" s="330"/>
      <c r="F1020" s="118"/>
      <c r="G1020" s="118"/>
      <c r="H1020" s="118"/>
      <c r="I1020" s="118"/>
      <c r="J1020" s="119"/>
      <c r="K1020" s="120"/>
      <c r="L1020" s="120"/>
      <c r="M1020" s="120"/>
      <c r="N1020" s="120"/>
      <c r="O1020" s="118"/>
      <c r="P1020" s="120"/>
      <c r="Q1020" s="121"/>
      <c r="R1020" s="109" t="b">
        <v>0</v>
      </c>
      <c r="S1020" s="143" t="str">
        <f t="shared" si="1"/>
        <v>Suspenso</v>
      </c>
      <c r="T1020" s="118"/>
      <c r="U1020" s="118"/>
      <c r="V1020" s="118"/>
      <c r="W1020" s="118"/>
      <c r="X1020" s="118"/>
      <c r="Y1020" s="118"/>
      <c r="Z1020" s="118"/>
      <c r="AA1020" s="118"/>
      <c r="AB1020" s="118"/>
      <c r="AC1020" s="118"/>
      <c r="AD1020" s="111"/>
      <c r="AE1020" s="73"/>
      <c r="AF1020" s="73"/>
    </row>
    <row r="1021" ht="22.5" customHeight="1">
      <c r="A1021" s="73"/>
      <c r="B1021" s="73"/>
      <c r="C1021" s="73"/>
      <c r="D1021" s="73"/>
      <c r="E1021" s="330"/>
      <c r="F1021" s="118"/>
      <c r="G1021" s="118"/>
      <c r="H1021" s="118"/>
      <c r="I1021" s="118"/>
      <c r="J1021" s="119"/>
      <c r="K1021" s="120"/>
      <c r="L1021" s="120"/>
      <c r="M1021" s="120"/>
      <c r="N1021" s="120"/>
      <c r="O1021" s="118"/>
      <c r="P1021" s="120"/>
      <c r="Q1021" s="121"/>
      <c r="R1021" s="109" t="b">
        <v>0</v>
      </c>
      <c r="S1021" s="143" t="str">
        <f t="shared" si="1"/>
        <v>Suspenso</v>
      </c>
      <c r="T1021" s="118"/>
      <c r="U1021" s="118"/>
      <c r="V1021" s="118"/>
      <c r="W1021" s="118"/>
      <c r="X1021" s="118"/>
      <c r="Y1021" s="118"/>
      <c r="Z1021" s="118"/>
      <c r="AA1021" s="118"/>
      <c r="AB1021" s="118"/>
      <c r="AC1021" s="118"/>
      <c r="AD1021" s="111"/>
      <c r="AE1021" s="73"/>
      <c r="AF1021" s="73"/>
    </row>
    <row r="1022" ht="22.5" customHeight="1">
      <c r="A1022" s="73"/>
      <c r="B1022" s="73"/>
      <c r="C1022" s="73"/>
      <c r="D1022" s="73"/>
      <c r="E1022" s="330"/>
      <c r="F1022" s="118"/>
      <c r="G1022" s="118"/>
      <c r="H1022" s="118"/>
      <c r="I1022" s="118"/>
      <c r="J1022" s="119"/>
      <c r="K1022" s="120"/>
      <c r="L1022" s="120"/>
      <c r="M1022" s="120"/>
      <c r="N1022" s="120"/>
      <c r="O1022" s="118"/>
      <c r="P1022" s="120"/>
      <c r="Q1022" s="121"/>
      <c r="R1022" s="109" t="b">
        <v>0</v>
      </c>
      <c r="S1022" s="143" t="str">
        <f t="shared" si="1"/>
        <v>Suspenso</v>
      </c>
      <c r="T1022" s="118"/>
      <c r="U1022" s="118"/>
      <c r="V1022" s="118"/>
      <c r="W1022" s="118"/>
      <c r="X1022" s="118"/>
      <c r="Y1022" s="118"/>
      <c r="Z1022" s="118"/>
      <c r="AA1022" s="118"/>
      <c r="AB1022" s="118"/>
      <c r="AC1022" s="118"/>
      <c r="AD1022" s="111"/>
      <c r="AE1022" s="73"/>
      <c r="AF1022" s="73"/>
    </row>
  </sheetData>
  <dataValidations>
    <dataValidation type="custom" allowBlank="1" showDropDown="1" sqref="Q3:Q1022">
      <formula1>OR(NOT(ISERROR(DATEVALUE(Q3))), AND(ISNUMBER(Q3), LEFT(CELL("format", Q3))="D"))</formula1>
    </dataValidation>
    <dataValidation type="custom" allowBlank="1" showDropDown="1" sqref="K3:N1022 P3:P1022">
      <formula1>AND(ISNUMBER(K3),(NOT(OR(NOT(ISERROR(DATEVALUE(K3))), AND(ISNUMBER(K3), LEFT(CELL("format", K3))="D")))))</formula1>
    </dataValidation>
    <dataValidation type="list" allowBlank="1" sqref="J3:J1022">
      <formula1>"B,W,SB,N"</formula1>
    </dataValidation>
  </dataValidations>
  <hyperlinks>
    <hyperlink r:id="rId1" ref="F32"/>
    <hyperlink r:id="rId2" ref="F69"/>
  </hyperlinks>
  <drawing r:id="rId3"/>
  <tableParts count="1">
    <tablePart r:id="rId5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4" max="4" width="22.0"/>
    <col customWidth="1" min="5" max="5" width="15.0"/>
  </cols>
  <sheetData>
    <row r="1">
      <c r="E1" s="1"/>
    </row>
    <row r="2">
      <c r="E2" s="1"/>
      <c r="J2" s="2" t="s">
        <v>0</v>
      </c>
      <c r="K2" s="265">
        <v>0.0</v>
      </c>
    </row>
    <row r="3">
      <c r="E3" s="1"/>
      <c r="J3" s="266" t="s">
        <v>4</v>
      </c>
      <c r="K3" s="267">
        <f>sum(E6:E37)</f>
        <v>327.61</v>
      </c>
    </row>
    <row r="4">
      <c r="B4" s="268" t="s">
        <v>6</v>
      </c>
      <c r="C4" s="10"/>
      <c r="D4" s="10"/>
      <c r="E4" s="11"/>
      <c r="F4" s="10"/>
      <c r="G4" s="10"/>
      <c r="H4" s="10"/>
      <c r="I4" s="10"/>
      <c r="J4" s="10"/>
      <c r="K4" s="10"/>
    </row>
    <row r="5">
      <c r="B5" s="268" t="s">
        <v>8</v>
      </c>
      <c r="C5" s="268" t="s">
        <v>9</v>
      </c>
      <c r="D5" s="268" t="s">
        <v>11</v>
      </c>
      <c r="E5" s="268" t="s">
        <v>5119</v>
      </c>
      <c r="F5" s="268" t="s">
        <v>5120</v>
      </c>
      <c r="G5" s="10"/>
      <c r="H5" s="10"/>
      <c r="I5" s="10"/>
      <c r="J5" s="10"/>
      <c r="K5" s="10"/>
    </row>
    <row r="6">
      <c r="B6" s="265" t="s">
        <v>5121</v>
      </c>
      <c r="C6" s="269"/>
      <c r="D6" s="16" t="s">
        <v>5122</v>
      </c>
      <c r="E6" s="267">
        <v>31.09</v>
      </c>
      <c r="F6" s="16" t="s">
        <v>5123</v>
      </c>
      <c r="G6" s="10"/>
      <c r="H6" s="10"/>
      <c r="I6" s="10"/>
      <c r="J6" s="10"/>
      <c r="K6" s="10"/>
    </row>
    <row r="7">
      <c r="B7" s="2" t="s">
        <v>5124</v>
      </c>
      <c r="C7" s="10"/>
      <c r="D7" s="16" t="s">
        <v>5125</v>
      </c>
      <c r="E7" s="267">
        <v>11.4</v>
      </c>
      <c r="F7" s="16" t="s">
        <v>5127</v>
      </c>
      <c r="G7" s="10"/>
      <c r="H7" s="10"/>
      <c r="I7" s="10"/>
    </row>
    <row r="8">
      <c r="B8" s="265" t="s">
        <v>3559</v>
      </c>
      <c r="C8" s="269"/>
      <c r="D8" s="16" t="s">
        <v>5128</v>
      </c>
      <c r="E8" s="267">
        <v>1.9</v>
      </c>
      <c r="F8" s="16" t="s">
        <v>5129</v>
      </c>
      <c r="G8" s="10"/>
      <c r="H8" s="10"/>
      <c r="I8" s="10"/>
    </row>
    <row r="9">
      <c r="B9" s="2" t="s">
        <v>5130</v>
      </c>
      <c r="C9" s="10"/>
      <c r="D9" s="16" t="s">
        <v>5131</v>
      </c>
      <c r="E9" s="267">
        <v>1.38</v>
      </c>
      <c r="F9" s="16" t="s">
        <v>5132</v>
      </c>
      <c r="G9" s="10"/>
      <c r="H9" s="10"/>
      <c r="I9" s="10"/>
      <c r="J9" s="10"/>
      <c r="K9" s="10"/>
    </row>
    <row r="10">
      <c r="B10" s="265" t="s">
        <v>5133</v>
      </c>
      <c r="C10" s="269"/>
      <c r="D10" s="16" t="s">
        <v>5134</v>
      </c>
      <c r="E10" s="267">
        <v>1.11</v>
      </c>
      <c r="F10" s="16" t="s">
        <v>5135</v>
      </c>
      <c r="G10" s="10"/>
      <c r="H10" s="10"/>
      <c r="I10" s="10"/>
      <c r="J10" s="10"/>
      <c r="K10" s="10"/>
    </row>
    <row r="11">
      <c r="B11" s="2" t="s">
        <v>5136</v>
      </c>
      <c r="C11" s="10"/>
      <c r="D11" s="16" t="s">
        <v>5137</v>
      </c>
      <c r="E11" s="267">
        <v>6.29</v>
      </c>
      <c r="F11" s="16" t="s">
        <v>5138</v>
      </c>
      <c r="G11" s="10"/>
      <c r="H11" s="10"/>
      <c r="I11" s="10"/>
      <c r="J11" s="10"/>
      <c r="K11" s="10"/>
    </row>
    <row r="12">
      <c r="B12" s="10"/>
      <c r="C12" s="10"/>
      <c r="D12" s="16"/>
      <c r="E12" s="267"/>
      <c r="F12" s="10"/>
      <c r="G12" s="10"/>
      <c r="H12" s="10"/>
      <c r="I12" s="10"/>
      <c r="J12" s="10"/>
      <c r="K12" s="10"/>
    </row>
    <row r="13">
      <c r="B13" s="10"/>
      <c r="C13" s="10"/>
      <c r="D13" s="16"/>
      <c r="E13" s="267"/>
      <c r="F13" s="10"/>
      <c r="G13" s="10"/>
      <c r="H13" s="10"/>
      <c r="I13" s="10"/>
      <c r="J13" s="10"/>
      <c r="K13" s="10"/>
    </row>
    <row r="14">
      <c r="B14" s="2" t="s">
        <v>5139</v>
      </c>
      <c r="C14" s="10"/>
      <c r="D14" s="16" t="s">
        <v>5140</v>
      </c>
      <c r="E14" s="267">
        <v>6.44</v>
      </c>
      <c r="F14" s="10"/>
      <c r="G14" s="10"/>
      <c r="H14" s="10"/>
      <c r="I14" s="10"/>
      <c r="J14" s="10"/>
      <c r="K14" s="10"/>
    </row>
    <row r="15">
      <c r="B15" s="2" t="s">
        <v>5121</v>
      </c>
      <c r="C15" s="10"/>
      <c r="D15" s="16">
        <v>21.091</v>
      </c>
      <c r="E15" s="267">
        <v>2.99</v>
      </c>
      <c r="F15" s="10"/>
      <c r="G15" s="10"/>
      <c r="H15" s="10"/>
      <c r="I15" s="10"/>
      <c r="J15" s="10"/>
      <c r="K15" s="10"/>
    </row>
    <row r="16">
      <c r="B16" s="270" t="s">
        <v>5130</v>
      </c>
      <c r="C16" s="10"/>
      <c r="D16" s="16">
        <v>16.865</v>
      </c>
      <c r="E16" s="271"/>
      <c r="F16" s="10"/>
      <c r="G16" s="10"/>
      <c r="H16" s="10"/>
      <c r="I16" s="10"/>
      <c r="J16" s="10"/>
      <c r="K16" s="10"/>
    </row>
    <row r="17">
      <c r="B17" s="15" t="s">
        <v>5144</v>
      </c>
      <c r="C17" s="10"/>
      <c r="D17" s="20">
        <v>316.34</v>
      </c>
      <c r="E17" s="267">
        <v>3.72</v>
      </c>
      <c r="F17" s="10"/>
      <c r="G17" s="10"/>
      <c r="H17" s="10"/>
      <c r="I17" s="10"/>
      <c r="J17" s="10"/>
      <c r="K17" s="10"/>
    </row>
    <row r="18">
      <c r="B18" s="272" t="s">
        <v>5146</v>
      </c>
      <c r="C18" s="10"/>
      <c r="D18" s="20">
        <v>5.818</v>
      </c>
      <c r="E18" s="267">
        <v>1.89</v>
      </c>
      <c r="F18" s="10"/>
      <c r="G18" s="10"/>
      <c r="H18" s="10"/>
      <c r="I18" s="10"/>
      <c r="J18" s="10"/>
      <c r="K18" s="10"/>
    </row>
    <row r="19">
      <c r="B19" s="273" t="s">
        <v>5148</v>
      </c>
      <c r="C19" s="10"/>
      <c r="D19" s="20">
        <v>591.2</v>
      </c>
      <c r="E19" s="267">
        <v>121.81</v>
      </c>
      <c r="F19" s="10"/>
      <c r="G19" s="10"/>
      <c r="H19" s="10"/>
      <c r="I19" s="10"/>
      <c r="J19" s="10"/>
      <c r="K19" s="10"/>
    </row>
    <row r="20">
      <c r="B20" s="274" t="s">
        <v>5150</v>
      </c>
      <c r="C20" s="10"/>
      <c r="D20" s="20">
        <v>214.3</v>
      </c>
      <c r="E20" s="267">
        <v>5.4</v>
      </c>
      <c r="F20" s="10"/>
      <c r="G20" s="10"/>
      <c r="H20" s="10"/>
      <c r="I20" s="10"/>
      <c r="J20" s="10"/>
      <c r="K20" s="10"/>
    </row>
    <row r="21">
      <c r="B21" s="15" t="s">
        <v>5152</v>
      </c>
      <c r="C21" s="10"/>
      <c r="D21" s="20">
        <v>1.0341</v>
      </c>
      <c r="E21" s="267">
        <v>1.11</v>
      </c>
      <c r="F21" s="10"/>
      <c r="G21" s="10"/>
      <c r="H21" s="10"/>
      <c r="I21" s="10"/>
      <c r="J21" s="10"/>
      <c r="K21" s="10"/>
    </row>
    <row r="22">
      <c r="B22" s="273" t="s">
        <v>5148</v>
      </c>
      <c r="C22" s="10"/>
      <c r="D22" s="20">
        <v>87.91</v>
      </c>
      <c r="E22" s="271"/>
      <c r="F22" s="10"/>
      <c r="G22" s="10"/>
      <c r="H22" s="10"/>
      <c r="I22" s="10"/>
      <c r="J22" s="10"/>
      <c r="K22" s="10"/>
    </row>
    <row r="23">
      <c r="B23" s="272" t="s">
        <v>5146</v>
      </c>
      <c r="C23" s="10"/>
      <c r="D23" s="20">
        <v>5.846</v>
      </c>
      <c r="E23" s="267">
        <v>0.14</v>
      </c>
      <c r="F23" s="10"/>
      <c r="G23" s="10"/>
      <c r="H23" s="10"/>
      <c r="I23" s="10"/>
      <c r="J23" s="10"/>
      <c r="K23" s="10"/>
    </row>
    <row r="24">
      <c r="B24" s="274" t="s">
        <v>5139</v>
      </c>
      <c r="C24" s="10"/>
      <c r="D24" s="20">
        <v>56.73</v>
      </c>
      <c r="E24" s="267">
        <v>5.06</v>
      </c>
      <c r="F24" s="10"/>
      <c r="G24" s="10"/>
      <c r="H24" s="10"/>
      <c r="I24" s="10"/>
      <c r="J24" s="10"/>
      <c r="K24" s="10"/>
    </row>
    <row r="25">
      <c r="B25" s="15" t="s">
        <v>5154</v>
      </c>
      <c r="C25" s="10"/>
      <c r="D25" s="16"/>
      <c r="E25" s="267">
        <v>1.69</v>
      </c>
      <c r="F25" s="10"/>
      <c r="G25" s="10"/>
      <c r="H25" s="10"/>
      <c r="I25" s="10"/>
      <c r="J25" s="10"/>
      <c r="K25" s="10"/>
    </row>
    <row r="26">
      <c r="B26" s="15" t="s">
        <v>5155</v>
      </c>
      <c r="C26" s="10"/>
      <c r="D26" s="20">
        <v>118.94</v>
      </c>
      <c r="E26" s="271">
        <f>57.99+0.36+3.59+8.38+0.1+3.76</f>
        <v>74.18</v>
      </c>
      <c r="F26" s="10"/>
      <c r="G26" s="10"/>
      <c r="H26" s="10"/>
      <c r="I26" s="10"/>
      <c r="J26" s="10"/>
      <c r="K26" s="10"/>
    </row>
    <row r="27">
      <c r="B27" s="15" t="s">
        <v>5157</v>
      </c>
      <c r="C27" s="10"/>
      <c r="D27" s="16"/>
      <c r="E27" s="267">
        <v>0.25</v>
      </c>
      <c r="F27" s="10"/>
      <c r="G27" s="10"/>
      <c r="H27" s="10"/>
      <c r="I27" s="10"/>
      <c r="J27" s="10"/>
      <c r="K27" s="10"/>
    </row>
    <row r="28">
      <c r="B28" s="15" t="s">
        <v>5159</v>
      </c>
      <c r="C28" s="10"/>
      <c r="D28" s="16"/>
      <c r="E28" s="271">
        <f>1.79+0.33</f>
        <v>2.12</v>
      </c>
      <c r="F28" s="10"/>
      <c r="G28" s="10"/>
      <c r="H28" s="10"/>
      <c r="I28" s="10"/>
      <c r="J28" s="10"/>
      <c r="K28" s="10"/>
    </row>
    <row r="29">
      <c r="B29" s="15" t="s">
        <v>199</v>
      </c>
      <c r="C29" s="10"/>
      <c r="D29" s="16"/>
      <c r="E29" s="271">
        <f>18.29+2.06+5.68+0.63-9.21-0.46-0.28</f>
        <v>16.71</v>
      </c>
      <c r="F29" s="10"/>
      <c r="G29" s="10"/>
      <c r="H29" s="10"/>
      <c r="I29" s="10"/>
      <c r="J29" s="10"/>
      <c r="K29" s="10"/>
    </row>
    <row r="30">
      <c r="B30" s="10"/>
      <c r="C30" s="15" t="s">
        <v>5160</v>
      </c>
      <c r="D30" s="16"/>
      <c r="E30" s="267">
        <f>2.13+320.08-298.81</f>
        <v>23.4</v>
      </c>
      <c r="F30" s="10"/>
      <c r="G30" s="10"/>
      <c r="H30" s="10"/>
      <c r="I30" s="10"/>
      <c r="J30" s="10"/>
      <c r="K30" s="10"/>
    </row>
    <row r="31">
      <c r="B31" s="10"/>
      <c r="C31" s="15" t="s">
        <v>5161</v>
      </c>
      <c r="D31" s="16"/>
      <c r="E31" s="267">
        <v>4.38</v>
      </c>
      <c r="F31" s="10"/>
      <c r="G31" s="10"/>
      <c r="H31" s="10"/>
      <c r="I31" s="10"/>
      <c r="J31" s="10"/>
      <c r="K31" s="10"/>
    </row>
    <row r="32">
      <c r="B32" s="10"/>
      <c r="C32" s="15" t="s">
        <v>5162</v>
      </c>
      <c r="D32" s="16"/>
      <c r="E32" s="271">
        <f>327.61-324.46</f>
        <v>3.15</v>
      </c>
      <c r="F32" s="10"/>
      <c r="G32" s="10"/>
      <c r="H32" s="10"/>
      <c r="I32" s="10"/>
      <c r="J32" s="10"/>
      <c r="K32" s="10"/>
    </row>
    <row r="33">
      <c r="A33" s="4" t="s">
        <v>5164</v>
      </c>
      <c r="B33" s="275" t="s">
        <v>5136</v>
      </c>
      <c r="C33" s="10"/>
      <c r="D33" s="20">
        <v>79.81</v>
      </c>
      <c r="E33" s="271"/>
      <c r="F33" s="10"/>
      <c r="G33" s="10"/>
      <c r="H33" s="10"/>
      <c r="I33" s="10"/>
      <c r="J33" s="10"/>
      <c r="K33" s="10"/>
    </row>
    <row r="34">
      <c r="B34" s="276" t="s">
        <v>5165</v>
      </c>
      <c r="C34" s="10"/>
      <c r="D34" s="16"/>
      <c r="E34" s="271"/>
      <c r="F34" s="10"/>
      <c r="G34" s="10"/>
      <c r="H34" s="10"/>
      <c r="I34" s="10"/>
      <c r="J34" s="10"/>
      <c r="K34" s="10"/>
    </row>
    <row r="35">
      <c r="B35" s="273" t="s">
        <v>204</v>
      </c>
      <c r="C35" s="10"/>
      <c r="D35" s="16"/>
      <c r="E35" s="271"/>
      <c r="F35" s="10"/>
      <c r="G35" s="10"/>
      <c r="H35" s="10"/>
      <c r="I35" s="10"/>
      <c r="J35" s="10"/>
      <c r="K35" s="10"/>
    </row>
    <row r="36">
      <c r="B36" s="274" t="s">
        <v>5150</v>
      </c>
      <c r="C36" s="10"/>
      <c r="D36" s="16"/>
      <c r="E36" s="271"/>
      <c r="F36" s="10"/>
      <c r="G36" s="10"/>
      <c r="H36" s="10"/>
      <c r="I36" s="10"/>
      <c r="J36" s="10"/>
      <c r="K36" s="10"/>
    </row>
    <row r="37">
      <c r="A37" s="4" t="s">
        <v>5164</v>
      </c>
      <c r="B37" s="277" t="s">
        <v>5166</v>
      </c>
      <c r="C37" s="10"/>
      <c r="D37" s="16"/>
      <c r="E37" s="271"/>
      <c r="F37" s="10"/>
      <c r="G37" s="10"/>
      <c r="H37" s="10"/>
      <c r="I37" s="10"/>
      <c r="J37" s="10"/>
      <c r="K37" s="10"/>
    </row>
    <row r="38">
      <c r="B38" s="278" t="s">
        <v>5154</v>
      </c>
      <c r="C38" s="10"/>
      <c r="D38" s="10"/>
      <c r="E38" s="11"/>
      <c r="F38" s="10"/>
      <c r="G38" s="10"/>
      <c r="H38" s="10"/>
      <c r="I38" s="10"/>
      <c r="J38" s="10"/>
      <c r="K38" s="10"/>
    </row>
    <row r="39">
      <c r="B39" s="4" t="s">
        <v>3847</v>
      </c>
      <c r="E39" s="1"/>
    </row>
    <row r="40">
      <c r="A40" s="4" t="s">
        <v>5164</v>
      </c>
      <c r="B40" s="4" t="s">
        <v>5168</v>
      </c>
      <c r="E40" s="1"/>
    </row>
    <row r="41">
      <c r="B41" s="279" t="s">
        <v>5155</v>
      </c>
      <c r="E41" s="1"/>
    </row>
    <row r="42">
      <c r="A42" s="4" t="s">
        <v>5164</v>
      </c>
      <c r="B42" s="4" t="s">
        <v>1230</v>
      </c>
      <c r="E42" s="1"/>
    </row>
    <row r="43">
      <c r="A43" s="4" t="s">
        <v>5164</v>
      </c>
      <c r="B43" s="4" t="s">
        <v>255</v>
      </c>
      <c r="E43" s="1"/>
    </row>
    <row r="44">
      <c r="A44" s="4" t="s">
        <v>5164</v>
      </c>
      <c r="B44" s="4" t="s">
        <v>5121</v>
      </c>
      <c r="E44" s="1"/>
    </row>
    <row r="45">
      <c r="A45" s="4" t="s">
        <v>5164</v>
      </c>
      <c r="B45" s="4" t="s">
        <v>5159</v>
      </c>
      <c r="E45" s="1"/>
    </row>
    <row r="46">
      <c r="A46" s="4" t="s">
        <v>5164</v>
      </c>
      <c r="B46" s="4" t="s">
        <v>5139</v>
      </c>
      <c r="E46" s="1"/>
    </row>
    <row r="47">
      <c r="A47" s="4" t="s">
        <v>5164</v>
      </c>
      <c r="B47" s="4" t="s">
        <v>1202</v>
      </c>
      <c r="E47" s="1"/>
    </row>
    <row r="48">
      <c r="A48" s="4" t="s">
        <v>5164</v>
      </c>
      <c r="B48" s="4" t="s">
        <v>5174</v>
      </c>
      <c r="E48" s="1"/>
    </row>
    <row r="49">
      <c r="B49" s="4" t="s">
        <v>5157</v>
      </c>
      <c r="E49" s="1"/>
    </row>
    <row r="50">
      <c r="B50" s="4" t="s">
        <v>5150</v>
      </c>
      <c r="E50" s="1"/>
    </row>
    <row r="51">
      <c r="B51" s="4" t="s">
        <v>507</v>
      </c>
      <c r="E51" s="1"/>
    </row>
    <row r="52">
      <c r="E52" s="1"/>
    </row>
    <row r="53">
      <c r="E53" s="1"/>
    </row>
    <row r="54">
      <c r="E54" s="1"/>
    </row>
    <row r="55">
      <c r="E55" s="1"/>
    </row>
    <row r="56">
      <c r="E56" s="1"/>
    </row>
    <row r="57">
      <c r="E57" s="1"/>
    </row>
    <row r="58">
      <c r="E58" s="1"/>
    </row>
    <row r="59">
      <c r="E59" s="1"/>
    </row>
    <row r="60">
      <c r="E60" s="1"/>
    </row>
    <row r="61">
      <c r="E61" s="1"/>
    </row>
    <row r="62">
      <c r="E62" s="1"/>
    </row>
    <row r="63">
      <c r="E63" s="1"/>
    </row>
    <row r="64">
      <c r="E64" s="1"/>
    </row>
    <row r="65">
      <c r="E65" s="1"/>
    </row>
    <row r="66">
      <c r="E66" s="1"/>
    </row>
    <row r="67">
      <c r="E67" s="1"/>
    </row>
    <row r="68">
      <c r="E68" s="1"/>
    </row>
    <row r="69">
      <c r="E69" s="1"/>
    </row>
    <row r="70">
      <c r="E70" s="1"/>
    </row>
    <row r="71">
      <c r="E71" s="1"/>
    </row>
    <row r="72">
      <c r="E72" s="1"/>
    </row>
    <row r="73">
      <c r="E73" s="1"/>
    </row>
    <row r="74">
      <c r="E74" s="1"/>
    </row>
    <row r="75">
      <c r="E75" s="1"/>
    </row>
    <row r="76">
      <c r="E76" s="1"/>
    </row>
    <row r="77">
      <c r="E77" s="1"/>
    </row>
    <row r="78">
      <c r="E78" s="1"/>
    </row>
    <row r="79">
      <c r="E79" s="1"/>
    </row>
    <row r="80">
      <c r="E80" s="1"/>
    </row>
    <row r="81">
      <c r="E81" s="1"/>
    </row>
    <row r="82">
      <c r="E82" s="1"/>
    </row>
    <row r="83">
      <c r="E83" s="1"/>
    </row>
    <row r="84">
      <c r="E84" s="1"/>
    </row>
    <row r="85">
      <c r="E85" s="1"/>
    </row>
    <row r="86">
      <c r="E86" s="1"/>
    </row>
    <row r="87">
      <c r="E87" s="1"/>
    </row>
    <row r="88">
      <c r="E88" s="1"/>
    </row>
    <row r="89">
      <c r="E89" s="1"/>
    </row>
    <row r="90">
      <c r="E90" s="1"/>
    </row>
    <row r="91">
      <c r="E91" s="1"/>
    </row>
    <row r="92">
      <c r="E92" s="1"/>
    </row>
    <row r="93">
      <c r="E93" s="1"/>
    </row>
    <row r="94">
      <c r="E94" s="1"/>
    </row>
    <row r="95">
      <c r="E95" s="1"/>
    </row>
    <row r="96">
      <c r="E96" s="1"/>
    </row>
    <row r="97">
      <c r="E97" s="1"/>
    </row>
    <row r="98">
      <c r="E98" s="1"/>
    </row>
    <row r="99">
      <c r="E99" s="1"/>
    </row>
    <row r="100">
      <c r="E100" s="1"/>
    </row>
    <row r="101">
      <c r="E101" s="1"/>
    </row>
    <row r="102">
      <c r="E102" s="1"/>
    </row>
    <row r="103">
      <c r="E103" s="1"/>
    </row>
    <row r="104">
      <c r="E104" s="1"/>
    </row>
    <row r="105">
      <c r="E105" s="1"/>
    </row>
    <row r="106">
      <c r="E106" s="1"/>
    </row>
    <row r="107">
      <c r="E107" s="1"/>
    </row>
    <row r="108">
      <c r="E108" s="1"/>
    </row>
    <row r="109">
      <c r="E109" s="1"/>
    </row>
    <row r="110">
      <c r="E110" s="1"/>
    </row>
    <row r="111">
      <c r="E111" s="1"/>
    </row>
    <row r="112">
      <c r="E112" s="1"/>
    </row>
    <row r="113">
      <c r="E113" s="1"/>
    </row>
    <row r="114">
      <c r="E114" s="1"/>
    </row>
    <row r="115">
      <c r="E115" s="1"/>
    </row>
    <row r="116">
      <c r="E116" s="1"/>
    </row>
    <row r="117">
      <c r="E117" s="1"/>
    </row>
    <row r="118">
      <c r="E118" s="1"/>
    </row>
    <row r="119">
      <c r="E119" s="1"/>
    </row>
    <row r="120">
      <c r="E120" s="1"/>
    </row>
    <row r="121">
      <c r="E121" s="1"/>
    </row>
    <row r="122">
      <c r="E122" s="1"/>
    </row>
    <row r="123">
      <c r="E123" s="1"/>
    </row>
    <row r="124">
      <c r="E124" s="1"/>
    </row>
    <row r="125">
      <c r="E125" s="1"/>
    </row>
    <row r="126">
      <c r="E126" s="1"/>
    </row>
    <row r="127">
      <c r="E127" s="1"/>
    </row>
    <row r="128">
      <c r="E128" s="1"/>
    </row>
    <row r="129">
      <c r="E129" s="1"/>
    </row>
    <row r="130">
      <c r="E130" s="1"/>
    </row>
    <row r="131">
      <c r="E131" s="1"/>
    </row>
    <row r="132">
      <c r="E132" s="1"/>
    </row>
    <row r="133">
      <c r="E133" s="1"/>
    </row>
    <row r="134">
      <c r="E134" s="1"/>
    </row>
    <row r="135">
      <c r="E135" s="1"/>
    </row>
    <row r="136">
      <c r="E136" s="1"/>
    </row>
    <row r="137">
      <c r="E137" s="1"/>
    </row>
    <row r="138">
      <c r="E138" s="1"/>
    </row>
    <row r="139">
      <c r="E139" s="1"/>
    </row>
    <row r="140">
      <c r="E140" s="1"/>
    </row>
    <row r="141">
      <c r="E141" s="1"/>
    </row>
    <row r="142">
      <c r="E142" s="1"/>
    </row>
    <row r="143">
      <c r="E143" s="1"/>
    </row>
    <row r="144">
      <c r="E144" s="1"/>
    </row>
    <row r="145">
      <c r="E145" s="1"/>
    </row>
    <row r="146">
      <c r="E146" s="1"/>
    </row>
    <row r="147">
      <c r="E147" s="1"/>
    </row>
    <row r="148">
      <c r="E148" s="1"/>
    </row>
    <row r="149">
      <c r="E149" s="1"/>
    </row>
    <row r="150">
      <c r="E150" s="1"/>
    </row>
    <row r="151">
      <c r="E151" s="1"/>
    </row>
    <row r="152">
      <c r="E152" s="1"/>
    </row>
    <row r="153">
      <c r="E153" s="1"/>
    </row>
    <row r="154">
      <c r="E154" s="1"/>
    </row>
    <row r="155">
      <c r="E155" s="1"/>
    </row>
    <row r="156">
      <c r="E156" s="1"/>
    </row>
    <row r="157">
      <c r="E157" s="1"/>
    </row>
    <row r="158">
      <c r="E158" s="1"/>
    </row>
    <row r="159">
      <c r="E159" s="1"/>
    </row>
    <row r="160">
      <c r="E160" s="1"/>
    </row>
    <row r="161">
      <c r="E161" s="1"/>
    </row>
    <row r="162">
      <c r="E162" s="1"/>
    </row>
    <row r="163">
      <c r="E163" s="1"/>
    </row>
    <row r="164">
      <c r="E164" s="1"/>
    </row>
    <row r="165">
      <c r="E165" s="1"/>
    </row>
    <row r="166">
      <c r="E166" s="1"/>
    </row>
    <row r="167">
      <c r="E167" s="1"/>
    </row>
    <row r="168">
      <c r="E168" s="1"/>
    </row>
    <row r="169">
      <c r="E169" s="1"/>
    </row>
    <row r="170">
      <c r="E170" s="1"/>
    </row>
    <row r="171">
      <c r="E171" s="1"/>
    </row>
    <row r="172">
      <c r="E172" s="1"/>
    </row>
    <row r="173">
      <c r="E173" s="1"/>
    </row>
    <row r="174">
      <c r="E174" s="1"/>
    </row>
    <row r="175">
      <c r="E175" s="1"/>
    </row>
    <row r="176">
      <c r="E176" s="1"/>
    </row>
    <row r="177">
      <c r="E177" s="1"/>
    </row>
    <row r="178">
      <c r="E178" s="1"/>
    </row>
    <row r="179">
      <c r="E179" s="1"/>
    </row>
    <row r="180">
      <c r="E180" s="1"/>
    </row>
    <row r="181">
      <c r="E181" s="1"/>
    </row>
    <row r="182">
      <c r="E182" s="1"/>
    </row>
    <row r="183">
      <c r="E183" s="1"/>
    </row>
    <row r="184">
      <c r="E184" s="1"/>
    </row>
    <row r="185">
      <c r="E185" s="1"/>
    </row>
    <row r="186">
      <c r="E186" s="1"/>
    </row>
    <row r="187">
      <c r="E187" s="1"/>
    </row>
    <row r="188">
      <c r="E188" s="1"/>
    </row>
    <row r="189">
      <c r="E189" s="1"/>
    </row>
    <row r="190">
      <c r="E190" s="1"/>
    </row>
    <row r="191">
      <c r="E191" s="1"/>
    </row>
    <row r="192">
      <c r="E192" s="1"/>
    </row>
    <row r="193">
      <c r="E193" s="1"/>
    </row>
    <row r="194">
      <c r="E194" s="1"/>
    </row>
    <row r="195">
      <c r="E195" s="1"/>
    </row>
    <row r="196">
      <c r="E196" s="1"/>
    </row>
    <row r="197">
      <c r="E197" s="1"/>
    </row>
    <row r="198">
      <c r="E198" s="1"/>
    </row>
    <row r="199">
      <c r="E199" s="1"/>
    </row>
    <row r="200">
      <c r="E200" s="1"/>
    </row>
    <row r="201">
      <c r="E201" s="1"/>
    </row>
    <row r="202">
      <c r="E202" s="1"/>
    </row>
    <row r="203">
      <c r="E203" s="1"/>
    </row>
    <row r="204">
      <c r="E204" s="1"/>
    </row>
    <row r="205">
      <c r="E205" s="1"/>
    </row>
    <row r="206">
      <c r="E206" s="1"/>
    </row>
    <row r="207">
      <c r="E207" s="1"/>
    </row>
    <row r="208">
      <c r="E208" s="1"/>
    </row>
    <row r="209">
      <c r="E209" s="1"/>
    </row>
    <row r="210">
      <c r="E210" s="1"/>
    </row>
    <row r="211">
      <c r="E211" s="1"/>
    </row>
    <row r="212">
      <c r="E212" s="1"/>
    </row>
    <row r="213">
      <c r="E213" s="1"/>
    </row>
    <row r="214">
      <c r="E214" s="1"/>
    </row>
    <row r="215">
      <c r="E215" s="1"/>
    </row>
    <row r="216">
      <c r="E216" s="1"/>
    </row>
    <row r="217">
      <c r="E217" s="1"/>
    </row>
    <row r="218">
      <c r="E218" s="1"/>
    </row>
    <row r="219">
      <c r="E219" s="1"/>
    </row>
    <row r="220">
      <c r="E220" s="1"/>
    </row>
    <row r="221">
      <c r="E221" s="1"/>
    </row>
    <row r="222">
      <c r="E222" s="1"/>
    </row>
    <row r="223">
      <c r="E223" s="1"/>
    </row>
    <row r="224">
      <c r="E224" s="1"/>
    </row>
    <row r="225">
      <c r="E225" s="1"/>
    </row>
    <row r="226">
      <c r="E226" s="1"/>
    </row>
    <row r="227">
      <c r="E227" s="1"/>
    </row>
    <row r="228">
      <c r="E228" s="1"/>
    </row>
    <row r="229">
      <c r="E229" s="1"/>
    </row>
    <row r="230">
      <c r="E230" s="1"/>
    </row>
    <row r="231">
      <c r="E231" s="1"/>
    </row>
    <row r="232">
      <c r="E232" s="1"/>
    </row>
    <row r="233">
      <c r="E233" s="1"/>
    </row>
    <row r="234">
      <c r="E234" s="1"/>
    </row>
    <row r="235">
      <c r="E235" s="1"/>
    </row>
    <row r="236">
      <c r="E236" s="1"/>
    </row>
    <row r="237">
      <c r="E237" s="1"/>
    </row>
    <row r="238">
      <c r="E238" s="1"/>
    </row>
    <row r="239">
      <c r="E239" s="1"/>
    </row>
    <row r="240">
      <c r="E240" s="1"/>
    </row>
    <row r="241">
      <c r="E241" s="1"/>
    </row>
    <row r="242">
      <c r="E242" s="1"/>
    </row>
    <row r="243">
      <c r="E243" s="1"/>
    </row>
    <row r="244">
      <c r="E244" s="1"/>
    </row>
    <row r="245">
      <c r="E245" s="1"/>
    </row>
    <row r="246">
      <c r="E246" s="1"/>
    </row>
    <row r="247">
      <c r="E247" s="1"/>
    </row>
    <row r="248">
      <c r="E248" s="1"/>
    </row>
    <row r="249">
      <c r="E249" s="1"/>
    </row>
    <row r="250">
      <c r="E250" s="1"/>
    </row>
    <row r="251">
      <c r="E251" s="1"/>
    </row>
    <row r="252">
      <c r="E252" s="1"/>
    </row>
    <row r="253">
      <c r="E253" s="1"/>
    </row>
    <row r="254">
      <c r="E254" s="1"/>
    </row>
    <row r="255">
      <c r="E255" s="1"/>
    </row>
    <row r="256">
      <c r="E256" s="1"/>
    </row>
    <row r="257">
      <c r="E257" s="1"/>
    </row>
    <row r="258">
      <c r="E258" s="1"/>
    </row>
    <row r="259">
      <c r="E259" s="1"/>
    </row>
    <row r="260">
      <c r="E260" s="1"/>
    </row>
    <row r="261">
      <c r="E261" s="1"/>
    </row>
    <row r="262">
      <c r="E262" s="1"/>
    </row>
    <row r="263">
      <c r="E263" s="1"/>
    </row>
    <row r="264">
      <c r="E264" s="1"/>
    </row>
    <row r="265">
      <c r="E265" s="1"/>
    </row>
    <row r="266">
      <c r="E266" s="1"/>
    </row>
    <row r="267">
      <c r="E267" s="1"/>
    </row>
    <row r="268">
      <c r="E268" s="1"/>
    </row>
    <row r="269">
      <c r="E269" s="1"/>
    </row>
    <row r="270">
      <c r="E270" s="1"/>
    </row>
    <row r="271">
      <c r="E271" s="1"/>
    </row>
    <row r="272">
      <c r="E272" s="1"/>
    </row>
    <row r="273">
      <c r="E273" s="1"/>
    </row>
    <row r="274">
      <c r="E274" s="1"/>
    </row>
    <row r="275">
      <c r="E275" s="1"/>
    </row>
    <row r="276">
      <c r="E276" s="1"/>
    </row>
    <row r="277">
      <c r="E277" s="1"/>
    </row>
    <row r="278">
      <c r="E278" s="1"/>
    </row>
    <row r="279">
      <c r="E279" s="1"/>
    </row>
    <row r="280">
      <c r="E280" s="1"/>
    </row>
    <row r="281">
      <c r="E281" s="1"/>
    </row>
    <row r="282">
      <c r="E282" s="1"/>
    </row>
    <row r="283">
      <c r="E283" s="1"/>
    </row>
    <row r="284">
      <c r="E284" s="1"/>
    </row>
    <row r="285">
      <c r="E285" s="1"/>
    </row>
    <row r="286">
      <c r="E286" s="1"/>
    </row>
    <row r="287">
      <c r="E287" s="1"/>
    </row>
    <row r="288">
      <c r="E288" s="1"/>
    </row>
    <row r="289">
      <c r="E289" s="1"/>
    </row>
    <row r="290">
      <c r="E290" s="1"/>
    </row>
    <row r="291">
      <c r="E291" s="1"/>
    </row>
    <row r="292">
      <c r="E292" s="1"/>
    </row>
    <row r="293">
      <c r="E293" s="1"/>
    </row>
    <row r="294">
      <c r="E294" s="1"/>
    </row>
    <row r="295">
      <c r="E295" s="1"/>
    </row>
    <row r="296">
      <c r="E296" s="1"/>
    </row>
    <row r="297">
      <c r="E297" s="1"/>
    </row>
    <row r="298">
      <c r="E298" s="1"/>
    </row>
    <row r="299">
      <c r="E299" s="1"/>
    </row>
    <row r="300">
      <c r="E300" s="1"/>
    </row>
    <row r="301">
      <c r="E301" s="1"/>
    </row>
    <row r="302">
      <c r="E302" s="1"/>
    </row>
    <row r="303">
      <c r="E303" s="1"/>
    </row>
    <row r="304">
      <c r="E304" s="1"/>
    </row>
    <row r="305">
      <c r="E305" s="1"/>
    </row>
    <row r="306">
      <c r="E306" s="1"/>
    </row>
    <row r="307">
      <c r="E307" s="1"/>
    </row>
    <row r="308">
      <c r="E308" s="1"/>
    </row>
    <row r="309">
      <c r="E309" s="1"/>
    </row>
    <row r="310">
      <c r="E310" s="1"/>
    </row>
    <row r="311">
      <c r="E311" s="1"/>
    </row>
    <row r="312">
      <c r="E312" s="1"/>
    </row>
    <row r="313">
      <c r="E313" s="1"/>
    </row>
    <row r="314">
      <c r="E314" s="1"/>
    </row>
    <row r="315">
      <c r="E315" s="1"/>
    </row>
    <row r="316">
      <c r="E316" s="1"/>
    </row>
    <row r="317">
      <c r="E317" s="1"/>
    </row>
    <row r="318">
      <c r="E318" s="1"/>
    </row>
    <row r="319">
      <c r="E319" s="1"/>
    </row>
    <row r="320">
      <c r="E320" s="1"/>
    </row>
    <row r="321">
      <c r="E321" s="1"/>
    </row>
    <row r="322">
      <c r="E322" s="1"/>
    </row>
    <row r="323">
      <c r="E323" s="1"/>
    </row>
    <row r="324">
      <c r="E324" s="1"/>
    </row>
    <row r="325">
      <c r="E325" s="1"/>
    </row>
    <row r="326">
      <c r="E326" s="1"/>
    </row>
    <row r="327">
      <c r="E327" s="1"/>
    </row>
    <row r="328">
      <c r="E328" s="1"/>
    </row>
    <row r="329">
      <c r="E329" s="1"/>
    </row>
    <row r="330">
      <c r="E330" s="1"/>
    </row>
    <row r="331">
      <c r="E331" s="1"/>
    </row>
    <row r="332">
      <c r="E332" s="1"/>
    </row>
    <row r="333">
      <c r="E333" s="1"/>
    </row>
    <row r="334">
      <c r="E334" s="1"/>
    </row>
    <row r="335">
      <c r="E335" s="1"/>
    </row>
    <row r="336">
      <c r="E336" s="1"/>
    </row>
    <row r="337">
      <c r="E337" s="1"/>
    </row>
    <row r="338">
      <c r="E338" s="1"/>
    </row>
    <row r="339">
      <c r="E339" s="1"/>
    </row>
    <row r="340">
      <c r="E340" s="1"/>
    </row>
    <row r="341">
      <c r="E341" s="1"/>
    </row>
    <row r="342">
      <c r="E342" s="1"/>
    </row>
    <row r="343">
      <c r="E343" s="1"/>
    </row>
    <row r="344">
      <c r="E344" s="1"/>
    </row>
    <row r="345">
      <c r="E345" s="1"/>
    </row>
    <row r="346">
      <c r="E346" s="1"/>
    </row>
    <row r="347">
      <c r="E347" s="1"/>
    </row>
    <row r="348">
      <c r="E348" s="1"/>
    </row>
    <row r="349">
      <c r="E349" s="1"/>
    </row>
    <row r="350">
      <c r="E350" s="1"/>
    </row>
    <row r="351">
      <c r="E351" s="1"/>
    </row>
    <row r="352">
      <c r="E352" s="1"/>
    </row>
    <row r="353">
      <c r="E353" s="1"/>
    </row>
    <row r="354">
      <c r="E354" s="1"/>
    </row>
    <row r="355">
      <c r="E355" s="1"/>
    </row>
    <row r="356">
      <c r="E356" s="1"/>
    </row>
    <row r="357">
      <c r="E357" s="1"/>
    </row>
    <row r="358">
      <c r="E358" s="1"/>
    </row>
    <row r="359">
      <c r="E359" s="1"/>
    </row>
    <row r="360">
      <c r="E360" s="1"/>
    </row>
    <row r="361">
      <c r="E361" s="1"/>
    </row>
    <row r="362">
      <c r="E362" s="1"/>
    </row>
    <row r="363">
      <c r="E363" s="1"/>
    </row>
    <row r="364">
      <c r="E364" s="1"/>
    </row>
    <row r="365">
      <c r="E365" s="1"/>
    </row>
    <row r="366">
      <c r="E366" s="1"/>
    </row>
    <row r="367">
      <c r="E367" s="1"/>
    </row>
    <row r="368">
      <c r="E368" s="1"/>
    </row>
    <row r="369">
      <c r="E369" s="1"/>
    </row>
    <row r="370">
      <c r="E370" s="1"/>
    </row>
    <row r="371">
      <c r="E371" s="1"/>
    </row>
    <row r="372">
      <c r="E372" s="1"/>
    </row>
    <row r="373">
      <c r="E373" s="1"/>
    </row>
    <row r="374">
      <c r="E374" s="1"/>
    </row>
    <row r="375">
      <c r="E375" s="1"/>
    </row>
    <row r="376">
      <c r="E376" s="1"/>
    </row>
    <row r="377">
      <c r="E377" s="1"/>
    </row>
    <row r="378">
      <c r="E378" s="1"/>
    </row>
    <row r="379">
      <c r="E379" s="1"/>
    </row>
    <row r="380">
      <c r="E380" s="1"/>
    </row>
    <row r="381">
      <c r="E381" s="1"/>
    </row>
    <row r="382">
      <c r="E382" s="1"/>
    </row>
    <row r="383">
      <c r="E383" s="1"/>
    </row>
    <row r="384">
      <c r="E384" s="1"/>
    </row>
    <row r="385">
      <c r="E385" s="1"/>
    </row>
    <row r="386">
      <c r="E386" s="1"/>
    </row>
    <row r="387">
      <c r="E387" s="1"/>
    </row>
    <row r="388">
      <c r="E388" s="1"/>
    </row>
    <row r="389">
      <c r="E389" s="1"/>
    </row>
    <row r="390">
      <c r="E390" s="1"/>
    </row>
    <row r="391">
      <c r="E391" s="1"/>
    </row>
    <row r="392">
      <c r="E392" s="1"/>
    </row>
    <row r="393">
      <c r="E393" s="1"/>
    </row>
    <row r="394">
      <c r="E394" s="1"/>
    </row>
    <row r="395">
      <c r="E395" s="1"/>
    </row>
    <row r="396">
      <c r="E396" s="1"/>
    </row>
    <row r="397">
      <c r="E397" s="1"/>
    </row>
    <row r="398">
      <c r="E398" s="1"/>
    </row>
    <row r="399">
      <c r="E399" s="1"/>
    </row>
    <row r="400">
      <c r="E400" s="1"/>
    </row>
    <row r="401">
      <c r="E401" s="1"/>
    </row>
    <row r="402">
      <c r="E402" s="1"/>
    </row>
    <row r="403">
      <c r="E403" s="1"/>
    </row>
    <row r="404">
      <c r="E404" s="1"/>
    </row>
    <row r="405">
      <c r="E405" s="1"/>
    </row>
    <row r="406">
      <c r="E406" s="1"/>
    </row>
    <row r="407">
      <c r="E407" s="1"/>
    </row>
    <row r="408">
      <c r="E408" s="1"/>
    </row>
    <row r="409">
      <c r="E409" s="1"/>
    </row>
    <row r="410">
      <c r="E410" s="1"/>
    </row>
    <row r="411">
      <c r="E411" s="1"/>
    </row>
    <row r="412">
      <c r="E412" s="1"/>
    </row>
    <row r="413">
      <c r="E413" s="1"/>
    </row>
    <row r="414">
      <c r="E414" s="1"/>
    </row>
    <row r="415">
      <c r="E415" s="1"/>
    </row>
    <row r="416">
      <c r="E416" s="1"/>
    </row>
    <row r="417">
      <c r="E417" s="1"/>
    </row>
    <row r="418">
      <c r="E418" s="1"/>
    </row>
    <row r="419">
      <c r="E419" s="1"/>
    </row>
    <row r="420">
      <c r="E420" s="1"/>
    </row>
    <row r="421">
      <c r="E421" s="1"/>
    </row>
    <row r="422">
      <c r="E422" s="1"/>
    </row>
    <row r="423">
      <c r="E423" s="1"/>
    </row>
    <row r="424">
      <c r="E424" s="1"/>
    </row>
    <row r="425">
      <c r="E425" s="1"/>
    </row>
    <row r="426">
      <c r="E426" s="1"/>
    </row>
    <row r="427">
      <c r="E427" s="1"/>
    </row>
    <row r="428">
      <c r="E428" s="1"/>
    </row>
    <row r="429">
      <c r="E429" s="1"/>
    </row>
    <row r="430">
      <c r="E430" s="1"/>
    </row>
    <row r="431">
      <c r="E431" s="1"/>
    </row>
    <row r="432">
      <c r="E432" s="1"/>
    </row>
    <row r="433">
      <c r="E433" s="1"/>
    </row>
    <row r="434">
      <c r="E434" s="1"/>
    </row>
    <row r="435">
      <c r="E435" s="1"/>
    </row>
    <row r="436">
      <c r="E436" s="1"/>
    </row>
    <row r="437">
      <c r="E437" s="1"/>
    </row>
    <row r="438">
      <c r="E438" s="1"/>
    </row>
    <row r="439">
      <c r="E439" s="1"/>
    </row>
    <row r="440">
      <c r="E440" s="1"/>
    </row>
    <row r="441">
      <c r="E441" s="1"/>
    </row>
    <row r="442">
      <c r="E442" s="1"/>
    </row>
    <row r="443">
      <c r="E443" s="1"/>
    </row>
    <row r="444">
      <c r="E444" s="1"/>
    </row>
    <row r="445">
      <c r="E445" s="1"/>
    </row>
    <row r="446">
      <c r="E446" s="1"/>
    </row>
    <row r="447">
      <c r="E447" s="1"/>
    </row>
    <row r="448">
      <c r="E448" s="1"/>
    </row>
    <row r="449">
      <c r="E449" s="1"/>
    </row>
    <row r="450">
      <c r="E450" s="1"/>
    </row>
    <row r="451">
      <c r="E451" s="1"/>
    </row>
    <row r="452">
      <c r="E452" s="1"/>
    </row>
    <row r="453">
      <c r="E453" s="1"/>
    </row>
    <row r="454">
      <c r="E454" s="1"/>
    </row>
    <row r="455">
      <c r="E455" s="1"/>
    </row>
    <row r="456">
      <c r="E456" s="1"/>
    </row>
    <row r="457">
      <c r="E457" s="1"/>
    </row>
    <row r="458">
      <c r="E458" s="1"/>
    </row>
    <row r="459">
      <c r="E459" s="1"/>
    </row>
    <row r="460">
      <c r="E460" s="1"/>
    </row>
    <row r="461">
      <c r="E461" s="1"/>
    </row>
    <row r="462">
      <c r="E462" s="1"/>
    </row>
    <row r="463">
      <c r="E463" s="1"/>
    </row>
    <row r="464">
      <c r="E464" s="1"/>
    </row>
    <row r="465">
      <c r="E465" s="1"/>
    </row>
    <row r="466">
      <c r="E466" s="1"/>
    </row>
    <row r="467">
      <c r="E467" s="1"/>
    </row>
    <row r="468">
      <c r="E468" s="1"/>
    </row>
    <row r="469">
      <c r="E469" s="1"/>
    </row>
    <row r="470">
      <c r="E470" s="1"/>
    </row>
    <row r="471">
      <c r="E471" s="1"/>
    </row>
    <row r="472">
      <c r="E472" s="1"/>
    </row>
    <row r="473">
      <c r="E473" s="1"/>
    </row>
    <row r="474">
      <c r="E474" s="1"/>
    </row>
    <row r="475">
      <c r="E475" s="1"/>
    </row>
    <row r="476">
      <c r="E476" s="1"/>
    </row>
    <row r="477">
      <c r="E477" s="1"/>
    </row>
    <row r="478">
      <c r="E478" s="1"/>
    </row>
    <row r="479">
      <c r="E479" s="1"/>
    </row>
    <row r="480">
      <c r="E480" s="1"/>
    </row>
    <row r="481">
      <c r="E481" s="1"/>
    </row>
    <row r="482">
      <c r="E482" s="1"/>
    </row>
    <row r="483">
      <c r="E483" s="1"/>
    </row>
    <row r="484">
      <c r="E484" s="1"/>
    </row>
    <row r="485">
      <c r="E485" s="1"/>
    </row>
    <row r="486">
      <c r="E486" s="1"/>
    </row>
    <row r="487">
      <c r="E487" s="1"/>
    </row>
    <row r="488">
      <c r="E488" s="1"/>
    </row>
    <row r="489">
      <c r="E489" s="1"/>
    </row>
    <row r="490">
      <c r="E490" s="1"/>
    </row>
    <row r="491">
      <c r="E491" s="1"/>
    </row>
    <row r="492">
      <c r="E492" s="1"/>
    </row>
    <row r="493">
      <c r="E493" s="1"/>
    </row>
    <row r="494">
      <c r="E494" s="1"/>
    </row>
    <row r="495">
      <c r="E495" s="1"/>
    </row>
    <row r="496">
      <c r="E496" s="1"/>
    </row>
    <row r="497">
      <c r="E497" s="1"/>
    </row>
    <row r="498">
      <c r="E498" s="1"/>
    </row>
    <row r="499">
      <c r="E499" s="1"/>
    </row>
    <row r="500">
      <c r="E500" s="1"/>
    </row>
    <row r="501">
      <c r="E501" s="1"/>
    </row>
    <row r="502">
      <c r="E502" s="1"/>
    </row>
    <row r="503">
      <c r="E503" s="1"/>
    </row>
    <row r="504">
      <c r="E504" s="1"/>
    </row>
    <row r="505">
      <c r="E505" s="1"/>
    </row>
    <row r="506">
      <c r="E506" s="1"/>
    </row>
    <row r="507">
      <c r="E507" s="1"/>
    </row>
    <row r="508">
      <c r="E508" s="1"/>
    </row>
    <row r="509">
      <c r="E509" s="1"/>
    </row>
    <row r="510">
      <c r="E510" s="1"/>
    </row>
    <row r="511">
      <c r="E511" s="1"/>
    </row>
    <row r="512">
      <c r="E512" s="1"/>
    </row>
    <row r="513">
      <c r="E513" s="1"/>
    </row>
    <row r="514">
      <c r="E514" s="1"/>
    </row>
    <row r="515">
      <c r="E515" s="1"/>
    </row>
    <row r="516">
      <c r="E516" s="1"/>
    </row>
    <row r="517">
      <c r="E517" s="1"/>
    </row>
    <row r="518">
      <c r="E518" s="1"/>
    </row>
    <row r="519">
      <c r="E519" s="1"/>
    </row>
    <row r="520">
      <c r="E520" s="1"/>
    </row>
    <row r="521">
      <c r="E521" s="1"/>
    </row>
    <row r="522">
      <c r="E522" s="1"/>
    </row>
    <row r="523">
      <c r="E523" s="1"/>
    </row>
    <row r="524">
      <c r="E524" s="1"/>
    </row>
    <row r="525">
      <c r="E525" s="1"/>
    </row>
    <row r="526">
      <c r="E526" s="1"/>
    </row>
    <row r="527">
      <c r="E527" s="1"/>
    </row>
    <row r="528">
      <c r="E528" s="1"/>
    </row>
    <row r="529">
      <c r="E529" s="1"/>
    </row>
    <row r="530">
      <c r="E530" s="1"/>
    </row>
    <row r="531">
      <c r="E531" s="1"/>
    </row>
    <row r="532">
      <c r="E532" s="1"/>
    </row>
    <row r="533">
      <c r="E533" s="1"/>
    </row>
    <row r="534">
      <c r="E534" s="1"/>
    </row>
    <row r="535">
      <c r="E535" s="1"/>
    </row>
    <row r="536">
      <c r="E536" s="1"/>
    </row>
    <row r="537">
      <c r="E537" s="1"/>
    </row>
    <row r="538">
      <c r="E538" s="1"/>
    </row>
    <row r="539">
      <c r="E539" s="1"/>
    </row>
    <row r="540">
      <c r="E540" s="1"/>
    </row>
    <row r="541">
      <c r="E541" s="1"/>
    </row>
    <row r="542">
      <c r="E542" s="1"/>
    </row>
    <row r="543">
      <c r="E543" s="1"/>
    </row>
    <row r="544">
      <c r="E544" s="1"/>
    </row>
    <row r="545">
      <c r="E545" s="1"/>
    </row>
    <row r="546">
      <c r="E546" s="1"/>
    </row>
    <row r="547">
      <c r="E547" s="1"/>
    </row>
    <row r="548">
      <c r="E548" s="1"/>
    </row>
    <row r="549">
      <c r="E549" s="1"/>
    </row>
    <row r="550">
      <c r="E550" s="1"/>
    </row>
    <row r="551">
      <c r="E551" s="1"/>
    </row>
    <row r="552">
      <c r="E552" s="1"/>
    </row>
    <row r="553">
      <c r="E553" s="1"/>
    </row>
    <row r="554">
      <c r="E554" s="1"/>
    </row>
    <row r="555">
      <c r="E555" s="1"/>
    </row>
    <row r="556">
      <c r="E556" s="1"/>
    </row>
    <row r="557">
      <c r="E557" s="1"/>
    </row>
    <row r="558">
      <c r="E558" s="1"/>
    </row>
    <row r="559">
      <c r="E559" s="1"/>
    </row>
    <row r="560">
      <c r="E560" s="1"/>
    </row>
    <row r="561">
      <c r="E561" s="1"/>
    </row>
    <row r="562">
      <c r="E562" s="1"/>
    </row>
    <row r="563">
      <c r="E563" s="1"/>
    </row>
    <row r="564">
      <c r="E564" s="1"/>
    </row>
    <row r="565">
      <c r="E565" s="1"/>
    </row>
    <row r="566">
      <c r="E566" s="1"/>
    </row>
    <row r="567">
      <c r="E567" s="1"/>
    </row>
    <row r="568">
      <c r="E568" s="1"/>
    </row>
    <row r="569">
      <c r="E569" s="1"/>
    </row>
    <row r="570">
      <c r="E570" s="1"/>
    </row>
    <row r="571">
      <c r="E571" s="1"/>
    </row>
    <row r="572">
      <c r="E572" s="1"/>
    </row>
    <row r="573">
      <c r="E573" s="1"/>
    </row>
    <row r="574">
      <c r="E574" s="1"/>
    </row>
    <row r="575">
      <c r="E575" s="1"/>
    </row>
    <row r="576">
      <c r="E576" s="1"/>
    </row>
    <row r="577">
      <c r="E577" s="1"/>
    </row>
    <row r="578">
      <c r="E578" s="1"/>
    </row>
    <row r="579">
      <c r="E579" s="1"/>
    </row>
    <row r="580">
      <c r="E580" s="1"/>
    </row>
    <row r="581">
      <c r="E581" s="1"/>
    </row>
    <row r="582">
      <c r="E582" s="1"/>
    </row>
    <row r="583">
      <c r="E583" s="1"/>
    </row>
    <row r="584">
      <c r="E584" s="1"/>
    </row>
    <row r="585">
      <c r="E585" s="1"/>
    </row>
    <row r="586">
      <c r="E586" s="1"/>
    </row>
    <row r="587">
      <c r="E587" s="1"/>
    </row>
    <row r="588">
      <c r="E588" s="1"/>
    </row>
    <row r="589">
      <c r="E589" s="1"/>
    </row>
    <row r="590">
      <c r="E590" s="1"/>
    </row>
    <row r="591">
      <c r="E591" s="1"/>
    </row>
    <row r="592">
      <c r="E592" s="1"/>
    </row>
    <row r="593">
      <c r="E593" s="1"/>
    </row>
    <row r="594">
      <c r="E594" s="1"/>
    </row>
    <row r="595">
      <c r="E595" s="1"/>
    </row>
    <row r="596">
      <c r="E596" s="1"/>
    </row>
    <row r="597">
      <c r="E597" s="1"/>
    </row>
    <row r="598">
      <c r="E598" s="1"/>
    </row>
    <row r="599">
      <c r="E599" s="1"/>
    </row>
    <row r="600">
      <c r="E600" s="1"/>
    </row>
    <row r="601">
      <c r="E601" s="1"/>
    </row>
    <row r="602">
      <c r="E602" s="1"/>
    </row>
    <row r="603">
      <c r="E603" s="1"/>
    </row>
    <row r="604">
      <c r="E604" s="1"/>
    </row>
    <row r="605">
      <c r="E605" s="1"/>
    </row>
    <row r="606">
      <c r="E606" s="1"/>
    </row>
    <row r="607">
      <c r="E607" s="1"/>
    </row>
    <row r="608">
      <c r="E608" s="1"/>
    </row>
    <row r="609">
      <c r="E609" s="1"/>
    </row>
    <row r="610">
      <c r="E610" s="1"/>
    </row>
    <row r="611">
      <c r="E611" s="1"/>
    </row>
    <row r="612">
      <c r="E612" s="1"/>
    </row>
    <row r="613">
      <c r="E613" s="1"/>
    </row>
    <row r="614">
      <c r="E614" s="1"/>
    </row>
    <row r="615">
      <c r="E615" s="1"/>
    </row>
    <row r="616">
      <c r="E616" s="1"/>
    </row>
    <row r="617">
      <c r="E617" s="1"/>
    </row>
    <row r="618">
      <c r="E618" s="1"/>
    </row>
    <row r="619">
      <c r="E619" s="1"/>
    </row>
    <row r="620">
      <c r="E620" s="1"/>
    </row>
    <row r="621">
      <c r="E621" s="1"/>
    </row>
    <row r="622">
      <c r="E622" s="1"/>
    </row>
    <row r="623">
      <c r="E623" s="1"/>
    </row>
    <row r="624">
      <c r="E624" s="1"/>
    </row>
    <row r="625">
      <c r="E625" s="1"/>
    </row>
    <row r="626">
      <c r="E626" s="1"/>
    </row>
    <row r="627">
      <c r="E627" s="1"/>
    </row>
    <row r="628">
      <c r="E628" s="1"/>
    </row>
    <row r="629">
      <c r="E629" s="1"/>
    </row>
    <row r="630">
      <c r="E630" s="1"/>
    </row>
    <row r="631">
      <c r="E631" s="1"/>
    </row>
    <row r="632">
      <c r="E632" s="1"/>
    </row>
    <row r="633">
      <c r="E633" s="1"/>
    </row>
    <row r="634">
      <c r="E634" s="1"/>
    </row>
    <row r="635">
      <c r="E635" s="1"/>
    </row>
    <row r="636">
      <c r="E636" s="1"/>
    </row>
    <row r="637">
      <c r="E637" s="1"/>
    </row>
    <row r="638">
      <c r="E638" s="1"/>
    </row>
    <row r="639">
      <c r="E639" s="1"/>
    </row>
    <row r="640">
      <c r="E640" s="1"/>
    </row>
    <row r="641">
      <c r="E641" s="1"/>
    </row>
    <row r="642">
      <c r="E642" s="1"/>
    </row>
    <row r="643">
      <c r="E643" s="1"/>
    </row>
    <row r="644">
      <c r="E644" s="1"/>
    </row>
    <row r="645">
      <c r="E645" s="1"/>
    </row>
    <row r="646">
      <c r="E646" s="1"/>
    </row>
    <row r="647">
      <c r="E647" s="1"/>
    </row>
    <row r="648">
      <c r="E648" s="1"/>
    </row>
    <row r="649">
      <c r="E649" s="1"/>
    </row>
    <row r="650">
      <c r="E650" s="1"/>
    </row>
    <row r="651">
      <c r="E651" s="1"/>
    </row>
    <row r="652">
      <c r="E652" s="1"/>
    </row>
    <row r="653">
      <c r="E653" s="1"/>
    </row>
    <row r="654">
      <c r="E654" s="1"/>
    </row>
    <row r="655">
      <c r="E655" s="1"/>
    </row>
    <row r="656">
      <c r="E656" s="1"/>
    </row>
    <row r="657">
      <c r="E657" s="1"/>
    </row>
    <row r="658">
      <c r="E658" s="1"/>
    </row>
    <row r="659">
      <c r="E659" s="1"/>
    </row>
    <row r="660">
      <c r="E660" s="1"/>
    </row>
    <row r="661">
      <c r="E661" s="1"/>
    </row>
    <row r="662">
      <c r="E662" s="1"/>
    </row>
    <row r="663">
      <c r="E663" s="1"/>
    </row>
    <row r="664">
      <c r="E664" s="1"/>
    </row>
    <row r="665">
      <c r="E665" s="1"/>
    </row>
    <row r="666">
      <c r="E666" s="1"/>
    </row>
    <row r="667">
      <c r="E667" s="1"/>
    </row>
    <row r="668">
      <c r="E668" s="1"/>
    </row>
    <row r="669">
      <c r="E669" s="1"/>
    </row>
    <row r="670">
      <c r="E670" s="1"/>
    </row>
    <row r="671">
      <c r="E671" s="1"/>
    </row>
    <row r="672">
      <c r="E672" s="1"/>
    </row>
    <row r="673">
      <c r="E673" s="1"/>
    </row>
    <row r="674">
      <c r="E674" s="1"/>
    </row>
    <row r="675">
      <c r="E675" s="1"/>
    </row>
    <row r="676">
      <c r="E676" s="1"/>
    </row>
    <row r="677">
      <c r="E677" s="1"/>
    </row>
    <row r="678">
      <c r="E678" s="1"/>
    </row>
    <row r="679">
      <c r="E679" s="1"/>
    </row>
    <row r="680">
      <c r="E680" s="1"/>
    </row>
    <row r="681">
      <c r="E681" s="1"/>
    </row>
    <row r="682">
      <c r="E682" s="1"/>
    </row>
    <row r="683">
      <c r="E683" s="1"/>
    </row>
    <row r="684">
      <c r="E684" s="1"/>
    </row>
    <row r="685">
      <c r="E685" s="1"/>
    </row>
    <row r="686">
      <c r="E686" s="1"/>
    </row>
    <row r="687">
      <c r="E687" s="1"/>
    </row>
    <row r="688">
      <c r="E688" s="1"/>
    </row>
    <row r="689">
      <c r="E689" s="1"/>
    </row>
    <row r="690">
      <c r="E690" s="1"/>
    </row>
    <row r="691">
      <c r="E691" s="1"/>
    </row>
    <row r="692">
      <c r="E692" s="1"/>
    </row>
    <row r="693">
      <c r="E693" s="1"/>
    </row>
    <row r="694">
      <c r="E694" s="1"/>
    </row>
    <row r="695">
      <c r="E695" s="1"/>
    </row>
    <row r="696">
      <c r="E696" s="1"/>
    </row>
    <row r="697">
      <c r="E697" s="1"/>
    </row>
    <row r="698">
      <c r="E698" s="1"/>
    </row>
    <row r="699">
      <c r="E699" s="1"/>
    </row>
    <row r="700">
      <c r="E700" s="1"/>
    </row>
    <row r="701">
      <c r="E701" s="1"/>
    </row>
    <row r="702">
      <c r="E702" s="1"/>
    </row>
    <row r="703">
      <c r="E703" s="1"/>
    </row>
    <row r="704">
      <c r="E704" s="1"/>
    </row>
    <row r="705">
      <c r="E705" s="1"/>
    </row>
    <row r="706">
      <c r="E706" s="1"/>
    </row>
    <row r="707">
      <c r="E707" s="1"/>
    </row>
    <row r="708">
      <c r="E708" s="1"/>
    </row>
    <row r="709">
      <c r="E709" s="1"/>
    </row>
    <row r="710">
      <c r="E710" s="1"/>
    </row>
    <row r="711">
      <c r="E711" s="1"/>
    </row>
    <row r="712">
      <c r="E712" s="1"/>
    </row>
    <row r="713">
      <c r="E713" s="1"/>
    </row>
    <row r="714">
      <c r="E714" s="1"/>
    </row>
    <row r="715">
      <c r="E715" s="1"/>
    </row>
    <row r="716">
      <c r="E716" s="1"/>
    </row>
    <row r="717">
      <c r="E717" s="1"/>
    </row>
    <row r="718">
      <c r="E718" s="1"/>
    </row>
    <row r="719">
      <c r="E719" s="1"/>
    </row>
    <row r="720">
      <c r="E720" s="1"/>
    </row>
    <row r="721">
      <c r="E721" s="1"/>
    </row>
    <row r="722">
      <c r="E722" s="1"/>
    </row>
    <row r="723">
      <c r="E723" s="1"/>
    </row>
    <row r="724">
      <c r="E724" s="1"/>
    </row>
    <row r="725">
      <c r="E725" s="1"/>
    </row>
    <row r="726">
      <c r="E726" s="1"/>
    </row>
    <row r="727">
      <c r="E727" s="1"/>
    </row>
    <row r="728">
      <c r="E728" s="1"/>
    </row>
    <row r="729">
      <c r="E729" s="1"/>
    </row>
    <row r="730">
      <c r="E730" s="1"/>
    </row>
    <row r="731">
      <c r="E731" s="1"/>
    </row>
    <row r="732">
      <c r="E732" s="1"/>
    </row>
    <row r="733">
      <c r="E733" s="1"/>
    </row>
    <row r="734">
      <c r="E734" s="1"/>
    </row>
    <row r="735">
      <c r="E735" s="1"/>
    </row>
    <row r="736">
      <c r="E736" s="1"/>
    </row>
    <row r="737">
      <c r="E737" s="1"/>
    </row>
    <row r="738">
      <c r="E738" s="1"/>
    </row>
    <row r="739">
      <c r="E739" s="1"/>
    </row>
    <row r="740">
      <c r="E740" s="1"/>
    </row>
    <row r="741">
      <c r="E741" s="1"/>
    </row>
    <row r="742">
      <c r="E742" s="1"/>
    </row>
    <row r="743">
      <c r="E743" s="1"/>
    </row>
    <row r="744">
      <c r="E744" s="1"/>
    </row>
    <row r="745">
      <c r="E745" s="1"/>
    </row>
    <row r="746">
      <c r="E746" s="1"/>
    </row>
    <row r="747">
      <c r="E747" s="1"/>
    </row>
    <row r="748">
      <c r="E748" s="1"/>
    </row>
    <row r="749">
      <c r="E749" s="1"/>
    </row>
    <row r="750">
      <c r="E750" s="1"/>
    </row>
    <row r="751">
      <c r="E751" s="1"/>
    </row>
    <row r="752">
      <c r="E752" s="1"/>
    </row>
    <row r="753">
      <c r="E753" s="1"/>
    </row>
    <row r="754">
      <c r="E754" s="1"/>
    </row>
    <row r="755">
      <c r="E755" s="1"/>
    </row>
    <row r="756">
      <c r="E756" s="1"/>
    </row>
    <row r="757">
      <c r="E757" s="1"/>
    </row>
    <row r="758">
      <c r="E758" s="1"/>
    </row>
    <row r="759">
      <c r="E759" s="1"/>
    </row>
    <row r="760">
      <c r="E760" s="1"/>
    </row>
    <row r="761">
      <c r="E761" s="1"/>
    </row>
    <row r="762">
      <c r="E762" s="1"/>
    </row>
    <row r="763">
      <c r="E763" s="1"/>
    </row>
    <row r="764">
      <c r="E764" s="1"/>
    </row>
    <row r="765">
      <c r="E765" s="1"/>
    </row>
    <row r="766">
      <c r="E766" s="1"/>
    </row>
    <row r="767">
      <c r="E767" s="1"/>
    </row>
    <row r="768">
      <c r="E768" s="1"/>
    </row>
    <row r="769">
      <c r="E769" s="1"/>
    </row>
    <row r="770">
      <c r="E770" s="1"/>
    </row>
    <row r="771">
      <c r="E771" s="1"/>
    </row>
    <row r="772">
      <c r="E772" s="1"/>
    </row>
    <row r="773">
      <c r="E773" s="1"/>
    </row>
    <row r="774">
      <c r="E774" s="1"/>
    </row>
    <row r="775">
      <c r="E775" s="1"/>
    </row>
    <row r="776">
      <c r="E776" s="1"/>
    </row>
    <row r="777">
      <c r="E777" s="1"/>
    </row>
    <row r="778">
      <c r="E778" s="1"/>
    </row>
    <row r="779">
      <c r="E779" s="1"/>
    </row>
    <row r="780">
      <c r="E780" s="1"/>
    </row>
    <row r="781">
      <c r="E781" s="1"/>
    </row>
    <row r="782">
      <c r="E782" s="1"/>
    </row>
    <row r="783">
      <c r="E783" s="1"/>
    </row>
    <row r="784">
      <c r="E784" s="1"/>
    </row>
    <row r="785">
      <c r="E785" s="1"/>
    </row>
    <row r="786">
      <c r="E786" s="1"/>
    </row>
    <row r="787">
      <c r="E787" s="1"/>
    </row>
    <row r="788">
      <c r="E788" s="1"/>
    </row>
    <row r="789">
      <c r="E789" s="1"/>
    </row>
    <row r="790">
      <c r="E790" s="1"/>
    </row>
    <row r="791">
      <c r="E791" s="1"/>
    </row>
    <row r="792">
      <c r="E792" s="1"/>
    </row>
    <row r="793">
      <c r="E793" s="1"/>
    </row>
    <row r="794">
      <c r="E794" s="1"/>
    </row>
    <row r="795">
      <c r="E795" s="1"/>
    </row>
    <row r="796">
      <c r="E796" s="1"/>
    </row>
    <row r="797">
      <c r="E797" s="1"/>
    </row>
    <row r="798">
      <c r="E798" s="1"/>
    </row>
    <row r="799">
      <c r="E799" s="1"/>
    </row>
    <row r="800">
      <c r="E800" s="1"/>
    </row>
    <row r="801">
      <c r="E801" s="1"/>
    </row>
    <row r="802">
      <c r="E802" s="1"/>
    </row>
    <row r="803">
      <c r="E803" s="1"/>
    </row>
    <row r="804">
      <c r="E804" s="1"/>
    </row>
    <row r="805">
      <c r="E805" s="1"/>
    </row>
    <row r="806">
      <c r="E806" s="1"/>
    </row>
    <row r="807">
      <c r="E807" s="1"/>
    </row>
    <row r="808">
      <c r="E808" s="1"/>
    </row>
    <row r="809">
      <c r="E809" s="1"/>
    </row>
    <row r="810">
      <c r="E810" s="1"/>
    </row>
    <row r="811">
      <c r="E811" s="1"/>
    </row>
    <row r="812">
      <c r="E812" s="1"/>
    </row>
    <row r="813">
      <c r="E813" s="1"/>
    </row>
    <row r="814">
      <c r="E814" s="1"/>
    </row>
    <row r="815">
      <c r="E815" s="1"/>
    </row>
    <row r="816">
      <c r="E816" s="1"/>
    </row>
    <row r="817">
      <c r="E817" s="1"/>
    </row>
    <row r="818">
      <c r="E818" s="1"/>
    </row>
    <row r="819">
      <c r="E819" s="1"/>
    </row>
    <row r="820">
      <c r="E820" s="1"/>
    </row>
    <row r="821">
      <c r="E821" s="1"/>
    </row>
    <row r="822">
      <c r="E822" s="1"/>
    </row>
    <row r="823">
      <c r="E823" s="1"/>
    </row>
    <row r="824">
      <c r="E824" s="1"/>
    </row>
    <row r="825">
      <c r="E825" s="1"/>
    </row>
    <row r="826">
      <c r="E826" s="1"/>
    </row>
    <row r="827">
      <c r="E827" s="1"/>
    </row>
    <row r="828">
      <c r="E828" s="1"/>
    </row>
    <row r="829">
      <c r="E829" s="1"/>
    </row>
    <row r="830">
      <c r="E830" s="1"/>
    </row>
    <row r="831">
      <c r="E831" s="1"/>
    </row>
    <row r="832">
      <c r="E832" s="1"/>
    </row>
    <row r="833">
      <c r="E833" s="1"/>
    </row>
    <row r="834">
      <c r="E834" s="1"/>
    </row>
    <row r="835">
      <c r="E835" s="1"/>
    </row>
    <row r="836">
      <c r="E836" s="1"/>
    </row>
    <row r="837">
      <c r="E837" s="1"/>
    </row>
    <row r="838">
      <c r="E838" s="1"/>
    </row>
    <row r="839">
      <c r="E839" s="1"/>
    </row>
    <row r="840">
      <c r="E840" s="1"/>
    </row>
    <row r="841">
      <c r="E841" s="1"/>
    </row>
    <row r="842">
      <c r="E842" s="1"/>
    </row>
    <row r="843">
      <c r="E843" s="1"/>
    </row>
    <row r="844">
      <c r="E844" s="1"/>
    </row>
    <row r="845">
      <c r="E845" s="1"/>
    </row>
    <row r="846">
      <c r="E846" s="1"/>
    </row>
    <row r="847">
      <c r="E847" s="1"/>
    </row>
    <row r="848">
      <c r="E848" s="1"/>
    </row>
    <row r="849">
      <c r="E849" s="1"/>
    </row>
    <row r="850">
      <c r="E850" s="1"/>
    </row>
    <row r="851">
      <c r="E851" s="1"/>
    </row>
    <row r="852">
      <c r="E852" s="1"/>
    </row>
    <row r="853">
      <c r="E853" s="1"/>
    </row>
    <row r="854">
      <c r="E854" s="1"/>
    </row>
    <row r="855">
      <c r="E855" s="1"/>
    </row>
    <row r="856">
      <c r="E856" s="1"/>
    </row>
    <row r="857">
      <c r="E857" s="1"/>
    </row>
    <row r="858">
      <c r="E858" s="1"/>
    </row>
    <row r="859">
      <c r="E859" s="1"/>
    </row>
    <row r="860">
      <c r="E860" s="1"/>
    </row>
    <row r="861">
      <c r="E861" s="1"/>
    </row>
    <row r="862">
      <c r="E862" s="1"/>
    </row>
    <row r="863">
      <c r="E863" s="1"/>
    </row>
    <row r="864">
      <c r="E864" s="1"/>
    </row>
    <row r="865">
      <c r="E865" s="1"/>
    </row>
    <row r="866">
      <c r="E866" s="1"/>
    </row>
    <row r="867">
      <c r="E867" s="1"/>
    </row>
    <row r="868">
      <c r="E868" s="1"/>
    </row>
    <row r="869">
      <c r="E869" s="1"/>
    </row>
    <row r="870">
      <c r="E870" s="1"/>
    </row>
    <row r="871">
      <c r="E871" s="1"/>
    </row>
    <row r="872">
      <c r="E872" s="1"/>
    </row>
    <row r="873">
      <c r="E873" s="1"/>
    </row>
    <row r="874">
      <c r="E874" s="1"/>
    </row>
    <row r="875">
      <c r="E875" s="1"/>
    </row>
    <row r="876">
      <c r="E876" s="1"/>
    </row>
    <row r="877">
      <c r="E877" s="1"/>
    </row>
    <row r="878">
      <c r="E878" s="1"/>
    </row>
    <row r="879">
      <c r="E879" s="1"/>
    </row>
    <row r="880">
      <c r="E880" s="1"/>
    </row>
    <row r="881">
      <c r="E881" s="1"/>
    </row>
    <row r="882">
      <c r="E882" s="1"/>
    </row>
    <row r="883">
      <c r="E883" s="1"/>
    </row>
    <row r="884">
      <c r="E884" s="1"/>
    </row>
    <row r="885">
      <c r="E885" s="1"/>
    </row>
    <row r="886">
      <c r="E886" s="1"/>
    </row>
    <row r="887">
      <c r="E887" s="1"/>
    </row>
    <row r="888">
      <c r="E888" s="1"/>
    </row>
    <row r="889">
      <c r="E889" s="1"/>
    </row>
    <row r="890">
      <c r="E890" s="1"/>
    </row>
    <row r="891">
      <c r="E891" s="1"/>
    </row>
    <row r="892">
      <c r="E892" s="1"/>
    </row>
    <row r="893">
      <c r="E893" s="1"/>
    </row>
    <row r="894">
      <c r="E894" s="1"/>
    </row>
    <row r="895">
      <c r="E895" s="1"/>
    </row>
    <row r="896">
      <c r="E896" s="1"/>
    </row>
    <row r="897">
      <c r="E897" s="1"/>
    </row>
    <row r="898">
      <c r="E898" s="1"/>
    </row>
    <row r="899">
      <c r="E899" s="1"/>
    </row>
    <row r="900">
      <c r="E900" s="1"/>
    </row>
    <row r="901">
      <c r="E901" s="1"/>
    </row>
    <row r="902">
      <c r="E902" s="1"/>
    </row>
    <row r="903">
      <c r="E903" s="1"/>
    </row>
    <row r="904">
      <c r="E904" s="1"/>
    </row>
    <row r="905">
      <c r="E905" s="1"/>
    </row>
    <row r="906">
      <c r="E906" s="1"/>
    </row>
    <row r="907">
      <c r="E907" s="1"/>
    </row>
    <row r="908">
      <c r="E908" s="1"/>
    </row>
    <row r="909">
      <c r="E909" s="1"/>
    </row>
    <row r="910">
      <c r="E910" s="1"/>
    </row>
    <row r="911">
      <c r="E911" s="1"/>
    </row>
    <row r="912">
      <c r="E912" s="1"/>
    </row>
    <row r="913">
      <c r="E913" s="1"/>
    </row>
    <row r="914">
      <c r="E914" s="1"/>
    </row>
    <row r="915">
      <c r="E915" s="1"/>
    </row>
    <row r="916">
      <c r="E916" s="1"/>
    </row>
    <row r="917">
      <c r="E917" s="1"/>
    </row>
    <row r="918">
      <c r="E918" s="1"/>
    </row>
    <row r="919">
      <c r="E919" s="1"/>
    </row>
    <row r="920">
      <c r="E920" s="1"/>
    </row>
    <row r="921">
      <c r="E921" s="1"/>
    </row>
    <row r="922">
      <c r="E922" s="1"/>
    </row>
    <row r="923">
      <c r="E923" s="1"/>
    </row>
    <row r="924">
      <c r="E924" s="1"/>
    </row>
    <row r="925">
      <c r="E925" s="1"/>
    </row>
    <row r="926">
      <c r="E926" s="1"/>
    </row>
    <row r="927">
      <c r="E927" s="1"/>
    </row>
    <row r="928">
      <c r="E928" s="1"/>
    </row>
    <row r="929">
      <c r="E929" s="1"/>
    </row>
    <row r="930">
      <c r="E930" s="1"/>
    </row>
    <row r="931">
      <c r="E931" s="1"/>
    </row>
    <row r="932">
      <c r="E932" s="1"/>
    </row>
    <row r="933">
      <c r="E933" s="1"/>
    </row>
    <row r="934">
      <c r="E934" s="1"/>
    </row>
    <row r="935">
      <c r="E935" s="1"/>
    </row>
    <row r="936">
      <c r="E936" s="1"/>
    </row>
    <row r="937">
      <c r="E937" s="1"/>
    </row>
    <row r="938">
      <c r="E938" s="1"/>
    </row>
    <row r="939">
      <c r="E939" s="1"/>
    </row>
    <row r="940">
      <c r="E940" s="1"/>
    </row>
    <row r="941">
      <c r="E941" s="1"/>
    </row>
    <row r="942">
      <c r="E942" s="1"/>
    </row>
    <row r="943">
      <c r="E943" s="1"/>
    </row>
    <row r="944">
      <c r="E944" s="1"/>
    </row>
    <row r="945">
      <c r="E945" s="1"/>
    </row>
    <row r="946">
      <c r="E946" s="1"/>
    </row>
    <row r="947">
      <c r="E947" s="1"/>
    </row>
    <row r="948">
      <c r="E948" s="1"/>
    </row>
    <row r="949">
      <c r="E949" s="1"/>
    </row>
    <row r="950">
      <c r="E950" s="1"/>
    </row>
    <row r="951">
      <c r="E951" s="1"/>
    </row>
    <row r="952">
      <c r="E952" s="1"/>
    </row>
    <row r="953">
      <c r="E953" s="1"/>
    </row>
    <row r="954">
      <c r="E954" s="1"/>
    </row>
    <row r="955">
      <c r="E955" s="1"/>
    </row>
    <row r="956">
      <c r="E956" s="1"/>
    </row>
    <row r="957">
      <c r="E957" s="1"/>
    </row>
    <row r="958">
      <c r="E958" s="1"/>
    </row>
    <row r="959">
      <c r="E959" s="1"/>
    </row>
    <row r="960">
      <c r="E960" s="1"/>
    </row>
    <row r="961">
      <c r="E961" s="1"/>
    </row>
    <row r="962">
      <c r="E962" s="1"/>
    </row>
    <row r="963">
      <c r="E963" s="1"/>
    </row>
    <row r="964">
      <c r="E964" s="1"/>
    </row>
    <row r="965">
      <c r="E965" s="1"/>
    </row>
    <row r="966">
      <c r="E966" s="1"/>
    </row>
    <row r="967">
      <c r="E967" s="1"/>
    </row>
    <row r="968">
      <c r="E968" s="1"/>
    </row>
    <row r="969">
      <c r="E969" s="1"/>
    </row>
    <row r="970">
      <c r="E970" s="1"/>
    </row>
    <row r="971">
      <c r="E971" s="1"/>
    </row>
    <row r="972">
      <c r="E972" s="1"/>
    </row>
    <row r="973">
      <c r="E973" s="1"/>
    </row>
    <row r="974">
      <c r="E974" s="1"/>
    </row>
    <row r="975">
      <c r="E975" s="1"/>
    </row>
    <row r="976">
      <c r="E976" s="1"/>
    </row>
    <row r="977">
      <c r="E977" s="1"/>
    </row>
    <row r="978">
      <c r="E978" s="1"/>
    </row>
    <row r="979">
      <c r="E979" s="1"/>
    </row>
    <row r="980">
      <c r="E980" s="1"/>
    </row>
    <row r="981">
      <c r="E981" s="1"/>
    </row>
    <row r="982">
      <c r="E982" s="1"/>
    </row>
    <row r="983">
      <c r="E983" s="1"/>
    </row>
    <row r="984">
      <c r="E984" s="1"/>
    </row>
    <row r="985">
      <c r="E985" s="1"/>
    </row>
    <row r="986">
      <c r="E986" s="1"/>
    </row>
    <row r="987">
      <c r="E987" s="1"/>
    </row>
    <row r="988">
      <c r="E988" s="1"/>
    </row>
    <row r="989">
      <c r="E989" s="1"/>
    </row>
    <row r="990">
      <c r="E990" s="1"/>
    </row>
    <row r="991">
      <c r="E991" s="1"/>
    </row>
    <row r="992">
      <c r="E992" s="1"/>
    </row>
    <row r="993">
      <c r="E993" s="1"/>
    </row>
    <row r="994">
      <c r="E994" s="1"/>
    </row>
    <row r="995">
      <c r="E995" s="1"/>
    </row>
    <row r="996">
      <c r="E996" s="1"/>
    </row>
    <row r="997">
      <c r="E997" s="1"/>
    </row>
    <row r="998">
      <c r="E998" s="1"/>
    </row>
    <row r="999">
      <c r="E999" s="1"/>
    </row>
    <row r="1000">
      <c r="E1000" s="1"/>
    </row>
    <row r="1001">
      <c r="E1001" s="1"/>
    </row>
    <row r="1002">
      <c r="E1002" s="1"/>
    </row>
    <row r="1003">
      <c r="E1003" s="1"/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4" max="4" width="22.0"/>
    <col customWidth="1" min="5" max="5" width="15.0"/>
    <col customWidth="1" min="8" max="8" width="18.38"/>
    <col customWidth="1" min="10" max="10" width="18.5"/>
    <col customWidth="1" min="13" max="13" width="18.38"/>
    <col customWidth="1" min="14" max="14" width="15.88"/>
    <col customWidth="1" min="15" max="15" width="18.5"/>
    <col customWidth="1" min="16" max="16" width="17.0"/>
    <col customWidth="1" min="21" max="21" width="19.38"/>
  </cols>
  <sheetData>
    <row r="1">
      <c r="E1" s="1"/>
    </row>
    <row r="2">
      <c r="E2" s="1"/>
      <c r="J2" s="2" t="s">
        <v>0</v>
      </c>
      <c r="K2" s="3" t="s">
        <v>1</v>
      </c>
      <c r="L2" s="4" t="s">
        <v>2</v>
      </c>
    </row>
    <row r="3">
      <c r="E3" s="1"/>
      <c r="J3" s="266" t="s">
        <v>4</v>
      </c>
      <c r="K3" s="267">
        <f t="shared" ref="K3:L3" si="1">sum(E6:E71)</f>
        <v>631.2</v>
      </c>
      <c r="L3" s="3">
        <f t="shared" si="1"/>
        <v>1.8</v>
      </c>
    </row>
    <row r="4">
      <c r="B4" s="283" t="s">
        <v>7</v>
      </c>
      <c r="C4" s="10"/>
      <c r="D4" s="10"/>
      <c r="E4" s="11"/>
      <c r="F4" s="10"/>
      <c r="G4" s="10"/>
      <c r="H4" s="10"/>
      <c r="I4" s="10"/>
      <c r="J4" s="10"/>
      <c r="K4" s="10"/>
    </row>
    <row r="5">
      <c r="B5" s="268" t="s">
        <v>8</v>
      </c>
      <c r="C5" s="268" t="s">
        <v>9</v>
      </c>
      <c r="D5" s="268" t="s">
        <v>11</v>
      </c>
      <c r="E5" s="283" t="s">
        <v>12</v>
      </c>
      <c r="F5" s="283" t="s">
        <v>13</v>
      </c>
      <c r="G5" s="12" t="s">
        <v>123</v>
      </c>
      <c r="H5" s="13" t="s">
        <v>124</v>
      </c>
      <c r="I5" s="14" t="s">
        <v>125</v>
      </c>
      <c r="J5" s="15" t="s">
        <v>126</v>
      </c>
      <c r="K5" s="10"/>
    </row>
    <row r="6">
      <c r="B6" s="265" t="s">
        <v>5121</v>
      </c>
      <c r="C6" s="269"/>
      <c r="D6" s="16" t="s">
        <v>5122</v>
      </c>
      <c r="E6" s="267"/>
      <c r="F6" s="16"/>
      <c r="G6" s="10"/>
      <c r="H6" s="10"/>
      <c r="I6" s="10"/>
      <c r="J6" s="10"/>
      <c r="K6" s="10"/>
    </row>
    <row r="7">
      <c r="B7" s="2" t="s">
        <v>5124</v>
      </c>
      <c r="C7" s="10"/>
      <c r="D7" s="16" t="s">
        <v>5125</v>
      </c>
      <c r="E7" s="267"/>
      <c r="F7" s="16"/>
      <c r="G7" s="10"/>
      <c r="H7" s="10"/>
      <c r="I7" s="10"/>
    </row>
    <row r="8">
      <c r="B8" s="265" t="s">
        <v>3559</v>
      </c>
      <c r="C8" s="269"/>
      <c r="D8" s="16" t="s">
        <v>5128</v>
      </c>
      <c r="E8" s="267"/>
      <c r="F8" s="16"/>
      <c r="G8" s="10"/>
      <c r="H8" s="10"/>
      <c r="I8" s="10"/>
    </row>
    <row r="9">
      <c r="B9" s="2" t="s">
        <v>5130</v>
      </c>
      <c r="C9" s="10"/>
      <c r="D9" s="16" t="s">
        <v>5131</v>
      </c>
      <c r="E9" s="267"/>
      <c r="F9" s="16"/>
      <c r="G9" s="10"/>
      <c r="H9" s="10"/>
      <c r="I9" s="10"/>
      <c r="J9" s="10"/>
      <c r="K9" s="10"/>
    </row>
    <row r="10">
      <c r="B10" s="265" t="s">
        <v>5133</v>
      </c>
      <c r="C10" s="269"/>
      <c r="D10" s="16" t="s">
        <v>5134</v>
      </c>
      <c r="E10" s="267"/>
      <c r="F10" s="16"/>
      <c r="G10" s="10"/>
      <c r="H10" s="10"/>
      <c r="I10" s="10"/>
      <c r="J10" s="10"/>
      <c r="K10" s="10"/>
    </row>
    <row r="11">
      <c r="B11" s="2" t="s">
        <v>5136</v>
      </c>
      <c r="C11" s="10"/>
      <c r="D11" s="16" t="s">
        <v>5137</v>
      </c>
      <c r="E11" s="267"/>
      <c r="F11" s="16"/>
      <c r="G11" s="10"/>
      <c r="H11" s="10"/>
      <c r="I11" s="10"/>
      <c r="J11" s="10"/>
      <c r="K11" s="10"/>
    </row>
    <row r="12">
      <c r="B12" s="10"/>
      <c r="C12" s="10"/>
      <c r="D12" s="16"/>
      <c r="E12" s="267"/>
      <c r="F12" s="10"/>
      <c r="G12" s="10"/>
      <c r="H12" s="10"/>
      <c r="I12" s="10"/>
      <c r="J12" s="10"/>
      <c r="K12" s="10"/>
    </row>
    <row r="13">
      <c r="B13" s="10"/>
      <c r="C13" s="10"/>
      <c r="D13" s="16"/>
      <c r="E13" s="267"/>
      <c r="F13" s="10"/>
      <c r="G13" s="10"/>
      <c r="H13" s="10"/>
      <c r="I13" s="10"/>
      <c r="J13" s="10"/>
      <c r="K13" s="10"/>
    </row>
    <row r="14">
      <c r="B14" s="2" t="s">
        <v>5139</v>
      </c>
      <c r="C14" s="10"/>
      <c r="D14" s="16" t="s">
        <v>5140</v>
      </c>
      <c r="E14" s="267"/>
      <c r="F14" s="10"/>
      <c r="G14" s="10"/>
      <c r="H14" s="10"/>
      <c r="I14" s="10"/>
      <c r="J14" s="10"/>
      <c r="K14" s="10"/>
    </row>
    <row r="15">
      <c r="B15" s="2" t="s">
        <v>5121</v>
      </c>
      <c r="C15" s="10"/>
      <c r="D15" s="16">
        <v>21.091</v>
      </c>
      <c r="E15" s="267"/>
      <c r="F15" s="10"/>
      <c r="G15" s="10"/>
      <c r="H15" s="10"/>
      <c r="I15" s="10"/>
      <c r="J15" s="10"/>
      <c r="K15" s="10"/>
    </row>
    <row r="16">
      <c r="B16" s="270" t="s">
        <v>5130</v>
      </c>
      <c r="C16" s="10"/>
      <c r="D16" s="16">
        <v>16.865</v>
      </c>
      <c r="E16" s="271"/>
      <c r="F16" s="10"/>
      <c r="G16" s="10"/>
      <c r="H16" s="10"/>
      <c r="I16" s="10"/>
      <c r="J16" s="10"/>
      <c r="K16" s="10"/>
    </row>
    <row r="17">
      <c r="B17" s="15" t="s">
        <v>5144</v>
      </c>
      <c r="C17" s="10"/>
      <c r="D17" s="20">
        <v>316.34</v>
      </c>
      <c r="E17" s="267"/>
      <c r="F17" s="10"/>
      <c r="G17" s="10"/>
      <c r="H17" s="10"/>
      <c r="I17" s="10"/>
      <c r="J17" s="10"/>
      <c r="K17" s="10"/>
    </row>
    <row r="18">
      <c r="B18" s="272" t="s">
        <v>5146</v>
      </c>
      <c r="C18" s="10"/>
      <c r="D18" s="20">
        <v>5.818</v>
      </c>
      <c r="E18" s="267"/>
      <c r="F18" s="10"/>
      <c r="G18" s="10"/>
      <c r="H18" s="10"/>
      <c r="I18" s="10"/>
      <c r="J18" s="10"/>
      <c r="K18" s="10"/>
    </row>
    <row r="19">
      <c r="B19" s="273" t="s">
        <v>5148</v>
      </c>
      <c r="C19" s="10"/>
      <c r="D19" s="20">
        <v>591.2</v>
      </c>
      <c r="E19" s="267"/>
      <c r="F19" s="10"/>
      <c r="G19" s="10"/>
      <c r="H19" s="10"/>
      <c r="I19" s="10"/>
      <c r="J19" s="10"/>
      <c r="K19" s="10"/>
    </row>
    <row r="20">
      <c r="B20" s="274" t="s">
        <v>5150</v>
      </c>
      <c r="C20" s="10"/>
      <c r="D20" s="20">
        <v>214.3</v>
      </c>
      <c r="E20" s="267"/>
      <c r="F20" s="10"/>
      <c r="G20" s="10"/>
      <c r="H20" s="10"/>
      <c r="I20" s="10"/>
      <c r="J20" s="10"/>
      <c r="K20" s="10"/>
    </row>
    <row r="21">
      <c r="B21" s="15" t="s">
        <v>5152</v>
      </c>
      <c r="C21" s="10"/>
      <c r="D21" s="20">
        <v>1.0341</v>
      </c>
      <c r="E21" s="267"/>
      <c r="F21" s="10"/>
      <c r="G21" s="10"/>
      <c r="H21" s="10"/>
      <c r="I21" s="10"/>
      <c r="J21" s="10"/>
      <c r="K21" s="10"/>
    </row>
    <row r="22">
      <c r="B22" s="273" t="s">
        <v>5148</v>
      </c>
      <c r="C22" s="10"/>
      <c r="D22" s="20">
        <v>87.91</v>
      </c>
      <c r="E22" s="271"/>
      <c r="F22" s="10"/>
      <c r="G22" s="10"/>
      <c r="H22" s="10"/>
      <c r="I22" s="10"/>
      <c r="J22" s="10"/>
      <c r="K22" s="10"/>
    </row>
    <row r="23">
      <c r="B23" s="272" t="s">
        <v>5146</v>
      </c>
      <c r="C23" s="10"/>
      <c r="D23" s="20">
        <v>5.846</v>
      </c>
      <c r="E23" s="267"/>
      <c r="F23" s="10"/>
      <c r="G23" s="10"/>
      <c r="H23" s="10"/>
      <c r="I23" s="10"/>
      <c r="J23" s="10"/>
      <c r="K23" s="10"/>
    </row>
    <row r="24">
      <c r="B24" s="274" t="s">
        <v>5139</v>
      </c>
      <c r="C24" s="10"/>
      <c r="D24" s="20">
        <v>56.73</v>
      </c>
      <c r="E24" s="267"/>
      <c r="F24" s="10"/>
      <c r="G24" s="10"/>
      <c r="H24" s="10"/>
      <c r="I24" s="10"/>
      <c r="J24" s="10"/>
      <c r="K24" s="10"/>
    </row>
    <row r="25">
      <c r="B25" s="15" t="s">
        <v>5154</v>
      </c>
      <c r="C25" s="10"/>
      <c r="D25" s="16"/>
      <c r="E25" s="267"/>
      <c r="F25" s="10"/>
      <c r="G25" s="10"/>
      <c r="H25" s="10"/>
      <c r="I25" s="10"/>
      <c r="J25" s="10"/>
      <c r="K25" s="10"/>
    </row>
    <row r="26">
      <c r="B26" s="15" t="s">
        <v>5155</v>
      </c>
      <c r="C26" s="10"/>
      <c r="D26" s="20">
        <v>118.94</v>
      </c>
      <c r="E26" s="271"/>
      <c r="F26" s="10"/>
      <c r="G26" s="10"/>
      <c r="H26" s="10"/>
      <c r="I26" s="10"/>
      <c r="J26" s="10"/>
      <c r="K26" s="10"/>
    </row>
    <row r="27">
      <c r="B27" s="15" t="s">
        <v>5157</v>
      </c>
      <c r="C27" s="10"/>
      <c r="D27" s="16"/>
      <c r="E27" s="267"/>
      <c r="F27" s="10"/>
      <c r="G27" s="10"/>
      <c r="H27" s="10"/>
      <c r="I27" s="10"/>
      <c r="J27" s="10"/>
      <c r="K27" s="10"/>
    </row>
    <row r="28">
      <c r="B28" s="15" t="s">
        <v>5159</v>
      </c>
      <c r="C28" s="10"/>
      <c r="D28" s="16"/>
      <c r="E28" s="271"/>
      <c r="F28" s="10"/>
      <c r="G28" s="10"/>
      <c r="H28" s="10"/>
      <c r="I28" s="10"/>
      <c r="J28" s="10"/>
      <c r="K28" s="10"/>
    </row>
    <row r="29">
      <c r="B29" s="15" t="s">
        <v>199</v>
      </c>
      <c r="C29" s="10"/>
      <c r="D29" s="16"/>
      <c r="E29" s="271"/>
      <c r="F29" s="10"/>
      <c r="G29" s="10"/>
      <c r="H29" s="10"/>
      <c r="I29" s="10"/>
      <c r="J29" s="10"/>
      <c r="K29" s="10"/>
    </row>
    <row r="30">
      <c r="B30" s="10"/>
      <c r="C30" s="15" t="s">
        <v>27</v>
      </c>
      <c r="D30" s="16"/>
      <c r="E30" s="267">
        <f>1.16+0.04</f>
        <v>1.2</v>
      </c>
      <c r="F30" s="10"/>
      <c r="G30" s="10"/>
      <c r="H30" s="10"/>
      <c r="I30" s="10"/>
      <c r="J30" s="10"/>
      <c r="K30" s="10"/>
    </row>
    <row r="31">
      <c r="B31" s="10"/>
      <c r="C31" s="15" t="s">
        <v>29</v>
      </c>
      <c r="D31" s="16"/>
      <c r="E31" s="267">
        <f>2.88+1.49</f>
        <v>4.37</v>
      </c>
      <c r="F31" s="10"/>
      <c r="G31" s="10"/>
      <c r="H31" s="10"/>
      <c r="I31" s="10"/>
      <c r="J31" s="10"/>
      <c r="K31" s="10"/>
    </row>
    <row r="32">
      <c r="B32" s="10"/>
      <c r="C32" s="15" t="s">
        <v>30</v>
      </c>
      <c r="D32" s="16"/>
      <c r="E32" s="267">
        <f>0.58+21.97</f>
        <v>22.55</v>
      </c>
      <c r="F32" s="10"/>
      <c r="G32" s="10"/>
      <c r="H32" s="10"/>
      <c r="I32" s="10"/>
      <c r="J32" s="10"/>
      <c r="K32" s="10"/>
    </row>
    <row r="33">
      <c r="B33" s="10"/>
      <c r="C33" s="15" t="s">
        <v>31</v>
      </c>
      <c r="D33" s="16"/>
      <c r="E33" s="267">
        <f>2.86+44.41+83.96</f>
        <v>131.23</v>
      </c>
      <c r="F33" s="10"/>
      <c r="G33" s="10"/>
      <c r="H33" s="10"/>
      <c r="I33" s="10"/>
      <c r="J33" s="10"/>
      <c r="K33" s="10"/>
    </row>
    <row r="34">
      <c r="B34" s="10"/>
      <c r="C34" s="15" t="s">
        <v>37</v>
      </c>
      <c r="D34" s="16"/>
      <c r="E34" s="267">
        <f>0.24+1.25+0.36+13.88+8.62-0.48+83.87</f>
        <v>107.74</v>
      </c>
      <c r="F34" s="10"/>
      <c r="G34" s="10"/>
      <c r="H34" s="10"/>
      <c r="I34" s="10"/>
      <c r="J34" s="10"/>
      <c r="K34" s="10"/>
    </row>
    <row r="35">
      <c r="B35" s="15"/>
      <c r="C35" s="15" t="s">
        <v>38</v>
      </c>
      <c r="D35" s="20"/>
      <c r="E35" s="267">
        <f>1.6+0.91+5.86-0.49+4.3+0.12+0.8+133.93</f>
        <v>147.03</v>
      </c>
      <c r="F35" s="10"/>
      <c r="G35" s="15"/>
      <c r="H35" s="15"/>
      <c r="I35" s="15"/>
      <c r="J35" s="15"/>
      <c r="K35" s="10"/>
    </row>
    <row r="36">
      <c r="B36" s="15"/>
      <c r="C36" s="15" t="s">
        <v>39</v>
      </c>
      <c r="D36" s="20"/>
      <c r="E36" s="267">
        <f>0.18+15.65-0.37+7.26-0.4+80.76</f>
        <v>103.08</v>
      </c>
      <c r="F36" s="10"/>
      <c r="G36" s="15"/>
      <c r="H36" s="15"/>
      <c r="I36" s="15"/>
      <c r="J36" s="15"/>
      <c r="K36" s="10"/>
    </row>
    <row r="37">
      <c r="B37" s="15"/>
      <c r="C37" s="15" t="s">
        <v>40</v>
      </c>
      <c r="D37" s="20"/>
      <c r="E37" s="267">
        <f>4.19+19.14</f>
        <v>23.33</v>
      </c>
      <c r="F37" s="10"/>
      <c r="G37" s="15"/>
      <c r="H37" s="15"/>
      <c r="I37" s="15"/>
      <c r="J37" s="15"/>
      <c r="K37" s="10"/>
    </row>
    <row r="38">
      <c r="B38" s="15"/>
      <c r="C38" s="15" t="s">
        <v>44</v>
      </c>
      <c r="D38" s="20"/>
      <c r="E38" s="267">
        <f>0.45+0.5</f>
        <v>0.95</v>
      </c>
      <c r="F38" s="10"/>
      <c r="G38" s="15"/>
      <c r="H38" s="15"/>
      <c r="I38" s="15"/>
      <c r="J38" s="15"/>
      <c r="K38" s="10"/>
    </row>
    <row r="39">
      <c r="B39" s="15"/>
      <c r="C39" s="15" t="s">
        <v>45</v>
      </c>
      <c r="D39" s="20"/>
      <c r="E39" s="267">
        <f>7.92</f>
        <v>7.92</v>
      </c>
      <c r="F39" s="10"/>
      <c r="G39" s="15"/>
      <c r="H39" s="15"/>
      <c r="I39" s="15"/>
      <c r="J39" s="15"/>
      <c r="K39" s="10"/>
    </row>
    <row r="40">
      <c r="B40" s="15"/>
      <c r="C40" s="15" t="s">
        <v>46</v>
      </c>
      <c r="D40" s="20"/>
      <c r="E40" s="267">
        <f>22.41+0.61</f>
        <v>23.02</v>
      </c>
      <c r="F40" s="10"/>
      <c r="G40" s="15"/>
      <c r="H40" s="15"/>
      <c r="I40" s="15"/>
      <c r="J40" s="15"/>
      <c r="K40" s="10"/>
    </row>
    <row r="41">
      <c r="B41" s="15"/>
      <c r="C41" s="15" t="s">
        <v>47</v>
      </c>
      <c r="D41" s="20"/>
      <c r="E41" s="267">
        <f>0.6+33.98</f>
        <v>34.58</v>
      </c>
      <c r="F41" s="10"/>
      <c r="G41" s="15"/>
      <c r="H41" s="15"/>
      <c r="I41" s="15"/>
      <c r="J41" s="15"/>
      <c r="K41" s="10"/>
    </row>
    <row r="42">
      <c r="B42" s="15"/>
      <c r="C42" s="15" t="s">
        <v>48</v>
      </c>
      <c r="D42" s="20"/>
      <c r="E42" s="267">
        <f>1.62+0.47+1.92-0.38+8.64-0.39+0.04+0.15+0.95</f>
        <v>13.02</v>
      </c>
      <c r="F42" s="10"/>
      <c r="G42" s="15"/>
      <c r="H42" s="15"/>
      <c r="I42" s="15"/>
      <c r="J42" s="15"/>
      <c r="K42" s="10"/>
    </row>
    <row r="43">
      <c r="B43" s="15"/>
      <c r="C43" s="15" t="s">
        <v>54</v>
      </c>
      <c r="D43" s="20"/>
      <c r="E43" s="267">
        <f>0.19+5.42</f>
        <v>5.61</v>
      </c>
      <c r="F43" s="10"/>
      <c r="G43" s="15"/>
      <c r="H43" s="15"/>
      <c r="I43" s="15"/>
      <c r="J43" s="15"/>
      <c r="K43" s="10"/>
    </row>
    <row r="44">
      <c r="B44" s="15"/>
      <c r="C44" s="15" t="s">
        <v>55</v>
      </c>
      <c r="D44" s="20"/>
      <c r="E44" s="267">
        <f>1.16-0.72+0.05+1.4+5.93-2.25</f>
        <v>5.57</v>
      </c>
      <c r="F44" s="15">
        <f>1.8</f>
        <v>1.8</v>
      </c>
      <c r="G44" s="15"/>
      <c r="H44" s="15"/>
      <c r="I44" s="15"/>
      <c r="J44" s="15"/>
      <c r="K44" s="10"/>
    </row>
    <row r="45">
      <c r="B45" s="15"/>
      <c r="C45" s="15" t="s">
        <v>56</v>
      </c>
      <c r="D45" s="20"/>
      <c r="E45" s="267"/>
      <c r="F45" s="10"/>
      <c r="G45" s="15"/>
      <c r="H45" s="15"/>
      <c r="I45" s="15"/>
      <c r="J45" s="15"/>
      <c r="K45" s="10"/>
    </row>
    <row r="46">
      <c r="B46" s="15"/>
      <c r="C46" s="15"/>
      <c r="D46" s="20"/>
      <c r="E46" s="267"/>
      <c r="F46" s="10"/>
      <c r="G46" s="15"/>
      <c r="H46" s="15"/>
      <c r="I46" s="15"/>
      <c r="J46" s="15"/>
      <c r="K46" s="10"/>
    </row>
    <row r="47">
      <c r="B47" s="15" t="s">
        <v>3559</v>
      </c>
      <c r="C47" s="15"/>
      <c r="D47" s="20">
        <v>318.69</v>
      </c>
      <c r="E47" s="267"/>
      <c r="F47" s="10"/>
      <c r="G47" s="15">
        <v>6.1</v>
      </c>
      <c r="H47" s="15">
        <v>71.13</v>
      </c>
      <c r="I47" s="15">
        <v>21.28</v>
      </c>
      <c r="J47" s="15">
        <v>4.0</v>
      </c>
      <c r="K47" s="10"/>
    </row>
    <row r="48">
      <c r="B48" s="15" t="s">
        <v>5349</v>
      </c>
      <c r="C48" s="15"/>
      <c r="D48" s="20">
        <v>108.94</v>
      </c>
      <c r="E48" s="267"/>
      <c r="F48" s="10"/>
      <c r="G48" s="15">
        <v>38.77</v>
      </c>
      <c r="H48" s="15">
        <v>74.38</v>
      </c>
      <c r="I48" s="15">
        <v>36.86</v>
      </c>
      <c r="J48" s="15">
        <v>5.51</v>
      </c>
      <c r="K48" s="10"/>
    </row>
    <row r="49">
      <c r="B49" s="15" t="s">
        <v>5351</v>
      </c>
      <c r="C49" s="15"/>
      <c r="D49" s="16"/>
      <c r="E49" s="267"/>
      <c r="F49" s="10"/>
      <c r="G49" s="15">
        <v>8.2</v>
      </c>
      <c r="H49" s="15">
        <v>67.64</v>
      </c>
      <c r="I49" s="15">
        <v>19.15</v>
      </c>
      <c r="J49" s="15">
        <v>2.88</v>
      </c>
      <c r="K49" s="10"/>
    </row>
    <row r="50">
      <c r="B50" s="15" t="s">
        <v>5352</v>
      </c>
      <c r="C50" s="15"/>
      <c r="D50" s="20">
        <v>68.27</v>
      </c>
      <c r="E50" s="267"/>
      <c r="F50" s="10"/>
      <c r="G50" s="15">
        <v>20.08</v>
      </c>
      <c r="H50" s="15">
        <v>73.25</v>
      </c>
      <c r="I50" s="15">
        <v>36.11</v>
      </c>
      <c r="J50" s="15">
        <v>5.28</v>
      </c>
      <c r="K50" s="10"/>
    </row>
    <row r="51">
      <c r="B51" s="15" t="s">
        <v>5353</v>
      </c>
      <c r="C51" s="15"/>
      <c r="D51" s="20">
        <v>9.15</v>
      </c>
      <c r="E51" s="267"/>
      <c r="F51" s="10"/>
      <c r="G51" s="15">
        <v>5.59</v>
      </c>
      <c r="H51" s="15">
        <v>81.45</v>
      </c>
      <c r="I51" s="15">
        <v>39.07</v>
      </c>
      <c r="J51" s="15">
        <v>0.91</v>
      </c>
      <c r="K51" s="10"/>
      <c r="M51" s="10"/>
    </row>
    <row r="52">
      <c r="B52" s="15" t="s">
        <v>148</v>
      </c>
      <c r="C52" s="15"/>
      <c r="D52" s="20">
        <v>145.52</v>
      </c>
      <c r="E52" s="267"/>
      <c r="F52" s="10"/>
      <c r="G52" s="15">
        <v>8.27</v>
      </c>
      <c r="H52" s="15">
        <v>66.06</v>
      </c>
      <c r="I52" s="15">
        <v>14.17</v>
      </c>
      <c r="J52" s="15">
        <v>3.04</v>
      </c>
      <c r="K52" s="10"/>
      <c r="M52" s="10"/>
    </row>
    <row r="53">
      <c r="B53" s="15" t="s">
        <v>5351</v>
      </c>
      <c r="C53" s="4" t="s">
        <v>5356</v>
      </c>
      <c r="D53" s="16"/>
      <c r="E53" s="267"/>
      <c r="F53" s="10"/>
      <c r="G53" s="15">
        <v>8.27</v>
      </c>
      <c r="H53" s="15">
        <v>62.8</v>
      </c>
      <c r="I53" s="15">
        <v>19.13</v>
      </c>
      <c r="J53" s="15">
        <v>2.77</v>
      </c>
      <c r="K53" s="10"/>
      <c r="M53" s="10"/>
    </row>
    <row r="54">
      <c r="B54" s="15" t="s">
        <v>5357</v>
      </c>
      <c r="C54" s="15" t="s">
        <v>4979</v>
      </c>
      <c r="D54" s="16"/>
      <c r="E54" s="267"/>
      <c r="F54" s="10"/>
      <c r="G54" s="15">
        <v>17.2</v>
      </c>
      <c r="H54" s="15">
        <v>80.63</v>
      </c>
      <c r="I54" s="15">
        <v>36.73</v>
      </c>
      <c r="J54" s="15">
        <v>4.1</v>
      </c>
      <c r="K54" s="10"/>
      <c r="M54" s="287" t="s">
        <v>45</v>
      </c>
    </row>
    <row r="55">
      <c r="B55" s="15"/>
      <c r="C55" s="15"/>
      <c r="D55" s="16"/>
      <c r="E55" s="267"/>
      <c r="F55" s="10"/>
      <c r="G55" s="15"/>
      <c r="H55" s="15"/>
      <c r="I55" s="15"/>
      <c r="J55" s="15"/>
      <c r="K55" s="10"/>
    </row>
    <row r="56">
      <c r="B56" s="15" t="s">
        <v>811</v>
      </c>
      <c r="C56" s="15"/>
      <c r="D56" s="16"/>
      <c r="E56" s="267"/>
      <c r="F56" s="10"/>
      <c r="G56" s="15">
        <v>235.7</v>
      </c>
      <c r="H56" s="15">
        <v>78.13</v>
      </c>
      <c r="I56" s="15">
        <v>14.42</v>
      </c>
      <c r="J56" s="15">
        <v>53.5</v>
      </c>
    </row>
    <row r="57">
      <c r="B57" s="15" t="s">
        <v>5150</v>
      </c>
      <c r="C57" s="15"/>
      <c r="D57" s="16"/>
      <c r="E57" s="267"/>
      <c r="F57" s="10"/>
      <c r="G57" s="15">
        <v>12.91</v>
      </c>
      <c r="H57" s="15">
        <v>59.57</v>
      </c>
      <c r="I57" s="15">
        <v>17.89</v>
      </c>
      <c r="J57" s="15">
        <v>5.2</v>
      </c>
    </row>
    <row r="58">
      <c r="B58" s="10"/>
      <c r="C58" s="15"/>
      <c r="D58" s="16"/>
      <c r="E58" s="267"/>
      <c r="F58" s="10"/>
      <c r="G58" s="10"/>
      <c r="H58" s="10"/>
      <c r="I58" s="10"/>
      <c r="J58" s="10"/>
    </row>
    <row r="59">
      <c r="B59" s="15" t="s">
        <v>5359</v>
      </c>
      <c r="C59" s="15"/>
      <c r="D59" s="20">
        <v>78.69</v>
      </c>
      <c r="E59" s="267"/>
      <c r="F59" s="10"/>
      <c r="G59" s="10"/>
      <c r="H59" s="10"/>
      <c r="I59" s="10"/>
      <c r="J59" s="10"/>
    </row>
    <row r="60">
      <c r="B60" s="15" t="s">
        <v>5360</v>
      </c>
      <c r="C60" s="15"/>
      <c r="D60" s="288">
        <v>23.8799</v>
      </c>
      <c r="E60" s="271"/>
      <c r="F60" s="10"/>
      <c r="G60" s="10"/>
      <c r="H60" s="4" t="s">
        <v>5361</v>
      </c>
      <c r="I60" s="4" t="s">
        <v>5362</v>
      </c>
      <c r="K60" s="31"/>
      <c r="L60" s="4"/>
      <c r="M60" s="289"/>
      <c r="N60" s="289"/>
      <c r="O60" s="289"/>
      <c r="P60" s="290"/>
      <c r="Q60" s="4"/>
      <c r="R60" s="4"/>
      <c r="S60" s="4"/>
    </row>
    <row r="61" ht="22.5" customHeight="1">
      <c r="B61" s="15" t="s">
        <v>5363</v>
      </c>
      <c r="C61" s="15"/>
      <c r="D61" s="20">
        <v>78.65</v>
      </c>
      <c r="E61" s="271"/>
      <c r="F61" s="10"/>
      <c r="G61" s="10"/>
      <c r="H61" s="291" t="s">
        <v>673</v>
      </c>
      <c r="I61" s="292" t="s">
        <v>5365</v>
      </c>
      <c r="K61" s="293" t="s">
        <v>116</v>
      </c>
      <c r="L61" s="94" t="s">
        <v>122</v>
      </c>
      <c r="M61" s="294" t="s">
        <v>123</v>
      </c>
      <c r="N61" s="294" t="s">
        <v>124</v>
      </c>
      <c r="O61" s="294" t="s">
        <v>125</v>
      </c>
      <c r="P61" s="295" t="s">
        <v>126</v>
      </c>
      <c r="Q61" s="94" t="s">
        <v>127</v>
      </c>
      <c r="R61" s="94" t="s">
        <v>128</v>
      </c>
      <c r="S61" s="94" t="s">
        <v>129</v>
      </c>
    </row>
    <row r="62" ht="22.5" customHeight="1">
      <c r="B62" s="15" t="s">
        <v>5349</v>
      </c>
      <c r="C62" s="15"/>
      <c r="D62" s="16"/>
      <c r="E62" s="271"/>
      <c r="F62" s="10"/>
      <c r="G62" s="10"/>
      <c r="H62" s="296" t="s">
        <v>957</v>
      </c>
      <c r="I62" s="296" t="s">
        <v>4021</v>
      </c>
      <c r="K62" s="182" t="s">
        <v>1202</v>
      </c>
      <c r="L62" s="297"/>
      <c r="M62" s="298"/>
      <c r="N62" s="298"/>
      <c r="O62" s="298"/>
      <c r="P62" s="298"/>
      <c r="R62" s="298"/>
      <c r="S62" s="299"/>
    </row>
    <row r="63" ht="22.5" customHeight="1">
      <c r="B63" s="15"/>
      <c r="C63" s="15"/>
      <c r="D63" s="16"/>
      <c r="E63" s="271"/>
      <c r="F63" s="10"/>
      <c r="G63" s="10"/>
      <c r="H63" s="300" t="s">
        <v>4922</v>
      </c>
      <c r="I63" s="300" t="s">
        <v>615</v>
      </c>
      <c r="K63" s="182" t="s">
        <v>5377</v>
      </c>
      <c r="L63" s="301" t="s">
        <v>5378</v>
      </c>
      <c r="M63" s="302"/>
      <c r="N63" s="302"/>
      <c r="O63" s="302"/>
      <c r="P63" s="302"/>
      <c r="Q63" s="192"/>
      <c r="R63" s="298"/>
      <c r="S63" s="299"/>
    </row>
    <row r="64" ht="22.5" customHeight="1">
      <c r="B64" s="15"/>
      <c r="C64" s="15"/>
      <c r="D64" s="16"/>
      <c r="E64" s="271"/>
      <c r="F64" s="10"/>
      <c r="G64" s="10"/>
      <c r="H64" s="10"/>
      <c r="K64" s="303" t="s">
        <v>811</v>
      </c>
      <c r="L64" s="304" t="s">
        <v>615</v>
      </c>
      <c r="M64" s="102">
        <v>246.4</v>
      </c>
      <c r="N64" s="102">
        <v>80.15</v>
      </c>
      <c r="O64" s="102">
        <v>24.54</v>
      </c>
      <c r="P64" s="102">
        <v>51.6</v>
      </c>
      <c r="Q64" s="103" t="s">
        <v>213</v>
      </c>
      <c r="R64" s="102">
        <v>1846.0</v>
      </c>
      <c r="S64" s="299">
        <v>45707.21434351851</v>
      </c>
    </row>
    <row r="65" ht="22.5" customHeight="1">
      <c r="B65" s="15"/>
      <c r="C65" s="15"/>
      <c r="D65" s="16"/>
      <c r="E65" s="271"/>
      <c r="F65" s="10"/>
      <c r="G65" s="10"/>
      <c r="H65" s="15" t="s">
        <v>327</v>
      </c>
      <c r="I65" s="18">
        <f>now()</f>
        <v>46288.71545</v>
      </c>
      <c r="K65" s="305" t="s">
        <v>5357</v>
      </c>
      <c r="L65" s="297"/>
      <c r="M65" s="302"/>
      <c r="N65" s="302"/>
      <c r="O65" s="302"/>
      <c r="P65" s="302"/>
      <c r="Q65" s="192"/>
      <c r="R65" s="298"/>
      <c r="S65" s="299"/>
    </row>
    <row r="66" ht="22.5" customHeight="1">
      <c r="B66" s="15"/>
      <c r="C66" s="15"/>
      <c r="D66" s="16"/>
      <c r="E66" s="271"/>
      <c r="F66" s="10"/>
      <c r="G66" s="10"/>
      <c r="H66" s="10"/>
      <c r="K66" s="306" t="s">
        <v>5390</v>
      </c>
      <c r="L66" s="297"/>
      <c r="M66" s="102">
        <v>24.2</v>
      </c>
      <c r="N66" s="102">
        <v>87.07</v>
      </c>
      <c r="O66" s="102">
        <v>47.28</v>
      </c>
      <c r="P66" s="102">
        <v>4.4</v>
      </c>
      <c r="Q66" s="103" t="s">
        <v>588</v>
      </c>
      <c r="R66" s="102">
        <v>123.7</v>
      </c>
      <c r="S66" s="299">
        <v>45706.44973284722</v>
      </c>
    </row>
    <row r="67" ht="22.5" customHeight="1">
      <c r="A67" s="4" t="s">
        <v>5164</v>
      </c>
      <c r="B67" s="275" t="s">
        <v>5136</v>
      </c>
      <c r="C67" s="10"/>
      <c r="D67" s="20">
        <v>79.81</v>
      </c>
      <c r="E67" s="271"/>
      <c r="F67" s="10"/>
      <c r="G67" s="10"/>
      <c r="H67" s="10"/>
      <c r="K67" s="307" t="s">
        <v>3559</v>
      </c>
      <c r="L67" s="304" t="s">
        <v>615</v>
      </c>
      <c r="M67" s="308">
        <v>13.1</v>
      </c>
      <c r="N67" s="308">
        <v>65.84</v>
      </c>
      <c r="O67" s="308">
        <v>28.57</v>
      </c>
      <c r="P67" s="308">
        <v>4.6</v>
      </c>
      <c r="Q67" s="182" t="s">
        <v>1339</v>
      </c>
      <c r="R67" s="102">
        <v>327.1</v>
      </c>
      <c r="S67" s="299">
        <v>45706.50411771991</v>
      </c>
    </row>
    <row r="68" ht="22.5" customHeight="1">
      <c r="B68" s="276" t="s">
        <v>5165</v>
      </c>
      <c r="C68" s="10"/>
      <c r="D68" s="16"/>
      <c r="E68" s="271"/>
      <c r="F68" s="10"/>
      <c r="G68" s="10"/>
      <c r="H68" s="10"/>
      <c r="K68" s="182" t="s">
        <v>5394</v>
      </c>
      <c r="L68" s="301" t="s">
        <v>5378</v>
      </c>
      <c r="M68" s="302"/>
      <c r="N68" s="302"/>
      <c r="O68" s="302"/>
      <c r="P68" s="302"/>
      <c r="Q68" s="192"/>
      <c r="R68" s="298"/>
      <c r="S68" s="299"/>
    </row>
    <row r="69" ht="22.5" customHeight="1">
      <c r="B69" s="273" t="s">
        <v>204</v>
      </c>
      <c r="C69" s="10"/>
      <c r="D69" s="16"/>
      <c r="E69" s="271"/>
      <c r="F69" s="10"/>
      <c r="G69" s="10"/>
      <c r="H69" s="10"/>
      <c r="K69" s="309" t="s">
        <v>5150</v>
      </c>
      <c r="L69" s="304" t="s">
        <v>615</v>
      </c>
      <c r="M69" s="308">
        <v>11.37</v>
      </c>
      <c r="N69" s="308">
        <v>60.41</v>
      </c>
      <c r="O69" s="308">
        <v>18.38</v>
      </c>
      <c r="P69" s="308">
        <v>5.06</v>
      </c>
      <c r="Q69" s="182" t="s">
        <v>998</v>
      </c>
      <c r="R69" s="102">
        <v>234.09</v>
      </c>
      <c r="S69" s="299">
        <v>45706.41389844907</v>
      </c>
    </row>
    <row r="70" ht="22.5" customHeight="1">
      <c r="B70" s="274" t="s">
        <v>5150</v>
      </c>
      <c r="C70" s="10"/>
      <c r="D70" s="16"/>
      <c r="E70" s="271"/>
      <c r="F70" s="10"/>
      <c r="G70" s="10"/>
      <c r="H70" s="10"/>
      <c r="K70" s="182" t="s">
        <v>3847</v>
      </c>
      <c r="L70" s="297"/>
      <c r="M70" s="298"/>
      <c r="N70" s="298"/>
      <c r="O70" s="298"/>
      <c r="P70" s="298"/>
      <c r="R70" s="298"/>
      <c r="S70" s="299"/>
    </row>
    <row r="71" ht="22.5" customHeight="1">
      <c r="A71" s="4" t="s">
        <v>5164</v>
      </c>
      <c r="B71" s="277" t="s">
        <v>5166</v>
      </c>
      <c r="C71" s="10"/>
      <c r="D71" s="16"/>
      <c r="E71" s="271"/>
      <c r="F71" s="10"/>
      <c r="G71" s="10"/>
      <c r="H71" s="10"/>
      <c r="K71" s="310" t="s">
        <v>1451</v>
      </c>
      <c r="L71" s="304" t="s">
        <v>615</v>
      </c>
      <c r="M71" s="298"/>
      <c r="N71" s="298"/>
      <c r="O71" s="298"/>
      <c r="P71" s="298"/>
      <c r="R71" s="298"/>
      <c r="S71" s="299"/>
    </row>
    <row r="72" ht="22.5" customHeight="1">
      <c r="B72" s="278" t="s">
        <v>5154</v>
      </c>
      <c r="C72" s="10"/>
      <c r="D72" s="10"/>
      <c r="E72" s="11"/>
      <c r="F72" s="10"/>
      <c r="G72" s="10"/>
      <c r="H72" s="10"/>
      <c r="K72" s="182" t="s">
        <v>5136</v>
      </c>
      <c r="L72" s="312" t="s">
        <v>957</v>
      </c>
      <c r="M72" s="308">
        <v>5.88</v>
      </c>
      <c r="N72" s="308">
        <v>62.65</v>
      </c>
      <c r="O72" s="308">
        <v>21.75</v>
      </c>
      <c r="P72" s="308">
        <v>2.31</v>
      </c>
      <c r="Q72" s="182" t="s">
        <v>1339</v>
      </c>
      <c r="R72" s="102">
        <v>82.73</v>
      </c>
      <c r="S72" s="299">
        <v>45706.43432965278</v>
      </c>
    </row>
    <row r="73" ht="22.5" customHeight="1">
      <c r="B73" s="4" t="s">
        <v>3847</v>
      </c>
      <c r="E73" s="1"/>
      <c r="K73" s="182" t="s">
        <v>5157</v>
      </c>
      <c r="L73" s="301" t="s">
        <v>5378</v>
      </c>
      <c r="M73" s="302"/>
      <c r="N73" s="302"/>
      <c r="O73" s="302"/>
      <c r="P73" s="302"/>
      <c r="Q73" s="192"/>
      <c r="R73" s="298"/>
      <c r="S73" s="299"/>
    </row>
    <row r="74" ht="22.5" customHeight="1">
      <c r="A74" s="4" t="s">
        <v>5164</v>
      </c>
      <c r="B74" s="4" t="s">
        <v>5168</v>
      </c>
      <c r="E74" s="1"/>
      <c r="K74" s="182" t="s">
        <v>2537</v>
      </c>
      <c r="L74" s="297"/>
      <c r="M74" s="298"/>
      <c r="N74" s="298"/>
      <c r="O74" s="298"/>
      <c r="P74" s="298"/>
      <c r="R74" s="298"/>
      <c r="S74" s="299"/>
    </row>
    <row r="75" ht="22.5" customHeight="1">
      <c r="B75" s="279" t="s">
        <v>5155</v>
      </c>
      <c r="E75" s="1"/>
      <c r="K75" s="182" t="s">
        <v>310</v>
      </c>
      <c r="L75" s="304" t="s">
        <v>615</v>
      </c>
      <c r="M75" s="298"/>
      <c r="N75" s="298"/>
      <c r="O75" s="298"/>
      <c r="P75" s="298"/>
      <c r="R75" s="298"/>
      <c r="S75" s="299"/>
    </row>
    <row r="76" ht="22.5" customHeight="1">
      <c r="A76" s="4" t="s">
        <v>5164</v>
      </c>
      <c r="B76" s="4" t="s">
        <v>1230</v>
      </c>
      <c r="E76" s="1"/>
      <c r="K76" s="313" t="s">
        <v>787</v>
      </c>
      <c r="L76" s="297"/>
      <c r="M76" s="102">
        <v>34.14</v>
      </c>
      <c r="N76" s="102">
        <v>77.95</v>
      </c>
      <c r="O76" s="102">
        <v>55.27</v>
      </c>
      <c r="P76" s="102">
        <v>6.28</v>
      </c>
      <c r="Q76" s="103" t="s">
        <v>542</v>
      </c>
      <c r="R76" s="102">
        <v>166.94</v>
      </c>
      <c r="S76" s="299"/>
    </row>
    <row r="77" ht="22.5" customHeight="1">
      <c r="A77" s="4" t="s">
        <v>5164</v>
      </c>
      <c r="B77" s="4" t="s">
        <v>255</v>
      </c>
      <c r="E77" s="1"/>
      <c r="K77" s="314" t="s">
        <v>4848</v>
      </c>
      <c r="L77" s="312" t="s">
        <v>957</v>
      </c>
      <c r="M77" s="308">
        <v>3.86</v>
      </c>
      <c r="N77" s="308">
        <v>62.6</v>
      </c>
      <c r="O77" s="308">
        <v>23.12</v>
      </c>
      <c r="P77" s="308">
        <v>3.48</v>
      </c>
      <c r="Q77" s="182" t="s">
        <v>998</v>
      </c>
      <c r="R77" s="102">
        <v>70.5</v>
      </c>
      <c r="S77" s="299">
        <v>45707.204904791666</v>
      </c>
    </row>
    <row r="78" ht="22.5" customHeight="1">
      <c r="A78" s="4" t="s">
        <v>5164</v>
      </c>
      <c r="B78" s="4" t="s">
        <v>5121</v>
      </c>
      <c r="E78" s="1"/>
      <c r="K78" s="182" t="s">
        <v>5168</v>
      </c>
      <c r="L78" s="301" t="s">
        <v>5378</v>
      </c>
      <c r="M78" s="302"/>
      <c r="N78" s="302"/>
      <c r="O78" s="302"/>
      <c r="P78" s="302"/>
      <c r="Q78" s="192"/>
      <c r="R78" s="298"/>
      <c r="S78" s="299"/>
    </row>
    <row r="79" ht="22.5" customHeight="1">
      <c r="A79" s="4" t="s">
        <v>5164</v>
      </c>
      <c r="B79" s="4" t="s">
        <v>5159</v>
      </c>
      <c r="E79" s="1"/>
      <c r="K79" s="315" t="s">
        <v>2471</v>
      </c>
      <c r="L79" s="316" t="s">
        <v>673</v>
      </c>
      <c r="M79" s="102">
        <v>21.88</v>
      </c>
      <c r="N79" s="102">
        <v>82.05</v>
      </c>
      <c r="O79" s="102">
        <v>37.66</v>
      </c>
      <c r="P79" s="102">
        <v>3.53</v>
      </c>
      <c r="Q79" s="103" t="s">
        <v>2478</v>
      </c>
      <c r="R79" s="102">
        <v>86.5</v>
      </c>
      <c r="S79" s="299">
        <v>45707.21796927083</v>
      </c>
    </row>
    <row r="80" ht="22.5" customHeight="1">
      <c r="A80" s="4" t="s">
        <v>5164</v>
      </c>
      <c r="B80" s="4" t="s">
        <v>5139</v>
      </c>
      <c r="E80" s="1"/>
      <c r="K80" s="182" t="s">
        <v>540</v>
      </c>
      <c r="L80" s="316" t="s">
        <v>673</v>
      </c>
      <c r="M80" s="308">
        <v>23.4</v>
      </c>
      <c r="N80" s="308">
        <v>82.38</v>
      </c>
      <c r="O80" s="308">
        <v>60.69</v>
      </c>
      <c r="P80" s="308">
        <v>5.4</v>
      </c>
      <c r="Q80" s="182" t="s">
        <v>542</v>
      </c>
      <c r="R80" s="102">
        <v>292.0</v>
      </c>
      <c r="S80" s="318">
        <v>45706.404897939814</v>
      </c>
    </row>
    <row r="81" ht="22.5" customHeight="1">
      <c r="A81" s="4" t="s">
        <v>5164</v>
      </c>
      <c r="B81" s="4" t="s">
        <v>1202</v>
      </c>
      <c r="E81" s="1"/>
      <c r="K81" s="103" t="s">
        <v>1066</v>
      </c>
      <c r="L81" s="297"/>
      <c r="M81" s="298"/>
      <c r="N81" s="298"/>
      <c r="O81" s="298"/>
      <c r="P81" s="298"/>
      <c r="R81" s="298"/>
      <c r="S81" s="299"/>
    </row>
    <row r="82" ht="22.5" customHeight="1">
      <c r="A82" s="4" t="s">
        <v>5164</v>
      </c>
      <c r="B82" s="4" t="s">
        <v>5174</v>
      </c>
      <c r="E82" s="1"/>
      <c r="K82" s="319" t="s">
        <v>5432</v>
      </c>
      <c r="L82" s="312" t="s">
        <v>957</v>
      </c>
      <c r="M82" s="308">
        <v>12.86</v>
      </c>
      <c r="N82" s="308">
        <v>75.94</v>
      </c>
      <c r="O82" s="308">
        <v>30.76</v>
      </c>
      <c r="P82" s="308">
        <v>1.68</v>
      </c>
      <c r="Q82" s="103" t="s">
        <v>5435</v>
      </c>
      <c r="R82" s="308">
        <v>78.51</v>
      </c>
      <c r="S82" s="299">
        <v>45706.43533447917</v>
      </c>
    </row>
    <row r="83" ht="22.5" customHeight="1">
      <c r="B83" s="4" t="s">
        <v>5157</v>
      </c>
      <c r="E83" s="1"/>
      <c r="K83" s="320" t="s">
        <v>5281</v>
      </c>
      <c r="L83" s="316" t="s">
        <v>673</v>
      </c>
      <c r="M83" s="102">
        <v>5.94</v>
      </c>
      <c r="N83" s="102">
        <v>84.12</v>
      </c>
      <c r="O83" s="102">
        <v>36.27</v>
      </c>
      <c r="P83" s="102">
        <v>0.83</v>
      </c>
      <c r="Q83" s="103" t="s">
        <v>588</v>
      </c>
      <c r="R83" s="102">
        <v>57.86</v>
      </c>
      <c r="S83" s="299">
        <v>45707.202282557875</v>
      </c>
    </row>
    <row r="84" ht="22.5" customHeight="1">
      <c r="B84" s="4" t="s">
        <v>5150</v>
      </c>
      <c r="E84" s="1"/>
      <c r="K84" s="307" t="s">
        <v>5446</v>
      </c>
      <c r="L84" s="297"/>
      <c r="M84" s="298"/>
      <c r="N84" s="298"/>
      <c r="O84" s="298"/>
      <c r="P84" s="298"/>
      <c r="R84" s="102">
        <v>25.61</v>
      </c>
      <c r="S84" s="299">
        <v>45706.62172981481</v>
      </c>
    </row>
    <row r="85" ht="22.5" customHeight="1">
      <c r="B85" s="4" t="s">
        <v>507</v>
      </c>
      <c r="E85" s="1"/>
      <c r="K85" s="182" t="s">
        <v>228</v>
      </c>
      <c r="L85" s="297"/>
      <c r="M85" s="302"/>
      <c r="N85" s="302"/>
      <c r="O85" s="302"/>
      <c r="P85" s="302"/>
      <c r="Q85" s="192"/>
      <c r="R85" s="298"/>
      <c r="S85" s="299"/>
    </row>
    <row r="86" ht="22.5" customHeight="1">
      <c r="B86" s="4" t="s">
        <v>5360</v>
      </c>
      <c r="E86" s="1"/>
      <c r="K86" s="182" t="s">
        <v>5159</v>
      </c>
      <c r="L86" s="304" t="s">
        <v>4922</v>
      </c>
      <c r="M86" s="302"/>
      <c r="N86" s="302"/>
      <c r="O86" s="302"/>
      <c r="P86" s="302"/>
      <c r="Q86" s="192"/>
      <c r="R86" s="298"/>
      <c r="S86" s="299"/>
    </row>
    <row r="87" ht="22.5" customHeight="1">
      <c r="B87" s="276" t="s">
        <v>5165</v>
      </c>
      <c r="E87" s="1"/>
      <c r="K87" s="182" t="s">
        <v>5139</v>
      </c>
      <c r="L87" s="304" t="s">
        <v>4922</v>
      </c>
      <c r="M87" s="302"/>
      <c r="N87" s="302"/>
      <c r="O87" s="302"/>
      <c r="P87" s="302"/>
      <c r="Q87" s="192"/>
      <c r="R87" s="298"/>
      <c r="S87" s="299"/>
    </row>
    <row r="88" ht="22.5" customHeight="1">
      <c r="B88" s="15" t="s">
        <v>5469</v>
      </c>
      <c r="E88" s="1"/>
      <c r="K88" s="321" t="s">
        <v>5470</v>
      </c>
      <c r="L88" s="297"/>
      <c r="M88" s="298"/>
      <c r="N88" s="298"/>
      <c r="O88" s="298"/>
      <c r="P88" s="298"/>
      <c r="Q88" s="103" t="s">
        <v>5473</v>
      </c>
      <c r="R88" s="102">
        <v>716.2</v>
      </c>
      <c r="S88" s="299">
        <v>45707.19999094907</v>
      </c>
    </row>
    <row r="89" ht="22.5" customHeight="1">
      <c r="B89" s="15" t="s">
        <v>5121</v>
      </c>
      <c r="E89" s="1"/>
      <c r="K89" s="322" t="s">
        <v>5474</v>
      </c>
      <c r="L89" s="316" t="s">
        <v>673</v>
      </c>
      <c r="M89" s="308">
        <v>55.1</v>
      </c>
      <c r="N89" s="308">
        <v>75.46</v>
      </c>
      <c r="O89" s="308">
        <v>39.67</v>
      </c>
      <c r="P89" s="308">
        <v>19.6</v>
      </c>
      <c r="Q89" s="182" t="s">
        <v>170</v>
      </c>
      <c r="R89" s="102">
        <v>1018.0</v>
      </c>
      <c r="S89" s="299">
        <v>45706.40608256945</v>
      </c>
    </row>
    <row r="90" ht="22.5" customHeight="1">
      <c r="B90" s="15" t="s">
        <v>5477</v>
      </c>
      <c r="E90" s="1"/>
      <c r="K90" s="322" t="s">
        <v>1398</v>
      </c>
      <c r="L90" s="297"/>
      <c r="M90" s="102">
        <v>69.55</v>
      </c>
      <c r="N90" s="102">
        <v>71.39</v>
      </c>
      <c r="O90" s="102">
        <v>41.53</v>
      </c>
      <c r="P90" s="102">
        <v>23.95</v>
      </c>
      <c r="Q90" s="103" t="s">
        <v>1339</v>
      </c>
      <c r="R90" s="102">
        <v>1050.06</v>
      </c>
      <c r="S90" s="299">
        <v>45706.617064756945</v>
      </c>
    </row>
    <row r="91" ht="22.5" customHeight="1">
      <c r="B91" s="15" t="s">
        <v>5359</v>
      </c>
      <c r="E91" s="1"/>
      <c r="K91" s="103" t="s">
        <v>5487</v>
      </c>
      <c r="L91" s="297"/>
      <c r="M91" s="298"/>
      <c r="N91" s="298"/>
      <c r="O91" s="298"/>
      <c r="P91" s="298"/>
      <c r="R91" s="298"/>
      <c r="S91" s="299"/>
    </row>
    <row r="92" ht="22.5" customHeight="1">
      <c r="B92" s="4" t="s">
        <v>3302</v>
      </c>
      <c r="E92" s="1"/>
      <c r="K92" s="182" t="s">
        <v>5154</v>
      </c>
      <c r="L92" s="304" t="s">
        <v>4922</v>
      </c>
      <c r="M92" s="302"/>
      <c r="N92" s="302"/>
      <c r="O92" s="302"/>
      <c r="P92" s="302"/>
      <c r="Q92" s="192"/>
      <c r="R92" s="298"/>
      <c r="S92" s="299"/>
    </row>
    <row r="93" ht="22.5" customHeight="1">
      <c r="B93" s="4" t="s">
        <v>513</v>
      </c>
      <c r="E93" s="1"/>
      <c r="K93" s="182" t="s">
        <v>5148</v>
      </c>
      <c r="L93" s="301" t="s">
        <v>5378</v>
      </c>
      <c r="M93" s="302"/>
      <c r="N93" s="302"/>
      <c r="O93" s="302"/>
      <c r="P93" s="302"/>
      <c r="Q93" s="192"/>
      <c r="R93" s="298"/>
      <c r="S93" s="299"/>
    </row>
    <row r="94" ht="22.5" customHeight="1">
      <c r="B94" s="4" t="s">
        <v>3559</v>
      </c>
      <c r="E94" s="1"/>
      <c r="K94" s="182" t="s">
        <v>5155</v>
      </c>
      <c r="L94" s="312" t="s">
        <v>957</v>
      </c>
      <c r="M94" s="302"/>
      <c r="N94" s="302"/>
      <c r="O94" s="302"/>
      <c r="P94" s="302"/>
      <c r="Q94" s="192"/>
      <c r="R94" s="298"/>
      <c r="S94" s="299"/>
    </row>
    <row r="95" ht="22.5" customHeight="1">
      <c r="B95" s="4" t="s">
        <v>5500</v>
      </c>
      <c r="E95" s="1"/>
      <c r="K95" s="182" t="s">
        <v>5166</v>
      </c>
      <c r="L95" s="301" t="s">
        <v>5378</v>
      </c>
      <c r="M95" s="302"/>
      <c r="N95" s="302"/>
      <c r="O95" s="302"/>
      <c r="P95" s="302"/>
      <c r="Q95" s="192"/>
      <c r="R95" s="298"/>
      <c r="S95" s="299"/>
    </row>
    <row r="96" ht="22.5" customHeight="1">
      <c r="B96" s="4" t="s">
        <v>5508</v>
      </c>
      <c r="E96" s="1"/>
      <c r="K96" s="309" t="s">
        <v>5510</v>
      </c>
      <c r="L96" s="304" t="s">
        <v>615</v>
      </c>
      <c r="M96" s="308">
        <v>13.1</v>
      </c>
      <c r="N96" s="308">
        <v>77.75</v>
      </c>
      <c r="O96" s="308">
        <v>40.46</v>
      </c>
      <c r="P96" s="308">
        <v>5.31</v>
      </c>
      <c r="Q96" s="182" t="s">
        <v>3629</v>
      </c>
      <c r="R96" s="102">
        <v>115.24</v>
      </c>
      <c r="S96" s="299">
        <v>45707.22303005787</v>
      </c>
    </row>
    <row r="97" ht="22.5" customHeight="1">
      <c r="B97" s="4" t="s">
        <v>4848</v>
      </c>
      <c r="E97" s="1"/>
      <c r="K97" s="323" t="s">
        <v>532</v>
      </c>
      <c r="L97" s="304" t="s">
        <v>615</v>
      </c>
      <c r="M97" s="298"/>
      <c r="N97" s="298"/>
      <c r="O97" s="298"/>
      <c r="P97" s="298"/>
      <c r="R97" s="102">
        <v>146.06</v>
      </c>
      <c r="S97" s="299">
        <v>45706.703309131946</v>
      </c>
    </row>
    <row r="98" ht="22.5" customHeight="1">
      <c r="B98" s="4" t="s">
        <v>5516</v>
      </c>
      <c r="E98" s="1"/>
      <c r="K98" s="182" t="s">
        <v>148</v>
      </c>
      <c r="L98" s="297"/>
      <c r="M98" s="302"/>
      <c r="N98" s="302"/>
      <c r="O98" s="302"/>
      <c r="P98" s="302"/>
      <c r="Q98" s="192"/>
      <c r="R98" s="298"/>
      <c r="S98" s="299"/>
    </row>
    <row r="99" ht="22.5" customHeight="1">
      <c r="B99" s="4" t="s">
        <v>5523</v>
      </c>
      <c r="E99" s="1"/>
      <c r="K99" s="182" t="s">
        <v>5525</v>
      </c>
      <c r="L99" s="301" t="s">
        <v>5378</v>
      </c>
      <c r="M99" s="302"/>
      <c r="N99" s="302"/>
      <c r="O99" s="302"/>
      <c r="P99" s="302"/>
      <c r="Q99" s="192"/>
      <c r="R99" s="298"/>
      <c r="S99" s="299"/>
    </row>
    <row r="100" ht="22.5" customHeight="1">
      <c r="B100" s="4" t="s">
        <v>5529</v>
      </c>
      <c r="E100" s="1"/>
      <c r="K100" s="182" t="s">
        <v>5530</v>
      </c>
      <c r="L100" s="297"/>
      <c r="M100" s="302"/>
      <c r="N100" s="302"/>
      <c r="O100" s="302"/>
      <c r="P100" s="302"/>
      <c r="Q100" s="192"/>
      <c r="R100" s="298"/>
      <c r="S100" s="299"/>
    </row>
    <row r="101" ht="22.5" customHeight="1">
      <c r="B101" s="4" t="s">
        <v>5533</v>
      </c>
      <c r="E101" s="1"/>
      <c r="K101" s="319" t="s">
        <v>5534</v>
      </c>
      <c r="L101" s="312" t="s">
        <v>957</v>
      </c>
      <c r="M101" s="308">
        <v>24.35</v>
      </c>
      <c r="N101" s="308">
        <v>71.63</v>
      </c>
      <c r="O101" s="308">
        <v>37.58</v>
      </c>
      <c r="P101" s="308">
        <v>4.81</v>
      </c>
      <c r="Q101" s="182" t="s">
        <v>542</v>
      </c>
      <c r="R101" s="102">
        <v>226.2</v>
      </c>
      <c r="S101" s="299">
        <v>45707.198763541666</v>
      </c>
    </row>
    <row r="102" ht="22.5" customHeight="1">
      <c r="B102" s="4" t="s">
        <v>204</v>
      </c>
      <c r="E102" s="1"/>
      <c r="K102" s="182" t="s">
        <v>5337</v>
      </c>
      <c r="L102" s="297"/>
      <c r="M102" s="302"/>
      <c r="N102" s="302"/>
      <c r="O102" s="302"/>
      <c r="P102" s="302"/>
      <c r="Q102" s="192"/>
      <c r="R102" s="298"/>
      <c r="S102" s="299"/>
    </row>
    <row r="103" ht="22.5" customHeight="1">
      <c r="B103" s="4" t="s">
        <v>5530</v>
      </c>
      <c r="E103" s="1"/>
      <c r="K103" s="182" t="s">
        <v>5545</v>
      </c>
      <c r="L103" s="297"/>
      <c r="M103" s="302"/>
      <c r="N103" s="302"/>
      <c r="O103" s="302"/>
      <c r="P103" s="302"/>
      <c r="Q103" s="192"/>
      <c r="R103" s="298"/>
      <c r="S103" s="299"/>
    </row>
    <row r="104" ht="22.5" customHeight="1">
      <c r="B104" s="265" t="s">
        <v>5133</v>
      </c>
      <c r="E104" s="1"/>
      <c r="K104" s="315" t="s">
        <v>5546</v>
      </c>
      <c r="L104" s="297"/>
      <c r="M104" s="308">
        <v>1419.0</v>
      </c>
      <c r="N104" s="308">
        <v>81.0</v>
      </c>
      <c r="O104" s="308">
        <v>35.83</v>
      </c>
      <c r="P104" s="308">
        <v>0.252</v>
      </c>
      <c r="Q104" s="182" t="s">
        <v>542</v>
      </c>
      <c r="R104" s="102">
        <v>5.824</v>
      </c>
      <c r="S104" s="299">
        <v>45706.42169315972</v>
      </c>
    </row>
    <row r="105" ht="22.5" customHeight="1">
      <c r="B105" s="4" t="s">
        <v>5548</v>
      </c>
      <c r="E105" s="1"/>
      <c r="K105" s="182" t="s">
        <v>5351</v>
      </c>
      <c r="L105" s="297"/>
      <c r="M105" s="302"/>
      <c r="N105" s="302"/>
      <c r="O105" s="302"/>
      <c r="P105" s="302"/>
      <c r="Q105" s="192"/>
      <c r="R105" s="298"/>
      <c r="S105" s="299"/>
    </row>
    <row r="106" ht="22.5" customHeight="1">
      <c r="B106" s="4" t="s">
        <v>1949</v>
      </c>
      <c r="E106" s="1"/>
      <c r="K106" s="182" t="s">
        <v>5558</v>
      </c>
      <c r="L106" s="297"/>
      <c r="M106" s="302"/>
      <c r="N106" s="302"/>
      <c r="O106" s="302"/>
      <c r="P106" s="302"/>
      <c r="Q106" s="192"/>
      <c r="R106" s="298"/>
      <c r="S106" s="299"/>
    </row>
    <row r="107" ht="22.5" customHeight="1">
      <c r="B107" s="4" t="s">
        <v>271</v>
      </c>
      <c r="E107" s="1"/>
      <c r="K107" s="182" t="s">
        <v>5144</v>
      </c>
      <c r="L107" s="304" t="s">
        <v>615</v>
      </c>
      <c r="M107" s="298"/>
      <c r="N107" s="298"/>
      <c r="O107" s="298"/>
      <c r="P107" s="298"/>
      <c r="R107" s="103">
        <v>358.75</v>
      </c>
      <c r="S107" s="324">
        <v>45707.221922488425</v>
      </c>
    </row>
    <row r="108">
      <c r="B108" s="4" t="s">
        <v>5267</v>
      </c>
      <c r="E108" s="1"/>
    </row>
    <row r="109">
      <c r="B109" s="4" t="s">
        <v>5568</v>
      </c>
      <c r="E109" s="1"/>
    </row>
    <row r="110">
      <c r="B110" s="4" t="s">
        <v>5487</v>
      </c>
      <c r="E110" s="1"/>
    </row>
    <row r="111">
      <c r="B111" s="4" t="s">
        <v>5570</v>
      </c>
      <c r="E111" s="1"/>
    </row>
    <row r="112">
      <c r="B112" s="4" t="s">
        <v>5571</v>
      </c>
      <c r="E112" s="1"/>
    </row>
    <row r="113">
      <c r="B113" s="4" t="s">
        <v>5572</v>
      </c>
      <c r="E113" s="1"/>
    </row>
    <row r="114">
      <c r="B114" s="4" t="s">
        <v>2027</v>
      </c>
      <c r="E114" s="1"/>
    </row>
    <row r="115">
      <c r="B115" s="4" t="s">
        <v>5573</v>
      </c>
      <c r="E115" s="1"/>
    </row>
    <row r="116">
      <c r="B116" s="15" t="s">
        <v>5349</v>
      </c>
      <c r="E116" s="1"/>
    </row>
    <row r="117">
      <c r="B117" s="4" t="s">
        <v>5576</v>
      </c>
      <c r="E117" s="1"/>
    </row>
    <row r="118">
      <c r="B118" s="4" t="s">
        <v>5139</v>
      </c>
      <c r="E118" s="1"/>
    </row>
    <row r="119">
      <c r="B119" s="4" t="s">
        <v>5136</v>
      </c>
      <c r="E119" s="1"/>
    </row>
    <row r="120">
      <c r="B120" s="4" t="s">
        <v>351</v>
      </c>
      <c r="E120" s="1"/>
    </row>
    <row r="121">
      <c r="E121" s="1"/>
    </row>
    <row r="122">
      <c r="E122" s="1"/>
      <c r="H122" s="45"/>
      <c r="I122" s="45"/>
      <c r="J122" s="45"/>
      <c r="K122" s="45"/>
      <c r="L122" s="45"/>
      <c r="M122" s="45"/>
      <c r="N122" s="45"/>
      <c r="O122" s="45"/>
      <c r="P122" s="45"/>
    </row>
    <row r="123">
      <c r="E123" s="1"/>
      <c r="H123" s="45"/>
      <c r="I123" s="45"/>
      <c r="J123" s="45"/>
      <c r="K123" s="45"/>
      <c r="L123" s="45"/>
      <c r="M123" s="45"/>
      <c r="N123" s="45"/>
      <c r="O123" s="45"/>
      <c r="P123" s="45"/>
    </row>
    <row r="124">
      <c r="E124" s="1"/>
      <c r="H124" s="45"/>
      <c r="I124" s="45"/>
      <c r="J124" s="45"/>
      <c r="K124" s="45"/>
      <c r="L124" s="45"/>
      <c r="M124" s="45"/>
      <c r="N124" s="45"/>
      <c r="O124" s="45"/>
      <c r="P124" s="45"/>
    </row>
    <row r="125">
      <c r="E125" s="1"/>
      <c r="H125" s="45"/>
      <c r="I125" s="45"/>
      <c r="J125" s="45"/>
      <c r="K125" s="45"/>
      <c r="L125" s="45"/>
      <c r="M125" s="45"/>
      <c r="N125" s="45"/>
      <c r="O125" s="45"/>
      <c r="P125" s="45"/>
    </row>
    <row r="126">
      <c r="E126" s="1"/>
      <c r="H126" s="45"/>
      <c r="I126" s="45"/>
      <c r="J126" s="45"/>
      <c r="K126" s="45"/>
      <c r="L126" s="45"/>
      <c r="M126" s="45"/>
      <c r="N126" s="45"/>
      <c r="O126" s="45"/>
      <c r="P126" s="45"/>
    </row>
    <row r="127">
      <c r="E127" s="1"/>
      <c r="H127" s="45"/>
      <c r="I127" s="45"/>
      <c r="J127" s="45"/>
      <c r="K127" s="45"/>
      <c r="L127" s="45"/>
      <c r="M127" s="45"/>
      <c r="N127" s="45"/>
      <c r="O127" s="45"/>
      <c r="P127" s="45"/>
    </row>
    <row r="128">
      <c r="E128" s="1"/>
      <c r="H128" s="45"/>
      <c r="I128" s="45"/>
      <c r="J128" s="45"/>
      <c r="K128" s="45"/>
      <c r="L128" s="45"/>
      <c r="M128" s="45"/>
      <c r="N128" s="45"/>
      <c r="O128" s="45"/>
      <c r="P128" s="45"/>
    </row>
    <row r="129">
      <c r="E129" s="1"/>
      <c r="H129" s="45"/>
      <c r="I129" s="45"/>
      <c r="J129" s="45"/>
      <c r="K129" s="45"/>
      <c r="L129" s="45"/>
      <c r="M129" s="45"/>
      <c r="N129" s="45"/>
      <c r="O129" s="45"/>
      <c r="P129" s="45"/>
    </row>
    <row r="130">
      <c r="E130" s="1"/>
      <c r="H130" s="45"/>
      <c r="I130" s="45"/>
      <c r="J130" s="45"/>
      <c r="K130" s="45"/>
      <c r="L130" s="45"/>
      <c r="M130" s="45"/>
      <c r="N130" s="45"/>
      <c r="O130" s="45"/>
      <c r="P130" s="45"/>
    </row>
    <row r="131">
      <c r="E131" s="1"/>
      <c r="H131" s="45"/>
      <c r="I131" s="45"/>
      <c r="J131" s="45"/>
      <c r="K131" s="45"/>
      <c r="L131" s="45"/>
      <c r="M131" s="45"/>
      <c r="N131" s="45"/>
      <c r="O131" s="45"/>
      <c r="P131" s="45"/>
    </row>
    <row r="132">
      <c r="E132" s="1"/>
      <c r="H132" s="45"/>
      <c r="I132" s="45"/>
      <c r="J132" s="45"/>
      <c r="K132" s="45"/>
      <c r="L132" s="45"/>
      <c r="M132" s="45"/>
      <c r="N132" s="45"/>
      <c r="O132" s="45"/>
      <c r="P132" s="45"/>
    </row>
    <row r="133">
      <c r="E133" s="1"/>
      <c r="H133" s="45"/>
      <c r="I133" s="45"/>
      <c r="J133" s="45"/>
      <c r="K133" s="45"/>
      <c r="L133" s="45"/>
      <c r="M133" s="45"/>
      <c r="N133" s="45"/>
      <c r="O133" s="45"/>
      <c r="P133" s="45"/>
    </row>
    <row r="134">
      <c r="E134" s="1"/>
      <c r="H134" s="45"/>
      <c r="I134" s="45"/>
      <c r="J134" s="45"/>
      <c r="K134" s="45"/>
      <c r="L134" s="45"/>
      <c r="M134" s="45"/>
      <c r="N134" s="45"/>
      <c r="O134" s="45"/>
      <c r="P134" s="45"/>
    </row>
    <row r="135">
      <c r="E135" s="1"/>
      <c r="H135" s="45"/>
      <c r="I135" s="45"/>
      <c r="J135" s="45"/>
      <c r="K135" s="45"/>
      <c r="L135" s="45"/>
      <c r="M135" s="45"/>
      <c r="N135" s="45"/>
      <c r="O135" s="45"/>
      <c r="P135" s="45"/>
    </row>
    <row r="136">
      <c r="E136" s="1"/>
      <c r="H136" s="45"/>
      <c r="I136" s="45"/>
      <c r="J136" s="45"/>
      <c r="K136" s="45"/>
      <c r="L136" s="45"/>
      <c r="M136" s="45"/>
      <c r="N136" s="45"/>
      <c r="O136" s="45"/>
      <c r="P136" s="45"/>
    </row>
    <row r="137">
      <c r="E137" s="1"/>
      <c r="H137" s="45"/>
      <c r="I137" s="45"/>
      <c r="J137" s="45"/>
      <c r="K137" s="45"/>
      <c r="L137" s="45"/>
      <c r="M137" s="45"/>
      <c r="N137" s="45"/>
      <c r="O137" s="45"/>
      <c r="P137" s="45"/>
    </row>
    <row r="138">
      <c r="E138" s="1"/>
    </row>
    <row r="139">
      <c r="E139" s="1"/>
    </row>
    <row r="140">
      <c r="E140" s="1"/>
    </row>
    <row r="141">
      <c r="E141" s="1"/>
    </row>
    <row r="142">
      <c r="E142" s="1"/>
    </row>
    <row r="143">
      <c r="E143" s="1"/>
    </row>
    <row r="144">
      <c r="E144" s="1"/>
    </row>
    <row r="145">
      <c r="E145" s="1"/>
    </row>
    <row r="146">
      <c r="E146" s="1"/>
    </row>
    <row r="147">
      <c r="E147" s="1"/>
    </row>
    <row r="148">
      <c r="E148" s="1"/>
    </row>
    <row r="149">
      <c r="E149" s="1"/>
    </row>
    <row r="150">
      <c r="E150" s="1"/>
    </row>
    <row r="151">
      <c r="E151" s="1"/>
    </row>
    <row r="152">
      <c r="E152" s="1"/>
    </row>
    <row r="153">
      <c r="E153" s="1"/>
    </row>
    <row r="154">
      <c r="E154" s="1"/>
    </row>
    <row r="155">
      <c r="E155" s="1"/>
    </row>
    <row r="156">
      <c r="E156" s="1"/>
    </row>
    <row r="157">
      <c r="E157" s="1"/>
    </row>
    <row r="158">
      <c r="E158" s="1"/>
    </row>
    <row r="159">
      <c r="E159" s="1"/>
    </row>
    <row r="160">
      <c r="E160" s="1"/>
    </row>
    <row r="161">
      <c r="E161" s="1"/>
    </row>
    <row r="162">
      <c r="E162" s="1"/>
    </row>
    <row r="163">
      <c r="E163" s="1"/>
    </row>
    <row r="164">
      <c r="E164" s="1"/>
    </row>
    <row r="165">
      <c r="E165" s="1"/>
    </row>
    <row r="166">
      <c r="E166" s="1"/>
    </row>
    <row r="167">
      <c r="E167" s="1"/>
    </row>
    <row r="168">
      <c r="E168" s="1"/>
    </row>
    <row r="169">
      <c r="E169" s="1"/>
    </row>
    <row r="170">
      <c r="E170" s="1"/>
    </row>
    <row r="171">
      <c r="E171" s="1"/>
    </row>
    <row r="172">
      <c r="E172" s="1"/>
    </row>
    <row r="173">
      <c r="E173" s="1"/>
    </row>
    <row r="174">
      <c r="E174" s="1"/>
    </row>
    <row r="175">
      <c r="E175" s="1"/>
    </row>
    <row r="176">
      <c r="E176" s="1"/>
    </row>
    <row r="177">
      <c r="E177" s="1"/>
    </row>
    <row r="178">
      <c r="E178" s="1"/>
    </row>
    <row r="179">
      <c r="E179" s="1"/>
    </row>
    <row r="180">
      <c r="E180" s="1"/>
    </row>
    <row r="181">
      <c r="E181" s="1"/>
    </row>
    <row r="182">
      <c r="E182" s="1"/>
    </row>
    <row r="183">
      <c r="E183" s="1"/>
    </row>
    <row r="184">
      <c r="E184" s="1"/>
    </row>
    <row r="185">
      <c r="E185" s="1"/>
    </row>
    <row r="186">
      <c r="E186" s="1"/>
    </row>
    <row r="187">
      <c r="E187" s="1"/>
    </row>
    <row r="188">
      <c r="E188" s="1"/>
    </row>
    <row r="189">
      <c r="E189" s="1"/>
    </row>
    <row r="190">
      <c r="E190" s="1"/>
    </row>
    <row r="191">
      <c r="E191" s="1"/>
    </row>
    <row r="192">
      <c r="E192" s="1"/>
    </row>
    <row r="193">
      <c r="E193" s="1"/>
    </row>
    <row r="194">
      <c r="E194" s="1"/>
    </row>
    <row r="195">
      <c r="E195" s="1"/>
    </row>
    <row r="196">
      <c r="E196" s="1"/>
    </row>
    <row r="197">
      <c r="E197" s="1"/>
    </row>
    <row r="198">
      <c r="E198" s="1"/>
    </row>
    <row r="199">
      <c r="E199" s="1"/>
    </row>
    <row r="200">
      <c r="E200" s="1"/>
    </row>
    <row r="201">
      <c r="E201" s="1"/>
    </row>
    <row r="202">
      <c r="E202" s="1"/>
    </row>
    <row r="203">
      <c r="E203" s="1"/>
    </row>
    <row r="204">
      <c r="E204" s="1"/>
    </row>
    <row r="205">
      <c r="E205" s="1"/>
    </row>
    <row r="206">
      <c r="E206" s="1"/>
    </row>
    <row r="207">
      <c r="E207" s="1"/>
    </row>
    <row r="208">
      <c r="E208" s="1"/>
    </row>
    <row r="209">
      <c r="E209" s="1"/>
    </row>
    <row r="210">
      <c r="E210" s="1"/>
    </row>
    <row r="211">
      <c r="E211" s="1"/>
    </row>
    <row r="212">
      <c r="E212" s="1"/>
    </row>
    <row r="213">
      <c r="E213" s="1"/>
    </row>
    <row r="214">
      <c r="E214" s="1"/>
    </row>
    <row r="215">
      <c r="E215" s="1"/>
    </row>
    <row r="216">
      <c r="E216" s="1"/>
    </row>
    <row r="217">
      <c r="E217" s="1"/>
    </row>
    <row r="218">
      <c r="E218" s="1"/>
    </row>
    <row r="219">
      <c r="E219" s="1"/>
    </row>
    <row r="220">
      <c r="E220" s="1"/>
    </row>
    <row r="221">
      <c r="E221" s="1"/>
    </row>
    <row r="222">
      <c r="E222" s="1"/>
    </row>
    <row r="223">
      <c r="E223" s="1"/>
    </row>
    <row r="224">
      <c r="E224" s="1"/>
    </row>
    <row r="225">
      <c r="E225" s="1"/>
    </row>
    <row r="226">
      <c r="E226" s="1"/>
    </row>
    <row r="227">
      <c r="E227" s="1"/>
    </row>
    <row r="228">
      <c r="E228" s="1"/>
    </row>
    <row r="229">
      <c r="E229" s="1"/>
    </row>
    <row r="230">
      <c r="E230" s="1"/>
    </row>
    <row r="231">
      <c r="E231" s="1"/>
    </row>
    <row r="232">
      <c r="E232" s="1"/>
    </row>
    <row r="233">
      <c r="E233" s="1"/>
    </row>
    <row r="234">
      <c r="E234" s="1"/>
    </row>
    <row r="235">
      <c r="E235" s="1"/>
    </row>
    <row r="236">
      <c r="E236" s="1"/>
    </row>
    <row r="237">
      <c r="E237" s="1"/>
    </row>
    <row r="238">
      <c r="E238" s="1"/>
    </row>
    <row r="239">
      <c r="E239" s="1"/>
    </row>
    <row r="240">
      <c r="E240" s="1"/>
    </row>
    <row r="241">
      <c r="E241" s="1"/>
    </row>
    <row r="242">
      <c r="E242" s="1"/>
    </row>
    <row r="243">
      <c r="E243" s="1"/>
    </row>
    <row r="244">
      <c r="E244" s="1"/>
    </row>
    <row r="245">
      <c r="E245" s="1"/>
    </row>
    <row r="246">
      <c r="E246" s="1"/>
    </row>
    <row r="247">
      <c r="E247" s="1"/>
    </row>
    <row r="248">
      <c r="E248" s="1"/>
    </row>
    <row r="249">
      <c r="E249" s="1"/>
    </row>
    <row r="250">
      <c r="E250" s="1"/>
    </row>
    <row r="251">
      <c r="E251" s="1"/>
    </row>
    <row r="252">
      <c r="E252" s="1"/>
    </row>
    <row r="253">
      <c r="E253" s="1"/>
    </row>
    <row r="254">
      <c r="E254" s="1"/>
    </row>
    <row r="255">
      <c r="E255" s="1"/>
    </row>
    <row r="256">
      <c r="E256" s="1"/>
    </row>
    <row r="257">
      <c r="E257" s="1"/>
    </row>
    <row r="258">
      <c r="E258" s="1"/>
    </row>
    <row r="259">
      <c r="E259" s="1"/>
    </row>
    <row r="260">
      <c r="E260" s="1"/>
    </row>
    <row r="261">
      <c r="E261" s="1"/>
    </row>
    <row r="262">
      <c r="E262" s="1"/>
    </row>
    <row r="263">
      <c r="E263" s="1"/>
    </row>
    <row r="264">
      <c r="E264" s="1"/>
    </row>
    <row r="265">
      <c r="E265" s="1"/>
    </row>
    <row r="266">
      <c r="E266" s="1"/>
    </row>
    <row r="267">
      <c r="E267" s="1"/>
    </row>
    <row r="268">
      <c r="E268" s="1"/>
    </row>
    <row r="269">
      <c r="E269" s="1"/>
    </row>
    <row r="270">
      <c r="E270" s="1"/>
    </row>
    <row r="271">
      <c r="E271" s="1"/>
    </row>
    <row r="272">
      <c r="E272" s="1"/>
    </row>
    <row r="273">
      <c r="E273" s="1"/>
    </row>
    <row r="274">
      <c r="E274" s="1"/>
    </row>
    <row r="275">
      <c r="E275" s="1"/>
    </row>
    <row r="276">
      <c r="E276" s="1"/>
    </row>
    <row r="277">
      <c r="E277" s="1"/>
    </row>
    <row r="278">
      <c r="E278" s="1"/>
    </row>
    <row r="279">
      <c r="E279" s="1"/>
    </row>
    <row r="280">
      <c r="E280" s="1"/>
    </row>
    <row r="281">
      <c r="E281" s="1"/>
    </row>
    <row r="282">
      <c r="E282" s="1"/>
    </row>
    <row r="283">
      <c r="E283" s="1"/>
    </row>
    <row r="284">
      <c r="E284" s="1"/>
    </row>
    <row r="285">
      <c r="E285" s="1"/>
    </row>
    <row r="286">
      <c r="E286" s="1"/>
    </row>
    <row r="287">
      <c r="E287" s="1"/>
    </row>
    <row r="288">
      <c r="E288" s="1"/>
    </row>
    <row r="289">
      <c r="E289" s="1"/>
    </row>
    <row r="290">
      <c r="E290" s="1"/>
    </row>
    <row r="291">
      <c r="E291" s="1"/>
    </row>
    <row r="292">
      <c r="E292" s="1"/>
    </row>
    <row r="293">
      <c r="E293" s="1"/>
    </row>
    <row r="294">
      <c r="E294" s="1"/>
    </row>
    <row r="295">
      <c r="E295" s="1"/>
    </row>
    <row r="296">
      <c r="E296" s="1"/>
    </row>
    <row r="297">
      <c r="E297" s="1"/>
    </row>
    <row r="298">
      <c r="E298" s="1"/>
    </row>
    <row r="299">
      <c r="E299" s="1"/>
    </row>
    <row r="300">
      <c r="E300" s="1"/>
    </row>
    <row r="301">
      <c r="E301" s="1"/>
    </row>
    <row r="302">
      <c r="E302" s="1"/>
    </row>
    <row r="303">
      <c r="E303" s="1"/>
    </row>
    <row r="304">
      <c r="E304" s="1"/>
    </row>
    <row r="305">
      <c r="E305" s="1"/>
    </row>
    <row r="306">
      <c r="E306" s="1"/>
    </row>
    <row r="307">
      <c r="E307" s="1"/>
    </row>
    <row r="308">
      <c r="E308" s="1"/>
    </row>
    <row r="309">
      <c r="E309" s="1"/>
    </row>
    <row r="310">
      <c r="E310" s="1"/>
    </row>
    <row r="311">
      <c r="E311" s="1"/>
    </row>
    <row r="312">
      <c r="E312" s="1"/>
    </row>
    <row r="313">
      <c r="E313" s="1"/>
    </row>
    <row r="314">
      <c r="E314" s="1"/>
    </row>
    <row r="315">
      <c r="E315" s="1"/>
    </row>
    <row r="316">
      <c r="E316" s="1"/>
    </row>
    <row r="317">
      <c r="E317" s="1"/>
    </row>
    <row r="318">
      <c r="E318" s="1"/>
    </row>
    <row r="319">
      <c r="E319" s="1"/>
    </row>
    <row r="320">
      <c r="E320" s="1"/>
    </row>
    <row r="321">
      <c r="E321" s="1"/>
    </row>
    <row r="322">
      <c r="E322" s="1"/>
    </row>
    <row r="323">
      <c r="E323" s="1"/>
    </row>
    <row r="324">
      <c r="E324" s="1"/>
    </row>
    <row r="325">
      <c r="E325" s="1"/>
    </row>
    <row r="326">
      <c r="E326" s="1"/>
    </row>
    <row r="327">
      <c r="E327" s="1"/>
    </row>
    <row r="328">
      <c r="E328" s="1"/>
    </row>
    <row r="329">
      <c r="E329" s="1"/>
    </row>
    <row r="330">
      <c r="E330" s="1"/>
    </row>
    <row r="331">
      <c r="E331" s="1"/>
    </row>
    <row r="332">
      <c r="E332" s="1"/>
    </row>
    <row r="333">
      <c r="E333" s="1"/>
    </row>
    <row r="334">
      <c r="E334" s="1"/>
    </row>
    <row r="335">
      <c r="E335" s="1"/>
    </row>
    <row r="336">
      <c r="E336" s="1"/>
    </row>
    <row r="337">
      <c r="E337" s="1"/>
    </row>
    <row r="338">
      <c r="E338" s="1"/>
    </row>
    <row r="339">
      <c r="E339" s="1"/>
    </row>
    <row r="340">
      <c r="E340" s="1"/>
    </row>
    <row r="341">
      <c r="E341" s="1"/>
    </row>
    <row r="342">
      <c r="E342" s="1"/>
    </row>
    <row r="343">
      <c r="E343" s="1"/>
    </row>
    <row r="344">
      <c r="E344" s="1"/>
    </row>
    <row r="345">
      <c r="E345" s="1"/>
    </row>
    <row r="346">
      <c r="E346" s="1"/>
    </row>
    <row r="347">
      <c r="E347" s="1"/>
    </row>
    <row r="348">
      <c r="E348" s="1"/>
    </row>
    <row r="349">
      <c r="E349" s="1"/>
    </row>
    <row r="350">
      <c r="E350" s="1"/>
    </row>
    <row r="351">
      <c r="E351" s="1"/>
    </row>
    <row r="352">
      <c r="E352" s="1"/>
    </row>
    <row r="353">
      <c r="E353" s="1"/>
    </row>
    <row r="354">
      <c r="E354" s="1"/>
    </row>
    <row r="355">
      <c r="E355" s="1"/>
    </row>
    <row r="356">
      <c r="E356" s="1"/>
    </row>
    <row r="357">
      <c r="E357" s="1"/>
    </row>
    <row r="358">
      <c r="E358" s="1"/>
    </row>
    <row r="359">
      <c r="E359" s="1"/>
    </row>
    <row r="360">
      <c r="E360" s="1"/>
    </row>
    <row r="361">
      <c r="E361" s="1"/>
    </row>
    <row r="362">
      <c r="E362" s="1"/>
    </row>
    <row r="363">
      <c r="E363" s="1"/>
    </row>
    <row r="364">
      <c r="E364" s="1"/>
    </row>
    <row r="365">
      <c r="E365" s="1"/>
    </row>
    <row r="366">
      <c r="E366" s="1"/>
    </row>
    <row r="367">
      <c r="E367" s="1"/>
    </row>
    <row r="368">
      <c r="E368" s="1"/>
    </row>
    <row r="369">
      <c r="E369" s="1"/>
    </row>
    <row r="370">
      <c r="E370" s="1"/>
    </row>
    <row r="371">
      <c r="E371" s="1"/>
    </row>
    <row r="372">
      <c r="E372" s="1"/>
    </row>
    <row r="373">
      <c r="E373" s="1"/>
    </row>
    <row r="374">
      <c r="E374" s="1"/>
    </row>
    <row r="375">
      <c r="E375" s="1"/>
    </row>
    <row r="376">
      <c r="E376" s="1"/>
    </row>
    <row r="377">
      <c r="E377" s="1"/>
    </row>
    <row r="378">
      <c r="E378" s="1"/>
    </row>
    <row r="379">
      <c r="E379" s="1"/>
    </row>
    <row r="380">
      <c r="E380" s="1"/>
    </row>
    <row r="381">
      <c r="E381" s="1"/>
    </row>
    <row r="382">
      <c r="E382" s="1"/>
    </row>
    <row r="383">
      <c r="E383" s="1"/>
    </row>
    <row r="384">
      <c r="E384" s="1"/>
    </row>
    <row r="385">
      <c r="E385" s="1"/>
    </row>
    <row r="386">
      <c r="E386" s="1"/>
    </row>
    <row r="387">
      <c r="E387" s="1"/>
    </row>
    <row r="388">
      <c r="E388" s="1"/>
    </row>
    <row r="389">
      <c r="E389" s="1"/>
    </row>
    <row r="390">
      <c r="E390" s="1"/>
    </row>
    <row r="391">
      <c r="E391" s="1"/>
    </row>
    <row r="392">
      <c r="E392" s="1"/>
    </row>
    <row r="393">
      <c r="E393" s="1"/>
    </row>
    <row r="394">
      <c r="E394" s="1"/>
    </row>
    <row r="395">
      <c r="E395" s="1"/>
    </row>
    <row r="396">
      <c r="E396" s="1"/>
    </row>
    <row r="397">
      <c r="E397" s="1"/>
    </row>
    <row r="398">
      <c r="E398" s="1"/>
    </row>
    <row r="399">
      <c r="E399" s="1"/>
    </row>
    <row r="400">
      <c r="E400" s="1"/>
    </row>
    <row r="401">
      <c r="E401" s="1"/>
    </row>
    <row r="402">
      <c r="E402" s="1"/>
    </row>
    <row r="403">
      <c r="E403" s="1"/>
    </row>
    <row r="404">
      <c r="E404" s="1"/>
    </row>
    <row r="405">
      <c r="E405" s="1"/>
    </row>
    <row r="406">
      <c r="E406" s="1"/>
    </row>
    <row r="407">
      <c r="E407" s="1"/>
    </row>
    <row r="408">
      <c r="E408" s="1"/>
    </row>
    <row r="409">
      <c r="E409" s="1"/>
    </row>
    <row r="410">
      <c r="E410" s="1"/>
    </row>
    <row r="411">
      <c r="E411" s="1"/>
    </row>
    <row r="412">
      <c r="E412" s="1"/>
    </row>
    <row r="413">
      <c r="E413" s="1"/>
    </row>
    <row r="414">
      <c r="E414" s="1"/>
    </row>
    <row r="415">
      <c r="E415" s="1"/>
    </row>
    <row r="416">
      <c r="E416" s="1"/>
    </row>
    <row r="417">
      <c r="E417" s="1"/>
    </row>
    <row r="418">
      <c r="E418" s="1"/>
    </row>
    <row r="419">
      <c r="E419" s="1"/>
    </row>
    <row r="420">
      <c r="E420" s="1"/>
    </row>
    <row r="421">
      <c r="E421" s="1"/>
    </row>
    <row r="422">
      <c r="E422" s="1"/>
    </row>
    <row r="423">
      <c r="E423" s="1"/>
    </row>
    <row r="424">
      <c r="E424" s="1"/>
    </row>
    <row r="425">
      <c r="E425" s="1"/>
    </row>
    <row r="426">
      <c r="E426" s="1"/>
    </row>
    <row r="427">
      <c r="E427" s="1"/>
    </row>
    <row r="428">
      <c r="E428" s="1"/>
    </row>
    <row r="429">
      <c r="E429" s="1"/>
    </row>
    <row r="430">
      <c r="E430" s="1"/>
    </row>
    <row r="431">
      <c r="E431" s="1"/>
    </row>
    <row r="432">
      <c r="E432" s="1"/>
    </row>
    <row r="433">
      <c r="E433" s="1"/>
    </row>
    <row r="434">
      <c r="E434" s="1"/>
    </row>
    <row r="435">
      <c r="E435" s="1"/>
    </row>
    <row r="436">
      <c r="E436" s="1"/>
    </row>
    <row r="437">
      <c r="E437" s="1"/>
    </row>
    <row r="438">
      <c r="E438" s="1"/>
    </row>
    <row r="439">
      <c r="E439" s="1"/>
    </row>
    <row r="440">
      <c r="E440" s="1"/>
    </row>
    <row r="441">
      <c r="E441" s="1"/>
    </row>
    <row r="442">
      <c r="E442" s="1"/>
    </row>
    <row r="443">
      <c r="E443" s="1"/>
    </row>
    <row r="444">
      <c r="E444" s="1"/>
    </row>
    <row r="445">
      <c r="E445" s="1"/>
    </row>
    <row r="446">
      <c r="E446" s="1"/>
    </row>
    <row r="447">
      <c r="E447" s="1"/>
    </row>
    <row r="448">
      <c r="E448" s="1"/>
    </row>
    <row r="449">
      <c r="E449" s="1"/>
    </row>
    <row r="450">
      <c r="E450" s="1"/>
    </row>
    <row r="451">
      <c r="E451" s="1"/>
    </row>
    <row r="452">
      <c r="E452" s="1"/>
    </row>
    <row r="453">
      <c r="E453" s="1"/>
    </row>
    <row r="454">
      <c r="E454" s="1"/>
    </row>
    <row r="455">
      <c r="E455" s="1"/>
    </row>
    <row r="456">
      <c r="E456" s="1"/>
    </row>
    <row r="457">
      <c r="E457" s="1"/>
    </row>
    <row r="458">
      <c r="E458" s="1"/>
    </row>
    <row r="459">
      <c r="E459" s="1"/>
    </row>
    <row r="460">
      <c r="E460" s="1"/>
    </row>
    <row r="461">
      <c r="E461" s="1"/>
    </row>
    <row r="462">
      <c r="E462" s="1"/>
    </row>
    <row r="463">
      <c r="E463" s="1"/>
    </row>
    <row r="464">
      <c r="E464" s="1"/>
    </row>
    <row r="465">
      <c r="E465" s="1"/>
    </row>
    <row r="466">
      <c r="E466" s="1"/>
    </row>
    <row r="467">
      <c r="E467" s="1"/>
    </row>
    <row r="468">
      <c r="E468" s="1"/>
    </row>
    <row r="469">
      <c r="E469" s="1"/>
    </row>
    <row r="470">
      <c r="E470" s="1"/>
    </row>
    <row r="471">
      <c r="E471" s="1"/>
    </row>
    <row r="472">
      <c r="E472" s="1"/>
    </row>
    <row r="473">
      <c r="E473" s="1"/>
    </row>
    <row r="474">
      <c r="E474" s="1"/>
    </row>
    <row r="475">
      <c r="E475" s="1"/>
    </row>
    <row r="476">
      <c r="E476" s="1"/>
    </row>
    <row r="477">
      <c r="E477" s="1"/>
    </row>
    <row r="478">
      <c r="E478" s="1"/>
    </row>
    <row r="479">
      <c r="E479" s="1"/>
    </row>
    <row r="480">
      <c r="E480" s="1"/>
    </row>
    <row r="481">
      <c r="E481" s="1"/>
    </row>
    <row r="482">
      <c r="E482" s="1"/>
    </row>
    <row r="483">
      <c r="E483" s="1"/>
    </row>
    <row r="484">
      <c r="E484" s="1"/>
    </row>
    <row r="485">
      <c r="E485" s="1"/>
    </row>
    <row r="486">
      <c r="E486" s="1"/>
    </row>
    <row r="487">
      <c r="E487" s="1"/>
    </row>
    <row r="488">
      <c r="E488" s="1"/>
    </row>
    <row r="489">
      <c r="E489" s="1"/>
    </row>
    <row r="490">
      <c r="E490" s="1"/>
    </row>
    <row r="491">
      <c r="E491" s="1"/>
    </row>
    <row r="492">
      <c r="E492" s="1"/>
    </row>
    <row r="493">
      <c r="E493" s="1"/>
    </row>
    <row r="494">
      <c r="E494" s="1"/>
    </row>
    <row r="495">
      <c r="E495" s="1"/>
    </row>
    <row r="496">
      <c r="E496" s="1"/>
    </row>
    <row r="497">
      <c r="E497" s="1"/>
    </row>
    <row r="498">
      <c r="E498" s="1"/>
    </row>
    <row r="499">
      <c r="E499" s="1"/>
    </row>
    <row r="500">
      <c r="E500" s="1"/>
    </row>
    <row r="501">
      <c r="E501" s="1"/>
    </row>
    <row r="502">
      <c r="E502" s="1"/>
    </row>
    <row r="503">
      <c r="E503" s="1"/>
    </row>
    <row r="504">
      <c r="E504" s="1"/>
    </row>
    <row r="505">
      <c r="E505" s="1"/>
    </row>
    <row r="506">
      <c r="E506" s="1"/>
    </row>
    <row r="507">
      <c r="E507" s="1"/>
    </row>
    <row r="508">
      <c r="E508" s="1"/>
    </row>
    <row r="509">
      <c r="E509" s="1"/>
    </row>
    <row r="510">
      <c r="E510" s="1"/>
    </row>
    <row r="511">
      <c r="E511" s="1"/>
    </row>
    <row r="512">
      <c r="E512" s="1"/>
    </row>
    <row r="513">
      <c r="E513" s="1"/>
    </row>
    <row r="514">
      <c r="E514" s="1"/>
    </row>
    <row r="515">
      <c r="E515" s="1"/>
    </row>
    <row r="516">
      <c r="E516" s="1"/>
    </row>
    <row r="517">
      <c r="E517" s="1"/>
    </row>
    <row r="518">
      <c r="E518" s="1"/>
    </row>
    <row r="519">
      <c r="E519" s="1"/>
    </row>
    <row r="520">
      <c r="E520" s="1"/>
    </row>
    <row r="521">
      <c r="E521" s="1"/>
    </row>
    <row r="522">
      <c r="E522" s="1"/>
    </row>
    <row r="523">
      <c r="E523" s="1"/>
    </row>
    <row r="524">
      <c r="E524" s="1"/>
    </row>
    <row r="525">
      <c r="E525" s="1"/>
    </row>
    <row r="526">
      <c r="E526" s="1"/>
    </row>
    <row r="527">
      <c r="E527" s="1"/>
    </row>
    <row r="528">
      <c r="E528" s="1"/>
    </row>
    <row r="529">
      <c r="E529" s="1"/>
    </row>
    <row r="530">
      <c r="E530" s="1"/>
    </row>
    <row r="531">
      <c r="E531" s="1"/>
    </row>
    <row r="532">
      <c r="E532" s="1"/>
    </row>
    <row r="533">
      <c r="E533" s="1"/>
    </row>
    <row r="534">
      <c r="E534" s="1"/>
    </row>
    <row r="535">
      <c r="E535" s="1"/>
    </row>
    <row r="536">
      <c r="E536" s="1"/>
    </row>
    <row r="537">
      <c r="E537" s="1"/>
    </row>
    <row r="538">
      <c r="E538" s="1"/>
    </row>
    <row r="539">
      <c r="E539" s="1"/>
    </row>
    <row r="540">
      <c r="E540" s="1"/>
    </row>
    <row r="541">
      <c r="E541" s="1"/>
    </row>
    <row r="542">
      <c r="E542" s="1"/>
    </row>
    <row r="543">
      <c r="E543" s="1"/>
    </row>
    <row r="544">
      <c r="E544" s="1"/>
    </row>
    <row r="545">
      <c r="E545" s="1"/>
    </row>
    <row r="546">
      <c r="E546" s="1"/>
    </row>
    <row r="547">
      <c r="E547" s="1"/>
    </row>
    <row r="548">
      <c r="E548" s="1"/>
    </row>
    <row r="549">
      <c r="E549" s="1"/>
    </row>
    <row r="550">
      <c r="E550" s="1"/>
    </row>
    <row r="551">
      <c r="E551" s="1"/>
    </row>
    <row r="552">
      <c r="E552" s="1"/>
    </row>
    <row r="553">
      <c r="E553" s="1"/>
    </row>
    <row r="554">
      <c r="E554" s="1"/>
    </row>
    <row r="555">
      <c r="E555" s="1"/>
    </row>
    <row r="556">
      <c r="E556" s="1"/>
    </row>
    <row r="557">
      <c r="E557" s="1"/>
    </row>
    <row r="558">
      <c r="E558" s="1"/>
    </row>
    <row r="559">
      <c r="E559" s="1"/>
    </row>
    <row r="560">
      <c r="E560" s="1"/>
    </row>
    <row r="561">
      <c r="E561" s="1"/>
    </row>
    <row r="562">
      <c r="E562" s="1"/>
    </row>
    <row r="563">
      <c r="E563" s="1"/>
    </row>
    <row r="564">
      <c r="E564" s="1"/>
    </row>
    <row r="565">
      <c r="E565" s="1"/>
    </row>
    <row r="566">
      <c r="E566" s="1"/>
    </row>
    <row r="567">
      <c r="E567" s="1"/>
    </row>
    <row r="568">
      <c r="E568" s="1"/>
    </row>
    <row r="569">
      <c r="E569" s="1"/>
    </row>
    <row r="570">
      <c r="E570" s="1"/>
    </row>
    <row r="571">
      <c r="E571" s="1"/>
    </row>
    <row r="572">
      <c r="E572" s="1"/>
    </row>
    <row r="573">
      <c r="E573" s="1"/>
    </row>
    <row r="574">
      <c r="E574" s="1"/>
    </row>
    <row r="575">
      <c r="E575" s="1"/>
    </row>
    <row r="576">
      <c r="E576" s="1"/>
    </row>
    <row r="577">
      <c r="E577" s="1"/>
    </row>
    <row r="578">
      <c r="E578" s="1"/>
    </row>
    <row r="579">
      <c r="E579" s="1"/>
    </row>
    <row r="580">
      <c r="E580" s="1"/>
    </row>
    <row r="581">
      <c r="E581" s="1"/>
    </row>
    <row r="582">
      <c r="E582" s="1"/>
    </row>
    <row r="583">
      <c r="E583" s="1"/>
    </row>
    <row r="584">
      <c r="E584" s="1"/>
    </row>
    <row r="585">
      <c r="E585" s="1"/>
    </row>
    <row r="586">
      <c r="E586" s="1"/>
    </row>
    <row r="587">
      <c r="E587" s="1"/>
    </row>
    <row r="588">
      <c r="E588" s="1"/>
    </row>
    <row r="589">
      <c r="E589" s="1"/>
    </row>
    <row r="590">
      <c r="E590" s="1"/>
    </row>
    <row r="591">
      <c r="E591" s="1"/>
    </row>
    <row r="592">
      <c r="E592" s="1"/>
    </row>
    <row r="593">
      <c r="E593" s="1"/>
    </row>
    <row r="594">
      <c r="E594" s="1"/>
    </row>
    <row r="595">
      <c r="E595" s="1"/>
    </row>
    <row r="596">
      <c r="E596" s="1"/>
    </row>
    <row r="597">
      <c r="E597" s="1"/>
    </row>
    <row r="598">
      <c r="E598" s="1"/>
    </row>
    <row r="599">
      <c r="E599" s="1"/>
    </row>
    <row r="600">
      <c r="E600" s="1"/>
    </row>
    <row r="601">
      <c r="E601" s="1"/>
    </row>
    <row r="602">
      <c r="E602" s="1"/>
    </row>
    <row r="603">
      <c r="E603" s="1"/>
    </row>
    <row r="604">
      <c r="E604" s="1"/>
    </row>
    <row r="605">
      <c r="E605" s="1"/>
    </row>
    <row r="606">
      <c r="E606" s="1"/>
    </row>
    <row r="607">
      <c r="E607" s="1"/>
    </row>
    <row r="608">
      <c r="E608" s="1"/>
    </row>
    <row r="609">
      <c r="E609" s="1"/>
    </row>
    <row r="610">
      <c r="E610" s="1"/>
    </row>
    <row r="611">
      <c r="E611" s="1"/>
    </row>
    <row r="612">
      <c r="E612" s="1"/>
    </row>
    <row r="613">
      <c r="E613" s="1"/>
    </row>
    <row r="614">
      <c r="E614" s="1"/>
    </row>
    <row r="615">
      <c r="E615" s="1"/>
    </row>
    <row r="616">
      <c r="E616" s="1"/>
    </row>
    <row r="617">
      <c r="E617" s="1"/>
    </row>
    <row r="618">
      <c r="E618" s="1"/>
    </row>
    <row r="619">
      <c r="E619" s="1"/>
    </row>
    <row r="620">
      <c r="E620" s="1"/>
    </row>
    <row r="621">
      <c r="E621" s="1"/>
    </row>
    <row r="622">
      <c r="E622" s="1"/>
    </row>
    <row r="623">
      <c r="E623" s="1"/>
    </row>
    <row r="624">
      <c r="E624" s="1"/>
    </row>
    <row r="625">
      <c r="E625" s="1"/>
    </row>
    <row r="626">
      <c r="E626" s="1"/>
    </row>
    <row r="627">
      <c r="E627" s="1"/>
    </row>
    <row r="628">
      <c r="E628" s="1"/>
    </row>
    <row r="629">
      <c r="E629" s="1"/>
    </row>
    <row r="630">
      <c r="E630" s="1"/>
    </row>
    <row r="631">
      <c r="E631" s="1"/>
    </row>
    <row r="632">
      <c r="E632" s="1"/>
    </row>
    <row r="633">
      <c r="E633" s="1"/>
    </row>
    <row r="634">
      <c r="E634" s="1"/>
    </row>
    <row r="635">
      <c r="E635" s="1"/>
    </row>
    <row r="636">
      <c r="E636" s="1"/>
    </row>
    <row r="637">
      <c r="E637" s="1"/>
    </row>
    <row r="638">
      <c r="E638" s="1"/>
    </row>
    <row r="639">
      <c r="E639" s="1"/>
    </row>
    <row r="640">
      <c r="E640" s="1"/>
    </row>
    <row r="641">
      <c r="E641" s="1"/>
    </row>
    <row r="642">
      <c r="E642" s="1"/>
    </row>
    <row r="643">
      <c r="E643" s="1"/>
    </row>
    <row r="644">
      <c r="E644" s="1"/>
    </row>
    <row r="645">
      <c r="E645" s="1"/>
    </row>
    <row r="646">
      <c r="E646" s="1"/>
    </row>
    <row r="647">
      <c r="E647" s="1"/>
    </row>
    <row r="648">
      <c r="E648" s="1"/>
    </row>
    <row r="649">
      <c r="E649" s="1"/>
    </row>
    <row r="650">
      <c r="E650" s="1"/>
    </row>
    <row r="651">
      <c r="E651" s="1"/>
    </row>
    <row r="652">
      <c r="E652" s="1"/>
    </row>
    <row r="653">
      <c r="E653" s="1"/>
    </row>
    <row r="654">
      <c r="E654" s="1"/>
    </row>
    <row r="655">
      <c r="E655" s="1"/>
    </row>
    <row r="656">
      <c r="E656" s="1"/>
    </row>
    <row r="657">
      <c r="E657" s="1"/>
    </row>
    <row r="658">
      <c r="E658" s="1"/>
    </row>
    <row r="659">
      <c r="E659" s="1"/>
    </row>
    <row r="660">
      <c r="E660" s="1"/>
    </row>
    <row r="661">
      <c r="E661" s="1"/>
    </row>
    <row r="662">
      <c r="E662" s="1"/>
    </row>
    <row r="663">
      <c r="E663" s="1"/>
    </row>
    <row r="664">
      <c r="E664" s="1"/>
    </row>
    <row r="665">
      <c r="E665" s="1"/>
    </row>
    <row r="666">
      <c r="E666" s="1"/>
    </row>
    <row r="667">
      <c r="E667" s="1"/>
    </row>
    <row r="668">
      <c r="E668" s="1"/>
    </row>
    <row r="669">
      <c r="E669" s="1"/>
    </row>
    <row r="670">
      <c r="E670" s="1"/>
    </row>
    <row r="671">
      <c r="E671" s="1"/>
    </row>
    <row r="672">
      <c r="E672" s="1"/>
    </row>
    <row r="673">
      <c r="E673" s="1"/>
    </row>
    <row r="674">
      <c r="E674" s="1"/>
    </row>
    <row r="675">
      <c r="E675" s="1"/>
    </row>
    <row r="676">
      <c r="E676" s="1"/>
    </row>
    <row r="677">
      <c r="E677" s="1"/>
    </row>
    <row r="678">
      <c r="E678" s="1"/>
    </row>
    <row r="679">
      <c r="E679" s="1"/>
    </row>
    <row r="680">
      <c r="E680" s="1"/>
    </row>
    <row r="681">
      <c r="E681" s="1"/>
    </row>
    <row r="682">
      <c r="E682" s="1"/>
    </row>
    <row r="683">
      <c r="E683" s="1"/>
    </row>
    <row r="684">
      <c r="E684" s="1"/>
    </row>
    <row r="685">
      <c r="E685" s="1"/>
    </row>
    <row r="686">
      <c r="E686" s="1"/>
    </row>
    <row r="687">
      <c r="E687" s="1"/>
    </row>
    <row r="688">
      <c r="E688" s="1"/>
    </row>
    <row r="689">
      <c r="E689" s="1"/>
    </row>
    <row r="690">
      <c r="E690" s="1"/>
    </row>
    <row r="691">
      <c r="E691" s="1"/>
    </row>
    <row r="692">
      <c r="E692" s="1"/>
    </row>
    <row r="693">
      <c r="E693" s="1"/>
    </row>
    <row r="694">
      <c r="E694" s="1"/>
    </row>
    <row r="695">
      <c r="E695" s="1"/>
    </row>
    <row r="696">
      <c r="E696" s="1"/>
    </row>
    <row r="697">
      <c r="E697" s="1"/>
    </row>
    <row r="698">
      <c r="E698" s="1"/>
    </row>
    <row r="699">
      <c r="E699" s="1"/>
    </row>
    <row r="700">
      <c r="E700" s="1"/>
    </row>
    <row r="701">
      <c r="E701" s="1"/>
    </row>
    <row r="702">
      <c r="E702" s="1"/>
    </row>
    <row r="703">
      <c r="E703" s="1"/>
    </row>
    <row r="704">
      <c r="E704" s="1"/>
    </row>
    <row r="705">
      <c r="E705" s="1"/>
    </row>
    <row r="706">
      <c r="E706" s="1"/>
    </row>
    <row r="707">
      <c r="E707" s="1"/>
    </row>
    <row r="708">
      <c r="E708" s="1"/>
    </row>
    <row r="709">
      <c r="E709" s="1"/>
    </row>
    <row r="710">
      <c r="E710" s="1"/>
    </row>
    <row r="711">
      <c r="E711" s="1"/>
    </row>
    <row r="712">
      <c r="E712" s="1"/>
    </row>
    <row r="713">
      <c r="E713" s="1"/>
    </row>
    <row r="714">
      <c r="E714" s="1"/>
    </row>
    <row r="715">
      <c r="E715" s="1"/>
    </row>
    <row r="716">
      <c r="E716" s="1"/>
    </row>
    <row r="717">
      <c r="E717" s="1"/>
    </row>
    <row r="718">
      <c r="E718" s="1"/>
    </row>
    <row r="719">
      <c r="E719" s="1"/>
    </row>
    <row r="720">
      <c r="E720" s="1"/>
    </row>
    <row r="721">
      <c r="E721" s="1"/>
    </row>
    <row r="722">
      <c r="E722" s="1"/>
    </row>
    <row r="723">
      <c r="E723" s="1"/>
    </row>
    <row r="724">
      <c r="E724" s="1"/>
    </row>
    <row r="725">
      <c r="E725" s="1"/>
    </row>
    <row r="726">
      <c r="E726" s="1"/>
    </row>
    <row r="727">
      <c r="E727" s="1"/>
    </row>
    <row r="728">
      <c r="E728" s="1"/>
    </row>
    <row r="729">
      <c r="E729" s="1"/>
    </row>
    <row r="730">
      <c r="E730" s="1"/>
    </row>
    <row r="731">
      <c r="E731" s="1"/>
    </row>
    <row r="732">
      <c r="E732" s="1"/>
    </row>
    <row r="733">
      <c r="E733" s="1"/>
    </row>
    <row r="734">
      <c r="E734" s="1"/>
    </row>
    <row r="735">
      <c r="E735" s="1"/>
    </row>
    <row r="736">
      <c r="E736" s="1"/>
    </row>
    <row r="737">
      <c r="E737" s="1"/>
    </row>
    <row r="738">
      <c r="E738" s="1"/>
    </row>
    <row r="739">
      <c r="E739" s="1"/>
    </row>
    <row r="740">
      <c r="E740" s="1"/>
    </row>
    <row r="741">
      <c r="E741" s="1"/>
    </row>
    <row r="742">
      <c r="E742" s="1"/>
    </row>
    <row r="743">
      <c r="E743" s="1"/>
    </row>
    <row r="744">
      <c r="E744" s="1"/>
    </row>
    <row r="745">
      <c r="E745" s="1"/>
    </row>
    <row r="746">
      <c r="E746" s="1"/>
    </row>
    <row r="747">
      <c r="E747" s="1"/>
    </row>
    <row r="748">
      <c r="E748" s="1"/>
    </row>
    <row r="749">
      <c r="E749" s="1"/>
    </row>
    <row r="750">
      <c r="E750" s="1"/>
    </row>
    <row r="751">
      <c r="E751" s="1"/>
    </row>
    <row r="752">
      <c r="E752" s="1"/>
    </row>
    <row r="753">
      <c r="E753" s="1"/>
    </row>
    <row r="754">
      <c r="E754" s="1"/>
    </row>
    <row r="755">
      <c r="E755" s="1"/>
    </row>
    <row r="756">
      <c r="E756" s="1"/>
    </row>
    <row r="757">
      <c r="E757" s="1"/>
    </row>
    <row r="758">
      <c r="E758" s="1"/>
    </row>
    <row r="759">
      <c r="E759" s="1"/>
    </row>
    <row r="760">
      <c r="E760" s="1"/>
    </row>
    <row r="761">
      <c r="E761" s="1"/>
    </row>
    <row r="762">
      <c r="E762" s="1"/>
    </row>
    <row r="763">
      <c r="E763" s="1"/>
    </row>
    <row r="764">
      <c r="E764" s="1"/>
    </row>
    <row r="765">
      <c r="E765" s="1"/>
    </row>
    <row r="766">
      <c r="E766" s="1"/>
    </row>
    <row r="767">
      <c r="E767" s="1"/>
    </row>
    <row r="768">
      <c r="E768" s="1"/>
    </row>
    <row r="769">
      <c r="E769" s="1"/>
    </row>
    <row r="770">
      <c r="E770" s="1"/>
    </row>
    <row r="771">
      <c r="E771" s="1"/>
    </row>
    <row r="772">
      <c r="E772" s="1"/>
    </row>
    <row r="773">
      <c r="E773" s="1"/>
    </row>
    <row r="774">
      <c r="E774" s="1"/>
    </row>
    <row r="775">
      <c r="E775" s="1"/>
    </row>
    <row r="776">
      <c r="E776" s="1"/>
    </row>
    <row r="777">
      <c r="E777" s="1"/>
    </row>
    <row r="778">
      <c r="E778" s="1"/>
    </row>
    <row r="779">
      <c r="E779" s="1"/>
    </row>
    <row r="780">
      <c r="E780" s="1"/>
    </row>
    <row r="781">
      <c r="E781" s="1"/>
    </row>
    <row r="782">
      <c r="E782" s="1"/>
    </row>
    <row r="783">
      <c r="E783" s="1"/>
    </row>
    <row r="784">
      <c r="E784" s="1"/>
    </row>
    <row r="785">
      <c r="E785" s="1"/>
    </row>
    <row r="786">
      <c r="E786" s="1"/>
    </row>
    <row r="787">
      <c r="E787" s="1"/>
    </row>
    <row r="788">
      <c r="E788" s="1"/>
    </row>
    <row r="789">
      <c r="E789" s="1"/>
    </row>
    <row r="790">
      <c r="E790" s="1"/>
    </row>
    <row r="791">
      <c r="E791" s="1"/>
    </row>
    <row r="792">
      <c r="E792" s="1"/>
    </row>
    <row r="793">
      <c r="E793" s="1"/>
    </row>
    <row r="794">
      <c r="E794" s="1"/>
    </row>
    <row r="795">
      <c r="E795" s="1"/>
    </row>
    <row r="796">
      <c r="E796" s="1"/>
    </row>
    <row r="797">
      <c r="E797" s="1"/>
    </row>
    <row r="798">
      <c r="E798" s="1"/>
    </row>
    <row r="799">
      <c r="E799" s="1"/>
    </row>
    <row r="800">
      <c r="E800" s="1"/>
    </row>
    <row r="801">
      <c r="E801" s="1"/>
    </row>
    <row r="802">
      <c r="E802" s="1"/>
    </row>
    <row r="803">
      <c r="E803" s="1"/>
    </row>
    <row r="804">
      <c r="E804" s="1"/>
    </row>
    <row r="805">
      <c r="E805" s="1"/>
    </row>
    <row r="806">
      <c r="E806" s="1"/>
    </row>
    <row r="807">
      <c r="E807" s="1"/>
    </row>
    <row r="808">
      <c r="E808" s="1"/>
    </row>
    <row r="809">
      <c r="E809" s="1"/>
    </row>
    <row r="810">
      <c r="E810" s="1"/>
    </row>
    <row r="811">
      <c r="E811" s="1"/>
    </row>
    <row r="812">
      <c r="E812" s="1"/>
    </row>
    <row r="813">
      <c r="E813" s="1"/>
    </row>
    <row r="814">
      <c r="E814" s="1"/>
    </row>
    <row r="815">
      <c r="E815" s="1"/>
    </row>
    <row r="816">
      <c r="E816" s="1"/>
    </row>
    <row r="817">
      <c r="E817" s="1"/>
    </row>
    <row r="818">
      <c r="E818" s="1"/>
    </row>
    <row r="819">
      <c r="E819" s="1"/>
    </row>
    <row r="820">
      <c r="E820" s="1"/>
    </row>
    <row r="821">
      <c r="E821" s="1"/>
    </row>
    <row r="822">
      <c r="E822" s="1"/>
    </row>
    <row r="823">
      <c r="E823" s="1"/>
    </row>
    <row r="824">
      <c r="E824" s="1"/>
    </row>
    <row r="825">
      <c r="E825" s="1"/>
    </row>
    <row r="826">
      <c r="E826" s="1"/>
    </row>
    <row r="827">
      <c r="E827" s="1"/>
    </row>
    <row r="828">
      <c r="E828" s="1"/>
    </row>
    <row r="829">
      <c r="E829" s="1"/>
    </row>
    <row r="830">
      <c r="E830" s="1"/>
    </row>
    <row r="831">
      <c r="E831" s="1"/>
    </row>
    <row r="832">
      <c r="E832" s="1"/>
    </row>
    <row r="833">
      <c r="E833" s="1"/>
    </row>
    <row r="834">
      <c r="E834" s="1"/>
    </row>
    <row r="835">
      <c r="E835" s="1"/>
    </row>
    <row r="836">
      <c r="E836" s="1"/>
    </row>
    <row r="837">
      <c r="E837" s="1"/>
    </row>
    <row r="838">
      <c r="E838" s="1"/>
    </row>
    <row r="839">
      <c r="E839" s="1"/>
    </row>
    <row r="840">
      <c r="E840" s="1"/>
    </row>
    <row r="841">
      <c r="E841" s="1"/>
    </row>
    <row r="842">
      <c r="E842" s="1"/>
    </row>
    <row r="843">
      <c r="E843" s="1"/>
    </row>
    <row r="844">
      <c r="E844" s="1"/>
    </row>
    <row r="845">
      <c r="E845" s="1"/>
    </row>
    <row r="846">
      <c r="E846" s="1"/>
    </row>
    <row r="847">
      <c r="E847" s="1"/>
    </row>
    <row r="848">
      <c r="E848" s="1"/>
    </row>
    <row r="849">
      <c r="E849" s="1"/>
    </row>
    <row r="850">
      <c r="E850" s="1"/>
    </row>
    <row r="851">
      <c r="E851" s="1"/>
    </row>
    <row r="852">
      <c r="E852" s="1"/>
    </row>
    <row r="853">
      <c r="E853" s="1"/>
    </row>
    <row r="854">
      <c r="E854" s="1"/>
    </row>
    <row r="855">
      <c r="E855" s="1"/>
    </row>
    <row r="856">
      <c r="E856" s="1"/>
    </row>
    <row r="857">
      <c r="E857" s="1"/>
    </row>
    <row r="858">
      <c r="E858" s="1"/>
    </row>
    <row r="859">
      <c r="E859" s="1"/>
    </row>
    <row r="860">
      <c r="E860" s="1"/>
    </row>
    <row r="861">
      <c r="E861" s="1"/>
    </row>
    <row r="862">
      <c r="E862" s="1"/>
    </row>
    <row r="863">
      <c r="E863" s="1"/>
    </row>
    <row r="864">
      <c r="E864" s="1"/>
    </row>
    <row r="865">
      <c r="E865" s="1"/>
    </row>
    <row r="866">
      <c r="E866" s="1"/>
    </row>
    <row r="867">
      <c r="E867" s="1"/>
    </row>
    <row r="868">
      <c r="E868" s="1"/>
    </row>
    <row r="869">
      <c r="E869" s="1"/>
    </row>
    <row r="870">
      <c r="E870" s="1"/>
    </row>
    <row r="871">
      <c r="E871" s="1"/>
    </row>
    <row r="872">
      <c r="E872" s="1"/>
    </row>
    <row r="873">
      <c r="E873" s="1"/>
    </row>
    <row r="874">
      <c r="E874" s="1"/>
    </row>
    <row r="875">
      <c r="E875" s="1"/>
    </row>
    <row r="876">
      <c r="E876" s="1"/>
    </row>
    <row r="877">
      <c r="E877" s="1"/>
    </row>
    <row r="878">
      <c r="E878" s="1"/>
    </row>
    <row r="879">
      <c r="E879" s="1"/>
    </row>
    <row r="880">
      <c r="E880" s="1"/>
    </row>
    <row r="881">
      <c r="E881" s="1"/>
    </row>
    <row r="882">
      <c r="E882" s="1"/>
    </row>
    <row r="883">
      <c r="E883" s="1"/>
    </row>
    <row r="884">
      <c r="E884" s="1"/>
    </row>
    <row r="885">
      <c r="E885" s="1"/>
    </row>
    <row r="886">
      <c r="E886" s="1"/>
    </row>
    <row r="887">
      <c r="E887" s="1"/>
    </row>
    <row r="888">
      <c r="E888" s="1"/>
    </row>
    <row r="889">
      <c r="E889" s="1"/>
    </row>
    <row r="890">
      <c r="E890" s="1"/>
    </row>
    <row r="891">
      <c r="E891" s="1"/>
    </row>
    <row r="892">
      <c r="E892" s="1"/>
    </row>
    <row r="893">
      <c r="E893" s="1"/>
    </row>
    <row r="894">
      <c r="E894" s="1"/>
    </row>
    <row r="895">
      <c r="E895" s="1"/>
    </row>
    <row r="896">
      <c r="E896" s="1"/>
    </row>
    <row r="897">
      <c r="E897" s="1"/>
    </row>
    <row r="898">
      <c r="E898" s="1"/>
    </row>
    <row r="899">
      <c r="E899" s="1"/>
    </row>
    <row r="900">
      <c r="E900" s="1"/>
    </row>
    <row r="901">
      <c r="E901" s="1"/>
    </row>
    <row r="902">
      <c r="E902" s="1"/>
    </row>
    <row r="903">
      <c r="E903" s="1"/>
    </row>
    <row r="904">
      <c r="E904" s="1"/>
    </row>
    <row r="905">
      <c r="E905" s="1"/>
    </row>
    <row r="906">
      <c r="E906" s="1"/>
    </row>
    <row r="907">
      <c r="E907" s="1"/>
    </row>
    <row r="908">
      <c r="E908" s="1"/>
    </row>
    <row r="909">
      <c r="E909" s="1"/>
    </row>
    <row r="910">
      <c r="E910" s="1"/>
    </row>
    <row r="911">
      <c r="E911" s="1"/>
    </row>
    <row r="912">
      <c r="E912" s="1"/>
    </row>
    <row r="913">
      <c r="E913" s="1"/>
    </row>
    <row r="914">
      <c r="E914" s="1"/>
    </row>
    <row r="915">
      <c r="E915" s="1"/>
    </row>
    <row r="916">
      <c r="E916" s="1"/>
    </row>
    <row r="917">
      <c r="E917" s="1"/>
    </row>
    <row r="918">
      <c r="E918" s="1"/>
    </row>
    <row r="919">
      <c r="E919" s="1"/>
    </row>
    <row r="920">
      <c r="E920" s="1"/>
    </row>
    <row r="921">
      <c r="E921" s="1"/>
    </row>
    <row r="922">
      <c r="E922" s="1"/>
    </row>
    <row r="923">
      <c r="E923" s="1"/>
    </row>
    <row r="924">
      <c r="E924" s="1"/>
    </row>
    <row r="925">
      <c r="E925" s="1"/>
    </row>
    <row r="926">
      <c r="E926" s="1"/>
    </row>
    <row r="927">
      <c r="E927" s="1"/>
    </row>
    <row r="928">
      <c r="E928" s="1"/>
    </row>
    <row r="929">
      <c r="E929" s="1"/>
    </row>
    <row r="930">
      <c r="E930" s="1"/>
    </row>
    <row r="931">
      <c r="E931" s="1"/>
    </row>
    <row r="932">
      <c r="E932" s="1"/>
    </row>
    <row r="933">
      <c r="E933" s="1"/>
    </row>
    <row r="934">
      <c r="E934" s="1"/>
    </row>
    <row r="935">
      <c r="E935" s="1"/>
    </row>
    <row r="936">
      <c r="E936" s="1"/>
    </row>
    <row r="937">
      <c r="E937" s="1"/>
    </row>
    <row r="938">
      <c r="E938" s="1"/>
    </row>
    <row r="939">
      <c r="E939" s="1"/>
    </row>
    <row r="940">
      <c r="E940" s="1"/>
    </row>
    <row r="941">
      <c r="E941" s="1"/>
    </row>
    <row r="942">
      <c r="E942" s="1"/>
    </row>
    <row r="943">
      <c r="E943" s="1"/>
    </row>
    <row r="944">
      <c r="E944" s="1"/>
    </row>
    <row r="945">
      <c r="E945" s="1"/>
    </row>
    <row r="946">
      <c r="E946" s="1"/>
    </row>
    <row r="947">
      <c r="E947" s="1"/>
    </row>
    <row r="948">
      <c r="E948" s="1"/>
    </row>
    <row r="949">
      <c r="E949" s="1"/>
    </row>
    <row r="950">
      <c r="E950" s="1"/>
    </row>
    <row r="951">
      <c r="E951" s="1"/>
    </row>
    <row r="952">
      <c r="E952" s="1"/>
    </row>
    <row r="953">
      <c r="E953" s="1"/>
    </row>
    <row r="954">
      <c r="E954" s="1"/>
    </row>
    <row r="955">
      <c r="E955" s="1"/>
    </row>
    <row r="956">
      <c r="E956" s="1"/>
    </row>
    <row r="957">
      <c r="E957" s="1"/>
    </row>
    <row r="958">
      <c r="E958" s="1"/>
    </row>
    <row r="959">
      <c r="E959" s="1"/>
    </row>
    <row r="960">
      <c r="E960" s="1"/>
    </row>
    <row r="961">
      <c r="E961" s="1"/>
    </row>
    <row r="962">
      <c r="E962" s="1"/>
    </row>
    <row r="963">
      <c r="E963" s="1"/>
    </row>
    <row r="964">
      <c r="E964" s="1"/>
    </row>
    <row r="965">
      <c r="E965" s="1"/>
    </row>
    <row r="966">
      <c r="E966" s="1"/>
    </row>
    <row r="967">
      <c r="E967" s="1"/>
    </row>
    <row r="968">
      <c r="E968" s="1"/>
    </row>
    <row r="969">
      <c r="E969" s="1"/>
    </row>
    <row r="970">
      <c r="E970" s="1"/>
    </row>
    <row r="971">
      <c r="E971" s="1"/>
    </row>
    <row r="972">
      <c r="E972" s="1"/>
    </row>
    <row r="973">
      <c r="E973" s="1"/>
    </row>
    <row r="974">
      <c r="E974" s="1"/>
    </row>
    <row r="975">
      <c r="E975" s="1"/>
    </row>
    <row r="976">
      <c r="E976" s="1"/>
    </row>
    <row r="977">
      <c r="E977" s="1"/>
    </row>
    <row r="978">
      <c r="E978" s="1"/>
    </row>
    <row r="979">
      <c r="E979" s="1"/>
    </row>
    <row r="980">
      <c r="E980" s="1"/>
    </row>
    <row r="981">
      <c r="E981" s="1"/>
    </row>
    <row r="982">
      <c r="E982" s="1"/>
    </row>
    <row r="983">
      <c r="E983" s="1"/>
    </row>
    <row r="984">
      <c r="E984" s="1"/>
    </row>
    <row r="985">
      <c r="E985" s="1"/>
    </row>
    <row r="986">
      <c r="E986" s="1"/>
    </row>
    <row r="987">
      <c r="E987" s="1"/>
    </row>
    <row r="988">
      <c r="E988" s="1"/>
    </row>
    <row r="989">
      <c r="E989" s="1"/>
    </row>
    <row r="990">
      <c r="E990" s="1"/>
    </row>
    <row r="991">
      <c r="E991" s="1"/>
    </row>
    <row r="992">
      <c r="E992" s="1"/>
    </row>
    <row r="993">
      <c r="E993" s="1"/>
    </row>
    <row r="994">
      <c r="E994" s="1"/>
    </row>
    <row r="995">
      <c r="E995" s="1"/>
    </row>
    <row r="996">
      <c r="E996" s="1"/>
    </row>
    <row r="997">
      <c r="E997" s="1"/>
    </row>
    <row r="998">
      <c r="E998" s="1"/>
    </row>
    <row r="999">
      <c r="E999" s="1"/>
    </row>
    <row r="1000">
      <c r="E1000" s="1"/>
    </row>
    <row r="1001">
      <c r="E1001" s="1"/>
    </row>
    <row r="1002">
      <c r="E1002" s="1"/>
    </row>
    <row r="1003">
      <c r="E1003" s="1"/>
    </row>
    <row r="1004">
      <c r="E1004" s="1"/>
    </row>
    <row r="1005">
      <c r="E1005" s="1"/>
    </row>
    <row r="1006">
      <c r="E1006" s="1"/>
    </row>
    <row r="1007">
      <c r="E1007" s="1"/>
    </row>
    <row r="1008">
      <c r="E1008" s="1"/>
    </row>
    <row r="1009">
      <c r="E1009" s="1"/>
    </row>
    <row r="1010">
      <c r="E1010" s="1"/>
    </row>
    <row r="1011">
      <c r="E1011" s="1"/>
    </row>
    <row r="1012">
      <c r="E1012" s="1"/>
    </row>
    <row r="1013">
      <c r="E1013" s="1"/>
    </row>
    <row r="1014">
      <c r="E1014" s="1"/>
    </row>
    <row r="1015">
      <c r="E1015" s="1"/>
    </row>
    <row r="1016">
      <c r="E1016" s="1"/>
    </row>
    <row r="1017">
      <c r="E1017" s="1"/>
    </row>
    <row r="1018">
      <c r="E1018" s="1"/>
    </row>
    <row r="1019">
      <c r="E1019" s="1"/>
    </row>
    <row r="1020">
      <c r="E1020" s="1"/>
    </row>
    <row r="1021">
      <c r="E1021" s="1"/>
    </row>
    <row r="1022">
      <c r="E1022" s="1"/>
    </row>
    <row r="1023">
      <c r="E1023" s="1"/>
    </row>
    <row r="1024">
      <c r="E1024" s="1"/>
    </row>
    <row r="1025">
      <c r="E1025" s="1"/>
    </row>
    <row r="1026">
      <c r="E1026" s="1"/>
    </row>
    <row r="1027">
      <c r="E1027" s="1"/>
    </row>
    <row r="1028">
      <c r="E1028" s="1"/>
    </row>
    <row r="1029">
      <c r="E1029" s="1"/>
    </row>
    <row r="1030">
      <c r="E1030" s="1"/>
    </row>
    <row r="1031">
      <c r="E1031" s="1"/>
    </row>
    <row r="1032">
      <c r="E1032" s="1"/>
    </row>
    <row r="1033">
      <c r="E1033" s="1"/>
    </row>
    <row r="1034">
      <c r="E1034" s="1"/>
    </row>
    <row r="1035">
      <c r="E1035" s="1"/>
    </row>
    <row r="1036">
      <c r="E1036" s="1"/>
    </row>
    <row r="1037">
      <c r="E1037" s="1"/>
    </row>
  </sheetData>
  <dataValidations>
    <dataValidation type="list" allowBlank="1" showDropDown="1" showErrorMessage="1" sqref="L62:L107">
      <formula1>"B,W,Para analisar,SB,N"</formula1>
    </dataValidation>
    <dataValidation type="custom" allowBlank="1" showDropDown="1" sqref="S62:S107">
      <formula1>OR(NOT(ISERROR(DATEVALUE(S62))), AND(ISNUMBER(S62), LEFT(CELL("format", S62))="D"))</formula1>
    </dataValidation>
    <dataValidation type="custom" allowBlank="1" showDropDown="1" sqref="M62:P107 R62:R107">
      <formula1>AND(ISNUMBER(M62),(NOT(OR(NOT(ISERROR(DATEVALUE(M62))), AND(ISNUMBER(M62), LEFT(CELL("format", M62))="D")))))</formula1>
    </dataValidation>
  </dataValidations>
  <drawing r:id="rId1"/>
  <tableParts count="1">
    <tablePart r:id="rId3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4" max="4" width="22.0"/>
    <col customWidth="1" min="5" max="5" width="15.0"/>
    <col customWidth="1" min="8" max="8" width="18.38"/>
    <col customWidth="1" min="10" max="10" width="18.5"/>
    <col customWidth="1" min="13" max="13" width="18.38"/>
    <col customWidth="1" min="14" max="14" width="15.88"/>
    <col customWidth="1" min="15" max="15" width="18.5"/>
    <col customWidth="1" min="16" max="16" width="17.0"/>
    <col customWidth="1" min="21" max="21" width="19.38"/>
  </cols>
  <sheetData>
    <row r="1">
      <c r="A1" s="4" t="s">
        <v>7</v>
      </c>
      <c r="E1" s="1"/>
    </row>
    <row r="2">
      <c r="E2" s="1"/>
      <c r="J2" s="2" t="s">
        <v>0</v>
      </c>
      <c r="K2" s="3" t="s">
        <v>1</v>
      </c>
      <c r="L2" s="4" t="s">
        <v>2</v>
      </c>
    </row>
    <row r="3">
      <c r="E3" s="1"/>
      <c r="J3" s="266" t="s">
        <v>4</v>
      </c>
      <c r="K3" s="267">
        <f t="shared" ref="K3:L3" si="1">sum(E6:E45)</f>
        <v>5.73</v>
      </c>
      <c r="L3" s="3">
        <f t="shared" si="1"/>
        <v>9.14</v>
      </c>
    </row>
    <row r="4">
      <c r="B4" s="283" t="s">
        <v>5</v>
      </c>
      <c r="C4" s="10"/>
      <c r="D4" s="10"/>
      <c r="E4" s="11"/>
      <c r="F4" s="10"/>
      <c r="G4" s="10"/>
      <c r="H4" s="10"/>
      <c r="I4" s="10"/>
      <c r="J4" s="10"/>
      <c r="K4" s="10"/>
    </row>
    <row r="5">
      <c r="B5" s="268" t="s">
        <v>8</v>
      </c>
      <c r="C5" s="268" t="s">
        <v>9</v>
      </c>
      <c r="D5" s="268" t="s">
        <v>11</v>
      </c>
      <c r="E5" s="283" t="s">
        <v>12</v>
      </c>
      <c r="F5" s="283" t="s">
        <v>13</v>
      </c>
      <c r="G5" s="12" t="s">
        <v>123</v>
      </c>
      <c r="H5" s="13" t="s">
        <v>124</v>
      </c>
      <c r="I5" s="14" t="s">
        <v>125</v>
      </c>
      <c r="J5" s="15" t="s">
        <v>126</v>
      </c>
      <c r="K5" s="10"/>
    </row>
    <row r="6">
      <c r="B6" s="265" t="s">
        <v>5121</v>
      </c>
      <c r="C6" s="269"/>
      <c r="D6" s="16" t="s">
        <v>5122</v>
      </c>
      <c r="E6" s="267"/>
      <c r="F6" s="16"/>
      <c r="G6" s="10"/>
      <c r="H6" s="10"/>
      <c r="I6" s="10"/>
      <c r="J6" s="10"/>
      <c r="K6" s="10"/>
    </row>
    <row r="7">
      <c r="B7" s="2" t="s">
        <v>5124</v>
      </c>
      <c r="C7" s="10"/>
      <c r="D7" s="16" t="s">
        <v>5125</v>
      </c>
      <c r="E7" s="267"/>
      <c r="F7" s="16"/>
      <c r="G7" s="10"/>
      <c r="H7" s="10"/>
      <c r="I7" s="10"/>
    </row>
    <row r="8">
      <c r="B8" s="265" t="s">
        <v>3559</v>
      </c>
      <c r="C8" s="269"/>
      <c r="D8" s="16" t="s">
        <v>5128</v>
      </c>
      <c r="E8" s="267"/>
      <c r="F8" s="16"/>
      <c r="G8" s="10"/>
      <c r="H8" s="10"/>
      <c r="I8" s="10"/>
    </row>
    <row r="9">
      <c r="B9" s="2" t="s">
        <v>5130</v>
      </c>
      <c r="C9" s="10"/>
      <c r="D9" s="16" t="s">
        <v>5131</v>
      </c>
      <c r="E9" s="267"/>
      <c r="F9" s="16"/>
      <c r="G9" s="10"/>
      <c r="H9" s="10"/>
      <c r="I9" s="10"/>
      <c r="J9" s="10"/>
      <c r="K9" s="10"/>
    </row>
    <row r="10">
      <c r="B10" s="265" t="s">
        <v>5133</v>
      </c>
      <c r="C10" s="269"/>
      <c r="D10" s="16" t="s">
        <v>5134</v>
      </c>
      <c r="E10" s="267"/>
      <c r="F10" s="16"/>
      <c r="G10" s="10"/>
      <c r="H10" s="10"/>
      <c r="I10" s="10"/>
      <c r="J10" s="10"/>
      <c r="K10" s="10"/>
    </row>
    <row r="11">
      <c r="B11" s="2" t="s">
        <v>5136</v>
      </c>
      <c r="C11" s="10"/>
      <c r="D11" s="16" t="s">
        <v>5137</v>
      </c>
      <c r="E11" s="267"/>
      <c r="F11" s="16"/>
      <c r="G11" s="10"/>
      <c r="H11" s="10"/>
      <c r="I11" s="10"/>
      <c r="J11" s="10"/>
      <c r="K11" s="10"/>
    </row>
    <row r="12">
      <c r="B12" s="10"/>
      <c r="C12" s="10"/>
      <c r="D12" s="16"/>
      <c r="E12" s="267"/>
      <c r="F12" s="10"/>
      <c r="G12" s="10"/>
      <c r="H12" s="10"/>
      <c r="I12" s="10"/>
      <c r="J12" s="10"/>
      <c r="K12" s="10"/>
    </row>
    <row r="13">
      <c r="B13" s="10"/>
      <c r="C13" s="10"/>
      <c r="D13" s="16"/>
      <c r="E13" s="267"/>
      <c r="F13" s="10"/>
      <c r="G13" s="10"/>
      <c r="H13" s="10"/>
      <c r="I13" s="10"/>
      <c r="J13" s="10"/>
      <c r="K13" s="10"/>
    </row>
    <row r="14">
      <c r="B14" s="2" t="s">
        <v>5139</v>
      </c>
      <c r="C14" s="10"/>
      <c r="D14" s="16" t="s">
        <v>5140</v>
      </c>
      <c r="E14" s="267"/>
      <c r="F14" s="10"/>
      <c r="G14" s="10"/>
      <c r="H14" s="10"/>
      <c r="I14" s="10"/>
      <c r="J14" s="10"/>
      <c r="K14" s="10"/>
    </row>
    <row r="15">
      <c r="B15" s="2" t="s">
        <v>5121</v>
      </c>
      <c r="C15" s="10"/>
      <c r="D15" s="16">
        <v>21.091</v>
      </c>
      <c r="E15" s="267"/>
      <c r="F15" s="10"/>
      <c r="G15" s="10"/>
      <c r="H15" s="10"/>
      <c r="I15" s="10"/>
      <c r="J15" s="10"/>
      <c r="K15" s="10"/>
    </row>
    <row r="16">
      <c r="B16" s="270" t="s">
        <v>5130</v>
      </c>
      <c r="C16" s="10"/>
      <c r="D16" s="16">
        <v>16.865</v>
      </c>
      <c r="E16" s="271"/>
      <c r="F16" s="10"/>
      <c r="G16" s="10"/>
      <c r="H16" s="10"/>
      <c r="I16" s="10"/>
      <c r="J16" s="10"/>
      <c r="K16" s="10"/>
    </row>
    <row r="17">
      <c r="B17" s="15" t="s">
        <v>5144</v>
      </c>
      <c r="C17" s="10"/>
      <c r="D17" s="20">
        <v>316.34</v>
      </c>
      <c r="E17" s="267"/>
      <c r="F17" s="10"/>
      <c r="G17" s="10"/>
      <c r="H17" s="10"/>
      <c r="I17" s="10"/>
      <c r="J17" s="10"/>
      <c r="K17" s="10"/>
    </row>
    <row r="18">
      <c r="B18" s="272" t="s">
        <v>5146</v>
      </c>
      <c r="C18" s="10"/>
      <c r="D18" s="20">
        <v>5.818</v>
      </c>
      <c r="E18" s="267"/>
      <c r="F18" s="10"/>
      <c r="G18" s="10"/>
      <c r="H18" s="10"/>
      <c r="I18" s="10"/>
      <c r="J18" s="10"/>
      <c r="K18" s="10"/>
    </row>
    <row r="19">
      <c r="B19" s="273" t="s">
        <v>5148</v>
      </c>
      <c r="C19" s="10"/>
      <c r="D19" s="20">
        <v>591.2</v>
      </c>
      <c r="E19" s="267"/>
      <c r="F19" s="10"/>
      <c r="G19" s="10"/>
      <c r="H19" s="10"/>
      <c r="I19" s="10"/>
      <c r="J19" s="10"/>
      <c r="K19" s="10"/>
    </row>
    <row r="20">
      <c r="B20" s="274" t="s">
        <v>5150</v>
      </c>
      <c r="C20" s="10"/>
      <c r="D20" s="20">
        <v>214.3</v>
      </c>
      <c r="E20" s="267"/>
      <c r="F20" s="10"/>
      <c r="G20" s="10"/>
      <c r="H20" s="10"/>
      <c r="I20" s="10"/>
      <c r="J20" s="10"/>
      <c r="K20" s="10"/>
    </row>
    <row r="21">
      <c r="B21" s="15" t="s">
        <v>5152</v>
      </c>
      <c r="C21" s="10"/>
      <c r="D21" s="20">
        <v>1.0341</v>
      </c>
      <c r="E21" s="267"/>
      <c r="F21" s="10"/>
      <c r="G21" s="10"/>
      <c r="H21" s="10"/>
      <c r="I21" s="10"/>
      <c r="J21" s="10"/>
      <c r="K21" s="10"/>
    </row>
    <row r="22">
      <c r="B22" s="273" t="s">
        <v>5148</v>
      </c>
      <c r="C22" s="10"/>
      <c r="D22" s="20">
        <v>87.91</v>
      </c>
      <c r="E22" s="271"/>
      <c r="F22" s="10"/>
      <c r="G22" s="10"/>
      <c r="H22" s="10"/>
      <c r="I22" s="10"/>
      <c r="J22" s="10"/>
      <c r="K22" s="10"/>
    </row>
    <row r="23">
      <c r="B23" s="272" t="s">
        <v>5146</v>
      </c>
      <c r="C23" s="10"/>
      <c r="D23" s="20">
        <v>5.846</v>
      </c>
      <c r="E23" s="267"/>
      <c r="F23" s="10"/>
      <c r="G23" s="10"/>
      <c r="H23" s="10"/>
      <c r="I23" s="10"/>
      <c r="J23" s="10"/>
      <c r="K23" s="10"/>
    </row>
    <row r="24">
      <c r="B24" s="274" t="s">
        <v>5139</v>
      </c>
      <c r="C24" s="10"/>
      <c r="D24" s="20">
        <v>56.73</v>
      </c>
      <c r="E24" s="267"/>
      <c r="F24" s="10"/>
      <c r="G24" s="10"/>
      <c r="H24" s="10"/>
      <c r="I24" s="10"/>
      <c r="J24" s="10"/>
      <c r="K24" s="10"/>
    </row>
    <row r="25">
      <c r="B25" s="15" t="s">
        <v>5154</v>
      </c>
      <c r="C25" s="10"/>
      <c r="D25" s="16"/>
      <c r="E25" s="267"/>
      <c r="F25" s="10"/>
      <c r="G25" s="10"/>
      <c r="H25" s="10"/>
      <c r="I25" s="10"/>
      <c r="J25" s="10"/>
      <c r="K25" s="10"/>
    </row>
    <row r="26">
      <c r="B26" s="15" t="s">
        <v>5155</v>
      </c>
      <c r="C26" s="10"/>
      <c r="D26" s="20">
        <v>118.94</v>
      </c>
      <c r="E26" s="271"/>
      <c r="F26" s="10"/>
      <c r="G26" s="10"/>
      <c r="H26" s="10"/>
      <c r="I26" s="10"/>
      <c r="J26" s="10"/>
      <c r="K26" s="10"/>
    </row>
    <row r="27">
      <c r="B27" s="15" t="s">
        <v>5157</v>
      </c>
      <c r="C27" s="10"/>
      <c r="D27" s="16"/>
      <c r="E27" s="267"/>
      <c r="F27" s="10"/>
      <c r="G27" s="10"/>
      <c r="H27" s="10"/>
      <c r="I27" s="10"/>
      <c r="J27" s="10"/>
      <c r="K27" s="10"/>
    </row>
    <row r="28">
      <c r="B28" s="15" t="s">
        <v>5159</v>
      </c>
      <c r="C28" s="10"/>
      <c r="D28" s="16"/>
      <c r="E28" s="271"/>
      <c r="F28" s="10"/>
      <c r="G28" s="10"/>
      <c r="H28" s="10"/>
      <c r="I28" s="10"/>
      <c r="J28" s="10"/>
      <c r="K28" s="10"/>
    </row>
    <row r="29">
      <c r="B29" s="15" t="s">
        <v>199</v>
      </c>
      <c r="C29" s="10"/>
      <c r="D29" s="16"/>
      <c r="E29" s="271"/>
      <c r="F29" s="10"/>
      <c r="G29" s="10"/>
      <c r="H29" s="10"/>
      <c r="I29" s="10"/>
      <c r="J29" s="10"/>
      <c r="K29" s="10"/>
    </row>
    <row r="30">
      <c r="B30" s="10"/>
      <c r="C30" s="15" t="s">
        <v>27</v>
      </c>
      <c r="D30" s="16"/>
      <c r="E30" s="267"/>
      <c r="F30" s="10"/>
      <c r="G30" s="10"/>
      <c r="H30" s="10"/>
      <c r="I30" s="10"/>
      <c r="J30" s="10"/>
      <c r="K30" s="10"/>
    </row>
    <row r="31">
      <c r="B31" s="10"/>
      <c r="C31" s="15" t="s">
        <v>29</v>
      </c>
      <c r="D31" s="16"/>
      <c r="E31" s="267"/>
      <c r="F31" s="10"/>
      <c r="G31" s="10"/>
      <c r="H31" s="10"/>
      <c r="I31" s="10"/>
      <c r="J31" s="10"/>
      <c r="K31" s="10"/>
    </row>
    <row r="32">
      <c r="B32" s="10"/>
      <c r="C32" s="15" t="s">
        <v>30</v>
      </c>
      <c r="D32" s="16"/>
      <c r="E32" s="267"/>
      <c r="F32" s="10"/>
      <c r="G32" s="10"/>
      <c r="H32" s="10"/>
      <c r="I32" s="10"/>
      <c r="J32" s="10"/>
      <c r="K32" s="10"/>
    </row>
    <row r="33">
      <c r="B33" s="10"/>
      <c r="C33" s="15" t="s">
        <v>31</v>
      </c>
      <c r="D33" s="16"/>
      <c r="E33" s="267"/>
      <c r="F33" s="10"/>
      <c r="G33" s="10"/>
      <c r="H33" s="10"/>
      <c r="I33" s="10"/>
      <c r="J33" s="10"/>
      <c r="K33" s="10"/>
    </row>
    <row r="34">
      <c r="B34" s="10"/>
      <c r="C34" s="15" t="s">
        <v>37</v>
      </c>
      <c r="D34" s="16"/>
      <c r="E34" s="267"/>
      <c r="F34" s="10"/>
      <c r="G34" s="10"/>
      <c r="H34" s="10"/>
      <c r="I34" s="10"/>
      <c r="J34" s="10"/>
      <c r="K34" s="10"/>
    </row>
    <row r="35">
      <c r="B35" s="15"/>
      <c r="C35" s="15" t="s">
        <v>38</v>
      </c>
      <c r="D35" s="20"/>
      <c r="E35" s="267"/>
      <c r="F35" s="10"/>
      <c r="G35" s="15"/>
      <c r="H35" s="15"/>
      <c r="I35" s="15"/>
      <c r="J35" s="15"/>
      <c r="K35" s="10"/>
    </row>
    <row r="36">
      <c r="B36" s="15"/>
      <c r="C36" s="15" t="s">
        <v>39</v>
      </c>
      <c r="D36" s="20"/>
      <c r="E36" s="267"/>
      <c r="F36" s="10"/>
      <c r="G36" s="15"/>
      <c r="H36" s="15"/>
      <c r="I36" s="15"/>
      <c r="J36" s="15"/>
      <c r="K36" s="10"/>
    </row>
    <row r="37">
      <c r="B37" s="15"/>
      <c r="C37" s="15" t="s">
        <v>40</v>
      </c>
      <c r="D37" s="20"/>
      <c r="E37" s="267"/>
      <c r="F37" s="10"/>
      <c r="G37" s="15"/>
      <c r="H37" s="15"/>
      <c r="I37" s="15"/>
      <c r="J37" s="15"/>
      <c r="K37" s="10"/>
    </row>
    <row r="38">
      <c r="B38" s="15"/>
      <c r="C38" s="15" t="s">
        <v>44</v>
      </c>
      <c r="D38" s="20"/>
      <c r="E38" s="267"/>
      <c r="F38" s="10"/>
      <c r="G38" s="15"/>
      <c r="H38" s="15"/>
      <c r="I38" s="15"/>
      <c r="J38" s="15"/>
      <c r="K38" s="10"/>
    </row>
    <row r="39">
      <c r="B39" s="15"/>
      <c r="C39" s="15" t="s">
        <v>45</v>
      </c>
      <c r="D39" s="20"/>
      <c r="E39" s="267"/>
      <c r="F39" s="10"/>
      <c r="G39" s="15"/>
      <c r="H39" s="15"/>
      <c r="I39" s="15"/>
      <c r="J39" s="15"/>
      <c r="K39" s="10"/>
    </row>
    <row r="40">
      <c r="B40" s="15"/>
      <c r="C40" s="15" t="s">
        <v>46</v>
      </c>
      <c r="D40" s="20"/>
      <c r="E40" s="267"/>
      <c r="F40" s="10"/>
      <c r="G40" s="15"/>
      <c r="H40" s="15"/>
      <c r="I40" s="15"/>
      <c r="J40" s="15"/>
      <c r="K40" s="10"/>
    </row>
    <row r="41">
      <c r="B41" s="15"/>
      <c r="C41" s="15" t="s">
        <v>47</v>
      </c>
      <c r="D41" s="20"/>
      <c r="E41" s="267"/>
      <c r="F41" s="10"/>
      <c r="G41" s="15"/>
      <c r="H41" s="15"/>
      <c r="I41" s="15"/>
      <c r="J41" s="15"/>
      <c r="K41" s="10"/>
    </row>
    <row r="42">
      <c r="B42" s="15"/>
      <c r="C42" s="15" t="s">
        <v>48</v>
      </c>
      <c r="D42" s="20"/>
      <c r="E42" s="267"/>
      <c r="F42" s="10"/>
      <c r="G42" s="15"/>
      <c r="H42" s="15"/>
      <c r="I42" s="15"/>
      <c r="J42" s="15"/>
      <c r="K42" s="10"/>
    </row>
    <row r="43">
      <c r="B43" s="15"/>
      <c r="C43" s="15" t="s">
        <v>53</v>
      </c>
      <c r="D43" s="20"/>
      <c r="E43" s="267">
        <v>2.33</v>
      </c>
      <c r="F43" s="10"/>
      <c r="G43" s="15"/>
      <c r="H43" s="15"/>
      <c r="I43" s="15"/>
      <c r="J43" s="15"/>
      <c r="K43" s="10"/>
    </row>
    <row r="44">
      <c r="B44" s="15"/>
      <c r="C44" s="15" t="s">
        <v>55</v>
      </c>
      <c r="D44" s="20"/>
      <c r="E44" s="267"/>
      <c r="F44" s="15"/>
      <c r="G44" s="15"/>
      <c r="H44" s="15"/>
      <c r="I44" s="15"/>
      <c r="J44" s="15"/>
      <c r="K44" s="10"/>
    </row>
    <row r="45">
      <c r="B45" s="15"/>
      <c r="C45" s="15" t="s">
        <v>56</v>
      </c>
      <c r="D45" s="20"/>
      <c r="E45" s="329">
        <v>3.4</v>
      </c>
      <c r="F45" s="10">
        <f>9.14</f>
        <v>9.14</v>
      </c>
      <c r="G45" s="15"/>
      <c r="H45" s="15"/>
      <c r="I45" s="15"/>
      <c r="J45" s="15"/>
      <c r="K45" s="10"/>
    </row>
    <row r="46">
      <c r="H46" s="45"/>
      <c r="I46" s="45"/>
      <c r="J46" s="45"/>
      <c r="K46" s="45"/>
      <c r="L46" s="45"/>
      <c r="M46" s="45"/>
      <c r="N46" s="45"/>
      <c r="O46" s="45"/>
      <c r="P46" s="45"/>
    </row>
    <row r="47">
      <c r="E47" s="1"/>
      <c r="H47" s="45"/>
      <c r="I47" s="45"/>
      <c r="J47" s="45"/>
      <c r="K47" s="45"/>
      <c r="L47" s="45"/>
      <c r="M47" s="45"/>
      <c r="N47" s="45"/>
      <c r="O47" s="45"/>
      <c r="P47" s="45"/>
    </row>
    <row r="48">
      <c r="E48" s="1"/>
    </row>
    <row r="49">
      <c r="E49" s="1"/>
    </row>
    <row r="50">
      <c r="E50" s="1"/>
    </row>
    <row r="51">
      <c r="E51" s="1"/>
    </row>
    <row r="52">
      <c r="E52" s="1"/>
    </row>
    <row r="53">
      <c r="E53" s="1"/>
    </row>
    <row r="54">
      <c r="E54" s="1"/>
    </row>
    <row r="55">
      <c r="E55" s="1"/>
    </row>
    <row r="56">
      <c r="E56" s="1"/>
    </row>
    <row r="57">
      <c r="E57" s="1"/>
    </row>
    <row r="58">
      <c r="E58" s="1"/>
    </row>
    <row r="59">
      <c r="E59" s="1"/>
    </row>
    <row r="60">
      <c r="E60" s="1"/>
    </row>
    <row r="61">
      <c r="E61" s="1"/>
    </row>
    <row r="62">
      <c r="E62" s="1"/>
    </row>
    <row r="63">
      <c r="E63" s="1"/>
    </row>
    <row r="64">
      <c r="E64" s="1"/>
    </row>
    <row r="65">
      <c r="E65" s="1"/>
    </row>
    <row r="66">
      <c r="E66" s="1"/>
    </row>
    <row r="67">
      <c r="E67" s="1"/>
    </row>
    <row r="68">
      <c r="E68" s="1"/>
    </row>
    <row r="69">
      <c r="E69" s="1"/>
    </row>
    <row r="70">
      <c r="E70" s="1"/>
    </row>
    <row r="71">
      <c r="E71" s="1"/>
    </row>
    <row r="72">
      <c r="E72" s="1"/>
    </row>
    <row r="73">
      <c r="E73" s="1"/>
    </row>
    <row r="74">
      <c r="E74" s="1"/>
    </row>
    <row r="75">
      <c r="E75" s="1"/>
    </row>
    <row r="76">
      <c r="E76" s="1"/>
    </row>
    <row r="77">
      <c r="E77" s="1"/>
    </row>
    <row r="78">
      <c r="E78" s="1"/>
    </row>
    <row r="79">
      <c r="E79" s="1"/>
    </row>
    <row r="80">
      <c r="E80" s="1"/>
    </row>
    <row r="81">
      <c r="E81" s="1"/>
    </row>
    <row r="82">
      <c r="E82" s="1"/>
    </row>
    <row r="83">
      <c r="E83" s="1"/>
    </row>
    <row r="84">
      <c r="E84" s="1"/>
    </row>
    <row r="85">
      <c r="E85" s="1"/>
    </row>
    <row r="86">
      <c r="E86" s="1"/>
    </row>
    <row r="87">
      <c r="E87" s="1"/>
    </row>
    <row r="88">
      <c r="E88" s="1"/>
    </row>
    <row r="89">
      <c r="E89" s="1"/>
    </row>
    <row r="90">
      <c r="E90" s="1"/>
    </row>
    <row r="91">
      <c r="E91" s="1"/>
    </row>
    <row r="92">
      <c r="E92" s="1"/>
    </row>
    <row r="93">
      <c r="E93" s="1"/>
    </row>
    <row r="94">
      <c r="E94" s="1"/>
    </row>
    <row r="95">
      <c r="E95" s="1"/>
    </row>
    <row r="96">
      <c r="E96" s="1"/>
    </row>
    <row r="97">
      <c r="E97" s="1"/>
    </row>
    <row r="98">
      <c r="E98" s="1"/>
    </row>
    <row r="99">
      <c r="E99" s="1"/>
    </row>
    <row r="100">
      <c r="E100" s="1"/>
    </row>
    <row r="101">
      <c r="E101" s="1"/>
    </row>
    <row r="102">
      <c r="E102" s="1"/>
    </row>
    <row r="103">
      <c r="E103" s="1"/>
    </row>
    <row r="104">
      <c r="E104" s="1"/>
    </row>
    <row r="105">
      <c r="E105" s="1"/>
    </row>
    <row r="106">
      <c r="E106" s="1"/>
    </row>
    <row r="107">
      <c r="E107" s="1"/>
    </row>
    <row r="108">
      <c r="E108" s="1"/>
    </row>
    <row r="109">
      <c r="E109" s="1"/>
    </row>
    <row r="110">
      <c r="E110" s="1"/>
    </row>
    <row r="111">
      <c r="E111" s="1"/>
    </row>
    <row r="112">
      <c r="E112" s="1"/>
    </row>
    <row r="113">
      <c r="E113" s="1"/>
    </row>
    <row r="114">
      <c r="E114" s="1"/>
    </row>
    <row r="115">
      <c r="E115" s="1"/>
    </row>
    <row r="116">
      <c r="E116" s="1"/>
    </row>
    <row r="117">
      <c r="E117" s="1"/>
    </row>
    <row r="118">
      <c r="E118" s="1"/>
    </row>
    <row r="119">
      <c r="E119" s="1"/>
    </row>
    <row r="120">
      <c r="E120" s="1"/>
    </row>
    <row r="121">
      <c r="E121" s="1"/>
    </row>
    <row r="122">
      <c r="E122" s="1"/>
    </row>
    <row r="123">
      <c r="E123" s="1"/>
    </row>
    <row r="124">
      <c r="E124" s="1"/>
    </row>
    <row r="125">
      <c r="E125" s="1"/>
    </row>
    <row r="126">
      <c r="E126" s="1"/>
    </row>
    <row r="127">
      <c r="E127" s="1"/>
    </row>
    <row r="128">
      <c r="E128" s="1"/>
    </row>
    <row r="129">
      <c r="E129" s="1"/>
    </row>
    <row r="130">
      <c r="E130" s="1"/>
    </row>
    <row r="131">
      <c r="E131" s="1"/>
    </row>
    <row r="132">
      <c r="E132" s="1"/>
    </row>
    <row r="133">
      <c r="E133" s="1"/>
    </row>
    <row r="134">
      <c r="E134" s="1"/>
    </row>
    <row r="135">
      <c r="E135" s="1"/>
    </row>
    <row r="136">
      <c r="E136" s="1"/>
    </row>
    <row r="137">
      <c r="E137" s="1"/>
    </row>
    <row r="138">
      <c r="E138" s="1"/>
    </row>
    <row r="139">
      <c r="E139" s="1"/>
    </row>
    <row r="140">
      <c r="E140" s="1"/>
    </row>
    <row r="141">
      <c r="E141" s="1"/>
    </row>
    <row r="142">
      <c r="E142" s="1"/>
    </row>
    <row r="143">
      <c r="E143" s="1"/>
    </row>
    <row r="144">
      <c r="E144" s="1"/>
    </row>
    <row r="145">
      <c r="E145" s="1"/>
    </row>
    <row r="146">
      <c r="E146" s="1"/>
    </row>
    <row r="147">
      <c r="E147" s="1"/>
    </row>
    <row r="148">
      <c r="E148" s="1"/>
    </row>
    <row r="149">
      <c r="E149" s="1"/>
    </row>
    <row r="150">
      <c r="E150" s="1"/>
    </row>
    <row r="151">
      <c r="E151" s="1"/>
    </row>
    <row r="152">
      <c r="E152" s="1"/>
    </row>
    <row r="153">
      <c r="E153" s="1"/>
    </row>
    <row r="154">
      <c r="E154" s="1"/>
    </row>
    <row r="155">
      <c r="E155" s="1"/>
    </row>
    <row r="156">
      <c r="E156" s="1"/>
    </row>
    <row r="157">
      <c r="E157" s="1"/>
    </row>
    <row r="158">
      <c r="E158" s="1"/>
    </row>
    <row r="159">
      <c r="E159" s="1"/>
    </row>
    <row r="160">
      <c r="E160" s="1"/>
    </row>
    <row r="161">
      <c r="E161" s="1"/>
    </row>
    <row r="162">
      <c r="E162" s="1"/>
    </row>
    <row r="163">
      <c r="E163" s="1"/>
    </row>
    <row r="164">
      <c r="E164" s="1"/>
    </row>
    <row r="165">
      <c r="E165" s="1"/>
    </row>
    <row r="166">
      <c r="E166" s="1"/>
    </row>
    <row r="167">
      <c r="E167" s="1"/>
    </row>
    <row r="168">
      <c r="E168" s="1"/>
    </row>
    <row r="169">
      <c r="E169" s="1"/>
    </row>
    <row r="170">
      <c r="E170" s="1"/>
    </row>
    <row r="171">
      <c r="E171" s="1"/>
    </row>
    <row r="172">
      <c r="E172" s="1"/>
    </row>
    <row r="173">
      <c r="E173" s="1"/>
    </row>
    <row r="174">
      <c r="E174" s="1"/>
    </row>
    <row r="175">
      <c r="E175" s="1"/>
    </row>
    <row r="176">
      <c r="E176" s="1"/>
    </row>
    <row r="177">
      <c r="E177" s="1"/>
    </row>
    <row r="178">
      <c r="E178" s="1"/>
    </row>
    <row r="179">
      <c r="E179" s="1"/>
    </row>
    <row r="180">
      <c r="E180" s="1"/>
    </row>
    <row r="181">
      <c r="E181" s="1"/>
    </row>
    <row r="182">
      <c r="E182" s="1"/>
    </row>
    <row r="183">
      <c r="E183" s="1"/>
    </row>
    <row r="184">
      <c r="E184" s="1"/>
    </row>
    <row r="185">
      <c r="E185" s="1"/>
    </row>
    <row r="186">
      <c r="E186" s="1"/>
    </row>
    <row r="187">
      <c r="E187" s="1"/>
    </row>
    <row r="188">
      <c r="E188" s="1"/>
    </row>
    <row r="189">
      <c r="E189" s="1"/>
    </row>
    <row r="190">
      <c r="E190" s="1"/>
    </row>
    <row r="191">
      <c r="E191" s="1"/>
    </row>
    <row r="192">
      <c r="E192" s="1"/>
    </row>
    <row r="193">
      <c r="E193" s="1"/>
    </row>
    <row r="194">
      <c r="E194" s="1"/>
    </row>
    <row r="195">
      <c r="E195" s="1"/>
    </row>
    <row r="196">
      <c r="E196" s="1"/>
    </row>
    <row r="197">
      <c r="E197" s="1"/>
    </row>
    <row r="198">
      <c r="E198" s="1"/>
    </row>
    <row r="199">
      <c r="E199" s="1"/>
    </row>
    <row r="200">
      <c r="E200" s="1"/>
    </row>
    <row r="201">
      <c r="E201" s="1"/>
    </row>
    <row r="202">
      <c r="E202" s="1"/>
    </row>
    <row r="203">
      <c r="E203" s="1"/>
    </row>
    <row r="204">
      <c r="E204" s="1"/>
    </row>
    <row r="205">
      <c r="E205" s="1"/>
    </row>
    <row r="206">
      <c r="E206" s="1"/>
    </row>
    <row r="207">
      <c r="E207" s="1"/>
    </row>
    <row r="208">
      <c r="E208" s="1"/>
    </row>
    <row r="209">
      <c r="E209" s="1"/>
    </row>
    <row r="210">
      <c r="E210" s="1"/>
    </row>
    <row r="211">
      <c r="E211" s="1"/>
    </row>
    <row r="212">
      <c r="E212" s="1"/>
    </row>
    <row r="213">
      <c r="E213" s="1"/>
    </row>
    <row r="214">
      <c r="E214" s="1"/>
    </row>
    <row r="215">
      <c r="E215" s="1"/>
    </row>
    <row r="216">
      <c r="E216" s="1"/>
    </row>
    <row r="217">
      <c r="E217" s="1"/>
    </row>
    <row r="218">
      <c r="E218" s="1"/>
    </row>
    <row r="219">
      <c r="E219" s="1"/>
    </row>
    <row r="220">
      <c r="E220" s="1"/>
    </row>
    <row r="221">
      <c r="E221" s="1"/>
    </row>
    <row r="222">
      <c r="E222" s="1"/>
    </row>
    <row r="223">
      <c r="E223" s="1"/>
    </row>
    <row r="224">
      <c r="E224" s="1"/>
    </row>
    <row r="225">
      <c r="E225" s="1"/>
    </row>
    <row r="226">
      <c r="E226" s="1"/>
    </row>
    <row r="227">
      <c r="E227" s="1"/>
    </row>
    <row r="228">
      <c r="E228" s="1"/>
    </row>
    <row r="229">
      <c r="E229" s="1"/>
    </row>
    <row r="230">
      <c r="E230" s="1"/>
    </row>
    <row r="231">
      <c r="E231" s="1"/>
    </row>
    <row r="232">
      <c r="E232" s="1"/>
    </row>
    <row r="233">
      <c r="E233" s="1"/>
    </row>
    <row r="234">
      <c r="E234" s="1"/>
    </row>
    <row r="235">
      <c r="E235" s="1"/>
    </row>
    <row r="236">
      <c r="E236" s="1"/>
    </row>
    <row r="237">
      <c r="E237" s="1"/>
    </row>
    <row r="238">
      <c r="E238" s="1"/>
    </row>
    <row r="239">
      <c r="E239" s="1"/>
    </row>
    <row r="240">
      <c r="E240" s="1"/>
    </row>
    <row r="241">
      <c r="E241" s="1"/>
    </row>
    <row r="242">
      <c r="E242" s="1"/>
    </row>
    <row r="243">
      <c r="E243" s="1"/>
    </row>
    <row r="244">
      <c r="E244" s="1"/>
    </row>
    <row r="245">
      <c r="E245" s="1"/>
    </row>
    <row r="246">
      <c r="E246" s="1"/>
    </row>
    <row r="247">
      <c r="E247" s="1"/>
    </row>
    <row r="248">
      <c r="E248" s="1"/>
    </row>
    <row r="249">
      <c r="E249" s="1"/>
    </row>
    <row r="250">
      <c r="E250" s="1"/>
    </row>
    <row r="251">
      <c r="E251" s="1"/>
    </row>
    <row r="252">
      <c r="E252" s="1"/>
    </row>
    <row r="253">
      <c r="E253" s="1"/>
    </row>
    <row r="254">
      <c r="E254" s="1"/>
    </row>
    <row r="255">
      <c r="E255" s="1"/>
    </row>
    <row r="256">
      <c r="E256" s="1"/>
    </row>
    <row r="257">
      <c r="E257" s="1"/>
    </row>
    <row r="258">
      <c r="E258" s="1"/>
    </row>
    <row r="259">
      <c r="E259" s="1"/>
    </row>
    <row r="260">
      <c r="E260" s="1"/>
    </row>
    <row r="261">
      <c r="E261" s="1"/>
    </row>
    <row r="262">
      <c r="E262" s="1"/>
    </row>
    <row r="263">
      <c r="E263" s="1"/>
    </row>
    <row r="264">
      <c r="E264" s="1"/>
    </row>
    <row r="265">
      <c r="E265" s="1"/>
    </row>
    <row r="266">
      <c r="E266" s="1"/>
    </row>
    <row r="267">
      <c r="E267" s="1"/>
    </row>
    <row r="268">
      <c r="E268" s="1"/>
    </row>
    <row r="269">
      <c r="E269" s="1"/>
    </row>
    <row r="270">
      <c r="E270" s="1"/>
    </row>
    <row r="271">
      <c r="E271" s="1"/>
    </row>
    <row r="272">
      <c r="E272" s="1"/>
    </row>
    <row r="273">
      <c r="E273" s="1"/>
    </row>
    <row r="274">
      <c r="E274" s="1"/>
    </row>
    <row r="275">
      <c r="E275" s="1"/>
    </row>
    <row r="276">
      <c r="E276" s="1"/>
    </row>
    <row r="277">
      <c r="E277" s="1"/>
    </row>
    <row r="278">
      <c r="E278" s="1"/>
    </row>
    <row r="279">
      <c r="E279" s="1"/>
    </row>
    <row r="280">
      <c r="E280" s="1"/>
    </row>
    <row r="281">
      <c r="E281" s="1"/>
    </row>
    <row r="282">
      <c r="E282" s="1"/>
    </row>
    <row r="283">
      <c r="E283" s="1"/>
    </row>
    <row r="284">
      <c r="E284" s="1"/>
    </row>
    <row r="285">
      <c r="E285" s="1"/>
    </row>
    <row r="286">
      <c r="E286" s="1"/>
    </row>
    <row r="287">
      <c r="E287" s="1"/>
    </row>
    <row r="288">
      <c r="E288" s="1"/>
    </row>
    <row r="289">
      <c r="E289" s="1"/>
    </row>
    <row r="290">
      <c r="E290" s="1"/>
    </row>
    <row r="291">
      <c r="E291" s="1"/>
    </row>
    <row r="292">
      <c r="E292" s="1"/>
    </row>
    <row r="293">
      <c r="E293" s="1"/>
    </row>
    <row r="294">
      <c r="E294" s="1"/>
    </row>
    <row r="295">
      <c r="E295" s="1"/>
    </row>
    <row r="296">
      <c r="E296" s="1"/>
    </row>
    <row r="297">
      <c r="E297" s="1"/>
    </row>
    <row r="298">
      <c r="E298" s="1"/>
    </row>
    <row r="299">
      <c r="E299" s="1"/>
    </row>
    <row r="300">
      <c r="E300" s="1"/>
    </row>
    <row r="301">
      <c r="E301" s="1"/>
    </row>
    <row r="302">
      <c r="E302" s="1"/>
    </row>
    <row r="303">
      <c r="E303" s="1"/>
    </row>
    <row r="304">
      <c r="E304" s="1"/>
    </row>
    <row r="305">
      <c r="E305" s="1"/>
    </row>
    <row r="306">
      <c r="E306" s="1"/>
    </row>
    <row r="307">
      <c r="E307" s="1"/>
    </row>
    <row r="308">
      <c r="E308" s="1"/>
    </row>
    <row r="309">
      <c r="E309" s="1"/>
    </row>
    <row r="310">
      <c r="E310" s="1"/>
    </row>
    <row r="311">
      <c r="E311" s="1"/>
    </row>
    <row r="312">
      <c r="E312" s="1"/>
    </row>
    <row r="313">
      <c r="E313" s="1"/>
    </row>
    <row r="314">
      <c r="E314" s="1"/>
    </row>
    <row r="315">
      <c r="E315" s="1"/>
    </row>
    <row r="316">
      <c r="E316" s="1"/>
    </row>
    <row r="317">
      <c r="E317" s="1"/>
    </row>
    <row r="318">
      <c r="E318" s="1"/>
    </row>
    <row r="319">
      <c r="E319" s="1"/>
    </row>
    <row r="320">
      <c r="E320" s="1"/>
    </row>
    <row r="321">
      <c r="E321" s="1"/>
    </row>
    <row r="322">
      <c r="E322" s="1"/>
    </row>
    <row r="323">
      <c r="E323" s="1"/>
    </row>
    <row r="324">
      <c r="E324" s="1"/>
    </row>
    <row r="325">
      <c r="E325" s="1"/>
    </row>
    <row r="326">
      <c r="E326" s="1"/>
    </row>
    <row r="327">
      <c r="E327" s="1"/>
    </row>
    <row r="328">
      <c r="E328" s="1"/>
    </row>
    <row r="329">
      <c r="E329" s="1"/>
    </row>
    <row r="330">
      <c r="E330" s="1"/>
    </row>
    <row r="331">
      <c r="E331" s="1"/>
    </row>
    <row r="332">
      <c r="E332" s="1"/>
    </row>
    <row r="333">
      <c r="E333" s="1"/>
    </row>
    <row r="334">
      <c r="E334" s="1"/>
    </row>
    <row r="335">
      <c r="E335" s="1"/>
    </row>
    <row r="336">
      <c r="E336" s="1"/>
    </row>
    <row r="337">
      <c r="E337" s="1"/>
    </row>
    <row r="338">
      <c r="E338" s="1"/>
    </row>
    <row r="339">
      <c r="E339" s="1"/>
    </row>
    <row r="340">
      <c r="E340" s="1"/>
    </row>
    <row r="341">
      <c r="E341" s="1"/>
    </row>
    <row r="342">
      <c r="E342" s="1"/>
    </row>
    <row r="343">
      <c r="E343" s="1"/>
    </row>
    <row r="344">
      <c r="E344" s="1"/>
    </row>
    <row r="345">
      <c r="E345" s="1"/>
    </row>
    <row r="346">
      <c r="E346" s="1"/>
    </row>
    <row r="347">
      <c r="E347" s="1"/>
    </row>
    <row r="348">
      <c r="E348" s="1"/>
    </row>
    <row r="349">
      <c r="E349" s="1"/>
    </row>
    <row r="350">
      <c r="E350" s="1"/>
    </row>
    <row r="351">
      <c r="E351" s="1"/>
    </row>
    <row r="352">
      <c r="E352" s="1"/>
    </row>
    <row r="353">
      <c r="E353" s="1"/>
    </row>
    <row r="354">
      <c r="E354" s="1"/>
    </row>
    <row r="355">
      <c r="E355" s="1"/>
    </row>
    <row r="356">
      <c r="E356" s="1"/>
    </row>
    <row r="357">
      <c r="E357" s="1"/>
    </row>
    <row r="358">
      <c r="E358" s="1"/>
    </row>
    <row r="359">
      <c r="E359" s="1"/>
    </row>
    <row r="360">
      <c r="E360" s="1"/>
    </row>
    <row r="361">
      <c r="E361" s="1"/>
    </row>
    <row r="362">
      <c r="E362" s="1"/>
    </row>
    <row r="363">
      <c r="E363" s="1"/>
    </row>
    <row r="364">
      <c r="E364" s="1"/>
    </row>
    <row r="365">
      <c r="E365" s="1"/>
    </row>
    <row r="366">
      <c r="E366" s="1"/>
    </row>
    <row r="367">
      <c r="E367" s="1"/>
    </row>
    <row r="368">
      <c r="E368" s="1"/>
    </row>
    <row r="369">
      <c r="E369" s="1"/>
    </row>
    <row r="370">
      <c r="E370" s="1"/>
    </row>
    <row r="371">
      <c r="E371" s="1"/>
    </row>
    <row r="372">
      <c r="E372" s="1"/>
    </row>
    <row r="373">
      <c r="E373" s="1"/>
    </row>
    <row r="374">
      <c r="E374" s="1"/>
    </row>
    <row r="375">
      <c r="E375" s="1"/>
    </row>
    <row r="376">
      <c r="E376" s="1"/>
    </row>
    <row r="377">
      <c r="E377" s="1"/>
    </row>
    <row r="378">
      <c r="E378" s="1"/>
    </row>
    <row r="379">
      <c r="E379" s="1"/>
    </row>
    <row r="380">
      <c r="E380" s="1"/>
    </row>
    <row r="381">
      <c r="E381" s="1"/>
    </row>
    <row r="382">
      <c r="E382" s="1"/>
    </row>
    <row r="383">
      <c r="E383" s="1"/>
    </row>
    <row r="384">
      <c r="E384" s="1"/>
    </row>
    <row r="385">
      <c r="E385" s="1"/>
    </row>
    <row r="386">
      <c r="E386" s="1"/>
    </row>
    <row r="387">
      <c r="E387" s="1"/>
    </row>
    <row r="388">
      <c r="E388" s="1"/>
    </row>
    <row r="389">
      <c r="E389" s="1"/>
    </row>
    <row r="390">
      <c r="E390" s="1"/>
    </row>
    <row r="391">
      <c r="E391" s="1"/>
    </row>
    <row r="392">
      <c r="E392" s="1"/>
    </row>
    <row r="393">
      <c r="E393" s="1"/>
    </row>
    <row r="394">
      <c r="E394" s="1"/>
    </row>
    <row r="395">
      <c r="E395" s="1"/>
    </row>
    <row r="396">
      <c r="E396" s="1"/>
    </row>
    <row r="397">
      <c r="E397" s="1"/>
    </row>
    <row r="398">
      <c r="E398" s="1"/>
    </row>
    <row r="399">
      <c r="E399" s="1"/>
    </row>
    <row r="400">
      <c r="E400" s="1"/>
    </row>
    <row r="401">
      <c r="E401" s="1"/>
    </row>
    <row r="402">
      <c r="E402" s="1"/>
    </row>
    <row r="403">
      <c r="E403" s="1"/>
    </row>
    <row r="404">
      <c r="E404" s="1"/>
    </row>
    <row r="405">
      <c r="E405" s="1"/>
    </row>
    <row r="406">
      <c r="E406" s="1"/>
    </row>
    <row r="407">
      <c r="E407" s="1"/>
    </row>
    <row r="408">
      <c r="E408" s="1"/>
    </row>
    <row r="409">
      <c r="E409" s="1"/>
    </row>
    <row r="410">
      <c r="E410" s="1"/>
    </row>
    <row r="411">
      <c r="E411" s="1"/>
    </row>
    <row r="412">
      <c r="E412" s="1"/>
    </row>
    <row r="413">
      <c r="E413" s="1"/>
    </row>
    <row r="414">
      <c r="E414" s="1"/>
    </row>
    <row r="415">
      <c r="E415" s="1"/>
    </row>
    <row r="416">
      <c r="E416" s="1"/>
    </row>
    <row r="417">
      <c r="E417" s="1"/>
    </row>
    <row r="418">
      <c r="E418" s="1"/>
    </row>
    <row r="419">
      <c r="E419" s="1"/>
    </row>
    <row r="420">
      <c r="E420" s="1"/>
    </row>
    <row r="421">
      <c r="E421" s="1"/>
    </row>
    <row r="422">
      <c r="E422" s="1"/>
    </row>
    <row r="423">
      <c r="E423" s="1"/>
    </row>
    <row r="424">
      <c r="E424" s="1"/>
    </row>
    <row r="425">
      <c r="E425" s="1"/>
    </row>
    <row r="426">
      <c r="E426" s="1"/>
    </row>
    <row r="427">
      <c r="E427" s="1"/>
    </row>
    <row r="428">
      <c r="E428" s="1"/>
    </row>
    <row r="429">
      <c r="E429" s="1"/>
    </row>
    <row r="430">
      <c r="E430" s="1"/>
    </row>
    <row r="431">
      <c r="E431" s="1"/>
    </row>
    <row r="432">
      <c r="E432" s="1"/>
    </row>
    <row r="433">
      <c r="E433" s="1"/>
    </row>
    <row r="434">
      <c r="E434" s="1"/>
    </row>
    <row r="435">
      <c r="E435" s="1"/>
    </row>
    <row r="436">
      <c r="E436" s="1"/>
    </row>
    <row r="437">
      <c r="E437" s="1"/>
    </row>
    <row r="438">
      <c r="E438" s="1"/>
    </row>
    <row r="439">
      <c r="E439" s="1"/>
    </row>
    <row r="440">
      <c r="E440" s="1"/>
    </row>
    <row r="441">
      <c r="E441" s="1"/>
    </row>
    <row r="442">
      <c r="E442" s="1"/>
    </row>
    <row r="443">
      <c r="E443" s="1"/>
    </row>
    <row r="444">
      <c r="E444" s="1"/>
    </row>
    <row r="445">
      <c r="E445" s="1"/>
    </row>
    <row r="446">
      <c r="E446" s="1"/>
    </row>
    <row r="447">
      <c r="E447" s="1"/>
    </row>
    <row r="448">
      <c r="E448" s="1"/>
    </row>
    <row r="449">
      <c r="E449" s="1"/>
    </row>
    <row r="450">
      <c r="E450" s="1"/>
    </row>
    <row r="451">
      <c r="E451" s="1"/>
    </row>
    <row r="452">
      <c r="E452" s="1"/>
    </row>
    <row r="453">
      <c r="E453" s="1"/>
    </row>
    <row r="454">
      <c r="E454" s="1"/>
    </row>
    <row r="455">
      <c r="E455" s="1"/>
    </row>
    <row r="456">
      <c r="E456" s="1"/>
    </row>
    <row r="457">
      <c r="E457" s="1"/>
    </row>
    <row r="458">
      <c r="E458" s="1"/>
    </row>
    <row r="459">
      <c r="E459" s="1"/>
    </row>
    <row r="460">
      <c r="E460" s="1"/>
    </row>
    <row r="461">
      <c r="E461" s="1"/>
    </row>
    <row r="462">
      <c r="E462" s="1"/>
    </row>
    <row r="463">
      <c r="E463" s="1"/>
    </row>
    <row r="464">
      <c r="E464" s="1"/>
    </row>
    <row r="465">
      <c r="E465" s="1"/>
    </row>
    <row r="466">
      <c r="E466" s="1"/>
    </row>
    <row r="467">
      <c r="E467" s="1"/>
    </row>
    <row r="468">
      <c r="E468" s="1"/>
    </row>
    <row r="469">
      <c r="E469" s="1"/>
    </row>
    <row r="470">
      <c r="E470" s="1"/>
    </row>
    <row r="471">
      <c r="E471" s="1"/>
    </row>
    <row r="472">
      <c r="E472" s="1"/>
    </row>
    <row r="473">
      <c r="E473" s="1"/>
    </row>
    <row r="474">
      <c r="E474" s="1"/>
    </row>
    <row r="475">
      <c r="E475" s="1"/>
    </row>
    <row r="476">
      <c r="E476" s="1"/>
    </row>
    <row r="477">
      <c r="E477" s="1"/>
    </row>
    <row r="478">
      <c r="E478" s="1"/>
    </row>
    <row r="479">
      <c r="E479" s="1"/>
    </row>
    <row r="480">
      <c r="E480" s="1"/>
    </row>
    <row r="481">
      <c r="E481" s="1"/>
    </row>
    <row r="482">
      <c r="E482" s="1"/>
    </row>
    <row r="483">
      <c r="E483" s="1"/>
    </row>
    <row r="484">
      <c r="E484" s="1"/>
    </row>
    <row r="485">
      <c r="E485" s="1"/>
    </row>
    <row r="486">
      <c r="E486" s="1"/>
    </row>
    <row r="487">
      <c r="E487" s="1"/>
    </row>
    <row r="488">
      <c r="E488" s="1"/>
    </row>
    <row r="489">
      <c r="E489" s="1"/>
    </row>
    <row r="490">
      <c r="E490" s="1"/>
    </row>
    <row r="491">
      <c r="E491" s="1"/>
    </row>
    <row r="492">
      <c r="E492" s="1"/>
    </row>
    <row r="493">
      <c r="E493" s="1"/>
    </row>
    <row r="494">
      <c r="E494" s="1"/>
    </row>
    <row r="495">
      <c r="E495" s="1"/>
    </row>
    <row r="496">
      <c r="E496" s="1"/>
    </row>
    <row r="497">
      <c r="E497" s="1"/>
    </row>
    <row r="498">
      <c r="E498" s="1"/>
    </row>
    <row r="499">
      <c r="E499" s="1"/>
    </row>
    <row r="500">
      <c r="E500" s="1"/>
    </row>
    <row r="501">
      <c r="E501" s="1"/>
    </row>
    <row r="502">
      <c r="E502" s="1"/>
    </row>
    <row r="503">
      <c r="E503" s="1"/>
    </row>
    <row r="504">
      <c r="E504" s="1"/>
    </row>
    <row r="505">
      <c r="E505" s="1"/>
    </row>
    <row r="506">
      <c r="E506" s="1"/>
    </row>
    <row r="507">
      <c r="E507" s="1"/>
    </row>
    <row r="508">
      <c r="E508" s="1"/>
    </row>
    <row r="509">
      <c r="E509" s="1"/>
    </row>
    <row r="510">
      <c r="E510" s="1"/>
    </row>
    <row r="511">
      <c r="E511" s="1"/>
    </row>
    <row r="512">
      <c r="E512" s="1"/>
    </row>
    <row r="513">
      <c r="E513" s="1"/>
    </row>
    <row r="514">
      <c r="E514" s="1"/>
    </row>
    <row r="515">
      <c r="E515" s="1"/>
    </row>
    <row r="516">
      <c r="E516" s="1"/>
    </row>
    <row r="517">
      <c r="E517" s="1"/>
    </row>
    <row r="518">
      <c r="E518" s="1"/>
    </row>
    <row r="519">
      <c r="E519" s="1"/>
    </row>
    <row r="520">
      <c r="E520" s="1"/>
    </row>
    <row r="521">
      <c r="E521" s="1"/>
    </row>
    <row r="522">
      <c r="E522" s="1"/>
    </row>
    <row r="523">
      <c r="E523" s="1"/>
    </row>
    <row r="524">
      <c r="E524" s="1"/>
    </row>
    <row r="525">
      <c r="E525" s="1"/>
    </row>
    <row r="526">
      <c r="E526" s="1"/>
    </row>
    <row r="527">
      <c r="E527" s="1"/>
    </row>
    <row r="528">
      <c r="E528" s="1"/>
    </row>
    <row r="529">
      <c r="E529" s="1"/>
    </row>
    <row r="530">
      <c r="E530" s="1"/>
    </row>
    <row r="531">
      <c r="E531" s="1"/>
    </row>
    <row r="532">
      <c r="E532" s="1"/>
    </row>
    <row r="533">
      <c r="E533" s="1"/>
    </row>
    <row r="534">
      <c r="E534" s="1"/>
    </row>
    <row r="535">
      <c r="E535" s="1"/>
    </row>
    <row r="536">
      <c r="E536" s="1"/>
    </row>
    <row r="537">
      <c r="E537" s="1"/>
    </row>
    <row r="538">
      <c r="E538" s="1"/>
    </row>
    <row r="539">
      <c r="E539" s="1"/>
    </row>
    <row r="540">
      <c r="E540" s="1"/>
    </row>
    <row r="541">
      <c r="E541" s="1"/>
    </row>
    <row r="542">
      <c r="E542" s="1"/>
    </row>
    <row r="543">
      <c r="E543" s="1"/>
    </row>
    <row r="544">
      <c r="E544" s="1"/>
    </row>
    <row r="545">
      <c r="E545" s="1"/>
    </row>
    <row r="546">
      <c r="E546" s="1"/>
    </row>
    <row r="547">
      <c r="E547" s="1"/>
    </row>
    <row r="548">
      <c r="E548" s="1"/>
    </row>
    <row r="549">
      <c r="E549" s="1"/>
    </row>
    <row r="550">
      <c r="E550" s="1"/>
    </row>
    <row r="551">
      <c r="E551" s="1"/>
    </row>
    <row r="552">
      <c r="E552" s="1"/>
    </row>
    <row r="553">
      <c r="E553" s="1"/>
    </row>
    <row r="554">
      <c r="E554" s="1"/>
    </row>
    <row r="555">
      <c r="E555" s="1"/>
    </row>
    <row r="556">
      <c r="E556" s="1"/>
    </row>
    <row r="557">
      <c r="E557" s="1"/>
    </row>
    <row r="558">
      <c r="E558" s="1"/>
    </row>
    <row r="559">
      <c r="E559" s="1"/>
    </row>
    <row r="560">
      <c r="E560" s="1"/>
    </row>
    <row r="561">
      <c r="E561" s="1"/>
    </row>
    <row r="562">
      <c r="E562" s="1"/>
    </row>
    <row r="563">
      <c r="E563" s="1"/>
    </row>
    <row r="564">
      <c r="E564" s="1"/>
    </row>
    <row r="565">
      <c r="E565" s="1"/>
    </row>
    <row r="566">
      <c r="E566" s="1"/>
    </row>
    <row r="567">
      <c r="E567" s="1"/>
    </row>
    <row r="568">
      <c r="E568" s="1"/>
    </row>
    <row r="569">
      <c r="E569" s="1"/>
    </row>
    <row r="570">
      <c r="E570" s="1"/>
    </row>
    <row r="571">
      <c r="E571" s="1"/>
    </row>
    <row r="572">
      <c r="E572" s="1"/>
    </row>
    <row r="573">
      <c r="E573" s="1"/>
    </row>
    <row r="574">
      <c r="E574" s="1"/>
    </row>
    <row r="575">
      <c r="E575" s="1"/>
    </row>
    <row r="576">
      <c r="E576" s="1"/>
    </row>
    <row r="577">
      <c r="E577" s="1"/>
    </row>
    <row r="578">
      <c r="E578" s="1"/>
    </row>
    <row r="579">
      <c r="E579" s="1"/>
    </row>
    <row r="580">
      <c r="E580" s="1"/>
    </row>
    <row r="581">
      <c r="E581" s="1"/>
    </row>
    <row r="582">
      <c r="E582" s="1"/>
    </row>
    <row r="583">
      <c r="E583" s="1"/>
    </row>
    <row r="584">
      <c r="E584" s="1"/>
    </row>
    <row r="585">
      <c r="E585" s="1"/>
    </row>
    <row r="586">
      <c r="E586" s="1"/>
    </row>
    <row r="587">
      <c r="E587" s="1"/>
    </row>
    <row r="588">
      <c r="E588" s="1"/>
    </row>
    <row r="589">
      <c r="E589" s="1"/>
    </row>
    <row r="590">
      <c r="E590" s="1"/>
    </row>
    <row r="591">
      <c r="E591" s="1"/>
    </row>
    <row r="592">
      <c r="E592" s="1"/>
    </row>
    <row r="593">
      <c r="E593" s="1"/>
    </row>
    <row r="594">
      <c r="E594" s="1"/>
    </row>
    <row r="595">
      <c r="E595" s="1"/>
    </row>
    <row r="596">
      <c r="E596" s="1"/>
    </row>
    <row r="597">
      <c r="E597" s="1"/>
    </row>
    <row r="598">
      <c r="E598" s="1"/>
    </row>
    <row r="599">
      <c r="E599" s="1"/>
    </row>
    <row r="600">
      <c r="E600" s="1"/>
    </row>
    <row r="601">
      <c r="E601" s="1"/>
    </row>
    <row r="602">
      <c r="E602" s="1"/>
    </row>
    <row r="603">
      <c r="E603" s="1"/>
    </row>
    <row r="604">
      <c r="E604" s="1"/>
    </row>
    <row r="605">
      <c r="E605" s="1"/>
    </row>
    <row r="606">
      <c r="E606" s="1"/>
    </row>
    <row r="607">
      <c r="E607" s="1"/>
    </row>
    <row r="608">
      <c r="E608" s="1"/>
    </row>
    <row r="609">
      <c r="E609" s="1"/>
    </row>
    <row r="610">
      <c r="E610" s="1"/>
    </row>
    <row r="611">
      <c r="E611" s="1"/>
    </row>
    <row r="612">
      <c r="E612" s="1"/>
    </row>
    <row r="613">
      <c r="E613" s="1"/>
    </row>
    <row r="614">
      <c r="E614" s="1"/>
    </row>
    <row r="615">
      <c r="E615" s="1"/>
    </row>
    <row r="616">
      <c r="E616" s="1"/>
    </row>
    <row r="617">
      <c r="E617" s="1"/>
    </row>
    <row r="618">
      <c r="E618" s="1"/>
    </row>
    <row r="619">
      <c r="E619" s="1"/>
    </row>
    <row r="620">
      <c r="E620" s="1"/>
    </row>
    <row r="621">
      <c r="E621" s="1"/>
    </row>
    <row r="622">
      <c r="E622" s="1"/>
    </row>
    <row r="623">
      <c r="E623" s="1"/>
    </row>
    <row r="624">
      <c r="E624" s="1"/>
    </row>
    <row r="625">
      <c r="E625" s="1"/>
    </row>
    <row r="626">
      <c r="E626" s="1"/>
    </row>
    <row r="627">
      <c r="E627" s="1"/>
    </row>
    <row r="628">
      <c r="E628" s="1"/>
    </row>
    <row r="629">
      <c r="E629" s="1"/>
    </row>
    <row r="630">
      <c r="E630" s="1"/>
    </row>
    <row r="631">
      <c r="E631" s="1"/>
    </row>
    <row r="632">
      <c r="E632" s="1"/>
    </row>
    <row r="633">
      <c r="E633" s="1"/>
    </row>
    <row r="634">
      <c r="E634" s="1"/>
    </row>
    <row r="635">
      <c r="E635" s="1"/>
    </row>
    <row r="636">
      <c r="E636" s="1"/>
    </row>
    <row r="637">
      <c r="E637" s="1"/>
    </row>
    <row r="638">
      <c r="E638" s="1"/>
    </row>
    <row r="639">
      <c r="E639" s="1"/>
    </row>
    <row r="640">
      <c r="E640" s="1"/>
    </row>
    <row r="641">
      <c r="E641" s="1"/>
    </row>
    <row r="642">
      <c r="E642" s="1"/>
    </row>
    <row r="643">
      <c r="E643" s="1"/>
    </row>
    <row r="644">
      <c r="E644" s="1"/>
    </row>
    <row r="645">
      <c r="E645" s="1"/>
    </row>
    <row r="646">
      <c r="E646" s="1"/>
    </row>
    <row r="647">
      <c r="E647" s="1"/>
    </row>
    <row r="648">
      <c r="E648" s="1"/>
    </row>
    <row r="649">
      <c r="E649" s="1"/>
    </row>
    <row r="650">
      <c r="E650" s="1"/>
    </row>
    <row r="651">
      <c r="E651" s="1"/>
    </row>
    <row r="652">
      <c r="E652" s="1"/>
    </row>
    <row r="653">
      <c r="E653" s="1"/>
    </row>
    <row r="654">
      <c r="E654" s="1"/>
    </row>
    <row r="655">
      <c r="E655" s="1"/>
    </row>
    <row r="656">
      <c r="E656" s="1"/>
    </row>
    <row r="657">
      <c r="E657" s="1"/>
    </row>
    <row r="658">
      <c r="E658" s="1"/>
    </row>
    <row r="659">
      <c r="E659" s="1"/>
    </row>
    <row r="660">
      <c r="E660" s="1"/>
    </row>
    <row r="661">
      <c r="E661" s="1"/>
    </row>
    <row r="662">
      <c r="E662" s="1"/>
    </row>
    <row r="663">
      <c r="E663" s="1"/>
    </row>
    <row r="664">
      <c r="E664" s="1"/>
    </row>
    <row r="665">
      <c r="E665" s="1"/>
    </row>
    <row r="666">
      <c r="E666" s="1"/>
    </row>
    <row r="667">
      <c r="E667" s="1"/>
    </row>
    <row r="668">
      <c r="E668" s="1"/>
    </row>
    <row r="669">
      <c r="E669" s="1"/>
    </row>
    <row r="670">
      <c r="E670" s="1"/>
    </row>
    <row r="671">
      <c r="E671" s="1"/>
    </row>
    <row r="672">
      <c r="E672" s="1"/>
    </row>
    <row r="673">
      <c r="E673" s="1"/>
    </row>
    <row r="674">
      <c r="E674" s="1"/>
    </row>
    <row r="675">
      <c r="E675" s="1"/>
    </row>
    <row r="676">
      <c r="E676" s="1"/>
    </row>
    <row r="677">
      <c r="E677" s="1"/>
    </row>
    <row r="678">
      <c r="E678" s="1"/>
    </row>
    <row r="679">
      <c r="E679" s="1"/>
    </row>
    <row r="680">
      <c r="E680" s="1"/>
    </row>
    <row r="681">
      <c r="E681" s="1"/>
    </row>
    <row r="682">
      <c r="E682" s="1"/>
    </row>
    <row r="683">
      <c r="E683" s="1"/>
    </row>
    <row r="684">
      <c r="E684" s="1"/>
    </row>
    <row r="685">
      <c r="E685" s="1"/>
    </row>
    <row r="686">
      <c r="E686" s="1"/>
    </row>
    <row r="687">
      <c r="E687" s="1"/>
    </row>
    <row r="688">
      <c r="E688" s="1"/>
    </row>
    <row r="689">
      <c r="E689" s="1"/>
    </row>
    <row r="690">
      <c r="E690" s="1"/>
    </row>
    <row r="691">
      <c r="E691" s="1"/>
    </row>
    <row r="692">
      <c r="E692" s="1"/>
    </row>
    <row r="693">
      <c r="E693" s="1"/>
    </row>
    <row r="694">
      <c r="E694" s="1"/>
    </row>
    <row r="695">
      <c r="E695" s="1"/>
    </row>
    <row r="696">
      <c r="E696" s="1"/>
    </row>
    <row r="697">
      <c r="E697" s="1"/>
    </row>
    <row r="698">
      <c r="E698" s="1"/>
    </row>
    <row r="699">
      <c r="E699" s="1"/>
    </row>
    <row r="700">
      <c r="E700" s="1"/>
    </row>
    <row r="701">
      <c r="E701" s="1"/>
    </row>
    <row r="702">
      <c r="E702" s="1"/>
    </row>
    <row r="703">
      <c r="E703" s="1"/>
    </row>
    <row r="704">
      <c r="E704" s="1"/>
    </row>
    <row r="705">
      <c r="E705" s="1"/>
    </row>
    <row r="706">
      <c r="E706" s="1"/>
    </row>
    <row r="707">
      <c r="E707" s="1"/>
    </row>
    <row r="708">
      <c r="E708" s="1"/>
    </row>
    <row r="709">
      <c r="E709" s="1"/>
    </row>
    <row r="710">
      <c r="E710" s="1"/>
    </row>
    <row r="711">
      <c r="E711" s="1"/>
    </row>
    <row r="712">
      <c r="E712" s="1"/>
    </row>
    <row r="713">
      <c r="E713" s="1"/>
    </row>
    <row r="714">
      <c r="E714" s="1"/>
    </row>
    <row r="715">
      <c r="E715" s="1"/>
    </row>
    <row r="716">
      <c r="E716" s="1"/>
    </row>
    <row r="717">
      <c r="E717" s="1"/>
    </row>
    <row r="718">
      <c r="E718" s="1"/>
    </row>
    <row r="719">
      <c r="E719" s="1"/>
    </row>
    <row r="720">
      <c r="E720" s="1"/>
    </row>
    <row r="721">
      <c r="E721" s="1"/>
    </row>
    <row r="722">
      <c r="E722" s="1"/>
    </row>
    <row r="723">
      <c r="E723" s="1"/>
    </row>
    <row r="724">
      <c r="E724" s="1"/>
    </row>
    <row r="725">
      <c r="E725" s="1"/>
    </row>
    <row r="726">
      <c r="E726" s="1"/>
    </row>
    <row r="727">
      <c r="E727" s="1"/>
    </row>
    <row r="728">
      <c r="E728" s="1"/>
    </row>
    <row r="729">
      <c r="E729" s="1"/>
    </row>
    <row r="730">
      <c r="E730" s="1"/>
    </row>
    <row r="731">
      <c r="E731" s="1"/>
    </row>
    <row r="732">
      <c r="E732" s="1"/>
    </row>
    <row r="733">
      <c r="E733" s="1"/>
    </row>
    <row r="734">
      <c r="E734" s="1"/>
    </row>
    <row r="735">
      <c r="E735" s="1"/>
    </row>
    <row r="736">
      <c r="E736" s="1"/>
    </row>
    <row r="737">
      <c r="E737" s="1"/>
    </row>
    <row r="738">
      <c r="E738" s="1"/>
    </row>
    <row r="739">
      <c r="E739" s="1"/>
    </row>
    <row r="740">
      <c r="E740" s="1"/>
    </row>
    <row r="741">
      <c r="E741" s="1"/>
    </row>
    <row r="742">
      <c r="E742" s="1"/>
    </row>
    <row r="743">
      <c r="E743" s="1"/>
    </row>
    <row r="744">
      <c r="E744" s="1"/>
    </row>
    <row r="745">
      <c r="E745" s="1"/>
    </row>
    <row r="746">
      <c r="E746" s="1"/>
    </row>
    <row r="747">
      <c r="E747" s="1"/>
    </row>
    <row r="748">
      <c r="E748" s="1"/>
    </row>
    <row r="749">
      <c r="E749" s="1"/>
    </row>
    <row r="750">
      <c r="E750" s="1"/>
    </row>
    <row r="751">
      <c r="E751" s="1"/>
    </row>
    <row r="752">
      <c r="E752" s="1"/>
    </row>
    <row r="753">
      <c r="E753" s="1"/>
    </row>
    <row r="754">
      <c r="E754" s="1"/>
    </row>
    <row r="755">
      <c r="E755" s="1"/>
    </row>
    <row r="756">
      <c r="E756" s="1"/>
    </row>
    <row r="757">
      <c r="E757" s="1"/>
    </row>
    <row r="758">
      <c r="E758" s="1"/>
    </row>
    <row r="759">
      <c r="E759" s="1"/>
    </row>
    <row r="760">
      <c r="E760" s="1"/>
    </row>
    <row r="761">
      <c r="E761" s="1"/>
    </row>
    <row r="762">
      <c r="E762" s="1"/>
    </row>
    <row r="763">
      <c r="E763" s="1"/>
    </row>
    <row r="764">
      <c r="E764" s="1"/>
    </row>
    <row r="765">
      <c r="E765" s="1"/>
    </row>
    <row r="766">
      <c r="E766" s="1"/>
    </row>
    <row r="767">
      <c r="E767" s="1"/>
    </row>
    <row r="768">
      <c r="E768" s="1"/>
    </row>
    <row r="769">
      <c r="E769" s="1"/>
    </row>
    <row r="770">
      <c r="E770" s="1"/>
    </row>
    <row r="771">
      <c r="E771" s="1"/>
    </row>
    <row r="772">
      <c r="E772" s="1"/>
    </row>
    <row r="773">
      <c r="E773" s="1"/>
    </row>
    <row r="774">
      <c r="E774" s="1"/>
    </row>
    <row r="775">
      <c r="E775" s="1"/>
    </row>
    <row r="776">
      <c r="E776" s="1"/>
    </row>
    <row r="777">
      <c r="E777" s="1"/>
    </row>
    <row r="778">
      <c r="E778" s="1"/>
    </row>
    <row r="779">
      <c r="E779" s="1"/>
    </row>
    <row r="780">
      <c r="E780" s="1"/>
    </row>
    <row r="781">
      <c r="E781" s="1"/>
    </row>
    <row r="782">
      <c r="E782" s="1"/>
    </row>
    <row r="783">
      <c r="E783" s="1"/>
    </row>
    <row r="784">
      <c r="E784" s="1"/>
    </row>
    <row r="785">
      <c r="E785" s="1"/>
    </row>
    <row r="786">
      <c r="E786" s="1"/>
    </row>
    <row r="787">
      <c r="E787" s="1"/>
    </row>
    <row r="788">
      <c r="E788" s="1"/>
    </row>
    <row r="789">
      <c r="E789" s="1"/>
    </row>
    <row r="790">
      <c r="E790" s="1"/>
    </row>
    <row r="791">
      <c r="E791" s="1"/>
    </row>
    <row r="792">
      <c r="E792" s="1"/>
    </row>
    <row r="793">
      <c r="E793" s="1"/>
    </row>
    <row r="794">
      <c r="E794" s="1"/>
    </row>
    <row r="795">
      <c r="E795" s="1"/>
    </row>
    <row r="796">
      <c r="E796" s="1"/>
    </row>
    <row r="797">
      <c r="E797" s="1"/>
    </row>
    <row r="798">
      <c r="E798" s="1"/>
    </row>
    <row r="799">
      <c r="E799" s="1"/>
    </row>
    <row r="800">
      <c r="E800" s="1"/>
    </row>
    <row r="801">
      <c r="E801" s="1"/>
    </row>
    <row r="802">
      <c r="E802" s="1"/>
    </row>
    <row r="803">
      <c r="E803" s="1"/>
    </row>
    <row r="804">
      <c r="E804" s="1"/>
    </row>
    <row r="805">
      <c r="E805" s="1"/>
    </row>
    <row r="806">
      <c r="E806" s="1"/>
    </row>
    <row r="807">
      <c r="E807" s="1"/>
    </row>
    <row r="808">
      <c r="E808" s="1"/>
    </row>
    <row r="809">
      <c r="E809" s="1"/>
    </row>
    <row r="810">
      <c r="E810" s="1"/>
    </row>
    <row r="811">
      <c r="E811" s="1"/>
    </row>
    <row r="812">
      <c r="E812" s="1"/>
    </row>
    <row r="813">
      <c r="E813" s="1"/>
    </row>
    <row r="814">
      <c r="E814" s="1"/>
    </row>
    <row r="815">
      <c r="E815" s="1"/>
    </row>
    <row r="816">
      <c r="E816" s="1"/>
    </row>
    <row r="817">
      <c r="E817" s="1"/>
    </row>
    <row r="818">
      <c r="E818" s="1"/>
    </row>
    <row r="819">
      <c r="E819" s="1"/>
    </row>
    <row r="820">
      <c r="E820" s="1"/>
    </row>
    <row r="821">
      <c r="E821" s="1"/>
    </row>
    <row r="822">
      <c r="E822" s="1"/>
    </row>
    <row r="823">
      <c r="E823" s="1"/>
    </row>
    <row r="824">
      <c r="E824" s="1"/>
    </row>
    <row r="825">
      <c r="E825" s="1"/>
    </row>
    <row r="826">
      <c r="E826" s="1"/>
    </row>
    <row r="827">
      <c r="E827" s="1"/>
    </row>
    <row r="828">
      <c r="E828" s="1"/>
    </row>
    <row r="829">
      <c r="E829" s="1"/>
    </row>
    <row r="830">
      <c r="E830" s="1"/>
    </row>
    <row r="831">
      <c r="E831" s="1"/>
    </row>
    <row r="832">
      <c r="E832" s="1"/>
    </row>
    <row r="833">
      <c r="E833" s="1"/>
    </row>
    <row r="834">
      <c r="E834" s="1"/>
    </row>
    <row r="835">
      <c r="E835" s="1"/>
    </row>
    <row r="836">
      <c r="E836" s="1"/>
    </row>
    <row r="837">
      <c r="E837" s="1"/>
    </row>
    <row r="838">
      <c r="E838" s="1"/>
    </row>
    <row r="839">
      <c r="E839" s="1"/>
    </row>
    <row r="840">
      <c r="E840" s="1"/>
    </row>
    <row r="841">
      <c r="E841" s="1"/>
    </row>
    <row r="842">
      <c r="E842" s="1"/>
    </row>
    <row r="843">
      <c r="E843" s="1"/>
    </row>
    <row r="844">
      <c r="E844" s="1"/>
    </row>
    <row r="845">
      <c r="E845" s="1"/>
    </row>
    <row r="846">
      <c r="E846" s="1"/>
    </row>
    <row r="847">
      <c r="E847" s="1"/>
    </row>
    <row r="848">
      <c r="E848" s="1"/>
    </row>
    <row r="849">
      <c r="E849" s="1"/>
    </row>
    <row r="850">
      <c r="E850" s="1"/>
    </row>
    <row r="851">
      <c r="E851" s="1"/>
    </row>
    <row r="852">
      <c r="E852" s="1"/>
    </row>
    <row r="853">
      <c r="E853" s="1"/>
    </row>
    <row r="854">
      <c r="E854" s="1"/>
    </row>
    <row r="855">
      <c r="E855" s="1"/>
    </row>
    <row r="856">
      <c r="E856" s="1"/>
    </row>
    <row r="857">
      <c r="E857" s="1"/>
    </row>
    <row r="858">
      <c r="E858" s="1"/>
    </row>
    <row r="859">
      <c r="E859" s="1"/>
    </row>
    <row r="860">
      <c r="E860" s="1"/>
    </row>
    <row r="861">
      <c r="E861" s="1"/>
    </row>
    <row r="862">
      <c r="E862" s="1"/>
    </row>
    <row r="863">
      <c r="E863" s="1"/>
    </row>
    <row r="864">
      <c r="E864" s="1"/>
    </row>
    <row r="865">
      <c r="E865" s="1"/>
    </row>
    <row r="866">
      <c r="E866" s="1"/>
    </row>
    <row r="867">
      <c r="E867" s="1"/>
    </row>
    <row r="868">
      <c r="E868" s="1"/>
    </row>
    <row r="869">
      <c r="E869" s="1"/>
    </row>
    <row r="870">
      <c r="E870" s="1"/>
    </row>
    <row r="871">
      <c r="E871" s="1"/>
    </row>
    <row r="872">
      <c r="E872" s="1"/>
    </row>
    <row r="873">
      <c r="E873" s="1"/>
    </row>
    <row r="874">
      <c r="E874" s="1"/>
    </row>
    <row r="875">
      <c r="E875" s="1"/>
    </row>
    <row r="876">
      <c r="E876" s="1"/>
    </row>
    <row r="877">
      <c r="E877" s="1"/>
    </row>
    <row r="878">
      <c r="E878" s="1"/>
    </row>
    <row r="879">
      <c r="E879" s="1"/>
    </row>
    <row r="880">
      <c r="E880" s="1"/>
    </row>
    <row r="881">
      <c r="E881" s="1"/>
    </row>
    <row r="882">
      <c r="E882" s="1"/>
    </row>
    <row r="883">
      <c r="E883" s="1"/>
    </row>
    <row r="884">
      <c r="E884" s="1"/>
    </row>
    <row r="885">
      <c r="E885" s="1"/>
    </row>
    <row r="886">
      <c r="E886" s="1"/>
    </row>
    <row r="887">
      <c r="E887" s="1"/>
    </row>
    <row r="888">
      <c r="E888" s="1"/>
    </row>
    <row r="889">
      <c r="E889" s="1"/>
    </row>
    <row r="890">
      <c r="E890" s="1"/>
    </row>
    <row r="891">
      <c r="E891" s="1"/>
    </row>
    <row r="892">
      <c r="E892" s="1"/>
    </row>
    <row r="893">
      <c r="E893" s="1"/>
    </row>
    <row r="894">
      <c r="E894" s="1"/>
    </row>
    <row r="895">
      <c r="E895" s="1"/>
    </row>
    <row r="896">
      <c r="E896" s="1"/>
    </row>
    <row r="897">
      <c r="E897" s="1"/>
    </row>
    <row r="898">
      <c r="E898" s="1"/>
    </row>
    <row r="899">
      <c r="E899" s="1"/>
    </row>
    <row r="900">
      <c r="E900" s="1"/>
    </row>
    <row r="901">
      <c r="E901" s="1"/>
    </row>
    <row r="902">
      <c r="E902" s="1"/>
    </row>
    <row r="903">
      <c r="E903" s="1"/>
    </row>
    <row r="904">
      <c r="E904" s="1"/>
    </row>
    <row r="905">
      <c r="E905" s="1"/>
    </row>
    <row r="906">
      <c r="E906" s="1"/>
    </row>
    <row r="907">
      <c r="E907" s="1"/>
    </row>
    <row r="908">
      <c r="E908" s="1"/>
    </row>
    <row r="909">
      <c r="E909" s="1"/>
    </row>
    <row r="910">
      <c r="E910" s="1"/>
    </row>
    <row r="911">
      <c r="E911" s="1"/>
    </row>
    <row r="912">
      <c r="E912" s="1"/>
    </row>
    <row r="913">
      <c r="E913" s="1"/>
    </row>
    <row r="914">
      <c r="E914" s="1"/>
    </row>
    <row r="915">
      <c r="E915" s="1"/>
    </row>
    <row r="916">
      <c r="E916" s="1"/>
    </row>
    <row r="917">
      <c r="E917" s="1"/>
    </row>
    <row r="918">
      <c r="E918" s="1"/>
    </row>
    <row r="919">
      <c r="E919" s="1"/>
    </row>
    <row r="920">
      <c r="E920" s="1"/>
    </row>
    <row r="921">
      <c r="E921" s="1"/>
    </row>
    <row r="922">
      <c r="E922" s="1"/>
    </row>
    <row r="923">
      <c r="E923" s="1"/>
    </row>
    <row r="924">
      <c r="E924" s="1"/>
    </row>
    <row r="925">
      <c r="E925" s="1"/>
    </row>
    <row r="926">
      <c r="E926" s="1"/>
    </row>
    <row r="927">
      <c r="E927" s="1"/>
    </row>
    <row r="928">
      <c r="E928" s="1"/>
    </row>
    <row r="929">
      <c r="E929" s="1"/>
    </row>
    <row r="930">
      <c r="E930" s="1"/>
    </row>
    <row r="931">
      <c r="E931" s="1"/>
    </row>
    <row r="932">
      <c r="E932" s="1"/>
    </row>
    <row r="933">
      <c r="E933" s="1"/>
    </row>
    <row r="934">
      <c r="E934" s="1"/>
    </row>
    <row r="935">
      <c r="E935" s="1"/>
    </row>
    <row r="936">
      <c r="E936" s="1"/>
    </row>
    <row r="937">
      <c r="E937" s="1"/>
    </row>
    <row r="938">
      <c r="E938" s="1"/>
    </row>
    <row r="939">
      <c r="E939" s="1"/>
    </row>
    <row r="940">
      <c r="E940" s="1"/>
    </row>
    <row r="941">
      <c r="E941" s="1"/>
    </row>
    <row r="942">
      <c r="E942" s="1"/>
    </row>
    <row r="943">
      <c r="E943" s="1"/>
    </row>
    <row r="944">
      <c r="E944" s="1"/>
    </row>
    <row r="945">
      <c r="E945" s="1"/>
    </row>
    <row r="946">
      <c r="E946" s="1"/>
    </row>
    <row r="947">
      <c r="E947" s="1"/>
    </row>
  </sheetData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4" max="4" width="22.0"/>
    <col customWidth="1" min="5" max="5" width="15.0"/>
    <col customWidth="1" min="9" max="9" width="18.38"/>
    <col customWidth="1" min="11" max="11" width="18.5"/>
    <col customWidth="1" min="14" max="14" width="18.38"/>
    <col customWidth="1" min="15" max="15" width="15.88"/>
    <col customWidth="1" min="16" max="16" width="18.5"/>
    <col customWidth="1" min="17" max="17" width="17.0"/>
    <col customWidth="1" min="22" max="22" width="19.38"/>
  </cols>
  <sheetData>
    <row r="1">
      <c r="A1" s="4" t="s">
        <v>7</v>
      </c>
      <c r="E1" s="1"/>
    </row>
    <row r="2">
      <c r="E2" s="1"/>
      <c r="K2" s="2" t="s">
        <v>0</v>
      </c>
      <c r="L2" s="3" t="s">
        <v>1</v>
      </c>
      <c r="M2" s="4" t="s">
        <v>2</v>
      </c>
      <c r="N2" s="4" t="s">
        <v>3</v>
      </c>
    </row>
    <row r="3">
      <c r="E3" s="1"/>
      <c r="K3" s="266" t="s">
        <v>4</v>
      </c>
      <c r="L3" s="267">
        <f t="shared" ref="L3:M3" si="1">sum(E6:E45)</f>
        <v>405.48</v>
      </c>
      <c r="M3" s="3">
        <f t="shared" si="1"/>
        <v>714.69</v>
      </c>
      <c r="N3" s="7">
        <f>M3*Sumario!N4</f>
        <v>627.2262378</v>
      </c>
      <c r="O3" s="7">
        <f>Sumario!N4</f>
        <v>0.87762</v>
      </c>
    </row>
    <row r="4">
      <c r="B4" s="283" t="s">
        <v>5793</v>
      </c>
      <c r="C4" s="10"/>
      <c r="D4" s="10"/>
      <c r="E4" s="11"/>
      <c r="F4" s="10"/>
      <c r="G4" s="10"/>
      <c r="H4" s="10"/>
      <c r="I4" s="10"/>
      <c r="J4" s="10"/>
      <c r="K4" s="10"/>
      <c r="L4" s="10"/>
    </row>
    <row r="5">
      <c r="B5" s="268" t="s">
        <v>8</v>
      </c>
      <c r="C5" s="268" t="s">
        <v>9</v>
      </c>
      <c r="D5" s="268" t="s">
        <v>11</v>
      </c>
      <c r="E5" s="283" t="s">
        <v>12</v>
      </c>
      <c r="F5" s="283" t="s">
        <v>13</v>
      </c>
      <c r="G5" s="12" t="s">
        <v>14</v>
      </c>
      <c r="H5" s="12" t="s">
        <v>123</v>
      </c>
      <c r="I5" s="13" t="s">
        <v>124</v>
      </c>
      <c r="J5" s="14" t="s">
        <v>125</v>
      </c>
      <c r="K5" s="15" t="s">
        <v>126</v>
      </c>
      <c r="L5" s="10"/>
    </row>
    <row r="6">
      <c r="B6" s="265" t="s">
        <v>5121</v>
      </c>
      <c r="C6" s="269"/>
      <c r="D6" s="16" t="s">
        <v>5122</v>
      </c>
      <c r="E6" s="267"/>
      <c r="F6" s="16"/>
      <c r="G6" s="10"/>
      <c r="H6" s="10"/>
      <c r="I6" s="10"/>
      <c r="J6" s="10"/>
      <c r="K6" s="10"/>
      <c r="L6" s="10"/>
    </row>
    <row r="7">
      <c r="B7" s="2" t="s">
        <v>5124</v>
      </c>
      <c r="C7" s="10"/>
      <c r="D7" s="16" t="s">
        <v>5125</v>
      </c>
      <c r="E7" s="267"/>
      <c r="F7" s="16"/>
      <c r="G7" s="10"/>
      <c r="H7" s="10"/>
      <c r="I7" s="10"/>
      <c r="J7" s="10"/>
    </row>
    <row r="8">
      <c r="B8" s="265" t="s">
        <v>3559</v>
      </c>
      <c r="C8" s="269"/>
      <c r="D8" s="16" t="s">
        <v>5128</v>
      </c>
      <c r="E8" s="267"/>
      <c r="F8" s="16"/>
      <c r="G8" s="10"/>
      <c r="H8" s="10"/>
      <c r="I8" s="10"/>
      <c r="J8" s="10"/>
    </row>
    <row r="9">
      <c r="B9" s="2" t="s">
        <v>5130</v>
      </c>
      <c r="C9" s="10"/>
      <c r="D9" s="16" t="s">
        <v>5131</v>
      </c>
      <c r="E9" s="267"/>
      <c r="F9" s="16"/>
      <c r="G9" s="10"/>
      <c r="H9" s="10"/>
      <c r="I9" s="10"/>
      <c r="J9" s="10"/>
      <c r="K9" s="10"/>
      <c r="L9" s="10"/>
    </row>
    <row r="10">
      <c r="B10" s="265" t="s">
        <v>5133</v>
      </c>
      <c r="C10" s="269"/>
      <c r="D10" s="16" t="s">
        <v>5134</v>
      </c>
      <c r="E10" s="267"/>
      <c r="F10" s="16"/>
      <c r="G10" s="10"/>
      <c r="H10" s="10"/>
      <c r="I10" s="10"/>
      <c r="J10" s="10"/>
      <c r="K10" s="10"/>
      <c r="L10" s="10"/>
    </row>
    <row r="11">
      <c r="B11" s="2" t="s">
        <v>5136</v>
      </c>
      <c r="C11" s="10"/>
      <c r="D11" s="16" t="s">
        <v>5137</v>
      </c>
      <c r="E11" s="267"/>
      <c r="F11" s="16"/>
      <c r="G11" s="10"/>
      <c r="H11" s="10"/>
      <c r="I11" s="10"/>
      <c r="J11" s="10"/>
      <c r="K11" s="10"/>
      <c r="L11" s="10"/>
    </row>
    <row r="12">
      <c r="B12" s="10"/>
      <c r="C12" s="10"/>
      <c r="D12" s="16"/>
      <c r="E12" s="267"/>
      <c r="F12" s="10"/>
      <c r="G12" s="10"/>
      <c r="H12" s="10"/>
      <c r="I12" s="10"/>
      <c r="J12" s="10"/>
      <c r="K12" s="10"/>
      <c r="L12" s="10"/>
    </row>
    <row r="13">
      <c r="B13" s="10"/>
      <c r="C13" s="10"/>
      <c r="D13" s="16"/>
      <c r="E13" s="267"/>
      <c r="F13" s="10"/>
      <c r="G13" s="10"/>
      <c r="H13" s="10"/>
      <c r="I13" s="10"/>
      <c r="J13" s="10"/>
      <c r="K13" s="10"/>
      <c r="L13" s="10"/>
    </row>
    <row r="14">
      <c r="B14" s="2" t="s">
        <v>5139</v>
      </c>
      <c r="C14" s="10"/>
      <c r="D14" s="16" t="s">
        <v>5140</v>
      </c>
      <c r="E14" s="267"/>
      <c r="F14" s="10"/>
      <c r="G14" s="10"/>
      <c r="H14" s="10"/>
      <c r="I14" s="10"/>
      <c r="J14" s="10"/>
      <c r="K14" s="10"/>
      <c r="L14" s="10"/>
    </row>
    <row r="15">
      <c r="B15" s="2" t="s">
        <v>5121</v>
      </c>
      <c r="C15" s="10"/>
      <c r="D15" s="16">
        <v>21.091</v>
      </c>
      <c r="E15" s="267"/>
      <c r="F15" s="10"/>
      <c r="G15" s="10"/>
      <c r="H15" s="10"/>
      <c r="I15" s="10"/>
      <c r="J15" s="10"/>
      <c r="K15" s="10"/>
      <c r="L15" s="10"/>
    </row>
    <row r="16">
      <c r="B16" s="270" t="s">
        <v>5130</v>
      </c>
      <c r="C16" s="10"/>
      <c r="D16" s="16">
        <v>16.865</v>
      </c>
      <c r="E16" s="271"/>
      <c r="F16" s="10"/>
      <c r="G16" s="10"/>
      <c r="H16" s="10"/>
      <c r="I16" s="10"/>
      <c r="J16" s="10"/>
      <c r="K16" s="10"/>
      <c r="L16" s="10"/>
    </row>
    <row r="17">
      <c r="B17" s="15" t="s">
        <v>5144</v>
      </c>
      <c r="C17" s="10"/>
      <c r="D17" s="20">
        <v>316.34</v>
      </c>
      <c r="E17" s="267"/>
      <c r="F17" s="10"/>
      <c r="G17" s="10"/>
      <c r="H17" s="10"/>
      <c r="I17" s="10"/>
      <c r="J17" s="10"/>
      <c r="K17" s="10"/>
      <c r="L17" s="10"/>
    </row>
    <row r="18">
      <c r="B18" s="272" t="s">
        <v>5146</v>
      </c>
      <c r="C18" s="10"/>
      <c r="D18" s="20">
        <v>5.818</v>
      </c>
      <c r="E18" s="267"/>
      <c r="F18" s="10"/>
      <c r="G18" s="10"/>
      <c r="H18" s="10"/>
      <c r="I18" s="10"/>
      <c r="J18" s="10"/>
      <c r="K18" s="10"/>
      <c r="L18" s="10"/>
    </row>
    <row r="19">
      <c r="B19" s="273" t="s">
        <v>5148</v>
      </c>
      <c r="C19" s="10"/>
      <c r="D19" s="20">
        <v>591.2</v>
      </c>
      <c r="E19" s="267"/>
      <c r="F19" s="10"/>
      <c r="G19" s="10"/>
      <c r="H19" s="10"/>
      <c r="I19" s="10"/>
      <c r="J19" s="10"/>
      <c r="K19" s="10"/>
      <c r="L19" s="10"/>
    </row>
    <row r="20">
      <c r="B20" s="274" t="s">
        <v>5150</v>
      </c>
      <c r="C20" s="10"/>
      <c r="D20" s="20">
        <v>214.3</v>
      </c>
      <c r="E20" s="267"/>
      <c r="F20" s="10"/>
      <c r="G20" s="10"/>
      <c r="H20" s="10"/>
      <c r="I20" s="10"/>
      <c r="J20" s="10"/>
      <c r="K20" s="10"/>
      <c r="L20" s="10"/>
    </row>
    <row r="21">
      <c r="B21" s="15" t="s">
        <v>5152</v>
      </c>
      <c r="C21" s="10"/>
      <c r="D21" s="20">
        <v>1.0341</v>
      </c>
      <c r="E21" s="267"/>
      <c r="F21" s="10"/>
      <c r="G21" s="10"/>
      <c r="H21" s="10"/>
      <c r="I21" s="10"/>
      <c r="J21" s="10"/>
      <c r="K21" s="10"/>
      <c r="L21" s="10"/>
    </row>
    <row r="22">
      <c r="B22" s="273" t="s">
        <v>5148</v>
      </c>
      <c r="C22" s="10"/>
      <c r="D22" s="20">
        <v>87.91</v>
      </c>
      <c r="E22" s="271"/>
      <c r="F22" s="10"/>
      <c r="G22" s="10"/>
      <c r="H22" s="10"/>
      <c r="I22" s="10"/>
      <c r="J22" s="10"/>
      <c r="K22" s="10"/>
      <c r="L22" s="10"/>
    </row>
    <row r="23">
      <c r="B23" s="272" t="s">
        <v>5146</v>
      </c>
      <c r="C23" s="10"/>
      <c r="D23" s="20">
        <v>5.846</v>
      </c>
      <c r="E23" s="267"/>
      <c r="F23" s="10"/>
      <c r="G23" s="10"/>
      <c r="H23" s="10"/>
      <c r="I23" s="10"/>
      <c r="J23" s="10"/>
      <c r="K23" s="10"/>
      <c r="L23" s="10"/>
    </row>
    <row r="24">
      <c r="B24" s="274" t="s">
        <v>5139</v>
      </c>
      <c r="C24" s="10"/>
      <c r="D24" s="20">
        <v>56.73</v>
      </c>
      <c r="E24" s="267"/>
      <c r="F24" s="10"/>
      <c r="G24" s="10"/>
      <c r="H24" s="10"/>
      <c r="I24" s="10"/>
      <c r="J24" s="10"/>
      <c r="K24" s="10"/>
      <c r="L24" s="10"/>
    </row>
    <row r="25">
      <c r="B25" s="15" t="s">
        <v>5154</v>
      </c>
      <c r="C25" s="10"/>
      <c r="D25" s="16"/>
      <c r="E25" s="267"/>
      <c r="F25" s="10"/>
      <c r="G25" s="10"/>
      <c r="H25" s="10"/>
      <c r="I25" s="10"/>
      <c r="J25" s="10"/>
      <c r="K25" s="10"/>
      <c r="L25" s="10"/>
    </row>
    <row r="26">
      <c r="B26" s="15" t="s">
        <v>5155</v>
      </c>
      <c r="C26" s="10"/>
      <c r="D26" s="20">
        <v>118.94</v>
      </c>
      <c r="E26" s="271"/>
      <c r="F26" s="10"/>
      <c r="G26" s="10"/>
      <c r="H26" s="10"/>
      <c r="I26" s="10"/>
      <c r="J26" s="10"/>
      <c r="K26" s="10"/>
      <c r="L26" s="10"/>
    </row>
    <row r="27">
      <c r="B27" s="15" t="s">
        <v>5157</v>
      </c>
      <c r="C27" s="10"/>
      <c r="D27" s="16"/>
      <c r="E27" s="267"/>
      <c r="F27" s="10"/>
      <c r="G27" s="10"/>
      <c r="H27" s="10"/>
      <c r="I27" s="10"/>
      <c r="J27" s="10"/>
      <c r="K27" s="10"/>
      <c r="L27" s="10"/>
    </row>
    <row r="28">
      <c r="B28" s="15" t="s">
        <v>5159</v>
      </c>
      <c r="C28" s="10"/>
      <c r="D28" s="16"/>
      <c r="E28" s="271"/>
      <c r="F28" s="10"/>
      <c r="G28" s="10"/>
      <c r="H28" s="10"/>
      <c r="I28" s="10"/>
      <c r="J28" s="10"/>
      <c r="K28" s="10"/>
      <c r="L28" s="10"/>
    </row>
    <row r="29">
      <c r="B29" s="15" t="s">
        <v>199</v>
      </c>
      <c r="C29" s="10"/>
      <c r="D29" s="16"/>
      <c r="E29" s="271"/>
      <c r="F29" s="10"/>
      <c r="G29" s="10"/>
      <c r="H29" s="10"/>
      <c r="I29" s="10"/>
      <c r="J29" s="10"/>
      <c r="K29" s="10"/>
      <c r="L29" s="10"/>
    </row>
    <row r="30">
      <c r="B30" s="10"/>
      <c r="C30" s="15" t="s">
        <v>27</v>
      </c>
      <c r="D30" s="16"/>
      <c r="E30" s="267"/>
      <c r="F30" s="15"/>
      <c r="G30" s="10"/>
      <c r="H30" s="10"/>
      <c r="I30" s="10"/>
      <c r="J30" s="10"/>
      <c r="K30" s="10"/>
      <c r="L30" s="10"/>
    </row>
    <row r="31">
      <c r="B31" s="10"/>
      <c r="C31" s="15" t="s">
        <v>29</v>
      </c>
      <c r="D31" s="16"/>
      <c r="E31" s="267"/>
      <c r="F31" s="10"/>
      <c r="G31" s="10"/>
      <c r="H31" s="10"/>
      <c r="I31" s="10"/>
      <c r="J31" s="10"/>
      <c r="K31" s="10"/>
      <c r="L31" s="10"/>
    </row>
    <row r="32">
      <c r="B32" s="10"/>
      <c r="C32" s="15" t="s">
        <v>30</v>
      </c>
      <c r="D32" s="16"/>
      <c r="E32" s="267"/>
      <c r="F32" s="10"/>
      <c r="G32" s="10"/>
      <c r="H32" s="10"/>
      <c r="I32" s="10"/>
      <c r="J32" s="10"/>
      <c r="K32" s="10"/>
      <c r="L32" s="10"/>
    </row>
    <row r="33">
      <c r="B33" s="10"/>
      <c r="C33" s="15" t="s">
        <v>31</v>
      </c>
      <c r="D33" s="16"/>
      <c r="E33" s="267"/>
      <c r="F33" s="10"/>
      <c r="G33" s="10"/>
      <c r="H33" s="10"/>
      <c r="I33" s="10"/>
      <c r="J33" s="10"/>
      <c r="K33" s="10"/>
      <c r="L33" s="10"/>
    </row>
    <row r="34">
      <c r="B34" s="10"/>
      <c r="C34" s="15" t="s">
        <v>36</v>
      </c>
      <c r="D34" s="16"/>
      <c r="E34" s="267"/>
      <c r="F34" s="15">
        <v>165.33</v>
      </c>
      <c r="G34" s="10"/>
      <c r="H34" s="10"/>
      <c r="I34" s="10"/>
      <c r="J34" s="10"/>
      <c r="K34" s="10"/>
      <c r="L34" s="10"/>
    </row>
    <row r="35">
      <c r="B35" s="15"/>
      <c r="C35" s="15" t="s">
        <v>37</v>
      </c>
      <c r="D35" s="20"/>
      <c r="E35" s="267"/>
      <c r="F35" s="10"/>
      <c r="G35" s="15"/>
      <c r="H35" s="15"/>
      <c r="I35" s="15"/>
      <c r="J35" s="15"/>
      <c r="K35" s="15"/>
      <c r="L35" s="10"/>
    </row>
    <row r="36">
      <c r="B36" s="15"/>
      <c r="C36" s="15" t="s">
        <v>38</v>
      </c>
      <c r="D36" s="20"/>
      <c r="E36" s="267"/>
      <c r="F36" s="10"/>
      <c r="G36" s="15"/>
      <c r="H36" s="15"/>
      <c r="I36" s="15"/>
      <c r="J36" s="15"/>
      <c r="K36" s="15"/>
      <c r="L36" s="10"/>
    </row>
    <row r="37">
      <c r="B37" s="15"/>
      <c r="C37" s="15" t="s">
        <v>39</v>
      </c>
      <c r="D37" s="20"/>
      <c r="E37" s="267"/>
      <c r="F37" s="10"/>
      <c r="G37" s="15"/>
      <c r="H37" s="15"/>
      <c r="I37" s="15"/>
      <c r="J37" s="15"/>
      <c r="K37" s="15"/>
      <c r="L37" s="10"/>
    </row>
    <row r="38">
      <c r="B38" s="15"/>
      <c r="C38" s="15" t="s">
        <v>40</v>
      </c>
      <c r="D38" s="20"/>
      <c r="E38" s="267">
        <f>0.53+3.15+1.47</f>
        <v>5.15</v>
      </c>
      <c r="F38" s="15">
        <v>199.42</v>
      </c>
      <c r="G38" s="15"/>
      <c r="H38" s="15"/>
      <c r="I38" s="15"/>
      <c r="J38" s="15"/>
      <c r="K38" s="15"/>
      <c r="L38" s="10"/>
    </row>
    <row r="39">
      <c r="B39" s="15"/>
      <c r="C39" s="15" t="s">
        <v>41</v>
      </c>
      <c r="D39" s="20"/>
      <c r="E39" s="267">
        <f>10.15+11.61+2.48+2.97+0.9</f>
        <v>28.11</v>
      </c>
      <c r="F39" s="10"/>
      <c r="G39" s="15"/>
      <c r="H39" s="15"/>
      <c r="I39" s="15"/>
      <c r="J39" s="15"/>
      <c r="K39" s="15"/>
      <c r="L39" s="10"/>
    </row>
    <row r="40">
      <c r="B40" s="15"/>
      <c r="C40" s="15" t="s">
        <v>49</v>
      </c>
      <c r="D40" s="20"/>
      <c r="E40" s="267">
        <f>2.24+88.15+3.96+3.01-1.4</f>
        <v>95.96</v>
      </c>
      <c r="F40" s="15">
        <v>22.35</v>
      </c>
      <c r="G40" s="333">
        <f>E40+(F40*Sumario!N4)</f>
        <v>115.574807</v>
      </c>
      <c r="H40" s="15"/>
      <c r="I40" s="15"/>
      <c r="J40" s="15"/>
      <c r="K40" s="15"/>
      <c r="L40" s="10"/>
    </row>
    <row r="41">
      <c r="B41" s="15"/>
      <c r="C41" s="15" t="s">
        <v>51</v>
      </c>
      <c r="D41" s="20"/>
      <c r="E41" s="267">
        <f>42.34+36.97-1.08+0.44</f>
        <v>78.67</v>
      </c>
      <c r="F41" s="10">
        <f>80.88</f>
        <v>80.88</v>
      </c>
      <c r="G41" s="333">
        <f>E41+(F41*O3)</f>
        <v>149.6519056</v>
      </c>
      <c r="H41" s="15"/>
      <c r="I41" s="15"/>
      <c r="J41" s="15"/>
      <c r="K41" s="15"/>
      <c r="L41" s="10"/>
    </row>
    <row r="42">
      <c r="B42" s="15"/>
      <c r="C42" s="15" t="s">
        <v>52</v>
      </c>
      <c r="D42" s="20"/>
      <c r="E42" s="267">
        <f>57.44+2.4+2.27+7.77+10.08</f>
        <v>79.96</v>
      </c>
      <c r="F42" s="15">
        <v>172.97</v>
      </c>
      <c r="G42" s="333">
        <f>E42+(F42*O3)</f>
        <v>231.7619314</v>
      </c>
      <c r="H42" s="15"/>
      <c r="I42" s="15"/>
      <c r="J42" s="15"/>
      <c r="K42" s="15"/>
      <c r="L42" s="10"/>
    </row>
    <row r="43">
      <c r="B43" s="15"/>
      <c r="C43" s="15" t="s">
        <v>53</v>
      </c>
      <c r="D43" s="20"/>
      <c r="E43" s="267">
        <f>84.29+1.3+1.45+30.59</f>
        <v>117.63</v>
      </c>
      <c r="F43" s="10">
        <f>73.74</f>
        <v>73.74</v>
      </c>
      <c r="G43" s="333">
        <f>E43+(F43*O3)</f>
        <v>182.3456988</v>
      </c>
      <c r="H43" s="15"/>
      <c r="I43" s="15"/>
      <c r="J43" s="15"/>
      <c r="K43" s="15"/>
      <c r="L43" s="10"/>
    </row>
    <row r="44">
      <c r="B44" s="15"/>
      <c r="C44" s="15" t="s">
        <v>54</v>
      </c>
      <c r="D44" s="20"/>
      <c r="E44" s="267"/>
      <c r="F44" s="15"/>
      <c r="G44" s="15"/>
      <c r="H44" s="15"/>
      <c r="I44" s="15"/>
      <c r="J44" s="15"/>
      <c r="K44" s="15"/>
      <c r="L44" s="10"/>
    </row>
    <row r="45">
      <c r="B45" s="15"/>
      <c r="C45" s="15" t="s">
        <v>55</v>
      </c>
      <c r="D45" s="20"/>
      <c r="E45" s="267"/>
      <c r="F45" s="10"/>
      <c r="G45" s="15"/>
      <c r="H45" s="15"/>
      <c r="I45" s="15"/>
      <c r="J45" s="15"/>
      <c r="K45" s="15"/>
      <c r="L45" s="10"/>
    </row>
    <row r="46">
      <c r="C46" s="15" t="s">
        <v>56</v>
      </c>
      <c r="E46" s="1"/>
      <c r="I46" s="45"/>
      <c r="J46" s="45"/>
      <c r="K46" s="45"/>
      <c r="L46" s="45"/>
      <c r="M46" s="45"/>
      <c r="N46" s="45"/>
      <c r="O46" s="45"/>
      <c r="P46" s="45"/>
      <c r="Q46" s="45"/>
    </row>
    <row r="47">
      <c r="E47" s="1"/>
      <c r="I47" s="45"/>
      <c r="J47" s="45"/>
      <c r="K47" s="45"/>
      <c r="L47" s="45"/>
      <c r="M47" s="45"/>
      <c r="N47" s="45"/>
      <c r="O47" s="45"/>
      <c r="P47" s="45"/>
      <c r="Q47" s="45"/>
    </row>
    <row r="48">
      <c r="E48" s="1"/>
    </row>
    <row r="49">
      <c r="E49" s="1"/>
    </row>
    <row r="50">
      <c r="E50" s="1"/>
    </row>
    <row r="51">
      <c r="E51" s="1"/>
    </row>
    <row r="52">
      <c r="E52" s="1"/>
    </row>
    <row r="53">
      <c r="E53" s="1"/>
    </row>
    <row r="54">
      <c r="E54" s="1"/>
    </row>
    <row r="55">
      <c r="E55" s="1"/>
    </row>
    <row r="56">
      <c r="E56" s="1"/>
    </row>
    <row r="57">
      <c r="E57" s="1"/>
    </row>
    <row r="58">
      <c r="E58" s="1"/>
    </row>
    <row r="59">
      <c r="E59" s="1"/>
    </row>
    <row r="60">
      <c r="E60" s="1"/>
    </row>
    <row r="61">
      <c r="E61" s="1"/>
    </row>
    <row r="62">
      <c r="E62" s="1"/>
    </row>
    <row r="63">
      <c r="E63" s="1"/>
    </row>
    <row r="64">
      <c r="E64" s="1"/>
    </row>
    <row r="65">
      <c r="E65" s="1"/>
    </row>
    <row r="66">
      <c r="E66" s="1"/>
    </row>
    <row r="67">
      <c r="E67" s="1"/>
    </row>
    <row r="68">
      <c r="E68" s="1"/>
    </row>
    <row r="69">
      <c r="E69" s="1"/>
    </row>
    <row r="70">
      <c r="E70" s="1"/>
    </row>
    <row r="71">
      <c r="E71" s="1"/>
    </row>
    <row r="72">
      <c r="E72" s="1"/>
    </row>
    <row r="73">
      <c r="E73" s="1"/>
    </row>
    <row r="74">
      <c r="E74" s="1"/>
    </row>
    <row r="75">
      <c r="E75" s="1"/>
    </row>
    <row r="76">
      <c r="E76" s="1"/>
    </row>
    <row r="77">
      <c r="E77" s="1"/>
    </row>
    <row r="78">
      <c r="E78" s="1"/>
    </row>
    <row r="79">
      <c r="E79" s="1"/>
    </row>
    <row r="80">
      <c r="E80" s="1"/>
    </row>
    <row r="81">
      <c r="E81" s="1"/>
    </row>
    <row r="82">
      <c r="E82" s="1"/>
    </row>
    <row r="83">
      <c r="E83" s="1"/>
    </row>
    <row r="84">
      <c r="E84" s="1"/>
    </row>
    <row r="85">
      <c r="E85" s="1"/>
    </row>
    <row r="86">
      <c r="E86" s="1"/>
    </row>
    <row r="87">
      <c r="E87" s="1"/>
    </row>
    <row r="88">
      <c r="E88" s="1"/>
    </row>
    <row r="89">
      <c r="E89" s="1"/>
    </row>
    <row r="90">
      <c r="E90" s="1"/>
    </row>
    <row r="91">
      <c r="E91" s="1"/>
    </row>
    <row r="92">
      <c r="E92" s="1"/>
    </row>
    <row r="93">
      <c r="E93" s="1"/>
    </row>
    <row r="94">
      <c r="E94" s="1"/>
    </row>
    <row r="95">
      <c r="E95" s="1"/>
    </row>
    <row r="96">
      <c r="E96" s="1"/>
    </row>
    <row r="97">
      <c r="E97" s="1"/>
    </row>
    <row r="98">
      <c r="E98" s="1"/>
    </row>
    <row r="99">
      <c r="E99" s="1"/>
    </row>
    <row r="100">
      <c r="E100" s="1"/>
    </row>
    <row r="101">
      <c r="E101" s="1"/>
    </row>
    <row r="102">
      <c r="E102" s="1"/>
    </row>
    <row r="103">
      <c r="E103" s="1"/>
    </row>
    <row r="104">
      <c r="E104" s="1"/>
    </row>
    <row r="105">
      <c r="E105" s="1"/>
    </row>
    <row r="106">
      <c r="E106" s="1"/>
    </row>
    <row r="107">
      <c r="E107" s="1"/>
    </row>
    <row r="108">
      <c r="E108" s="1"/>
    </row>
    <row r="109">
      <c r="E109" s="1"/>
    </row>
    <row r="110">
      <c r="E110" s="1"/>
    </row>
    <row r="111">
      <c r="E111" s="1"/>
    </row>
    <row r="112">
      <c r="E112" s="1"/>
    </row>
    <row r="113">
      <c r="E113" s="1"/>
    </row>
    <row r="114">
      <c r="E114" s="1"/>
    </row>
    <row r="115">
      <c r="E115" s="1"/>
    </row>
    <row r="116">
      <c r="E116" s="1"/>
    </row>
    <row r="117">
      <c r="E117" s="1"/>
    </row>
    <row r="118">
      <c r="E118" s="1"/>
    </row>
    <row r="119">
      <c r="E119" s="1"/>
    </row>
    <row r="120">
      <c r="E120" s="1"/>
    </row>
    <row r="121">
      <c r="E121" s="1"/>
    </row>
    <row r="122">
      <c r="E122" s="1"/>
    </row>
    <row r="123">
      <c r="E123" s="1"/>
    </row>
    <row r="124">
      <c r="E124" s="1"/>
    </row>
    <row r="125">
      <c r="E125" s="1"/>
    </row>
    <row r="126">
      <c r="E126" s="1"/>
    </row>
    <row r="127">
      <c r="E127" s="1"/>
    </row>
    <row r="128">
      <c r="E128" s="1"/>
    </row>
    <row r="129">
      <c r="E129" s="1"/>
    </row>
    <row r="130">
      <c r="E130" s="1"/>
    </row>
    <row r="131">
      <c r="E131" s="1"/>
    </row>
    <row r="132">
      <c r="E132" s="1"/>
    </row>
    <row r="133">
      <c r="E133" s="1"/>
    </row>
    <row r="134">
      <c r="E134" s="1"/>
    </row>
    <row r="135">
      <c r="E135" s="1"/>
    </row>
    <row r="136">
      <c r="E136" s="1"/>
    </row>
    <row r="137">
      <c r="E137" s="1"/>
    </row>
    <row r="138">
      <c r="E138" s="1"/>
    </row>
    <row r="139">
      <c r="E139" s="1"/>
    </row>
    <row r="140">
      <c r="E140" s="1"/>
    </row>
    <row r="141">
      <c r="E141" s="1"/>
    </row>
    <row r="142">
      <c r="E142" s="1"/>
    </row>
    <row r="143">
      <c r="E143" s="1"/>
    </row>
    <row r="144">
      <c r="E144" s="1"/>
    </row>
    <row r="145">
      <c r="E145" s="1"/>
    </row>
    <row r="146">
      <c r="E146" s="1"/>
    </row>
    <row r="147">
      <c r="E147" s="1"/>
    </row>
    <row r="148">
      <c r="E148" s="1"/>
    </row>
    <row r="149">
      <c r="E149" s="1"/>
    </row>
    <row r="150">
      <c r="E150" s="1"/>
    </row>
    <row r="151">
      <c r="E151" s="1"/>
    </row>
    <row r="152">
      <c r="E152" s="1"/>
    </row>
    <row r="153">
      <c r="E153" s="1"/>
    </row>
    <row r="154">
      <c r="E154" s="1"/>
    </row>
    <row r="155">
      <c r="E155" s="1"/>
    </row>
    <row r="156">
      <c r="E156" s="1"/>
    </row>
    <row r="157">
      <c r="E157" s="1"/>
    </row>
    <row r="158">
      <c r="E158" s="1"/>
    </row>
    <row r="159">
      <c r="E159" s="1"/>
    </row>
    <row r="160">
      <c r="E160" s="1"/>
    </row>
    <row r="161">
      <c r="E161" s="1"/>
    </row>
    <row r="162">
      <c r="E162" s="1"/>
    </row>
    <row r="163">
      <c r="E163" s="1"/>
    </row>
    <row r="164">
      <c r="E164" s="1"/>
    </row>
    <row r="165">
      <c r="E165" s="1"/>
    </row>
    <row r="166">
      <c r="E166" s="1"/>
    </row>
    <row r="167">
      <c r="E167" s="1"/>
    </row>
    <row r="168">
      <c r="E168" s="1"/>
    </row>
    <row r="169">
      <c r="E169" s="1"/>
    </row>
    <row r="170">
      <c r="E170" s="1"/>
    </row>
    <row r="171">
      <c r="E171" s="1"/>
    </row>
    <row r="172">
      <c r="E172" s="1"/>
    </row>
    <row r="173">
      <c r="E173" s="1"/>
    </row>
    <row r="174">
      <c r="E174" s="1"/>
    </row>
    <row r="175">
      <c r="E175" s="1"/>
    </row>
    <row r="176">
      <c r="E176" s="1"/>
    </row>
    <row r="177">
      <c r="E177" s="1"/>
    </row>
    <row r="178">
      <c r="E178" s="1"/>
    </row>
    <row r="179">
      <c r="E179" s="1"/>
    </row>
    <row r="180">
      <c r="E180" s="1"/>
    </row>
    <row r="181">
      <c r="E181" s="1"/>
    </row>
    <row r="182">
      <c r="E182" s="1"/>
    </row>
    <row r="183">
      <c r="E183" s="1"/>
    </row>
    <row r="184">
      <c r="E184" s="1"/>
    </row>
    <row r="185">
      <c r="E185" s="1"/>
    </row>
    <row r="186">
      <c r="E186" s="1"/>
    </row>
    <row r="187">
      <c r="E187" s="1"/>
    </row>
    <row r="188">
      <c r="E188" s="1"/>
    </row>
    <row r="189">
      <c r="E189" s="1"/>
    </row>
    <row r="190">
      <c r="E190" s="1"/>
    </row>
    <row r="191">
      <c r="E191" s="1"/>
    </row>
    <row r="192">
      <c r="E192" s="1"/>
    </row>
    <row r="193">
      <c r="E193" s="1"/>
    </row>
    <row r="194">
      <c r="E194" s="1"/>
    </row>
    <row r="195">
      <c r="E195" s="1"/>
    </row>
    <row r="196">
      <c r="E196" s="1"/>
    </row>
    <row r="197">
      <c r="E197" s="1"/>
    </row>
    <row r="198">
      <c r="E198" s="1"/>
    </row>
    <row r="199">
      <c r="E199" s="1"/>
    </row>
    <row r="200">
      <c r="E200" s="1"/>
    </row>
    <row r="201">
      <c r="E201" s="1"/>
    </row>
    <row r="202">
      <c r="E202" s="1"/>
    </row>
    <row r="203">
      <c r="E203" s="1"/>
    </row>
    <row r="204">
      <c r="E204" s="1"/>
    </row>
    <row r="205">
      <c r="E205" s="1"/>
    </row>
    <row r="206">
      <c r="E206" s="1"/>
    </row>
    <row r="207">
      <c r="E207" s="1"/>
    </row>
    <row r="208">
      <c r="E208" s="1"/>
    </row>
    <row r="209">
      <c r="E209" s="1"/>
    </row>
    <row r="210">
      <c r="E210" s="1"/>
    </row>
    <row r="211">
      <c r="E211" s="1"/>
    </row>
    <row r="212">
      <c r="E212" s="1"/>
    </row>
    <row r="213">
      <c r="E213" s="1"/>
    </row>
    <row r="214">
      <c r="E214" s="1"/>
    </row>
    <row r="215">
      <c r="E215" s="1"/>
    </row>
    <row r="216">
      <c r="E216" s="1"/>
    </row>
    <row r="217">
      <c r="E217" s="1"/>
    </row>
    <row r="218">
      <c r="E218" s="1"/>
    </row>
    <row r="219">
      <c r="E219" s="1"/>
    </row>
    <row r="220">
      <c r="E220" s="1"/>
    </row>
    <row r="221">
      <c r="E221" s="1"/>
    </row>
    <row r="222">
      <c r="E222" s="1"/>
    </row>
    <row r="223">
      <c r="E223" s="1"/>
    </row>
    <row r="224">
      <c r="E224" s="1"/>
    </row>
    <row r="225">
      <c r="E225" s="1"/>
    </row>
    <row r="226">
      <c r="E226" s="1"/>
    </row>
    <row r="227">
      <c r="E227" s="1"/>
    </row>
    <row r="228">
      <c r="E228" s="1"/>
    </row>
    <row r="229">
      <c r="E229" s="1"/>
    </row>
    <row r="230">
      <c r="E230" s="1"/>
    </row>
    <row r="231">
      <c r="E231" s="1"/>
    </row>
    <row r="232">
      <c r="E232" s="1"/>
    </row>
    <row r="233">
      <c r="E233" s="1"/>
    </row>
    <row r="234">
      <c r="E234" s="1"/>
    </row>
    <row r="235">
      <c r="E235" s="1"/>
    </row>
    <row r="236">
      <c r="E236" s="1"/>
    </row>
    <row r="237">
      <c r="E237" s="1"/>
    </row>
    <row r="238">
      <c r="E238" s="1"/>
    </row>
    <row r="239">
      <c r="E239" s="1"/>
    </row>
    <row r="240">
      <c r="E240" s="1"/>
    </row>
    <row r="241">
      <c r="E241" s="1"/>
    </row>
    <row r="242">
      <c r="E242" s="1"/>
    </row>
    <row r="243">
      <c r="E243" s="1"/>
    </row>
    <row r="244">
      <c r="E244" s="1"/>
    </row>
    <row r="245">
      <c r="E245" s="1"/>
    </row>
    <row r="246">
      <c r="E246" s="1"/>
    </row>
    <row r="247">
      <c r="E247" s="1"/>
    </row>
    <row r="248">
      <c r="E248" s="1"/>
    </row>
    <row r="249">
      <c r="E249" s="1"/>
    </row>
    <row r="250">
      <c r="E250" s="1"/>
    </row>
    <row r="251">
      <c r="E251" s="1"/>
    </row>
    <row r="252">
      <c r="E252" s="1"/>
    </row>
    <row r="253">
      <c r="E253" s="1"/>
    </row>
    <row r="254">
      <c r="E254" s="1"/>
    </row>
    <row r="255">
      <c r="E255" s="1"/>
    </row>
    <row r="256">
      <c r="E256" s="1"/>
    </row>
    <row r="257">
      <c r="E257" s="1"/>
    </row>
    <row r="258">
      <c r="E258" s="1"/>
    </row>
    <row r="259">
      <c r="E259" s="1"/>
    </row>
    <row r="260">
      <c r="E260" s="1"/>
    </row>
    <row r="261">
      <c r="E261" s="1"/>
    </row>
    <row r="262">
      <c r="E262" s="1"/>
    </row>
    <row r="263">
      <c r="E263" s="1"/>
    </row>
    <row r="264">
      <c r="E264" s="1"/>
    </row>
    <row r="265">
      <c r="E265" s="1"/>
    </row>
    <row r="266">
      <c r="E266" s="1"/>
    </row>
    <row r="267">
      <c r="E267" s="1"/>
    </row>
    <row r="268">
      <c r="E268" s="1"/>
    </row>
    <row r="269">
      <c r="E269" s="1"/>
    </row>
    <row r="270">
      <c r="E270" s="1"/>
    </row>
    <row r="271">
      <c r="E271" s="1"/>
    </row>
    <row r="272">
      <c r="E272" s="1"/>
    </row>
    <row r="273">
      <c r="E273" s="1"/>
    </row>
    <row r="274">
      <c r="E274" s="1"/>
    </row>
    <row r="275">
      <c r="E275" s="1"/>
    </row>
    <row r="276">
      <c r="E276" s="1"/>
    </row>
    <row r="277">
      <c r="E277" s="1"/>
    </row>
    <row r="278">
      <c r="E278" s="1"/>
    </row>
    <row r="279">
      <c r="E279" s="1"/>
    </row>
    <row r="280">
      <c r="E280" s="1"/>
    </row>
    <row r="281">
      <c r="E281" s="1"/>
    </row>
    <row r="282">
      <c r="E282" s="1"/>
    </row>
    <row r="283">
      <c r="E283" s="1"/>
    </row>
    <row r="284">
      <c r="E284" s="1"/>
    </row>
    <row r="285">
      <c r="E285" s="1"/>
    </row>
    <row r="286">
      <c r="E286" s="1"/>
    </row>
    <row r="287">
      <c r="E287" s="1"/>
    </row>
    <row r="288">
      <c r="E288" s="1"/>
    </row>
    <row r="289">
      <c r="E289" s="1"/>
    </row>
    <row r="290">
      <c r="E290" s="1"/>
    </row>
    <row r="291">
      <c r="E291" s="1"/>
    </row>
    <row r="292">
      <c r="E292" s="1"/>
    </row>
    <row r="293">
      <c r="E293" s="1"/>
    </row>
    <row r="294">
      <c r="E294" s="1"/>
    </row>
    <row r="295">
      <c r="E295" s="1"/>
    </row>
    <row r="296">
      <c r="E296" s="1"/>
    </row>
    <row r="297">
      <c r="E297" s="1"/>
    </row>
    <row r="298">
      <c r="E298" s="1"/>
    </row>
    <row r="299">
      <c r="E299" s="1"/>
    </row>
    <row r="300">
      <c r="E300" s="1"/>
    </row>
    <row r="301">
      <c r="E301" s="1"/>
    </row>
    <row r="302">
      <c r="E302" s="1"/>
    </row>
    <row r="303">
      <c r="E303" s="1"/>
    </row>
    <row r="304">
      <c r="E304" s="1"/>
    </row>
    <row r="305">
      <c r="E305" s="1"/>
    </row>
    <row r="306">
      <c r="E306" s="1"/>
    </row>
    <row r="307">
      <c r="E307" s="1"/>
    </row>
    <row r="308">
      <c r="E308" s="1"/>
    </row>
    <row r="309">
      <c r="E309" s="1"/>
    </row>
    <row r="310">
      <c r="E310" s="1"/>
    </row>
    <row r="311">
      <c r="E311" s="1"/>
    </row>
    <row r="312">
      <c r="E312" s="1"/>
    </row>
    <row r="313">
      <c r="E313" s="1"/>
    </row>
    <row r="314">
      <c r="E314" s="1"/>
    </row>
    <row r="315">
      <c r="E315" s="1"/>
    </row>
    <row r="316">
      <c r="E316" s="1"/>
    </row>
    <row r="317">
      <c r="E317" s="1"/>
    </row>
    <row r="318">
      <c r="E318" s="1"/>
    </row>
    <row r="319">
      <c r="E319" s="1"/>
    </row>
    <row r="320">
      <c r="E320" s="1"/>
    </row>
    <row r="321">
      <c r="E321" s="1"/>
    </row>
    <row r="322">
      <c r="E322" s="1"/>
    </row>
    <row r="323">
      <c r="E323" s="1"/>
    </row>
    <row r="324">
      <c r="E324" s="1"/>
    </row>
    <row r="325">
      <c r="E325" s="1"/>
    </row>
    <row r="326">
      <c r="E326" s="1"/>
    </row>
    <row r="327">
      <c r="E327" s="1"/>
    </row>
    <row r="328">
      <c r="E328" s="1"/>
    </row>
    <row r="329">
      <c r="E329" s="1"/>
    </row>
    <row r="330">
      <c r="E330" s="1"/>
    </row>
    <row r="331">
      <c r="E331" s="1"/>
    </row>
    <row r="332">
      <c r="E332" s="1"/>
    </row>
    <row r="333">
      <c r="E333" s="1"/>
    </row>
    <row r="334">
      <c r="E334" s="1"/>
    </row>
    <row r="335">
      <c r="E335" s="1"/>
    </row>
    <row r="336">
      <c r="E336" s="1"/>
    </row>
    <row r="337">
      <c r="E337" s="1"/>
    </row>
    <row r="338">
      <c r="E338" s="1"/>
    </row>
    <row r="339">
      <c r="E339" s="1"/>
    </row>
    <row r="340">
      <c r="E340" s="1"/>
    </row>
    <row r="341">
      <c r="E341" s="1"/>
    </row>
    <row r="342">
      <c r="E342" s="1"/>
    </row>
    <row r="343">
      <c r="E343" s="1"/>
    </row>
    <row r="344">
      <c r="E344" s="1"/>
    </row>
    <row r="345">
      <c r="E345" s="1"/>
    </row>
    <row r="346">
      <c r="E346" s="1"/>
    </row>
    <row r="347">
      <c r="E347" s="1"/>
    </row>
    <row r="348">
      <c r="E348" s="1"/>
    </row>
    <row r="349">
      <c r="E349" s="1"/>
    </row>
    <row r="350">
      <c r="E350" s="1"/>
    </row>
    <row r="351">
      <c r="E351" s="1"/>
    </row>
    <row r="352">
      <c r="E352" s="1"/>
    </row>
    <row r="353">
      <c r="E353" s="1"/>
    </row>
    <row r="354">
      <c r="E354" s="1"/>
    </row>
    <row r="355">
      <c r="E355" s="1"/>
    </row>
    <row r="356">
      <c r="E356" s="1"/>
    </row>
    <row r="357">
      <c r="E357" s="1"/>
    </row>
    <row r="358">
      <c r="E358" s="1"/>
    </row>
    <row r="359">
      <c r="E359" s="1"/>
    </row>
    <row r="360">
      <c r="E360" s="1"/>
    </row>
    <row r="361">
      <c r="E361" s="1"/>
    </row>
    <row r="362">
      <c r="E362" s="1"/>
    </row>
    <row r="363">
      <c r="E363" s="1"/>
    </row>
    <row r="364">
      <c r="E364" s="1"/>
    </row>
    <row r="365">
      <c r="E365" s="1"/>
    </row>
    <row r="366">
      <c r="E366" s="1"/>
    </row>
    <row r="367">
      <c r="E367" s="1"/>
    </row>
    <row r="368">
      <c r="E368" s="1"/>
    </row>
    <row r="369">
      <c r="E369" s="1"/>
    </row>
    <row r="370">
      <c r="E370" s="1"/>
    </row>
    <row r="371">
      <c r="E371" s="1"/>
    </row>
    <row r="372">
      <c r="E372" s="1"/>
    </row>
    <row r="373">
      <c r="E373" s="1"/>
    </row>
    <row r="374">
      <c r="E374" s="1"/>
    </row>
    <row r="375">
      <c r="E375" s="1"/>
    </row>
    <row r="376">
      <c r="E376" s="1"/>
    </row>
    <row r="377">
      <c r="E377" s="1"/>
    </row>
    <row r="378">
      <c r="E378" s="1"/>
    </row>
    <row r="379">
      <c r="E379" s="1"/>
    </row>
    <row r="380">
      <c r="E380" s="1"/>
    </row>
    <row r="381">
      <c r="E381" s="1"/>
    </row>
    <row r="382">
      <c r="E382" s="1"/>
    </row>
    <row r="383">
      <c r="E383" s="1"/>
    </row>
    <row r="384">
      <c r="E384" s="1"/>
    </row>
    <row r="385">
      <c r="E385" s="1"/>
    </row>
    <row r="386">
      <c r="E386" s="1"/>
    </row>
    <row r="387">
      <c r="E387" s="1"/>
    </row>
    <row r="388">
      <c r="E388" s="1"/>
    </row>
    <row r="389">
      <c r="E389" s="1"/>
    </row>
    <row r="390">
      <c r="E390" s="1"/>
    </row>
    <row r="391">
      <c r="E391" s="1"/>
    </row>
    <row r="392">
      <c r="E392" s="1"/>
    </row>
    <row r="393">
      <c r="E393" s="1"/>
    </row>
    <row r="394">
      <c r="E394" s="1"/>
    </row>
    <row r="395">
      <c r="E395" s="1"/>
    </row>
    <row r="396">
      <c r="E396" s="1"/>
    </row>
    <row r="397">
      <c r="E397" s="1"/>
    </row>
    <row r="398">
      <c r="E398" s="1"/>
    </row>
    <row r="399">
      <c r="E399" s="1"/>
    </row>
    <row r="400">
      <c r="E400" s="1"/>
    </row>
    <row r="401">
      <c r="E401" s="1"/>
    </row>
    <row r="402">
      <c r="E402" s="1"/>
    </row>
    <row r="403">
      <c r="E403" s="1"/>
    </row>
    <row r="404">
      <c r="E404" s="1"/>
    </row>
    <row r="405">
      <c r="E405" s="1"/>
    </row>
    <row r="406">
      <c r="E406" s="1"/>
    </row>
    <row r="407">
      <c r="E407" s="1"/>
    </row>
    <row r="408">
      <c r="E408" s="1"/>
    </row>
    <row r="409">
      <c r="E409" s="1"/>
    </row>
    <row r="410">
      <c r="E410" s="1"/>
    </row>
    <row r="411">
      <c r="E411" s="1"/>
    </row>
    <row r="412">
      <c r="E412" s="1"/>
    </row>
    <row r="413">
      <c r="E413" s="1"/>
    </row>
    <row r="414">
      <c r="E414" s="1"/>
    </row>
    <row r="415">
      <c r="E415" s="1"/>
    </row>
    <row r="416">
      <c r="E416" s="1"/>
    </row>
    <row r="417">
      <c r="E417" s="1"/>
    </row>
    <row r="418">
      <c r="E418" s="1"/>
    </row>
    <row r="419">
      <c r="E419" s="1"/>
    </row>
    <row r="420">
      <c r="E420" s="1"/>
    </row>
    <row r="421">
      <c r="E421" s="1"/>
    </row>
    <row r="422">
      <c r="E422" s="1"/>
    </row>
    <row r="423">
      <c r="E423" s="1"/>
    </row>
    <row r="424">
      <c r="E424" s="1"/>
    </row>
    <row r="425">
      <c r="E425" s="1"/>
    </row>
    <row r="426">
      <c r="E426" s="1"/>
    </row>
    <row r="427">
      <c r="E427" s="1"/>
    </row>
    <row r="428">
      <c r="E428" s="1"/>
    </row>
    <row r="429">
      <c r="E429" s="1"/>
    </row>
    <row r="430">
      <c r="E430" s="1"/>
    </row>
    <row r="431">
      <c r="E431" s="1"/>
    </row>
    <row r="432">
      <c r="E432" s="1"/>
    </row>
    <row r="433">
      <c r="E433" s="1"/>
    </row>
    <row r="434">
      <c r="E434" s="1"/>
    </row>
    <row r="435">
      <c r="E435" s="1"/>
    </row>
    <row r="436">
      <c r="E436" s="1"/>
    </row>
    <row r="437">
      <c r="E437" s="1"/>
    </row>
    <row r="438">
      <c r="E438" s="1"/>
    </row>
    <row r="439">
      <c r="E439" s="1"/>
    </row>
    <row r="440">
      <c r="E440" s="1"/>
    </row>
    <row r="441">
      <c r="E441" s="1"/>
    </row>
    <row r="442">
      <c r="E442" s="1"/>
    </row>
    <row r="443">
      <c r="E443" s="1"/>
    </row>
    <row r="444">
      <c r="E444" s="1"/>
    </row>
    <row r="445">
      <c r="E445" s="1"/>
    </row>
    <row r="446">
      <c r="E446" s="1"/>
    </row>
    <row r="447">
      <c r="E447" s="1"/>
    </row>
    <row r="448">
      <c r="E448" s="1"/>
    </row>
    <row r="449">
      <c r="E449" s="1"/>
    </row>
    <row r="450">
      <c r="E450" s="1"/>
    </row>
    <row r="451">
      <c r="E451" s="1"/>
    </row>
    <row r="452">
      <c r="E452" s="1"/>
    </row>
    <row r="453">
      <c r="E453" s="1"/>
    </row>
    <row r="454">
      <c r="E454" s="1"/>
    </row>
    <row r="455">
      <c r="E455" s="1"/>
    </row>
    <row r="456">
      <c r="E456" s="1"/>
    </row>
    <row r="457">
      <c r="E457" s="1"/>
    </row>
    <row r="458">
      <c r="E458" s="1"/>
    </row>
    <row r="459">
      <c r="E459" s="1"/>
    </row>
    <row r="460">
      <c r="E460" s="1"/>
    </row>
    <row r="461">
      <c r="E461" s="1"/>
    </row>
    <row r="462">
      <c r="E462" s="1"/>
    </row>
    <row r="463">
      <c r="E463" s="1"/>
    </row>
    <row r="464">
      <c r="E464" s="1"/>
    </row>
    <row r="465">
      <c r="E465" s="1"/>
    </row>
    <row r="466">
      <c r="E466" s="1"/>
    </row>
    <row r="467">
      <c r="E467" s="1"/>
    </row>
    <row r="468">
      <c r="E468" s="1"/>
    </row>
    <row r="469">
      <c r="E469" s="1"/>
    </row>
    <row r="470">
      <c r="E470" s="1"/>
    </row>
    <row r="471">
      <c r="E471" s="1"/>
    </row>
    <row r="472">
      <c r="E472" s="1"/>
    </row>
    <row r="473">
      <c r="E473" s="1"/>
    </row>
    <row r="474">
      <c r="E474" s="1"/>
    </row>
    <row r="475">
      <c r="E475" s="1"/>
    </row>
    <row r="476">
      <c r="E476" s="1"/>
    </row>
    <row r="477">
      <c r="E477" s="1"/>
    </row>
    <row r="478">
      <c r="E478" s="1"/>
    </row>
    <row r="479">
      <c r="E479" s="1"/>
    </row>
    <row r="480">
      <c r="E480" s="1"/>
    </row>
    <row r="481">
      <c r="E481" s="1"/>
    </row>
    <row r="482">
      <c r="E482" s="1"/>
    </row>
    <row r="483">
      <c r="E483" s="1"/>
    </row>
    <row r="484">
      <c r="E484" s="1"/>
    </row>
    <row r="485">
      <c r="E485" s="1"/>
    </row>
    <row r="486">
      <c r="E486" s="1"/>
    </row>
    <row r="487">
      <c r="E487" s="1"/>
    </row>
    <row r="488">
      <c r="E488" s="1"/>
    </row>
    <row r="489">
      <c r="E489" s="1"/>
    </row>
    <row r="490">
      <c r="E490" s="1"/>
    </row>
    <row r="491">
      <c r="E491" s="1"/>
    </row>
    <row r="492">
      <c r="E492" s="1"/>
    </row>
    <row r="493">
      <c r="E493" s="1"/>
    </row>
    <row r="494">
      <c r="E494" s="1"/>
    </row>
    <row r="495">
      <c r="E495" s="1"/>
    </row>
    <row r="496">
      <c r="E496" s="1"/>
    </row>
    <row r="497">
      <c r="E497" s="1"/>
    </row>
    <row r="498">
      <c r="E498" s="1"/>
    </row>
    <row r="499">
      <c r="E499" s="1"/>
    </row>
    <row r="500">
      <c r="E500" s="1"/>
    </row>
    <row r="501">
      <c r="E501" s="1"/>
    </row>
    <row r="502">
      <c r="E502" s="1"/>
    </row>
    <row r="503">
      <c r="E503" s="1"/>
    </row>
    <row r="504">
      <c r="E504" s="1"/>
    </row>
    <row r="505">
      <c r="E505" s="1"/>
    </row>
    <row r="506">
      <c r="E506" s="1"/>
    </row>
    <row r="507">
      <c r="E507" s="1"/>
    </row>
    <row r="508">
      <c r="E508" s="1"/>
    </row>
    <row r="509">
      <c r="E509" s="1"/>
    </row>
    <row r="510">
      <c r="E510" s="1"/>
    </row>
    <row r="511">
      <c r="E511" s="1"/>
    </row>
    <row r="512">
      <c r="E512" s="1"/>
    </row>
    <row r="513">
      <c r="E513" s="1"/>
    </row>
    <row r="514">
      <c r="E514" s="1"/>
    </row>
    <row r="515">
      <c r="E515" s="1"/>
    </row>
    <row r="516">
      <c r="E516" s="1"/>
    </row>
    <row r="517">
      <c r="E517" s="1"/>
    </row>
    <row r="518">
      <c r="E518" s="1"/>
    </row>
    <row r="519">
      <c r="E519" s="1"/>
    </row>
    <row r="520">
      <c r="E520" s="1"/>
    </row>
    <row r="521">
      <c r="E521" s="1"/>
    </row>
    <row r="522">
      <c r="E522" s="1"/>
    </row>
    <row r="523">
      <c r="E523" s="1"/>
    </row>
    <row r="524">
      <c r="E524" s="1"/>
    </row>
    <row r="525">
      <c r="E525" s="1"/>
    </row>
    <row r="526">
      <c r="E526" s="1"/>
    </row>
    <row r="527">
      <c r="E527" s="1"/>
    </row>
    <row r="528">
      <c r="E528" s="1"/>
    </row>
    <row r="529">
      <c r="E529" s="1"/>
    </row>
    <row r="530">
      <c r="E530" s="1"/>
    </row>
    <row r="531">
      <c r="E531" s="1"/>
    </row>
    <row r="532">
      <c r="E532" s="1"/>
    </row>
    <row r="533">
      <c r="E533" s="1"/>
    </row>
    <row r="534">
      <c r="E534" s="1"/>
    </row>
    <row r="535">
      <c r="E535" s="1"/>
    </row>
    <row r="536">
      <c r="E536" s="1"/>
    </row>
    <row r="537">
      <c r="E537" s="1"/>
    </row>
    <row r="538">
      <c r="E538" s="1"/>
    </row>
    <row r="539">
      <c r="E539" s="1"/>
    </row>
    <row r="540">
      <c r="E540" s="1"/>
    </row>
    <row r="541">
      <c r="E541" s="1"/>
    </row>
    <row r="542">
      <c r="E542" s="1"/>
    </row>
    <row r="543">
      <c r="E543" s="1"/>
    </row>
    <row r="544">
      <c r="E544" s="1"/>
    </row>
    <row r="545">
      <c r="E545" s="1"/>
    </row>
    <row r="546">
      <c r="E546" s="1"/>
    </row>
    <row r="547">
      <c r="E547" s="1"/>
    </row>
    <row r="548">
      <c r="E548" s="1"/>
    </row>
    <row r="549">
      <c r="E549" s="1"/>
    </row>
    <row r="550">
      <c r="E550" s="1"/>
    </row>
    <row r="551">
      <c r="E551" s="1"/>
    </row>
    <row r="552">
      <c r="E552" s="1"/>
    </row>
    <row r="553">
      <c r="E553" s="1"/>
    </row>
    <row r="554">
      <c r="E554" s="1"/>
    </row>
    <row r="555">
      <c r="E555" s="1"/>
    </row>
    <row r="556">
      <c r="E556" s="1"/>
    </row>
    <row r="557">
      <c r="E557" s="1"/>
    </row>
    <row r="558">
      <c r="E558" s="1"/>
    </row>
    <row r="559">
      <c r="E559" s="1"/>
    </row>
    <row r="560">
      <c r="E560" s="1"/>
    </row>
    <row r="561">
      <c r="E561" s="1"/>
    </row>
    <row r="562">
      <c r="E562" s="1"/>
    </row>
    <row r="563">
      <c r="E563" s="1"/>
    </row>
    <row r="564">
      <c r="E564" s="1"/>
    </row>
    <row r="565">
      <c r="E565" s="1"/>
    </row>
    <row r="566">
      <c r="E566" s="1"/>
    </row>
    <row r="567">
      <c r="E567" s="1"/>
    </row>
    <row r="568">
      <c r="E568" s="1"/>
    </row>
    <row r="569">
      <c r="E569" s="1"/>
    </row>
    <row r="570">
      <c r="E570" s="1"/>
    </row>
    <row r="571">
      <c r="E571" s="1"/>
    </row>
    <row r="572">
      <c r="E572" s="1"/>
    </row>
    <row r="573">
      <c r="E573" s="1"/>
    </row>
    <row r="574">
      <c r="E574" s="1"/>
    </row>
    <row r="575">
      <c r="E575" s="1"/>
    </row>
    <row r="576">
      <c r="E576" s="1"/>
    </row>
    <row r="577">
      <c r="E577" s="1"/>
    </row>
    <row r="578">
      <c r="E578" s="1"/>
    </row>
    <row r="579">
      <c r="E579" s="1"/>
    </row>
    <row r="580">
      <c r="E580" s="1"/>
    </row>
    <row r="581">
      <c r="E581" s="1"/>
    </row>
    <row r="582">
      <c r="E582" s="1"/>
    </row>
    <row r="583">
      <c r="E583" s="1"/>
    </row>
    <row r="584">
      <c r="E584" s="1"/>
    </row>
    <row r="585">
      <c r="E585" s="1"/>
    </row>
    <row r="586">
      <c r="E586" s="1"/>
    </row>
    <row r="587">
      <c r="E587" s="1"/>
    </row>
    <row r="588">
      <c r="E588" s="1"/>
    </row>
    <row r="589">
      <c r="E589" s="1"/>
    </row>
    <row r="590">
      <c r="E590" s="1"/>
    </row>
    <row r="591">
      <c r="E591" s="1"/>
    </row>
    <row r="592">
      <c r="E592" s="1"/>
    </row>
    <row r="593">
      <c r="E593" s="1"/>
    </row>
    <row r="594">
      <c r="E594" s="1"/>
    </row>
    <row r="595">
      <c r="E595" s="1"/>
    </row>
    <row r="596">
      <c r="E596" s="1"/>
    </row>
    <row r="597">
      <c r="E597" s="1"/>
    </row>
    <row r="598">
      <c r="E598" s="1"/>
    </row>
    <row r="599">
      <c r="E599" s="1"/>
    </row>
    <row r="600">
      <c r="E600" s="1"/>
    </row>
    <row r="601">
      <c r="E601" s="1"/>
    </row>
    <row r="602">
      <c r="E602" s="1"/>
    </row>
    <row r="603">
      <c r="E603" s="1"/>
    </row>
    <row r="604">
      <c r="E604" s="1"/>
    </row>
    <row r="605">
      <c r="E605" s="1"/>
    </row>
    <row r="606">
      <c r="E606" s="1"/>
    </row>
    <row r="607">
      <c r="E607" s="1"/>
    </row>
    <row r="608">
      <c r="E608" s="1"/>
    </row>
    <row r="609">
      <c r="E609" s="1"/>
    </row>
    <row r="610">
      <c r="E610" s="1"/>
    </row>
    <row r="611">
      <c r="E611" s="1"/>
    </row>
    <row r="612">
      <c r="E612" s="1"/>
    </row>
    <row r="613">
      <c r="E613" s="1"/>
    </row>
    <row r="614">
      <c r="E614" s="1"/>
    </row>
    <row r="615">
      <c r="E615" s="1"/>
    </row>
    <row r="616">
      <c r="E616" s="1"/>
    </row>
    <row r="617">
      <c r="E617" s="1"/>
    </row>
    <row r="618">
      <c r="E618" s="1"/>
    </row>
    <row r="619">
      <c r="E619" s="1"/>
    </row>
    <row r="620">
      <c r="E620" s="1"/>
    </row>
    <row r="621">
      <c r="E621" s="1"/>
    </row>
    <row r="622">
      <c r="E622" s="1"/>
    </row>
    <row r="623">
      <c r="E623" s="1"/>
    </row>
    <row r="624">
      <c r="E624" s="1"/>
    </row>
    <row r="625">
      <c r="E625" s="1"/>
    </row>
    <row r="626">
      <c r="E626" s="1"/>
    </row>
    <row r="627">
      <c r="E627" s="1"/>
    </row>
    <row r="628">
      <c r="E628" s="1"/>
    </row>
    <row r="629">
      <c r="E629" s="1"/>
    </row>
    <row r="630">
      <c r="E630" s="1"/>
    </row>
    <row r="631">
      <c r="E631" s="1"/>
    </row>
    <row r="632">
      <c r="E632" s="1"/>
    </row>
    <row r="633">
      <c r="E633" s="1"/>
    </row>
    <row r="634">
      <c r="E634" s="1"/>
    </row>
    <row r="635">
      <c r="E635" s="1"/>
    </row>
    <row r="636">
      <c r="E636" s="1"/>
    </row>
    <row r="637">
      <c r="E637" s="1"/>
    </row>
    <row r="638">
      <c r="E638" s="1"/>
    </row>
    <row r="639">
      <c r="E639" s="1"/>
    </row>
    <row r="640">
      <c r="E640" s="1"/>
    </row>
    <row r="641">
      <c r="E641" s="1"/>
    </row>
    <row r="642">
      <c r="E642" s="1"/>
    </row>
    <row r="643">
      <c r="E643" s="1"/>
    </row>
    <row r="644">
      <c r="E644" s="1"/>
    </row>
    <row r="645">
      <c r="E645" s="1"/>
    </row>
    <row r="646">
      <c r="E646" s="1"/>
    </row>
    <row r="647">
      <c r="E647" s="1"/>
    </row>
    <row r="648">
      <c r="E648" s="1"/>
    </row>
    <row r="649">
      <c r="E649" s="1"/>
    </row>
    <row r="650">
      <c r="E650" s="1"/>
    </row>
    <row r="651">
      <c r="E651" s="1"/>
    </row>
    <row r="652">
      <c r="E652" s="1"/>
    </row>
    <row r="653">
      <c r="E653" s="1"/>
    </row>
    <row r="654">
      <c r="E654" s="1"/>
    </row>
    <row r="655">
      <c r="E655" s="1"/>
    </row>
    <row r="656">
      <c r="E656" s="1"/>
    </row>
    <row r="657">
      <c r="E657" s="1"/>
    </row>
    <row r="658">
      <c r="E658" s="1"/>
    </row>
    <row r="659">
      <c r="E659" s="1"/>
    </row>
    <row r="660">
      <c r="E660" s="1"/>
    </row>
    <row r="661">
      <c r="E661" s="1"/>
    </row>
    <row r="662">
      <c r="E662" s="1"/>
    </row>
    <row r="663">
      <c r="E663" s="1"/>
    </row>
    <row r="664">
      <c r="E664" s="1"/>
    </row>
    <row r="665">
      <c r="E665" s="1"/>
    </row>
    <row r="666">
      <c r="E666" s="1"/>
    </row>
    <row r="667">
      <c r="E667" s="1"/>
    </row>
    <row r="668">
      <c r="E668" s="1"/>
    </row>
    <row r="669">
      <c r="E669" s="1"/>
    </row>
    <row r="670">
      <c r="E670" s="1"/>
    </row>
    <row r="671">
      <c r="E671" s="1"/>
    </row>
    <row r="672">
      <c r="E672" s="1"/>
    </row>
    <row r="673">
      <c r="E673" s="1"/>
    </row>
    <row r="674">
      <c r="E674" s="1"/>
    </row>
    <row r="675">
      <c r="E675" s="1"/>
    </row>
    <row r="676">
      <c r="E676" s="1"/>
    </row>
    <row r="677">
      <c r="E677" s="1"/>
    </row>
    <row r="678">
      <c r="E678" s="1"/>
    </row>
    <row r="679">
      <c r="E679" s="1"/>
    </row>
    <row r="680">
      <c r="E680" s="1"/>
    </row>
    <row r="681">
      <c r="E681" s="1"/>
    </row>
    <row r="682">
      <c r="E682" s="1"/>
    </row>
    <row r="683">
      <c r="E683" s="1"/>
    </row>
    <row r="684">
      <c r="E684" s="1"/>
    </row>
    <row r="685">
      <c r="E685" s="1"/>
    </row>
    <row r="686">
      <c r="E686" s="1"/>
    </row>
    <row r="687">
      <c r="E687" s="1"/>
    </row>
    <row r="688">
      <c r="E688" s="1"/>
    </row>
    <row r="689">
      <c r="E689" s="1"/>
    </row>
    <row r="690">
      <c r="E690" s="1"/>
    </row>
    <row r="691">
      <c r="E691" s="1"/>
    </row>
    <row r="692">
      <c r="E692" s="1"/>
    </row>
    <row r="693">
      <c r="E693" s="1"/>
    </row>
    <row r="694">
      <c r="E694" s="1"/>
    </row>
    <row r="695">
      <c r="E695" s="1"/>
    </row>
    <row r="696">
      <c r="E696" s="1"/>
    </row>
    <row r="697">
      <c r="E697" s="1"/>
    </row>
    <row r="698">
      <c r="E698" s="1"/>
    </row>
    <row r="699">
      <c r="E699" s="1"/>
    </row>
    <row r="700">
      <c r="E700" s="1"/>
    </row>
    <row r="701">
      <c r="E701" s="1"/>
    </row>
    <row r="702">
      <c r="E702" s="1"/>
    </row>
    <row r="703">
      <c r="E703" s="1"/>
    </row>
    <row r="704">
      <c r="E704" s="1"/>
    </row>
    <row r="705">
      <c r="E705" s="1"/>
    </row>
    <row r="706">
      <c r="E706" s="1"/>
    </row>
    <row r="707">
      <c r="E707" s="1"/>
    </row>
    <row r="708">
      <c r="E708" s="1"/>
    </row>
    <row r="709">
      <c r="E709" s="1"/>
    </row>
    <row r="710">
      <c r="E710" s="1"/>
    </row>
    <row r="711">
      <c r="E711" s="1"/>
    </row>
    <row r="712">
      <c r="E712" s="1"/>
    </row>
    <row r="713">
      <c r="E713" s="1"/>
    </row>
    <row r="714">
      <c r="E714" s="1"/>
    </row>
    <row r="715">
      <c r="E715" s="1"/>
    </row>
    <row r="716">
      <c r="E716" s="1"/>
    </row>
    <row r="717">
      <c r="E717" s="1"/>
    </row>
    <row r="718">
      <c r="E718" s="1"/>
    </row>
    <row r="719">
      <c r="E719" s="1"/>
    </row>
    <row r="720">
      <c r="E720" s="1"/>
    </row>
    <row r="721">
      <c r="E721" s="1"/>
    </row>
    <row r="722">
      <c r="E722" s="1"/>
    </row>
    <row r="723">
      <c r="E723" s="1"/>
    </row>
    <row r="724">
      <c r="E724" s="1"/>
    </row>
    <row r="725">
      <c r="E725" s="1"/>
    </row>
    <row r="726">
      <c r="E726" s="1"/>
    </row>
    <row r="727">
      <c r="E727" s="1"/>
    </row>
    <row r="728">
      <c r="E728" s="1"/>
    </row>
    <row r="729">
      <c r="E729" s="1"/>
    </row>
    <row r="730">
      <c r="E730" s="1"/>
    </row>
    <row r="731">
      <c r="E731" s="1"/>
    </row>
    <row r="732">
      <c r="E732" s="1"/>
    </row>
    <row r="733">
      <c r="E733" s="1"/>
    </row>
    <row r="734">
      <c r="E734" s="1"/>
    </row>
    <row r="735">
      <c r="E735" s="1"/>
    </row>
    <row r="736">
      <c r="E736" s="1"/>
    </row>
    <row r="737">
      <c r="E737" s="1"/>
    </row>
    <row r="738">
      <c r="E738" s="1"/>
    </row>
    <row r="739">
      <c r="E739" s="1"/>
    </row>
    <row r="740">
      <c r="E740" s="1"/>
    </row>
    <row r="741">
      <c r="E741" s="1"/>
    </row>
    <row r="742">
      <c r="E742" s="1"/>
    </row>
    <row r="743">
      <c r="E743" s="1"/>
    </row>
    <row r="744">
      <c r="E744" s="1"/>
    </row>
    <row r="745">
      <c r="E745" s="1"/>
    </row>
    <row r="746">
      <c r="E746" s="1"/>
    </row>
    <row r="747">
      <c r="E747" s="1"/>
    </row>
    <row r="748">
      <c r="E748" s="1"/>
    </row>
    <row r="749">
      <c r="E749" s="1"/>
    </row>
    <row r="750">
      <c r="E750" s="1"/>
    </row>
    <row r="751">
      <c r="E751" s="1"/>
    </row>
    <row r="752">
      <c r="E752" s="1"/>
    </row>
    <row r="753">
      <c r="E753" s="1"/>
    </row>
    <row r="754">
      <c r="E754" s="1"/>
    </row>
    <row r="755">
      <c r="E755" s="1"/>
    </row>
    <row r="756">
      <c r="E756" s="1"/>
    </row>
    <row r="757">
      <c r="E757" s="1"/>
    </row>
    <row r="758">
      <c r="E758" s="1"/>
    </row>
    <row r="759">
      <c r="E759" s="1"/>
    </row>
    <row r="760">
      <c r="E760" s="1"/>
    </row>
    <row r="761">
      <c r="E761" s="1"/>
    </row>
    <row r="762">
      <c r="E762" s="1"/>
    </row>
    <row r="763">
      <c r="E763" s="1"/>
    </row>
    <row r="764">
      <c r="E764" s="1"/>
    </row>
    <row r="765">
      <c r="E765" s="1"/>
    </row>
    <row r="766">
      <c r="E766" s="1"/>
    </row>
    <row r="767">
      <c r="E767" s="1"/>
    </row>
    <row r="768">
      <c r="E768" s="1"/>
    </row>
    <row r="769">
      <c r="E769" s="1"/>
    </row>
    <row r="770">
      <c r="E770" s="1"/>
    </row>
    <row r="771">
      <c r="E771" s="1"/>
    </row>
    <row r="772">
      <c r="E772" s="1"/>
    </row>
    <row r="773">
      <c r="E773" s="1"/>
    </row>
    <row r="774">
      <c r="E774" s="1"/>
    </row>
    <row r="775">
      <c r="E775" s="1"/>
    </row>
    <row r="776">
      <c r="E776" s="1"/>
    </row>
    <row r="777">
      <c r="E777" s="1"/>
    </row>
    <row r="778">
      <c r="E778" s="1"/>
    </row>
    <row r="779">
      <c r="E779" s="1"/>
    </row>
    <row r="780">
      <c r="E780" s="1"/>
    </row>
    <row r="781">
      <c r="E781" s="1"/>
    </row>
    <row r="782">
      <c r="E782" s="1"/>
    </row>
    <row r="783">
      <c r="E783" s="1"/>
    </row>
    <row r="784">
      <c r="E784" s="1"/>
    </row>
    <row r="785">
      <c r="E785" s="1"/>
    </row>
    <row r="786">
      <c r="E786" s="1"/>
    </row>
    <row r="787">
      <c r="E787" s="1"/>
    </row>
    <row r="788">
      <c r="E788" s="1"/>
    </row>
    <row r="789">
      <c r="E789" s="1"/>
    </row>
    <row r="790">
      <c r="E790" s="1"/>
    </row>
    <row r="791">
      <c r="E791" s="1"/>
    </row>
    <row r="792">
      <c r="E792" s="1"/>
    </row>
    <row r="793">
      <c r="E793" s="1"/>
    </row>
    <row r="794">
      <c r="E794" s="1"/>
    </row>
    <row r="795">
      <c r="E795" s="1"/>
    </row>
    <row r="796">
      <c r="E796" s="1"/>
    </row>
    <row r="797">
      <c r="E797" s="1"/>
    </row>
    <row r="798">
      <c r="E798" s="1"/>
    </row>
    <row r="799">
      <c r="E799" s="1"/>
    </row>
    <row r="800">
      <c r="E800" s="1"/>
    </row>
    <row r="801">
      <c r="E801" s="1"/>
    </row>
    <row r="802">
      <c r="E802" s="1"/>
    </row>
    <row r="803">
      <c r="E803" s="1"/>
    </row>
    <row r="804">
      <c r="E804" s="1"/>
    </row>
    <row r="805">
      <c r="E805" s="1"/>
    </row>
    <row r="806">
      <c r="E806" s="1"/>
    </row>
    <row r="807">
      <c r="E807" s="1"/>
    </row>
    <row r="808">
      <c r="E808" s="1"/>
    </row>
    <row r="809">
      <c r="E809" s="1"/>
    </row>
    <row r="810">
      <c r="E810" s="1"/>
    </row>
    <row r="811">
      <c r="E811" s="1"/>
    </row>
    <row r="812">
      <c r="E812" s="1"/>
    </row>
    <row r="813">
      <c r="E813" s="1"/>
    </row>
    <row r="814">
      <c r="E814" s="1"/>
    </row>
    <row r="815">
      <c r="E815" s="1"/>
    </row>
    <row r="816">
      <c r="E816" s="1"/>
    </row>
    <row r="817">
      <c r="E817" s="1"/>
    </row>
    <row r="818">
      <c r="E818" s="1"/>
    </row>
    <row r="819">
      <c r="E819" s="1"/>
    </row>
    <row r="820">
      <c r="E820" s="1"/>
    </row>
    <row r="821">
      <c r="E821" s="1"/>
    </row>
    <row r="822">
      <c r="E822" s="1"/>
    </row>
    <row r="823">
      <c r="E823" s="1"/>
    </row>
    <row r="824">
      <c r="E824" s="1"/>
    </row>
    <row r="825">
      <c r="E825" s="1"/>
    </row>
    <row r="826">
      <c r="E826" s="1"/>
    </row>
    <row r="827">
      <c r="E827" s="1"/>
    </row>
    <row r="828">
      <c r="E828" s="1"/>
    </row>
    <row r="829">
      <c r="E829" s="1"/>
    </row>
    <row r="830">
      <c r="E830" s="1"/>
    </row>
    <row r="831">
      <c r="E831" s="1"/>
    </row>
    <row r="832">
      <c r="E832" s="1"/>
    </row>
    <row r="833">
      <c r="E833" s="1"/>
    </row>
    <row r="834">
      <c r="E834" s="1"/>
    </row>
    <row r="835">
      <c r="E835" s="1"/>
    </row>
    <row r="836">
      <c r="E836" s="1"/>
    </row>
    <row r="837">
      <c r="E837" s="1"/>
    </row>
    <row r="838">
      <c r="E838" s="1"/>
    </row>
    <row r="839">
      <c r="E839" s="1"/>
    </row>
    <row r="840">
      <c r="E840" s="1"/>
    </row>
    <row r="841">
      <c r="E841" s="1"/>
    </row>
    <row r="842">
      <c r="E842" s="1"/>
    </row>
    <row r="843">
      <c r="E843" s="1"/>
    </row>
    <row r="844">
      <c r="E844" s="1"/>
    </row>
    <row r="845">
      <c r="E845" s="1"/>
    </row>
    <row r="846">
      <c r="E846" s="1"/>
    </row>
    <row r="847">
      <c r="E847" s="1"/>
    </row>
    <row r="848">
      <c r="E848" s="1"/>
    </row>
    <row r="849">
      <c r="E849" s="1"/>
    </row>
    <row r="850">
      <c r="E850" s="1"/>
    </row>
    <row r="851">
      <c r="E851" s="1"/>
    </row>
    <row r="852">
      <c r="E852" s="1"/>
    </row>
    <row r="853">
      <c r="E853" s="1"/>
    </row>
    <row r="854">
      <c r="E854" s="1"/>
    </row>
    <row r="855">
      <c r="E855" s="1"/>
    </row>
    <row r="856">
      <c r="E856" s="1"/>
    </row>
    <row r="857">
      <c r="E857" s="1"/>
    </row>
    <row r="858">
      <c r="E858" s="1"/>
    </row>
    <row r="859">
      <c r="E859" s="1"/>
    </row>
    <row r="860">
      <c r="E860" s="1"/>
    </row>
    <row r="861">
      <c r="E861" s="1"/>
    </row>
    <row r="862">
      <c r="E862" s="1"/>
    </row>
    <row r="863">
      <c r="E863" s="1"/>
    </row>
    <row r="864">
      <c r="E864" s="1"/>
    </row>
    <row r="865">
      <c r="E865" s="1"/>
    </row>
    <row r="866">
      <c r="E866" s="1"/>
    </row>
    <row r="867">
      <c r="E867" s="1"/>
    </row>
    <row r="868">
      <c r="E868" s="1"/>
    </row>
    <row r="869">
      <c r="E869" s="1"/>
    </row>
    <row r="870">
      <c r="E870" s="1"/>
    </row>
    <row r="871">
      <c r="E871" s="1"/>
    </row>
    <row r="872">
      <c r="E872" s="1"/>
    </row>
    <row r="873">
      <c r="E873" s="1"/>
    </row>
    <row r="874">
      <c r="E874" s="1"/>
    </row>
    <row r="875">
      <c r="E875" s="1"/>
    </row>
    <row r="876">
      <c r="E876" s="1"/>
    </row>
    <row r="877">
      <c r="E877" s="1"/>
    </row>
    <row r="878">
      <c r="E878" s="1"/>
    </row>
    <row r="879">
      <c r="E879" s="1"/>
    </row>
    <row r="880">
      <c r="E880" s="1"/>
    </row>
    <row r="881">
      <c r="E881" s="1"/>
    </row>
    <row r="882">
      <c r="E882" s="1"/>
    </row>
    <row r="883">
      <c r="E883" s="1"/>
    </row>
    <row r="884">
      <c r="E884" s="1"/>
    </row>
    <row r="885">
      <c r="E885" s="1"/>
    </row>
    <row r="886">
      <c r="E886" s="1"/>
    </row>
    <row r="887">
      <c r="E887" s="1"/>
    </row>
    <row r="888">
      <c r="E888" s="1"/>
    </row>
    <row r="889">
      <c r="E889" s="1"/>
    </row>
    <row r="890">
      <c r="E890" s="1"/>
    </row>
    <row r="891">
      <c r="E891" s="1"/>
    </row>
    <row r="892">
      <c r="E892" s="1"/>
    </row>
    <row r="893">
      <c r="E893" s="1"/>
    </row>
    <row r="894">
      <c r="E894" s="1"/>
    </row>
    <row r="895">
      <c r="E895" s="1"/>
    </row>
    <row r="896">
      <c r="E896" s="1"/>
    </row>
    <row r="897">
      <c r="E897" s="1"/>
    </row>
    <row r="898">
      <c r="E898" s="1"/>
    </row>
    <row r="899">
      <c r="E899" s="1"/>
    </row>
    <row r="900">
      <c r="E900" s="1"/>
    </row>
    <row r="901">
      <c r="E901" s="1"/>
    </row>
    <row r="902">
      <c r="E902" s="1"/>
    </row>
    <row r="903">
      <c r="E903" s="1"/>
    </row>
    <row r="904">
      <c r="E904" s="1"/>
    </row>
    <row r="905">
      <c r="E905" s="1"/>
    </row>
    <row r="906">
      <c r="E906" s="1"/>
    </row>
    <row r="907">
      <c r="E907" s="1"/>
    </row>
    <row r="908">
      <c r="E908" s="1"/>
    </row>
    <row r="909">
      <c r="E909" s="1"/>
    </row>
    <row r="910">
      <c r="E910" s="1"/>
    </row>
    <row r="911">
      <c r="E911" s="1"/>
    </row>
    <row r="912">
      <c r="E912" s="1"/>
    </row>
    <row r="913">
      <c r="E913" s="1"/>
    </row>
    <row r="914">
      <c r="E914" s="1"/>
    </row>
    <row r="915">
      <c r="E915" s="1"/>
    </row>
    <row r="916">
      <c r="E916" s="1"/>
    </row>
    <row r="917">
      <c r="E917" s="1"/>
    </row>
    <row r="918">
      <c r="E918" s="1"/>
    </row>
    <row r="919">
      <c r="E919" s="1"/>
    </row>
    <row r="920">
      <c r="E920" s="1"/>
    </row>
    <row r="921">
      <c r="E921" s="1"/>
    </row>
    <row r="922">
      <c r="E922" s="1"/>
    </row>
    <row r="923">
      <c r="E923" s="1"/>
    </row>
    <row r="924">
      <c r="E924" s="1"/>
    </row>
    <row r="925">
      <c r="E925" s="1"/>
    </row>
    <row r="926">
      <c r="E926" s="1"/>
    </row>
    <row r="927">
      <c r="E927" s="1"/>
    </row>
    <row r="928">
      <c r="E928" s="1"/>
    </row>
    <row r="929">
      <c r="E929" s="1"/>
    </row>
    <row r="930">
      <c r="E930" s="1"/>
    </row>
    <row r="931">
      <c r="E931" s="1"/>
    </row>
    <row r="932">
      <c r="E932" s="1"/>
    </row>
    <row r="933">
      <c r="E933" s="1"/>
    </row>
    <row r="934">
      <c r="E934" s="1"/>
    </row>
    <row r="935">
      <c r="E935" s="1"/>
    </row>
    <row r="936">
      <c r="E936" s="1"/>
    </row>
    <row r="937">
      <c r="E937" s="1"/>
    </row>
    <row r="938">
      <c r="E938" s="1"/>
    </row>
    <row r="939">
      <c r="E939" s="1"/>
    </row>
    <row r="940">
      <c r="E940" s="1"/>
    </row>
    <row r="941">
      <c r="E941" s="1"/>
    </row>
    <row r="942">
      <c r="E942" s="1"/>
    </row>
    <row r="943">
      <c r="E943" s="1"/>
    </row>
    <row r="944">
      <c r="E944" s="1"/>
    </row>
    <row r="945">
      <c r="E945" s="1"/>
    </row>
    <row r="946">
      <c r="E946" s="1"/>
    </row>
    <row r="947">
      <c r="E947" s="1"/>
    </row>
  </sheetData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4" max="4" width="22.0"/>
    <col customWidth="1" min="5" max="5" width="15.0"/>
    <col customWidth="1" min="9" max="9" width="18.38"/>
    <col customWidth="1" min="11" max="11" width="18.5"/>
    <col customWidth="1" min="14" max="14" width="18.38"/>
    <col customWidth="1" min="15" max="15" width="15.88"/>
    <col customWidth="1" min="16" max="16" width="18.5"/>
    <col customWidth="1" min="17" max="17" width="17.0"/>
    <col customWidth="1" min="22" max="22" width="19.38"/>
  </cols>
  <sheetData>
    <row r="1">
      <c r="A1" s="4" t="s">
        <v>7</v>
      </c>
      <c r="E1" s="1"/>
    </row>
    <row r="2">
      <c r="E2" s="1"/>
      <c r="K2" s="2" t="s">
        <v>0</v>
      </c>
      <c r="L2" s="3" t="s">
        <v>1</v>
      </c>
      <c r="M2" s="4" t="s">
        <v>2</v>
      </c>
      <c r="N2" s="4" t="s">
        <v>3</v>
      </c>
    </row>
    <row r="3">
      <c r="E3" s="1"/>
      <c r="K3" s="266" t="s">
        <v>4</v>
      </c>
      <c r="L3" s="267">
        <f t="shared" ref="L3:M3" si="1">sum(E6:E22)</f>
        <v>226.2</v>
      </c>
      <c r="M3" s="3">
        <f t="shared" si="1"/>
        <v>772.3</v>
      </c>
      <c r="N3" s="7">
        <f>M3*Sumario!N4</f>
        <v>677.785926</v>
      </c>
      <c r="O3" s="7">
        <f>Sumario!N4</f>
        <v>0.87762</v>
      </c>
    </row>
    <row r="4">
      <c r="B4" s="283" t="s">
        <v>72</v>
      </c>
      <c r="C4" s="10"/>
      <c r="D4" s="10"/>
      <c r="E4" s="11"/>
      <c r="F4" s="10"/>
      <c r="G4" s="10"/>
      <c r="H4" s="10"/>
      <c r="I4" s="10"/>
      <c r="J4" s="10"/>
      <c r="K4" s="10"/>
      <c r="L4" s="10"/>
    </row>
    <row r="5">
      <c r="B5" s="268" t="s">
        <v>8</v>
      </c>
      <c r="C5" s="268" t="s">
        <v>9</v>
      </c>
      <c r="D5" s="268" t="s">
        <v>11</v>
      </c>
      <c r="E5" s="283" t="s">
        <v>12</v>
      </c>
      <c r="F5" s="283" t="s">
        <v>13</v>
      </c>
      <c r="G5" s="12" t="s">
        <v>14</v>
      </c>
      <c r="H5" s="12" t="s">
        <v>123</v>
      </c>
      <c r="I5" s="13" t="s">
        <v>124</v>
      </c>
      <c r="J5" s="14" t="s">
        <v>125</v>
      </c>
      <c r="K5" s="15" t="s">
        <v>126</v>
      </c>
      <c r="L5" s="10"/>
    </row>
    <row r="6">
      <c r="B6" s="265" t="s">
        <v>5121</v>
      </c>
      <c r="C6" s="269"/>
      <c r="D6" s="16" t="s">
        <v>5122</v>
      </c>
      <c r="E6" s="267"/>
      <c r="F6" s="16"/>
      <c r="G6" s="10"/>
      <c r="H6" s="10"/>
      <c r="I6" s="10"/>
      <c r="J6" s="10"/>
      <c r="K6" s="10"/>
      <c r="L6" s="10"/>
    </row>
    <row r="7">
      <c r="B7" s="10"/>
      <c r="C7" s="15" t="s">
        <v>16</v>
      </c>
      <c r="D7" s="16"/>
      <c r="E7" s="267"/>
      <c r="F7" s="15">
        <v>2.21</v>
      </c>
      <c r="G7" s="10"/>
      <c r="H7" s="10"/>
      <c r="I7" s="10"/>
      <c r="J7" s="10"/>
      <c r="K7" s="10"/>
      <c r="L7" s="10"/>
    </row>
    <row r="8">
      <c r="B8" s="10"/>
      <c r="C8" s="15" t="s">
        <v>20</v>
      </c>
      <c r="D8" s="16"/>
      <c r="E8" s="267">
        <f>2.14</f>
        <v>2.14</v>
      </c>
      <c r="F8" s="10">
        <f>114.4+9.09+35.42</f>
        <v>158.91</v>
      </c>
      <c r="G8" s="10"/>
      <c r="H8" s="10"/>
      <c r="I8" s="10"/>
      <c r="J8" s="10"/>
      <c r="K8" s="10"/>
      <c r="L8" s="10"/>
    </row>
    <row r="9">
      <c r="B9" s="10"/>
      <c r="C9" s="15" t="s">
        <v>27</v>
      </c>
      <c r="D9" s="16"/>
      <c r="E9" s="267"/>
      <c r="F9" s="10"/>
      <c r="G9" s="10"/>
      <c r="H9" s="10"/>
      <c r="I9" s="10"/>
      <c r="J9" s="10"/>
      <c r="K9" s="10"/>
      <c r="L9" s="10"/>
    </row>
    <row r="10">
      <c r="B10" s="10"/>
      <c r="C10" s="15" t="s">
        <v>29</v>
      </c>
      <c r="D10" s="16"/>
      <c r="E10" s="267"/>
      <c r="F10" s="10"/>
      <c r="G10" s="10"/>
      <c r="H10" s="10"/>
      <c r="I10" s="10"/>
      <c r="J10" s="10"/>
      <c r="K10" s="10"/>
      <c r="L10" s="10"/>
    </row>
    <row r="11">
      <c r="B11" s="10"/>
      <c r="C11" s="15" t="s">
        <v>30</v>
      </c>
      <c r="D11" s="16"/>
      <c r="E11" s="267">
        <f>9.3</f>
        <v>9.3</v>
      </c>
      <c r="F11" s="15">
        <f>5.26</f>
        <v>5.26</v>
      </c>
      <c r="G11" s="334">
        <f t="shared" ref="G11:G20" si="2">E11+(F11*$O$3)</f>
        <v>13.9162812</v>
      </c>
      <c r="H11" s="10"/>
      <c r="I11" s="10"/>
      <c r="J11" s="10"/>
      <c r="K11" s="10"/>
      <c r="L11" s="10"/>
    </row>
    <row r="12">
      <c r="B12" s="15"/>
      <c r="C12" s="15" t="s">
        <v>32</v>
      </c>
      <c r="D12" s="20"/>
      <c r="E12" s="267">
        <f>24.04+4.35</f>
        <v>28.39</v>
      </c>
      <c r="F12" s="10"/>
      <c r="G12" s="334">
        <f t="shared" si="2"/>
        <v>28.39</v>
      </c>
      <c r="H12" s="15"/>
      <c r="I12" s="15"/>
      <c r="J12" s="15"/>
      <c r="K12" s="15"/>
      <c r="L12" s="10"/>
    </row>
    <row r="13">
      <c r="B13" s="15"/>
      <c r="C13" s="15" t="s">
        <v>33</v>
      </c>
      <c r="D13" s="20"/>
      <c r="E13" s="267">
        <f>10.07+3.12+14.4+6.32</f>
        <v>33.91</v>
      </c>
      <c r="F13" s="10">
        <f>9.04</f>
        <v>9.04</v>
      </c>
      <c r="G13" s="334">
        <f t="shared" si="2"/>
        <v>41.8436848</v>
      </c>
      <c r="H13" s="15"/>
      <c r="I13" s="15"/>
      <c r="J13" s="15"/>
      <c r="K13" s="15"/>
      <c r="L13" s="10"/>
    </row>
    <row r="14">
      <c r="B14" s="15"/>
      <c r="C14" s="15" t="s">
        <v>34</v>
      </c>
      <c r="D14" s="20"/>
      <c r="E14" s="267">
        <f>23.69+1.48</f>
        <v>25.17</v>
      </c>
      <c r="F14" s="10"/>
      <c r="G14" s="334">
        <f t="shared" si="2"/>
        <v>25.17</v>
      </c>
      <c r="H14" s="15"/>
      <c r="I14" s="15"/>
      <c r="J14" s="15"/>
      <c r="K14" s="15"/>
      <c r="L14" s="10"/>
    </row>
    <row r="15">
      <c r="B15" s="15"/>
      <c r="C15" s="15" t="s">
        <v>38</v>
      </c>
      <c r="D15" s="20"/>
      <c r="E15" s="267">
        <f>93.17+12.18+21.94</f>
        <v>127.29</v>
      </c>
      <c r="F15" s="15">
        <f>191.32</f>
        <v>191.32</v>
      </c>
      <c r="G15" s="334">
        <f t="shared" si="2"/>
        <v>295.1962584</v>
      </c>
      <c r="H15" s="15"/>
      <c r="I15" s="15"/>
      <c r="J15" s="15"/>
      <c r="K15" s="15"/>
      <c r="L15" s="10"/>
    </row>
    <row r="16">
      <c r="B16" s="15"/>
      <c r="C16" s="15" t="s">
        <v>39</v>
      </c>
      <c r="D16" s="20"/>
      <c r="E16" s="267"/>
      <c r="F16" s="10">
        <f>38.83</f>
        <v>38.83</v>
      </c>
      <c r="G16" s="334">
        <f t="shared" si="2"/>
        <v>34.0779846</v>
      </c>
      <c r="H16" s="15"/>
      <c r="I16" s="15"/>
      <c r="J16" s="15"/>
      <c r="K16" s="15"/>
      <c r="L16" s="10"/>
    </row>
    <row r="17">
      <c r="B17" s="15"/>
      <c r="C17" s="15" t="s">
        <v>40</v>
      </c>
      <c r="D17" s="20"/>
      <c r="E17" s="267"/>
      <c r="F17" s="15">
        <f>16.33</f>
        <v>16.33</v>
      </c>
      <c r="G17" s="334">
        <f t="shared" si="2"/>
        <v>14.3315346</v>
      </c>
      <c r="H17" s="15"/>
      <c r="I17" s="15"/>
      <c r="J17" s="15"/>
      <c r="K17" s="15"/>
      <c r="L17" s="10"/>
    </row>
    <row r="18">
      <c r="B18" s="15"/>
      <c r="C18" s="15" t="s">
        <v>41</v>
      </c>
      <c r="D18" s="20"/>
      <c r="E18" s="267"/>
      <c r="F18" s="10"/>
      <c r="G18" s="334">
        <f t="shared" si="2"/>
        <v>0</v>
      </c>
      <c r="H18" s="15"/>
      <c r="I18" s="15"/>
      <c r="J18" s="15"/>
      <c r="K18" s="15"/>
      <c r="L18" s="10"/>
    </row>
    <row r="19">
      <c r="B19" s="15"/>
      <c r="C19" s="15" t="s">
        <v>42</v>
      </c>
      <c r="D19" s="20"/>
      <c r="E19" s="267"/>
      <c r="F19" s="15">
        <f>247.64+15.5+26.4</f>
        <v>289.54</v>
      </c>
      <c r="G19" s="334">
        <f t="shared" si="2"/>
        <v>254.1060948</v>
      </c>
      <c r="H19" s="15"/>
      <c r="I19" s="15"/>
      <c r="J19" s="15"/>
      <c r="K19" s="15"/>
      <c r="L19" s="10"/>
    </row>
    <row r="20">
      <c r="B20" s="15"/>
      <c r="C20" s="15" t="s">
        <v>47</v>
      </c>
      <c r="D20" s="20"/>
      <c r="E20" s="267"/>
      <c r="F20" s="10">
        <f>2.55+52.61+5.7</f>
        <v>60.86</v>
      </c>
      <c r="G20" s="334">
        <f t="shared" si="2"/>
        <v>53.4119532</v>
      </c>
      <c r="H20" s="15"/>
      <c r="I20" s="15"/>
      <c r="J20" s="15"/>
      <c r="K20" s="15"/>
      <c r="L20" s="10"/>
    </row>
    <row r="21">
      <c r="B21" s="15"/>
      <c r="C21" s="15" t="s">
        <v>48</v>
      </c>
      <c r="D21" s="20"/>
      <c r="E21" s="267"/>
      <c r="F21" s="15"/>
      <c r="G21" s="15"/>
      <c r="H21" s="15"/>
      <c r="I21" s="15"/>
      <c r="J21" s="15"/>
      <c r="K21" s="15"/>
      <c r="L21" s="10"/>
    </row>
    <row r="22">
      <c r="B22" s="15"/>
      <c r="C22" s="15" t="s">
        <v>46</v>
      </c>
      <c r="D22" s="20"/>
      <c r="E22" s="267"/>
      <c r="F22" s="10"/>
      <c r="G22" s="15"/>
      <c r="H22" s="15"/>
      <c r="I22" s="15"/>
      <c r="J22" s="15"/>
      <c r="K22" s="15"/>
      <c r="L22" s="10"/>
    </row>
    <row r="23">
      <c r="C23" s="15"/>
      <c r="E23" s="1"/>
      <c r="I23" s="45"/>
      <c r="J23" s="45"/>
      <c r="K23" s="45"/>
      <c r="L23" s="45"/>
      <c r="M23" s="45"/>
      <c r="N23" s="45"/>
      <c r="O23" s="45"/>
      <c r="P23" s="45"/>
      <c r="Q23" s="45"/>
    </row>
    <row r="24">
      <c r="E24" s="1"/>
      <c r="I24" s="45"/>
      <c r="J24" s="45"/>
      <c r="K24" s="45"/>
      <c r="L24" s="45"/>
      <c r="M24" s="45"/>
      <c r="N24" s="45"/>
      <c r="O24" s="45"/>
      <c r="P24" s="45"/>
      <c r="Q24" s="45"/>
    </row>
    <row r="25">
      <c r="E25" s="1"/>
      <c r="I25" s="45"/>
      <c r="J25" s="45"/>
      <c r="K25" s="45"/>
      <c r="L25" s="45"/>
      <c r="M25" s="45"/>
      <c r="N25" s="45"/>
      <c r="O25" s="45"/>
      <c r="P25" s="45"/>
      <c r="Q25" s="45"/>
    </row>
    <row r="26">
      <c r="E26" s="1"/>
      <c r="I26" s="45"/>
      <c r="J26" s="45"/>
      <c r="K26" s="45"/>
      <c r="L26" s="45"/>
      <c r="M26" s="45"/>
      <c r="N26" s="45"/>
      <c r="O26" s="45"/>
      <c r="P26" s="45"/>
      <c r="Q26" s="45"/>
    </row>
    <row r="27">
      <c r="E27" s="1"/>
    </row>
    <row r="28">
      <c r="B28" s="4" t="s">
        <v>5207</v>
      </c>
      <c r="C28" s="4" t="s">
        <v>5208</v>
      </c>
      <c r="D28" s="4">
        <v>189.18</v>
      </c>
      <c r="E28" s="1"/>
    </row>
    <row r="29">
      <c r="B29" s="4" t="s">
        <v>5799</v>
      </c>
      <c r="C29" s="4" t="s">
        <v>5139</v>
      </c>
      <c r="D29" s="4">
        <v>53.8</v>
      </c>
      <c r="E29" s="1"/>
    </row>
    <row r="30">
      <c r="B30" s="4" t="s">
        <v>193</v>
      </c>
      <c r="C30" s="4" t="s">
        <v>199</v>
      </c>
      <c r="D30" s="4">
        <v>209.88</v>
      </c>
      <c r="E30" s="1"/>
    </row>
    <row r="31">
      <c r="B31" s="4" t="s">
        <v>1782</v>
      </c>
      <c r="C31" s="4" t="s">
        <v>5825</v>
      </c>
      <c r="D31" s="4">
        <v>26.51</v>
      </c>
      <c r="E31" s="1"/>
    </row>
    <row r="32">
      <c r="B32" s="4" t="s">
        <v>4839</v>
      </c>
      <c r="C32" s="4" t="s">
        <v>5826</v>
      </c>
      <c r="D32" s="4">
        <v>169.91</v>
      </c>
      <c r="E32" s="1"/>
    </row>
    <row r="33">
      <c r="B33" s="4" t="s">
        <v>3651</v>
      </c>
      <c r="C33" s="4" t="s">
        <v>5827</v>
      </c>
      <c r="D33" s="4">
        <v>889.0</v>
      </c>
      <c r="E33" s="1"/>
    </row>
    <row r="34">
      <c r="B34" s="4" t="s">
        <v>1782</v>
      </c>
      <c r="E34" s="1"/>
    </row>
    <row r="35">
      <c r="E35" s="1"/>
    </row>
    <row r="36">
      <c r="E36" s="1"/>
    </row>
    <row r="37">
      <c r="E37" s="1"/>
    </row>
    <row r="38">
      <c r="E38" s="1"/>
    </row>
    <row r="39">
      <c r="E39" s="1"/>
    </row>
    <row r="40">
      <c r="E40" s="1"/>
    </row>
    <row r="41">
      <c r="E41" s="1"/>
    </row>
    <row r="42">
      <c r="E42" s="1"/>
    </row>
    <row r="43">
      <c r="E43" s="1"/>
    </row>
    <row r="44">
      <c r="E44" s="1"/>
    </row>
    <row r="45">
      <c r="E45" s="1"/>
    </row>
    <row r="46">
      <c r="E46" s="1"/>
    </row>
    <row r="47">
      <c r="E47" s="1"/>
    </row>
    <row r="48">
      <c r="E48" s="1"/>
    </row>
    <row r="49">
      <c r="E49" s="1"/>
    </row>
    <row r="50">
      <c r="E50" s="1"/>
    </row>
    <row r="51">
      <c r="E51" s="1"/>
    </row>
    <row r="52">
      <c r="E52" s="1"/>
    </row>
    <row r="53">
      <c r="E53" s="1"/>
    </row>
    <row r="54">
      <c r="E54" s="1"/>
    </row>
    <row r="55">
      <c r="E55" s="1"/>
    </row>
    <row r="56">
      <c r="E56" s="1"/>
    </row>
    <row r="57">
      <c r="E57" s="1"/>
    </row>
    <row r="58">
      <c r="E58" s="1"/>
    </row>
    <row r="59">
      <c r="E59" s="1"/>
    </row>
    <row r="60">
      <c r="E60" s="1"/>
    </row>
    <row r="61">
      <c r="E61" s="1"/>
    </row>
    <row r="62">
      <c r="E62" s="1"/>
    </row>
    <row r="63">
      <c r="E63" s="1"/>
    </row>
    <row r="64">
      <c r="E64" s="1"/>
    </row>
    <row r="65">
      <c r="E65" s="1"/>
    </row>
    <row r="66">
      <c r="E66" s="1"/>
    </row>
    <row r="67">
      <c r="E67" s="1"/>
    </row>
    <row r="68">
      <c r="E68" s="1"/>
    </row>
    <row r="69">
      <c r="E69" s="1"/>
    </row>
    <row r="70">
      <c r="E70" s="1"/>
    </row>
    <row r="71">
      <c r="E71" s="1"/>
    </row>
    <row r="72">
      <c r="E72" s="1"/>
    </row>
    <row r="73">
      <c r="E73" s="1"/>
    </row>
    <row r="74">
      <c r="E74" s="1"/>
    </row>
    <row r="75">
      <c r="E75" s="1"/>
    </row>
    <row r="76">
      <c r="E76" s="1"/>
    </row>
    <row r="77">
      <c r="E77" s="1"/>
    </row>
    <row r="78">
      <c r="E78" s="1"/>
    </row>
    <row r="79">
      <c r="E79" s="1"/>
    </row>
    <row r="80">
      <c r="E80" s="1"/>
    </row>
    <row r="81">
      <c r="E81" s="1"/>
    </row>
    <row r="82">
      <c r="E82" s="1"/>
    </row>
    <row r="83">
      <c r="E83" s="1"/>
    </row>
    <row r="84">
      <c r="E84" s="1"/>
    </row>
    <row r="85">
      <c r="E85" s="1"/>
    </row>
    <row r="86">
      <c r="E86" s="1"/>
    </row>
    <row r="87">
      <c r="E87" s="1"/>
    </row>
    <row r="88">
      <c r="E88" s="1"/>
    </row>
    <row r="89">
      <c r="E89" s="1"/>
    </row>
    <row r="90">
      <c r="E90" s="1"/>
    </row>
    <row r="91">
      <c r="E91" s="1"/>
    </row>
    <row r="92">
      <c r="E92" s="1"/>
    </row>
    <row r="93">
      <c r="E93" s="1"/>
    </row>
    <row r="94">
      <c r="E94" s="1"/>
    </row>
    <row r="95">
      <c r="E95" s="1"/>
    </row>
    <row r="96">
      <c r="E96" s="1"/>
    </row>
    <row r="97">
      <c r="E97" s="1"/>
    </row>
    <row r="98">
      <c r="E98" s="1"/>
    </row>
    <row r="99">
      <c r="E99" s="1"/>
    </row>
    <row r="100">
      <c r="E100" s="1"/>
    </row>
    <row r="101">
      <c r="E101" s="1"/>
    </row>
    <row r="102">
      <c r="E102" s="1"/>
    </row>
    <row r="103">
      <c r="E103" s="1"/>
    </row>
    <row r="104">
      <c r="E104" s="1"/>
    </row>
    <row r="105">
      <c r="E105" s="1"/>
    </row>
    <row r="106">
      <c r="E106" s="1"/>
    </row>
    <row r="107">
      <c r="E107" s="1"/>
    </row>
    <row r="108">
      <c r="E108" s="1"/>
    </row>
    <row r="109">
      <c r="E109" s="1"/>
    </row>
    <row r="110">
      <c r="E110" s="1"/>
    </row>
    <row r="111">
      <c r="E111" s="1"/>
    </row>
    <row r="112">
      <c r="E112" s="1"/>
    </row>
    <row r="113">
      <c r="E113" s="1"/>
    </row>
    <row r="114">
      <c r="E114" s="1"/>
    </row>
    <row r="115">
      <c r="E115" s="1"/>
    </row>
    <row r="116">
      <c r="E116" s="1"/>
    </row>
    <row r="117">
      <c r="E117" s="1"/>
    </row>
    <row r="118">
      <c r="E118" s="1"/>
    </row>
    <row r="119">
      <c r="E119" s="1"/>
    </row>
    <row r="120">
      <c r="E120" s="1"/>
    </row>
    <row r="121">
      <c r="E121" s="1"/>
    </row>
    <row r="122">
      <c r="E122" s="1"/>
    </row>
    <row r="123">
      <c r="E123" s="1"/>
    </row>
    <row r="124">
      <c r="E124" s="1"/>
    </row>
    <row r="125">
      <c r="E125" s="1"/>
    </row>
    <row r="126">
      <c r="E126" s="1"/>
    </row>
    <row r="127">
      <c r="E127" s="1"/>
    </row>
    <row r="128">
      <c r="E128" s="1"/>
    </row>
    <row r="129">
      <c r="E129" s="1"/>
    </row>
    <row r="130">
      <c r="E130" s="1"/>
    </row>
    <row r="131">
      <c r="E131" s="1"/>
    </row>
    <row r="132">
      <c r="E132" s="1"/>
    </row>
    <row r="133">
      <c r="E133" s="1"/>
    </row>
    <row r="134">
      <c r="E134" s="1"/>
    </row>
    <row r="135">
      <c r="E135" s="1"/>
    </row>
    <row r="136">
      <c r="E136" s="1"/>
    </row>
    <row r="137">
      <c r="E137" s="1"/>
    </row>
    <row r="138">
      <c r="E138" s="1"/>
    </row>
    <row r="139">
      <c r="E139" s="1"/>
    </row>
    <row r="140">
      <c r="E140" s="1"/>
    </row>
    <row r="141">
      <c r="E141" s="1"/>
    </row>
    <row r="142">
      <c r="E142" s="1"/>
    </row>
    <row r="143">
      <c r="E143" s="1"/>
    </row>
    <row r="144">
      <c r="E144" s="1"/>
    </row>
    <row r="145">
      <c r="E145" s="1"/>
    </row>
    <row r="146">
      <c r="E146" s="1"/>
    </row>
    <row r="147">
      <c r="E147" s="1"/>
    </row>
    <row r="148">
      <c r="E148" s="1"/>
    </row>
    <row r="149">
      <c r="E149" s="1"/>
    </row>
    <row r="150">
      <c r="E150" s="1"/>
    </row>
    <row r="151">
      <c r="E151" s="1"/>
    </row>
    <row r="152">
      <c r="E152" s="1"/>
    </row>
    <row r="153">
      <c r="E153" s="1"/>
    </row>
    <row r="154">
      <c r="E154" s="1"/>
    </row>
    <row r="155">
      <c r="E155" s="1"/>
    </row>
    <row r="156">
      <c r="E156" s="1"/>
    </row>
    <row r="157">
      <c r="E157" s="1"/>
    </row>
    <row r="158">
      <c r="E158" s="1"/>
    </row>
    <row r="159">
      <c r="E159" s="1"/>
    </row>
    <row r="160">
      <c r="E160" s="1"/>
    </row>
    <row r="161">
      <c r="E161" s="1"/>
    </row>
    <row r="162">
      <c r="E162" s="1"/>
    </row>
    <row r="163">
      <c r="E163" s="1"/>
    </row>
    <row r="164">
      <c r="E164" s="1"/>
    </row>
    <row r="165">
      <c r="E165" s="1"/>
    </row>
    <row r="166">
      <c r="E166" s="1"/>
    </row>
    <row r="167">
      <c r="E167" s="1"/>
    </row>
    <row r="168">
      <c r="E168" s="1"/>
    </row>
    <row r="169">
      <c r="E169" s="1"/>
    </row>
    <row r="170">
      <c r="E170" s="1"/>
    </row>
    <row r="171">
      <c r="E171" s="1"/>
    </row>
    <row r="172">
      <c r="E172" s="1"/>
    </row>
    <row r="173">
      <c r="E173" s="1"/>
    </row>
    <row r="174">
      <c r="E174" s="1"/>
    </row>
    <row r="175">
      <c r="E175" s="1"/>
    </row>
    <row r="176">
      <c r="E176" s="1"/>
    </row>
    <row r="177">
      <c r="E177" s="1"/>
    </row>
    <row r="178">
      <c r="E178" s="1"/>
    </row>
    <row r="179">
      <c r="E179" s="1"/>
    </row>
    <row r="180">
      <c r="E180" s="1"/>
    </row>
    <row r="181">
      <c r="E181" s="1"/>
    </row>
    <row r="182">
      <c r="E182" s="1"/>
    </row>
    <row r="183">
      <c r="E183" s="1"/>
    </row>
    <row r="184">
      <c r="E184" s="1"/>
    </row>
    <row r="185">
      <c r="E185" s="1"/>
    </row>
    <row r="186">
      <c r="E186" s="1"/>
    </row>
    <row r="187">
      <c r="E187" s="1"/>
    </row>
    <row r="188">
      <c r="E188" s="1"/>
    </row>
    <row r="189">
      <c r="E189" s="1"/>
    </row>
    <row r="190">
      <c r="E190" s="1"/>
    </row>
    <row r="191">
      <c r="E191" s="1"/>
    </row>
    <row r="192">
      <c r="E192" s="1"/>
    </row>
    <row r="193">
      <c r="E193" s="1"/>
    </row>
    <row r="194">
      <c r="E194" s="1"/>
    </row>
    <row r="195">
      <c r="E195" s="1"/>
    </row>
    <row r="196">
      <c r="E196" s="1"/>
    </row>
    <row r="197">
      <c r="E197" s="1"/>
    </row>
    <row r="198">
      <c r="E198" s="1"/>
    </row>
    <row r="199">
      <c r="E199" s="1"/>
    </row>
    <row r="200">
      <c r="E200" s="1"/>
    </row>
    <row r="201">
      <c r="E201" s="1"/>
    </row>
    <row r="202">
      <c r="E202" s="1"/>
    </row>
    <row r="203">
      <c r="E203" s="1"/>
    </row>
    <row r="204">
      <c r="E204" s="1"/>
    </row>
    <row r="205">
      <c r="E205" s="1"/>
    </row>
    <row r="206">
      <c r="E206" s="1"/>
    </row>
    <row r="207">
      <c r="E207" s="1"/>
    </row>
    <row r="208">
      <c r="E208" s="1"/>
    </row>
    <row r="209">
      <c r="E209" s="1"/>
    </row>
    <row r="210">
      <c r="E210" s="1"/>
    </row>
    <row r="211">
      <c r="E211" s="1"/>
    </row>
    <row r="212">
      <c r="E212" s="1"/>
    </row>
    <row r="213">
      <c r="E213" s="1"/>
    </row>
    <row r="214">
      <c r="E214" s="1"/>
    </row>
    <row r="215">
      <c r="E215" s="1"/>
    </row>
    <row r="216">
      <c r="E216" s="1"/>
    </row>
    <row r="217">
      <c r="E217" s="1"/>
    </row>
    <row r="218">
      <c r="E218" s="1"/>
    </row>
    <row r="219">
      <c r="E219" s="1"/>
    </row>
    <row r="220">
      <c r="E220" s="1"/>
    </row>
    <row r="221">
      <c r="E221" s="1"/>
    </row>
    <row r="222">
      <c r="E222" s="1"/>
    </row>
    <row r="223">
      <c r="E223" s="1"/>
    </row>
    <row r="224">
      <c r="E224" s="1"/>
    </row>
    <row r="225">
      <c r="E225" s="1"/>
    </row>
    <row r="226">
      <c r="E226" s="1"/>
    </row>
    <row r="227">
      <c r="E227" s="1"/>
    </row>
    <row r="228">
      <c r="E228" s="1"/>
    </row>
    <row r="229">
      <c r="E229" s="1"/>
    </row>
    <row r="230">
      <c r="E230" s="1"/>
    </row>
    <row r="231">
      <c r="E231" s="1"/>
    </row>
    <row r="232">
      <c r="E232" s="1"/>
    </row>
    <row r="233">
      <c r="E233" s="1"/>
    </row>
    <row r="234">
      <c r="E234" s="1"/>
    </row>
    <row r="235">
      <c r="E235" s="1"/>
    </row>
    <row r="236">
      <c r="E236" s="1"/>
    </row>
    <row r="237">
      <c r="E237" s="1"/>
    </row>
    <row r="238">
      <c r="E238" s="1"/>
    </row>
    <row r="239">
      <c r="E239" s="1"/>
    </row>
    <row r="240">
      <c r="E240" s="1"/>
    </row>
    <row r="241">
      <c r="E241" s="1"/>
    </row>
    <row r="242">
      <c r="E242" s="1"/>
    </row>
    <row r="243">
      <c r="E243" s="1"/>
    </row>
    <row r="244">
      <c r="E244" s="1"/>
    </row>
    <row r="245">
      <c r="E245" s="1"/>
    </row>
    <row r="246">
      <c r="E246" s="1"/>
    </row>
    <row r="247">
      <c r="E247" s="1"/>
    </row>
    <row r="248">
      <c r="E248" s="1"/>
    </row>
    <row r="249">
      <c r="E249" s="1"/>
    </row>
    <row r="250">
      <c r="E250" s="1"/>
    </row>
    <row r="251">
      <c r="E251" s="1"/>
    </row>
    <row r="252">
      <c r="E252" s="1"/>
    </row>
    <row r="253">
      <c r="E253" s="1"/>
    </row>
    <row r="254">
      <c r="E254" s="1"/>
    </row>
    <row r="255">
      <c r="E255" s="1"/>
    </row>
    <row r="256">
      <c r="E256" s="1"/>
    </row>
    <row r="257">
      <c r="E257" s="1"/>
    </row>
    <row r="258">
      <c r="E258" s="1"/>
    </row>
    <row r="259">
      <c r="E259" s="1"/>
    </row>
    <row r="260">
      <c r="E260" s="1"/>
    </row>
    <row r="261">
      <c r="E261" s="1"/>
    </row>
    <row r="262">
      <c r="E262" s="1"/>
    </row>
    <row r="263">
      <c r="E263" s="1"/>
    </row>
    <row r="264">
      <c r="E264" s="1"/>
    </row>
    <row r="265">
      <c r="E265" s="1"/>
    </row>
    <row r="266">
      <c r="E266" s="1"/>
    </row>
    <row r="267">
      <c r="E267" s="1"/>
    </row>
    <row r="268">
      <c r="E268" s="1"/>
    </row>
    <row r="269">
      <c r="E269" s="1"/>
    </row>
    <row r="270">
      <c r="E270" s="1"/>
    </row>
    <row r="271">
      <c r="E271" s="1"/>
    </row>
    <row r="272">
      <c r="E272" s="1"/>
    </row>
    <row r="273">
      <c r="E273" s="1"/>
    </row>
    <row r="274">
      <c r="E274" s="1"/>
    </row>
    <row r="275">
      <c r="E275" s="1"/>
    </row>
    <row r="276">
      <c r="E276" s="1"/>
    </row>
    <row r="277">
      <c r="E277" s="1"/>
    </row>
    <row r="278">
      <c r="E278" s="1"/>
    </row>
    <row r="279">
      <c r="E279" s="1"/>
    </row>
    <row r="280">
      <c r="E280" s="1"/>
    </row>
    <row r="281">
      <c r="E281" s="1"/>
    </row>
    <row r="282">
      <c r="E282" s="1"/>
    </row>
    <row r="283">
      <c r="E283" s="1"/>
    </row>
    <row r="284">
      <c r="E284" s="1"/>
    </row>
    <row r="285">
      <c r="E285" s="1"/>
    </row>
    <row r="286">
      <c r="E286" s="1"/>
    </row>
    <row r="287">
      <c r="E287" s="1"/>
    </row>
    <row r="288">
      <c r="E288" s="1"/>
    </row>
    <row r="289">
      <c r="E289" s="1"/>
    </row>
    <row r="290">
      <c r="E290" s="1"/>
    </row>
    <row r="291">
      <c r="E291" s="1"/>
    </row>
    <row r="292">
      <c r="E292" s="1"/>
    </row>
    <row r="293">
      <c r="E293" s="1"/>
    </row>
    <row r="294">
      <c r="E294" s="1"/>
    </row>
    <row r="295">
      <c r="E295" s="1"/>
    </row>
    <row r="296">
      <c r="E296" s="1"/>
    </row>
    <row r="297">
      <c r="E297" s="1"/>
    </row>
    <row r="298">
      <c r="E298" s="1"/>
    </row>
    <row r="299">
      <c r="E299" s="1"/>
    </row>
    <row r="300">
      <c r="E300" s="1"/>
    </row>
    <row r="301">
      <c r="E301" s="1"/>
    </row>
    <row r="302">
      <c r="E302" s="1"/>
    </row>
    <row r="303">
      <c r="E303" s="1"/>
    </row>
    <row r="304">
      <c r="E304" s="1"/>
    </row>
    <row r="305">
      <c r="E305" s="1"/>
    </row>
    <row r="306">
      <c r="E306" s="1"/>
    </row>
    <row r="307">
      <c r="E307" s="1"/>
    </row>
    <row r="308">
      <c r="E308" s="1"/>
    </row>
    <row r="309">
      <c r="E309" s="1"/>
    </row>
    <row r="310">
      <c r="E310" s="1"/>
    </row>
    <row r="311">
      <c r="E311" s="1"/>
    </row>
    <row r="312">
      <c r="E312" s="1"/>
    </row>
    <row r="313">
      <c r="E313" s="1"/>
    </row>
    <row r="314">
      <c r="E314" s="1"/>
    </row>
    <row r="315">
      <c r="E315" s="1"/>
    </row>
    <row r="316">
      <c r="E316" s="1"/>
    </row>
    <row r="317">
      <c r="E317" s="1"/>
    </row>
    <row r="318">
      <c r="E318" s="1"/>
    </row>
    <row r="319">
      <c r="E319" s="1"/>
    </row>
    <row r="320">
      <c r="E320" s="1"/>
    </row>
    <row r="321">
      <c r="E321" s="1"/>
    </row>
    <row r="322">
      <c r="E322" s="1"/>
    </row>
    <row r="323">
      <c r="E323" s="1"/>
    </row>
    <row r="324">
      <c r="E324" s="1"/>
    </row>
    <row r="325">
      <c r="E325" s="1"/>
    </row>
    <row r="326">
      <c r="E326" s="1"/>
    </row>
    <row r="327">
      <c r="E327" s="1"/>
    </row>
    <row r="328">
      <c r="E328" s="1"/>
    </row>
    <row r="329">
      <c r="E329" s="1"/>
    </row>
    <row r="330">
      <c r="E330" s="1"/>
    </row>
    <row r="331">
      <c r="E331" s="1"/>
    </row>
    <row r="332">
      <c r="E332" s="1"/>
    </row>
    <row r="333">
      <c r="E333" s="1"/>
    </row>
    <row r="334">
      <c r="E334" s="1"/>
    </row>
    <row r="335">
      <c r="E335" s="1"/>
    </row>
    <row r="336">
      <c r="E336" s="1"/>
    </row>
    <row r="337">
      <c r="E337" s="1"/>
    </row>
    <row r="338">
      <c r="E338" s="1"/>
    </row>
    <row r="339">
      <c r="E339" s="1"/>
    </row>
    <row r="340">
      <c r="E340" s="1"/>
    </row>
    <row r="341">
      <c r="E341" s="1"/>
    </row>
    <row r="342">
      <c r="E342" s="1"/>
    </row>
    <row r="343">
      <c r="E343" s="1"/>
    </row>
    <row r="344">
      <c r="E344" s="1"/>
    </row>
    <row r="345">
      <c r="E345" s="1"/>
    </row>
    <row r="346">
      <c r="E346" s="1"/>
    </row>
    <row r="347">
      <c r="E347" s="1"/>
    </row>
    <row r="348">
      <c r="E348" s="1"/>
    </row>
    <row r="349">
      <c r="E349" s="1"/>
    </row>
    <row r="350">
      <c r="E350" s="1"/>
    </row>
    <row r="351">
      <c r="E351" s="1"/>
    </row>
    <row r="352">
      <c r="E352" s="1"/>
    </row>
    <row r="353">
      <c r="E353" s="1"/>
    </row>
    <row r="354">
      <c r="E354" s="1"/>
    </row>
    <row r="355">
      <c r="E355" s="1"/>
    </row>
    <row r="356">
      <c r="E356" s="1"/>
    </row>
    <row r="357">
      <c r="E357" s="1"/>
    </row>
    <row r="358">
      <c r="E358" s="1"/>
    </row>
    <row r="359">
      <c r="E359" s="1"/>
    </row>
    <row r="360">
      <c r="E360" s="1"/>
    </row>
    <row r="361">
      <c r="E361" s="1"/>
    </row>
    <row r="362">
      <c r="E362" s="1"/>
    </row>
    <row r="363">
      <c r="E363" s="1"/>
    </row>
    <row r="364">
      <c r="E364" s="1"/>
    </row>
    <row r="365">
      <c r="E365" s="1"/>
    </row>
    <row r="366">
      <c r="E366" s="1"/>
    </row>
    <row r="367">
      <c r="E367" s="1"/>
    </row>
    <row r="368">
      <c r="E368" s="1"/>
    </row>
    <row r="369">
      <c r="E369" s="1"/>
    </row>
    <row r="370">
      <c r="E370" s="1"/>
    </row>
    <row r="371">
      <c r="E371" s="1"/>
    </row>
    <row r="372">
      <c r="E372" s="1"/>
    </row>
    <row r="373">
      <c r="E373" s="1"/>
    </row>
    <row r="374">
      <c r="E374" s="1"/>
    </row>
    <row r="375">
      <c r="E375" s="1"/>
    </row>
    <row r="376">
      <c r="E376" s="1"/>
    </row>
    <row r="377">
      <c r="E377" s="1"/>
    </row>
    <row r="378">
      <c r="E378" s="1"/>
    </row>
    <row r="379">
      <c r="E379" s="1"/>
    </row>
    <row r="380">
      <c r="E380" s="1"/>
    </row>
    <row r="381">
      <c r="E381" s="1"/>
    </row>
    <row r="382">
      <c r="E382" s="1"/>
    </row>
    <row r="383">
      <c r="E383" s="1"/>
    </row>
    <row r="384">
      <c r="E384" s="1"/>
    </row>
    <row r="385">
      <c r="E385" s="1"/>
    </row>
    <row r="386">
      <c r="E386" s="1"/>
    </row>
    <row r="387">
      <c r="E387" s="1"/>
    </row>
    <row r="388">
      <c r="E388" s="1"/>
    </row>
    <row r="389">
      <c r="E389" s="1"/>
    </row>
    <row r="390">
      <c r="E390" s="1"/>
    </row>
    <row r="391">
      <c r="E391" s="1"/>
    </row>
    <row r="392">
      <c r="E392" s="1"/>
    </row>
    <row r="393">
      <c r="E393" s="1"/>
    </row>
    <row r="394">
      <c r="E394" s="1"/>
    </row>
    <row r="395">
      <c r="E395" s="1"/>
    </row>
    <row r="396">
      <c r="E396" s="1"/>
    </row>
    <row r="397">
      <c r="E397" s="1"/>
    </row>
    <row r="398">
      <c r="E398" s="1"/>
    </row>
    <row r="399">
      <c r="E399" s="1"/>
    </row>
    <row r="400">
      <c r="E400" s="1"/>
    </row>
    <row r="401">
      <c r="E401" s="1"/>
    </row>
    <row r="402">
      <c r="E402" s="1"/>
    </row>
    <row r="403">
      <c r="E403" s="1"/>
    </row>
    <row r="404">
      <c r="E404" s="1"/>
    </row>
    <row r="405">
      <c r="E405" s="1"/>
    </row>
    <row r="406">
      <c r="E406" s="1"/>
    </row>
    <row r="407">
      <c r="E407" s="1"/>
    </row>
    <row r="408">
      <c r="E408" s="1"/>
    </row>
    <row r="409">
      <c r="E409" s="1"/>
    </row>
    <row r="410">
      <c r="E410" s="1"/>
    </row>
    <row r="411">
      <c r="E411" s="1"/>
    </row>
    <row r="412">
      <c r="E412" s="1"/>
    </row>
    <row r="413">
      <c r="E413" s="1"/>
    </row>
    <row r="414">
      <c r="E414" s="1"/>
    </row>
    <row r="415">
      <c r="E415" s="1"/>
    </row>
    <row r="416">
      <c r="E416" s="1"/>
    </row>
    <row r="417">
      <c r="E417" s="1"/>
    </row>
    <row r="418">
      <c r="E418" s="1"/>
    </row>
    <row r="419">
      <c r="E419" s="1"/>
    </row>
    <row r="420">
      <c r="E420" s="1"/>
    </row>
    <row r="421">
      <c r="E421" s="1"/>
    </row>
    <row r="422">
      <c r="E422" s="1"/>
    </row>
    <row r="423">
      <c r="E423" s="1"/>
    </row>
    <row r="424">
      <c r="E424" s="1"/>
    </row>
    <row r="425">
      <c r="E425" s="1"/>
    </row>
    <row r="426">
      <c r="E426" s="1"/>
    </row>
    <row r="427">
      <c r="E427" s="1"/>
    </row>
    <row r="428">
      <c r="E428" s="1"/>
    </row>
    <row r="429">
      <c r="E429" s="1"/>
    </row>
    <row r="430">
      <c r="E430" s="1"/>
    </row>
    <row r="431">
      <c r="E431" s="1"/>
    </row>
    <row r="432">
      <c r="E432" s="1"/>
    </row>
    <row r="433">
      <c r="E433" s="1"/>
    </row>
    <row r="434">
      <c r="E434" s="1"/>
    </row>
    <row r="435">
      <c r="E435" s="1"/>
    </row>
    <row r="436">
      <c r="E436" s="1"/>
    </row>
    <row r="437">
      <c r="E437" s="1"/>
    </row>
    <row r="438">
      <c r="E438" s="1"/>
    </row>
    <row r="439">
      <c r="E439" s="1"/>
    </row>
    <row r="440">
      <c r="E440" s="1"/>
    </row>
    <row r="441">
      <c r="E441" s="1"/>
    </row>
    <row r="442">
      <c r="E442" s="1"/>
    </row>
    <row r="443">
      <c r="E443" s="1"/>
    </row>
    <row r="444">
      <c r="E444" s="1"/>
    </row>
    <row r="445">
      <c r="E445" s="1"/>
    </row>
    <row r="446">
      <c r="E446" s="1"/>
    </row>
    <row r="447">
      <c r="E447" s="1"/>
    </row>
    <row r="448">
      <c r="E448" s="1"/>
    </row>
    <row r="449">
      <c r="E449" s="1"/>
    </row>
    <row r="450">
      <c r="E450" s="1"/>
    </row>
    <row r="451">
      <c r="E451" s="1"/>
    </row>
    <row r="452">
      <c r="E452" s="1"/>
    </row>
    <row r="453">
      <c r="E453" s="1"/>
    </row>
    <row r="454">
      <c r="E454" s="1"/>
    </row>
    <row r="455">
      <c r="E455" s="1"/>
    </row>
    <row r="456">
      <c r="E456" s="1"/>
    </row>
    <row r="457">
      <c r="E457" s="1"/>
    </row>
    <row r="458">
      <c r="E458" s="1"/>
    </row>
    <row r="459">
      <c r="E459" s="1"/>
    </row>
    <row r="460">
      <c r="E460" s="1"/>
    </row>
    <row r="461">
      <c r="E461" s="1"/>
    </row>
    <row r="462">
      <c r="E462" s="1"/>
    </row>
    <row r="463">
      <c r="E463" s="1"/>
    </row>
    <row r="464">
      <c r="E464" s="1"/>
    </row>
    <row r="465">
      <c r="E465" s="1"/>
    </row>
    <row r="466">
      <c r="E466" s="1"/>
    </row>
    <row r="467">
      <c r="E467" s="1"/>
    </row>
    <row r="468">
      <c r="E468" s="1"/>
    </row>
    <row r="469">
      <c r="E469" s="1"/>
    </row>
    <row r="470">
      <c r="E470" s="1"/>
    </row>
    <row r="471">
      <c r="E471" s="1"/>
    </row>
    <row r="472">
      <c r="E472" s="1"/>
    </row>
    <row r="473">
      <c r="E473" s="1"/>
    </row>
    <row r="474">
      <c r="E474" s="1"/>
    </row>
    <row r="475">
      <c r="E475" s="1"/>
    </row>
    <row r="476">
      <c r="E476" s="1"/>
    </row>
    <row r="477">
      <c r="E477" s="1"/>
    </row>
    <row r="478">
      <c r="E478" s="1"/>
    </row>
    <row r="479">
      <c r="E479" s="1"/>
    </row>
    <row r="480">
      <c r="E480" s="1"/>
    </row>
    <row r="481">
      <c r="E481" s="1"/>
    </row>
    <row r="482">
      <c r="E482" s="1"/>
    </row>
    <row r="483">
      <c r="E483" s="1"/>
    </row>
    <row r="484">
      <c r="E484" s="1"/>
    </row>
    <row r="485">
      <c r="E485" s="1"/>
    </row>
    <row r="486">
      <c r="E486" s="1"/>
    </row>
    <row r="487">
      <c r="E487" s="1"/>
    </row>
    <row r="488">
      <c r="E488" s="1"/>
    </row>
    <row r="489">
      <c r="E489" s="1"/>
    </row>
    <row r="490">
      <c r="E490" s="1"/>
    </row>
    <row r="491">
      <c r="E491" s="1"/>
    </row>
    <row r="492">
      <c r="E492" s="1"/>
    </row>
    <row r="493">
      <c r="E493" s="1"/>
    </row>
    <row r="494">
      <c r="E494" s="1"/>
    </row>
    <row r="495">
      <c r="E495" s="1"/>
    </row>
    <row r="496">
      <c r="E496" s="1"/>
    </row>
    <row r="497">
      <c r="E497" s="1"/>
    </row>
    <row r="498">
      <c r="E498" s="1"/>
    </row>
    <row r="499">
      <c r="E499" s="1"/>
    </row>
    <row r="500">
      <c r="E500" s="1"/>
    </row>
    <row r="501">
      <c r="E501" s="1"/>
    </row>
    <row r="502">
      <c r="E502" s="1"/>
    </row>
    <row r="503">
      <c r="E503" s="1"/>
    </row>
    <row r="504">
      <c r="E504" s="1"/>
    </row>
    <row r="505">
      <c r="E505" s="1"/>
    </row>
    <row r="506">
      <c r="E506" s="1"/>
    </row>
    <row r="507">
      <c r="E507" s="1"/>
    </row>
    <row r="508">
      <c r="E508" s="1"/>
    </row>
    <row r="509">
      <c r="E509" s="1"/>
    </row>
    <row r="510">
      <c r="E510" s="1"/>
    </row>
    <row r="511">
      <c r="E511" s="1"/>
    </row>
    <row r="512">
      <c r="E512" s="1"/>
    </row>
    <row r="513">
      <c r="E513" s="1"/>
    </row>
    <row r="514">
      <c r="E514" s="1"/>
    </row>
    <row r="515">
      <c r="E515" s="1"/>
    </row>
    <row r="516">
      <c r="E516" s="1"/>
    </row>
    <row r="517">
      <c r="E517" s="1"/>
    </row>
    <row r="518">
      <c r="E518" s="1"/>
    </row>
    <row r="519">
      <c r="E519" s="1"/>
    </row>
    <row r="520">
      <c r="E520" s="1"/>
    </row>
    <row r="521">
      <c r="E521" s="1"/>
    </row>
    <row r="522">
      <c r="E522" s="1"/>
    </row>
    <row r="523">
      <c r="E523" s="1"/>
    </row>
    <row r="524">
      <c r="E524" s="1"/>
    </row>
    <row r="525">
      <c r="E525" s="1"/>
    </row>
    <row r="526">
      <c r="E526" s="1"/>
    </row>
    <row r="527">
      <c r="E527" s="1"/>
    </row>
    <row r="528">
      <c r="E528" s="1"/>
    </row>
    <row r="529">
      <c r="E529" s="1"/>
    </row>
    <row r="530">
      <c r="E530" s="1"/>
    </row>
    <row r="531">
      <c r="E531" s="1"/>
    </row>
    <row r="532">
      <c r="E532" s="1"/>
    </row>
    <row r="533">
      <c r="E533" s="1"/>
    </row>
    <row r="534">
      <c r="E534" s="1"/>
    </row>
    <row r="535">
      <c r="E535" s="1"/>
    </row>
    <row r="536">
      <c r="E536" s="1"/>
    </row>
    <row r="537">
      <c r="E537" s="1"/>
    </row>
    <row r="538">
      <c r="E538" s="1"/>
    </row>
    <row r="539">
      <c r="E539" s="1"/>
    </row>
    <row r="540">
      <c r="E540" s="1"/>
    </row>
    <row r="541">
      <c r="E541" s="1"/>
    </row>
    <row r="542">
      <c r="E542" s="1"/>
    </row>
    <row r="543">
      <c r="E543" s="1"/>
    </row>
    <row r="544">
      <c r="E544" s="1"/>
    </row>
    <row r="545">
      <c r="E545" s="1"/>
    </row>
    <row r="546">
      <c r="E546" s="1"/>
    </row>
    <row r="547">
      <c r="E547" s="1"/>
    </row>
    <row r="548">
      <c r="E548" s="1"/>
    </row>
    <row r="549">
      <c r="E549" s="1"/>
    </row>
    <row r="550">
      <c r="E550" s="1"/>
    </row>
    <row r="551">
      <c r="E551" s="1"/>
    </row>
    <row r="552">
      <c r="E552" s="1"/>
    </row>
    <row r="553">
      <c r="E553" s="1"/>
    </row>
    <row r="554">
      <c r="E554" s="1"/>
    </row>
    <row r="555">
      <c r="E555" s="1"/>
    </row>
    <row r="556">
      <c r="E556" s="1"/>
    </row>
    <row r="557">
      <c r="E557" s="1"/>
    </row>
    <row r="558">
      <c r="E558" s="1"/>
    </row>
    <row r="559">
      <c r="E559" s="1"/>
    </row>
    <row r="560">
      <c r="E560" s="1"/>
    </row>
    <row r="561">
      <c r="E561" s="1"/>
    </row>
    <row r="562">
      <c r="E562" s="1"/>
    </row>
    <row r="563">
      <c r="E563" s="1"/>
    </row>
    <row r="564">
      <c r="E564" s="1"/>
    </row>
    <row r="565">
      <c r="E565" s="1"/>
    </row>
    <row r="566">
      <c r="E566" s="1"/>
    </row>
    <row r="567">
      <c r="E567" s="1"/>
    </row>
    <row r="568">
      <c r="E568" s="1"/>
    </row>
    <row r="569">
      <c r="E569" s="1"/>
    </row>
    <row r="570">
      <c r="E570" s="1"/>
    </row>
    <row r="571">
      <c r="E571" s="1"/>
    </row>
    <row r="572">
      <c r="E572" s="1"/>
    </row>
    <row r="573">
      <c r="E573" s="1"/>
    </row>
    <row r="574">
      <c r="E574" s="1"/>
    </row>
    <row r="575">
      <c r="E575" s="1"/>
    </row>
    <row r="576">
      <c r="E576" s="1"/>
    </row>
    <row r="577">
      <c r="E577" s="1"/>
    </row>
    <row r="578">
      <c r="E578" s="1"/>
    </row>
    <row r="579">
      <c r="E579" s="1"/>
    </row>
    <row r="580">
      <c r="E580" s="1"/>
    </row>
    <row r="581">
      <c r="E581" s="1"/>
    </row>
    <row r="582">
      <c r="E582" s="1"/>
    </row>
    <row r="583">
      <c r="E583" s="1"/>
    </row>
    <row r="584">
      <c r="E584" s="1"/>
    </row>
    <row r="585">
      <c r="E585" s="1"/>
    </row>
    <row r="586">
      <c r="E586" s="1"/>
    </row>
    <row r="587">
      <c r="E587" s="1"/>
    </row>
    <row r="588">
      <c r="E588" s="1"/>
    </row>
    <row r="589">
      <c r="E589" s="1"/>
    </row>
    <row r="590">
      <c r="E590" s="1"/>
    </row>
    <row r="591">
      <c r="E591" s="1"/>
    </row>
    <row r="592">
      <c r="E592" s="1"/>
    </row>
    <row r="593">
      <c r="E593" s="1"/>
    </row>
    <row r="594">
      <c r="E594" s="1"/>
    </row>
    <row r="595">
      <c r="E595" s="1"/>
    </row>
    <row r="596">
      <c r="E596" s="1"/>
    </row>
    <row r="597">
      <c r="E597" s="1"/>
    </row>
    <row r="598">
      <c r="E598" s="1"/>
    </row>
    <row r="599">
      <c r="E599" s="1"/>
    </row>
    <row r="600">
      <c r="E600" s="1"/>
    </row>
    <row r="601">
      <c r="E601" s="1"/>
    </row>
    <row r="602">
      <c r="E602" s="1"/>
    </row>
    <row r="603">
      <c r="E603" s="1"/>
    </row>
    <row r="604">
      <c r="E604" s="1"/>
    </row>
    <row r="605">
      <c r="E605" s="1"/>
    </row>
    <row r="606">
      <c r="E606" s="1"/>
    </row>
    <row r="607">
      <c r="E607" s="1"/>
    </row>
    <row r="608">
      <c r="E608" s="1"/>
    </row>
    <row r="609">
      <c r="E609" s="1"/>
    </row>
    <row r="610">
      <c r="E610" s="1"/>
    </row>
    <row r="611">
      <c r="E611" s="1"/>
    </row>
    <row r="612">
      <c r="E612" s="1"/>
    </row>
    <row r="613">
      <c r="E613" s="1"/>
    </row>
    <row r="614">
      <c r="E614" s="1"/>
    </row>
    <row r="615">
      <c r="E615" s="1"/>
    </row>
    <row r="616">
      <c r="E616" s="1"/>
    </row>
    <row r="617">
      <c r="E617" s="1"/>
    </row>
    <row r="618">
      <c r="E618" s="1"/>
    </row>
    <row r="619">
      <c r="E619" s="1"/>
    </row>
    <row r="620">
      <c r="E620" s="1"/>
    </row>
    <row r="621">
      <c r="E621" s="1"/>
    </row>
    <row r="622">
      <c r="E622" s="1"/>
    </row>
    <row r="623">
      <c r="E623" s="1"/>
    </row>
    <row r="624">
      <c r="E624" s="1"/>
    </row>
    <row r="625">
      <c r="E625" s="1"/>
    </row>
    <row r="626">
      <c r="E626" s="1"/>
    </row>
    <row r="627">
      <c r="E627" s="1"/>
    </row>
    <row r="628">
      <c r="E628" s="1"/>
    </row>
    <row r="629">
      <c r="E629" s="1"/>
    </row>
    <row r="630">
      <c r="E630" s="1"/>
    </row>
    <row r="631">
      <c r="E631" s="1"/>
    </row>
    <row r="632">
      <c r="E632" s="1"/>
    </row>
    <row r="633">
      <c r="E633" s="1"/>
    </row>
    <row r="634">
      <c r="E634" s="1"/>
    </row>
    <row r="635">
      <c r="E635" s="1"/>
    </row>
    <row r="636">
      <c r="E636" s="1"/>
    </row>
    <row r="637">
      <c r="E637" s="1"/>
    </row>
    <row r="638">
      <c r="E638" s="1"/>
    </row>
    <row r="639">
      <c r="E639" s="1"/>
    </row>
    <row r="640">
      <c r="E640" s="1"/>
    </row>
    <row r="641">
      <c r="E641" s="1"/>
    </row>
    <row r="642">
      <c r="E642" s="1"/>
    </row>
    <row r="643">
      <c r="E643" s="1"/>
    </row>
    <row r="644">
      <c r="E644" s="1"/>
    </row>
    <row r="645">
      <c r="E645" s="1"/>
    </row>
    <row r="646">
      <c r="E646" s="1"/>
    </row>
    <row r="647">
      <c r="E647" s="1"/>
    </row>
    <row r="648">
      <c r="E648" s="1"/>
    </row>
    <row r="649">
      <c r="E649" s="1"/>
    </row>
    <row r="650">
      <c r="E650" s="1"/>
    </row>
    <row r="651">
      <c r="E651" s="1"/>
    </row>
    <row r="652">
      <c r="E652" s="1"/>
    </row>
    <row r="653">
      <c r="E653" s="1"/>
    </row>
    <row r="654">
      <c r="E654" s="1"/>
    </row>
    <row r="655">
      <c r="E655" s="1"/>
    </row>
    <row r="656">
      <c r="E656" s="1"/>
    </row>
    <row r="657">
      <c r="E657" s="1"/>
    </row>
    <row r="658">
      <c r="E658" s="1"/>
    </row>
    <row r="659">
      <c r="E659" s="1"/>
    </row>
    <row r="660">
      <c r="E660" s="1"/>
    </row>
    <row r="661">
      <c r="E661" s="1"/>
    </row>
    <row r="662">
      <c r="E662" s="1"/>
    </row>
    <row r="663">
      <c r="E663" s="1"/>
    </row>
    <row r="664">
      <c r="E664" s="1"/>
    </row>
    <row r="665">
      <c r="E665" s="1"/>
    </row>
    <row r="666">
      <c r="E666" s="1"/>
    </row>
    <row r="667">
      <c r="E667" s="1"/>
    </row>
    <row r="668">
      <c r="E668" s="1"/>
    </row>
    <row r="669">
      <c r="E669" s="1"/>
    </row>
    <row r="670">
      <c r="E670" s="1"/>
    </row>
    <row r="671">
      <c r="E671" s="1"/>
    </row>
    <row r="672">
      <c r="E672" s="1"/>
    </row>
    <row r="673">
      <c r="E673" s="1"/>
    </row>
    <row r="674">
      <c r="E674" s="1"/>
    </row>
    <row r="675">
      <c r="E675" s="1"/>
    </row>
    <row r="676">
      <c r="E676" s="1"/>
    </row>
    <row r="677">
      <c r="E677" s="1"/>
    </row>
    <row r="678">
      <c r="E678" s="1"/>
    </row>
    <row r="679">
      <c r="E679" s="1"/>
    </row>
    <row r="680">
      <c r="E680" s="1"/>
    </row>
    <row r="681">
      <c r="E681" s="1"/>
    </row>
    <row r="682">
      <c r="E682" s="1"/>
    </row>
    <row r="683">
      <c r="E683" s="1"/>
    </row>
    <row r="684">
      <c r="E684" s="1"/>
    </row>
    <row r="685">
      <c r="E685" s="1"/>
    </row>
    <row r="686">
      <c r="E686" s="1"/>
    </row>
    <row r="687">
      <c r="E687" s="1"/>
    </row>
    <row r="688">
      <c r="E688" s="1"/>
    </row>
    <row r="689">
      <c r="E689" s="1"/>
    </row>
    <row r="690">
      <c r="E690" s="1"/>
    </row>
    <row r="691">
      <c r="E691" s="1"/>
    </row>
    <row r="692">
      <c r="E692" s="1"/>
    </row>
    <row r="693">
      <c r="E693" s="1"/>
    </row>
    <row r="694">
      <c r="E694" s="1"/>
    </row>
    <row r="695">
      <c r="E695" s="1"/>
    </row>
    <row r="696">
      <c r="E696" s="1"/>
    </row>
    <row r="697">
      <c r="E697" s="1"/>
    </row>
    <row r="698">
      <c r="E698" s="1"/>
    </row>
    <row r="699">
      <c r="E699" s="1"/>
    </row>
    <row r="700">
      <c r="E700" s="1"/>
    </row>
    <row r="701">
      <c r="E701" s="1"/>
    </row>
    <row r="702">
      <c r="E702" s="1"/>
    </row>
    <row r="703">
      <c r="E703" s="1"/>
    </row>
    <row r="704">
      <c r="E704" s="1"/>
    </row>
    <row r="705">
      <c r="E705" s="1"/>
    </row>
    <row r="706">
      <c r="E706" s="1"/>
    </row>
    <row r="707">
      <c r="E707" s="1"/>
    </row>
    <row r="708">
      <c r="E708" s="1"/>
    </row>
    <row r="709">
      <c r="E709" s="1"/>
    </row>
    <row r="710">
      <c r="E710" s="1"/>
    </row>
    <row r="711">
      <c r="E711" s="1"/>
    </row>
    <row r="712">
      <c r="E712" s="1"/>
    </row>
    <row r="713">
      <c r="E713" s="1"/>
    </row>
    <row r="714">
      <c r="E714" s="1"/>
    </row>
    <row r="715">
      <c r="E715" s="1"/>
    </row>
    <row r="716">
      <c r="E716" s="1"/>
    </row>
    <row r="717">
      <c r="E717" s="1"/>
    </row>
    <row r="718">
      <c r="E718" s="1"/>
    </row>
    <row r="719">
      <c r="E719" s="1"/>
    </row>
    <row r="720">
      <c r="E720" s="1"/>
    </row>
    <row r="721">
      <c r="E721" s="1"/>
    </row>
    <row r="722">
      <c r="E722" s="1"/>
    </row>
    <row r="723">
      <c r="E723" s="1"/>
    </row>
    <row r="724">
      <c r="E724" s="1"/>
    </row>
    <row r="725">
      <c r="E725" s="1"/>
    </row>
    <row r="726">
      <c r="E726" s="1"/>
    </row>
    <row r="727">
      <c r="E727" s="1"/>
    </row>
    <row r="728">
      <c r="E728" s="1"/>
    </row>
    <row r="729">
      <c r="E729" s="1"/>
    </row>
    <row r="730">
      <c r="E730" s="1"/>
    </row>
    <row r="731">
      <c r="E731" s="1"/>
    </row>
    <row r="732">
      <c r="E732" s="1"/>
    </row>
    <row r="733">
      <c r="E733" s="1"/>
    </row>
    <row r="734">
      <c r="E734" s="1"/>
    </row>
    <row r="735">
      <c r="E735" s="1"/>
    </row>
    <row r="736">
      <c r="E736" s="1"/>
    </row>
    <row r="737">
      <c r="E737" s="1"/>
    </row>
    <row r="738">
      <c r="E738" s="1"/>
    </row>
    <row r="739">
      <c r="E739" s="1"/>
    </row>
    <row r="740">
      <c r="E740" s="1"/>
    </row>
    <row r="741">
      <c r="E741" s="1"/>
    </row>
    <row r="742">
      <c r="E742" s="1"/>
    </row>
    <row r="743">
      <c r="E743" s="1"/>
    </row>
    <row r="744">
      <c r="E744" s="1"/>
    </row>
    <row r="745">
      <c r="E745" s="1"/>
    </row>
    <row r="746">
      <c r="E746" s="1"/>
    </row>
    <row r="747">
      <c r="E747" s="1"/>
    </row>
    <row r="748">
      <c r="E748" s="1"/>
    </row>
    <row r="749">
      <c r="E749" s="1"/>
    </row>
    <row r="750">
      <c r="E750" s="1"/>
    </row>
    <row r="751">
      <c r="E751" s="1"/>
    </row>
    <row r="752">
      <c r="E752" s="1"/>
    </row>
    <row r="753">
      <c r="E753" s="1"/>
    </row>
    <row r="754">
      <c r="E754" s="1"/>
    </row>
    <row r="755">
      <c r="E755" s="1"/>
    </row>
    <row r="756">
      <c r="E756" s="1"/>
    </row>
    <row r="757">
      <c r="E757" s="1"/>
    </row>
    <row r="758">
      <c r="E758" s="1"/>
    </row>
    <row r="759">
      <c r="E759" s="1"/>
    </row>
    <row r="760">
      <c r="E760" s="1"/>
    </row>
    <row r="761">
      <c r="E761" s="1"/>
    </row>
    <row r="762">
      <c r="E762" s="1"/>
    </row>
    <row r="763">
      <c r="E763" s="1"/>
    </row>
    <row r="764">
      <c r="E764" s="1"/>
    </row>
    <row r="765">
      <c r="E765" s="1"/>
    </row>
    <row r="766">
      <c r="E766" s="1"/>
    </row>
    <row r="767">
      <c r="E767" s="1"/>
    </row>
    <row r="768">
      <c r="E768" s="1"/>
    </row>
    <row r="769">
      <c r="E769" s="1"/>
    </row>
    <row r="770">
      <c r="E770" s="1"/>
    </row>
    <row r="771">
      <c r="E771" s="1"/>
    </row>
    <row r="772">
      <c r="E772" s="1"/>
    </row>
    <row r="773">
      <c r="E773" s="1"/>
    </row>
    <row r="774">
      <c r="E774" s="1"/>
    </row>
    <row r="775">
      <c r="E775" s="1"/>
    </row>
    <row r="776">
      <c r="E776" s="1"/>
    </row>
    <row r="777">
      <c r="E777" s="1"/>
    </row>
    <row r="778">
      <c r="E778" s="1"/>
    </row>
    <row r="779">
      <c r="E779" s="1"/>
    </row>
    <row r="780">
      <c r="E780" s="1"/>
    </row>
    <row r="781">
      <c r="E781" s="1"/>
    </row>
    <row r="782">
      <c r="E782" s="1"/>
    </row>
    <row r="783">
      <c r="E783" s="1"/>
    </row>
    <row r="784">
      <c r="E784" s="1"/>
    </row>
    <row r="785">
      <c r="E785" s="1"/>
    </row>
    <row r="786">
      <c r="E786" s="1"/>
    </row>
    <row r="787">
      <c r="E787" s="1"/>
    </row>
    <row r="788">
      <c r="E788" s="1"/>
    </row>
    <row r="789">
      <c r="E789" s="1"/>
    </row>
    <row r="790">
      <c r="E790" s="1"/>
    </row>
    <row r="791">
      <c r="E791" s="1"/>
    </row>
    <row r="792">
      <c r="E792" s="1"/>
    </row>
    <row r="793">
      <c r="E793" s="1"/>
    </row>
    <row r="794">
      <c r="E794" s="1"/>
    </row>
    <row r="795">
      <c r="E795" s="1"/>
    </row>
    <row r="796">
      <c r="E796" s="1"/>
    </row>
    <row r="797">
      <c r="E797" s="1"/>
    </row>
    <row r="798">
      <c r="E798" s="1"/>
    </row>
    <row r="799">
      <c r="E799" s="1"/>
    </row>
    <row r="800">
      <c r="E800" s="1"/>
    </row>
    <row r="801">
      <c r="E801" s="1"/>
    </row>
    <row r="802">
      <c r="E802" s="1"/>
    </row>
    <row r="803">
      <c r="E803" s="1"/>
    </row>
    <row r="804">
      <c r="E804" s="1"/>
    </row>
    <row r="805">
      <c r="E805" s="1"/>
    </row>
    <row r="806">
      <c r="E806" s="1"/>
    </row>
    <row r="807">
      <c r="E807" s="1"/>
    </row>
    <row r="808">
      <c r="E808" s="1"/>
    </row>
    <row r="809">
      <c r="E809" s="1"/>
    </row>
    <row r="810">
      <c r="E810" s="1"/>
    </row>
    <row r="811">
      <c r="E811" s="1"/>
    </row>
    <row r="812">
      <c r="E812" s="1"/>
    </row>
    <row r="813">
      <c r="E813" s="1"/>
    </row>
    <row r="814">
      <c r="E814" s="1"/>
    </row>
    <row r="815">
      <c r="E815" s="1"/>
    </row>
    <row r="816">
      <c r="E816" s="1"/>
    </row>
    <row r="817">
      <c r="E817" s="1"/>
    </row>
    <row r="818">
      <c r="E818" s="1"/>
    </row>
    <row r="819">
      <c r="E819" s="1"/>
    </row>
    <row r="820">
      <c r="E820" s="1"/>
    </row>
    <row r="821">
      <c r="E821" s="1"/>
    </row>
    <row r="822">
      <c r="E822" s="1"/>
    </row>
    <row r="823">
      <c r="E823" s="1"/>
    </row>
    <row r="824">
      <c r="E824" s="1"/>
    </row>
    <row r="825">
      <c r="E825" s="1"/>
    </row>
    <row r="826">
      <c r="E826" s="1"/>
    </row>
    <row r="827">
      <c r="E827" s="1"/>
    </row>
    <row r="828">
      <c r="E828" s="1"/>
    </row>
    <row r="829">
      <c r="E829" s="1"/>
    </row>
    <row r="830">
      <c r="E830" s="1"/>
    </row>
    <row r="831">
      <c r="E831" s="1"/>
    </row>
    <row r="832">
      <c r="E832" s="1"/>
    </row>
    <row r="833">
      <c r="E833" s="1"/>
    </row>
    <row r="834">
      <c r="E834" s="1"/>
    </row>
    <row r="835">
      <c r="E835" s="1"/>
    </row>
    <row r="836">
      <c r="E836" s="1"/>
    </row>
    <row r="837">
      <c r="E837" s="1"/>
    </row>
    <row r="838">
      <c r="E838" s="1"/>
    </row>
    <row r="839">
      <c r="E839" s="1"/>
    </row>
    <row r="840">
      <c r="E840" s="1"/>
    </row>
    <row r="841">
      <c r="E841" s="1"/>
    </row>
    <row r="842">
      <c r="E842" s="1"/>
    </row>
    <row r="843">
      <c r="E843" s="1"/>
    </row>
    <row r="844">
      <c r="E844" s="1"/>
    </row>
    <row r="845">
      <c r="E845" s="1"/>
    </row>
    <row r="846">
      <c r="E846" s="1"/>
    </row>
    <row r="847">
      <c r="E847" s="1"/>
    </row>
    <row r="848">
      <c r="E848" s="1"/>
    </row>
    <row r="849">
      <c r="E849" s="1"/>
    </row>
    <row r="850">
      <c r="E850" s="1"/>
    </row>
    <row r="851">
      <c r="E851" s="1"/>
    </row>
    <row r="852">
      <c r="E852" s="1"/>
    </row>
    <row r="853">
      <c r="E853" s="1"/>
    </row>
    <row r="854">
      <c r="E854" s="1"/>
    </row>
    <row r="855">
      <c r="E855" s="1"/>
    </row>
    <row r="856">
      <c r="E856" s="1"/>
    </row>
    <row r="857">
      <c r="E857" s="1"/>
    </row>
    <row r="858">
      <c r="E858" s="1"/>
    </row>
    <row r="859">
      <c r="E859" s="1"/>
    </row>
    <row r="860">
      <c r="E860" s="1"/>
    </row>
    <row r="861">
      <c r="E861" s="1"/>
    </row>
    <row r="862">
      <c r="E862" s="1"/>
    </row>
    <row r="863">
      <c r="E863" s="1"/>
    </row>
    <row r="864">
      <c r="E864" s="1"/>
    </row>
    <row r="865">
      <c r="E865" s="1"/>
    </row>
    <row r="866">
      <c r="E866" s="1"/>
    </row>
    <row r="867">
      <c r="E867" s="1"/>
    </row>
    <row r="868">
      <c r="E868" s="1"/>
    </row>
    <row r="869">
      <c r="E869" s="1"/>
    </row>
    <row r="870">
      <c r="E870" s="1"/>
    </row>
    <row r="871">
      <c r="E871" s="1"/>
    </row>
    <row r="872">
      <c r="E872" s="1"/>
    </row>
    <row r="873">
      <c r="E873" s="1"/>
    </row>
    <row r="874">
      <c r="E874" s="1"/>
    </row>
    <row r="875">
      <c r="E875" s="1"/>
    </row>
    <row r="876">
      <c r="E876" s="1"/>
    </row>
    <row r="877">
      <c r="E877" s="1"/>
    </row>
    <row r="878">
      <c r="E878" s="1"/>
    </row>
    <row r="879">
      <c r="E879" s="1"/>
    </row>
    <row r="880">
      <c r="E880" s="1"/>
    </row>
    <row r="881">
      <c r="E881" s="1"/>
    </row>
    <row r="882">
      <c r="E882" s="1"/>
    </row>
    <row r="883">
      <c r="E883" s="1"/>
    </row>
    <row r="884">
      <c r="E884" s="1"/>
    </row>
    <row r="885">
      <c r="E885" s="1"/>
    </row>
    <row r="886">
      <c r="E886" s="1"/>
    </row>
    <row r="887">
      <c r="E887" s="1"/>
    </row>
    <row r="888">
      <c r="E888" s="1"/>
    </row>
    <row r="889">
      <c r="E889" s="1"/>
    </row>
    <row r="890">
      <c r="E890" s="1"/>
    </row>
    <row r="891">
      <c r="E891" s="1"/>
    </row>
    <row r="892">
      <c r="E892" s="1"/>
    </row>
    <row r="893">
      <c r="E893" s="1"/>
    </row>
    <row r="894">
      <c r="E894" s="1"/>
    </row>
    <row r="895">
      <c r="E895" s="1"/>
    </row>
    <row r="896">
      <c r="E896" s="1"/>
    </row>
    <row r="897">
      <c r="E897" s="1"/>
    </row>
    <row r="898">
      <c r="E898" s="1"/>
    </row>
    <row r="899">
      <c r="E899" s="1"/>
    </row>
    <row r="900">
      <c r="E900" s="1"/>
    </row>
    <row r="901">
      <c r="E901" s="1"/>
    </row>
    <row r="902">
      <c r="E902" s="1"/>
    </row>
    <row r="903">
      <c r="E903" s="1"/>
    </row>
    <row r="904">
      <c r="E904" s="1"/>
    </row>
    <row r="905">
      <c r="E905" s="1"/>
    </row>
    <row r="906">
      <c r="E906" s="1"/>
    </row>
    <row r="907">
      <c r="E907" s="1"/>
    </row>
    <row r="908">
      <c r="E908" s="1"/>
    </row>
    <row r="909">
      <c r="E909" s="1"/>
    </row>
    <row r="910">
      <c r="E910" s="1"/>
    </row>
    <row r="911">
      <c r="E911" s="1"/>
    </row>
    <row r="912">
      <c r="E912" s="1"/>
    </row>
    <row r="913">
      <c r="E913" s="1"/>
    </row>
    <row r="914">
      <c r="E914" s="1"/>
    </row>
    <row r="915">
      <c r="E915" s="1"/>
    </row>
    <row r="916">
      <c r="E916" s="1"/>
    </row>
    <row r="917">
      <c r="E917" s="1"/>
    </row>
    <row r="918">
      <c r="E918" s="1"/>
    </row>
    <row r="919">
      <c r="E919" s="1"/>
    </row>
    <row r="920">
      <c r="E920" s="1"/>
    </row>
    <row r="921">
      <c r="E921" s="1"/>
    </row>
    <row r="922">
      <c r="E922" s="1"/>
    </row>
    <row r="923">
      <c r="E923" s="1"/>
    </row>
    <row r="924">
      <c r="E924" s="1"/>
    </row>
    <row r="925">
      <c r="E925" s="1"/>
    </row>
    <row r="926">
      <c r="E926" s="1"/>
    </row>
  </sheetData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4" max="4" width="22.0"/>
    <col customWidth="1" min="5" max="5" width="15.0"/>
    <col customWidth="1" min="9" max="9" width="18.38"/>
    <col customWidth="1" min="11" max="11" width="18.5"/>
    <col customWidth="1" min="14" max="14" width="18.38"/>
    <col customWidth="1" min="15" max="15" width="15.88"/>
    <col customWidth="1" min="16" max="16" width="18.5"/>
    <col customWidth="1" min="17" max="17" width="17.0"/>
    <col customWidth="1" min="22" max="22" width="19.38"/>
  </cols>
  <sheetData>
    <row r="1">
      <c r="A1" s="4" t="s">
        <v>7</v>
      </c>
      <c r="E1" s="1"/>
    </row>
    <row r="2">
      <c r="E2" s="1"/>
      <c r="K2" s="2" t="s">
        <v>0</v>
      </c>
      <c r="L2" s="3" t="s">
        <v>1</v>
      </c>
      <c r="M2" s="4" t="s">
        <v>2</v>
      </c>
      <c r="N2" s="4" t="s">
        <v>3</v>
      </c>
    </row>
    <row r="3">
      <c r="E3" s="1"/>
      <c r="K3" s="266" t="s">
        <v>4</v>
      </c>
      <c r="L3" s="267">
        <f t="shared" ref="L3:M3" si="1">sum(E6:E33)</f>
        <v>19.61</v>
      </c>
      <c r="M3" s="3">
        <f t="shared" si="1"/>
        <v>1252.12</v>
      </c>
      <c r="N3" s="7">
        <f>M3*Sumario!N4</f>
        <v>1098.885554</v>
      </c>
      <c r="O3" s="7">
        <f>Sumario!N4</f>
        <v>0.87762</v>
      </c>
    </row>
    <row r="4">
      <c r="B4" s="283" t="s">
        <v>73</v>
      </c>
      <c r="C4" s="10"/>
      <c r="D4" s="10"/>
      <c r="E4" s="11"/>
      <c r="F4" s="10"/>
      <c r="G4" s="10"/>
      <c r="H4" s="10"/>
      <c r="I4" s="10"/>
      <c r="J4" s="10"/>
      <c r="K4" s="10"/>
      <c r="L4" s="10"/>
    </row>
    <row r="5">
      <c r="B5" s="268" t="s">
        <v>8</v>
      </c>
      <c r="C5" s="268" t="s">
        <v>9</v>
      </c>
      <c r="D5" s="268" t="s">
        <v>11</v>
      </c>
      <c r="E5" s="283" t="s">
        <v>12</v>
      </c>
      <c r="F5" s="283" t="s">
        <v>13</v>
      </c>
      <c r="G5" s="12" t="s">
        <v>14</v>
      </c>
      <c r="H5" s="12"/>
      <c r="I5" s="13"/>
      <c r="J5" s="14"/>
      <c r="K5" s="15"/>
      <c r="L5" s="10"/>
    </row>
    <row r="6">
      <c r="B6" s="265" t="s">
        <v>5121</v>
      </c>
      <c r="C6" s="269"/>
      <c r="D6" s="16" t="s">
        <v>5122</v>
      </c>
      <c r="E6" s="267"/>
      <c r="F6" s="16"/>
      <c r="G6" s="10"/>
      <c r="H6" s="10"/>
      <c r="I6" s="10"/>
      <c r="J6" s="10"/>
      <c r="K6" s="10"/>
      <c r="L6" s="10"/>
    </row>
    <row r="7">
      <c r="B7" s="10"/>
      <c r="C7" s="15" t="s">
        <v>16</v>
      </c>
      <c r="D7" s="16"/>
      <c r="E7" s="267"/>
      <c r="F7" s="15"/>
      <c r="G7" s="10"/>
      <c r="H7" s="10"/>
      <c r="I7" s="10"/>
      <c r="J7" s="10"/>
      <c r="K7" s="10"/>
      <c r="L7" s="10"/>
    </row>
    <row r="8">
      <c r="B8" s="10"/>
      <c r="C8" s="15" t="s">
        <v>20</v>
      </c>
      <c r="D8" s="16"/>
      <c r="E8" s="267"/>
      <c r="F8" s="15"/>
      <c r="G8" s="10"/>
      <c r="H8" s="10"/>
      <c r="I8" s="10"/>
      <c r="J8" s="10"/>
      <c r="K8" s="10"/>
      <c r="L8" s="10"/>
    </row>
    <row r="9">
      <c r="B9" s="10"/>
      <c r="C9" s="15" t="s">
        <v>27</v>
      </c>
      <c r="D9" s="16"/>
      <c r="E9" s="267"/>
      <c r="F9" s="10">
        <f>7.15</f>
        <v>7.15</v>
      </c>
      <c r="G9" s="334">
        <f t="shared" ref="G9:G30" si="2">E9+(F9*$O$3)</f>
        <v>6.274983</v>
      </c>
      <c r="H9" s="10"/>
      <c r="I9" s="10"/>
      <c r="J9" s="10"/>
      <c r="K9" s="10"/>
      <c r="L9" s="10"/>
    </row>
    <row r="10">
      <c r="B10" s="10"/>
      <c r="C10" s="15" t="s">
        <v>29</v>
      </c>
      <c r="D10" s="16"/>
      <c r="E10" s="267"/>
      <c r="F10" s="10">
        <f>423.53+81.1+51.2+19.2+8.8+10.4+5.35+10.4+5.5</f>
        <v>615.48</v>
      </c>
      <c r="G10" s="334">
        <f t="shared" si="2"/>
        <v>540.1575576</v>
      </c>
      <c r="H10" s="10"/>
      <c r="I10" s="10"/>
      <c r="J10" s="10"/>
      <c r="K10" s="10"/>
      <c r="L10" s="10"/>
    </row>
    <row r="11">
      <c r="B11" s="10"/>
      <c r="C11" s="15" t="s">
        <v>30</v>
      </c>
      <c r="D11" s="16"/>
      <c r="E11" s="267">
        <f>0.97</f>
        <v>0.97</v>
      </c>
      <c r="F11" s="15">
        <f>1.24+1.55+16.18+63.7</f>
        <v>82.67</v>
      </c>
      <c r="G11" s="334">
        <f t="shared" si="2"/>
        <v>73.5228454</v>
      </c>
      <c r="H11" s="10"/>
      <c r="I11" s="10"/>
      <c r="J11" s="10"/>
      <c r="K11" s="10"/>
      <c r="L11" s="10"/>
    </row>
    <row r="12">
      <c r="B12" s="15"/>
      <c r="C12" s="15" t="s">
        <v>31</v>
      </c>
      <c r="D12" s="20"/>
      <c r="E12" s="267"/>
      <c r="F12" s="10">
        <f>47+23.25+2.75+1.83+8.82+4.04+0.41+16.8</f>
        <v>104.9</v>
      </c>
      <c r="G12" s="334">
        <f t="shared" si="2"/>
        <v>92.062338</v>
      </c>
      <c r="H12" s="15"/>
      <c r="I12" s="15"/>
      <c r="J12" s="15"/>
      <c r="K12" s="15"/>
      <c r="L12" s="10"/>
    </row>
    <row r="13">
      <c r="B13" s="15"/>
      <c r="C13" s="15" t="s">
        <v>34</v>
      </c>
      <c r="D13" s="20"/>
      <c r="E13" s="267"/>
      <c r="F13" s="10">
        <f>8.55+37.39+40.6+0.95</f>
        <v>87.49</v>
      </c>
      <c r="G13" s="334">
        <f t="shared" si="2"/>
        <v>76.7829738</v>
      </c>
      <c r="H13" s="15"/>
      <c r="I13" s="15"/>
      <c r="J13" s="15"/>
      <c r="K13" s="15"/>
      <c r="L13" s="10"/>
    </row>
    <row r="14">
      <c r="B14" s="15"/>
      <c r="C14" s="15" t="s">
        <v>36</v>
      </c>
      <c r="D14" s="20"/>
      <c r="E14" s="267"/>
      <c r="F14" s="10">
        <f>1.17+27+2.1</f>
        <v>30.27</v>
      </c>
      <c r="G14" s="334">
        <f t="shared" si="2"/>
        <v>26.5655574</v>
      </c>
      <c r="H14" s="15"/>
      <c r="I14" s="15"/>
      <c r="J14" s="15"/>
      <c r="K14" s="15"/>
      <c r="L14" s="10"/>
    </row>
    <row r="15">
      <c r="B15" s="15"/>
      <c r="C15" s="15" t="s">
        <v>37</v>
      </c>
      <c r="D15" s="20"/>
      <c r="E15" s="267">
        <f>0.32+0.67-0.1-0.02+0.13+0.28+0.12+0.3-0.01+0.28-0.23+1.14-0.8+0.25+0.53+0.23-0.03-0.06+0.06+0.15-0.07+0.04+0.1+0.17+0.62-0.39</f>
        <v>3.68</v>
      </c>
      <c r="F15" s="15"/>
      <c r="G15" s="334">
        <f t="shared" si="2"/>
        <v>3.68</v>
      </c>
      <c r="H15" s="15"/>
      <c r="I15" s="15"/>
      <c r="J15" s="15"/>
      <c r="K15" s="15"/>
      <c r="L15" s="10"/>
    </row>
    <row r="16">
      <c r="B16" s="15"/>
      <c r="C16" s="15" t="s">
        <v>38</v>
      </c>
      <c r="D16" s="20"/>
      <c r="E16" s="267"/>
      <c r="F16" s="10"/>
      <c r="G16" s="334">
        <f t="shared" si="2"/>
        <v>0</v>
      </c>
      <c r="H16" s="15"/>
      <c r="I16" s="15"/>
      <c r="J16" s="15"/>
      <c r="K16" s="15"/>
      <c r="L16" s="10"/>
    </row>
    <row r="17">
      <c r="B17" s="15"/>
      <c r="C17" s="15" t="s">
        <v>39</v>
      </c>
      <c r="D17" s="20"/>
      <c r="E17" s="267"/>
      <c r="F17" s="15">
        <f>0.3+1.61+2.1+1.51+0.34+0.11+0.13+0.82+0.13+4.94+0.68+0.82</f>
        <v>13.49</v>
      </c>
      <c r="G17" s="334">
        <f t="shared" si="2"/>
        <v>11.8390938</v>
      </c>
      <c r="H17" s="15"/>
      <c r="I17" s="15"/>
      <c r="J17" s="15"/>
      <c r="K17" s="15"/>
      <c r="L17" s="10"/>
    </row>
    <row r="18">
      <c r="B18" s="15"/>
      <c r="C18" s="15" t="s">
        <v>42</v>
      </c>
      <c r="D18" s="20"/>
      <c r="E18" s="267"/>
      <c r="F18" s="10">
        <f>0.3+0.63+35+7.88+0.83+0.39+37.2</f>
        <v>82.23</v>
      </c>
      <c r="G18" s="334">
        <f t="shared" si="2"/>
        <v>72.1666926</v>
      </c>
      <c r="H18" s="15"/>
      <c r="I18" s="15"/>
      <c r="J18" s="15"/>
      <c r="K18" s="15"/>
      <c r="L18" s="10"/>
    </row>
    <row r="19">
      <c r="B19" s="15"/>
      <c r="C19" s="15" t="s">
        <v>44</v>
      </c>
      <c r="D19" s="20"/>
      <c r="E19" s="267">
        <f>2.43+0.25+0.15+0.47-0.1-0.39+0.05</f>
        <v>2.86</v>
      </c>
      <c r="F19" s="15"/>
      <c r="G19" s="334">
        <f t="shared" si="2"/>
        <v>2.86</v>
      </c>
      <c r="H19" s="15"/>
      <c r="I19" s="15"/>
      <c r="J19" s="15"/>
      <c r="K19" s="15"/>
      <c r="L19" s="10"/>
    </row>
    <row r="20">
      <c r="B20" s="15"/>
      <c r="C20" s="15" t="s">
        <v>45</v>
      </c>
      <c r="D20" s="20"/>
      <c r="E20" s="267"/>
      <c r="F20" s="10">
        <f>4.06+0.21+5.18+4.15+4.18+3.54+3.07+8.15-0.07-4.75+18.77+1.74+4.56+7.06</f>
        <v>59.85</v>
      </c>
      <c r="G20" s="334">
        <f t="shared" si="2"/>
        <v>52.525557</v>
      </c>
      <c r="H20" s="15"/>
      <c r="I20" s="15"/>
      <c r="J20" s="15"/>
      <c r="K20" s="15"/>
      <c r="L20" s="10"/>
    </row>
    <row r="21">
      <c r="B21" s="15"/>
      <c r="C21" s="15" t="s">
        <v>46</v>
      </c>
      <c r="D21" s="20"/>
      <c r="E21" s="267"/>
      <c r="F21" s="15"/>
      <c r="G21" s="334">
        <f t="shared" si="2"/>
        <v>0</v>
      </c>
      <c r="H21" s="15"/>
      <c r="I21" s="15"/>
      <c r="J21" s="15"/>
      <c r="K21" s="15"/>
      <c r="L21" s="10"/>
    </row>
    <row r="22">
      <c r="B22" s="15"/>
      <c r="C22" s="15" t="s">
        <v>47</v>
      </c>
      <c r="D22" s="20"/>
      <c r="E22" s="267">
        <f>0.3+1.2</f>
        <v>1.5</v>
      </c>
      <c r="F22" s="10">
        <f>6.98+27.63+1.98</f>
        <v>36.59</v>
      </c>
      <c r="G22" s="334">
        <f t="shared" si="2"/>
        <v>33.6121158</v>
      </c>
      <c r="H22" s="15"/>
      <c r="I22" s="15"/>
      <c r="J22" s="15"/>
      <c r="K22" s="15"/>
      <c r="L22" s="10"/>
    </row>
    <row r="23">
      <c r="C23" s="15" t="s">
        <v>51</v>
      </c>
      <c r="E23" s="329"/>
      <c r="F23" s="7">
        <f>2.82+1+5.17</f>
        <v>8.99</v>
      </c>
      <c r="G23" s="11">
        <f t="shared" si="2"/>
        <v>7.8898038</v>
      </c>
      <c r="I23" s="45"/>
      <c r="J23" s="45"/>
      <c r="K23" s="45"/>
      <c r="L23" s="45"/>
      <c r="M23" s="45"/>
      <c r="N23" s="45"/>
      <c r="O23" s="45"/>
      <c r="P23" s="45"/>
      <c r="Q23" s="45"/>
    </row>
    <row r="24">
      <c r="C24" s="4" t="s">
        <v>52</v>
      </c>
      <c r="E24" s="1"/>
      <c r="F24" s="7">
        <f>0.08+1.2+13.16+2.96+0.5</f>
        <v>17.9</v>
      </c>
      <c r="G24" s="11">
        <f t="shared" si="2"/>
        <v>15.709398</v>
      </c>
      <c r="I24" s="45"/>
      <c r="J24" s="45"/>
      <c r="K24" s="45"/>
      <c r="L24" s="45"/>
      <c r="M24" s="45"/>
      <c r="N24" s="45"/>
      <c r="O24" s="45"/>
      <c r="P24" s="45"/>
      <c r="Q24" s="45"/>
    </row>
    <row r="25">
      <c r="C25" s="4" t="s">
        <v>53</v>
      </c>
      <c r="E25" s="1"/>
      <c r="G25" s="11">
        <f t="shared" si="2"/>
        <v>0</v>
      </c>
      <c r="I25" s="45"/>
      <c r="J25" s="45"/>
      <c r="K25" s="45"/>
      <c r="L25" s="45"/>
      <c r="M25" s="45"/>
      <c r="N25" s="45"/>
      <c r="O25" s="45"/>
      <c r="P25" s="45"/>
      <c r="Q25" s="45"/>
    </row>
    <row r="26">
      <c r="C26" s="4" t="s">
        <v>54</v>
      </c>
      <c r="E26" s="1"/>
      <c r="F26" s="7">
        <f>19.36</f>
        <v>19.36</v>
      </c>
      <c r="G26" s="11">
        <f t="shared" si="2"/>
        <v>16.9907232</v>
      </c>
      <c r="I26" s="45"/>
      <c r="J26" s="45"/>
      <c r="K26" s="45"/>
      <c r="L26" s="45"/>
      <c r="M26" s="45"/>
      <c r="N26" s="45"/>
      <c r="O26" s="45"/>
      <c r="P26" s="45"/>
      <c r="Q26" s="45"/>
    </row>
    <row r="27">
      <c r="C27" s="4" t="s">
        <v>55</v>
      </c>
      <c r="E27" s="1">
        <f>4.73+1.6+0.9</f>
        <v>7.23</v>
      </c>
      <c r="F27" s="7">
        <f>13.9+44.29+8.8+6.8</f>
        <v>73.79</v>
      </c>
      <c r="G27" s="11">
        <f t="shared" si="2"/>
        <v>71.9895798</v>
      </c>
      <c r="I27" s="45"/>
      <c r="J27" s="45"/>
      <c r="K27" s="45"/>
      <c r="L27" s="45"/>
      <c r="M27" s="45"/>
      <c r="N27" s="45"/>
      <c r="O27" s="45"/>
      <c r="P27" s="45"/>
      <c r="Q27" s="45"/>
    </row>
    <row r="28">
      <c r="C28" s="4" t="s">
        <v>58</v>
      </c>
      <c r="E28" s="1">
        <f>1.27+2.1</f>
        <v>3.37</v>
      </c>
      <c r="F28" s="7">
        <f>11.96</f>
        <v>11.96</v>
      </c>
      <c r="G28" s="11">
        <f t="shared" si="2"/>
        <v>13.8663352</v>
      </c>
      <c r="I28" s="45"/>
      <c r="J28" s="45"/>
      <c r="K28" s="45"/>
      <c r="L28" s="45"/>
      <c r="M28" s="45"/>
      <c r="N28" s="45"/>
      <c r="O28" s="45"/>
      <c r="P28" s="45"/>
      <c r="Q28" s="45"/>
    </row>
    <row r="29">
      <c r="C29" s="4" t="s">
        <v>57</v>
      </c>
      <c r="E29" s="1"/>
      <c r="G29" s="11">
        <f t="shared" si="2"/>
        <v>0</v>
      </c>
      <c r="I29" s="45"/>
      <c r="J29" s="45"/>
      <c r="K29" s="45"/>
      <c r="L29" s="45"/>
      <c r="M29" s="45"/>
      <c r="N29" s="45"/>
      <c r="O29" s="45"/>
      <c r="P29" s="45"/>
      <c r="Q29" s="45"/>
    </row>
    <row r="30">
      <c r="E30" s="1"/>
      <c r="G30" s="11">
        <f t="shared" si="2"/>
        <v>0</v>
      </c>
      <c r="I30" s="45"/>
      <c r="J30" s="45"/>
      <c r="K30" s="45"/>
      <c r="L30" s="45"/>
      <c r="M30" s="45"/>
      <c r="N30" s="45"/>
      <c r="O30" s="45"/>
      <c r="P30" s="45"/>
      <c r="Q30" s="45"/>
    </row>
    <row r="31">
      <c r="E31" s="1"/>
      <c r="I31" s="45"/>
      <c r="J31" s="45"/>
      <c r="K31" s="45"/>
      <c r="L31" s="45"/>
      <c r="M31" s="45"/>
      <c r="N31" s="45"/>
      <c r="O31" s="45"/>
      <c r="P31" s="45"/>
      <c r="Q31" s="45"/>
    </row>
    <row r="32">
      <c r="E32" s="1"/>
      <c r="I32" s="45"/>
      <c r="J32" s="45"/>
      <c r="K32" s="45"/>
      <c r="L32" s="45"/>
      <c r="M32" s="45"/>
      <c r="N32" s="45"/>
      <c r="O32" s="45"/>
      <c r="P32" s="45"/>
      <c r="Q32" s="45"/>
    </row>
    <row r="33">
      <c r="E33" s="1"/>
    </row>
    <row r="34">
      <c r="B34" s="4" t="s">
        <v>5207</v>
      </c>
      <c r="C34" s="4" t="s">
        <v>5208</v>
      </c>
      <c r="D34" s="4">
        <v>188.62</v>
      </c>
      <c r="E34" s="1"/>
    </row>
    <row r="35">
      <c r="B35" s="4" t="s">
        <v>5799</v>
      </c>
      <c r="C35" s="4" t="s">
        <v>5139</v>
      </c>
      <c r="D35" s="4">
        <v>53.8</v>
      </c>
      <c r="E35" s="1"/>
    </row>
    <row r="36">
      <c r="B36" s="4" t="s">
        <v>193</v>
      </c>
      <c r="C36" s="4" t="s">
        <v>199</v>
      </c>
      <c r="D36" s="4">
        <v>209.88</v>
      </c>
      <c r="E36" s="1"/>
    </row>
    <row r="37">
      <c r="B37" s="4" t="s">
        <v>1782</v>
      </c>
      <c r="C37" s="4" t="s">
        <v>5825</v>
      </c>
      <c r="D37" s="4">
        <v>26.51</v>
      </c>
      <c r="E37" s="1"/>
    </row>
    <row r="38">
      <c r="B38" s="4" t="s">
        <v>3651</v>
      </c>
      <c r="C38" s="4" t="s">
        <v>5827</v>
      </c>
      <c r="D38" s="4">
        <v>889.0</v>
      </c>
      <c r="E38" s="1"/>
    </row>
    <row r="39">
      <c r="B39" s="4" t="s">
        <v>1782</v>
      </c>
      <c r="D39" s="4">
        <v>25.85</v>
      </c>
      <c r="E39" s="1"/>
    </row>
    <row r="40">
      <c r="B40" s="4" t="s">
        <v>4748</v>
      </c>
      <c r="C40" s="4" t="s">
        <v>5862</v>
      </c>
      <c r="D40" s="4">
        <v>99.46</v>
      </c>
      <c r="E40" s="1"/>
    </row>
    <row r="41">
      <c r="B41" s="48" t="s">
        <v>665</v>
      </c>
      <c r="C41" s="336" t="s">
        <v>1009</v>
      </c>
      <c r="D41" s="4">
        <v>25.85</v>
      </c>
      <c r="E41" s="1"/>
    </row>
    <row r="42">
      <c r="E42" s="1"/>
    </row>
    <row r="43">
      <c r="E43" s="1"/>
    </row>
    <row r="44">
      <c r="E44" s="1"/>
    </row>
    <row r="45">
      <c r="E45" s="1"/>
    </row>
    <row r="46">
      <c r="E46" s="1"/>
    </row>
    <row r="47">
      <c r="E47" s="1"/>
    </row>
    <row r="48">
      <c r="E48" s="1"/>
    </row>
    <row r="49">
      <c r="E49" s="1"/>
    </row>
    <row r="50">
      <c r="E50" s="1"/>
    </row>
    <row r="51">
      <c r="E51" s="1"/>
    </row>
    <row r="52">
      <c r="E52" s="1"/>
    </row>
    <row r="53">
      <c r="E53" s="1"/>
    </row>
    <row r="54">
      <c r="E54" s="1"/>
    </row>
    <row r="55">
      <c r="E55" s="1"/>
    </row>
    <row r="56">
      <c r="E56" s="1"/>
    </row>
    <row r="57">
      <c r="E57" s="1"/>
    </row>
    <row r="58">
      <c r="E58" s="1"/>
    </row>
    <row r="59">
      <c r="E59" s="1"/>
    </row>
    <row r="60">
      <c r="E60" s="1"/>
    </row>
    <row r="61">
      <c r="E61" s="1"/>
    </row>
    <row r="62">
      <c r="E62" s="1"/>
    </row>
    <row r="63">
      <c r="E63" s="1"/>
    </row>
    <row r="64">
      <c r="E64" s="1"/>
    </row>
    <row r="65">
      <c r="E65" s="1"/>
    </row>
    <row r="66">
      <c r="E66" s="1"/>
    </row>
    <row r="67">
      <c r="E67" s="1"/>
    </row>
    <row r="68">
      <c r="E68" s="1"/>
    </row>
    <row r="69">
      <c r="E69" s="1"/>
    </row>
    <row r="70">
      <c r="E70" s="1"/>
    </row>
    <row r="71">
      <c r="E71" s="1"/>
    </row>
    <row r="72">
      <c r="E72" s="1"/>
    </row>
    <row r="73">
      <c r="E73" s="1"/>
    </row>
    <row r="74">
      <c r="E74" s="1"/>
    </row>
    <row r="75">
      <c r="E75" s="1"/>
    </row>
    <row r="76">
      <c r="E76" s="1"/>
    </row>
    <row r="77">
      <c r="E77" s="1"/>
    </row>
    <row r="78">
      <c r="E78" s="1"/>
    </row>
    <row r="79">
      <c r="E79" s="1"/>
    </row>
    <row r="80">
      <c r="E80" s="1"/>
    </row>
    <row r="81">
      <c r="E81" s="1"/>
    </row>
    <row r="82">
      <c r="E82" s="1"/>
    </row>
    <row r="83">
      <c r="E83" s="1"/>
    </row>
    <row r="84">
      <c r="E84" s="1"/>
    </row>
    <row r="85">
      <c r="E85" s="1"/>
    </row>
    <row r="86">
      <c r="E86" s="1"/>
    </row>
    <row r="87">
      <c r="E87" s="1"/>
    </row>
    <row r="88">
      <c r="E88" s="1"/>
    </row>
    <row r="89">
      <c r="E89" s="1"/>
    </row>
    <row r="90">
      <c r="E90" s="1"/>
    </row>
    <row r="91">
      <c r="E91" s="1"/>
    </row>
    <row r="92">
      <c r="E92" s="1"/>
    </row>
    <row r="93">
      <c r="E93" s="1"/>
    </row>
    <row r="94">
      <c r="E94" s="1"/>
    </row>
    <row r="95">
      <c r="E95" s="1"/>
    </row>
    <row r="96">
      <c r="E96" s="1"/>
    </row>
    <row r="97">
      <c r="E97" s="1"/>
    </row>
    <row r="98">
      <c r="E98" s="1"/>
    </row>
    <row r="99">
      <c r="E99" s="1"/>
    </row>
    <row r="100">
      <c r="E100" s="1"/>
    </row>
    <row r="101">
      <c r="E101" s="1"/>
    </row>
    <row r="102">
      <c r="E102" s="1"/>
    </row>
    <row r="103">
      <c r="E103" s="1"/>
    </row>
    <row r="104">
      <c r="E104" s="1"/>
    </row>
    <row r="105">
      <c r="E105" s="1"/>
    </row>
    <row r="106">
      <c r="E106" s="1"/>
    </row>
    <row r="107">
      <c r="E107" s="1"/>
    </row>
    <row r="108">
      <c r="E108" s="1"/>
    </row>
    <row r="109">
      <c r="E109" s="1"/>
    </row>
    <row r="110">
      <c r="E110" s="1"/>
    </row>
    <row r="111">
      <c r="E111" s="1"/>
    </row>
    <row r="112">
      <c r="E112" s="1"/>
    </row>
    <row r="113">
      <c r="E113" s="1"/>
    </row>
    <row r="114">
      <c r="E114" s="1"/>
    </row>
    <row r="115">
      <c r="E115" s="1"/>
    </row>
    <row r="116">
      <c r="E116" s="1"/>
    </row>
    <row r="117">
      <c r="E117" s="1"/>
    </row>
    <row r="118">
      <c r="E118" s="1"/>
    </row>
    <row r="119">
      <c r="E119" s="1"/>
    </row>
    <row r="120">
      <c r="E120" s="1"/>
    </row>
    <row r="121">
      <c r="E121" s="1"/>
    </row>
    <row r="122">
      <c r="E122" s="1"/>
    </row>
    <row r="123">
      <c r="E123" s="1"/>
    </row>
    <row r="124">
      <c r="E124" s="1"/>
    </row>
    <row r="125">
      <c r="E125" s="1"/>
    </row>
    <row r="126">
      <c r="E126" s="1"/>
    </row>
    <row r="127">
      <c r="E127" s="1"/>
    </row>
    <row r="128">
      <c r="E128" s="1"/>
    </row>
    <row r="129">
      <c r="E129" s="1"/>
    </row>
    <row r="130">
      <c r="E130" s="1"/>
    </row>
    <row r="131">
      <c r="E131" s="1"/>
    </row>
    <row r="132">
      <c r="E132" s="1"/>
    </row>
    <row r="133">
      <c r="E133" s="1"/>
    </row>
    <row r="134">
      <c r="E134" s="1"/>
    </row>
    <row r="135">
      <c r="E135" s="1"/>
    </row>
    <row r="136">
      <c r="E136" s="1"/>
    </row>
    <row r="137">
      <c r="E137" s="1"/>
    </row>
    <row r="138">
      <c r="E138" s="1"/>
    </row>
    <row r="139">
      <c r="E139" s="1"/>
    </row>
    <row r="140">
      <c r="E140" s="1"/>
    </row>
    <row r="141">
      <c r="E141" s="1"/>
    </row>
    <row r="142">
      <c r="E142" s="1"/>
    </row>
    <row r="143">
      <c r="E143" s="1"/>
    </row>
    <row r="144">
      <c r="E144" s="1"/>
    </row>
    <row r="145">
      <c r="E145" s="1"/>
    </row>
    <row r="146">
      <c r="E146" s="1"/>
    </row>
    <row r="147">
      <c r="E147" s="1"/>
    </row>
    <row r="148">
      <c r="E148" s="1"/>
    </row>
    <row r="149">
      <c r="E149" s="1"/>
    </row>
    <row r="150">
      <c r="E150" s="1"/>
    </row>
    <row r="151">
      <c r="E151" s="1"/>
    </row>
    <row r="152">
      <c r="E152" s="1"/>
    </row>
    <row r="153">
      <c r="E153" s="1"/>
    </row>
    <row r="154">
      <c r="E154" s="1"/>
    </row>
    <row r="155">
      <c r="E155" s="1"/>
    </row>
    <row r="156">
      <c r="E156" s="1"/>
    </row>
    <row r="157">
      <c r="E157" s="1"/>
    </row>
    <row r="158">
      <c r="E158" s="1"/>
    </row>
    <row r="159">
      <c r="E159" s="1"/>
    </row>
    <row r="160">
      <c r="E160" s="1"/>
    </row>
    <row r="161">
      <c r="E161" s="1"/>
    </row>
    <row r="162">
      <c r="E162" s="1"/>
    </row>
    <row r="163">
      <c r="E163" s="1"/>
    </row>
    <row r="164">
      <c r="E164" s="1"/>
    </row>
    <row r="165">
      <c r="E165" s="1"/>
    </row>
    <row r="166">
      <c r="E166" s="1"/>
    </row>
    <row r="167">
      <c r="E167" s="1"/>
    </row>
    <row r="168">
      <c r="E168" s="1"/>
    </row>
    <row r="169">
      <c r="E169" s="1"/>
    </row>
    <row r="170">
      <c r="E170" s="1"/>
    </row>
    <row r="171">
      <c r="E171" s="1"/>
    </row>
    <row r="172">
      <c r="E172" s="1"/>
    </row>
    <row r="173">
      <c r="E173" s="1"/>
    </row>
    <row r="174">
      <c r="E174" s="1"/>
    </row>
    <row r="175">
      <c r="E175" s="1"/>
    </row>
    <row r="176">
      <c r="E176" s="1"/>
    </row>
    <row r="177">
      <c r="E177" s="1"/>
    </row>
    <row r="178">
      <c r="E178" s="1"/>
    </row>
    <row r="179">
      <c r="E179" s="1"/>
    </row>
    <row r="180">
      <c r="E180" s="1"/>
    </row>
    <row r="181">
      <c r="E181" s="1"/>
    </row>
    <row r="182">
      <c r="E182" s="1"/>
    </row>
    <row r="183">
      <c r="E183" s="1"/>
    </row>
    <row r="184">
      <c r="E184" s="1"/>
    </row>
    <row r="185">
      <c r="E185" s="1"/>
    </row>
    <row r="186">
      <c r="E186" s="1"/>
    </row>
    <row r="187">
      <c r="E187" s="1"/>
    </row>
    <row r="188">
      <c r="E188" s="1"/>
    </row>
    <row r="189">
      <c r="E189" s="1"/>
    </row>
    <row r="190">
      <c r="E190" s="1"/>
    </row>
    <row r="191">
      <c r="E191" s="1"/>
    </row>
    <row r="192">
      <c r="E192" s="1"/>
    </row>
    <row r="193">
      <c r="E193" s="1"/>
    </row>
    <row r="194">
      <c r="E194" s="1"/>
    </row>
    <row r="195">
      <c r="E195" s="1"/>
    </row>
    <row r="196">
      <c r="E196" s="1"/>
    </row>
    <row r="197">
      <c r="E197" s="1"/>
    </row>
    <row r="198">
      <c r="E198" s="1"/>
    </row>
    <row r="199">
      <c r="E199" s="1"/>
    </row>
    <row r="200">
      <c r="E200" s="1"/>
    </row>
    <row r="201">
      <c r="E201" s="1"/>
    </row>
    <row r="202">
      <c r="E202" s="1"/>
    </row>
    <row r="203">
      <c r="E203" s="1"/>
    </row>
    <row r="204">
      <c r="E204" s="1"/>
    </row>
    <row r="205">
      <c r="E205" s="1"/>
    </row>
    <row r="206">
      <c r="E206" s="1"/>
    </row>
    <row r="207">
      <c r="E207" s="1"/>
    </row>
    <row r="208">
      <c r="E208" s="1"/>
    </row>
    <row r="209">
      <c r="E209" s="1"/>
    </row>
    <row r="210">
      <c r="E210" s="1"/>
    </row>
    <row r="211">
      <c r="E211" s="1"/>
    </row>
    <row r="212">
      <c r="E212" s="1"/>
    </row>
    <row r="213">
      <c r="E213" s="1"/>
    </row>
    <row r="214">
      <c r="E214" s="1"/>
    </row>
    <row r="215">
      <c r="E215" s="1"/>
    </row>
    <row r="216">
      <c r="E216" s="1"/>
    </row>
    <row r="217">
      <c r="E217" s="1"/>
    </row>
    <row r="218">
      <c r="E218" s="1"/>
    </row>
    <row r="219">
      <c r="E219" s="1"/>
    </row>
    <row r="220">
      <c r="E220" s="1"/>
    </row>
    <row r="221">
      <c r="E221" s="1"/>
    </row>
    <row r="222">
      <c r="E222" s="1"/>
    </row>
    <row r="223">
      <c r="E223" s="1"/>
    </row>
    <row r="224">
      <c r="E224" s="1"/>
    </row>
    <row r="225">
      <c r="E225" s="1"/>
    </row>
    <row r="226">
      <c r="E226" s="1"/>
    </row>
    <row r="227">
      <c r="E227" s="1"/>
    </row>
    <row r="228">
      <c r="E228" s="1"/>
    </row>
    <row r="229">
      <c r="E229" s="1"/>
    </row>
    <row r="230">
      <c r="E230" s="1"/>
    </row>
    <row r="231">
      <c r="E231" s="1"/>
    </row>
    <row r="232">
      <c r="E232" s="1"/>
    </row>
    <row r="233">
      <c r="E233" s="1"/>
    </row>
    <row r="234">
      <c r="E234" s="1"/>
    </row>
    <row r="235">
      <c r="E235" s="1"/>
    </row>
    <row r="236">
      <c r="E236" s="1"/>
    </row>
    <row r="237">
      <c r="E237" s="1"/>
    </row>
    <row r="238">
      <c r="E238" s="1"/>
    </row>
    <row r="239">
      <c r="E239" s="1"/>
    </row>
    <row r="240">
      <c r="E240" s="1"/>
    </row>
    <row r="241">
      <c r="E241" s="1"/>
    </row>
    <row r="242">
      <c r="E242" s="1"/>
    </row>
    <row r="243">
      <c r="E243" s="1"/>
    </row>
    <row r="244">
      <c r="E244" s="1"/>
    </row>
    <row r="245">
      <c r="E245" s="1"/>
    </row>
    <row r="246">
      <c r="E246" s="1"/>
    </row>
    <row r="247">
      <c r="E247" s="1"/>
    </row>
    <row r="248">
      <c r="E248" s="1"/>
    </row>
    <row r="249">
      <c r="E249" s="1"/>
    </row>
    <row r="250">
      <c r="E250" s="1"/>
    </row>
    <row r="251">
      <c r="E251" s="1"/>
    </row>
    <row r="252">
      <c r="E252" s="1"/>
    </row>
    <row r="253">
      <c r="E253" s="1"/>
    </row>
    <row r="254">
      <c r="E254" s="1"/>
    </row>
    <row r="255">
      <c r="E255" s="1"/>
    </row>
    <row r="256">
      <c r="E256" s="1"/>
    </row>
    <row r="257">
      <c r="E257" s="1"/>
    </row>
    <row r="258">
      <c r="E258" s="1"/>
    </row>
    <row r="259">
      <c r="E259" s="1"/>
    </row>
    <row r="260">
      <c r="E260" s="1"/>
    </row>
    <row r="261">
      <c r="E261" s="1"/>
    </row>
    <row r="262">
      <c r="E262" s="1"/>
    </row>
    <row r="263">
      <c r="E263" s="1"/>
    </row>
    <row r="264">
      <c r="E264" s="1"/>
    </row>
    <row r="265">
      <c r="E265" s="1"/>
    </row>
    <row r="266">
      <c r="E266" s="1"/>
    </row>
    <row r="267">
      <c r="E267" s="1"/>
    </row>
    <row r="268">
      <c r="E268" s="1"/>
    </row>
    <row r="269">
      <c r="E269" s="1"/>
    </row>
    <row r="270">
      <c r="E270" s="1"/>
    </row>
    <row r="271">
      <c r="E271" s="1"/>
    </row>
    <row r="272">
      <c r="E272" s="1"/>
    </row>
    <row r="273">
      <c r="E273" s="1"/>
    </row>
    <row r="274">
      <c r="E274" s="1"/>
    </row>
    <row r="275">
      <c r="E275" s="1"/>
    </row>
    <row r="276">
      <c r="E276" s="1"/>
    </row>
    <row r="277">
      <c r="E277" s="1"/>
    </row>
    <row r="278">
      <c r="E278" s="1"/>
    </row>
    <row r="279">
      <c r="E279" s="1"/>
    </row>
    <row r="280">
      <c r="E280" s="1"/>
    </row>
    <row r="281">
      <c r="E281" s="1"/>
    </row>
    <row r="282">
      <c r="E282" s="1"/>
    </row>
    <row r="283">
      <c r="E283" s="1"/>
    </row>
    <row r="284">
      <c r="E284" s="1"/>
    </row>
    <row r="285">
      <c r="E285" s="1"/>
    </row>
    <row r="286">
      <c r="E286" s="1"/>
    </row>
    <row r="287">
      <c r="E287" s="1"/>
    </row>
    <row r="288">
      <c r="E288" s="1"/>
    </row>
    <row r="289">
      <c r="E289" s="1"/>
    </row>
    <row r="290">
      <c r="E290" s="1"/>
    </row>
    <row r="291">
      <c r="E291" s="1"/>
    </row>
    <row r="292">
      <c r="E292" s="1"/>
    </row>
    <row r="293">
      <c r="E293" s="1"/>
    </row>
    <row r="294">
      <c r="E294" s="1"/>
    </row>
    <row r="295">
      <c r="E295" s="1"/>
    </row>
    <row r="296">
      <c r="E296" s="1"/>
    </row>
    <row r="297">
      <c r="E297" s="1"/>
    </row>
    <row r="298">
      <c r="E298" s="1"/>
    </row>
    <row r="299">
      <c r="E299" s="1"/>
    </row>
    <row r="300">
      <c r="E300" s="1"/>
    </row>
    <row r="301">
      <c r="E301" s="1"/>
    </row>
    <row r="302">
      <c r="E302" s="1"/>
    </row>
    <row r="303">
      <c r="E303" s="1"/>
    </row>
    <row r="304">
      <c r="E304" s="1"/>
    </row>
    <row r="305">
      <c r="E305" s="1"/>
    </row>
    <row r="306">
      <c r="E306" s="1"/>
    </row>
    <row r="307">
      <c r="E307" s="1"/>
    </row>
    <row r="308">
      <c r="E308" s="1"/>
    </row>
    <row r="309">
      <c r="E309" s="1"/>
    </row>
    <row r="310">
      <c r="E310" s="1"/>
    </row>
    <row r="311">
      <c r="E311" s="1"/>
    </row>
    <row r="312">
      <c r="E312" s="1"/>
    </row>
    <row r="313">
      <c r="E313" s="1"/>
    </row>
    <row r="314">
      <c r="E314" s="1"/>
    </row>
    <row r="315">
      <c r="E315" s="1"/>
    </row>
    <row r="316">
      <c r="E316" s="1"/>
    </row>
    <row r="317">
      <c r="E317" s="1"/>
    </row>
    <row r="318">
      <c r="E318" s="1"/>
    </row>
    <row r="319">
      <c r="E319" s="1"/>
    </row>
    <row r="320">
      <c r="E320" s="1"/>
    </row>
    <row r="321">
      <c r="E321" s="1"/>
    </row>
    <row r="322">
      <c r="E322" s="1"/>
    </row>
    <row r="323">
      <c r="E323" s="1"/>
    </row>
    <row r="324">
      <c r="E324" s="1"/>
    </row>
    <row r="325">
      <c r="E325" s="1"/>
    </row>
    <row r="326">
      <c r="E326" s="1"/>
    </row>
    <row r="327">
      <c r="E327" s="1"/>
    </row>
    <row r="328">
      <c r="E328" s="1"/>
    </row>
    <row r="329">
      <c r="E329" s="1"/>
    </row>
    <row r="330">
      <c r="E330" s="1"/>
    </row>
    <row r="331">
      <c r="E331" s="1"/>
    </row>
    <row r="332">
      <c r="E332" s="1"/>
    </row>
    <row r="333">
      <c r="E333" s="1"/>
    </row>
    <row r="334">
      <c r="E334" s="1"/>
    </row>
    <row r="335">
      <c r="E335" s="1"/>
    </row>
    <row r="336">
      <c r="E336" s="1"/>
    </row>
    <row r="337">
      <c r="E337" s="1"/>
    </row>
    <row r="338">
      <c r="E338" s="1"/>
    </row>
    <row r="339">
      <c r="E339" s="1"/>
    </row>
    <row r="340">
      <c r="E340" s="1"/>
    </row>
    <row r="341">
      <c r="E341" s="1"/>
    </row>
    <row r="342">
      <c r="E342" s="1"/>
    </row>
    <row r="343">
      <c r="E343" s="1"/>
    </row>
    <row r="344">
      <c r="E344" s="1"/>
    </row>
    <row r="345">
      <c r="E345" s="1"/>
    </row>
    <row r="346">
      <c r="E346" s="1"/>
    </row>
    <row r="347">
      <c r="E347" s="1"/>
    </row>
    <row r="348">
      <c r="E348" s="1"/>
    </row>
    <row r="349">
      <c r="E349" s="1"/>
    </row>
    <row r="350">
      <c r="E350" s="1"/>
    </row>
    <row r="351">
      <c r="E351" s="1"/>
    </row>
    <row r="352">
      <c r="E352" s="1"/>
    </row>
    <row r="353">
      <c r="E353" s="1"/>
    </row>
    <row r="354">
      <c r="E354" s="1"/>
    </row>
    <row r="355">
      <c r="E355" s="1"/>
    </row>
    <row r="356">
      <c r="E356" s="1"/>
    </row>
    <row r="357">
      <c r="E357" s="1"/>
    </row>
    <row r="358">
      <c r="E358" s="1"/>
    </row>
    <row r="359">
      <c r="E359" s="1"/>
    </row>
    <row r="360">
      <c r="E360" s="1"/>
    </row>
    <row r="361">
      <c r="E361" s="1"/>
    </row>
    <row r="362">
      <c r="E362" s="1"/>
    </row>
    <row r="363">
      <c r="E363" s="1"/>
    </row>
    <row r="364">
      <c r="E364" s="1"/>
    </row>
    <row r="365">
      <c r="E365" s="1"/>
    </row>
    <row r="366">
      <c r="E366" s="1"/>
    </row>
    <row r="367">
      <c r="E367" s="1"/>
    </row>
    <row r="368">
      <c r="E368" s="1"/>
    </row>
    <row r="369">
      <c r="E369" s="1"/>
    </row>
    <row r="370">
      <c r="E370" s="1"/>
    </row>
    <row r="371">
      <c r="E371" s="1"/>
    </row>
    <row r="372">
      <c r="E372" s="1"/>
    </row>
    <row r="373">
      <c r="E373" s="1"/>
    </row>
    <row r="374">
      <c r="E374" s="1"/>
    </row>
    <row r="375">
      <c r="E375" s="1"/>
    </row>
    <row r="376">
      <c r="E376" s="1"/>
    </row>
    <row r="377">
      <c r="E377" s="1"/>
    </row>
    <row r="378">
      <c r="E378" s="1"/>
    </row>
    <row r="379">
      <c r="E379" s="1"/>
    </row>
    <row r="380">
      <c r="E380" s="1"/>
    </row>
    <row r="381">
      <c r="E381" s="1"/>
    </row>
    <row r="382">
      <c r="E382" s="1"/>
    </row>
    <row r="383">
      <c r="E383" s="1"/>
    </row>
    <row r="384">
      <c r="E384" s="1"/>
    </row>
    <row r="385">
      <c r="E385" s="1"/>
    </row>
    <row r="386">
      <c r="E386" s="1"/>
    </row>
    <row r="387">
      <c r="E387" s="1"/>
    </row>
    <row r="388">
      <c r="E388" s="1"/>
    </row>
    <row r="389">
      <c r="E389" s="1"/>
    </row>
    <row r="390">
      <c r="E390" s="1"/>
    </row>
    <row r="391">
      <c r="E391" s="1"/>
    </row>
    <row r="392">
      <c r="E392" s="1"/>
    </row>
    <row r="393">
      <c r="E393" s="1"/>
    </row>
    <row r="394">
      <c r="E394" s="1"/>
    </row>
    <row r="395">
      <c r="E395" s="1"/>
    </row>
    <row r="396">
      <c r="E396" s="1"/>
    </row>
    <row r="397">
      <c r="E397" s="1"/>
    </row>
    <row r="398">
      <c r="E398" s="1"/>
    </row>
    <row r="399">
      <c r="E399" s="1"/>
    </row>
    <row r="400">
      <c r="E400" s="1"/>
    </row>
    <row r="401">
      <c r="E401" s="1"/>
    </row>
    <row r="402">
      <c r="E402" s="1"/>
    </row>
    <row r="403">
      <c r="E403" s="1"/>
    </row>
    <row r="404">
      <c r="E404" s="1"/>
    </row>
    <row r="405">
      <c r="E405" s="1"/>
    </row>
    <row r="406">
      <c r="E406" s="1"/>
    </row>
    <row r="407">
      <c r="E407" s="1"/>
    </row>
    <row r="408">
      <c r="E408" s="1"/>
    </row>
    <row r="409">
      <c r="E409" s="1"/>
    </row>
    <row r="410">
      <c r="E410" s="1"/>
    </row>
    <row r="411">
      <c r="E411" s="1"/>
    </row>
    <row r="412">
      <c r="E412" s="1"/>
    </row>
    <row r="413">
      <c r="E413" s="1"/>
    </row>
    <row r="414">
      <c r="E414" s="1"/>
    </row>
    <row r="415">
      <c r="E415" s="1"/>
    </row>
    <row r="416">
      <c r="E416" s="1"/>
    </row>
    <row r="417">
      <c r="E417" s="1"/>
    </row>
    <row r="418">
      <c r="E418" s="1"/>
    </row>
    <row r="419">
      <c r="E419" s="1"/>
    </row>
    <row r="420">
      <c r="E420" s="1"/>
    </row>
    <row r="421">
      <c r="E421" s="1"/>
    </row>
    <row r="422">
      <c r="E422" s="1"/>
    </row>
    <row r="423">
      <c r="E423" s="1"/>
    </row>
    <row r="424">
      <c r="E424" s="1"/>
    </row>
    <row r="425">
      <c r="E425" s="1"/>
    </row>
    <row r="426">
      <c r="E426" s="1"/>
    </row>
    <row r="427">
      <c r="E427" s="1"/>
    </row>
    <row r="428">
      <c r="E428" s="1"/>
    </row>
    <row r="429">
      <c r="E429" s="1"/>
    </row>
    <row r="430">
      <c r="E430" s="1"/>
    </row>
    <row r="431">
      <c r="E431" s="1"/>
    </row>
    <row r="432">
      <c r="E432" s="1"/>
    </row>
    <row r="433">
      <c r="E433" s="1"/>
    </row>
    <row r="434">
      <c r="E434" s="1"/>
    </row>
    <row r="435">
      <c r="E435" s="1"/>
    </row>
    <row r="436">
      <c r="E436" s="1"/>
    </row>
    <row r="437">
      <c r="E437" s="1"/>
    </row>
    <row r="438">
      <c r="E438" s="1"/>
    </row>
    <row r="439">
      <c r="E439" s="1"/>
    </row>
    <row r="440">
      <c r="E440" s="1"/>
    </row>
    <row r="441">
      <c r="E441" s="1"/>
    </row>
    <row r="442">
      <c r="E442" s="1"/>
    </row>
    <row r="443">
      <c r="E443" s="1"/>
    </row>
    <row r="444">
      <c r="E444" s="1"/>
    </row>
    <row r="445">
      <c r="E445" s="1"/>
    </row>
    <row r="446">
      <c r="E446" s="1"/>
    </row>
    <row r="447">
      <c r="E447" s="1"/>
    </row>
    <row r="448">
      <c r="E448" s="1"/>
    </row>
    <row r="449">
      <c r="E449" s="1"/>
    </row>
    <row r="450">
      <c r="E450" s="1"/>
    </row>
    <row r="451">
      <c r="E451" s="1"/>
    </row>
    <row r="452">
      <c r="E452" s="1"/>
    </row>
    <row r="453">
      <c r="E453" s="1"/>
    </row>
    <row r="454">
      <c r="E454" s="1"/>
    </row>
    <row r="455">
      <c r="E455" s="1"/>
    </row>
    <row r="456">
      <c r="E456" s="1"/>
    </row>
    <row r="457">
      <c r="E457" s="1"/>
    </row>
    <row r="458">
      <c r="E458" s="1"/>
    </row>
    <row r="459">
      <c r="E459" s="1"/>
    </row>
    <row r="460">
      <c r="E460" s="1"/>
    </row>
    <row r="461">
      <c r="E461" s="1"/>
    </row>
    <row r="462">
      <c r="E462" s="1"/>
    </row>
    <row r="463">
      <c r="E463" s="1"/>
    </row>
    <row r="464">
      <c r="E464" s="1"/>
    </row>
    <row r="465">
      <c r="E465" s="1"/>
    </row>
    <row r="466">
      <c r="E466" s="1"/>
    </row>
    <row r="467">
      <c r="E467" s="1"/>
    </row>
    <row r="468">
      <c r="E468" s="1"/>
    </row>
    <row r="469">
      <c r="E469" s="1"/>
    </row>
    <row r="470">
      <c r="E470" s="1"/>
    </row>
    <row r="471">
      <c r="E471" s="1"/>
    </row>
    <row r="472">
      <c r="E472" s="1"/>
    </row>
    <row r="473">
      <c r="E473" s="1"/>
    </row>
    <row r="474">
      <c r="E474" s="1"/>
    </row>
    <row r="475">
      <c r="E475" s="1"/>
    </row>
    <row r="476">
      <c r="E476" s="1"/>
    </row>
    <row r="477">
      <c r="E477" s="1"/>
    </row>
    <row r="478">
      <c r="E478" s="1"/>
    </row>
    <row r="479">
      <c r="E479" s="1"/>
    </row>
    <row r="480">
      <c r="E480" s="1"/>
    </row>
    <row r="481">
      <c r="E481" s="1"/>
    </row>
    <row r="482">
      <c r="E482" s="1"/>
    </row>
    <row r="483">
      <c r="E483" s="1"/>
    </row>
    <row r="484">
      <c r="E484" s="1"/>
    </row>
    <row r="485">
      <c r="E485" s="1"/>
    </row>
    <row r="486">
      <c r="E486" s="1"/>
    </row>
    <row r="487">
      <c r="E487" s="1"/>
    </row>
    <row r="488">
      <c r="E488" s="1"/>
    </row>
    <row r="489">
      <c r="E489" s="1"/>
    </row>
    <row r="490">
      <c r="E490" s="1"/>
    </row>
    <row r="491">
      <c r="E491" s="1"/>
    </row>
    <row r="492">
      <c r="E492" s="1"/>
    </row>
    <row r="493">
      <c r="E493" s="1"/>
    </row>
    <row r="494">
      <c r="E494" s="1"/>
    </row>
    <row r="495">
      <c r="E495" s="1"/>
    </row>
    <row r="496">
      <c r="E496" s="1"/>
    </row>
    <row r="497">
      <c r="E497" s="1"/>
    </row>
    <row r="498">
      <c r="E498" s="1"/>
    </row>
    <row r="499">
      <c r="E499" s="1"/>
    </row>
    <row r="500">
      <c r="E500" s="1"/>
    </row>
    <row r="501">
      <c r="E501" s="1"/>
    </row>
    <row r="502">
      <c r="E502" s="1"/>
    </row>
    <row r="503">
      <c r="E503" s="1"/>
    </row>
    <row r="504">
      <c r="E504" s="1"/>
    </row>
    <row r="505">
      <c r="E505" s="1"/>
    </row>
    <row r="506">
      <c r="E506" s="1"/>
    </row>
    <row r="507">
      <c r="E507" s="1"/>
    </row>
    <row r="508">
      <c r="E508" s="1"/>
    </row>
    <row r="509">
      <c r="E509" s="1"/>
    </row>
    <row r="510">
      <c r="E510" s="1"/>
    </row>
    <row r="511">
      <c r="E511" s="1"/>
    </row>
    <row r="512">
      <c r="E512" s="1"/>
    </row>
    <row r="513">
      <c r="E513" s="1"/>
    </row>
    <row r="514">
      <c r="E514" s="1"/>
    </row>
    <row r="515">
      <c r="E515" s="1"/>
    </row>
    <row r="516">
      <c r="E516" s="1"/>
    </row>
    <row r="517">
      <c r="E517" s="1"/>
    </row>
    <row r="518">
      <c r="E518" s="1"/>
    </row>
    <row r="519">
      <c r="E519" s="1"/>
    </row>
    <row r="520">
      <c r="E520" s="1"/>
    </row>
    <row r="521">
      <c r="E521" s="1"/>
    </row>
    <row r="522">
      <c r="E522" s="1"/>
    </row>
    <row r="523">
      <c r="E523" s="1"/>
    </row>
    <row r="524">
      <c r="E524" s="1"/>
    </row>
    <row r="525">
      <c r="E525" s="1"/>
    </row>
    <row r="526">
      <c r="E526" s="1"/>
    </row>
    <row r="527">
      <c r="E527" s="1"/>
    </row>
    <row r="528">
      <c r="E528" s="1"/>
    </row>
    <row r="529">
      <c r="E529" s="1"/>
    </row>
    <row r="530">
      <c r="E530" s="1"/>
    </row>
    <row r="531">
      <c r="E531" s="1"/>
    </row>
    <row r="532">
      <c r="E532" s="1"/>
    </row>
    <row r="533">
      <c r="E533" s="1"/>
    </row>
    <row r="534">
      <c r="E534" s="1"/>
    </row>
    <row r="535">
      <c r="E535" s="1"/>
    </row>
    <row r="536">
      <c r="E536" s="1"/>
    </row>
    <row r="537">
      <c r="E537" s="1"/>
    </row>
    <row r="538">
      <c r="E538" s="1"/>
    </row>
    <row r="539">
      <c r="E539" s="1"/>
    </row>
    <row r="540">
      <c r="E540" s="1"/>
    </row>
    <row r="541">
      <c r="E541" s="1"/>
    </row>
    <row r="542">
      <c r="E542" s="1"/>
    </row>
    <row r="543">
      <c r="E543" s="1"/>
    </row>
    <row r="544">
      <c r="E544" s="1"/>
    </row>
    <row r="545">
      <c r="E545" s="1"/>
    </row>
    <row r="546">
      <c r="E546" s="1"/>
    </row>
    <row r="547">
      <c r="E547" s="1"/>
    </row>
    <row r="548">
      <c r="E548" s="1"/>
    </row>
    <row r="549">
      <c r="E549" s="1"/>
    </row>
    <row r="550">
      <c r="E550" s="1"/>
    </row>
    <row r="551">
      <c r="E551" s="1"/>
    </row>
    <row r="552">
      <c r="E552" s="1"/>
    </row>
    <row r="553">
      <c r="E553" s="1"/>
    </row>
    <row r="554">
      <c r="E554" s="1"/>
    </row>
    <row r="555">
      <c r="E555" s="1"/>
    </row>
    <row r="556">
      <c r="E556" s="1"/>
    </row>
    <row r="557">
      <c r="E557" s="1"/>
    </row>
    <row r="558">
      <c r="E558" s="1"/>
    </row>
    <row r="559">
      <c r="E559" s="1"/>
    </row>
    <row r="560">
      <c r="E560" s="1"/>
    </row>
    <row r="561">
      <c r="E561" s="1"/>
    </row>
    <row r="562">
      <c r="E562" s="1"/>
    </row>
    <row r="563">
      <c r="E563" s="1"/>
    </row>
    <row r="564">
      <c r="E564" s="1"/>
    </row>
    <row r="565">
      <c r="E565" s="1"/>
    </row>
    <row r="566">
      <c r="E566" s="1"/>
    </row>
    <row r="567">
      <c r="E567" s="1"/>
    </row>
    <row r="568">
      <c r="E568" s="1"/>
    </row>
    <row r="569">
      <c r="E569" s="1"/>
    </row>
    <row r="570">
      <c r="E570" s="1"/>
    </row>
    <row r="571">
      <c r="E571" s="1"/>
    </row>
    <row r="572">
      <c r="E572" s="1"/>
    </row>
    <row r="573">
      <c r="E573" s="1"/>
    </row>
    <row r="574">
      <c r="E574" s="1"/>
    </row>
    <row r="575">
      <c r="E575" s="1"/>
    </row>
    <row r="576">
      <c r="E576" s="1"/>
    </row>
    <row r="577">
      <c r="E577" s="1"/>
    </row>
    <row r="578">
      <c r="E578" s="1"/>
    </row>
    <row r="579">
      <c r="E579" s="1"/>
    </row>
    <row r="580">
      <c r="E580" s="1"/>
    </row>
    <row r="581">
      <c r="E581" s="1"/>
    </row>
    <row r="582">
      <c r="E582" s="1"/>
    </row>
    <row r="583">
      <c r="E583" s="1"/>
    </row>
    <row r="584">
      <c r="E584" s="1"/>
    </row>
    <row r="585">
      <c r="E585" s="1"/>
    </row>
    <row r="586">
      <c r="E586" s="1"/>
    </row>
    <row r="587">
      <c r="E587" s="1"/>
    </row>
    <row r="588">
      <c r="E588" s="1"/>
    </row>
    <row r="589">
      <c r="E589" s="1"/>
    </row>
    <row r="590">
      <c r="E590" s="1"/>
    </row>
    <row r="591">
      <c r="E591" s="1"/>
    </row>
    <row r="592">
      <c r="E592" s="1"/>
    </row>
    <row r="593">
      <c r="E593" s="1"/>
    </row>
    <row r="594">
      <c r="E594" s="1"/>
    </row>
    <row r="595">
      <c r="E595" s="1"/>
    </row>
    <row r="596">
      <c r="E596" s="1"/>
    </row>
    <row r="597">
      <c r="E597" s="1"/>
    </row>
    <row r="598">
      <c r="E598" s="1"/>
    </row>
    <row r="599">
      <c r="E599" s="1"/>
    </row>
    <row r="600">
      <c r="E600" s="1"/>
    </row>
    <row r="601">
      <c r="E601" s="1"/>
    </row>
    <row r="602">
      <c r="E602" s="1"/>
    </row>
    <row r="603">
      <c r="E603" s="1"/>
    </row>
    <row r="604">
      <c r="E604" s="1"/>
    </row>
    <row r="605">
      <c r="E605" s="1"/>
    </row>
    <row r="606">
      <c r="E606" s="1"/>
    </row>
    <row r="607">
      <c r="E607" s="1"/>
    </row>
    <row r="608">
      <c r="E608" s="1"/>
    </row>
    <row r="609">
      <c r="E609" s="1"/>
    </row>
    <row r="610">
      <c r="E610" s="1"/>
    </row>
    <row r="611">
      <c r="E611" s="1"/>
    </row>
    <row r="612">
      <c r="E612" s="1"/>
    </row>
    <row r="613">
      <c r="E613" s="1"/>
    </row>
    <row r="614">
      <c r="E614" s="1"/>
    </row>
    <row r="615">
      <c r="E615" s="1"/>
    </row>
    <row r="616">
      <c r="E616" s="1"/>
    </row>
    <row r="617">
      <c r="E617" s="1"/>
    </row>
    <row r="618">
      <c r="E618" s="1"/>
    </row>
    <row r="619">
      <c r="E619" s="1"/>
    </row>
    <row r="620">
      <c r="E620" s="1"/>
    </row>
    <row r="621">
      <c r="E621" s="1"/>
    </row>
    <row r="622">
      <c r="E622" s="1"/>
    </row>
    <row r="623">
      <c r="E623" s="1"/>
    </row>
    <row r="624">
      <c r="E624" s="1"/>
    </row>
    <row r="625">
      <c r="E625" s="1"/>
    </row>
    <row r="626">
      <c r="E626" s="1"/>
    </row>
    <row r="627">
      <c r="E627" s="1"/>
    </row>
    <row r="628">
      <c r="E628" s="1"/>
    </row>
    <row r="629">
      <c r="E629" s="1"/>
    </row>
    <row r="630">
      <c r="E630" s="1"/>
    </row>
    <row r="631">
      <c r="E631" s="1"/>
    </row>
    <row r="632">
      <c r="E632" s="1"/>
    </row>
    <row r="633">
      <c r="E633" s="1"/>
    </row>
    <row r="634">
      <c r="E634" s="1"/>
    </row>
    <row r="635">
      <c r="E635" s="1"/>
    </row>
    <row r="636">
      <c r="E636" s="1"/>
    </row>
    <row r="637">
      <c r="E637" s="1"/>
    </row>
    <row r="638">
      <c r="E638" s="1"/>
    </row>
    <row r="639">
      <c r="E639" s="1"/>
    </row>
    <row r="640">
      <c r="E640" s="1"/>
    </row>
    <row r="641">
      <c r="E641" s="1"/>
    </row>
    <row r="642">
      <c r="E642" s="1"/>
    </row>
    <row r="643">
      <c r="E643" s="1"/>
    </row>
    <row r="644">
      <c r="E644" s="1"/>
    </row>
    <row r="645">
      <c r="E645" s="1"/>
    </row>
    <row r="646">
      <c r="E646" s="1"/>
    </row>
    <row r="647">
      <c r="E647" s="1"/>
    </row>
    <row r="648">
      <c r="E648" s="1"/>
    </row>
    <row r="649">
      <c r="E649" s="1"/>
    </row>
    <row r="650">
      <c r="E650" s="1"/>
    </row>
    <row r="651">
      <c r="E651" s="1"/>
    </row>
    <row r="652">
      <c r="E652" s="1"/>
    </row>
    <row r="653">
      <c r="E653" s="1"/>
    </row>
    <row r="654">
      <c r="E654" s="1"/>
    </row>
    <row r="655">
      <c r="E655" s="1"/>
    </row>
    <row r="656">
      <c r="E656" s="1"/>
    </row>
    <row r="657">
      <c r="E657" s="1"/>
    </row>
    <row r="658">
      <c r="E658" s="1"/>
    </row>
    <row r="659">
      <c r="E659" s="1"/>
    </row>
    <row r="660">
      <c r="E660" s="1"/>
    </row>
    <row r="661">
      <c r="E661" s="1"/>
    </row>
    <row r="662">
      <c r="E662" s="1"/>
    </row>
    <row r="663">
      <c r="E663" s="1"/>
    </row>
    <row r="664">
      <c r="E664" s="1"/>
    </row>
    <row r="665">
      <c r="E665" s="1"/>
    </row>
    <row r="666">
      <c r="E666" s="1"/>
    </row>
    <row r="667">
      <c r="E667" s="1"/>
    </row>
    <row r="668">
      <c r="E668" s="1"/>
    </row>
    <row r="669">
      <c r="E669" s="1"/>
    </row>
    <row r="670">
      <c r="E670" s="1"/>
    </row>
    <row r="671">
      <c r="E671" s="1"/>
    </row>
    <row r="672">
      <c r="E672" s="1"/>
    </row>
    <row r="673">
      <c r="E673" s="1"/>
    </row>
    <row r="674">
      <c r="E674" s="1"/>
    </row>
    <row r="675">
      <c r="E675" s="1"/>
    </row>
    <row r="676">
      <c r="E676" s="1"/>
    </row>
    <row r="677">
      <c r="E677" s="1"/>
    </row>
    <row r="678">
      <c r="E678" s="1"/>
    </row>
    <row r="679">
      <c r="E679" s="1"/>
    </row>
    <row r="680">
      <c r="E680" s="1"/>
    </row>
    <row r="681">
      <c r="E681" s="1"/>
    </row>
    <row r="682">
      <c r="E682" s="1"/>
    </row>
    <row r="683">
      <c r="E683" s="1"/>
    </row>
    <row r="684">
      <c r="E684" s="1"/>
    </row>
    <row r="685">
      <c r="E685" s="1"/>
    </row>
    <row r="686">
      <c r="E686" s="1"/>
    </row>
    <row r="687">
      <c r="E687" s="1"/>
    </row>
    <row r="688">
      <c r="E688" s="1"/>
    </row>
    <row r="689">
      <c r="E689" s="1"/>
    </row>
    <row r="690">
      <c r="E690" s="1"/>
    </row>
    <row r="691">
      <c r="E691" s="1"/>
    </row>
    <row r="692">
      <c r="E692" s="1"/>
    </row>
    <row r="693">
      <c r="E693" s="1"/>
    </row>
    <row r="694">
      <c r="E694" s="1"/>
    </row>
    <row r="695">
      <c r="E695" s="1"/>
    </row>
    <row r="696">
      <c r="E696" s="1"/>
    </row>
    <row r="697">
      <c r="E697" s="1"/>
    </row>
    <row r="698">
      <c r="E698" s="1"/>
    </row>
    <row r="699">
      <c r="E699" s="1"/>
    </row>
    <row r="700">
      <c r="E700" s="1"/>
    </row>
    <row r="701">
      <c r="E701" s="1"/>
    </row>
    <row r="702">
      <c r="E702" s="1"/>
    </row>
    <row r="703">
      <c r="E703" s="1"/>
    </row>
    <row r="704">
      <c r="E704" s="1"/>
    </row>
    <row r="705">
      <c r="E705" s="1"/>
    </row>
    <row r="706">
      <c r="E706" s="1"/>
    </row>
    <row r="707">
      <c r="E707" s="1"/>
    </row>
    <row r="708">
      <c r="E708" s="1"/>
    </row>
    <row r="709">
      <c r="E709" s="1"/>
    </row>
    <row r="710">
      <c r="E710" s="1"/>
    </row>
    <row r="711">
      <c r="E711" s="1"/>
    </row>
    <row r="712">
      <c r="E712" s="1"/>
    </row>
    <row r="713">
      <c r="E713" s="1"/>
    </row>
    <row r="714">
      <c r="E714" s="1"/>
    </row>
    <row r="715">
      <c r="E715" s="1"/>
    </row>
    <row r="716">
      <c r="E716" s="1"/>
    </row>
    <row r="717">
      <c r="E717" s="1"/>
    </row>
    <row r="718">
      <c r="E718" s="1"/>
    </row>
    <row r="719">
      <c r="E719" s="1"/>
    </row>
    <row r="720">
      <c r="E720" s="1"/>
    </row>
    <row r="721">
      <c r="E721" s="1"/>
    </row>
    <row r="722">
      <c r="E722" s="1"/>
    </row>
    <row r="723">
      <c r="E723" s="1"/>
    </row>
    <row r="724">
      <c r="E724" s="1"/>
    </row>
    <row r="725">
      <c r="E725" s="1"/>
    </row>
    <row r="726">
      <c r="E726" s="1"/>
    </row>
    <row r="727">
      <c r="E727" s="1"/>
    </row>
    <row r="728">
      <c r="E728" s="1"/>
    </row>
    <row r="729">
      <c r="E729" s="1"/>
    </row>
    <row r="730">
      <c r="E730" s="1"/>
    </row>
    <row r="731">
      <c r="E731" s="1"/>
    </row>
    <row r="732">
      <c r="E732" s="1"/>
    </row>
    <row r="733">
      <c r="E733" s="1"/>
    </row>
    <row r="734">
      <c r="E734" s="1"/>
    </row>
    <row r="735">
      <c r="E735" s="1"/>
    </row>
    <row r="736">
      <c r="E736" s="1"/>
    </row>
    <row r="737">
      <c r="E737" s="1"/>
    </row>
    <row r="738">
      <c r="E738" s="1"/>
    </row>
    <row r="739">
      <c r="E739" s="1"/>
    </row>
    <row r="740">
      <c r="E740" s="1"/>
    </row>
    <row r="741">
      <c r="E741" s="1"/>
    </row>
    <row r="742">
      <c r="E742" s="1"/>
    </row>
    <row r="743">
      <c r="E743" s="1"/>
    </row>
    <row r="744">
      <c r="E744" s="1"/>
    </row>
    <row r="745">
      <c r="E745" s="1"/>
    </row>
    <row r="746">
      <c r="E746" s="1"/>
    </row>
    <row r="747">
      <c r="E747" s="1"/>
    </row>
    <row r="748">
      <c r="E748" s="1"/>
    </row>
    <row r="749">
      <c r="E749" s="1"/>
    </row>
    <row r="750">
      <c r="E750" s="1"/>
    </row>
    <row r="751">
      <c r="E751" s="1"/>
    </row>
    <row r="752">
      <c r="E752" s="1"/>
    </row>
    <row r="753">
      <c r="E753" s="1"/>
    </row>
    <row r="754">
      <c r="E754" s="1"/>
    </row>
    <row r="755">
      <c r="E755" s="1"/>
    </row>
    <row r="756">
      <c r="E756" s="1"/>
    </row>
    <row r="757">
      <c r="E757" s="1"/>
    </row>
    <row r="758">
      <c r="E758" s="1"/>
    </row>
    <row r="759">
      <c r="E759" s="1"/>
    </row>
    <row r="760">
      <c r="E760" s="1"/>
    </row>
    <row r="761">
      <c r="E761" s="1"/>
    </row>
    <row r="762">
      <c r="E762" s="1"/>
    </row>
    <row r="763">
      <c r="E763" s="1"/>
    </row>
    <row r="764">
      <c r="E764" s="1"/>
    </row>
    <row r="765">
      <c r="E765" s="1"/>
    </row>
    <row r="766">
      <c r="E766" s="1"/>
    </row>
    <row r="767">
      <c r="E767" s="1"/>
    </row>
    <row r="768">
      <c r="E768" s="1"/>
    </row>
    <row r="769">
      <c r="E769" s="1"/>
    </row>
    <row r="770">
      <c r="E770" s="1"/>
    </row>
    <row r="771">
      <c r="E771" s="1"/>
    </row>
    <row r="772">
      <c r="E772" s="1"/>
    </row>
    <row r="773">
      <c r="E773" s="1"/>
    </row>
    <row r="774">
      <c r="E774" s="1"/>
    </row>
    <row r="775">
      <c r="E775" s="1"/>
    </row>
    <row r="776">
      <c r="E776" s="1"/>
    </row>
    <row r="777">
      <c r="E777" s="1"/>
    </row>
    <row r="778">
      <c r="E778" s="1"/>
    </row>
    <row r="779">
      <c r="E779" s="1"/>
    </row>
    <row r="780">
      <c r="E780" s="1"/>
    </row>
    <row r="781">
      <c r="E781" s="1"/>
    </row>
    <row r="782">
      <c r="E782" s="1"/>
    </row>
    <row r="783">
      <c r="E783" s="1"/>
    </row>
    <row r="784">
      <c r="E784" s="1"/>
    </row>
    <row r="785">
      <c r="E785" s="1"/>
    </row>
    <row r="786">
      <c r="E786" s="1"/>
    </row>
    <row r="787">
      <c r="E787" s="1"/>
    </row>
    <row r="788">
      <c r="E788" s="1"/>
    </row>
    <row r="789">
      <c r="E789" s="1"/>
    </row>
    <row r="790">
      <c r="E790" s="1"/>
    </row>
    <row r="791">
      <c r="E791" s="1"/>
    </row>
    <row r="792">
      <c r="E792" s="1"/>
    </row>
    <row r="793">
      <c r="E793" s="1"/>
    </row>
    <row r="794">
      <c r="E794" s="1"/>
    </row>
    <row r="795">
      <c r="E795" s="1"/>
    </row>
    <row r="796">
      <c r="E796" s="1"/>
    </row>
    <row r="797">
      <c r="E797" s="1"/>
    </row>
    <row r="798">
      <c r="E798" s="1"/>
    </row>
    <row r="799">
      <c r="E799" s="1"/>
    </row>
    <row r="800">
      <c r="E800" s="1"/>
    </row>
    <row r="801">
      <c r="E801" s="1"/>
    </row>
    <row r="802">
      <c r="E802" s="1"/>
    </row>
    <row r="803">
      <c r="E803" s="1"/>
    </row>
    <row r="804">
      <c r="E804" s="1"/>
    </row>
    <row r="805">
      <c r="E805" s="1"/>
    </row>
    <row r="806">
      <c r="E806" s="1"/>
    </row>
    <row r="807">
      <c r="E807" s="1"/>
    </row>
    <row r="808">
      <c r="E808" s="1"/>
    </row>
    <row r="809">
      <c r="E809" s="1"/>
    </row>
    <row r="810">
      <c r="E810" s="1"/>
    </row>
    <row r="811">
      <c r="E811" s="1"/>
    </row>
    <row r="812">
      <c r="E812" s="1"/>
    </row>
    <row r="813">
      <c r="E813" s="1"/>
    </row>
    <row r="814">
      <c r="E814" s="1"/>
    </row>
    <row r="815">
      <c r="E815" s="1"/>
    </row>
    <row r="816">
      <c r="E816" s="1"/>
    </row>
    <row r="817">
      <c r="E817" s="1"/>
    </row>
    <row r="818">
      <c r="E818" s="1"/>
    </row>
    <row r="819">
      <c r="E819" s="1"/>
    </row>
    <row r="820">
      <c r="E820" s="1"/>
    </row>
    <row r="821">
      <c r="E821" s="1"/>
    </row>
    <row r="822">
      <c r="E822" s="1"/>
    </row>
    <row r="823">
      <c r="E823" s="1"/>
    </row>
    <row r="824">
      <c r="E824" s="1"/>
    </row>
    <row r="825">
      <c r="E825" s="1"/>
    </row>
    <row r="826">
      <c r="E826" s="1"/>
    </row>
    <row r="827">
      <c r="E827" s="1"/>
    </row>
    <row r="828">
      <c r="E828" s="1"/>
    </row>
    <row r="829">
      <c r="E829" s="1"/>
    </row>
    <row r="830">
      <c r="E830" s="1"/>
    </row>
    <row r="831">
      <c r="E831" s="1"/>
    </row>
    <row r="832">
      <c r="E832" s="1"/>
    </row>
    <row r="833">
      <c r="E833" s="1"/>
    </row>
    <row r="834">
      <c r="E834" s="1"/>
    </row>
    <row r="835">
      <c r="E835" s="1"/>
    </row>
    <row r="836">
      <c r="E836" s="1"/>
    </row>
    <row r="837">
      <c r="E837" s="1"/>
    </row>
    <row r="838">
      <c r="E838" s="1"/>
    </row>
    <row r="839">
      <c r="E839" s="1"/>
    </row>
    <row r="840">
      <c r="E840" s="1"/>
    </row>
    <row r="841">
      <c r="E841" s="1"/>
    </row>
    <row r="842">
      <c r="E842" s="1"/>
    </row>
    <row r="843">
      <c r="E843" s="1"/>
    </row>
    <row r="844">
      <c r="E844" s="1"/>
    </row>
    <row r="845">
      <c r="E845" s="1"/>
    </row>
    <row r="846">
      <c r="E846" s="1"/>
    </row>
    <row r="847">
      <c r="E847" s="1"/>
    </row>
    <row r="848">
      <c r="E848" s="1"/>
    </row>
    <row r="849">
      <c r="E849" s="1"/>
    </row>
    <row r="850">
      <c r="E850" s="1"/>
    </row>
    <row r="851">
      <c r="E851" s="1"/>
    </row>
    <row r="852">
      <c r="E852" s="1"/>
    </row>
    <row r="853">
      <c r="E853" s="1"/>
    </row>
    <row r="854">
      <c r="E854" s="1"/>
    </row>
    <row r="855">
      <c r="E855" s="1"/>
    </row>
    <row r="856">
      <c r="E856" s="1"/>
    </row>
    <row r="857">
      <c r="E857" s="1"/>
    </row>
    <row r="858">
      <c r="E858" s="1"/>
    </row>
    <row r="859">
      <c r="E859" s="1"/>
    </row>
    <row r="860">
      <c r="E860" s="1"/>
    </row>
    <row r="861">
      <c r="E861" s="1"/>
    </row>
    <row r="862">
      <c r="E862" s="1"/>
    </row>
    <row r="863">
      <c r="E863" s="1"/>
    </row>
    <row r="864">
      <c r="E864" s="1"/>
    </row>
    <row r="865">
      <c r="E865" s="1"/>
    </row>
    <row r="866">
      <c r="E866" s="1"/>
    </row>
    <row r="867">
      <c r="E867" s="1"/>
    </row>
    <row r="868">
      <c r="E868" s="1"/>
    </row>
    <row r="869">
      <c r="E869" s="1"/>
    </row>
    <row r="870">
      <c r="E870" s="1"/>
    </row>
    <row r="871">
      <c r="E871" s="1"/>
    </row>
    <row r="872">
      <c r="E872" s="1"/>
    </row>
    <row r="873">
      <c r="E873" s="1"/>
    </row>
    <row r="874">
      <c r="E874" s="1"/>
    </row>
    <row r="875">
      <c r="E875" s="1"/>
    </row>
    <row r="876">
      <c r="E876" s="1"/>
    </row>
    <row r="877">
      <c r="E877" s="1"/>
    </row>
    <row r="878">
      <c r="E878" s="1"/>
    </row>
    <row r="879">
      <c r="E879" s="1"/>
    </row>
    <row r="880">
      <c r="E880" s="1"/>
    </row>
    <row r="881">
      <c r="E881" s="1"/>
    </row>
    <row r="882">
      <c r="E882" s="1"/>
    </row>
    <row r="883">
      <c r="E883" s="1"/>
    </row>
    <row r="884">
      <c r="E884" s="1"/>
    </row>
    <row r="885">
      <c r="E885" s="1"/>
    </row>
    <row r="886">
      <c r="E886" s="1"/>
    </row>
    <row r="887">
      <c r="E887" s="1"/>
    </row>
    <row r="888">
      <c r="E888" s="1"/>
    </row>
    <row r="889">
      <c r="E889" s="1"/>
    </row>
    <row r="890">
      <c r="E890" s="1"/>
    </row>
    <row r="891">
      <c r="E891" s="1"/>
    </row>
    <row r="892">
      <c r="E892" s="1"/>
    </row>
    <row r="893">
      <c r="E893" s="1"/>
    </row>
    <row r="894">
      <c r="E894" s="1"/>
    </row>
    <row r="895">
      <c r="E895" s="1"/>
    </row>
    <row r="896">
      <c r="E896" s="1"/>
    </row>
    <row r="897">
      <c r="E897" s="1"/>
    </row>
    <row r="898">
      <c r="E898" s="1"/>
    </row>
    <row r="899">
      <c r="E899" s="1"/>
    </row>
    <row r="900">
      <c r="E900" s="1"/>
    </row>
    <row r="901">
      <c r="E901" s="1"/>
    </row>
    <row r="902">
      <c r="E902" s="1"/>
    </row>
    <row r="903">
      <c r="E903" s="1"/>
    </row>
    <row r="904">
      <c r="E904" s="1"/>
    </row>
    <row r="905">
      <c r="E905" s="1"/>
    </row>
    <row r="906">
      <c r="E906" s="1"/>
    </row>
    <row r="907">
      <c r="E907" s="1"/>
    </row>
    <row r="908">
      <c r="E908" s="1"/>
    </row>
    <row r="909">
      <c r="E909" s="1"/>
    </row>
    <row r="910">
      <c r="E910" s="1"/>
    </row>
    <row r="911">
      <c r="E911" s="1"/>
    </row>
    <row r="912">
      <c r="E912" s="1"/>
    </row>
    <row r="913">
      <c r="E913" s="1"/>
    </row>
    <row r="914">
      <c r="E914" s="1"/>
    </row>
    <row r="915">
      <c r="E915" s="1"/>
    </row>
    <row r="916">
      <c r="E916" s="1"/>
    </row>
    <row r="917">
      <c r="E917" s="1"/>
    </row>
    <row r="918">
      <c r="E918" s="1"/>
    </row>
    <row r="919">
      <c r="E919" s="1"/>
    </row>
    <row r="920">
      <c r="E920" s="1"/>
    </row>
    <row r="921">
      <c r="E921" s="1"/>
    </row>
    <row r="922">
      <c r="E922" s="1"/>
    </row>
    <row r="923">
      <c r="E923" s="1"/>
    </row>
    <row r="924">
      <c r="E924" s="1"/>
    </row>
    <row r="925">
      <c r="E925" s="1"/>
    </row>
    <row r="926">
      <c r="E926" s="1"/>
    </row>
    <row r="927">
      <c r="E927" s="1"/>
    </row>
    <row r="928">
      <c r="E928" s="1"/>
    </row>
    <row r="929">
      <c r="E929" s="1"/>
    </row>
    <row r="930">
      <c r="E930" s="1"/>
    </row>
    <row r="931">
      <c r="E931" s="1"/>
    </row>
  </sheetData>
  <hyperlinks>
    <hyperlink r:id="rId1" ref="C41"/>
  </hyperlinks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4" max="4" width="22.0"/>
    <col customWidth="1" min="5" max="5" width="15.0"/>
    <col customWidth="1" min="9" max="9" width="18.38"/>
    <col customWidth="1" min="11" max="11" width="18.5"/>
    <col customWidth="1" min="14" max="14" width="18.38"/>
    <col customWidth="1" min="15" max="15" width="15.88"/>
    <col customWidth="1" min="16" max="16" width="18.5"/>
    <col customWidth="1" min="17" max="17" width="17.0"/>
    <col customWidth="1" min="22" max="22" width="19.38"/>
  </cols>
  <sheetData>
    <row r="1">
      <c r="A1" s="4" t="s">
        <v>7</v>
      </c>
      <c r="E1" s="1"/>
    </row>
    <row r="2">
      <c r="E2" s="1"/>
      <c r="K2" s="2" t="s">
        <v>0</v>
      </c>
      <c r="L2" s="3" t="s">
        <v>1</v>
      </c>
      <c r="M2" s="4" t="s">
        <v>2</v>
      </c>
      <c r="N2" s="4" t="s">
        <v>3</v>
      </c>
    </row>
    <row r="3">
      <c r="E3" s="1"/>
      <c r="K3" s="266" t="s">
        <v>4</v>
      </c>
      <c r="L3" s="267">
        <f t="shared" ref="L3:M3" si="1">sum(E6:E33)</f>
        <v>83.07</v>
      </c>
      <c r="M3" s="3">
        <f t="shared" si="1"/>
        <v>3165.41</v>
      </c>
      <c r="N3" s="7">
        <f>M3*Sumario!N4</f>
        <v>2778.027124</v>
      </c>
      <c r="O3" s="7">
        <f>Sumario!N4</f>
        <v>0.87762</v>
      </c>
    </row>
    <row r="4">
      <c r="B4" s="283" t="s">
        <v>74</v>
      </c>
      <c r="C4" s="10"/>
      <c r="D4" s="10"/>
      <c r="E4" s="11"/>
      <c r="F4" s="10"/>
      <c r="G4" s="10"/>
      <c r="H4" s="10"/>
      <c r="I4" s="10"/>
      <c r="J4" s="10"/>
      <c r="K4" s="10"/>
      <c r="L4" s="10"/>
    </row>
    <row r="5">
      <c r="B5" s="268" t="s">
        <v>8</v>
      </c>
      <c r="C5" s="268" t="s">
        <v>9</v>
      </c>
      <c r="D5" s="268" t="s">
        <v>11</v>
      </c>
      <c r="E5" s="283" t="s">
        <v>12</v>
      </c>
      <c r="F5" s="283" t="s">
        <v>13</v>
      </c>
      <c r="G5" s="12" t="s">
        <v>14</v>
      </c>
      <c r="H5" s="12"/>
      <c r="I5" s="13"/>
      <c r="J5" s="14"/>
      <c r="K5" s="15"/>
      <c r="L5" s="10"/>
    </row>
    <row r="6">
      <c r="B6" s="265" t="s">
        <v>5121</v>
      </c>
      <c r="C6" s="269"/>
      <c r="D6" s="16" t="s">
        <v>5122</v>
      </c>
      <c r="E6" s="267"/>
      <c r="F6" s="16"/>
      <c r="G6" s="10"/>
      <c r="H6" s="10"/>
      <c r="I6" s="10"/>
      <c r="J6" s="10"/>
      <c r="K6" s="10"/>
      <c r="L6" s="10"/>
    </row>
    <row r="7">
      <c r="B7" s="10"/>
      <c r="C7" s="15" t="s">
        <v>16</v>
      </c>
      <c r="D7" s="16"/>
      <c r="E7" s="267"/>
      <c r="F7" s="15">
        <f>10.96</f>
        <v>10.96</v>
      </c>
      <c r="G7" s="334">
        <f t="shared" ref="G7:G32" si="2">E7+(F7*$O$3)</f>
        <v>9.6187152</v>
      </c>
      <c r="H7" s="10"/>
      <c r="I7" s="10"/>
      <c r="J7" s="10"/>
      <c r="K7" s="10"/>
      <c r="L7" s="10"/>
    </row>
    <row r="8">
      <c r="B8" s="10"/>
      <c r="C8" s="15" t="s">
        <v>20</v>
      </c>
      <c r="D8" s="16"/>
      <c r="E8" s="267">
        <f>10.88+0.88+0.9+0.53+2.31+1.4+0.79+2.5+0.08+1.71+1.52+0.99+2.4+5+3.14</f>
        <v>35.03</v>
      </c>
      <c r="F8" s="15">
        <f>2.22+17.27+47.1+1.39+8.63+0.58+8.28+3.04+16.34+5.4+5.44</f>
        <v>115.69</v>
      </c>
      <c r="G8" s="334">
        <f t="shared" si="2"/>
        <v>136.5618578</v>
      </c>
      <c r="H8" s="10"/>
      <c r="I8" s="10"/>
      <c r="J8" s="10"/>
      <c r="K8" s="10"/>
      <c r="L8" s="10"/>
    </row>
    <row r="9">
      <c r="B9" s="10"/>
      <c r="C9" s="15" t="s">
        <v>27</v>
      </c>
      <c r="D9" s="16"/>
      <c r="E9" s="267">
        <f>7.8+1.06</f>
        <v>8.86</v>
      </c>
      <c r="F9" s="10"/>
      <c r="G9" s="334">
        <f t="shared" si="2"/>
        <v>8.86</v>
      </c>
      <c r="H9" s="10"/>
      <c r="I9" s="10"/>
      <c r="J9" s="10"/>
      <c r="K9" s="10"/>
      <c r="L9" s="15">
        <v>7245.0</v>
      </c>
    </row>
    <row r="10">
      <c r="B10" s="10"/>
      <c r="C10" s="15" t="s">
        <v>32</v>
      </c>
      <c r="D10" s="16"/>
      <c r="E10" s="267">
        <f>6.3</f>
        <v>6.3</v>
      </c>
      <c r="F10" s="10">
        <f>27.54</f>
        <v>27.54</v>
      </c>
      <c r="G10" s="334">
        <f t="shared" si="2"/>
        <v>30.4696548</v>
      </c>
      <c r="H10" s="10"/>
      <c r="I10" s="10"/>
      <c r="J10" s="10"/>
      <c r="K10" s="10"/>
      <c r="L10" s="38">
        <f>L9+Sumario!K13</f>
        <v>6900.639965</v>
      </c>
    </row>
    <row r="11">
      <c r="B11" s="10"/>
      <c r="C11" s="15" t="s">
        <v>33</v>
      </c>
      <c r="D11" s="16"/>
      <c r="E11" s="267"/>
      <c r="F11" s="15">
        <f>28.82+13.5</f>
        <v>42.32</v>
      </c>
      <c r="G11" s="334">
        <f t="shared" si="2"/>
        <v>37.1408784</v>
      </c>
      <c r="H11" s="10"/>
      <c r="I11" s="10"/>
      <c r="J11" s="10"/>
      <c r="K11" s="10"/>
      <c r="L11" s="10"/>
    </row>
    <row r="12">
      <c r="B12" s="15"/>
      <c r="C12" s="15" t="s">
        <v>34</v>
      </c>
      <c r="D12" s="20"/>
      <c r="E12" s="267"/>
      <c r="F12" s="10"/>
      <c r="G12" s="334">
        <f t="shared" si="2"/>
        <v>0</v>
      </c>
      <c r="H12" s="15"/>
      <c r="I12" s="15"/>
      <c r="J12" s="15"/>
      <c r="K12" s="15"/>
      <c r="L12" s="10"/>
    </row>
    <row r="13">
      <c r="B13" s="15"/>
      <c r="C13" s="15" t="s">
        <v>36</v>
      </c>
      <c r="D13" s="20"/>
      <c r="E13" s="267"/>
      <c r="F13" s="10"/>
      <c r="G13" s="334">
        <f t="shared" si="2"/>
        <v>0</v>
      </c>
      <c r="H13" s="15"/>
      <c r="I13" s="15"/>
      <c r="J13" s="15"/>
      <c r="K13" s="15"/>
      <c r="L13" s="10"/>
    </row>
    <row r="14">
      <c r="B14" s="15"/>
      <c r="C14" s="15" t="s">
        <v>37</v>
      </c>
      <c r="D14" s="20"/>
      <c r="E14" s="267"/>
      <c r="F14" s="10">
        <f>3.87+57+9.09</f>
        <v>69.96</v>
      </c>
      <c r="G14" s="334">
        <f t="shared" si="2"/>
        <v>61.3982952</v>
      </c>
      <c r="H14" s="15"/>
      <c r="I14" s="15"/>
      <c r="J14" s="15"/>
      <c r="K14" s="15"/>
      <c r="L14" s="10"/>
    </row>
    <row r="15">
      <c r="B15" s="15"/>
      <c r="C15" s="15" t="s">
        <v>38</v>
      </c>
      <c r="D15" s="20"/>
      <c r="E15" s="267"/>
      <c r="F15" s="15"/>
      <c r="G15" s="334">
        <f t="shared" si="2"/>
        <v>0</v>
      </c>
      <c r="H15" s="15"/>
      <c r="I15" s="15"/>
      <c r="J15" s="15"/>
      <c r="K15" s="15"/>
      <c r="L15" s="10"/>
    </row>
    <row r="16">
      <c r="B16" s="15"/>
      <c r="C16" s="15" t="s">
        <v>39</v>
      </c>
      <c r="D16" s="20"/>
      <c r="E16" s="267"/>
      <c r="F16" s="10"/>
      <c r="G16" s="334">
        <f t="shared" si="2"/>
        <v>0</v>
      </c>
      <c r="H16" s="15"/>
      <c r="I16" s="15"/>
      <c r="J16" s="15"/>
      <c r="K16" s="15"/>
      <c r="L16" s="10"/>
    </row>
    <row r="17">
      <c r="B17" s="15"/>
      <c r="C17" s="15" t="s">
        <v>40</v>
      </c>
      <c r="D17" s="20"/>
      <c r="E17" s="267"/>
      <c r="F17" s="15">
        <f>4.72+6.3+2.76+16.39</f>
        <v>30.17</v>
      </c>
      <c r="G17" s="334">
        <f t="shared" si="2"/>
        <v>26.4777954</v>
      </c>
      <c r="H17" s="15"/>
      <c r="I17" s="15"/>
      <c r="J17" s="15"/>
      <c r="K17" s="15"/>
      <c r="L17" s="10"/>
    </row>
    <row r="18">
      <c r="B18" s="15"/>
      <c r="C18" s="15" t="s">
        <v>41</v>
      </c>
      <c r="D18" s="20"/>
      <c r="E18" s="267"/>
      <c r="F18" s="10">
        <f>50.19+3.8+6.4+4.36+4.4+6.3+8+5.05+6.16+26.5+9.3+20.4+17+0.4</f>
        <v>168.26</v>
      </c>
      <c r="G18" s="334">
        <f t="shared" si="2"/>
        <v>147.6683412</v>
      </c>
      <c r="H18" s="15"/>
      <c r="I18" s="333">
        <f t="shared" ref="I18:I32" si="3">315+G18</f>
        <v>462.6683412</v>
      </c>
      <c r="J18" s="15"/>
      <c r="K18" s="15"/>
      <c r="L18" s="10"/>
    </row>
    <row r="19">
      <c r="B19" s="15"/>
      <c r="C19" s="15" t="s">
        <v>42</v>
      </c>
      <c r="D19" s="20"/>
      <c r="E19" s="267"/>
      <c r="F19" s="15">
        <f>0.66+3.92+12.21+10.6+2.04+7.7</f>
        <v>37.13</v>
      </c>
      <c r="G19" s="334">
        <f t="shared" si="2"/>
        <v>32.5860306</v>
      </c>
      <c r="H19" s="15"/>
      <c r="I19" s="333">
        <f t="shared" si="3"/>
        <v>347.5860306</v>
      </c>
      <c r="J19" s="15"/>
      <c r="K19" s="15"/>
      <c r="L19" s="10"/>
    </row>
    <row r="20">
      <c r="B20" s="15"/>
      <c r="C20" s="15" t="s">
        <v>44</v>
      </c>
      <c r="D20" s="20"/>
      <c r="E20" s="267">
        <f>17.67+4.7</f>
        <v>22.37</v>
      </c>
      <c r="F20" s="10">
        <f>19.04+9.15+192+120+23.88+24.83+9.57+60+58+19.2</f>
        <v>535.67</v>
      </c>
      <c r="G20" s="334">
        <f t="shared" si="2"/>
        <v>492.4847054</v>
      </c>
      <c r="H20" s="15"/>
      <c r="I20" s="333">
        <f t="shared" si="3"/>
        <v>807.4847054</v>
      </c>
      <c r="J20" s="15"/>
      <c r="K20" s="15"/>
      <c r="L20" s="10"/>
    </row>
    <row r="21">
      <c r="B21" s="15"/>
      <c r="C21" s="15" t="s">
        <v>45</v>
      </c>
      <c r="D21" s="20"/>
      <c r="E21" s="267"/>
      <c r="F21" s="15">
        <f>33.9+1.33+67.6+50.3+24.38+19.03+2</f>
        <v>198.54</v>
      </c>
      <c r="G21" s="334">
        <f t="shared" si="2"/>
        <v>174.2426748</v>
      </c>
      <c r="H21" s="15"/>
      <c r="I21" s="333">
        <f t="shared" si="3"/>
        <v>489.2426748</v>
      </c>
      <c r="J21" s="15"/>
      <c r="K21" s="15"/>
      <c r="L21" s="10"/>
    </row>
    <row r="22">
      <c r="B22" s="15"/>
      <c r="C22" s="15" t="s">
        <v>46</v>
      </c>
      <c r="D22" s="20"/>
      <c r="E22" s="267"/>
      <c r="F22" s="10"/>
      <c r="G22" s="334">
        <f t="shared" si="2"/>
        <v>0</v>
      </c>
      <c r="H22" s="15"/>
      <c r="I22" s="333">
        <f t="shared" si="3"/>
        <v>315</v>
      </c>
      <c r="J22" s="15"/>
      <c r="K22" s="15"/>
      <c r="L22" s="10"/>
    </row>
    <row r="23">
      <c r="C23" s="15" t="s">
        <v>47</v>
      </c>
      <c r="E23" s="329"/>
      <c r="G23" s="11">
        <f t="shared" si="2"/>
        <v>0</v>
      </c>
      <c r="I23" s="25">
        <f t="shared" si="3"/>
        <v>315</v>
      </c>
      <c r="J23" s="45"/>
      <c r="K23" s="45"/>
      <c r="L23" s="45"/>
      <c r="M23" s="45"/>
      <c r="N23" s="45"/>
      <c r="O23" s="45"/>
      <c r="P23" s="45"/>
      <c r="Q23" s="45"/>
    </row>
    <row r="24">
      <c r="C24" s="15" t="s">
        <v>48</v>
      </c>
      <c r="E24" s="1"/>
      <c r="F24" s="7">
        <f>5.35+57+10.89+8.73+44.7+4.17+10.89+4.6+25.5+72.8+10.8+37.92+18.96+27.35+3.22+11.26</f>
        <v>354.14</v>
      </c>
      <c r="G24" s="11">
        <f t="shared" si="2"/>
        <v>310.8003468</v>
      </c>
      <c r="I24" s="25">
        <f t="shared" si="3"/>
        <v>625.8003468</v>
      </c>
      <c r="J24" s="45"/>
      <c r="K24" s="45"/>
      <c r="L24" s="45"/>
      <c r="M24" s="45"/>
      <c r="N24" s="45"/>
      <c r="O24" s="45"/>
      <c r="P24" s="45"/>
      <c r="Q24" s="45"/>
    </row>
    <row r="25">
      <c r="C25" s="15" t="s">
        <v>49</v>
      </c>
      <c r="E25" s="1"/>
      <c r="F25" s="7">
        <f>2.85+92.11+183.03+31.11+8.8+15.2+2.45+37+8+5</f>
        <v>385.55</v>
      </c>
      <c r="G25" s="11">
        <f t="shared" si="2"/>
        <v>338.366391</v>
      </c>
      <c r="I25" s="25">
        <f t="shared" si="3"/>
        <v>653.366391</v>
      </c>
      <c r="J25" s="45"/>
      <c r="K25" s="45"/>
      <c r="L25" s="45"/>
      <c r="M25" s="45"/>
      <c r="N25" s="45"/>
      <c r="O25" s="45"/>
      <c r="P25" s="45"/>
      <c r="Q25" s="45"/>
    </row>
    <row r="26">
      <c r="C26" s="15" t="s">
        <v>51</v>
      </c>
      <c r="E26" s="1">
        <f>1.24</f>
        <v>1.24</v>
      </c>
      <c r="F26" s="7">
        <f>7.11+16.2+109.92+36.6+11.7+7.9+3+75+41.84+30.35+31.8+4+4.4+0.7+16.17</f>
        <v>396.69</v>
      </c>
      <c r="G26" s="11">
        <f t="shared" si="2"/>
        <v>349.3830778</v>
      </c>
      <c r="I26" s="25">
        <f t="shared" si="3"/>
        <v>664.3830778</v>
      </c>
      <c r="J26" s="45"/>
      <c r="K26" s="45"/>
      <c r="L26" s="45"/>
      <c r="M26" s="45"/>
      <c r="N26" s="45"/>
      <c r="O26" s="45"/>
      <c r="P26" s="45"/>
      <c r="Q26" s="45"/>
    </row>
    <row r="27">
      <c r="C27" s="15" t="s">
        <v>52</v>
      </c>
      <c r="E27" s="1">
        <f>3</f>
        <v>3</v>
      </c>
      <c r="F27" s="7">
        <f>32.13+4.5</f>
        <v>36.63</v>
      </c>
      <c r="G27" s="11">
        <f t="shared" si="2"/>
        <v>35.1472206</v>
      </c>
      <c r="I27" s="25">
        <f t="shared" si="3"/>
        <v>350.1472206</v>
      </c>
      <c r="J27" s="45"/>
      <c r="K27" s="45"/>
      <c r="L27" s="45"/>
      <c r="M27" s="45"/>
      <c r="N27" s="45"/>
      <c r="O27" s="45"/>
      <c r="P27" s="45"/>
      <c r="Q27" s="45"/>
    </row>
    <row r="28">
      <c r="C28" s="15" t="s">
        <v>53</v>
      </c>
      <c r="E28" s="1"/>
      <c r="F28" s="7">
        <f>3.06</f>
        <v>3.06</v>
      </c>
      <c r="G28" s="11">
        <f t="shared" si="2"/>
        <v>2.6855172</v>
      </c>
      <c r="I28" s="25">
        <f t="shared" si="3"/>
        <v>317.6855172</v>
      </c>
      <c r="J28" s="45"/>
      <c r="K28" s="45"/>
      <c r="L28" s="45"/>
      <c r="M28" s="45"/>
      <c r="N28" s="45"/>
      <c r="O28" s="45"/>
      <c r="P28" s="45"/>
      <c r="Q28" s="45"/>
    </row>
    <row r="29">
      <c r="C29" s="15" t="s">
        <v>56</v>
      </c>
      <c r="E29" s="1">
        <f>3.29</f>
        <v>3.29</v>
      </c>
      <c r="F29" s="7">
        <f>43+62.36+17.7+9.6</f>
        <v>132.66</v>
      </c>
      <c r="G29" s="11">
        <f t="shared" si="2"/>
        <v>119.7150692</v>
      </c>
      <c r="I29" s="25">
        <f t="shared" si="3"/>
        <v>434.7150692</v>
      </c>
      <c r="J29" s="45"/>
      <c r="K29" s="45"/>
      <c r="L29" s="45"/>
      <c r="M29" s="45"/>
      <c r="N29" s="45"/>
      <c r="O29" s="45"/>
      <c r="P29" s="45"/>
      <c r="Q29" s="45"/>
    </row>
    <row r="30">
      <c r="C30" s="15" t="s">
        <v>57</v>
      </c>
      <c r="E30" s="1">
        <f>2.98</f>
        <v>2.98</v>
      </c>
      <c r="G30" s="11">
        <f t="shared" si="2"/>
        <v>2.98</v>
      </c>
      <c r="I30" s="25">
        <f t="shared" si="3"/>
        <v>317.98</v>
      </c>
      <c r="J30" s="45"/>
      <c r="K30" s="45"/>
      <c r="L30" s="45"/>
      <c r="M30" s="45"/>
      <c r="N30" s="45"/>
      <c r="O30" s="45"/>
      <c r="P30" s="45"/>
      <c r="Q30" s="45"/>
    </row>
    <row r="31">
      <c r="C31" s="15" t="s">
        <v>58</v>
      </c>
      <c r="E31" s="1"/>
      <c r="F31" s="7">
        <f>7.59+57.76+14.83+1.65+109.17+4.62+4.74+9.33+5.5+242.6</f>
        <v>457.79</v>
      </c>
      <c r="G31" s="11">
        <f t="shared" si="2"/>
        <v>401.7656598</v>
      </c>
      <c r="I31" s="25">
        <f t="shared" si="3"/>
        <v>716.7656598</v>
      </c>
      <c r="J31" s="45"/>
      <c r="K31" s="45"/>
      <c r="L31" s="45"/>
      <c r="M31" s="45"/>
      <c r="N31" s="45"/>
      <c r="O31" s="45"/>
      <c r="P31" s="45"/>
      <c r="Q31" s="45"/>
    </row>
    <row r="32">
      <c r="C32" s="15" t="s">
        <v>59</v>
      </c>
      <c r="E32" s="1"/>
      <c r="F32" s="7">
        <f>67.05+29.4+33.8+32.4</f>
        <v>162.65</v>
      </c>
      <c r="G32" s="11">
        <f t="shared" si="2"/>
        <v>142.744893</v>
      </c>
      <c r="I32" s="25">
        <f t="shared" si="3"/>
        <v>457.744893</v>
      </c>
      <c r="J32" s="45"/>
      <c r="K32" s="45"/>
      <c r="L32" s="45"/>
      <c r="M32" s="45"/>
      <c r="N32" s="45"/>
      <c r="O32" s="45"/>
      <c r="P32" s="45"/>
      <c r="Q32" s="45"/>
    </row>
    <row r="33">
      <c r="E33" s="1"/>
    </row>
    <row r="34">
      <c r="B34" s="4" t="s">
        <v>5207</v>
      </c>
      <c r="C34" s="4" t="s">
        <v>5208</v>
      </c>
      <c r="D34" s="4">
        <v>188.62</v>
      </c>
      <c r="E34" s="1"/>
    </row>
    <row r="35">
      <c r="B35" s="4" t="s">
        <v>5799</v>
      </c>
      <c r="C35" s="4" t="s">
        <v>5139</v>
      </c>
      <c r="D35" s="4">
        <v>53.8</v>
      </c>
      <c r="E35" s="1"/>
    </row>
    <row r="36">
      <c r="B36" s="4" t="s">
        <v>193</v>
      </c>
      <c r="C36" s="4" t="s">
        <v>199</v>
      </c>
      <c r="D36" s="4">
        <v>209.88</v>
      </c>
      <c r="E36" s="1"/>
    </row>
    <row r="37">
      <c r="B37" s="4" t="s">
        <v>1782</v>
      </c>
      <c r="C37" s="4" t="s">
        <v>5825</v>
      </c>
      <c r="D37" s="4">
        <v>26.51</v>
      </c>
      <c r="E37" s="1"/>
    </row>
    <row r="38">
      <c r="B38" s="4" t="s">
        <v>3651</v>
      </c>
      <c r="C38" s="4" t="s">
        <v>5827</v>
      </c>
      <c r="D38" s="4">
        <v>889.0</v>
      </c>
      <c r="E38" s="1"/>
    </row>
    <row r="39">
      <c r="B39" s="4" t="s">
        <v>1782</v>
      </c>
      <c r="D39" s="4">
        <v>25.85</v>
      </c>
      <c r="E39" s="1"/>
    </row>
    <row r="40">
      <c r="B40" s="4" t="s">
        <v>4748</v>
      </c>
      <c r="C40" s="4" t="s">
        <v>5862</v>
      </c>
      <c r="D40" s="4">
        <v>99.46</v>
      </c>
      <c r="E40" s="1"/>
    </row>
    <row r="41">
      <c r="B41" s="48" t="s">
        <v>665</v>
      </c>
      <c r="C41" s="336" t="s">
        <v>1009</v>
      </c>
      <c r="D41" s="4">
        <v>25.85</v>
      </c>
      <c r="E41" s="1"/>
    </row>
    <row r="42">
      <c r="E42" s="1"/>
    </row>
    <row r="43">
      <c r="E43" s="1"/>
    </row>
    <row r="44">
      <c r="E44" s="1"/>
    </row>
    <row r="45">
      <c r="E45" s="1"/>
    </row>
    <row r="46">
      <c r="E46" s="1"/>
    </row>
    <row r="47">
      <c r="E47" s="1"/>
    </row>
    <row r="48">
      <c r="E48" s="1"/>
    </row>
    <row r="49">
      <c r="E49" s="1"/>
    </row>
    <row r="50">
      <c r="E50" s="1"/>
    </row>
    <row r="51">
      <c r="E51" s="1"/>
    </row>
    <row r="52">
      <c r="E52" s="1"/>
    </row>
    <row r="53">
      <c r="E53" s="1"/>
    </row>
    <row r="54">
      <c r="E54" s="1"/>
    </row>
    <row r="55">
      <c r="E55" s="1"/>
    </row>
    <row r="56">
      <c r="E56" s="1"/>
    </row>
    <row r="57">
      <c r="E57" s="1"/>
    </row>
    <row r="58">
      <c r="E58" s="1"/>
    </row>
    <row r="59">
      <c r="E59" s="1"/>
    </row>
    <row r="60">
      <c r="E60" s="1"/>
    </row>
    <row r="61">
      <c r="E61" s="1"/>
    </row>
    <row r="62">
      <c r="E62" s="1"/>
    </row>
    <row r="63">
      <c r="E63" s="1"/>
    </row>
    <row r="64">
      <c r="E64" s="1"/>
    </row>
    <row r="65">
      <c r="E65" s="1"/>
    </row>
    <row r="66">
      <c r="E66" s="1"/>
    </row>
    <row r="67">
      <c r="E67" s="1"/>
    </row>
    <row r="68">
      <c r="E68" s="1"/>
    </row>
    <row r="69">
      <c r="E69" s="1"/>
    </row>
    <row r="70">
      <c r="E70" s="1"/>
    </row>
    <row r="71">
      <c r="E71" s="1"/>
    </row>
    <row r="72">
      <c r="E72" s="1"/>
    </row>
    <row r="73">
      <c r="E73" s="1"/>
    </row>
    <row r="74">
      <c r="E74" s="1"/>
    </row>
    <row r="75">
      <c r="E75" s="1"/>
    </row>
    <row r="76">
      <c r="E76" s="1"/>
    </row>
    <row r="77">
      <c r="E77" s="1"/>
    </row>
    <row r="78">
      <c r="E78" s="1"/>
    </row>
    <row r="79">
      <c r="E79" s="1"/>
    </row>
    <row r="80">
      <c r="E80" s="1"/>
    </row>
    <row r="81">
      <c r="E81" s="1"/>
    </row>
    <row r="82">
      <c r="E82" s="1"/>
    </row>
    <row r="83">
      <c r="E83" s="1"/>
    </row>
    <row r="84">
      <c r="E84" s="1"/>
    </row>
    <row r="85">
      <c r="E85" s="1"/>
    </row>
    <row r="86">
      <c r="E86" s="1"/>
    </row>
    <row r="87">
      <c r="E87" s="1"/>
    </row>
    <row r="88">
      <c r="E88" s="1"/>
    </row>
    <row r="89">
      <c r="E89" s="1"/>
    </row>
    <row r="90">
      <c r="E90" s="1"/>
    </row>
    <row r="91">
      <c r="E91" s="1"/>
    </row>
    <row r="92">
      <c r="E92" s="1"/>
    </row>
    <row r="93">
      <c r="E93" s="1"/>
    </row>
    <row r="94">
      <c r="E94" s="1"/>
    </row>
    <row r="95">
      <c r="E95" s="1"/>
    </row>
    <row r="96">
      <c r="E96" s="1"/>
    </row>
    <row r="97">
      <c r="E97" s="1"/>
    </row>
    <row r="98">
      <c r="E98" s="1"/>
    </row>
    <row r="99">
      <c r="E99" s="1"/>
    </row>
    <row r="100">
      <c r="E100" s="1"/>
    </row>
    <row r="101">
      <c r="E101" s="1"/>
    </row>
    <row r="102">
      <c r="E102" s="1"/>
    </row>
    <row r="103">
      <c r="E103" s="1"/>
    </row>
    <row r="104">
      <c r="E104" s="1"/>
    </row>
    <row r="105">
      <c r="E105" s="1"/>
    </row>
    <row r="106">
      <c r="E106" s="1"/>
    </row>
    <row r="107">
      <c r="E107" s="1"/>
    </row>
    <row r="108">
      <c r="E108" s="1"/>
    </row>
    <row r="109">
      <c r="E109" s="1"/>
    </row>
    <row r="110">
      <c r="E110" s="1"/>
    </row>
    <row r="111">
      <c r="E111" s="1"/>
    </row>
    <row r="112">
      <c r="E112" s="1"/>
    </row>
    <row r="113">
      <c r="E113" s="1"/>
    </row>
    <row r="114">
      <c r="E114" s="1"/>
    </row>
    <row r="115">
      <c r="E115" s="1"/>
    </row>
    <row r="116">
      <c r="E116" s="1"/>
    </row>
    <row r="117">
      <c r="E117" s="1"/>
    </row>
    <row r="118">
      <c r="E118" s="1"/>
    </row>
    <row r="119">
      <c r="E119" s="1"/>
    </row>
    <row r="120">
      <c r="E120" s="1"/>
    </row>
    <row r="121">
      <c r="E121" s="1"/>
    </row>
    <row r="122">
      <c r="E122" s="1"/>
    </row>
    <row r="123">
      <c r="E123" s="1"/>
    </row>
    <row r="124">
      <c r="E124" s="1"/>
    </row>
    <row r="125">
      <c r="E125" s="1"/>
    </row>
    <row r="126">
      <c r="E126" s="1"/>
    </row>
    <row r="127">
      <c r="E127" s="1"/>
    </row>
    <row r="128">
      <c r="E128" s="1"/>
    </row>
    <row r="129">
      <c r="E129" s="1"/>
    </row>
    <row r="130">
      <c r="E130" s="1"/>
    </row>
    <row r="131">
      <c r="E131" s="1"/>
    </row>
    <row r="132">
      <c r="E132" s="1"/>
    </row>
    <row r="133">
      <c r="E133" s="1"/>
    </row>
    <row r="134">
      <c r="E134" s="1"/>
    </row>
    <row r="135">
      <c r="E135" s="1"/>
    </row>
    <row r="136">
      <c r="E136" s="1"/>
    </row>
    <row r="137">
      <c r="E137" s="1"/>
    </row>
    <row r="138">
      <c r="E138" s="1"/>
    </row>
    <row r="139">
      <c r="E139" s="1"/>
    </row>
    <row r="140">
      <c r="E140" s="1"/>
    </row>
    <row r="141">
      <c r="E141" s="1"/>
    </row>
    <row r="142">
      <c r="E142" s="1"/>
    </row>
    <row r="143">
      <c r="E143" s="1"/>
    </row>
    <row r="144">
      <c r="E144" s="1"/>
    </row>
    <row r="145">
      <c r="E145" s="1"/>
    </row>
    <row r="146">
      <c r="E146" s="1"/>
    </row>
    <row r="147">
      <c r="E147" s="1"/>
    </row>
    <row r="148">
      <c r="E148" s="1"/>
    </row>
    <row r="149">
      <c r="E149" s="1"/>
    </row>
    <row r="150">
      <c r="E150" s="1"/>
    </row>
    <row r="151">
      <c r="E151" s="1"/>
    </row>
    <row r="152">
      <c r="E152" s="1"/>
    </row>
    <row r="153">
      <c r="E153" s="1"/>
    </row>
    <row r="154">
      <c r="E154" s="1"/>
    </row>
    <row r="155">
      <c r="E155" s="1"/>
    </row>
    <row r="156">
      <c r="E156" s="1"/>
    </row>
    <row r="157">
      <c r="E157" s="1"/>
    </row>
    <row r="158">
      <c r="E158" s="1"/>
    </row>
    <row r="159">
      <c r="E159" s="1"/>
    </row>
    <row r="160">
      <c r="E160" s="1"/>
    </row>
    <row r="161">
      <c r="E161" s="1"/>
    </row>
    <row r="162">
      <c r="E162" s="1"/>
    </row>
    <row r="163">
      <c r="E163" s="1"/>
    </row>
    <row r="164">
      <c r="E164" s="1"/>
    </row>
    <row r="165">
      <c r="E165" s="1"/>
    </row>
    <row r="166">
      <c r="E166" s="1"/>
    </row>
    <row r="167">
      <c r="E167" s="1"/>
    </row>
    <row r="168">
      <c r="E168" s="1"/>
    </row>
    <row r="169">
      <c r="E169" s="1"/>
    </row>
    <row r="170">
      <c r="E170" s="1"/>
    </row>
    <row r="171">
      <c r="E171" s="1"/>
    </row>
    <row r="172">
      <c r="E172" s="1"/>
    </row>
    <row r="173">
      <c r="E173" s="1"/>
    </row>
    <row r="174">
      <c r="E174" s="1"/>
    </row>
    <row r="175">
      <c r="E175" s="1"/>
    </row>
    <row r="176">
      <c r="E176" s="1"/>
    </row>
    <row r="177">
      <c r="E177" s="1"/>
    </row>
    <row r="178">
      <c r="E178" s="1"/>
    </row>
    <row r="179">
      <c r="E179" s="1"/>
    </row>
    <row r="180">
      <c r="E180" s="1"/>
    </row>
    <row r="181">
      <c r="E181" s="1"/>
    </row>
    <row r="182">
      <c r="E182" s="1"/>
    </row>
    <row r="183">
      <c r="E183" s="1"/>
    </row>
    <row r="184">
      <c r="E184" s="1"/>
    </row>
    <row r="185">
      <c r="E185" s="1"/>
    </row>
    <row r="186">
      <c r="E186" s="1"/>
    </row>
    <row r="187">
      <c r="E187" s="1"/>
    </row>
    <row r="188">
      <c r="E188" s="1"/>
    </row>
    <row r="189">
      <c r="E189" s="1"/>
    </row>
    <row r="190">
      <c r="E190" s="1"/>
    </row>
    <row r="191">
      <c r="E191" s="1"/>
    </row>
    <row r="192">
      <c r="E192" s="1"/>
    </row>
    <row r="193">
      <c r="E193" s="1"/>
    </row>
    <row r="194">
      <c r="E194" s="1"/>
    </row>
    <row r="195">
      <c r="E195" s="1"/>
    </row>
    <row r="196">
      <c r="E196" s="1"/>
    </row>
    <row r="197">
      <c r="E197" s="1"/>
    </row>
    <row r="198">
      <c r="E198" s="1"/>
    </row>
    <row r="199">
      <c r="E199" s="1"/>
    </row>
    <row r="200">
      <c r="E200" s="1"/>
    </row>
    <row r="201">
      <c r="E201" s="1"/>
    </row>
    <row r="202">
      <c r="E202" s="1"/>
    </row>
    <row r="203">
      <c r="E203" s="1"/>
    </row>
    <row r="204">
      <c r="E204" s="1"/>
    </row>
    <row r="205">
      <c r="E205" s="1"/>
    </row>
    <row r="206">
      <c r="E206" s="1"/>
    </row>
    <row r="207">
      <c r="E207" s="1"/>
    </row>
    <row r="208">
      <c r="E208" s="1"/>
    </row>
    <row r="209">
      <c r="E209" s="1"/>
    </row>
    <row r="210">
      <c r="E210" s="1"/>
    </row>
    <row r="211">
      <c r="E211" s="1"/>
    </row>
    <row r="212">
      <c r="E212" s="1"/>
    </row>
    <row r="213">
      <c r="E213" s="1"/>
    </row>
    <row r="214">
      <c r="E214" s="1"/>
    </row>
    <row r="215">
      <c r="E215" s="1"/>
    </row>
    <row r="216">
      <c r="E216" s="1"/>
    </row>
    <row r="217">
      <c r="E217" s="1"/>
    </row>
    <row r="218">
      <c r="E218" s="1"/>
    </row>
    <row r="219">
      <c r="E219" s="1"/>
    </row>
    <row r="220">
      <c r="E220" s="1"/>
    </row>
    <row r="221">
      <c r="E221" s="1"/>
    </row>
    <row r="222">
      <c r="E222" s="1"/>
    </row>
    <row r="223">
      <c r="E223" s="1"/>
    </row>
    <row r="224">
      <c r="E224" s="1"/>
    </row>
    <row r="225">
      <c r="E225" s="1"/>
    </row>
    <row r="226">
      <c r="E226" s="1"/>
    </row>
    <row r="227">
      <c r="E227" s="1"/>
    </row>
    <row r="228">
      <c r="E228" s="1"/>
    </row>
    <row r="229">
      <c r="E229" s="1"/>
    </row>
    <row r="230">
      <c r="E230" s="1"/>
    </row>
    <row r="231">
      <c r="E231" s="1"/>
    </row>
    <row r="232">
      <c r="E232" s="1"/>
    </row>
    <row r="233">
      <c r="E233" s="1"/>
    </row>
    <row r="234">
      <c r="E234" s="1"/>
    </row>
    <row r="235">
      <c r="E235" s="1"/>
    </row>
    <row r="236">
      <c r="E236" s="1"/>
    </row>
    <row r="237">
      <c r="E237" s="1"/>
    </row>
    <row r="238">
      <c r="E238" s="1"/>
    </row>
    <row r="239">
      <c r="E239" s="1"/>
    </row>
    <row r="240">
      <c r="E240" s="1"/>
    </row>
    <row r="241">
      <c r="E241" s="1"/>
    </row>
    <row r="242">
      <c r="E242" s="1"/>
    </row>
    <row r="243">
      <c r="E243" s="1"/>
    </row>
    <row r="244">
      <c r="E244" s="1"/>
    </row>
    <row r="245">
      <c r="E245" s="1"/>
    </row>
    <row r="246">
      <c r="E246" s="1"/>
    </row>
    <row r="247">
      <c r="E247" s="1"/>
    </row>
    <row r="248">
      <c r="E248" s="1"/>
    </row>
    <row r="249">
      <c r="E249" s="1"/>
    </row>
    <row r="250">
      <c r="E250" s="1"/>
    </row>
    <row r="251">
      <c r="E251" s="1"/>
    </row>
    <row r="252">
      <c r="E252" s="1"/>
    </row>
    <row r="253">
      <c r="E253" s="1"/>
    </row>
    <row r="254">
      <c r="E254" s="1"/>
    </row>
    <row r="255">
      <c r="E255" s="1"/>
    </row>
    <row r="256">
      <c r="E256" s="1"/>
    </row>
    <row r="257">
      <c r="E257" s="1"/>
    </row>
    <row r="258">
      <c r="E258" s="1"/>
    </row>
    <row r="259">
      <c r="E259" s="1"/>
    </row>
    <row r="260">
      <c r="E260" s="1"/>
    </row>
    <row r="261">
      <c r="E261" s="1"/>
    </row>
    <row r="262">
      <c r="E262" s="1"/>
    </row>
    <row r="263">
      <c r="E263" s="1"/>
    </row>
    <row r="264">
      <c r="E264" s="1"/>
    </row>
    <row r="265">
      <c r="E265" s="1"/>
    </row>
    <row r="266">
      <c r="E266" s="1"/>
    </row>
    <row r="267">
      <c r="E267" s="1"/>
    </row>
    <row r="268">
      <c r="E268" s="1"/>
    </row>
    <row r="269">
      <c r="E269" s="1"/>
    </row>
    <row r="270">
      <c r="E270" s="1"/>
    </row>
    <row r="271">
      <c r="E271" s="1"/>
    </row>
    <row r="272">
      <c r="E272" s="1"/>
    </row>
    <row r="273">
      <c r="E273" s="1"/>
    </row>
    <row r="274">
      <c r="E274" s="1"/>
    </row>
    <row r="275">
      <c r="E275" s="1"/>
    </row>
    <row r="276">
      <c r="E276" s="1"/>
    </row>
    <row r="277">
      <c r="E277" s="1"/>
    </row>
    <row r="278">
      <c r="E278" s="1"/>
    </row>
    <row r="279">
      <c r="E279" s="1"/>
    </row>
    <row r="280">
      <c r="E280" s="1"/>
    </row>
    <row r="281">
      <c r="E281" s="1"/>
    </row>
    <row r="282">
      <c r="E282" s="1"/>
    </row>
    <row r="283">
      <c r="E283" s="1"/>
    </row>
    <row r="284">
      <c r="E284" s="1"/>
    </row>
    <row r="285">
      <c r="E285" s="1"/>
    </row>
    <row r="286">
      <c r="E286" s="1"/>
    </row>
    <row r="287">
      <c r="E287" s="1"/>
    </row>
    <row r="288">
      <c r="E288" s="1"/>
    </row>
    <row r="289">
      <c r="E289" s="1"/>
    </row>
    <row r="290">
      <c r="E290" s="1"/>
    </row>
    <row r="291">
      <c r="E291" s="1"/>
    </row>
    <row r="292">
      <c r="E292" s="1"/>
    </row>
    <row r="293">
      <c r="E293" s="1"/>
    </row>
    <row r="294">
      <c r="E294" s="1"/>
    </row>
    <row r="295">
      <c r="E295" s="1"/>
    </row>
    <row r="296">
      <c r="E296" s="1"/>
    </row>
    <row r="297">
      <c r="E297" s="1"/>
    </row>
    <row r="298">
      <c r="E298" s="1"/>
    </row>
    <row r="299">
      <c r="E299" s="1"/>
    </row>
    <row r="300">
      <c r="E300" s="1"/>
    </row>
    <row r="301">
      <c r="E301" s="1"/>
    </row>
    <row r="302">
      <c r="E302" s="1"/>
    </row>
    <row r="303">
      <c r="E303" s="1"/>
    </row>
    <row r="304">
      <c r="E304" s="1"/>
    </row>
    <row r="305">
      <c r="E305" s="1"/>
    </row>
    <row r="306">
      <c r="E306" s="1"/>
    </row>
    <row r="307">
      <c r="E307" s="1"/>
    </row>
    <row r="308">
      <c r="E308" s="1"/>
    </row>
    <row r="309">
      <c r="E309" s="1"/>
    </row>
    <row r="310">
      <c r="E310" s="1"/>
    </row>
    <row r="311">
      <c r="E311" s="1"/>
    </row>
    <row r="312">
      <c r="E312" s="1"/>
    </row>
    <row r="313">
      <c r="E313" s="1"/>
    </row>
    <row r="314">
      <c r="E314" s="1"/>
    </row>
    <row r="315">
      <c r="E315" s="1"/>
    </row>
    <row r="316">
      <c r="E316" s="1"/>
    </row>
    <row r="317">
      <c r="E317" s="1"/>
    </row>
    <row r="318">
      <c r="E318" s="1"/>
    </row>
    <row r="319">
      <c r="E319" s="1"/>
    </row>
    <row r="320">
      <c r="E320" s="1"/>
    </row>
    <row r="321">
      <c r="E321" s="1"/>
    </row>
    <row r="322">
      <c r="E322" s="1"/>
    </row>
    <row r="323">
      <c r="E323" s="1"/>
    </row>
    <row r="324">
      <c r="E324" s="1"/>
    </row>
    <row r="325">
      <c r="E325" s="1"/>
    </row>
    <row r="326">
      <c r="E326" s="1"/>
    </row>
    <row r="327">
      <c r="E327" s="1"/>
    </row>
    <row r="328">
      <c r="E328" s="1"/>
    </row>
    <row r="329">
      <c r="E329" s="1"/>
    </row>
    <row r="330">
      <c r="E330" s="1"/>
    </row>
    <row r="331">
      <c r="E331" s="1"/>
    </row>
    <row r="332">
      <c r="E332" s="1"/>
    </row>
    <row r="333">
      <c r="E333" s="1"/>
    </row>
    <row r="334">
      <c r="E334" s="1"/>
    </row>
    <row r="335">
      <c r="E335" s="1"/>
    </row>
    <row r="336">
      <c r="E336" s="1"/>
    </row>
    <row r="337">
      <c r="E337" s="1"/>
    </row>
    <row r="338">
      <c r="E338" s="1"/>
    </row>
    <row r="339">
      <c r="E339" s="1"/>
    </row>
    <row r="340">
      <c r="E340" s="1"/>
    </row>
    <row r="341">
      <c r="E341" s="1"/>
    </row>
    <row r="342">
      <c r="E342" s="1"/>
    </row>
    <row r="343">
      <c r="E343" s="1"/>
    </row>
    <row r="344">
      <c r="E344" s="1"/>
    </row>
    <row r="345">
      <c r="E345" s="1"/>
    </row>
    <row r="346">
      <c r="E346" s="1"/>
    </row>
    <row r="347">
      <c r="E347" s="1"/>
    </row>
    <row r="348">
      <c r="E348" s="1"/>
    </row>
    <row r="349">
      <c r="E349" s="1"/>
    </row>
    <row r="350">
      <c r="E350" s="1"/>
    </row>
    <row r="351">
      <c r="E351" s="1"/>
    </row>
    <row r="352">
      <c r="E352" s="1"/>
    </row>
    <row r="353">
      <c r="E353" s="1"/>
    </row>
    <row r="354">
      <c r="E354" s="1"/>
    </row>
    <row r="355">
      <c r="E355" s="1"/>
    </row>
    <row r="356">
      <c r="E356" s="1"/>
    </row>
    <row r="357">
      <c r="E357" s="1"/>
    </row>
    <row r="358">
      <c r="E358" s="1"/>
    </row>
    <row r="359">
      <c r="E359" s="1"/>
    </row>
    <row r="360">
      <c r="E360" s="1"/>
    </row>
    <row r="361">
      <c r="E361" s="1"/>
    </row>
    <row r="362">
      <c r="E362" s="1"/>
    </row>
    <row r="363">
      <c r="E363" s="1"/>
    </row>
    <row r="364">
      <c r="E364" s="1"/>
    </row>
    <row r="365">
      <c r="E365" s="1"/>
    </row>
    <row r="366">
      <c r="E366" s="1"/>
    </row>
    <row r="367">
      <c r="E367" s="1"/>
    </row>
    <row r="368">
      <c r="E368" s="1"/>
    </row>
    <row r="369">
      <c r="E369" s="1"/>
    </row>
    <row r="370">
      <c r="E370" s="1"/>
    </row>
    <row r="371">
      <c r="E371" s="1"/>
    </row>
    <row r="372">
      <c r="E372" s="1"/>
    </row>
    <row r="373">
      <c r="E373" s="1"/>
    </row>
    <row r="374">
      <c r="E374" s="1"/>
    </row>
    <row r="375">
      <c r="E375" s="1"/>
    </row>
    <row r="376">
      <c r="E376" s="1"/>
    </row>
    <row r="377">
      <c r="E377" s="1"/>
    </row>
    <row r="378">
      <c r="E378" s="1"/>
    </row>
    <row r="379">
      <c r="E379" s="1"/>
    </row>
    <row r="380">
      <c r="E380" s="1"/>
    </row>
    <row r="381">
      <c r="E381" s="1"/>
    </row>
    <row r="382">
      <c r="E382" s="1"/>
    </row>
    <row r="383">
      <c r="E383" s="1"/>
    </row>
    <row r="384">
      <c r="E384" s="1"/>
    </row>
    <row r="385">
      <c r="E385" s="1"/>
    </row>
    <row r="386">
      <c r="E386" s="1"/>
    </row>
    <row r="387">
      <c r="E387" s="1"/>
    </row>
    <row r="388">
      <c r="E388" s="1"/>
    </row>
    <row r="389">
      <c r="E389" s="1"/>
    </row>
    <row r="390">
      <c r="E390" s="1"/>
    </row>
    <row r="391">
      <c r="E391" s="1"/>
    </row>
    <row r="392">
      <c r="E392" s="1"/>
    </row>
    <row r="393">
      <c r="E393" s="1"/>
    </row>
    <row r="394">
      <c r="E394" s="1"/>
    </row>
    <row r="395">
      <c r="E395" s="1"/>
    </row>
    <row r="396">
      <c r="E396" s="1"/>
    </row>
    <row r="397">
      <c r="E397" s="1"/>
    </row>
    <row r="398">
      <c r="E398" s="1"/>
    </row>
    <row r="399">
      <c r="E399" s="1"/>
    </row>
    <row r="400">
      <c r="E400" s="1"/>
    </row>
    <row r="401">
      <c r="E401" s="1"/>
    </row>
    <row r="402">
      <c r="E402" s="1"/>
    </row>
    <row r="403">
      <c r="E403" s="1"/>
    </row>
    <row r="404">
      <c r="E404" s="1"/>
    </row>
    <row r="405">
      <c r="E405" s="1"/>
    </row>
    <row r="406">
      <c r="E406" s="1"/>
    </row>
    <row r="407">
      <c r="E407" s="1"/>
    </row>
    <row r="408">
      <c r="E408" s="1"/>
    </row>
    <row r="409">
      <c r="E409" s="1"/>
    </row>
    <row r="410">
      <c r="E410" s="1"/>
    </row>
    <row r="411">
      <c r="E411" s="1"/>
    </row>
    <row r="412">
      <c r="E412" s="1"/>
    </row>
    <row r="413">
      <c r="E413" s="1"/>
    </row>
    <row r="414">
      <c r="E414" s="1"/>
    </row>
    <row r="415">
      <c r="E415" s="1"/>
    </row>
    <row r="416">
      <c r="E416" s="1"/>
    </row>
    <row r="417">
      <c r="E417" s="1"/>
    </row>
    <row r="418">
      <c r="E418" s="1"/>
    </row>
    <row r="419">
      <c r="E419" s="1"/>
    </row>
    <row r="420">
      <c r="E420" s="1"/>
    </row>
    <row r="421">
      <c r="E421" s="1"/>
    </row>
    <row r="422">
      <c r="E422" s="1"/>
    </row>
    <row r="423">
      <c r="E423" s="1"/>
    </row>
    <row r="424">
      <c r="E424" s="1"/>
    </row>
    <row r="425">
      <c r="E425" s="1"/>
    </row>
    <row r="426">
      <c r="E426" s="1"/>
    </row>
    <row r="427">
      <c r="E427" s="1"/>
    </row>
    <row r="428">
      <c r="E428" s="1"/>
    </row>
    <row r="429">
      <c r="E429" s="1"/>
    </row>
    <row r="430">
      <c r="E430" s="1"/>
    </row>
    <row r="431">
      <c r="E431" s="1"/>
    </row>
    <row r="432">
      <c r="E432" s="1"/>
    </row>
    <row r="433">
      <c r="E433" s="1"/>
    </row>
    <row r="434">
      <c r="E434" s="1"/>
    </row>
    <row r="435">
      <c r="E435" s="1"/>
    </row>
    <row r="436">
      <c r="E436" s="1"/>
    </row>
    <row r="437">
      <c r="E437" s="1"/>
    </row>
    <row r="438">
      <c r="E438" s="1"/>
    </row>
    <row r="439">
      <c r="E439" s="1"/>
    </row>
    <row r="440">
      <c r="E440" s="1"/>
    </row>
    <row r="441">
      <c r="E441" s="1"/>
    </row>
    <row r="442">
      <c r="E442" s="1"/>
    </row>
    <row r="443">
      <c r="E443" s="1"/>
    </row>
    <row r="444">
      <c r="E444" s="1"/>
    </row>
    <row r="445">
      <c r="E445" s="1"/>
    </row>
    <row r="446">
      <c r="E446" s="1"/>
    </row>
    <row r="447">
      <c r="E447" s="1"/>
    </row>
    <row r="448">
      <c r="E448" s="1"/>
    </row>
    <row r="449">
      <c r="E449" s="1"/>
    </row>
    <row r="450">
      <c r="E450" s="1"/>
    </row>
    <row r="451">
      <c r="E451" s="1"/>
    </row>
    <row r="452">
      <c r="E452" s="1"/>
    </row>
    <row r="453">
      <c r="E453" s="1"/>
    </row>
    <row r="454">
      <c r="E454" s="1"/>
    </row>
    <row r="455">
      <c r="E455" s="1"/>
    </row>
    <row r="456">
      <c r="E456" s="1"/>
    </row>
    <row r="457">
      <c r="E457" s="1"/>
    </row>
    <row r="458">
      <c r="E458" s="1"/>
    </row>
    <row r="459">
      <c r="E459" s="1"/>
    </row>
    <row r="460">
      <c r="E460" s="1"/>
    </row>
    <row r="461">
      <c r="E461" s="1"/>
    </row>
    <row r="462">
      <c r="E462" s="1"/>
    </row>
    <row r="463">
      <c r="E463" s="1"/>
    </row>
    <row r="464">
      <c r="E464" s="1"/>
    </row>
    <row r="465">
      <c r="E465" s="1"/>
    </row>
    <row r="466">
      <c r="E466" s="1"/>
    </row>
    <row r="467">
      <c r="E467" s="1"/>
    </row>
    <row r="468">
      <c r="E468" s="1"/>
    </row>
    <row r="469">
      <c r="E469" s="1"/>
    </row>
    <row r="470">
      <c r="E470" s="1"/>
    </row>
    <row r="471">
      <c r="E471" s="1"/>
    </row>
    <row r="472">
      <c r="E472" s="1"/>
    </row>
    <row r="473">
      <c r="E473" s="1"/>
    </row>
    <row r="474">
      <c r="E474" s="1"/>
    </row>
    <row r="475">
      <c r="E475" s="1"/>
    </row>
    <row r="476">
      <c r="E476" s="1"/>
    </row>
    <row r="477">
      <c r="E477" s="1"/>
    </row>
    <row r="478">
      <c r="E478" s="1"/>
    </row>
    <row r="479">
      <c r="E479" s="1"/>
    </row>
    <row r="480">
      <c r="E480" s="1"/>
    </row>
    <row r="481">
      <c r="E481" s="1"/>
    </row>
    <row r="482">
      <c r="E482" s="1"/>
    </row>
    <row r="483">
      <c r="E483" s="1"/>
    </row>
    <row r="484">
      <c r="E484" s="1"/>
    </row>
    <row r="485">
      <c r="E485" s="1"/>
    </row>
    <row r="486">
      <c r="E486" s="1"/>
    </row>
    <row r="487">
      <c r="E487" s="1"/>
    </row>
    <row r="488">
      <c r="E488" s="1"/>
    </row>
    <row r="489">
      <c r="E489" s="1"/>
    </row>
    <row r="490">
      <c r="E490" s="1"/>
    </row>
    <row r="491">
      <c r="E491" s="1"/>
    </row>
    <row r="492">
      <c r="E492" s="1"/>
    </row>
    <row r="493">
      <c r="E493" s="1"/>
    </row>
    <row r="494">
      <c r="E494" s="1"/>
    </row>
    <row r="495">
      <c r="E495" s="1"/>
    </row>
    <row r="496">
      <c r="E496" s="1"/>
    </row>
    <row r="497">
      <c r="E497" s="1"/>
    </row>
    <row r="498">
      <c r="E498" s="1"/>
    </row>
    <row r="499">
      <c r="E499" s="1"/>
    </row>
    <row r="500">
      <c r="E500" s="1"/>
    </row>
    <row r="501">
      <c r="E501" s="1"/>
    </row>
    <row r="502">
      <c r="E502" s="1"/>
    </row>
    <row r="503">
      <c r="E503" s="1"/>
    </row>
    <row r="504">
      <c r="E504" s="1"/>
    </row>
    <row r="505">
      <c r="E505" s="1"/>
    </row>
    <row r="506">
      <c r="E506" s="1"/>
    </row>
    <row r="507">
      <c r="E507" s="1"/>
    </row>
    <row r="508">
      <c r="E508" s="1"/>
    </row>
    <row r="509">
      <c r="E509" s="1"/>
    </row>
    <row r="510">
      <c r="E510" s="1"/>
    </row>
    <row r="511">
      <c r="E511" s="1"/>
    </row>
    <row r="512">
      <c r="E512" s="1"/>
    </row>
    <row r="513">
      <c r="E513" s="1"/>
    </row>
    <row r="514">
      <c r="E514" s="1"/>
    </row>
    <row r="515">
      <c r="E515" s="1"/>
    </row>
    <row r="516">
      <c r="E516" s="1"/>
    </row>
    <row r="517">
      <c r="E517" s="1"/>
    </row>
    <row r="518">
      <c r="E518" s="1"/>
    </row>
    <row r="519">
      <c r="E519" s="1"/>
    </row>
    <row r="520">
      <c r="E520" s="1"/>
    </row>
    <row r="521">
      <c r="E521" s="1"/>
    </row>
    <row r="522">
      <c r="E522" s="1"/>
    </row>
    <row r="523">
      <c r="E523" s="1"/>
    </row>
    <row r="524">
      <c r="E524" s="1"/>
    </row>
    <row r="525">
      <c r="E525" s="1"/>
    </row>
    <row r="526">
      <c r="E526" s="1"/>
    </row>
    <row r="527">
      <c r="E527" s="1"/>
    </row>
    <row r="528">
      <c r="E528" s="1"/>
    </row>
    <row r="529">
      <c r="E529" s="1"/>
    </row>
    <row r="530">
      <c r="E530" s="1"/>
    </row>
    <row r="531">
      <c r="E531" s="1"/>
    </row>
    <row r="532">
      <c r="E532" s="1"/>
    </row>
    <row r="533">
      <c r="E533" s="1"/>
    </row>
    <row r="534">
      <c r="E534" s="1"/>
    </row>
    <row r="535">
      <c r="E535" s="1"/>
    </row>
    <row r="536">
      <c r="E536" s="1"/>
    </row>
    <row r="537">
      <c r="E537" s="1"/>
    </row>
    <row r="538">
      <c r="E538" s="1"/>
    </row>
    <row r="539">
      <c r="E539" s="1"/>
    </row>
    <row r="540">
      <c r="E540" s="1"/>
    </row>
    <row r="541">
      <c r="E541" s="1"/>
    </row>
    <row r="542">
      <c r="E542" s="1"/>
    </row>
    <row r="543">
      <c r="E543" s="1"/>
    </row>
    <row r="544">
      <c r="E544" s="1"/>
    </row>
    <row r="545">
      <c r="E545" s="1"/>
    </row>
    <row r="546">
      <c r="E546" s="1"/>
    </row>
    <row r="547">
      <c r="E547" s="1"/>
    </row>
    <row r="548">
      <c r="E548" s="1"/>
    </row>
    <row r="549">
      <c r="E549" s="1"/>
    </row>
    <row r="550">
      <c r="E550" s="1"/>
    </row>
    <row r="551">
      <c r="E551" s="1"/>
    </row>
    <row r="552">
      <c r="E552" s="1"/>
    </row>
    <row r="553">
      <c r="E553" s="1"/>
    </row>
    <row r="554">
      <c r="E554" s="1"/>
    </row>
    <row r="555">
      <c r="E555" s="1"/>
    </row>
    <row r="556">
      <c r="E556" s="1"/>
    </row>
    <row r="557">
      <c r="E557" s="1"/>
    </row>
    <row r="558">
      <c r="E558" s="1"/>
    </row>
    <row r="559">
      <c r="E559" s="1"/>
    </row>
    <row r="560">
      <c r="E560" s="1"/>
    </row>
    <row r="561">
      <c r="E561" s="1"/>
    </row>
    <row r="562">
      <c r="E562" s="1"/>
    </row>
    <row r="563">
      <c r="E563" s="1"/>
    </row>
    <row r="564">
      <c r="E564" s="1"/>
    </row>
    <row r="565">
      <c r="E565" s="1"/>
    </row>
    <row r="566">
      <c r="E566" s="1"/>
    </row>
    <row r="567">
      <c r="E567" s="1"/>
    </row>
    <row r="568">
      <c r="E568" s="1"/>
    </row>
    <row r="569">
      <c r="E569" s="1"/>
    </row>
    <row r="570">
      <c r="E570" s="1"/>
    </row>
    <row r="571">
      <c r="E571" s="1"/>
    </row>
    <row r="572">
      <c r="E572" s="1"/>
    </row>
    <row r="573">
      <c r="E573" s="1"/>
    </row>
    <row r="574">
      <c r="E574" s="1"/>
    </row>
    <row r="575">
      <c r="E575" s="1"/>
    </row>
    <row r="576">
      <c r="E576" s="1"/>
    </row>
    <row r="577">
      <c r="E577" s="1"/>
    </row>
    <row r="578">
      <c r="E578" s="1"/>
    </row>
    <row r="579">
      <c r="E579" s="1"/>
    </row>
    <row r="580">
      <c r="E580" s="1"/>
    </row>
    <row r="581">
      <c r="E581" s="1"/>
    </row>
    <row r="582">
      <c r="E582" s="1"/>
    </row>
    <row r="583">
      <c r="E583" s="1"/>
    </row>
    <row r="584">
      <c r="E584" s="1"/>
    </row>
    <row r="585">
      <c r="E585" s="1"/>
    </row>
    <row r="586">
      <c r="E586" s="1"/>
    </row>
    <row r="587">
      <c r="E587" s="1"/>
    </row>
    <row r="588">
      <c r="E588" s="1"/>
    </row>
    <row r="589">
      <c r="E589" s="1"/>
    </row>
    <row r="590">
      <c r="E590" s="1"/>
    </row>
    <row r="591">
      <c r="E591" s="1"/>
    </row>
    <row r="592">
      <c r="E592" s="1"/>
    </row>
    <row r="593">
      <c r="E593" s="1"/>
    </row>
    <row r="594">
      <c r="E594" s="1"/>
    </row>
    <row r="595">
      <c r="E595" s="1"/>
    </row>
    <row r="596">
      <c r="E596" s="1"/>
    </row>
    <row r="597">
      <c r="E597" s="1"/>
    </row>
    <row r="598">
      <c r="E598" s="1"/>
    </row>
    <row r="599">
      <c r="E599" s="1"/>
    </row>
    <row r="600">
      <c r="E600" s="1"/>
    </row>
    <row r="601">
      <c r="E601" s="1"/>
    </row>
    <row r="602">
      <c r="E602" s="1"/>
    </row>
    <row r="603">
      <c r="E603" s="1"/>
    </row>
    <row r="604">
      <c r="E604" s="1"/>
    </row>
    <row r="605">
      <c r="E605" s="1"/>
    </row>
    <row r="606">
      <c r="E606" s="1"/>
    </row>
    <row r="607">
      <c r="E607" s="1"/>
    </row>
    <row r="608">
      <c r="E608" s="1"/>
    </row>
    <row r="609">
      <c r="E609" s="1"/>
    </row>
    <row r="610">
      <c r="E610" s="1"/>
    </row>
    <row r="611">
      <c r="E611" s="1"/>
    </row>
    <row r="612">
      <c r="E612" s="1"/>
    </row>
    <row r="613">
      <c r="E613" s="1"/>
    </row>
    <row r="614">
      <c r="E614" s="1"/>
    </row>
    <row r="615">
      <c r="E615" s="1"/>
    </row>
    <row r="616">
      <c r="E616" s="1"/>
    </row>
    <row r="617">
      <c r="E617" s="1"/>
    </row>
    <row r="618">
      <c r="E618" s="1"/>
    </row>
    <row r="619">
      <c r="E619" s="1"/>
    </row>
    <row r="620">
      <c r="E620" s="1"/>
    </row>
    <row r="621">
      <c r="E621" s="1"/>
    </row>
    <row r="622">
      <c r="E622" s="1"/>
    </row>
    <row r="623">
      <c r="E623" s="1"/>
    </row>
    <row r="624">
      <c r="E624" s="1"/>
    </row>
    <row r="625">
      <c r="E625" s="1"/>
    </row>
    <row r="626">
      <c r="E626" s="1"/>
    </row>
    <row r="627">
      <c r="E627" s="1"/>
    </row>
    <row r="628">
      <c r="E628" s="1"/>
    </row>
    <row r="629">
      <c r="E629" s="1"/>
    </row>
    <row r="630">
      <c r="E630" s="1"/>
    </row>
    <row r="631">
      <c r="E631" s="1"/>
    </row>
    <row r="632">
      <c r="E632" s="1"/>
    </row>
    <row r="633">
      <c r="E633" s="1"/>
    </row>
    <row r="634">
      <c r="E634" s="1"/>
    </row>
    <row r="635">
      <c r="E635" s="1"/>
    </row>
    <row r="636">
      <c r="E636" s="1"/>
    </row>
    <row r="637">
      <c r="E637" s="1"/>
    </row>
    <row r="638">
      <c r="E638" s="1"/>
    </row>
    <row r="639">
      <c r="E639" s="1"/>
    </row>
    <row r="640">
      <c r="E640" s="1"/>
    </row>
    <row r="641">
      <c r="E641" s="1"/>
    </row>
    <row r="642">
      <c r="E642" s="1"/>
    </row>
    <row r="643">
      <c r="E643" s="1"/>
    </row>
    <row r="644">
      <c r="E644" s="1"/>
    </row>
    <row r="645">
      <c r="E645" s="1"/>
    </row>
    <row r="646">
      <c r="E646" s="1"/>
    </row>
    <row r="647">
      <c r="E647" s="1"/>
    </row>
    <row r="648">
      <c r="E648" s="1"/>
    </row>
    <row r="649">
      <c r="E649" s="1"/>
    </row>
    <row r="650">
      <c r="E650" s="1"/>
    </row>
    <row r="651">
      <c r="E651" s="1"/>
    </row>
    <row r="652">
      <c r="E652" s="1"/>
    </row>
    <row r="653">
      <c r="E653" s="1"/>
    </row>
    <row r="654">
      <c r="E654" s="1"/>
    </row>
    <row r="655">
      <c r="E655" s="1"/>
    </row>
    <row r="656">
      <c r="E656" s="1"/>
    </row>
    <row r="657">
      <c r="E657" s="1"/>
    </row>
    <row r="658">
      <c r="E658" s="1"/>
    </row>
    <row r="659">
      <c r="E659" s="1"/>
    </row>
    <row r="660">
      <c r="E660" s="1"/>
    </row>
    <row r="661">
      <c r="E661" s="1"/>
    </row>
    <row r="662">
      <c r="E662" s="1"/>
    </row>
    <row r="663">
      <c r="E663" s="1"/>
    </row>
    <row r="664">
      <c r="E664" s="1"/>
    </row>
    <row r="665">
      <c r="E665" s="1"/>
    </row>
    <row r="666">
      <c r="E666" s="1"/>
    </row>
    <row r="667">
      <c r="E667" s="1"/>
    </row>
    <row r="668">
      <c r="E668" s="1"/>
    </row>
    <row r="669">
      <c r="E669" s="1"/>
    </row>
    <row r="670">
      <c r="E670" s="1"/>
    </row>
    <row r="671">
      <c r="E671" s="1"/>
    </row>
    <row r="672">
      <c r="E672" s="1"/>
    </row>
    <row r="673">
      <c r="E673" s="1"/>
    </row>
    <row r="674">
      <c r="E674" s="1"/>
    </row>
    <row r="675">
      <c r="E675" s="1"/>
    </row>
    <row r="676">
      <c r="E676" s="1"/>
    </row>
    <row r="677">
      <c r="E677" s="1"/>
    </row>
    <row r="678">
      <c r="E678" s="1"/>
    </row>
    <row r="679">
      <c r="E679" s="1"/>
    </row>
    <row r="680">
      <c r="E680" s="1"/>
    </row>
    <row r="681">
      <c r="E681" s="1"/>
    </row>
    <row r="682">
      <c r="E682" s="1"/>
    </row>
    <row r="683">
      <c r="E683" s="1"/>
    </row>
    <row r="684">
      <c r="E684" s="1"/>
    </row>
    <row r="685">
      <c r="E685" s="1"/>
    </row>
    <row r="686">
      <c r="E686" s="1"/>
    </row>
    <row r="687">
      <c r="E687" s="1"/>
    </row>
    <row r="688">
      <c r="E688" s="1"/>
    </row>
    <row r="689">
      <c r="E689" s="1"/>
    </row>
    <row r="690">
      <c r="E690" s="1"/>
    </row>
    <row r="691">
      <c r="E691" s="1"/>
    </row>
    <row r="692">
      <c r="E692" s="1"/>
    </row>
    <row r="693">
      <c r="E693" s="1"/>
    </row>
    <row r="694">
      <c r="E694" s="1"/>
    </row>
    <row r="695">
      <c r="E695" s="1"/>
    </row>
    <row r="696">
      <c r="E696" s="1"/>
    </row>
    <row r="697">
      <c r="E697" s="1"/>
    </row>
    <row r="698">
      <c r="E698" s="1"/>
    </row>
    <row r="699">
      <c r="E699" s="1"/>
    </row>
    <row r="700">
      <c r="E700" s="1"/>
    </row>
    <row r="701">
      <c r="E701" s="1"/>
    </row>
    <row r="702">
      <c r="E702" s="1"/>
    </row>
    <row r="703">
      <c r="E703" s="1"/>
    </row>
    <row r="704">
      <c r="E704" s="1"/>
    </row>
    <row r="705">
      <c r="E705" s="1"/>
    </row>
    <row r="706">
      <c r="E706" s="1"/>
    </row>
    <row r="707">
      <c r="E707" s="1"/>
    </row>
    <row r="708">
      <c r="E708" s="1"/>
    </row>
    <row r="709">
      <c r="E709" s="1"/>
    </row>
    <row r="710">
      <c r="E710" s="1"/>
    </row>
    <row r="711">
      <c r="E711" s="1"/>
    </row>
    <row r="712">
      <c r="E712" s="1"/>
    </row>
    <row r="713">
      <c r="E713" s="1"/>
    </row>
    <row r="714">
      <c r="E714" s="1"/>
    </row>
    <row r="715">
      <c r="E715" s="1"/>
    </row>
    <row r="716">
      <c r="E716" s="1"/>
    </row>
    <row r="717">
      <c r="E717" s="1"/>
    </row>
    <row r="718">
      <c r="E718" s="1"/>
    </row>
    <row r="719">
      <c r="E719" s="1"/>
    </row>
    <row r="720">
      <c r="E720" s="1"/>
    </row>
    <row r="721">
      <c r="E721" s="1"/>
    </row>
    <row r="722">
      <c r="E722" s="1"/>
    </row>
    <row r="723">
      <c r="E723" s="1"/>
    </row>
    <row r="724">
      <c r="E724" s="1"/>
    </row>
    <row r="725">
      <c r="E725" s="1"/>
    </row>
    <row r="726">
      <c r="E726" s="1"/>
    </row>
    <row r="727">
      <c r="E727" s="1"/>
    </row>
    <row r="728">
      <c r="E728" s="1"/>
    </row>
    <row r="729">
      <c r="E729" s="1"/>
    </row>
    <row r="730">
      <c r="E730" s="1"/>
    </row>
    <row r="731">
      <c r="E731" s="1"/>
    </row>
    <row r="732">
      <c r="E732" s="1"/>
    </row>
    <row r="733">
      <c r="E733" s="1"/>
    </row>
    <row r="734">
      <c r="E734" s="1"/>
    </row>
    <row r="735">
      <c r="E735" s="1"/>
    </row>
    <row r="736">
      <c r="E736" s="1"/>
    </row>
    <row r="737">
      <c r="E737" s="1"/>
    </row>
    <row r="738">
      <c r="E738" s="1"/>
    </row>
    <row r="739">
      <c r="E739" s="1"/>
    </row>
    <row r="740">
      <c r="E740" s="1"/>
    </row>
    <row r="741">
      <c r="E741" s="1"/>
    </row>
    <row r="742">
      <c r="E742" s="1"/>
    </row>
    <row r="743">
      <c r="E743" s="1"/>
    </row>
    <row r="744">
      <c r="E744" s="1"/>
    </row>
    <row r="745">
      <c r="E745" s="1"/>
    </row>
    <row r="746">
      <c r="E746" s="1"/>
    </row>
    <row r="747">
      <c r="E747" s="1"/>
    </row>
    <row r="748">
      <c r="E748" s="1"/>
    </row>
    <row r="749">
      <c r="E749" s="1"/>
    </row>
    <row r="750">
      <c r="E750" s="1"/>
    </row>
    <row r="751">
      <c r="E751" s="1"/>
    </row>
    <row r="752">
      <c r="E752" s="1"/>
    </row>
    <row r="753">
      <c r="E753" s="1"/>
    </row>
    <row r="754">
      <c r="E754" s="1"/>
    </row>
    <row r="755">
      <c r="E755" s="1"/>
    </row>
    <row r="756">
      <c r="E756" s="1"/>
    </row>
    <row r="757">
      <c r="E757" s="1"/>
    </row>
    <row r="758">
      <c r="E758" s="1"/>
    </row>
    <row r="759">
      <c r="E759" s="1"/>
    </row>
    <row r="760">
      <c r="E760" s="1"/>
    </row>
    <row r="761">
      <c r="E761" s="1"/>
    </row>
    <row r="762">
      <c r="E762" s="1"/>
    </row>
    <row r="763">
      <c r="E763" s="1"/>
    </row>
    <row r="764">
      <c r="E764" s="1"/>
    </row>
    <row r="765">
      <c r="E765" s="1"/>
    </row>
    <row r="766">
      <c r="E766" s="1"/>
    </row>
    <row r="767">
      <c r="E767" s="1"/>
    </row>
    <row r="768">
      <c r="E768" s="1"/>
    </row>
    <row r="769">
      <c r="E769" s="1"/>
    </row>
    <row r="770">
      <c r="E770" s="1"/>
    </row>
    <row r="771">
      <c r="E771" s="1"/>
    </row>
    <row r="772">
      <c r="E772" s="1"/>
    </row>
    <row r="773">
      <c r="E773" s="1"/>
    </row>
    <row r="774">
      <c r="E774" s="1"/>
    </row>
    <row r="775">
      <c r="E775" s="1"/>
    </row>
    <row r="776">
      <c r="E776" s="1"/>
    </row>
    <row r="777">
      <c r="E777" s="1"/>
    </row>
    <row r="778">
      <c r="E778" s="1"/>
    </row>
    <row r="779">
      <c r="E779" s="1"/>
    </row>
    <row r="780">
      <c r="E780" s="1"/>
    </row>
    <row r="781">
      <c r="E781" s="1"/>
    </row>
    <row r="782">
      <c r="E782" s="1"/>
    </row>
    <row r="783">
      <c r="E783" s="1"/>
    </row>
    <row r="784">
      <c r="E784" s="1"/>
    </row>
    <row r="785">
      <c r="E785" s="1"/>
    </row>
    <row r="786">
      <c r="E786" s="1"/>
    </row>
    <row r="787">
      <c r="E787" s="1"/>
    </row>
    <row r="788">
      <c r="E788" s="1"/>
    </row>
    <row r="789">
      <c r="E789" s="1"/>
    </row>
    <row r="790">
      <c r="E790" s="1"/>
    </row>
    <row r="791">
      <c r="E791" s="1"/>
    </row>
    <row r="792">
      <c r="E792" s="1"/>
    </row>
    <row r="793">
      <c r="E793" s="1"/>
    </row>
    <row r="794">
      <c r="E794" s="1"/>
    </row>
    <row r="795">
      <c r="E795" s="1"/>
    </row>
    <row r="796">
      <c r="E796" s="1"/>
    </row>
    <row r="797">
      <c r="E797" s="1"/>
    </row>
    <row r="798">
      <c r="E798" s="1"/>
    </row>
    <row r="799">
      <c r="E799" s="1"/>
    </row>
    <row r="800">
      <c r="E800" s="1"/>
    </row>
    <row r="801">
      <c r="E801" s="1"/>
    </row>
    <row r="802">
      <c r="E802" s="1"/>
    </row>
    <row r="803">
      <c r="E803" s="1"/>
    </row>
    <row r="804">
      <c r="E804" s="1"/>
    </row>
    <row r="805">
      <c r="E805" s="1"/>
    </row>
    <row r="806">
      <c r="E806" s="1"/>
    </row>
    <row r="807">
      <c r="E807" s="1"/>
    </row>
    <row r="808">
      <c r="E808" s="1"/>
    </row>
    <row r="809">
      <c r="E809" s="1"/>
    </row>
    <row r="810">
      <c r="E810" s="1"/>
    </row>
    <row r="811">
      <c r="E811" s="1"/>
    </row>
    <row r="812">
      <c r="E812" s="1"/>
    </row>
    <row r="813">
      <c r="E813" s="1"/>
    </row>
    <row r="814">
      <c r="E814" s="1"/>
    </row>
    <row r="815">
      <c r="E815" s="1"/>
    </row>
    <row r="816">
      <c r="E816" s="1"/>
    </row>
    <row r="817">
      <c r="E817" s="1"/>
    </row>
    <row r="818">
      <c r="E818" s="1"/>
    </row>
    <row r="819">
      <c r="E819" s="1"/>
    </row>
    <row r="820">
      <c r="E820" s="1"/>
    </row>
    <row r="821">
      <c r="E821" s="1"/>
    </row>
    <row r="822">
      <c r="E822" s="1"/>
    </row>
    <row r="823">
      <c r="E823" s="1"/>
    </row>
    <row r="824">
      <c r="E824" s="1"/>
    </row>
    <row r="825">
      <c r="E825" s="1"/>
    </row>
    <row r="826">
      <c r="E826" s="1"/>
    </row>
    <row r="827">
      <c r="E827" s="1"/>
    </row>
    <row r="828">
      <c r="E828" s="1"/>
    </row>
    <row r="829">
      <c r="E829" s="1"/>
    </row>
    <row r="830">
      <c r="E830" s="1"/>
    </row>
    <row r="831">
      <c r="E831" s="1"/>
    </row>
    <row r="832">
      <c r="E832" s="1"/>
    </row>
    <row r="833">
      <c r="E833" s="1"/>
    </row>
    <row r="834">
      <c r="E834" s="1"/>
    </row>
    <row r="835">
      <c r="E835" s="1"/>
    </row>
    <row r="836">
      <c r="E836" s="1"/>
    </row>
    <row r="837">
      <c r="E837" s="1"/>
    </row>
    <row r="838">
      <c r="E838" s="1"/>
    </row>
    <row r="839">
      <c r="E839" s="1"/>
    </row>
    <row r="840">
      <c r="E840" s="1"/>
    </row>
    <row r="841">
      <c r="E841" s="1"/>
    </row>
    <row r="842">
      <c r="E842" s="1"/>
    </row>
    <row r="843">
      <c r="E843" s="1"/>
    </row>
    <row r="844">
      <c r="E844" s="1"/>
    </row>
    <row r="845">
      <c r="E845" s="1"/>
    </row>
    <row r="846">
      <c r="E846" s="1"/>
    </row>
    <row r="847">
      <c r="E847" s="1"/>
    </row>
    <row r="848">
      <c r="E848" s="1"/>
    </row>
    <row r="849">
      <c r="E849" s="1"/>
    </row>
    <row r="850">
      <c r="E850" s="1"/>
    </row>
    <row r="851">
      <c r="E851" s="1"/>
    </row>
    <row r="852">
      <c r="E852" s="1"/>
    </row>
    <row r="853">
      <c r="E853" s="1"/>
    </row>
    <row r="854">
      <c r="E854" s="1"/>
    </row>
    <row r="855">
      <c r="E855" s="1"/>
    </row>
    <row r="856">
      <c r="E856" s="1"/>
    </row>
    <row r="857">
      <c r="E857" s="1"/>
    </row>
    <row r="858">
      <c r="E858" s="1"/>
    </row>
    <row r="859">
      <c r="E859" s="1"/>
    </row>
    <row r="860">
      <c r="E860" s="1"/>
    </row>
    <row r="861">
      <c r="E861" s="1"/>
    </row>
    <row r="862">
      <c r="E862" s="1"/>
    </row>
    <row r="863">
      <c r="E863" s="1"/>
    </row>
    <row r="864">
      <c r="E864" s="1"/>
    </row>
    <row r="865">
      <c r="E865" s="1"/>
    </row>
    <row r="866">
      <c r="E866" s="1"/>
    </row>
    <row r="867">
      <c r="E867" s="1"/>
    </row>
    <row r="868">
      <c r="E868" s="1"/>
    </row>
    <row r="869">
      <c r="E869" s="1"/>
    </row>
    <row r="870">
      <c r="E870" s="1"/>
    </row>
    <row r="871">
      <c r="E871" s="1"/>
    </row>
    <row r="872">
      <c r="E872" s="1"/>
    </row>
    <row r="873">
      <c r="E873" s="1"/>
    </row>
    <row r="874">
      <c r="E874" s="1"/>
    </row>
    <row r="875">
      <c r="E875" s="1"/>
    </row>
    <row r="876">
      <c r="E876" s="1"/>
    </row>
    <row r="877">
      <c r="E877" s="1"/>
    </row>
    <row r="878">
      <c r="E878" s="1"/>
    </row>
    <row r="879">
      <c r="E879" s="1"/>
    </row>
    <row r="880">
      <c r="E880" s="1"/>
    </row>
    <row r="881">
      <c r="E881" s="1"/>
    </row>
    <row r="882">
      <c r="E882" s="1"/>
    </row>
    <row r="883">
      <c r="E883" s="1"/>
    </row>
    <row r="884">
      <c r="E884" s="1"/>
    </row>
    <row r="885">
      <c r="E885" s="1"/>
    </row>
    <row r="886">
      <c r="E886" s="1"/>
    </row>
    <row r="887">
      <c r="E887" s="1"/>
    </row>
    <row r="888">
      <c r="E888" s="1"/>
    </row>
    <row r="889">
      <c r="E889" s="1"/>
    </row>
    <row r="890">
      <c r="E890" s="1"/>
    </row>
    <row r="891">
      <c r="E891" s="1"/>
    </row>
    <row r="892">
      <c r="E892" s="1"/>
    </row>
    <row r="893">
      <c r="E893" s="1"/>
    </row>
    <row r="894">
      <c r="E894" s="1"/>
    </row>
    <row r="895">
      <c r="E895" s="1"/>
    </row>
    <row r="896">
      <c r="E896" s="1"/>
    </row>
    <row r="897">
      <c r="E897" s="1"/>
    </row>
    <row r="898">
      <c r="E898" s="1"/>
    </row>
    <row r="899">
      <c r="E899" s="1"/>
    </row>
    <row r="900">
      <c r="E900" s="1"/>
    </row>
    <row r="901">
      <c r="E901" s="1"/>
    </row>
    <row r="902">
      <c r="E902" s="1"/>
    </row>
    <row r="903">
      <c r="E903" s="1"/>
    </row>
    <row r="904">
      <c r="E904" s="1"/>
    </row>
    <row r="905">
      <c r="E905" s="1"/>
    </row>
    <row r="906">
      <c r="E906" s="1"/>
    </row>
    <row r="907">
      <c r="E907" s="1"/>
    </row>
    <row r="908">
      <c r="E908" s="1"/>
    </row>
    <row r="909">
      <c r="E909" s="1"/>
    </row>
    <row r="910">
      <c r="E910" s="1"/>
    </row>
    <row r="911">
      <c r="E911" s="1"/>
    </row>
    <row r="912">
      <c r="E912" s="1"/>
    </row>
    <row r="913">
      <c r="E913" s="1"/>
    </row>
    <row r="914">
      <c r="E914" s="1"/>
    </row>
    <row r="915">
      <c r="E915" s="1"/>
    </row>
    <row r="916">
      <c r="E916" s="1"/>
    </row>
    <row r="917">
      <c r="E917" s="1"/>
    </row>
    <row r="918">
      <c r="E918" s="1"/>
    </row>
    <row r="919">
      <c r="E919" s="1"/>
    </row>
    <row r="920">
      <c r="E920" s="1"/>
    </row>
    <row r="921">
      <c r="E921" s="1"/>
    </row>
    <row r="922">
      <c r="E922" s="1"/>
    </row>
    <row r="923">
      <c r="E923" s="1"/>
    </row>
    <row r="924">
      <c r="E924" s="1"/>
    </row>
    <row r="925">
      <c r="E925" s="1"/>
    </row>
    <row r="926">
      <c r="E926" s="1"/>
    </row>
    <row r="927">
      <c r="E927" s="1"/>
    </row>
    <row r="928">
      <c r="E928" s="1"/>
    </row>
    <row r="929">
      <c r="E929" s="1"/>
    </row>
    <row r="930">
      <c r="E930" s="1"/>
    </row>
    <row r="931">
      <c r="E931" s="1"/>
    </row>
  </sheetData>
  <hyperlinks>
    <hyperlink r:id="rId1" ref="C41"/>
  </hyperlinks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4" max="4" width="22.0"/>
    <col customWidth="1" min="5" max="5" width="15.0"/>
    <col customWidth="1" min="9" max="9" width="18.38"/>
    <col customWidth="1" min="11" max="11" width="18.5"/>
    <col customWidth="1" min="14" max="14" width="18.38"/>
    <col customWidth="1" min="15" max="15" width="15.88"/>
    <col customWidth="1" min="16" max="16" width="18.5"/>
    <col customWidth="1" min="17" max="17" width="17.0"/>
    <col customWidth="1" min="22" max="22" width="19.38"/>
  </cols>
  <sheetData>
    <row r="1">
      <c r="E1" s="1"/>
    </row>
    <row r="2">
      <c r="E2" s="1"/>
      <c r="K2" s="2" t="s">
        <v>0</v>
      </c>
      <c r="L2" s="3" t="s">
        <v>1</v>
      </c>
      <c r="M2" s="4" t="s">
        <v>2</v>
      </c>
      <c r="N2" s="4" t="s">
        <v>3</v>
      </c>
    </row>
    <row r="3">
      <c r="E3" s="1"/>
      <c r="K3" s="266" t="s">
        <v>4</v>
      </c>
      <c r="L3" s="6">
        <f>sum(E7:E37)</f>
        <v>38.39</v>
      </c>
      <c r="M3" s="3">
        <f>sum(F7:F36)</f>
        <v>313.52</v>
      </c>
      <c r="N3" s="7">
        <f>M3*Sumario!N4</f>
        <v>275.1514224</v>
      </c>
      <c r="O3" s="7">
        <f>Sumario!N4</f>
        <v>0.87762</v>
      </c>
    </row>
    <row r="4">
      <c r="B4" s="338" t="s">
        <v>75</v>
      </c>
      <c r="C4" s="10"/>
      <c r="D4" s="10"/>
      <c r="E4" s="11"/>
      <c r="F4" s="10"/>
      <c r="G4" s="10"/>
      <c r="H4" s="10"/>
      <c r="I4" s="10"/>
      <c r="J4" s="10"/>
      <c r="K4" s="10"/>
      <c r="L4" s="10"/>
    </row>
    <row r="5">
      <c r="B5" s="61" t="s">
        <v>8</v>
      </c>
      <c r="C5" s="61" t="s">
        <v>9</v>
      </c>
      <c r="D5" s="61" t="s">
        <v>11</v>
      </c>
      <c r="E5" s="62" t="s">
        <v>12</v>
      </c>
      <c r="F5" s="62" t="s">
        <v>13</v>
      </c>
      <c r="G5" s="12" t="s">
        <v>14</v>
      </c>
      <c r="H5" s="12"/>
      <c r="I5" s="13"/>
      <c r="J5" s="14"/>
      <c r="K5" s="15"/>
      <c r="L5" s="10"/>
    </row>
    <row r="6">
      <c r="B6" s="10"/>
      <c r="C6" s="10"/>
      <c r="D6" s="10"/>
      <c r="E6" s="10"/>
      <c r="F6" s="16"/>
      <c r="G6" s="10"/>
      <c r="H6" s="10"/>
      <c r="I6" s="10"/>
      <c r="J6" s="10"/>
      <c r="K6" s="10"/>
      <c r="L6" s="10"/>
    </row>
    <row r="7">
      <c r="B7" s="10"/>
      <c r="C7" s="15" t="s">
        <v>16</v>
      </c>
      <c r="D7" s="16"/>
      <c r="E7" s="339"/>
      <c r="F7" s="19"/>
      <c r="G7" s="11">
        <f t="shared" ref="G7:G36" si="1">E7+(F7*$O$3)</f>
        <v>0</v>
      </c>
      <c r="H7" s="10"/>
      <c r="I7" s="25">
        <f t="shared" ref="I7:I36" si="2">315+G7</f>
        <v>315</v>
      </c>
      <c r="J7" s="10"/>
      <c r="K7" s="10"/>
      <c r="L7" s="10"/>
    </row>
    <row r="8">
      <c r="B8" s="10"/>
      <c r="C8" s="15" t="s">
        <v>20</v>
      </c>
      <c r="D8" s="16"/>
      <c r="E8" s="340"/>
      <c r="F8" s="19"/>
      <c r="G8" s="11">
        <f t="shared" si="1"/>
        <v>0</v>
      </c>
      <c r="H8" s="10"/>
      <c r="I8" s="25">
        <f t="shared" si="2"/>
        <v>315</v>
      </c>
      <c r="J8" s="10"/>
      <c r="K8" s="10"/>
      <c r="L8" s="10"/>
    </row>
    <row r="9">
      <c r="B9" s="10"/>
      <c r="C9" s="15" t="s">
        <v>27</v>
      </c>
      <c r="D9" s="16"/>
      <c r="E9" s="340"/>
      <c r="F9" s="41"/>
      <c r="G9" s="11">
        <f t="shared" si="1"/>
        <v>0</v>
      </c>
      <c r="H9" s="10"/>
      <c r="I9" s="25">
        <f t="shared" si="2"/>
        <v>315</v>
      </c>
      <c r="J9" s="10"/>
      <c r="K9" s="10"/>
      <c r="L9" s="15">
        <v>6300.0</v>
      </c>
    </row>
    <row r="10">
      <c r="B10" s="10"/>
      <c r="C10" s="15" t="s">
        <v>29</v>
      </c>
      <c r="D10" s="16"/>
      <c r="E10" s="340"/>
      <c r="F10" s="41"/>
      <c r="G10" s="11">
        <f t="shared" si="1"/>
        <v>0</v>
      </c>
      <c r="H10" s="10"/>
      <c r="I10" s="25">
        <f t="shared" si="2"/>
        <v>315</v>
      </c>
      <c r="J10" s="10"/>
      <c r="K10" s="10"/>
      <c r="L10" s="38">
        <f>L9+Sumario!K14</f>
        <v>5112.975699</v>
      </c>
    </row>
    <row r="11">
      <c r="B11" s="10"/>
      <c r="C11" s="15" t="s">
        <v>30</v>
      </c>
      <c r="D11" s="16"/>
      <c r="E11" s="340"/>
      <c r="F11" s="19">
        <f>29.92+10+12.96+26.22</f>
        <v>79.1</v>
      </c>
      <c r="G11" s="11">
        <f t="shared" si="1"/>
        <v>69.419742</v>
      </c>
      <c r="H11" s="10"/>
      <c r="I11" s="25">
        <f t="shared" si="2"/>
        <v>384.419742</v>
      </c>
      <c r="J11" s="10"/>
      <c r="K11" s="10"/>
      <c r="L11" s="10"/>
    </row>
    <row r="12">
      <c r="B12" s="15"/>
      <c r="C12" s="15" t="s">
        <v>31</v>
      </c>
      <c r="D12" s="20"/>
      <c r="E12" s="340">
        <f>3.49+0.52</f>
        <v>4.01</v>
      </c>
      <c r="F12" s="41">
        <f>18.5+28.25</f>
        <v>46.75</v>
      </c>
      <c r="G12" s="11">
        <f t="shared" si="1"/>
        <v>45.038735</v>
      </c>
      <c r="H12" s="15"/>
      <c r="I12" s="25">
        <f t="shared" si="2"/>
        <v>360.038735</v>
      </c>
      <c r="J12" s="15"/>
      <c r="K12" s="15"/>
      <c r="L12" s="10"/>
    </row>
    <row r="13">
      <c r="B13" s="15"/>
      <c r="C13" s="15" t="s">
        <v>32</v>
      </c>
      <c r="D13" s="20"/>
      <c r="E13" s="340">
        <f>2.86</f>
        <v>2.86</v>
      </c>
      <c r="F13" s="41">
        <f>8.32</f>
        <v>8.32</v>
      </c>
      <c r="G13" s="11">
        <f t="shared" si="1"/>
        <v>10.1617984</v>
      </c>
      <c r="H13" s="15"/>
      <c r="I13" s="25">
        <f t="shared" si="2"/>
        <v>325.1617984</v>
      </c>
      <c r="J13" s="15"/>
      <c r="K13" s="15"/>
      <c r="L13" s="10"/>
    </row>
    <row r="14">
      <c r="B14" s="15"/>
      <c r="C14" s="15" t="s">
        <v>33</v>
      </c>
      <c r="D14" s="20"/>
      <c r="E14" s="340"/>
      <c r="F14" s="41"/>
      <c r="G14" s="11">
        <f t="shared" si="1"/>
        <v>0</v>
      </c>
      <c r="H14" s="15"/>
      <c r="I14" s="25">
        <f t="shared" si="2"/>
        <v>315</v>
      </c>
      <c r="J14" s="15"/>
      <c r="K14" s="15"/>
      <c r="L14" s="10"/>
    </row>
    <row r="15">
      <c r="B15" s="15"/>
      <c r="C15" s="15" t="s">
        <v>34</v>
      </c>
      <c r="D15" s="20"/>
      <c r="E15" s="340"/>
      <c r="F15" s="19"/>
      <c r="G15" s="11">
        <f t="shared" si="1"/>
        <v>0</v>
      </c>
      <c r="H15" s="15"/>
      <c r="I15" s="25">
        <f t="shared" si="2"/>
        <v>315</v>
      </c>
      <c r="J15" s="15"/>
      <c r="K15" s="15"/>
      <c r="L15" s="10"/>
    </row>
    <row r="16">
      <c r="B16" s="15"/>
      <c r="C16" s="15" t="s">
        <v>36</v>
      </c>
      <c r="D16" s="20"/>
      <c r="E16" s="340"/>
      <c r="F16" s="41"/>
      <c r="G16" s="11">
        <f t="shared" si="1"/>
        <v>0</v>
      </c>
      <c r="H16" s="15"/>
      <c r="I16" s="25">
        <f t="shared" si="2"/>
        <v>315</v>
      </c>
      <c r="J16" s="15"/>
      <c r="K16" s="15"/>
      <c r="L16" s="10"/>
    </row>
    <row r="17">
      <c r="B17" s="15"/>
      <c r="C17" s="15" t="s">
        <v>37</v>
      </c>
      <c r="D17" s="20"/>
      <c r="E17" s="340">
        <f>30.4</f>
        <v>30.4</v>
      </c>
      <c r="F17" s="19">
        <f>20.83+86.43+37.99</f>
        <v>145.25</v>
      </c>
      <c r="G17" s="11">
        <f t="shared" si="1"/>
        <v>157.874305</v>
      </c>
      <c r="H17" s="15"/>
      <c r="I17" s="25">
        <f t="shared" si="2"/>
        <v>472.874305</v>
      </c>
      <c r="J17" s="15"/>
      <c r="K17" s="15"/>
      <c r="L17" s="10"/>
    </row>
    <row r="18">
      <c r="B18" s="15"/>
      <c r="C18" s="15" t="s">
        <v>38</v>
      </c>
      <c r="D18" s="20"/>
      <c r="E18" s="340">
        <f>0.12</f>
        <v>0.12</v>
      </c>
      <c r="F18" s="41"/>
      <c r="G18" s="11">
        <f t="shared" si="1"/>
        <v>0.12</v>
      </c>
      <c r="H18" s="15"/>
      <c r="I18" s="25">
        <f t="shared" si="2"/>
        <v>315.12</v>
      </c>
      <c r="J18" s="15"/>
      <c r="K18" s="15"/>
      <c r="L18" s="10"/>
    </row>
    <row r="19">
      <c r="B19" s="15"/>
      <c r="C19" s="15" t="s">
        <v>39</v>
      </c>
      <c r="D19" s="20"/>
      <c r="E19" s="340"/>
      <c r="F19" s="19"/>
      <c r="G19" s="11">
        <f t="shared" si="1"/>
        <v>0</v>
      </c>
      <c r="H19" s="15"/>
      <c r="I19" s="25">
        <f t="shared" si="2"/>
        <v>315</v>
      </c>
      <c r="J19" s="15"/>
      <c r="K19" s="15"/>
      <c r="L19" s="10"/>
    </row>
    <row r="20">
      <c r="B20" s="15"/>
      <c r="C20" s="15" t="s">
        <v>40</v>
      </c>
      <c r="D20" s="20"/>
      <c r="E20" s="340"/>
      <c r="F20" s="41"/>
      <c r="G20" s="11">
        <f t="shared" si="1"/>
        <v>0</v>
      </c>
      <c r="H20" s="15"/>
      <c r="I20" s="25">
        <f t="shared" si="2"/>
        <v>315</v>
      </c>
      <c r="J20" s="15"/>
      <c r="K20" s="15"/>
      <c r="L20" s="10"/>
    </row>
    <row r="21">
      <c r="B21" s="15"/>
      <c r="C21" s="15" t="s">
        <v>41</v>
      </c>
      <c r="D21" s="20"/>
      <c r="E21" s="340"/>
      <c r="F21" s="19"/>
      <c r="G21" s="11">
        <f t="shared" si="1"/>
        <v>0</v>
      </c>
      <c r="H21" s="15"/>
      <c r="I21" s="25">
        <f t="shared" si="2"/>
        <v>315</v>
      </c>
      <c r="J21" s="15"/>
      <c r="K21" s="15"/>
      <c r="L21" s="10"/>
    </row>
    <row r="22">
      <c r="B22" s="15"/>
      <c r="C22" s="15" t="s">
        <v>42</v>
      </c>
      <c r="D22" s="20"/>
      <c r="E22" s="340"/>
      <c r="F22" s="41"/>
      <c r="G22" s="11">
        <f t="shared" si="1"/>
        <v>0</v>
      </c>
      <c r="H22" s="15"/>
      <c r="I22" s="25">
        <f t="shared" si="2"/>
        <v>315</v>
      </c>
      <c r="J22" s="15"/>
      <c r="K22" s="15"/>
      <c r="L22" s="10"/>
    </row>
    <row r="23">
      <c r="C23" s="15" t="s">
        <v>44</v>
      </c>
      <c r="E23" s="339"/>
      <c r="F23" s="341"/>
      <c r="G23" s="11">
        <f t="shared" si="1"/>
        <v>0</v>
      </c>
      <c r="I23" s="25">
        <f t="shared" si="2"/>
        <v>315</v>
      </c>
      <c r="J23" s="45"/>
      <c r="K23" s="45"/>
      <c r="L23" s="45"/>
      <c r="M23" s="45"/>
      <c r="N23" s="45"/>
      <c r="O23" s="45"/>
      <c r="P23" s="45"/>
      <c r="Q23" s="45"/>
    </row>
    <row r="24">
      <c r="C24" s="15" t="s">
        <v>45</v>
      </c>
      <c r="E24" s="340"/>
      <c r="F24" s="341"/>
      <c r="G24" s="11">
        <f t="shared" si="1"/>
        <v>0</v>
      </c>
      <c r="I24" s="25">
        <f t="shared" si="2"/>
        <v>315</v>
      </c>
      <c r="J24" s="45"/>
      <c r="K24" s="45"/>
      <c r="L24" s="45"/>
      <c r="M24" s="45"/>
      <c r="N24" s="45"/>
      <c r="O24" s="45"/>
      <c r="P24" s="45"/>
      <c r="Q24" s="45"/>
    </row>
    <row r="25">
      <c r="C25" s="15" t="s">
        <v>46</v>
      </c>
      <c r="E25" s="340">
        <f>1</f>
        <v>1</v>
      </c>
      <c r="F25" s="341"/>
      <c r="G25" s="11">
        <f t="shared" si="1"/>
        <v>1</v>
      </c>
      <c r="I25" s="25">
        <f t="shared" si="2"/>
        <v>316</v>
      </c>
      <c r="J25" s="45"/>
      <c r="K25" s="45"/>
      <c r="L25" s="45"/>
      <c r="M25" s="45"/>
      <c r="N25" s="45"/>
      <c r="O25" s="45"/>
      <c r="P25" s="45"/>
      <c r="Q25" s="45"/>
    </row>
    <row r="26">
      <c r="C26" s="15" t="s">
        <v>47</v>
      </c>
      <c r="E26" s="340"/>
      <c r="F26" s="341"/>
      <c r="G26" s="11">
        <f t="shared" si="1"/>
        <v>0</v>
      </c>
      <c r="I26" s="25">
        <f t="shared" si="2"/>
        <v>315</v>
      </c>
      <c r="J26" s="45"/>
      <c r="K26" s="45"/>
      <c r="L26" s="45"/>
      <c r="M26" s="45"/>
      <c r="N26" s="45"/>
      <c r="O26" s="45"/>
      <c r="P26" s="45"/>
      <c r="Q26" s="45"/>
    </row>
    <row r="27">
      <c r="C27" s="15" t="s">
        <v>48</v>
      </c>
      <c r="E27" s="340"/>
      <c r="F27" s="341"/>
      <c r="G27" s="11">
        <f t="shared" si="1"/>
        <v>0</v>
      </c>
      <c r="I27" s="25">
        <f t="shared" si="2"/>
        <v>315</v>
      </c>
      <c r="J27" s="45"/>
      <c r="K27" s="45"/>
      <c r="L27" s="45"/>
      <c r="M27" s="45"/>
      <c r="N27" s="45"/>
      <c r="O27" s="45"/>
      <c r="P27" s="45"/>
      <c r="Q27" s="45"/>
    </row>
    <row r="28">
      <c r="C28" s="15" t="s">
        <v>49</v>
      </c>
      <c r="E28" s="340"/>
      <c r="F28" s="341"/>
      <c r="G28" s="11">
        <f t="shared" si="1"/>
        <v>0</v>
      </c>
      <c r="I28" s="25">
        <f t="shared" si="2"/>
        <v>315</v>
      </c>
      <c r="J28" s="45"/>
      <c r="K28" s="45"/>
      <c r="L28" s="45"/>
      <c r="M28" s="45"/>
      <c r="N28" s="45"/>
      <c r="O28" s="45"/>
      <c r="P28" s="45"/>
      <c r="Q28" s="45"/>
    </row>
    <row r="29">
      <c r="C29" s="15" t="s">
        <v>51</v>
      </c>
      <c r="E29" s="340"/>
      <c r="F29" s="341"/>
      <c r="G29" s="11">
        <f t="shared" si="1"/>
        <v>0</v>
      </c>
      <c r="I29" s="25">
        <f t="shared" si="2"/>
        <v>315</v>
      </c>
      <c r="J29" s="45"/>
      <c r="K29" s="45"/>
      <c r="L29" s="45"/>
      <c r="M29" s="45"/>
      <c r="N29" s="45"/>
      <c r="O29" s="45"/>
      <c r="P29" s="45"/>
      <c r="Q29" s="45"/>
    </row>
    <row r="30">
      <c r="C30" s="15" t="s">
        <v>52</v>
      </c>
      <c r="E30" s="340"/>
      <c r="F30" s="341"/>
      <c r="G30" s="11">
        <f t="shared" si="1"/>
        <v>0</v>
      </c>
      <c r="I30" s="25">
        <f t="shared" si="2"/>
        <v>315</v>
      </c>
      <c r="J30" s="45"/>
      <c r="K30" s="45"/>
      <c r="L30" s="45"/>
      <c r="M30" s="45"/>
      <c r="N30" s="45"/>
      <c r="O30" s="45"/>
      <c r="P30" s="45"/>
      <c r="Q30" s="45"/>
    </row>
    <row r="31">
      <c r="C31" s="15" t="s">
        <v>53</v>
      </c>
      <c r="E31" s="340"/>
      <c r="F31" s="341"/>
      <c r="G31" s="11">
        <f t="shared" si="1"/>
        <v>0</v>
      </c>
      <c r="I31" s="25">
        <f t="shared" si="2"/>
        <v>315</v>
      </c>
      <c r="J31" s="45"/>
      <c r="K31" s="45"/>
      <c r="L31" s="45"/>
      <c r="M31" s="45"/>
      <c r="N31" s="45"/>
      <c r="O31" s="45"/>
      <c r="P31" s="45"/>
      <c r="Q31" s="45"/>
    </row>
    <row r="32">
      <c r="C32" s="15" t="s">
        <v>54</v>
      </c>
      <c r="E32" s="340"/>
      <c r="F32" s="341"/>
      <c r="G32" s="11">
        <f t="shared" si="1"/>
        <v>0</v>
      </c>
      <c r="I32" s="25">
        <f t="shared" si="2"/>
        <v>315</v>
      </c>
      <c r="J32" s="45"/>
      <c r="K32" s="45"/>
      <c r="L32" s="45"/>
      <c r="M32" s="45"/>
      <c r="N32" s="45"/>
      <c r="O32" s="45"/>
      <c r="P32" s="45"/>
      <c r="Q32" s="45"/>
    </row>
    <row r="33">
      <c r="C33" s="15" t="s">
        <v>55</v>
      </c>
      <c r="E33" s="340"/>
      <c r="F33" s="341">
        <f>8.1</f>
        <v>8.1</v>
      </c>
      <c r="G33" s="11">
        <f t="shared" si="1"/>
        <v>7.108722</v>
      </c>
      <c r="I33" s="25">
        <f t="shared" si="2"/>
        <v>322.108722</v>
      </c>
    </row>
    <row r="34">
      <c r="C34" s="15" t="s">
        <v>56</v>
      </c>
      <c r="E34" s="340"/>
      <c r="F34" s="341">
        <f>12.8</f>
        <v>12.8</v>
      </c>
      <c r="G34" s="11">
        <f t="shared" si="1"/>
        <v>11.233536</v>
      </c>
      <c r="I34" s="25">
        <f t="shared" si="2"/>
        <v>326.233536</v>
      </c>
    </row>
    <row r="35">
      <c r="C35" s="15" t="s">
        <v>57</v>
      </c>
      <c r="E35" s="340"/>
      <c r="F35" s="341">
        <f>1.8+1.4+10</f>
        <v>13.2</v>
      </c>
      <c r="G35" s="11">
        <f t="shared" si="1"/>
        <v>11.584584</v>
      </c>
      <c r="I35" s="25">
        <f t="shared" si="2"/>
        <v>326.584584</v>
      </c>
    </row>
    <row r="36">
      <c r="C36" s="15" t="s">
        <v>58</v>
      </c>
      <c r="E36" s="340"/>
      <c r="F36" s="341"/>
      <c r="G36" s="11">
        <f t="shared" si="1"/>
        <v>0</v>
      </c>
      <c r="I36" s="25">
        <f t="shared" si="2"/>
        <v>315</v>
      </c>
    </row>
    <row r="37">
      <c r="E37" s="1"/>
    </row>
    <row r="38">
      <c r="E38" s="1"/>
    </row>
    <row r="39">
      <c r="E39" s="1"/>
    </row>
    <row r="40">
      <c r="E40" s="1"/>
    </row>
    <row r="41">
      <c r="B41" s="48"/>
      <c r="C41" s="49"/>
      <c r="E41" s="1"/>
    </row>
    <row r="42">
      <c r="E42" s="1"/>
    </row>
    <row r="43">
      <c r="E43" s="1"/>
    </row>
    <row r="44">
      <c r="E44" s="1"/>
    </row>
    <row r="45">
      <c r="E45" s="1"/>
    </row>
    <row r="46">
      <c r="E46" s="1"/>
    </row>
    <row r="47">
      <c r="E47" s="1"/>
    </row>
    <row r="48">
      <c r="E48" s="1"/>
    </row>
    <row r="49">
      <c r="E49" s="1"/>
    </row>
    <row r="50">
      <c r="E50" s="1"/>
    </row>
    <row r="51">
      <c r="E51" s="1"/>
    </row>
    <row r="52">
      <c r="E52" s="1"/>
    </row>
    <row r="53">
      <c r="E53" s="1"/>
    </row>
    <row r="54">
      <c r="E54" s="1"/>
    </row>
    <row r="55">
      <c r="E55" s="1"/>
    </row>
    <row r="56">
      <c r="E56" s="1"/>
    </row>
    <row r="57">
      <c r="E57" s="1"/>
    </row>
    <row r="58">
      <c r="E58" s="1"/>
    </row>
    <row r="59">
      <c r="E59" s="1"/>
    </row>
    <row r="60">
      <c r="E60" s="1"/>
    </row>
    <row r="61">
      <c r="E61" s="1"/>
    </row>
    <row r="62">
      <c r="E62" s="1"/>
    </row>
    <row r="63">
      <c r="E63" s="1"/>
    </row>
    <row r="64">
      <c r="E64" s="1"/>
    </row>
    <row r="65">
      <c r="E65" s="1"/>
    </row>
    <row r="66">
      <c r="E66" s="1"/>
    </row>
    <row r="67">
      <c r="E67" s="1"/>
    </row>
    <row r="68">
      <c r="E68" s="1"/>
    </row>
    <row r="69">
      <c r="E69" s="1"/>
    </row>
    <row r="70">
      <c r="E70" s="1"/>
    </row>
    <row r="71">
      <c r="E71" s="1"/>
    </row>
    <row r="72">
      <c r="E72" s="1"/>
    </row>
    <row r="73">
      <c r="E73" s="1"/>
    </row>
    <row r="74">
      <c r="E74" s="1"/>
    </row>
    <row r="75">
      <c r="E75" s="1"/>
    </row>
    <row r="76">
      <c r="E76" s="1"/>
    </row>
    <row r="77">
      <c r="E77" s="1"/>
    </row>
    <row r="78">
      <c r="E78" s="1"/>
    </row>
    <row r="79">
      <c r="E79" s="1"/>
    </row>
    <row r="80">
      <c r="E80" s="1"/>
    </row>
    <row r="81">
      <c r="E81" s="1"/>
    </row>
    <row r="82">
      <c r="E82" s="1"/>
    </row>
    <row r="83">
      <c r="E83" s="1"/>
    </row>
    <row r="84">
      <c r="E84" s="1"/>
    </row>
    <row r="85">
      <c r="E85" s="1"/>
    </row>
    <row r="86">
      <c r="E86" s="1"/>
    </row>
    <row r="87">
      <c r="E87" s="1"/>
    </row>
    <row r="88">
      <c r="E88" s="1"/>
    </row>
    <row r="89">
      <c r="E89" s="1"/>
    </row>
    <row r="90">
      <c r="E90" s="1"/>
    </row>
    <row r="91">
      <c r="E91" s="1"/>
    </row>
    <row r="92">
      <c r="E92" s="1"/>
    </row>
    <row r="93">
      <c r="E93" s="1"/>
    </row>
    <row r="94">
      <c r="E94" s="1"/>
    </row>
    <row r="95">
      <c r="E95" s="1"/>
    </row>
    <row r="96">
      <c r="E96" s="1"/>
    </row>
    <row r="97">
      <c r="E97" s="1"/>
    </row>
    <row r="98">
      <c r="E98" s="1"/>
    </row>
    <row r="99">
      <c r="E99" s="1"/>
    </row>
    <row r="100">
      <c r="E100" s="1"/>
    </row>
    <row r="101">
      <c r="E101" s="1"/>
    </row>
    <row r="102">
      <c r="E102" s="1"/>
    </row>
    <row r="103">
      <c r="E103" s="1"/>
    </row>
    <row r="104">
      <c r="E104" s="1"/>
    </row>
    <row r="105">
      <c r="E105" s="1"/>
    </row>
    <row r="106">
      <c r="E106" s="1"/>
    </row>
    <row r="107">
      <c r="E107" s="1"/>
    </row>
    <row r="108">
      <c r="E108" s="1"/>
    </row>
    <row r="109">
      <c r="E109" s="1"/>
    </row>
    <row r="110">
      <c r="E110" s="1"/>
    </row>
    <row r="111">
      <c r="E111" s="1"/>
    </row>
    <row r="112">
      <c r="E112" s="1"/>
    </row>
    <row r="113">
      <c r="E113" s="1"/>
    </row>
    <row r="114">
      <c r="E114" s="1"/>
    </row>
    <row r="115">
      <c r="E115" s="1"/>
    </row>
    <row r="116">
      <c r="E116" s="1"/>
    </row>
    <row r="117">
      <c r="E117" s="1"/>
    </row>
    <row r="118">
      <c r="E118" s="1"/>
    </row>
    <row r="119">
      <c r="E119" s="1"/>
    </row>
    <row r="120">
      <c r="E120" s="1"/>
    </row>
    <row r="121">
      <c r="E121" s="1"/>
    </row>
    <row r="122">
      <c r="E122" s="1"/>
    </row>
    <row r="123">
      <c r="E123" s="1"/>
    </row>
    <row r="124">
      <c r="E124" s="1"/>
    </row>
    <row r="125">
      <c r="E125" s="1"/>
    </row>
    <row r="126">
      <c r="E126" s="1"/>
    </row>
    <row r="127">
      <c r="E127" s="1"/>
    </row>
    <row r="128">
      <c r="E128" s="1"/>
    </row>
    <row r="129">
      <c r="E129" s="1"/>
    </row>
    <row r="130">
      <c r="E130" s="1"/>
    </row>
    <row r="131">
      <c r="E131" s="1"/>
    </row>
    <row r="132">
      <c r="E132" s="1"/>
    </row>
    <row r="133">
      <c r="E133" s="1"/>
    </row>
    <row r="134">
      <c r="E134" s="1"/>
    </row>
    <row r="135">
      <c r="E135" s="1"/>
    </row>
    <row r="136">
      <c r="E136" s="1"/>
    </row>
    <row r="137">
      <c r="E137" s="1"/>
    </row>
    <row r="138">
      <c r="E138" s="1"/>
    </row>
    <row r="139">
      <c r="E139" s="1"/>
    </row>
    <row r="140">
      <c r="E140" s="1"/>
    </row>
    <row r="141">
      <c r="E141" s="1"/>
    </row>
    <row r="142">
      <c r="E142" s="1"/>
    </row>
    <row r="143">
      <c r="E143" s="1"/>
    </row>
    <row r="144">
      <c r="E144" s="1"/>
    </row>
    <row r="145">
      <c r="E145" s="1"/>
    </row>
    <row r="146">
      <c r="E146" s="1"/>
    </row>
    <row r="147">
      <c r="E147" s="1"/>
    </row>
    <row r="148">
      <c r="E148" s="1"/>
    </row>
    <row r="149">
      <c r="E149" s="1"/>
    </row>
    <row r="150">
      <c r="E150" s="1"/>
    </row>
    <row r="151">
      <c r="E151" s="1"/>
    </row>
    <row r="152">
      <c r="E152" s="1"/>
    </row>
    <row r="153">
      <c r="E153" s="1"/>
    </row>
    <row r="154">
      <c r="E154" s="1"/>
    </row>
    <row r="155">
      <c r="E155" s="1"/>
    </row>
    <row r="156">
      <c r="E156" s="1"/>
    </row>
    <row r="157">
      <c r="E157" s="1"/>
    </row>
    <row r="158">
      <c r="E158" s="1"/>
    </row>
    <row r="159">
      <c r="E159" s="1"/>
    </row>
    <row r="160">
      <c r="E160" s="1"/>
    </row>
    <row r="161">
      <c r="E161" s="1"/>
    </row>
    <row r="162">
      <c r="E162" s="1"/>
    </row>
    <row r="163">
      <c r="E163" s="1"/>
    </row>
    <row r="164">
      <c r="E164" s="1"/>
    </row>
    <row r="165">
      <c r="E165" s="1"/>
    </row>
    <row r="166">
      <c r="E166" s="1"/>
    </row>
    <row r="167">
      <c r="E167" s="1"/>
    </row>
    <row r="168">
      <c r="E168" s="1"/>
    </row>
    <row r="169">
      <c r="E169" s="1"/>
    </row>
    <row r="170">
      <c r="E170" s="1"/>
    </row>
    <row r="171">
      <c r="E171" s="1"/>
    </row>
    <row r="172">
      <c r="E172" s="1"/>
    </row>
    <row r="173">
      <c r="E173" s="1"/>
    </row>
    <row r="174">
      <c r="E174" s="1"/>
    </row>
    <row r="175">
      <c r="E175" s="1"/>
    </row>
    <row r="176">
      <c r="E176" s="1"/>
    </row>
    <row r="177">
      <c r="E177" s="1"/>
    </row>
    <row r="178">
      <c r="E178" s="1"/>
    </row>
    <row r="179">
      <c r="E179" s="1"/>
    </row>
    <row r="180">
      <c r="E180" s="1"/>
    </row>
    <row r="181">
      <c r="E181" s="1"/>
    </row>
    <row r="182">
      <c r="E182" s="1"/>
    </row>
    <row r="183">
      <c r="E183" s="1"/>
    </row>
    <row r="184">
      <c r="E184" s="1"/>
    </row>
    <row r="185">
      <c r="E185" s="1"/>
    </row>
    <row r="186">
      <c r="E186" s="1"/>
    </row>
    <row r="187">
      <c r="E187" s="1"/>
    </row>
    <row r="188">
      <c r="E188" s="1"/>
    </row>
    <row r="189">
      <c r="E189" s="1"/>
    </row>
    <row r="190">
      <c r="E190" s="1"/>
    </row>
    <row r="191">
      <c r="E191" s="1"/>
    </row>
    <row r="192">
      <c r="E192" s="1"/>
    </row>
    <row r="193">
      <c r="E193" s="1"/>
    </row>
    <row r="194">
      <c r="E194" s="1"/>
    </row>
    <row r="195">
      <c r="E195" s="1"/>
    </row>
    <row r="196">
      <c r="E196" s="1"/>
    </row>
    <row r="197">
      <c r="E197" s="1"/>
    </row>
    <row r="198">
      <c r="E198" s="1"/>
    </row>
    <row r="199">
      <c r="E199" s="1"/>
    </row>
    <row r="200">
      <c r="E200" s="1"/>
    </row>
    <row r="201">
      <c r="E201" s="1"/>
    </row>
    <row r="202">
      <c r="E202" s="1"/>
    </row>
    <row r="203">
      <c r="E203" s="1"/>
    </row>
    <row r="204">
      <c r="E204" s="1"/>
    </row>
    <row r="205">
      <c r="E205" s="1"/>
    </row>
    <row r="206">
      <c r="E206" s="1"/>
    </row>
    <row r="207">
      <c r="E207" s="1"/>
    </row>
    <row r="208">
      <c r="E208" s="1"/>
    </row>
    <row r="209">
      <c r="E209" s="1"/>
    </row>
    <row r="210">
      <c r="E210" s="1"/>
    </row>
    <row r="211">
      <c r="E211" s="1"/>
    </row>
    <row r="212">
      <c r="E212" s="1"/>
    </row>
    <row r="213">
      <c r="E213" s="1"/>
    </row>
    <row r="214">
      <c r="E214" s="1"/>
    </row>
    <row r="215">
      <c r="E215" s="1"/>
    </row>
    <row r="216">
      <c r="E216" s="1"/>
    </row>
    <row r="217">
      <c r="E217" s="1"/>
    </row>
    <row r="218">
      <c r="E218" s="1"/>
    </row>
    <row r="219">
      <c r="E219" s="1"/>
    </row>
    <row r="220">
      <c r="E220" s="1"/>
    </row>
    <row r="221">
      <c r="E221" s="1"/>
    </row>
    <row r="222">
      <c r="E222" s="1"/>
    </row>
    <row r="223">
      <c r="E223" s="1"/>
    </row>
    <row r="224">
      <c r="E224" s="1"/>
    </row>
    <row r="225">
      <c r="E225" s="1"/>
    </row>
    <row r="226">
      <c r="E226" s="1"/>
    </row>
    <row r="227">
      <c r="E227" s="1"/>
    </row>
    <row r="228">
      <c r="E228" s="1"/>
    </row>
    <row r="229">
      <c r="E229" s="1"/>
    </row>
    <row r="230">
      <c r="E230" s="1"/>
    </row>
    <row r="231">
      <c r="E231" s="1"/>
    </row>
    <row r="232">
      <c r="E232" s="1"/>
    </row>
    <row r="233">
      <c r="E233" s="1"/>
    </row>
    <row r="234">
      <c r="E234" s="1"/>
    </row>
    <row r="235">
      <c r="E235" s="1"/>
    </row>
    <row r="236">
      <c r="E236" s="1"/>
    </row>
    <row r="237">
      <c r="E237" s="1"/>
    </row>
    <row r="238">
      <c r="E238" s="1"/>
    </row>
    <row r="239">
      <c r="E239" s="1"/>
    </row>
    <row r="240">
      <c r="E240" s="1"/>
    </row>
    <row r="241">
      <c r="E241" s="1"/>
    </row>
    <row r="242">
      <c r="E242" s="1"/>
    </row>
    <row r="243">
      <c r="E243" s="1"/>
    </row>
    <row r="244">
      <c r="E244" s="1"/>
    </row>
    <row r="245">
      <c r="E245" s="1"/>
    </row>
    <row r="246">
      <c r="E246" s="1"/>
    </row>
    <row r="247">
      <c r="E247" s="1"/>
    </row>
    <row r="248">
      <c r="E248" s="1"/>
    </row>
    <row r="249">
      <c r="E249" s="1"/>
    </row>
    <row r="250">
      <c r="E250" s="1"/>
    </row>
    <row r="251">
      <c r="E251" s="1"/>
    </row>
    <row r="252">
      <c r="E252" s="1"/>
    </row>
    <row r="253">
      <c r="E253" s="1"/>
    </row>
    <row r="254">
      <c r="E254" s="1"/>
    </row>
    <row r="255">
      <c r="E255" s="1"/>
    </row>
    <row r="256">
      <c r="E256" s="1"/>
    </row>
    <row r="257">
      <c r="E257" s="1"/>
    </row>
    <row r="258">
      <c r="E258" s="1"/>
    </row>
    <row r="259">
      <c r="E259" s="1"/>
    </row>
    <row r="260">
      <c r="E260" s="1"/>
    </row>
    <row r="261">
      <c r="E261" s="1"/>
    </row>
    <row r="262">
      <c r="E262" s="1"/>
    </row>
    <row r="263">
      <c r="E263" s="1"/>
    </row>
    <row r="264">
      <c r="E264" s="1"/>
    </row>
    <row r="265">
      <c r="E265" s="1"/>
    </row>
    <row r="266">
      <c r="E266" s="1"/>
    </row>
    <row r="267">
      <c r="E267" s="1"/>
    </row>
    <row r="268">
      <c r="E268" s="1"/>
    </row>
    <row r="269">
      <c r="E269" s="1"/>
    </row>
    <row r="270">
      <c r="E270" s="1"/>
    </row>
    <row r="271">
      <c r="E271" s="1"/>
    </row>
    <row r="272">
      <c r="E272" s="1"/>
    </row>
    <row r="273">
      <c r="E273" s="1"/>
    </row>
    <row r="274">
      <c r="E274" s="1"/>
    </row>
    <row r="275">
      <c r="E275" s="1"/>
    </row>
    <row r="276">
      <c r="E276" s="1"/>
    </row>
    <row r="277">
      <c r="E277" s="1"/>
    </row>
    <row r="278">
      <c r="E278" s="1"/>
    </row>
    <row r="279">
      <c r="E279" s="1"/>
    </row>
    <row r="280">
      <c r="E280" s="1"/>
    </row>
    <row r="281">
      <c r="E281" s="1"/>
    </row>
    <row r="282">
      <c r="E282" s="1"/>
    </row>
    <row r="283">
      <c r="E283" s="1"/>
    </row>
    <row r="284">
      <c r="E284" s="1"/>
    </row>
    <row r="285">
      <c r="E285" s="1"/>
    </row>
    <row r="286">
      <c r="E286" s="1"/>
    </row>
    <row r="287">
      <c r="E287" s="1"/>
    </row>
    <row r="288">
      <c r="E288" s="1"/>
    </row>
    <row r="289">
      <c r="E289" s="1"/>
    </row>
    <row r="290">
      <c r="E290" s="1"/>
    </row>
    <row r="291">
      <c r="E291" s="1"/>
    </row>
    <row r="292">
      <c r="E292" s="1"/>
    </row>
    <row r="293">
      <c r="E293" s="1"/>
    </row>
    <row r="294">
      <c r="E294" s="1"/>
    </row>
    <row r="295">
      <c r="E295" s="1"/>
    </row>
    <row r="296">
      <c r="E296" s="1"/>
    </row>
    <row r="297">
      <c r="E297" s="1"/>
    </row>
    <row r="298">
      <c r="E298" s="1"/>
    </row>
    <row r="299">
      <c r="E299" s="1"/>
    </row>
    <row r="300">
      <c r="E300" s="1"/>
    </row>
    <row r="301">
      <c r="E301" s="1"/>
    </row>
    <row r="302">
      <c r="E302" s="1"/>
    </row>
    <row r="303">
      <c r="E303" s="1"/>
    </row>
    <row r="304">
      <c r="E304" s="1"/>
    </row>
    <row r="305">
      <c r="E305" s="1"/>
    </row>
    <row r="306">
      <c r="E306" s="1"/>
    </row>
    <row r="307">
      <c r="E307" s="1"/>
    </row>
    <row r="308">
      <c r="E308" s="1"/>
    </row>
    <row r="309">
      <c r="E309" s="1"/>
    </row>
    <row r="310">
      <c r="E310" s="1"/>
    </row>
    <row r="311">
      <c r="E311" s="1"/>
    </row>
    <row r="312">
      <c r="E312" s="1"/>
    </row>
    <row r="313">
      <c r="E313" s="1"/>
    </row>
    <row r="314">
      <c r="E314" s="1"/>
    </row>
    <row r="315">
      <c r="E315" s="1"/>
    </row>
    <row r="316">
      <c r="E316" s="1"/>
    </row>
    <row r="317">
      <c r="E317" s="1"/>
    </row>
    <row r="318">
      <c r="E318" s="1"/>
    </row>
    <row r="319">
      <c r="E319" s="1"/>
    </row>
    <row r="320">
      <c r="E320" s="1"/>
    </row>
    <row r="321">
      <c r="E321" s="1"/>
    </row>
    <row r="322">
      <c r="E322" s="1"/>
    </row>
    <row r="323">
      <c r="E323" s="1"/>
    </row>
    <row r="324">
      <c r="E324" s="1"/>
    </row>
    <row r="325">
      <c r="E325" s="1"/>
    </row>
    <row r="326">
      <c r="E326" s="1"/>
    </row>
    <row r="327">
      <c r="E327" s="1"/>
    </row>
    <row r="328">
      <c r="E328" s="1"/>
    </row>
    <row r="329">
      <c r="E329" s="1"/>
    </row>
    <row r="330">
      <c r="E330" s="1"/>
    </row>
    <row r="331">
      <c r="E331" s="1"/>
    </row>
    <row r="332">
      <c r="E332" s="1"/>
    </row>
    <row r="333">
      <c r="E333" s="1"/>
    </row>
    <row r="334">
      <c r="E334" s="1"/>
    </row>
    <row r="335">
      <c r="E335" s="1"/>
    </row>
    <row r="336">
      <c r="E336" s="1"/>
    </row>
    <row r="337">
      <c r="E337" s="1"/>
    </row>
    <row r="338">
      <c r="E338" s="1"/>
    </row>
    <row r="339">
      <c r="E339" s="1"/>
    </row>
    <row r="340">
      <c r="E340" s="1"/>
    </row>
    <row r="341">
      <c r="E341" s="1"/>
    </row>
    <row r="342">
      <c r="E342" s="1"/>
    </row>
    <row r="343">
      <c r="E343" s="1"/>
    </row>
    <row r="344">
      <c r="E344" s="1"/>
    </row>
    <row r="345">
      <c r="E345" s="1"/>
    </row>
    <row r="346">
      <c r="E346" s="1"/>
    </row>
    <row r="347">
      <c r="E347" s="1"/>
    </row>
    <row r="348">
      <c r="E348" s="1"/>
    </row>
    <row r="349">
      <c r="E349" s="1"/>
    </row>
    <row r="350">
      <c r="E350" s="1"/>
    </row>
    <row r="351">
      <c r="E351" s="1"/>
    </row>
    <row r="352">
      <c r="E352" s="1"/>
    </row>
    <row r="353">
      <c r="E353" s="1"/>
    </row>
    <row r="354">
      <c r="E354" s="1"/>
    </row>
    <row r="355">
      <c r="E355" s="1"/>
    </row>
    <row r="356">
      <c r="E356" s="1"/>
    </row>
    <row r="357">
      <c r="E357" s="1"/>
    </row>
    <row r="358">
      <c r="E358" s="1"/>
    </row>
    <row r="359">
      <c r="E359" s="1"/>
    </row>
    <row r="360">
      <c r="E360" s="1"/>
    </row>
    <row r="361">
      <c r="E361" s="1"/>
    </row>
    <row r="362">
      <c r="E362" s="1"/>
    </row>
    <row r="363">
      <c r="E363" s="1"/>
    </row>
    <row r="364">
      <c r="E364" s="1"/>
    </row>
    <row r="365">
      <c r="E365" s="1"/>
    </row>
    <row r="366">
      <c r="E366" s="1"/>
    </row>
    <row r="367">
      <c r="E367" s="1"/>
    </row>
    <row r="368">
      <c r="E368" s="1"/>
    </row>
    <row r="369">
      <c r="E369" s="1"/>
    </row>
    <row r="370">
      <c r="E370" s="1"/>
    </row>
    <row r="371">
      <c r="E371" s="1"/>
    </row>
    <row r="372">
      <c r="E372" s="1"/>
    </row>
    <row r="373">
      <c r="E373" s="1"/>
    </row>
    <row r="374">
      <c r="E374" s="1"/>
    </row>
    <row r="375">
      <c r="E375" s="1"/>
    </row>
    <row r="376">
      <c r="E376" s="1"/>
    </row>
    <row r="377">
      <c r="E377" s="1"/>
    </row>
    <row r="378">
      <c r="E378" s="1"/>
    </row>
    <row r="379">
      <c r="E379" s="1"/>
    </row>
    <row r="380">
      <c r="E380" s="1"/>
    </row>
    <row r="381">
      <c r="E381" s="1"/>
    </row>
    <row r="382">
      <c r="E382" s="1"/>
    </row>
    <row r="383">
      <c r="E383" s="1"/>
    </row>
    <row r="384">
      <c r="E384" s="1"/>
    </row>
    <row r="385">
      <c r="E385" s="1"/>
    </row>
    <row r="386">
      <c r="E386" s="1"/>
    </row>
    <row r="387">
      <c r="E387" s="1"/>
    </row>
    <row r="388">
      <c r="E388" s="1"/>
    </row>
    <row r="389">
      <c r="E389" s="1"/>
    </row>
    <row r="390">
      <c r="E390" s="1"/>
    </row>
    <row r="391">
      <c r="E391" s="1"/>
    </row>
    <row r="392">
      <c r="E392" s="1"/>
    </row>
    <row r="393">
      <c r="E393" s="1"/>
    </row>
    <row r="394">
      <c r="E394" s="1"/>
    </row>
    <row r="395">
      <c r="E395" s="1"/>
    </row>
    <row r="396">
      <c r="E396" s="1"/>
    </row>
    <row r="397">
      <c r="E397" s="1"/>
    </row>
    <row r="398">
      <c r="E398" s="1"/>
    </row>
    <row r="399">
      <c r="E399" s="1"/>
    </row>
    <row r="400">
      <c r="E400" s="1"/>
    </row>
    <row r="401">
      <c r="E401" s="1"/>
    </row>
    <row r="402">
      <c r="E402" s="1"/>
    </row>
    <row r="403">
      <c r="E403" s="1"/>
    </row>
    <row r="404">
      <c r="E404" s="1"/>
    </row>
    <row r="405">
      <c r="E405" s="1"/>
    </row>
    <row r="406">
      <c r="E406" s="1"/>
    </row>
    <row r="407">
      <c r="E407" s="1"/>
    </row>
    <row r="408">
      <c r="E408" s="1"/>
    </row>
    <row r="409">
      <c r="E409" s="1"/>
    </row>
    <row r="410">
      <c r="E410" s="1"/>
    </row>
    <row r="411">
      <c r="E411" s="1"/>
    </row>
    <row r="412">
      <c r="E412" s="1"/>
    </row>
    <row r="413">
      <c r="E413" s="1"/>
    </row>
    <row r="414">
      <c r="E414" s="1"/>
    </row>
    <row r="415">
      <c r="E415" s="1"/>
    </row>
    <row r="416">
      <c r="E416" s="1"/>
    </row>
    <row r="417">
      <c r="E417" s="1"/>
    </row>
    <row r="418">
      <c r="E418" s="1"/>
    </row>
    <row r="419">
      <c r="E419" s="1"/>
    </row>
    <row r="420">
      <c r="E420" s="1"/>
    </row>
    <row r="421">
      <c r="E421" s="1"/>
    </row>
    <row r="422">
      <c r="E422" s="1"/>
    </row>
    <row r="423">
      <c r="E423" s="1"/>
    </row>
    <row r="424">
      <c r="E424" s="1"/>
    </row>
    <row r="425">
      <c r="E425" s="1"/>
    </row>
    <row r="426">
      <c r="E426" s="1"/>
    </row>
    <row r="427">
      <c r="E427" s="1"/>
    </row>
    <row r="428">
      <c r="E428" s="1"/>
    </row>
    <row r="429">
      <c r="E429" s="1"/>
    </row>
    <row r="430">
      <c r="E430" s="1"/>
    </row>
    <row r="431">
      <c r="E431" s="1"/>
    </row>
    <row r="432">
      <c r="E432" s="1"/>
    </row>
    <row r="433">
      <c r="E433" s="1"/>
    </row>
    <row r="434">
      <c r="E434" s="1"/>
    </row>
    <row r="435">
      <c r="E435" s="1"/>
    </row>
    <row r="436">
      <c r="E436" s="1"/>
    </row>
    <row r="437">
      <c r="E437" s="1"/>
    </row>
    <row r="438">
      <c r="E438" s="1"/>
    </row>
    <row r="439">
      <c r="E439" s="1"/>
    </row>
    <row r="440">
      <c r="E440" s="1"/>
    </row>
    <row r="441">
      <c r="E441" s="1"/>
    </row>
    <row r="442">
      <c r="E442" s="1"/>
    </row>
    <row r="443">
      <c r="E443" s="1"/>
    </row>
    <row r="444">
      <c r="E444" s="1"/>
    </row>
    <row r="445">
      <c r="E445" s="1"/>
    </row>
    <row r="446">
      <c r="E446" s="1"/>
    </row>
    <row r="447">
      <c r="E447" s="1"/>
    </row>
    <row r="448">
      <c r="E448" s="1"/>
    </row>
    <row r="449">
      <c r="E449" s="1"/>
    </row>
    <row r="450">
      <c r="E450" s="1"/>
    </row>
    <row r="451">
      <c r="E451" s="1"/>
    </row>
    <row r="452">
      <c r="E452" s="1"/>
    </row>
    <row r="453">
      <c r="E453" s="1"/>
    </row>
    <row r="454">
      <c r="E454" s="1"/>
    </row>
    <row r="455">
      <c r="E455" s="1"/>
    </row>
    <row r="456">
      <c r="E456" s="1"/>
    </row>
    <row r="457">
      <c r="E457" s="1"/>
    </row>
    <row r="458">
      <c r="E458" s="1"/>
    </row>
    <row r="459">
      <c r="E459" s="1"/>
    </row>
    <row r="460">
      <c r="E460" s="1"/>
    </row>
    <row r="461">
      <c r="E461" s="1"/>
    </row>
    <row r="462">
      <c r="E462" s="1"/>
    </row>
    <row r="463">
      <c r="E463" s="1"/>
    </row>
    <row r="464">
      <c r="E464" s="1"/>
    </row>
    <row r="465">
      <c r="E465" s="1"/>
    </row>
    <row r="466">
      <c r="E466" s="1"/>
    </row>
    <row r="467">
      <c r="E467" s="1"/>
    </row>
    <row r="468">
      <c r="E468" s="1"/>
    </row>
    <row r="469">
      <c r="E469" s="1"/>
    </row>
    <row r="470">
      <c r="E470" s="1"/>
    </row>
    <row r="471">
      <c r="E471" s="1"/>
    </row>
    <row r="472">
      <c r="E472" s="1"/>
    </row>
    <row r="473">
      <c r="E473" s="1"/>
    </row>
    <row r="474">
      <c r="E474" s="1"/>
    </row>
    <row r="475">
      <c r="E475" s="1"/>
    </row>
    <row r="476">
      <c r="E476" s="1"/>
    </row>
    <row r="477">
      <c r="E477" s="1"/>
    </row>
    <row r="478">
      <c r="E478" s="1"/>
    </row>
    <row r="479">
      <c r="E479" s="1"/>
    </row>
    <row r="480">
      <c r="E480" s="1"/>
    </row>
    <row r="481">
      <c r="E481" s="1"/>
    </row>
    <row r="482">
      <c r="E482" s="1"/>
    </row>
    <row r="483">
      <c r="E483" s="1"/>
    </row>
    <row r="484">
      <c r="E484" s="1"/>
    </row>
    <row r="485">
      <c r="E485" s="1"/>
    </row>
    <row r="486">
      <c r="E486" s="1"/>
    </row>
    <row r="487">
      <c r="E487" s="1"/>
    </row>
    <row r="488">
      <c r="E488" s="1"/>
    </row>
    <row r="489">
      <c r="E489" s="1"/>
    </row>
    <row r="490">
      <c r="E490" s="1"/>
    </row>
    <row r="491">
      <c r="E491" s="1"/>
    </row>
    <row r="492">
      <c r="E492" s="1"/>
    </row>
    <row r="493">
      <c r="E493" s="1"/>
    </row>
    <row r="494">
      <c r="E494" s="1"/>
    </row>
    <row r="495">
      <c r="E495" s="1"/>
    </row>
    <row r="496">
      <c r="E496" s="1"/>
    </row>
    <row r="497">
      <c r="E497" s="1"/>
    </row>
    <row r="498">
      <c r="E498" s="1"/>
    </row>
    <row r="499">
      <c r="E499" s="1"/>
    </row>
    <row r="500">
      <c r="E500" s="1"/>
    </row>
    <row r="501">
      <c r="E501" s="1"/>
    </row>
    <row r="502">
      <c r="E502" s="1"/>
    </row>
    <row r="503">
      <c r="E503" s="1"/>
    </row>
    <row r="504">
      <c r="E504" s="1"/>
    </row>
    <row r="505">
      <c r="E505" s="1"/>
    </row>
    <row r="506">
      <c r="E506" s="1"/>
    </row>
    <row r="507">
      <c r="E507" s="1"/>
    </row>
    <row r="508">
      <c r="E508" s="1"/>
    </row>
    <row r="509">
      <c r="E509" s="1"/>
    </row>
    <row r="510">
      <c r="E510" s="1"/>
    </row>
    <row r="511">
      <c r="E511" s="1"/>
    </row>
    <row r="512">
      <c r="E512" s="1"/>
    </row>
    <row r="513">
      <c r="E513" s="1"/>
    </row>
    <row r="514">
      <c r="E514" s="1"/>
    </row>
    <row r="515">
      <c r="E515" s="1"/>
    </row>
    <row r="516">
      <c r="E516" s="1"/>
    </row>
    <row r="517">
      <c r="E517" s="1"/>
    </row>
    <row r="518">
      <c r="E518" s="1"/>
    </row>
    <row r="519">
      <c r="E519" s="1"/>
    </row>
    <row r="520">
      <c r="E520" s="1"/>
    </row>
    <row r="521">
      <c r="E521" s="1"/>
    </row>
    <row r="522">
      <c r="E522" s="1"/>
    </row>
    <row r="523">
      <c r="E523" s="1"/>
    </row>
    <row r="524">
      <c r="E524" s="1"/>
    </row>
    <row r="525">
      <c r="E525" s="1"/>
    </row>
    <row r="526">
      <c r="E526" s="1"/>
    </row>
    <row r="527">
      <c r="E527" s="1"/>
    </row>
    <row r="528">
      <c r="E528" s="1"/>
    </row>
    <row r="529">
      <c r="E529" s="1"/>
    </row>
    <row r="530">
      <c r="E530" s="1"/>
    </row>
    <row r="531">
      <c r="E531" s="1"/>
    </row>
    <row r="532">
      <c r="E532" s="1"/>
    </row>
    <row r="533">
      <c r="E533" s="1"/>
    </row>
    <row r="534">
      <c r="E534" s="1"/>
    </row>
    <row r="535">
      <c r="E535" s="1"/>
    </row>
    <row r="536">
      <c r="E536" s="1"/>
    </row>
    <row r="537">
      <c r="E537" s="1"/>
    </row>
    <row r="538">
      <c r="E538" s="1"/>
    </row>
    <row r="539">
      <c r="E539" s="1"/>
    </row>
    <row r="540">
      <c r="E540" s="1"/>
    </row>
    <row r="541">
      <c r="E541" s="1"/>
    </row>
    <row r="542">
      <c r="E542" s="1"/>
    </row>
    <row r="543">
      <c r="E543" s="1"/>
    </row>
    <row r="544">
      <c r="E544" s="1"/>
    </row>
    <row r="545">
      <c r="E545" s="1"/>
    </row>
    <row r="546">
      <c r="E546" s="1"/>
    </row>
    <row r="547">
      <c r="E547" s="1"/>
    </row>
    <row r="548">
      <c r="E548" s="1"/>
    </row>
    <row r="549">
      <c r="E549" s="1"/>
    </row>
    <row r="550">
      <c r="E550" s="1"/>
    </row>
    <row r="551">
      <c r="E551" s="1"/>
    </row>
    <row r="552">
      <c r="E552" s="1"/>
    </row>
    <row r="553">
      <c r="E553" s="1"/>
    </row>
    <row r="554">
      <c r="E554" s="1"/>
    </row>
    <row r="555">
      <c r="E555" s="1"/>
    </row>
    <row r="556">
      <c r="E556" s="1"/>
    </row>
    <row r="557">
      <c r="E557" s="1"/>
    </row>
    <row r="558">
      <c r="E558" s="1"/>
    </row>
    <row r="559">
      <c r="E559" s="1"/>
    </row>
    <row r="560">
      <c r="E560" s="1"/>
    </row>
    <row r="561">
      <c r="E561" s="1"/>
    </row>
    <row r="562">
      <c r="E562" s="1"/>
    </row>
    <row r="563">
      <c r="E563" s="1"/>
    </row>
    <row r="564">
      <c r="E564" s="1"/>
    </row>
    <row r="565">
      <c r="E565" s="1"/>
    </row>
    <row r="566">
      <c r="E566" s="1"/>
    </row>
    <row r="567">
      <c r="E567" s="1"/>
    </row>
    <row r="568">
      <c r="E568" s="1"/>
    </row>
    <row r="569">
      <c r="E569" s="1"/>
    </row>
    <row r="570">
      <c r="E570" s="1"/>
    </row>
    <row r="571">
      <c r="E571" s="1"/>
    </row>
    <row r="572">
      <c r="E572" s="1"/>
    </row>
    <row r="573">
      <c r="E573" s="1"/>
    </row>
    <row r="574">
      <c r="E574" s="1"/>
    </row>
    <row r="575">
      <c r="E575" s="1"/>
    </row>
    <row r="576">
      <c r="E576" s="1"/>
    </row>
    <row r="577">
      <c r="E577" s="1"/>
    </row>
    <row r="578">
      <c r="E578" s="1"/>
    </row>
    <row r="579">
      <c r="E579" s="1"/>
    </row>
    <row r="580">
      <c r="E580" s="1"/>
    </row>
    <row r="581">
      <c r="E581" s="1"/>
    </row>
    <row r="582">
      <c r="E582" s="1"/>
    </row>
    <row r="583">
      <c r="E583" s="1"/>
    </row>
    <row r="584">
      <c r="E584" s="1"/>
    </row>
    <row r="585">
      <c r="E585" s="1"/>
    </row>
    <row r="586">
      <c r="E586" s="1"/>
    </row>
    <row r="587">
      <c r="E587" s="1"/>
    </row>
    <row r="588">
      <c r="E588" s="1"/>
    </row>
    <row r="589">
      <c r="E589" s="1"/>
    </row>
    <row r="590">
      <c r="E590" s="1"/>
    </row>
    <row r="591">
      <c r="E591" s="1"/>
    </row>
    <row r="592">
      <c r="E592" s="1"/>
    </row>
    <row r="593">
      <c r="E593" s="1"/>
    </row>
    <row r="594">
      <c r="E594" s="1"/>
    </row>
    <row r="595">
      <c r="E595" s="1"/>
    </row>
    <row r="596">
      <c r="E596" s="1"/>
    </row>
    <row r="597">
      <c r="E597" s="1"/>
    </row>
    <row r="598">
      <c r="E598" s="1"/>
    </row>
    <row r="599">
      <c r="E599" s="1"/>
    </row>
    <row r="600">
      <c r="E600" s="1"/>
    </row>
    <row r="601">
      <c r="E601" s="1"/>
    </row>
    <row r="602">
      <c r="E602" s="1"/>
    </row>
    <row r="603">
      <c r="E603" s="1"/>
    </row>
    <row r="604">
      <c r="E604" s="1"/>
    </row>
    <row r="605">
      <c r="E605" s="1"/>
    </row>
    <row r="606">
      <c r="E606" s="1"/>
    </row>
    <row r="607">
      <c r="E607" s="1"/>
    </row>
    <row r="608">
      <c r="E608" s="1"/>
    </row>
    <row r="609">
      <c r="E609" s="1"/>
    </row>
    <row r="610">
      <c r="E610" s="1"/>
    </row>
    <row r="611">
      <c r="E611" s="1"/>
    </row>
    <row r="612">
      <c r="E612" s="1"/>
    </row>
    <row r="613">
      <c r="E613" s="1"/>
    </row>
    <row r="614">
      <c r="E614" s="1"/>
    </row>
    <row r="615">
      <c r="E615" s="1"/>
    </row>
    <row r="616">
      <c r="E616" s="1"/>
    </row>
    <row r="617">
      <c r="E617" s="1"/>
    </row>
    <row r="618">
      <c r="E618" s="1"/>
    </row>
    <row r="619">
      <c r="E619" s="1"/>
    </row>
    <row r="620">
      <c r="E620" s="1"/>
    </row>
    <row r="621">
      <c r="E621" s="1"/>
    </row>
    <row r="622">
      <c r="E622" s="1"/>
    </row>
    <row r="623">
      <c r="E623" s="1"/>
    </row>
    <row r="624">
      <c r="E624" s="1"/>
    </row>
    <row r="625">
      <c r="E625" s="1"/>
    </row>
    <row r="626">
      <c r="E626" s="1"/>
    </row>
    <row r="627">
      <c r="E627" s="1"/>
    </row>
    <row r="628">
      <c r="E628" s="1"/>
    </row>
    <row r="629">
      <c r="E629" s="1"/>
    </row>
    <row r="630">
      <c r="E630" s="1"/>
    </row>
    <row r="631">
      <c r="E631" s="1"/>
    </row>
    <row r="632">
      <c r="E632" s="1"/>
    </row>
    <row r="633">
      <c r="E633" s="1"/>
    </row>
    <row r="634">
      <c r="E634" s="1"/>
    </row>
    <row r="635">
      <c r="E635" s="1"/>
    </row>
    <row r="636">
      <c r="E636" s="1"/>
    </row>
    <row r="637">
      <c r="E637" s="1"/>
    </row>
    <row r="638">
      <c r="E638" s="1"/>
    </row>
    <row r="639">
      <c r="E639" s="1"/>
    </row>
    <row r="640">
      <c r="E640" s="1"/>
    </row>
    <row r="641">
      <c r="E641" s="1"/>
    </row>
    <row r="642">
      <c r="E642" s="1"/>
    </row>
    <row r="643">
      <c r="E643" s="1"/>
    </row>
    <row r="644">
      <c r="E644" s="1"/>
    </row>
    <row r="645">
      <c r="E645" s="1"/>
    </row>
    <row r="646">
      <c r="E646" s="1"/>
    </row>
    <row r="647">
      <c r="E647" s="1"/>
    </row>
    <row r="648">
      <c r="E648" s="1"/>
    </row>
    <row r="649">
      <c r="E649" s="1"/>
    </row>
    <row r="650">
      <c r="E650" s="1"/>
    </row>
    <row r="651">
      <c r="E651" s="1"/>
    </row>
    <row r="652">
      <c r="E652" s="1"/>
    </row>
    <row r="653">
      <c r="E653" s="1"/>
    </row>
    <row r="654">
      <c r="E654" s="1"/>
    </row>
    <row r="655">
      <c r="E655" s="1"/>
    </row>
    <row r="656">
      <c r="E656" s="1"/>
    </row>
    <row r="657">
      <c r="E657" s="1"/>
    </row>
    <row r="658">
      <c r="E658" s="1"/>
    </row>
    <row r="659">
      <c r="E659" s="1"/>
    </row>
    <row r="660">
      <c r="E660" s="1"/>
    </row>
    <row r="661">
      <c r="E661" s="1"/>
    </row>
    <row r="662">
      <c r="E662" s="1"/>
    </row>
    <row r="663">
      <c r="E663" s="1"/>
    </row>
    <row r="664">
      <c r="E664" s="1"/>
    </row>
    <row r="665">
      <c r="E665" s="1"/>
    </row>
    <row r="666">
      <c r="E666" s="1"/>
    </row>
    <row r="667">
      <c r="E667" s="1"/>
    </row>
    <row r="668">
      <c r="E668" s="1"/>
    </row>
    <row r="669">
      <c r="E669" s="1"/>
    </row>
    <row r="670">
      <c r="E670" s="1"/>
    </row>
    <row r="671">
      <c r="E671" s="1"/>
    </row>
    <row r="672">
      <c r="E672" s="1"/>
    </row>
    <row r="673">
      <c r="E673" s="1"/>
    </row>
    <row r="674">
      <c r="E674" s="1"/>
    </row>
    <row r="675">
      <c r="E675" s="1"/>
    </row>
    <row r="676">
      <c r="E676" s="1"/>
    </row>
    <row r="677">
      <c r="E677" s="1"/>
    </row>
    <row r="678">
      <c r="E678" s="1"/>
    </row>
    <row r="679">
      <c r="E679" s="1"/>
    </row>
    <row r="680">
      <c r="E680" s="1"/>
    </row>
    <row r="681">
      <c r="E681" s="1"/>
    </row>
    <row r="682">
      <c r="E682" s="1"/>
    </row>
    <row r="683">
      <c r="E683" s="1"/>
    </row>
    <row r="684">
      <c r="E684" s="1"/>
    </row>
    <row r="685">
      <c r="E685" s="1"/>
    </row>
    <row r="686">
      <c r="E686" s="1"/>
    </row>
    <row r="687">
      <c r="E687" s="1"/>
    </row>
    <row r="688">
      <c r="E688" s="1"/>
    </row>
    <row r="689">
      <c r="E689" s="1"/>
    </row>
    <row r="690">
      <c r="E690" s="1"/>
    </row>
    <row r="691">
      <c r="E691" s="1"/>
    </row>
    <row r="692">
      <c r="E692" s="1"/>
    </row>
    <row r="693">
      <c r="E693" s="1"/>
    </row>
    <row r="694">
      <c r="E694" s="1"/>
    </row>
    <row r="695">
      <c r="E695" s="1"/>
    </row>
    <row r="696">
      <c r="E696" s="1"/>
    </row>
    <row r="697">
      <c r="E697" s="1"/>
    </row>
    <row r="698">
      <c r="E698" s="1"/>
    </row>
    <row r="699">
      <c r="E699" s="1"/>
    </row>
    <row r="700">
      <c r="E700" s="1"/>
    </row>
    <row r="701">
      <c r="E701" s="1"/>
    </row>
    <row r="702">
      <c r="E702" s="1"/>
    </row>
    <row r="703">
      <c r="E703" s="1"/>
    </row>
    <row r="704">
      <c r="E704" s="1"/>
    </row>
    <row r="705">
      <c r="E705" s="1"/>
    </row>
    <row r="706">
      <c r="E706" s="1"/>
    </row>
    <row r="707">
      <c r="E707" s="1"/>
    </row>
    <row r="708">
      <c r="E708" s="1"/>
    </row>
    <row r="709">
      <c r="E709" s="1"/>
    </row>
    <row r="710">
      <c r="E710" s="1"/>
    </row>
    <row r="711">
      <c r="E711" s="1"/>
    </row>
    <row r="712">
      <c r="E712" s="1"/>
    </row>
    <row r="713">
      <c r="E713" s="1"/>
    </row>
    <row r="714">
      <c r="E714" s="1"/>
    </row>
    <row r="715">
      <c r="E715" s="1"/>
    </row>
    <row r="716">
      <c r="E716" s="1"/>
    </row>
    <row r="717">
      <c r="E717" s="1"/>
    </row>
    <row r="718">
      <c r="E718" s="1"/>
    </row>
    <row r="719">
      <c r="E719" s="1"/>
    </row>
    <row r="720">
      <c r="E720" s="1"/>
    </row>
    <row r="721">
      <c r="E721" s="1"/>
    </row>
    <row r="722">
      <c r="E722" s="1"/>
    </row>
    <row r="723">
      <c r="E723" s="1"/>
    </row>
    <row r="724">
      <c r="E724" s="1"/>
    </row>
    <row r="725">
      <c r="E725" s="1"/>
    </row>
    <row r="726">
      <c r="E726" s="1"/>
    </row>
    <row r="727">
      <c r="E727" s="1"/>
    </row>
    <row r="728">
      <c r="E728" s="1"/>
    </row>
    <row r="729">
      <c r="E729" s="1"/>
    </row>
    <row r="730">
      <c r="E730" s="1"/>
    </row>
    <row r="731">
      <c r="E731" s="1"/>
    </row>
    <row r="732">
      <c r="E732" s="1"/>
    </row>
    <row r="733">
      <c r="E733" s="1"/>
    </row>
    <row r="734">
      <c r="E734" s="1"/>
    </row>
    <row r="735">
      <c r="E735" s="1"/>
    </row>
    <row r="736">
      <c r="E736" s="1"/>
    </row>
    <row r="737">
      <c r="E737" s="1"/>
    </row>
    <row r="738">
      <c r="E738" s="1"/>
    </row>
    <row r="739">
      <c r="E739" s="1"/>
    </row>
    <row r="740">
      <c r="E740" s="1"/>
    </row>
    <row r="741">
      <c r="E741" s="1"/>
    </row>
    <row r="742">
      <c r="E742" s="1"/>
    </row>
    <row r="743">
      <c r="E743" s="1"/>
    </row>
    <row r="744">
      <c r="E744" s="1"/>
    </row>
    <row r="745">
      <c r="E745" s="1"/>
    </row>
    <row r="746">
      <c r="E746" s="1"/>
    </row>
    <row r="747">
      <c r="E747" s="1"/>
    </row>
    <row r="748">
      <c r="E748" s="1"/>
    </row>
    <row r="749">
      <c r="E749" s="1"/>
    </row>
    <row r="750">
      <c r="E750" s="1"/>
    </row>
    <row r="751">
      <c r="E751" s="1"/>
    </row>
    <row r="752">
      <c r="E752" s="1"/>
    </row>
    <row r="753">
      <c r="E753" s="1"/>
    </row>
    <row r="754">
      <c r="E754" s="1"/>
    </row>
    <row r="755">
      <c r="E755" s="1"/>
    </row>
    <row r="756">
      <c r="E756" s="1"/>
    </row>
    <row r="757">
      <c r="E757" s="1"/>
    </row>
    <row r="758">
      <c r="E758" s="1"/>
    </row>
    <row r="759">
      <c r="E759" s="1"/>
    </row>
    <row r="760">
      <c r="E760" s="1"/>
    </row>
    <row r="761">
      <c r="E761" s="1"/>
    </row>
    <row r="762">
      <c r="E762" s="1"/>
    </row>
    <row r="763">
      <c r="E763" s="1"/>
    </row>
    <row r="764">
      <c r="E764" s="1"/>
    </row>
    <row r="765">
      <c r="E765" s="1"/>
    </row>
    <row r="766">
      <c r="E766" s="1"/>
    </row>
    <row r="767">
      <c r="E767" s="1"/>
    </row>
    <row r="768">
      <c r="E768" s="1"/>
    </row>
    <row r="769">
      <c r="E769" s="1"/>
    </row>
    <row r="770">
      <c r="E770" s="1"/>
    </row>
    <row r="771">
      <c r="E771" s="1"/>
    </row>
    <row r="772">
      <c r="E772" s="1"/>
    </row>
    <row r="773">
      <c r="E773" s="1"/>
    </row>
    <row r="774">
      <c r="E774" s="1"/>
    </row>
    <row r="775">
      <c r="E775" s="1"/>
    </row>
    <row r="776">
      <c r="E776" s="1"/>
    </row>
    <row r="777">
      <c r="E777" s="1"/>
    </row>
    <row r="778">
      <c r="E778" s="1"/>
    </row>
    <row r="779">
      <c r="E779" s="1"/>
    </row>
    <row r="780">
      <c r="E780" s="1"/>
    </row>
    <row r="781">
      <c r="E781" s="1"/>
    </row>
    <row r="782">
      <c r="E782" s="1"/>
    </row>
    <row r="783">
      <c r="E783" s="1"/>
    </row>
    <row r="784">
      <c r="E784" s="1"/>
    </row>
    <row r="785">
      <c r="E785" s="1"/>
    </row>
    <row r="786">
      <c r="E786" s="1"/>
    </row>
    <row r="787">
      <c r="E787" s="1"/>
    </row>
    <row r="788">
      <c r="E788" s="1"/>
    </row>
    <row r="789">
      <c r="E789" s="1"/>
    </row>
    <row r="790">
      <c r="E790" s="1"/>
    </row>
    <row r="791">
      <c r="E791" s="1"/>
    </row>
    <row r="792">
      <c r="E792" s="1"/>
    </row>
    <row r="793">
      <c r="E793" s="1"/>
    </row>
    <row r="794">
      <c r="E794" s="1"/>
    </row>
    <row r="795">
      <c r="E795" s="1"/>
    </row>
    <row r="796">
      <c r="E796" s="1"/>
    </row>
    <row r="797">
      <c r="E797" s="1"/>
    </row>
    <row r="798">
      <c r="E798" s="1"/>
    </row>
    <row r="799">
      <c r="E799" s="1"/>
    </row>
    <row r="800">
      <c r="E800" s="1"/>
    </row>
    <row r="801">
      <c r="E801" s="1"/>
    </row>
    <row r="802">
      <c r="E802" s="1"/>
    </row>
    <row r="803">
      <c r="E803" s="1"/>
    </row>
    <row r="804">
      <c r="E804" s="1"/>
    </row>
    <row r="805">
      <c r="E805" s="1"/>
    </row>
    <row r="806">
      <c r="E806" s="1"/>
    </row>
    <row r="807">
      <c r="E807" s="1"/>
    </row>
    <row r="808">
      <c r="E808" s="1"/>
    </row>
    <row r="809">
      <c r="E809" s="1"/>
    </row>
    <row r="810">
      <c r="E810" s="1"/>
    </row>
    <row r="811">
      <c r="E811" s="1"/>
    </row>
    <row r="812">
      <c r="E812" s="1"/>
    </row>
    <row r="813">
      <c r="E813" s="1"/>
    </row>
    <row r="814">
      <c r="E814" s="1"/>
    </row>
    <row r="815">
      <c r="E815" s="1"/>
    </row>
    <row r="816">
      <c r="E816" s="1"/>
    </row>
    <row r="817">
      <c r="E817" s="1"/>
    </row>
    <row r="818">
      <c r="E818" s="1"/>
    </row>
    <row r="819">
      <c r="E819" s="1"/>
    </row>
    <row r="820">
      <c r="E820" s="1"/>
    </row>
    <row r="821">
      <c r="E821" s="1"/>
    </row>
    <row r="822">
      <c r="E822" s="1"/>
    </row>
    <row r="823">
      <c r="E823" s="1"/>
    </row>
    <row r="824">
      <c r="E824" s="1"/>
    </row>
    <row r="825">
      <c r="E825" s="1"/>
    </row>
    <row r="826">
      <c r="E826" s="1"/>
    </row>
    <row r="827">
      <c r="E827" s="1"/>
    </row>
    <row r="828">
      <c r="E828" s="1"/>
    </row>
    <row r="829">
      <c r="E829" s="1"/>
    </row>
    <row r="830">
      <c r="E830" s="1"/>
    </row>
    <row r="831">
      <c r="E831" s="1"/>
    </row>
    <row r="832">
      <c r="E832" s="1"/>
    </row>
    <row r="833">
      <c r="E833" s="1"/>
    </row>
    <row r="834">
      <c r="E834" s="1"/>
    </row>
    <row r="835">
      <c r="E835" s="1"/>
    </row>
    <row r="836">
      <c r="E836" s="1"/>
    </row>
    <row r="837">
      <c r="E837" s="1"/>
    </row>
    <row r="838">
      <c r="E838" s="1"/>
    </row>
    <row r="839">
      <c r="E839" s="1"/>
    </row>
    <row r="840">
      <c r="E840" s="1"/>
    </row>
    <row r="841">
      <c r="E841" s="1"/>
    </row>
    <row r="842">
      <c r="E842" s="1"/>
    </row>
    <row r="843">
      <c r="E843" s="1"/>
    </row>
    <row r="844">
      <c r="E844" s="1"/>
    </row>
    <row r="845">
      <c r="E845" s="1"/>
    </row>
    <row r="846">
      <c r="E846" s="1"/>
    </row>
    <row r="847">
      <c r="E847" s="1"/>
    </row>
    <row r="848">
      <c r="E848" s="1"/>
    </row>
    <row r="849">
      <c r="E849" s="1"/>
    </row>
    <row r="850">
      <c r="E850" s="1"/>
    </row>
    <row r="851">
      <c r="E851" s="1"/>
    </row>
    <row r="852">
      <c r="E852" s="1"/>
    </row>
    <row r="853">
      <c r="E853" s="1"/>
    </row>
    <row r="854">
      <c r="E854" s="1"/>
    </row>
    <row r="855">
      <c r="E855" s="1"/>
    </row>
    <row r="856">
      <c r="E856" s="1"/>
    </row>
    <row r="857">
      <c r="E857" s="1"/>
    </row>
    <row r="858">
      <c r="E858" s="1"/>
    </row>
    <row r="859">
      <c r="E859" s="1"/>
    </row>
    <row r="860">
      <c r="E860" s="1"/>
    </row>
    <row r="861">
      <c r="E861" s="1"/>
    </row>
    <row r="862">
      <c r="E862" s="1"/>
    </row>
    <row r="863">
      <c r="E863" s="1"/>
    </row>
    <row r="864">
      <c r="E864" s="1"/>
    </row>
    <row r="865">
      <c r="E865" s="1"/>
    </row>
    <row r="866">
      <c r="E866" s="1"/>
    </row>
    <row r="867">
      <c r="E867" s="1"/>
    </row>
    <row r="868">
      <c r="E868" s="1"/>
    </row>
    <row r="869">
      <c r="E869" s="1"/>
    </row>
    <row r="870">
      <c r="E870" s="1"/>
    </row>
    <row r="871">
      <c r="E871" s="1"/>
    </row>
    <row r="872">
      <c r="E872" s="1"/>
    </row>
    <row r="873">
      <c r="E873" s="1"/>
    </row>
    <row r="874">
      <c r="E874" s="1"/>
    </row>
    <row r="875">
      <c r="E875" s="1"/>
    </row>
    <row r="876">
      <c r="E876" s="1"/>
    </row>
    <row r="877">
      <c r="E877" s="1"/>
    </row>
    <row r="878">
      <c r="E878" s="1"/>
    </row>
    <row r="879">
      <c r="E879" s="1"/>
    </row>
    <row r="880">
      <c r="E880" s="1"/>
    </row>
    <row r="881">
      <c r="E881" s="1"/>
    </row>
    <row r="882">
      <c r="E882" s="1"/>
    </row>
    <row r="883">
      <c r="E883" s="1"/>
    </row>
    <row r="884">
      <c r="E884" s="1"/>
    </row>
    <row r="885">
      <c r="E885" s="1"/>
    </row>
    <row r="886">
      <c r="E886" s="1"/>
    </row>
    <row r="887">
      <c r="E887" s="1"/>
    </row>
    <row r="888">
      <c r="E888" s="1"/>
    </row>
    <row r="889">
      <c r="E889" s="1"/>
    </row>
    <row r="890">
      <c r="E890" s="1"/>
    </row>
    <row r="891">
      <c r="E891" s="1"/>
    </row>
    <row r="892">
      <c r="E892" s="1"/>
    </row>
    <row r="893">
      <c r="E893" s="1"/>
    </row>
    <row r="894">
      <c r="E894" s="1"/>
    </row>
    <row r="895">
      <c r="E895" s="1"/>
    </row>
    <row r="896">
      <c r="E896" s="1"/>
    </row>
    <row r="897">
      <c r="E897" s="1"/>
    </row>
    <row r="898">
      <c r="E898" s="1"/>
    </row>
    <row r="899">
      <c r="E899" s="1"/>
    </row>
    <row r="900">
      <c r="E900" s="1"/>
    </row>
    <row r="901">
      <c r="E901" s="1"/>
    </row>
    <row r="902">
      <c r="E902" s="1"/>
    </row>
    <row r="903">
      <c r="E903" s="1"/>
    </row>
    <row r="904">
      <c r="E904" s="1"/>
    </row>
    <row r="905">
      <c r="E905" s="1"/>
    </row>
    <row r="906">
      <c r="E906" s="1"/>
    </row>
    <row r="907">
      <c r="E907" s="1"/>
    </row>
    <row r="908">
      <c r="E908" s="1"/>
    </row>
    <row r="909">
      <c r="E909" s="1"/>
    </row>
    <row r="910">
      <c r="E910" s="1"/>
    </row>
    <row r="911">
      <c r="E911" s="1"/>
    </row>
    <row r="912">
      <c r="E912" s="1"/>
    </row>
    <row r="913">
      <c r="E913" s="1"/>
    </row>
    <row r="914">
      <c r="E914" s="1"/>
    </row>
    <row r="915">
      <c r="E915" s="1"/>
    </row>
    <row r="916">
      <c r="E916" s="1"/>
    </row>
    <row r="917">
      <c r="E917" s="1"/>
    </row>
    <row r="918">
      <c r="E918" s="1"/>
    </row>
    <row r="919">
      <c r="E919" s="1"/>
    </row>
    <row r="920">
      <c r="E920" s="1"/>
    </row>
    <row r="921">
      <c r="E921" s="1"/>
    </row>
    <row r="922">
      <c r="E922" s="1"/>
    </row>
    <row r="923">
      <c r="E923" s="1"/>
    </row>
    <row r="924">
      <c r="E924" s="1"/>
    </row>
    <row r="925">
      <c r="E925" s="1"/>
    </row>
    <row r="926">
      <c r="E926" s="1"/>
    </row>
    <row r="927">
      <c r="E927" s="1"/>
    </row>
    <row r="928">
      <c r="E928" s="1"/>
    </row>
    <row r="929">
      <c r="E929" s="1"/>
    </row>
    <row r="930">
      <c r="E930" s="1"/>
    </row>
    <row r="931">
      <c r="E931" s="1"/>
    </row>
  </sheetData>
  <drawing r:id="rId1"/>
</worksheet>
</file>